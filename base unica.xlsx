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amuel\Desktop\dashboard 2\"/>
    </mc:Choice>
  </mc:AlternateContent>
  <xr:revisionPtr revIDLastSave="0" documentId="13_ncr:1_{ED035243-CEEF-4948-80F7-8A32F8F0042B}" xr6:coauthVersionLast="47" xr6:coauthVersionMax="47" xr10:uidLastSave="{00000000-0000-0000-0000-000000000000}"/>
  <bookViews>
    <workbookView xWindow="-108" yWindow="-108" windowWidth="23256" windowHeight="12456" xr2:uid="{4F7FC906-6C93-48DD-9E25-89BDD49F58EC}"/>
  </bookViews>
  <sheets>
    <sheet name="dash unica" sheetId="1" r:id="rId1"/>
  </sheets>
  <externalReferences>
    <externalReference r:id="rId2"/>
    <externalReference r:id="rId3"/>
  </externalReferences>
  <calcPr calcId="181029"/>
</workbook>
</file>

<file path=xl/calcChain.xml><?xml version="1.0" encoding="utf-8"?>
<calcChain xmlns="http://schemas.openxmlformats.org/spreadsheetml/2006/main">
  <c r="X2455" i="1" l="1"/>
  <c r="X2456" i="1"/>
  <c r="X2457" i="1"/>
  <c r="X2458" i="1"/>
  <c r="X2459" i="1"/>
  <c r="X2460" i="1"/>
  <c r="X2461" i="1"/>
  <c r="X2462" i="1"/>
  <c r="X2463" i="1"/>
  <c r="X2464" i="1"/>
  <c r="X2465" i="1"/>
  <c r="X2466" i="1"/>
  <c r="X2467" i="1"/>
  <c r="X2468" i="1"/>
  <c r="X2469" i="1"/>
  <c r="X2470" i="1"/>
  <c r="X2471" i="1"/>
  <c r="X2472" i="1"/>
  <c r="X2473" i="1"/>
  <c r="X2474" i="1"/>
  <c r="X2475" i="1"/>
  <c r="X2476" i="1"/>
  <c r="X2477" i="1"/>
  <c r="X2478" i="1"/>
  <c r="X2479" i="1"/>
  <c r="X2480" i="1"/>
  <c r="X2481" i="1"/>
  <c r="X2482" i="1"/>
  <c r="X2483" i="1"/>
  <c r="X2484" i="1"/>
  <c r="X2485" i="1"/>
  <c r="X2486" i="1"/>
  <c r="X2487" i="1"/>
  <c r="X2488" i="1"/>
  <c r="X2489" i="1"/>
  <c r="X2490" i="1"/>
  <c r="X2491" i="1"/>
  <c r="X2492" i="1"/>
  <c r="X2493" i="1"/>
  <c r="X2494" i="1"/>
  <c r="X2495" i="1"/>
  <c r="X2496" i="1"/>
  <c r="X2497" i="1"/>
  <c r="X2498" i="1"/>
  <c r="X2499" i="1"/>
  <c r="X2500" i="1"/>
  <c r="X2501" i="1"/>
  <c r="X2502" i="1"/>
  <c r="X2503" i="1"/>
  <c r="X2504" i="1"/>
  <c r="X2505" i="1"/>
  <c r="X2506" i="1"/>
  <c r="X2507" i="1"/>
  <c r="X2508" i="1"/>
  <c r="X2509" i="1"/>
  <c r="X2510" i="1"/>
  <c r="X2511" i="1"/>
  <c r="X2512" i="1"/>
  <c r="X2513" i="1"/>
  <c r="X2514" i="1"/>
  <c r="X2515" i="1"/>
  <c r="X2516" i="1"/>
  <c r="X2517" i="1"/>
  <c r="X2518" i="1"/>
  <c r="X2519" i="1"/>
  <c r="X2520" i="1"/>
  <c r="X2521" i="1"/>
  <c r="X2522" i="1"/>
  <c r="X2523" i="1"/>
  <c r="X2524" i="1"/>
  <c r="X2525" i="1"/>
  <c r="X2526" i="1"/>
  <c r="X2527" i="1"/>
  <c r="X2528" i="1"/>
  <c r="X2529" i="1"/>
  <c r="X2530" i="1"/>
  <c r="X2531" i="1"/>
  <c r="X2532" i="1"/>
  <c r="X2533" i="1"/>
  <c r="X2534" i="1"/>
  <c r="X2535" i="1"/>
  <c r="X2536" i="1"/>
  <c r="X2537" i="1"/>
  <c r="X2538" i="1"/>
  <c r="X2539" i="1"/>
  <c r="X2540" i="1"/>
  <c r="X2541" i="1"/>
  <c r="X2542" i="1"/>
  <c r="X2543" i="1"/>
  <c r="X2544" i="1"/>
  <c r="X2545" i="1"/>
  <c r="X2546" i="1"/>
  <c r="X2547" i="1"/>
  <c r="X2548" i="1"/>
  <c r="X2549" i="1"/>
  <c r="X2550" i="1"/>
  <c r="X2551" i="1"/>
  <c r="X2552" i="1"/>
  <c r="X2553" i="1"/>
  <c r="X2554" i="1"/>
  <c r="X2555" i="1"/>
  <c r="X2556" i="1"/>
  <c r="X2557" i="1"/>
  <c r="X2558" i="1"/>
  <c r="X2559" i="1"/>
  <c r="X2560" i="1"/>
  <c r="X2561" i="1"/>
  <c r="X2562" i="1"/>
  <c r="X2563" i="1"/>
  <c r="X2564" i="1"/>
  <c r="X2565" i="1"/>
  <c r="X2566" i="1"/>
  <c r="X2567" i="1"/>
  <c r="X2568" i="1"/>
  <c r="X2569" i="1"/>
  <c r="X2570" i="1"/>
  <c r="X2571" i="1"/>
  <c r="X2572" i="1"/>
  <c r="X2573" i="1"/>
  <c r="X2574" i="1"/>
  <c r="X2575" i="1"/>
  <c r="X2576" i="1"/>
  <c r="X2577" i="1"/>
  <c r="X2578" i="1"/>
  <c r="X2579" i="1"/>
  <c r="X2580" i="1"/>
  <c r="X2581" i="1"/>
  <c r="X2582" i="1"/>
  <c r="X2583" i="1"/>
  <c r="X2584" i="1"/>
  <c r="X2585" i="1"/>
  <c r="X2586" i="1"/>
  <c r="X2587" i="1"/>
  <c r="X2588" i="1"/>
  <c r="X2589" i="1"/>
  <c r="X2590" i="1"/>
  <c r="X2591" i="1"/>
  <c r="X2592" i="1"/>
  <c r="X2593" i="1"/>
  <c r="X2594" i="1"/>
  <c r="X2595" i="1"/>
  <c r="X2596" i="1"/>
  <c r="X2597" i="1"/>
  <c r="X2598" i="1"/>
  <c r="X2599" i="1"/>
  <c r="X2600" i="1"/>
  <c r="X2601" i="1"/>
  <c r="X2602" i="1"/>
  <c r="X2603" i="1"/>
  <c r="X2604" i="1"/>
  <c r="X2605" i="1"/>
  <c r="X2606" i="1"/>
  <c r="X2607" i="1"/>
  <c r="X2608" i="1"/>
  <c r="X2609" i="1"/>
  <c r="X2610" i="1"/>
  <c r="X2611" i="1"/>
  <c r="X2612" i="1"/>
  <c r="X2613" i="1"/>
  <c r="X2614" i="1"/>
  <c r="X2615" i="1"/>
  <c r="X2616" i="1"/>
  <c r="X2617" i="1"/>
  <c r="X2618" i="1"/>
  <c r="X2619" i="1"/>
  <c r="X2620" i="1"/>
  <c r="X2621" i="1"/>
  <c r="X2622" i="1"/>
  <c r="X2623" i="1"/>
  <c r="X2624" i="1"/>
  <c r="X2625" i="1"/>
  <c r="X2626" i="1"/>
  <c r="X2627" i="1"/>
  <c r="X2628" i="1"/>
  <c r="X2629" i="1"/>
  <c r="X2630" i="1"/>
  <c r="X2631" i="1"/>
  <c r="X2632" i="1"/>
  <c r="X2633" i="1"/>
  <c r="X2634" i="1"/>
  <c r="X2635" i="1"/>
  <c r="X2636" i="1"/>
  <c r="X2637" i="1"/>
  <c r="X2638" i="1"/>
  <c r="X2639" i="1"/>
  <c r="X2640" i="1"/>
  <c r="X2641" i="1"/>
  <c r="X2642" i="1"/>
  <c r="X2643" i="1"/>
  <c r="X2644" i="1"/>
  <c r="X2645" i="1"/>
  <c r="X2646" i="1"/>
  <c r="X2647" i="1"/>
  <c r="X2648" i="1"/>
  <c r="X2649" i="1"/>
  <c r="X2650" i="1"/>
  <c r="X2651" i="1"/>
  <c r="X2652" i="1"/>
  <c r="X2653" i="1"/>
  <c r="X2654" i="1"/>
  <c r="X2655" i="1"/>
  <c r="X2656" i="1"/>
  <c r="X2657" i="1"/>
  <c r="X2658" i="1"/>
  <c r="X2659" i="1"/>
  <c r="X2660" i="1"/>
  <c r="X2661" i="1"/>
  <c r="X2662" i="1"/>
  <c r="X2663" i="1"/>
  <c r="X2664" i="1"/>
  <c r="X2665" i="1"/>
  <c r="X2666" i="1"/>
  <c r="X2667" i="1"/>
  <c r="X2668" i="1"/>
  <c r="X2669" i="1"/>
  <c r="X2670" i="1"/>
  <c r="X2671" i="1"/>
  <c r="X2672" i="1"/>
  <c r="X2673" i="1"/>
  <c r="X2674" i="1"/>
  <c r="X2675" i="1"/>
  <c r="X2676" i="1"/>
  <c r="X2677" i="1"/>
  <c r="X2678" i="1"/>
  <c r="X2679" i="1"/>
  <c r="X2680" i="1"/>
  <c r="X2681" i="1"/>
  <c r="X2682" i="1"/>
  <c r="X2683" i="1"/>
  <c r="X2684" i="1"/>
  <c r="X2685" i="1"/>
  <c r="X2686" i="1"/>
  <c r="X2687" i="1"/>
  <c r="X2688" i="1"/>
  <c r="X2689" i="1"/>
  <c r="X2690" i="1"/>
  <c r="X2691" i="1"/>
  <c r="X2692" i="1"/>
  <c r="X2693" i="1"/>
  <c r="X2694" i="1"/>
  <c r="X2695" i="1"/>
  <c r="X2696" i="1"/>
  <c r="X2697" i="1"/>
  <c r="X2698" i="1"/>
  <c r="X2699" i="1"/>
  <c r="X2700" i="1"/>
  <c r="X2701" i="1"/>
  <c r="X2702" i="1"/>
  <c r="X2703" i="1"/>
  <c r="X2704" i="1"/>
  <c r="X2705" i="1"/>
  <c r="X2706" i="1"/>
  <c r="X2707" i="1"/>
  <c r="X2708" i="1"/>
  <c r="X2709" i="1"/>
  <c r="X2710" i="1"/>
  <c r="X2711" i="1"/>
  <c r="X2712" i="1"/>
  <c r="X2713" i="1"/>
  <c r="X2714" i="1"/>
  <c r="X2715" i="1"/>
  <c r="X2716" i="1"/>
  <c r="X2717" i="1"/>
  <c r="X2718" i="1"/>
  <c r="X2719" i="1"/>
  <c r="X2720" i="1"/>
  <c r="X2721" i="1"/>
  <c r="X2722" i="1"/>
  <c r="X2723" i="1"/>
  <c r="X2724" i="1"/>
  <c r="X2725" i="1"/>
  <c r="X2726" i="1"/>
  <c r="X2727" i="1"/>
  <c r="X2728" i="1"/>
  <c r="X2729" i="1"/>
  <c r="X2730" i="1"/>
  <c r="X2731" i="1"/>
  <c r="X2732" i="1"/>
  <c r="X2733" i="1"/>
  <c r="X2734" i="1"/>
  <c r="X2735" i="1"/>
  <c r="X2736" i="1"/>
  <c r="X2737" i="1"/>
  <c r="X2738" i="1"/>
  <c r="X2739" i="1"/>
  <c r="X2740" i="1"/>
  <c r="X2741" i="1"/>
  <c r="X2742" i="1"/>
  <c r="X2743" i="1"/>
  <c r="X2744" i="1"/>
  <c r="X2745" i="1"/>
  <c r="X2746" i="1"/>
  <c r="X2747" i="1"/>
  <c r="X2748" i="1"/>
  <c r="X2749" i="1"/>
  <c r="X2750" i="1"/>
  <c r="X2751" i="1"/>
  <c r="X2752" i="1"/>
  <c r="X2753" i="1"/>
  <c r="X2754" i="1"/>
  <c r="X2755" i="1"/>
  <c r="X2756" i="1"/>
  <c r="X2757" i="1"/>
  <c r="X2758" i="1"/>
  <c r="X2759" i="1"/>
  <c r="X2760" i="1"/>
  <c r="X2761" i="1"/>
  <c r="X2762" i="1"/>
  <c r="X2763" i="1"/>
  <c r="X2764" i="1"/>
  <c r="X2765" i="1"/>
  <c r="X2766" i="1"/>
  <c r="X2767" i="1"/>
  <c r="X2768" i="1"/>
  <c r="X2769" i="1"/>
  <c r="X2770" i="1"/>
  <c r="X2771" i="1"/>
  <c r="X2772" i="1"/>
  <c r="X2773" i="1"/>
  <c r="X2774" i="1"/>
  <c r="X2775" i="1"/>
  <c r="X2776" i="1"/>
  <c r="X2777" i="1"/>
  <c r="X2778" i="1"/>
  <c r="X2779" i="1"/>
  <c r="X2780" i="1"/>
  <c r="X2781" i="1"/>
  <c r="X2782" i="1"/>
  <c r="X2783" i="1"/>
  <c r="X2784" i="1"/>
  <c r="X2785" i="1"/>
  <c r="X2786" i="1"/>
  <c r="X2787" i="1"/>
  <c r="X2788" i="1"/>
  <c r="X2789" i="1"/>
  <c r="X2790" i="1"/>
  <c r="X2791" i="1"/>
  <c r="X2792" i="1"/>
  <c r="X2793" i="1"/>
  <c r="X2794" i="1"/>
  <c r="X2795" i="1"/>
  <c r="X2796" i="1"/>
  <c r="X2797" i="1"/>
  <c r="X2798" i="1"/>
  <c r="X2799" i="1"/>
  <c r="X2800" i="1"/>
  <c r="X2801" i="1"/>
  <c r="X2802" i="1"/>
  <c r="X2803" i="1"/>
  <c r="X2804" i="1"/>
  <c r="X2805" i="1"/>
  <c r="X2806" i="1"/>
  <c r="X2807" i="1"/>
  <c r="X2808" i="1"/>
  <c r="X2809" i="1"/>
  <c r="X2810" i="1"/>
  <c r="X2811" i="1"/>
  <c r="X2812" i="1"/>
  <c r="X2813" i="1"/>
  <c r="X2814" i="1"/>
  <c r="X2815" i="1"/>
  <c r="X2816" i="1"/>
  <c r="X2817" i="1"/>
  <c r="X2818" i="1"/>
  <c r="X2819" i="1"/>
  <c r="X2820" i="1"/>
  <c r="X2821" i="1"/>
  <c r="X2822" i="1"/>
  <c r="X2823" i="1"/>
  <c r="X2824" i="1"/>
  <c r="X2825" i="1"/>
  <c r="X2826" i="1"/>
  <c r="X2827" i="1"/>
  <c r="X2828" i="1"/>
  <c r="X2829" i="1"/>
  <c r="X2830" i="1"/>
  <c r="X2831" i="1"/>
  <c r="X2832" i="1"/>
  <c r="X2833" i="1"/>
  <c r="X2834" i="1"/>
  <c r="X2835" i="1"/>
  <c r="X2836" i="1"/>
  <c r="X2837" i="1"/>
  <c r="X2838" i="1"/>
  <c r="X2839" i="1"/>
  <c r="X2840" i="1"/>
  <c r="X2841" i="1"/>
  <c r="X2842" i="1"/>
  <c r="X2843" i="1"/>
  <c r="X2844" i="1"/>
  <c r="X2845" i="1"/>
  <c r="X2846" i="1"/>
  <c r="X2847" i="1"/>
  <c r="X2848" i="1"/>
  <c r="X2849" i="1"/>
  <c r="X2850" i="1"/>
  <c r="X2851" i="1"/>
  <c r="X2852" i="1"/>
  <c r="X2853" i="1"/>
  <c r="X2854" i="1"/>
  <c r="X2855" i="1"/>
  <c r="X2856" i="1"/>
  <c r="X2857" i="1"/>
  <c r="X2858" i="1"/>
  <c r="X2859" i="1"/>
  <c r="X2860" i="1"/>
  <c r="X2861" i="1"/>
  <c r="X2862" i="1"/>
  <c r="X2863" i="1"/>
  <c r="X2864" i="1"/>
  <c r="X2865" i="1"/>
  <c r="X2866" i="1"/>
  <c r="X2867" i="1"/>
  <c r="X2868" i="1"/>
  <c r="X2869" i="1"/>
  <c r="X2870" i="1"/>
  <c r="X2871" i="1"/>
  <c r="X2872" i="1"/>
  <c r="X2873" i="1"/>
  <c r="X2874" i="1"/>
  <c r="X2875" i="1"/>
  <c r="X2876" i="1"/>
  <c r="X2877" i="1"/>
  <c r="X2878" i="1"/>
  <c r="X2879" i="1"/>
  <c r="X2880" i="1"/>
  <c r="X2881" i="1"/>
  <c r="X2882" i="1"/>
  <c r="X2883" i="1"/>
  <c r="X2884" i="1"/>
  <c r="X2885" i="1"/>
  <c r="X2886" i="1"/>
  <c r="X2887" i="1"/>
  <c r="X2888" i="1"/>
  <c r="X2889" i="1"/>
  <c r="X2890" i="1"/>
  <c r="X2891" i="1"/>
  <c r="X2892" i="1"/>
  <c r="X2893" i="1"/>
  <c r="X2894" i="1"/>
  <c r="X2895" i="1"/>
  <c r="X2896" i="1"/>
  <c r="X2897" i="1"/>
  <c r="X2898" i="1"/>
  <c r="X2899" i="1"/>
  <c r="X2900" i="1"/>
  <c r="X2901" i="1"/>
  <c r="X2902" i="1"/>
  <c r="X2903" i="1"/>
  <c r="X2904" i="1"/>
  <c r="X2905" i="1"/>
  <c r="X2906" i="1"/>
  <c r="X2907" i="1"/>
  <c r="X2908" i="1"/>
  <c r="X2909" i="1"/>
  <c r="X2910" i="1"/>
  <c r="X2911" i="1"/>
  <c r="X2912" i="1"/>
  <c r="X2913" i="1"/>
  <c r="X2914" i="1"/>
  <c r="X2915" i="1"/>
  <c r="X2916" i="1"/>
  <c r="X2917" i="1"/>
  <c r="X2918" i="1"/>
  <c r="X2919" i="1"/>
  <c r="X2920" i="1"/>
  <c r="X2921" i="1"/>
  <c r="X2922" i="1"/>
  <c r="X2923" i="1"/>
  <c r="X2924" i="1"/>
  <c r="X2925" i="1"/>
  <c r="X2926" i="1"/>
  <c r="X2927" i="1"/>
  <c r="X2928" i="1"/>
  <c r="X2929" i="1"/>
  <c r="X2930" i="1"/>
  <c r="X2931" i="1"/>
  <c r="X2932" i="1"/>
  <c r="X2933" i="1"/>
  <c r="X2934" i="1"/>
  <c r="X2935" i="1"/>
  <c r="X2936" i="1"/>
  <c r="X2937" i="1"/>
  <c r="X2938" i="1"/>
  <c r="X2939" i="1"/>
  <c r="X2940" i="1"/>
  <c r="X2941" i="1"/>
  <c r="X2942" i="1"/>
  <c r="X2943" i="1"/>
  <c r="X2944" i="1"/>
  <c r="X2945" i="1"/>
  <c r="X2946" i="1"/>
  <c r="X2947" i="1"/>
  <c r="X2948" i="1"/>
  <c r="X2949" i="1"/>
  <c r="X2950" i="1"/>
  <c r="X2951" i="1"/>
  <c r="X2952" i="1"/>
  <c r="X2953" i="1"/>
  <c r="X2954" i="1"/>
  <c r="X2955" i="1"/>
  <c r="X2956" i="1"/>
  <c r="X2957" i="1"/>
  <c r="X2958" i="1"/>
  <c r="X2959" i="1"/>
  <c r="X2960" i="1"/>
  <c r="X2961" i="1"/>
  <c r="X2962" i="1"/>
  <c r="X2963" i="1"/>
  <c r="X2964" i="1"/>
  <c r="X2965" i="1"/>
  <c r="X2966" i="1"/>
  <c r="X2967" i="1"/>
  <c r="X2968" i="1"/>
  <c r="X2969" i="1"/>
  <c r="X2970" i="1"/>
  <c r="X2971" i="1"/>
  <c r="X2972" i="1"/>
  <c r="X2973" i="1"/>
  <c r="X2974" i="1"/>
  <c r="X2975" i="1"/>
  <c r="X2976" i="1"/>
  <c r="X2977" i="1"/>
  <c r="X2978" i="1"/>
  <c r="X2979" i="1"/>
  <c r="X2980" i="1"/>
  <c r="X2981" i="1"/>
  <c r="X2982" i="1"/>
  <c r="X2983" i="1"/>
  <c r="X2984" i="1"/>
  <c r="X2985" i="1"/>
  <c r="X2986" i="1"/>
  <c r="X2987" i="1"/>
  <c r="X2988" i="1"/>
  <c r="X2989" i="1"/>
  <c r="X2990" i="1"/>
  <c r="X2991" i="1"/>
  <c r="X2992" i="1"/>
  <c r="X2993" i="1"/>
  <c r="X2994" i="1"/>
  <c r="X2995" i="1"/>
  <c r="X2996" i="1"/>
  <c r="X2997" i="1"/>
  <c r="X2998" i="1"/>
  <c r="X2999" i="1"/>
  <c r="X3000" i="1"/>
  <c r="X3001" i="1"/>
  <c r="X3002" i="1"/>
  <c r="X3003" i="1"/>
  <c r="X3004" i="1"/>
  <c r="X3005" i="1"/>
  <c r="X3006" i="1"/>
  <c r="X3007" i="1"/>
  <c r="X3008" i="1"/>
  <c r="X3009" i="1"/>
  <c r="X3010" i="1"/>
  <c r="X3011" i="1"/>
  <c r="X3012" i="1"/>
  <c r="X3013" i="1"/>
  <c r="X3014" i="1"/>
  <c r="X3015" i="1"/>
  <c r="X3016" i="1"/>
  <c r="X3017" i="1"/>
  <c r="X3018" i="1"/>
  <c r="X3019" i="1"/>
  <c r="X3020" i="1"/>
  <c r="X3021" i="1"/>
  <c r="X3022" i="1"/>
  <c r="X3023" i="1"/>
  <c r="X3024" i="1"/>
  <c r="X3025" i="1"/>
  <c r="X3026" i="1"/>
  <c r="X3027" i="1"/>
  <c r="X3028" i="1"/>
  <c r="X3029" i="1"/>
  <c r="X3030" i="1"/>
  <c r="X3031" i="1"/>
  <c r="X3032" i="1"/>
  <c r="X3033" i="1"/>
  <c r="X3034" i="1"/>
  <c r="X3035" i="1"/>
  <c r="X3036" i="1"/>
  <c r="X3037" i="1"/>
  <c r="X3038" i="1"/>
  <c r="X3039" i="1"/>
  <c r="X3040" i="1"/>
  <c r="X3041" i="1"/>
  <c r="X3042" i="1"/>
  <c r="X3043" i="1"/>
  <c r="X3044" i="1"/>
  <c r="X3045" i="1"/>
  <c r="X3046" i="1"/>
  <c r="X3047" i="1"/>
  <c r="X3048" i="1"/>
  <c r="X3049" i="1"/>
  <c r="X3050" i="1"/>
  <c r="X3051" i="1"/>
  <c r="X3052" i="1"/>
  <c r="X3053" i="1"/>
  <c r="X3054" i="1"/>
  <c r="X3055" i="1"/>
  <c r="X3056" i="1"/>
  <c r="X3057" i="1"/>
  <c r="X3058" i="1"/>
  <c r="X3059" i="1"/>
  <c r="X3060" i="1"/>
  <c r="X3061" i="1"/>
  <c r="X3062" i="1"/>
  <c r="X3063" i="1"/>
  <c r="X3064" i="1"/>
  <c r="X3065" i="1"/>
  <c r="X3066" i="1"/>
  <c r="X3067" i="1"/>
  <c r="X3068" i="1"/>
  <c r="X3069" i="1"/>
  <c r="X3070" i="1"/>
  <c r="X3071" i="1"/>
  <c r="X3072" i="1"/>
  <c r="X3073" i="1"/>
  <c r="X3074" i="1"/>
  <c r="X3075" i="1"/>
  <c r="X3076" i="1"/>
  <c r="X3077" i="1"/>
  <c r="X3078" i="1"/>
  <c r="X3079" i="1"/>
  <c r="X3080" i="1"/>
  <c r="X3081" i="1"/>
  <c r="X3082" i="1"/>
  <c r="X3083" i="1"/>
  <c r="X3084" i="1"/>
  <c r="X3085" i="1"/>
  <c r="X3086" i="1"/>
  <c r="X3087" i="1"/>
  <c r="X3088" i="1"/>
  <c r="X3089" i="1"/>
  <c r="X3090" i="1"/>
  <c r="X3091" i="1"/>
  <c r="W2455" i="1"/>
  <c r="W2456" i="1"/>
  <c r="W2457" i="1"/>
  <c r="W2458" i="1"/>
  <c r="W2459" i="1"/>
  <c r="W2460" i="1"/>
  <c r="W2461" i="1"/>
  <c r="W2462" i="1"/>
  <c r="W2463" i="1"/>
  <c r="W2464" i="1"/>
  <c r="W2465" i="1"/>
  <c r="W2466" i="1"/>
  <c r="W2467" i="1"/>
  <c r="W2468" i="1"/>
  <c r="W2469" i="1"/>
  <c r="W2470" i="1"/>
  <c r="W2471" i="1"/>
  <c r="W2472" i="1"/>
  <c r="W2473" i="1"/>
  <c r="W2474" i="1"/>
  <c r="W2475" i="1"/>
  <c r="W2476" i="1"/>
  <c r="W2477" i="1"/>
  <c r="W2478" i="1"/>
  <c r="W2479" i="1"/>
  <c r="W2480" i="1"/>
  <c r="W2481" i="1"/>
  <c r="W2482" i="1"/>
  <c r="W2483" i="1"/>
  <c r="W2484" i="1"/>
  <c r="W2485" i="1"/>
  <c r="W2486" i="1"/>
  <c r="W2487" i="1"/>
  <c r="W2488" i="1"/>
  <c r="W2489" i="1"/>
  <c r="W2490" i="1"/>
  <c r="W2491" i="1"/>
  <c r="W2492" i="1"/>
  <c r="W2493" i="1"/>
  <c r="W2494" i="1"/>
  <c r="W2495" i="1"/>
  <c r="W2496" i="1"/>
  <c r="W2497" i="1"/>
  <c r="W2498" i="1"/>
  <c r="W2499" i="1"/>
  <c r="W2500" i="1"/>
  <c r="W2501" i="1"/>
  <c r="W2502" i="1"/>
  <c r="W2503" i="1"/>
  <c r="W2504" i="1"/>
  <c r="W2505" i="1"/>
  <c r="W2506" i="1"/>
  <c r="W2507" i="1"/>
  <c r="W2508" i="1"/>
  <c r="W2509" i="1"/>
  <c r="W2510" i="1"/>
  <c r="W2511" i="1"/>
  <c r="W2512" i="1"/>
  <c r="W2513" i="1"/>
  <c r="W2514" i="1"/>
  <c r="W2515" i="1"/>
  <c r="W2516" i="1"/>
  <c r="W2517" i="1"/>
  <c r="W2518" i="1"/>
  <c r="W2519" i="1"/>
  <c r="W2520" i="1"/>
  <c r="W2521" i="1"/>
  <c r="W2522" i="1"/>
  <c r="W2523" i="1"/>
  <c r="W2524" i="1"/>
  <c r="W2525" i="1"/>
  <c r="W2526" i="1"/>
  <c r="W2527" i="1"/>
  <c r="W2528" i="1"/>
  <c r="W2529" i="1"/>
  <c r="W2530" i="1"/>
  <c r="W2531" i="1"/>
  <c r="W2532" i="1"/>
  <c r="W2533" i="1"/>
  <c r="W2534" i="1"/>
  <c r="W2535" i="1"/>
  <c r="W2536" i="1"/>
  <c r="W2537" i="1"/>
  <c r="W2538" i="1"/>
  <c r="W2539" i="1"/>
  <c r="W2540" i="1"/>
  <c r="W2541" i="1"/>
  <c r="W2542" i="1"/>
  <c r="W2543" i="1"/>
  <c r="W2544" i="1"/>
  <c r="W2545" i="1"/>
  <c r="W2546" i="1"/>
  <c r="W2547" i="1"/>
  <c r="W2548" i="1"/>
  <c r="W2549" i="1"/>
  <c r="W2550" i="1"/>
  <c r="W2551" i="1"/>
  <c r="W2552" i="1"/>
  <c r="W2553" i="1"/>
  <c r="W2554" i="1"/>
  <c r="W2555" i="1"/>
  <c r="W2556" i="1"/>
  <c r="W2557" i="1"/>
  <c r="W2558" i="1"/>
  <c r="W2559" i="1"/>
  <c r="W2560" i="1"/>
  <c r="W2561" i="1"/>
  <c r="W2562" i="1"/>
  <c r="W2563" i="1"/>
  <c r="W2564" i="1"/>
  <c r="W2565" i="1"/>
  <c r="W2566" i="1"/>
  <c r="W2567" i="1"/>
  <c r="W2568" i="1"/>
  <c r="W2569" i="1"/>
  <c r="W2570" i="1"/>
  <c r="W2571" i="1"/>
  <c r="W2572" i="1"/>
  <c r="W2573" i="1"/>
  <c r="W2574" i="1"/>
  <c r="W2575" i="1"/>
  <c r="W2576" i="1"/>
  <c r="W2577" i="1"/>
  <c r="W2578" i="1"/>
  <c r="W2579" i="1"/>
  <c r="W2580" i="1"/>
  <c r="W2581" i="1"/>
  <c r="W2582" i="1"/>
  <c r="W2583" i="1"/>
  <c r="W2584" i="1"/>
  <c r="W2585" i="1"/>
  <c r="W2586" i="1"/>
  <c r="W2587" i="1"/>
  <c r="W2588" i="1"/>
  <c r="W2589" i="1"/>
  <c r="W2590" i="1"/>
  <c r="W2591" i="1"/>
  <c r="W2592" i="1"/>
  <c r="W2593" i="1"/>
  <c r="W2594" i="1"/>
  <c r="W2595" i="1"/>
  <c r="W2596" i="1"/>
  <c r="W2597" i="1"/>
  <c r="W2598" i="1"/>
  <c r="W2599" i="1"/>
  <c r="W2600" i="1"/>
  <c r="W2601" i="1"/>
  <c r="W2602" i="1"/>
  <c r="W2603" i="1"/>
  <c r="W2604" i="1"/>
  <c r="W2605" i="1"/>
  <c r="W2606" i="1"/>
  <c r="W2607" i="1"/>
  <c r="W2608" i="1"/>
  <c r="W2609" i="1"/>
  <c r="W2610" i="1"/>
  <c r="W2611" i="1"/>
  <c r="W2612" i="1"/>
  <c r="W2613" i="1"/>
  <c r="W2614" i="1"/>
  <c r="W2615" i="1"/>
  <c r="W2616" i="1"/>
  <c r="W2617" i="1"/>
  <c r="W2618" i="1"/>
  <c r="W2619" i="1"/>
  <c r="W2620" i="1"/>
  <c r="W2621" i="1"/>
  <c r="W2622" i="1"/>
  <c r="W2623" i="1"/>
  <c r="W2624" i="1"/>
  <c r="W2625" i="1"/>
  <c r="W2626" i="1"/>
  <c r="W2627" i="1"/>
  <c r="W2628" i="1"/>
  <c r="W2629" i="1"/>
  <c r="W2630" i="1"/>
  <c r="W2631" i="1"/>
  <c r="W2632" i="1"/>
  <c r="W2633" i="1"/>
  <c r="W2634" i="1"/>
  <c r="W2635" i="1"/>
  <c r="W2636" i="1"/>
  <c r="W2637" i="1"/>
  <c r="W2638" i="1"/>
  <c r="W2639" i="1"/>
  <c r="W2640" i="1"/>
  <c r="W2641" i="1"/>
  <c r="W2642" i="1"/>
  <c r="W2643" i="1"/>
  <c r="W2644" i="1"/>
  <c r="W2645" i="1"/>
  <c r="W2646" i="1"/>
  <c r="W2647" i="1"/>
  <c r="W2648" i="1"/>
  <c r="W2649" i="1"/>
  <c r="W2650" i="1"/>
  <c r="W2651" i="1"/>
  <c r="W2652" i="1"/>
  <c r="W2653" i="1"/>
  <c r="W2654" i="1"/>
  <c r="W2655" i="1"/>
  <c r="W2656" i="1"/>
  <c r="W2657" i="1"/>
  <c r="W2658" i="1"/>
  <c r="W2659" i="1"/>
  <c r="W2660" i="1"/>
  <c r="W2661" i="1"/>
  <c r="W2662" i="1"/>
  <c r="W2663" i="1"/>
  <c r="W2664" i="1"/>
  <c r="W2665" i="1"/>
  <c r="W2666" i="1"/>
  <c r="W2667" i="1"/>
  <c r="W2668" i="1"/>
  <c r="W2669" i="1"/>
  <c r="W2670" i="1"/>
  <c r="W2671" i="1"/>
  <c r="W2672" i="1"/>
  <c r="W2673" i="1"/>
  <c r="W2674" i="1"/>
  <c r="W2675" i="1"/>
  <c r="W2676" i="1"/>
  <c r="W2677" i="1"/>
  <c r="W2678" i="1"/>
  <c r="W2679" i="1"/>
  <c r="W2680" i="1"/>
  <c r="W2681" i="1"/>
  <c r="W2682" i="1"/>
  <c r="W2683" i="1"/>
  <c r="W2684" i="1"/>
  <c r="W2685" i="1"/>
  <c r="W2686" i="1"/>
  <c r="W2687" i="1"/>
  <c r="W2688" i="1"/>
  <c r="W2689" i="1"/>
  <c r="W2690" i="1"/>
  <c r="W2691" i="1"/>
  <c r="W2692" i="1"/>
  <c r="W2693" i="1"/>
  <c r="W2694" i="1"/>
  <c r="W2695" i="1"/>
  <c r="W2696" i="1"/>
  <c r="W2697" i="1"/>
  <c r="W2698" i="1"/>
  <c r="W2699" i="1"/>
  <c r="W2700" i="1"/>
  <c r="W2701" i="1"/>
  <c r="W2702" i="1"/>
  <c r="W2703" i="1"/>
  <c r="W2704" i="1"/>
  <c r="W2705" i="1"/>
  <c r="W2706" i="1"/>
  <c r="W2707" i="1"/>
  <c r="W2708" i="1"/>
  <c r="W2709" i="1"/>
  <c r="W2710" i="1"/>
  <c r="W2711" i="1"/>
  <c r="W2712" i="1"/>
  <c r="W2713" i="1"/>
  <c r="W2714" i="1"/>
  <c r="W2715" i="1"/>
  <c r="W2716" i="1"/>
  <c r="W2717" i="1"/>
  <c r="W2718" i="1"/>
  <c r="W2719" i="1"/>
  <c r="W2720" i="1"/>
  <c r="W2721" i="1"/>
  <c r="W2722" i="1"/>
  <c r="W2723" i="1"/>
  <c r="W2724" i="1"/>
  <c r="W2725" i="1"/>
  <c r="W2726" i="1"/>
  <c r="W2727" i="1"/>
  <c r="W2728" i="1"/>
  <c r="W2729" i="1"/>
  <c r="W2730" i="1"/>
  <c r="W2731" i="1"/>
  <c r="W2732" i="1"/>
  <c r="W2733" i="1"/>
  <c r="W2734" i="1"/>
  <c r="W2735" i="1"/>
  <c r="W2736" i="1"/>
  <c r="W2737" i="1"/>
  <c r="W2738" i="1"/>
  <c r="W2739" i="1"/>
  <c r="W2740" i="1"/>
  <c r="W2741" i="1"/>
  <c r="W2742" i="1"/>
  <c r="W2743" i="1"/>
  <c r="W2744" i="1"/>
  <c r="W2745" i="1"/>
  <c r="W2746" i="1"/>
  <c r="W2747" i="1"/>
  <c r="W2748" i="1"/>
  <c r="W2749" i="1"/>
  <c r="W2750" i="1"/>
  <c r="W2751" i="1"/>
  <c r="W2752" i="1"/>
  <c r="W2753" i="1"/>
  <c r="W2754" i="1"/>
  <c r="W2755" i="1"/>
  <c r="W2756" i="1"/>
  <c r="W2757" i="1"/>
  <c r="W2758" i="1"/>
  <c r="W2759" i="1"/>
  <c r="W2760" i="1"/>
  <c r="W2761" i="1"/>
  <c r="W2762" i="1"/>
  <c r="W2763" i="1"/>
  <c r="W2764" i="1"/>
  <c r="W2765" i="1"/>
  <c r="W2766" i="1"/>
  <c r="W2767" i="1"/>
  <c r="W2768" i="1"/>
  <c r="W2769" i="1"/>
  <c r="W2770" i="1"/>
  <c r="W2771" i="1"/>
  <c r="W2772" i="1"/>
  <c r="W2773" i="1"/>
  <c r="W2774" i="1"/>
  <c r="W2775" i="1"/>
  <c r="W2776" i="1"/>
  <c r="W2777" i="1"/>
  <c r="W2778" i="1"/>
  <c r="W2779" i="1"/>
  <c r="W2780" i="1"/>
  <c r="W2781" i="1"/>
  <c r="W2782" i="1"/>
  <c r="W2783" i="1"/>
  <c r="W2784" i="1"/>
  <c r="W2785" i="1"/>
  <c r="W2786" i="1"/>
  <c r="W2787" i="1"/>
  <c r="W2788" i="1"/>
  <c r="W2789" i="1"/>
  <c r="W2790" i="1"/>
  <c r="W2791" i="1"/>
  <c r="W2792" i="1"/>
  <c r="W2793" i="1"/>
  <c r="W2794" i="1"/>
  <c r="W2795" i="1"/>
  <c r="W2796" i="1"/>
  <c r="W2797" i="1"/>
  <c r="W2798" i="1"/>
  <c r="W2799" i="1"/>
  <c r="W2800" i="1"/>
  <c r="W2801" i="1"/>
  <c r="W2802" i="1"/>
  <c r="W2803" i="1"/>
  <c r="W2804" i="1"/>
  <c r="W2805" i="1"/>
  <c r="W2806" i="1"/>
  <c r="W2807" i="1"/>
  <c r="W2808" i="1"/>
  <c r="W2809" i="1"/>
  <c r="W2810" i="1"/>
  <c r="W2811" i="1"/>
  <c r="W2812" i="1"/>
  <c r="W2813" i="1"/>
  <c r="W2814" i="1"/>
  <c r="W2815" i="1"/>
  <c r="W2816" i="1"/>
  <c r="W2817" i="1"/>
  <c r="W2818" i="1"/>
  <c r="W2819" i="1"/>
  <c r="W2820" i="1"/>
  <c r="W2821" i="1"/>
  <c r="W2822" i="1"/>
  <c r="W2823" i="1"/>
  <c r="W2824" i="1"/>
  <c r="W2825" i="1"/>
  <c r="W2826" i="1"/>
  <c r="W2827" i="1"/>
  <c r="W2828" i="1"/>
  <c r="W2829" i="1"/>
  <c r="W2830" i="1"/>
  <c r="W2831" i="1"/>
  <c r="W2832" i="1"/>
  <c r="W2833" i="1"/>
  <c r="W2834" i="1"/>
  <c r="W2835" i="1"/>
  <c r="W2836" i="1"/>
  <c r="W2837" i="1"/>
  <c r="W2838" i="1"/>
  <c r="W2839" i="1"/>
  <c r="W2840" i="1"/>
  <c r="W2841" i="1"/>
  <c r="W2842" i="1"/>
  <c r="W2843" i="1"/>
  <c r="W2844" i="1"/>
  <c r="W2845" i="1"/>
  <c r="W2846" i="1"/>
  <c r="W2847" i="1"/>
  <c r="W2848" i="1"/>
  <c r="W2849" i="1"/>
  <c r="W2850" i="1"/>
  <c r="W2851" i="1"/>
  <c r="W2852" i="1"/>
  <c r="W2853" i="1"/>
  <c r="W2854" i="1"/>
  <c r="W2855" i="1"/>
  <c r="W2856" i="1"/>
  <c r="W2857" i="1"/>
  <c r="W2858" i="1"/>
  <c r="W2859" i="1"/>
  <c r="W2860" i="1"/>
  <c r="W2861" i="1"/>
  <c r="W2862" i="1"/>
  <c r="W2863" i="1"/>
  <c r="W2864" i="1"/>
  <c r="W2865" i="1"/>
  <c r="W2866" i="1"/>
  <c r="W2867" i="1"/>
  <c r="W2868" i="1"/>
  <c r="W2869" i="1"/>
  <c r="W2870" i="1"/>
  <c r="W2871" i="1"/>
  <c r="W2872" i="1"/>
  <c r="W2873" i="1"/>
  <c r="W2874" i="1"/>
  <c r="W2875" i="1"/>
  <c r="W2876" i="1"/>
  <c r="W2877" i="1"/>
  <c r="W2878" i="1"/>
  <c r="W2879" i="1"/>
  <c r="W2880" i="1"/>
  <c r="W2881" i="1"/>
  <c r="W2882" i="1"/>
  <c r="W2883" i="1"/>
  <c r="W2884" i="1"/>
  <c r="W2885" i="1"/>
  <c r="W2886" i="1"/>
  <c r="W2887" i="1"/>
  <c r="W2888" i="1"/>
  <c r="W2889" i="1"/>
  <c r="W2890" i="1"/>
  <c r="W2891" i="1"/>
  <c r="W2892" i="1"/>
  <c r="W2893" i="1"/>
  <c r="W2894" i="1"/>
  <c r="W2895" i="1"/>
  <c r="W2896" i="1"/>
  <c r="W2897" i="1"/>
  <c r="W2898" i="1"/>
  <c r="W2899" i="1"/>
  <c r="W2900" i="1"/>
  <c r="W2901" i="1"/>
  <c r="W2902" i="1"/>
  <c r="W2903" i="1"/>
  <c r="W2904" i="1"/>
  <c r="W2905" i="1"/>
  <c r="W2906" i="1"/>
  <c r="W2907" i="1"/>
  <c r="W2908" i="1"/>
  <c r="W2909" i="1"/>
  <c r="W2910" i="1"/>
  <c r="W2911" i="1"/>
  <c r="W2912" i="1"/>
  <c r="W2913" i="1"/>
  <c r="W2914" i="1"/>
  <c r="W2915" i="1"/>
  <c r="W2916" i="1"/>
  <c r="W2917" i="1"/>
  <c r="W2918" i="1"/>
  <c r="W2919" i="1"/>
  <c r="W2920" i="1"/>
  <c r="W2921" i="1"/>
  <c r="W2922" i="1"/>
  <c r="W2923" i="1"/>
  <c r="W2924" i="1"/>
  <c r="W2925" i="1"/>
  <c r="W2926" i="1"/>
  <c r="W2927" i="1"/>
  <c r="W2928" i="1"/>
  <c r="W2929" i="1"/>
  <c r="W2930" i="1"/>
  <c r="W2931" i="1"/>
  <c r="W2932" i="1"/>
  <c r="W2933" i="1"/>
  <c r="W2934" i="1"/>
  <c r="W2935" i="1"/>
  <c r="W2936" i="1"/>
  <c r="W2937" i="1"/>
  <c r="W2938" i="1"/>
  <c r="W2939" i="1"/>
  <c r="W2940" i="1"/>
  <c r="W2941" i="1"/>
  <c r="W2942" i="1"/>
  <c r="W2943" i="1"/>
  <c r="W2944" i="1"/>
  <c r="W2945" i="1"/>
  <c r="W2946" i="1"/>
  <c r="W2947" i="1"/>
  <c r="W2948" i="1"/>
  <c r="W2949" i="1"/>
  <c r="W2950" i="1"/>
  <c r="W2951" i="1"/>
  <c r="W2952" i="1"/>
  <c r="W2953" i="1"/>
  <c r="W2954" i="1"/>
  <c r="W2955" i="1"/>
  <c r="W2956" i="1"/>
  <c r="W2957" i="1"/>
  <c r="W2958" i="1"/>
  <c r="W2959" i="1"/>
  <c r="W2960" i="1"/>
  <c r="W2961" i="1"/>
  <c r="W2962" i="1"/>
  <c r="W2963" i="1"/>
  <c r="W2964" i="1"/>
  <c r="W2965" i="1"/>
  <c r="W2966" i="1"/>
  <c r="W2967" i="1"/>
  <c r="W2968" i="1"/>
  <c r="W2969" i="1"/>
  <c r="W2970" i="1"/>
  <c r="W2971" i="1"/>
  <c r="W2972" i="1"/>
  <c r="W2973" i="1"/>
  <c r="W2974" i="1"/>
  <c r="W2975" i="1"/>
  <c r="W2976" i="1"/>
  <c r="W2977" i="1"/>
  <c r="W2978" i="1"/>
  <c r="W2979" i="1"/>
  <c r="W2980" i="1"/>
  <c r="W2981" i="1"/>
  <c r="W2982" i="1"/>
  <c r="W2983" i="1"/>
  <c r="W2984" i="1"/>
  <c r="W2985" i="1"/>
  <c r="W2986" i="1"/>
  <c r="W2987" i="1"/>
  <c r="W2988" i="1"/>
  <c r="W2989" i="1"/>
  <c r="W2990" i="1"/>
  <c r="W2991" i="1"/>
  <c r="W2992" i="1"/>
  <c r="W2993" i="1"/>
  <c r="W2994" i="1"/>
  <c r="W2995" i="1"/>
  <c r="W2996" i="1"/>
  <c r="W2997" i="1"/>
  <c r="W2998" i="1"/>
  <c r="W2999" i="1"/>
  <c r="W3000" i="1"/>
  <c r="W3001" i="1"/>
  <c r="W3002" i="1"/>
  <c r="W3003" i="1"/>
  <c r="W3004" i="1"/>
  <c r="W3005" i="1"/>
  <c r="W3006" i="1"/>
  <c r="W3007" i="1"/>
  <c r="W3008" i="1"/>
  <c r="W3009" i="1"/>
  <c r="W3010" i="1"/>
  <c r="W3011" i="1"/>
  <c r="W3012" i="1"/>
  <c r="W3013" i="1"/>
  <c r="W3014" i="1"/>
  <c r="W3015" i="1"/>
  <c r="W3016" i="1"/>
  <c r="W3017" i="1"/>
  <c r="W3018" i="1"/>
  <c r="W3019" i="1"/>
  <c r="W3020" i="1"/>
  <c r="W3021" i="1"/>
  <c r="W3022" i="1"/>
  <c r="W3023" i="1"/>
  <c r="W3024" i="1"/>
  <c r="W3025" i="1"/>
  <c r="W3026" i="1"/>
  <c r="W3027" i="1"/>
  <c r="W3028" i="1"/>
  <c r="W3029" i="1"/>
  <c r="W3030" i="1"/>
  <c r="W3031" i="1"/>
  <c r="W3032" i="1"/>
  <c r="W3033" i="1"/>
  <c r="W3034" i="1"/>
  <c r="W3035" i="1"/>
  <c r="W3036" i="1"/>
  <c r="W3037" i="1"/>
  <c r="W3038" i="1"/>
  <c r="W3039" i="1"/>
  <c r="W3040" i="1"/>
  <c r="W3041" i="1"/>
  <c r="W3042" i="1"/>
  <c r="W3043" i="1"/>
  <c r="W3044" i="1"/>
  <c r="W3045" i="1"/>
  <c r="W3046" i="1"/>
  <c r="W3047" i="1"/>
  <c r="W3048" i="1"/>
  <c r="W3049" i="1"/>
  <c r="W3050" i="1"/>
  <c r="W3051" i="1"/>
  <c r="W3052" i="1"/>
  <c r="W3053" i="1"/>
  <c r="W3054" i="1"/>
  <c r="W3055" i="1"/>
  <c r="W3056" i="1"/>
  <c r="W3057" i="1"/>
  <c r="W3058" i="1"/>
  <c r="W3059" i="1"/>
  <c r="W3060" i="1"/>
  <c r="W3061" i="1"/>
  <c r="W3062" i="1"/>
  <c r="W3063" i="1"/>
  <c r="W3064" i="1"/>
  <c r="W3065" i="1"/>
  <c r="W3066" i="1"/>
  <c r="W3067" i="1"/>
  <c r="W3068" i="1"/>
  <c r="W3069" i="1"/>
  <c r="W3070" i="1"/>
  <c r="W3071" i="1"/>
  <c r="W3072" i="1"/>
  <c r="W3073" i="1"/>
  <c r="W3074" i="1"/>
  <c r="W3075" i="1"/>
  <c r="W3076" i="1"/>
  <c r="W3077" i="1"/>
  <c r="W3078" i="1"/>
  <c r="W3079" i="1"/>
  <c r="W3080" i="1"/>
  <c r="W3081" i="1"/>
  <c r="W3082" i="1"/>
  <c r="W3083" i="1"/>
  <c r="W3084" i="1"/>
  <c r="W3085" i="1"/>
  <c r="W3086" i="1"/>
  <c r="W3087" i="1"/>
  <c r="W3088" i="1"/>
  <c r="W3089" i="1"/>
  <c r="W3090" i="1"/>
  <c r="W3091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748" i="1" l="1"/>
  <c r="H749" i="1"/>
  <c r="H750" i="1"/>
  <c r="H751" i="1"/>
  <c r="H752" i="1"/>
  <c r="H753" i="1"/>
  <c r="H754" i="1"/>
  <c r="H755" i="1"/>
  <c r="H756" i="1"/>
  <c r="H757" i="1"/>
  <c r="H758" i="1"/>
  <c r="H759" i="1"/>
  <c r="H760" i="1"/>
  <c r="H761" i="1"/>
  <c r="H762" i="1"/>
  <c r="H763" i="1"/>
  <c r="H998" i="1"/>
  <c r="H1106" i="1"/>
  <c r="H1107" i="1"/>
  <c r="H1108" i="1"/>
  <c r="H1461" i="1"/>
  <c r="H1462" i="1"/>
  <c r="H1463" i="1"/>
  <c r="H1464" i="1"/>
  <c r="H1465" i="1"/>
  <c r="H2120" i="1"/>
  <c r="H2121" i="1"/>
  <c r="H2279" i="1"/>
  <c r="H2384" i="1"/>
  <c r="H40" i="1"/>
  <c r="H764" i="1"/>
  <c r="H765" i="1"/>
  <c r="H766" i="1"/>
  <c r="H767" i="1"/>
  <c r="H1466" i="1"/>
  <c r="H1467" i="1"/>
  <c r="H1468" i="1"/>
  <c r="H1469" i="1"/>
  <c r="H1470" i="1"/>
  <c r="H1471" i="1"/>
  <c r="H1472" i="1"/>
  <c r="H1473" i="1"/>
  <c r="H1474" i="1"/>
  <c r="H1109" i="1"/>
  <c r="H1475" i="1"/>
  <c r="H1476" i="1"/>
  <c r="H1477" i="1"/>
  <c r="H1478" i="1"/>
  <c r="H999" i="1"/>
  <c r="H1000" i="1"/>
  <c r="H1001" i="1"/>
  <c r="H1002" i="1"/>
  <c r="H1003" i="1"/>
  <c r="H1004" i="1"/>
  <c r="H1005" i="1"/>
  <c r="H1585" i="1"/>
  <c r="H1586" i="1"/>
  <c r="H1587" i="1"/>
  <c r="H1588" i="1"/>
  <c r="H1589" i="1"/>
  <c r="H1590" i="1"/>
  <c r="H2122" i="1"/>
  <c r="H2123" i="1"/>
  <c r="H2124" i="1"/>
  <c r="H2125" i="1"/>
  <c r="H2126" i="1"/>
  <c r="H2" i="1"/>
  <c r="H3" i="1"/>
  <c r="H4" i="1"/>
  <c r="H5" i="1"/>
  <c r="H6" i="1"/>
  <c r="H207" i="1"/>
  <c r="H208" i="1"/>
  <c r="H209" i="1"/>
  <c r="H210" i="1"/>
  <c r="H211" i="1"/>
  <c r="H212" i="1"/>
  <c r="H213" i="1"/>
  <c r="H214" i="1"/>
  <c r="H215" i="1"/>
  <c r="H216" i="1"/>
  <c r="H217" i="1"/>
  <c r="H1252" i="1"/>
  <c r="H1253" i="1"/>
  <c r="H1254" i="1"/>
  <c r="H1255" i="1"/>
  <c r="H1256" i="1"/>
  <c r="H1257" i="1"/>
  <c r="H1258" i="1"/>
  <c r="H1259" i="1"/>
  <c r="H1260" i="1"/>
  <c r="H1261" i="1"/>
  <c r="H1262" i="1"/>
  <c r="H1263" i="1"/>
  <c r="H1264" i="1"/>
  <c r="H1265" i="1"/>
  <c r="H1266" i="1"/>
  <c r="H1267" i="1"/>
  <c r="H1268" i="1"/>
  <c r="H1269" i="1"/>
  <c r="H1690" i="1"/>
  <c r="H1691" i="1"/>
  <c r="H1692" i="1"/>
  <c r="H1693" i="1"/>
  <c r="H1694" i="1"/>
  <c r="H2127" i="1"/>
  <c r="H2128" i="1"/>
  <c r="H2129" i="1"/>
  <c r="H2130" i="1"/>
  <c r="H2131" i="1"/>
  <c r="H2132" i="1"/>
  <c r="H2133" i="1"/>
  <c r="H2134" i="1"/>
  <c r="H452" i="1"/>
  <c r="H453" i="1"/>
  <c r="H454" i="1"/>
  <c r="H455" i="1"/>
  <c r="H456" i="1"/>
  <c r="H549" i="1"/>
  <c r="H457" i="1"/>
  <c r="H458" i="1"/>
  <c r="H41" i="1"/>
  <c r="H42" i="1"/>
  <c r="H43" i="1"/>
  <c r="H44" i="1"/>
  <c r="H45" i="1"/>
  <c r="H46" i="1"/>
  <c r="H47" i="1"/>
  <c r="H48" i="1"/>
  <c r="H49" i="1"/>
  <c r="H50" i="1"/>
  <c r="H51" i="1"/>
  <c r="H683" i="1"/>
  <c r="H684" i="1"/>
  <c r="H685" i="1"/>
  <c r="H686" i="1"/>
  <c r="H687" i="1"/>
  <c r="H688" i="1"/>
  <c r="H689" i="1"/>
  <c r="H690" i="1"/>
  <c r="H691" i="1"/>
  <c r="H692" i="1"/>
  <c r="H693" i="1"/>
  <c r="H694" i="1"/>
  <c r="H695" i="1"/>
  <c r="H696" i="1"/>
  <c r="H697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006" i="1"/>
  <c r="H1007" i="1"/>
  <c r="H1008" i="1"/>
  <c r="H1009" i="1"/>
  <c r="H1010" i="1"/>
  <c r="H1011" i="1"/>
  <c r="H1012" i="1"/>
  <c r="H1013" i="1"/>
  <c r="H1014" i="1"/>
  <c r="H1015" i="1"/>
  <c r="H1016" i="1"/>
  <c r="H1017" i="1"/>
  <c r="H1018" i="1"/>
  <c r="H1110" i="1"/>
  <c r="H1111" i="1"/>
  <c r="H1112" i="1"/>
  <c r="H1113" i="1"/>
  <c r="H1114" i="1"/>
  <c r="H1368" i="1"/>
  <c r="H1369" i="1"/>
  <c r="H1370" i="1"/>
  <c r="H1371" i="1"/>
  <c r="H1372" i="1"/>
  <c r="H1373" i="1"/>
  <c r="H1374" i="1"/>
  <c r="H1375" i="1"/>
  <c r="H1376" i="1"/>
  <c r="H1377" i="1"/>
  <c r="H1591" i="1"/>
  <c r="H1592" i="1"/>
  <c r="H1593" i="1"/>
  <c r="H1594" i="1"/>
  <c r="H1595" i="1"/>
  <c r="H1596" i="1"/>
  <c r="H2135" i="1"/>
  <c r="H2136" i="1"/>
  <c r="H2137" i="1"/>
  <c r="H2138" i="1"/>
  <c r="H2139" i="1"/>
  <c r="H2140" i="1"/>
  <c r="H2141" i="1"/>
  <c r="H2142" i="1"/>
  <c r="H2143" i="1"/>
  <c r="H2144" i="1"/>
  <c r="H2145" i="1"/>
  <c r="H2280" i="1"/>
  <c r="H2281" i="1"/>
  <c r="H2282" i="1"/>
  <c r="H2283" i="1"/>
  <c r="H550" i="1"/>
  <c r="H551" i="1"/>
  <c r="H552" i="1"/>
  <c r="H768" i="1"/>
  <c r="H769" i="1"/>
  <c r="H770" i="1"/>
  <c r="H1479" i="1"/>
  <c r="H1480" i="1"/>
  <c r="H2385" i="1"/>
  <c r="H2386" i="1"/>
  <c r="H459" i="1"/>
  <c r="H460" i="1"/>
  <c r="H461" i="1"/>
  <c r="H462" i="1"/>
  <c r="H463" i="1"/>
  <c r="H464" i="1"/>
  <c r="H465" i="1"/>
  <c r="H466" i="1"/>
  <c r="H467" i="1"/>
  <c r="H468" i="1"/>
  <c r="H469" i="1"/>
  <c r="H470" i="1"/>
  <c r="H471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218" i="1"/>
  <c r="H219" i="1"/>
  <c r="H220" i="1"/>
  <c r="H221" i="1"/>
  <c r="H222" i="1"/>
  <c r="H472" i="1"/>
  <c r="H1270" i="1"/>
  <c r="H1271" i="1"/>
  <c r="H1272" i="1"/>
  <c r="H1273" i="1"/>
  <c r="H1274" i="1"/>
  <c r="H1597" i="1"/>
  <c r="H1598" i="1"/>
  <c r="H473" i="1"/>
  <c r="H474" i="1"/>
  <c r="H475" i="1"/>
  <c r="H2006" i="1"/>
  <c r="H223" i="1"/>
  <c r="H224" i="1"/>
  <c r="H225" i="1"/>
  <c r="H226" i="1"/>
  <c r="H227" i="1"/>
  <c r="H228" i="1"/>
  <c r="H2284" i="1"/>
  <c r="H2285" i="1"/>
  <c r="H2286" i="1"/>
  <c r="H2287" i="1"/>
  <c r="H2288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476" i="1"/>
  <c r="H477" i="1"/>
  <c r="H1019" i="1"/>
  <c r="H1020" i="1"/>
  <c r="H1599" i="1"/>
  <c r="H1600" i="1"/>
  <c r="H1601" i="1"/>
  <c r="H1481" i="1"/>
  <c r="H52" i="1"/>
  <c r="H1021" i="1"/>
  <c r="H1378" i="1"/>
  <c r="H1379" i="1"/>
  <c r="H1380" i="1"/>
  <c r="H1381" i="1"/>
  <c r="H1602" i="1"/>
  <c r="H1603" i="1"/>
  <c r="H7" i="1"/>
  <c r="H8" i="1"/>
  <c r="H9" i="1"/>
  <c r="H229" i="1"/>
  <c r="H230" i="1"/>
  <c r="H2146" i="1"/>
  <c r="H2147" i="1"/>
  <c r="H2148" i="1"/>
  <c r="H2149" i="1"/>
  <c r="H2150" i="1"/>
  <c r="H2151" i="1"/>
  <c r="H53" i="1"/>
  <c r="H54" i="1"/>
  <c r="H347" i="1"/>
  <c r="H348" i="1"/>
  <c r="H349" i="1"/>
  <c r="H553" i="1"/>
  <c r="H554" i="1"/>
  <c r="H555" i="1"/>
  <c r="H556" i="1"/>
  <c r="H557" i="1"/>
  <c r="H558" i="1"/>
  <c r="H559" i="1"/>
  <c r="H560" i="1"/>
  <c r="H561" i="1"/>
  <c r="H562" i="1"/>
  <c r="H563" i="1"/>
  <c r="H564" i="1"/>
  <c r="H565" i="1"/>
  <c r="H566" i="1"/>
  <c r="H1382" i="1"/>
  <c r="H1383" i="1"/>
  <c r="H1384" i="1"/>
  <c r="H1385" i="1"/>
  <c r="H1386" i="1"/>
  <c r="H1387" i="1"/>
  <c r="H1388" i="1"/>
  <c r="H1389" i="1"/>
  <c r="H1390" i="1"/>
  <c r="H1391" i="1"/>
  <c r="H1712" i="1"/>
  <c r="H567" i="1"/>
  <c r="H1482" i="1"/>
  <c r="H2289" i="1"/>
  <c r="H2290" i="1"/>
  <c r="H2291" i="1"/>
  <c r="H2292" i="1"/>
  <c r="H2293" i="1"/>
  <c r="H698" i="1"/>
  <c r="H699" i="1"/>
  <c r="H700" i="1"/>
  <c r="H701" i="1"/>
  <c r="H55" i="1"/>
  <c r="H56" i="1"/>
  <c r="H57" i="1"/>
  <c r="H58" i="1"/>
  <c r="H59" i="1"/>
  <c r="H60" i="1"/>
  <c r="H61" i="1"/>
  <c r="H62" i="1"/>
  <c r="H63" i="1"/>
  <c r="H64" i="1"/>
  <c r="H65" i="1"/>
  <c r="H66" i="1"/>
  <c r="H67" i="1"/>
  <c r="H68" i="1"/>
  <c r="H69" i="1"/>
  <c r="H70" i="1"/>
  <c r="H71" i="1"/>
  <c r="H72" i="1"/>
  <c r="H73" i="1"/>
  <c r="H74" i="1"/>
  <c r="H75" i="1"/>
  <c r="H76" i="1"/>
  <c r="H77" i="1"/>
  <c r="H78" i="1"/>
  <c r="H79" i="1"/>
  <c r="H80" i="1"/>
  <c r="H81" i="1"/>
  <c r="H82" i="1"/>
  <c r="H83" i="1"/>
  <c r="H84" i="1"/>
  <c r="H85" i="1"/>
  <c r="H231" i="1"/>
  <c r="H232" i="1"/>
  <c r="H233" i="1"/>
  <c r="H234" i="1"/>
  <c r="H235" i="1"/>
  <c r="H236" i="1"/>
  <c r="H237" i="1"/>
  <c r="H238" i="1"/>
  <c r="H239" i="1"/>
  <c r="H240" i="1"/>
  <c r="H241" i="1"/>
  <c r="H242" i="1"/>
  <c r="H350" i="1"/>
  <c r="H1275" i="1"/>
  <c r="H2152" i="1"/>
  <c r="H2153" i="1"/>
  <c r="H2154" i="1"/>
  <c r="H2155" i="1"/>
  <c r="H2156" i="1"/>
  <c r="H2157" i="1"/>
  <c r="H478" i="1"/>
  <c r="H479" i="1"/>
  <c r="H480" i="1"/>
  <c r="H86" i="1"/>
  <c r="H87" i="1"/>
  <c r="H88" i="1"/>
  <c r="H89" i="1"/>
  <c r="H90" i="1"/>
  <c r="H91" i="1"/>
  <c r="H92" i="1"/>
  <c r="H93" i="1"/>
  <c r="H94" i="1"/>
  <c r="H95" i="1"/>
  <c r="H96" i="1"/>
  <c r="H97" i="1"/>
  <c r="H98" i="1"/>
  <c r="H1392" i="1"/>
  <c r="H1393" i="1"/>
  <c r="H1394" i="1"/>
  <c r="H1395" i="1"/>
  <c r="H1396" i="1"/>
  <c r="H351" i="1"/>
  <c r="H352" i="1"/>
  <c r="H353" i="1"/>
  <c r="H1022" i="1"/>
  <c r="H1917" i="1"/>
  <c r="H1918" i="1"/>
  <c r="H2158" i="1"/>
  <c r="H1604" i="1"/>
  <c r="H1115" i="1"/>
  <c r="H1483" i="1"/>
  <c r="H926" i="1"/>
  <c r="H927" i="1"/>
  <c r="H928" i="1"/>
  <c r="H929" i="1"/>
  <c r="H930" i="1"/>
  <c r="H931" i="1"/>
  <c r="H1023" i="1"/>
  <c r="H1024" i="1"/>
  <c r="H1025" i="1"/>
  <c r="H1026" i="1"/>
  <c r="H1027" i="1"/>
  <c r="H1028" i="1"/>
  <c r="H1029" i="1"/>
  <c r="H1713" i="1"/>
  <c r="H1714" i="1"/>
  <c r="H1715" i="1"/>
  <c r="H1116" i="1"/>
  <c r="H1117" i="1"/>
  <c r="H1118" i="1"/>
  <c r="H1119" i="1"/>
  <c r="H1120" i="1"/>
  <c r="H2387" i="1"/>
  <c r="H2388" i="1"/>
  <c r="H2389" i="1"/>
  <c r="H2390" i="1"/>
  <c r="H99" i="1"/>
  <c r="H100" i="1"/>
  <c r="H101" i="1"/>
  <c r="H102" i="1"/>
  <c r="H103" i="1"/>
  <c r="H104" i="1"/>
  <c r="H105" i="1"/>
  <c r="H106" i="1"/>
  <c r="H107" i="1"/>
  <c r="H108" i="1"/>
  <c r="H109" i="1"/>
  <c r="H110" i="1"/>
  <c r="H111" i="1"/>
  <c r="H112" i="1"/>
  <c r="H113" i="1"/>
  <c r="H771" i="1"/>
  <c r="H1276" i="1"/>
  <c r="H1484" i="1"/>
  <c r="H1605" i="1"/>
  <c r="H1606" i="1"/>
  <c r="H1607" i="1"/>
  <c r="H1608" i="1"/>
  <c r="H1609" i="1"/>
  <c r="H1610" i="1"/>
  <c r="H2007" i="1"/>
  <c r="H2008" i="1"/>
  <c r="H2009" i="1"/>
  <c r="H2010" i="1"/>
  <c r="H2011" i="1"/>
  <c r="H2012" i="1"/>
  <c r="H2013" i="1"/>
  <c r="H2014" i="1"/>
  <c r="H2015" i="1"/>
  <c r="H2016" i="1"/>
  <c r="H243" i="1"/>
  <c r="H244" i="1"/>
  <c r="H245" i="1"/>
  <c r="H246" i="1"/>
  <c r="H247" i="1"/>
  <c r="H248" i="1"/>
  <c r="H249" i="1"/>
  <c r="H250" i="1"/>
  <c r="H251" i="1"/>
  <c r="H252" i="1"/>
  <c r="H253" i="1"/>
  <c r="H354" i="1"/>
  <c r="H355" i="1"/>
  <c r="H356" i="1"/>
  <c r="H357" i="1"/>
  <c r="H358" i="1"/>
  <c r="H359" i="1"/>
  <c r="H360" i="1"/>
  <c r="H361" i="1"/>
  <c r="H362" i="1"/>
  <c r="H363" i="1"/>
  <c r="H364" i="1"/>
  <c r="H365" i="1"/>
  <c r="H366" i="1"/>
  <c r="H367" i="1"/>
  <c r="H368" i="1"/>
  <c r="H369" i="1"/>
  <c r="H370" i="1"/>
  <c r="H371" i="1"/>
  <c r="H372" i="1"/>
  <c r="H373" i="1"/>
  <c r="H374" i="1"/>
  <c r="H375" i="1"/>
  <c r="H568" i="1"/>
  <c r="H569" i="1"/>
  <c r="H570" i="1"/>
  <c r="H571" i="1"/>
  <c r="H572" i="1"/>
  <c r="H573" i="1"/>
  <c r="H574" i="1"/>
  <c r="H575" i="1"/>
  <c r="H576" i="1"/>
  <c r="H577" i="1"/>
  <c r="H578" i="1"/>
  <c r="H579" i="1"/>
  <c r="H580" i="1"/>
  <c r="H581" i="1"/>
  <c r="H582" i="1"/>
  <c r="H583" i="1"/>
  <c r="H584" i="1"/>
  <c r="H585" i="1"/>
  <c r="H586" i="1"/>
  <c r="H587" i="1"/>
  <c r="H588" i="1"/>
  <c r="H589" i="1"/>
  <c r="H590" i="1"/>
  <c r="H591" i="1"/>
  <c r="H592" i="1"/>
  <c r="H593" i="1"/>
  <c r="H594" i="1"/>
  <c r="H595" i="1"/>
  <c r="H596" i="1"/>
  <c r="H597" i="1"/>
  <c r="H598" i="1"/>
  <c r="H599" i="1"/>
  <c r="H600" i="1"/>
  <c r="H601" i="1"/>
  <c r="H602" i="1"/>
  <c r="H603" i="1"/>
  <c r="H604" i="1"/>
  <c r="H772" i="1"/>
  <c r="H773" i="1"/>
  <c r="H774" i="1"/>
  <c r="H775" i="1"/>
  <c r="H776" i="1"/>
  <c r="H777" i="1"/>
  <c r="H778" i="1"/>
  <c r="H779" i="1"/>
  <c r="H780" i="1"/>
  <c r="H781" i="1"/>
  <c r="H782" i="1"/>
  <c r="H783" i="1"/>
  <c r="H1121" i="1"/>
  <c r="H1122" i="1"/>
  <c r="H1123" i="1"/>
  <c r="H1124" i="1"/>
  <c r="H1125" i="1"/>
  <c r="H1126" i="1"/>
  <c r="H1127" i="1"/>
  <c r="H1128" i="1"/>
  <c r="H1129" i="1"/>
  <c r="H1130" i="1"/>
  <c r="H1131" i="1"/>
  <c r="H1132" i="1"/>
  <c r="H1133" i="1"/>
  <c r="H1134" i="1"/>
  <c r="H1135" i="1"/>
  <c r="H1136" i="1"/>
  <c r="H1137" i="1"/>
  <c r="H1138" i="1"/>
  <c r="H1139" i="1"/>
  <c r="H1140" i="1"/>
  <c r="H1141" i="1"/>
  <c r="H1142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611" i="1"/>
  <c r="H1612" i="1"/>
  <c r="H1613" i="1"/>
  <c r="H1614" i="1"/>
  <c r="H1615" i="1"/>
  <c r="H1616" i="1"/>
  <c r="H1617" i="1"/>
  <c r="H1618" i="1"/>
  <c r="H1619" i="1"/>
  <c r="H1620" i="1"/>
  <c r="H1621" i="1"/>
  <c r="H1716" i="1"/>
  <c r="H1717" i="1"/>
  <c r="H1718" i="1"/>
  <c r="H1719" i="1"/>
  <c r="H1720" i="1"/>
  <c r="H1721" i="1"/>
  <c r="H1919" i="1"/>
  <c r="H1920" i="1"/>
  <c r="H1921" i="1"/>
  <c r="H1922" i="1"/>
  <c r="H1923" i="1"/>
  <c r="H1924" i="1"/>
  <c r="H1925" i="1"/>
  <c r="H1926" i="1"/>
  <c r="H1927" i="1"/>
  <c r="H1928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91" i="1"/>
  <c r="H114" i="1"/>
  <c r="H115" i="1"/>
  <c r="H116" i="1"/>
  <c r="H117" i="1"/>
  <c r="H1277" i="1"/>
  <c r="H1278" i="1"/>
  <c r="H1279" i="1"/>
  <c r="H1280" i="1"/>
  <c r="H1281" i="1"/>
  <c r="H1282" i="1"/>
  <c r="H481" i="1"/>
  <c r="H482" i="1"/>
  <c r="H483" i="1"/>
  <c r="H118" i="1"/>
  <c r="H254" i="1"/>
  <c r="H255" i="1"/>
  <c r="H932" i="1"/>
  <c r="H933" i="1"/>
  <c r="H934" i="1"/>
  <c r="H1030" i="1"/>
  <c r="H1283" i="1"/>
  <c r="H1284" i="1"/>
  <c r="H1485" i="1"/>
  <c r="H1486" i="1"/>
  <c r="H1622" i="1"/>
  <c r="H1285" i="1"/>
  <c r="H1286" i="1"/>
  <c r="H1287" i="1"/>
  <c r="H1288" i="1"/>
  <c r="H1289" i="1"/>
  <c r="H1415" i="1"/>
  <c r="H1623" i="1"/>
  <c r="H1624" i="1"/>
  <c r="H1625" i="1"/>
  <c r="H1626" i="1"/>
  <c r="H1416" i="1"/>
  <c r="H1417" i="1"/>
  <c r="H256" i="1"/>
  <c r="H257" i="1"/>
  <c r="H376" i="1"/>
  <c r="H377" i="1"/>
  <c r="H378" i="1"/>
  <c r="H484" i="1"/>
  <c r="H702" i="1"/>
  <c r="H703" i="1"/>
  <c r="H704" i="1"/>
  <c r="H705" i="1"/>
  <c r="H706" i="1"/>
  <c r="H707" i="1"/>
  <c r="H935" i="1"/>
  <c r="H936" i="1"/>
  <c r="H937" i="1"/>
  <c r="H938" i="1"/>
  <c r="H939" i="1"/>
  <c r="H940" i="1"/>
  <c r="H941" i="1"/>
  <c r="H1031" i="1"/>
  <c r="H1032" i="1"/>
  <c r="H1033" i="1"/>
  <c r="H1143" i="1"/>
  <c r="H1487" i="1"/>
  <c r="H1488" i="1"/>
  <c r="H1489" i="1"/>
  <c r="H1490" i="1"/>
  <c r="H1627" i="1"/>
  <c r="H1628" i="1"/>
  <c r="H1629" i="1"/>
  <c r="H1929" i="1"/>
  <c r="H1930" i="1"/>
  <c r="H1931" i="1"/>
  <c r="H1932" i="1"/>
  <c r="H1933" i="1"/>
  <c r="H1934" i="1"/>
  <c r="H2035" i="1"/>
  <c r="H2176" i="1"/>
  <c r="H2177" i="1"/>
  <c r="H2178" i="1"/>
  <c r="H2307" i="1"/>
  <c r="H2308" i="1"/>
  <c r="H2309" i="1"/>
  <c r="H784" i="1"/>
  <c r="H785" i="1"/>
  <c r="H786" i="1"/>
  <c r="H787" i="1"/>
  <c r="H788" i="1"/>
  <c r="H789" i="1"/>
  <c r="H790" i="1"/>
  <c r="H791" i="1"/>
  <c r="H792" i="1"/>
  <c r="H793" i="1"/>
  <c r="H794" i="1"/>
  <c r="H795" i="1"/>
  <c r="H1418" i="1"/>
  <c r="H1419" i="1"/>
  <c r="H942" i="1"/>
  <c r="H1722" i="1"/>
  <c r="H1723" i="1"/>
  <c r="H1724" i="1"/>
  <c r="H1935" i="1"/>
  <c r="H1491" i="1"/>
  <c r="H1492" i="1"/>
  <c r="H2392" i="1"/>
  <c r="H1290" i="1"/>
  <c r="H1291" i="1"/>
  <c r="H1292" i="1"/>
  <c r="H1293" i="1"/>
  <c r="H1294" i="1"/>
  <c r="H1295" i="1"/>
  <c r="H1296" i="1"/>
  <c r="H1297" i="1"/>
  <c r="H1298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2310" i="1"/>
  <c r="H2311" i="1"/>
  <c r="H2393" i="1"/>
  <c r="H2394" i="1"/>
  <c r="H2395" i="1"/>
  <c r="H2396" i="1"/>
  <c r="H2397" i="1"/>
  <c r="H2398" i="1"/>
  <c r="H2399" i="1"/>
  <c r="H2400" i="1"/>
  <c r="H379" i="1"/>
  <c r="H605" i="1"/>
  <c r="H606" i="1"/>
  <c r="H607" i="1"/>
  <c r="H796" i="1"/>
  <c r="H797" i="1"/>
  <c r="H798" i="1"/>
  <c r="H1144" i="1"/>
  <c r="H1145" i="1"/>
  <c r="H1299" i="1"/>
  <c r="H1300" i="1"/>
  <c r="H1493" i="1"/>
  <c r="H1494" i="1"/>
  <c r="H1495" i="1"/>
  <c r="H1496" i="1"/>
  <c r="H1497" i="1"/>
  <c r="H2179" i="1"/>
  <c r="H2180" i="1"/>
  <c r="H2312" i="1"/>
  <c r="H2313" i="1"/>
  <c r="H2401" i="1"/>
  <c r="H2402" i="1"/>
  <c r="H2036" i="1"/>
  <c r="H258" i="1"/>
  <c r="H259" i="1"/>
  <c r="H260" i="1"/>
  <c r="H261" i="1"/>
  <c r="H262" i="1"/>
  <c r="H263" i="1"/>
  <c r="H264" i="1"/>
  <c r="H943" i="1"/>
  <c r="H944" i="1"/>
  <c r="H945" i="1"/>
  <c r="H1146" i="1"/>
  <c r="H1147" i="1"/>
  <c r="H1148" i="1"/>
  <c r="H1149" i="1"/>
  <c r="H1150" i="1"/>
  <c r="H485" i="1"/>
  <c r="H2314" i="1"/>
  <c r="H708" i="1"/>
  <c r="H709" i="1"/>
  <c r="H710" i="1"/>
  <c r="H711" i="1"/>
  <c r="H712" i="1"/>
  <c r="H713" i="1"/>
  <c r="H714" i="1"/>
  <c r="H715" i="1"/>
  <c r="H1301" i="1"/>
  <c r="H1302" i="1"/>
  <c r="H1303" i="1"/>
  <c r="H1630" i="1"/>
  <c r="H1631" i="1"/>
  <c r="H2315" i="1"/>
  <c r="H2316" i="1"/>
  <c r="H2317" i="1"/>
  <c r="H2318" i="1"/>
  <c r="H1034" i="1"/>
  <c r="H1035" i="1"/>
  <c r="H1036" i="1"/>
  <c r="H1151" i="1"/>
  <c r="H1152" i="1"/>
  <c r="H1304" i="1"/>
  <c r="H1305" i="1"/>
  <c r="H2319" i="1"/>
  <c r="H265" i="1"/>
  <c r="H266" i="1"/>
  <c r="H267" i="1"/>
  <c r="H268" i="1"/>
  <c r="H269" i="1"/>
  <c r="H486" i="1"/>
  <c r="H1037" i="1"/>
  <c r="H1038" i="1"/>
  <c r="H1039" i="1"/>
  <c r="H799" i="1"/>
  <c r="H800" i="1"/>
  <c r="H801" i="1"/>
  <c r="H802" i="1"/>
  <c r="H803" i="1"/>
  <c r="H804" i="1"/>
  <c r="H805" i="1"/>
  <c r="H380" i="1"/>
  <c r="H381" i="1"/>
  <c r="H382" i="1"/>
  <c r="H383" i="1"/>
  <c r="H384" i="1"/>
  <c r="H385" i="1"/>
  <c r="H386" i="1"/>
  <c r="H387" i="1"/>
  <c r="H388" i="1"/>
  <c r="H608" i="1"/>
  <c r="H609" i="1"/>
  <c r="H610" i="1"/>
  <c r="H611" i="1"/>
  <c r="H806" i="1"/>
  <c r="H807" i="1"/>
  <c r="H946" i="1"/>
  <c r="H947" i="1"/>
  <c r="H948" i="1"/>
  <c r="H949" i="1"/>
  <c r="H1306" i="1"/>
  <c r="H1307" i="1"/>
  <c r="H1308" i="1"/>
  <c r="H1309" i="1"/>
  <c r="H1310" i="1"/>
  <c r="H1311" i="1"/>
  <c r="H1498" i="1"/>
  <c r="H1499" i="1"/>
  <c r="H1500" i="1"/>
  <c r="H1742" i="1"/>
  <c r="H1743" i="1"/>
  <c r="H1744" i="1"/>
  <c r="H2320" i="1"/>
  <c r="H2321" i="1"/>
  <c r="H2322" i="1"/>
  <c r="H2323" i="1"/>
  <c r="H2324" i="1"/>
  <c r="H2325" i="1"/>
  <c r="H2326" i="1"/>
  <c r="H1153" i="1"/>
  <c r="H1154" i="1"/>
  <c r="H1155" i="1"/>
  <c r="H1156" i="1"/>
  <c r="H1157" i="1"/>
  <c r="H1158" i="1"/>
  <c r="H1159" i="1"/>
  <c r="H1160" i="1"/>
  <c r="H1161" i="1"/>
  <c r="H1162" i="1"/>
  <c r="H1163" i="1"/>
  <c r="H1164" i="1"/>
  <c r="H1165" i="1"/>
  <c r="H1166" i="1"/>
  <c r="H1167" i="1"/>
  <c r="H1168" i="1"/>
  <c r="H1169" i="1"/>
  <c r="H487" i="1"/>
  <c r="H488" i="1"/>
  <c r="H489" i="1"/>
  <c r="H808" i="1"/>
  <c r="H809" i="1"/>
  <c r="H810" i="1"/>
  <c r="H2037" i="1"/>
  <c r="H2038" i="1"/>
  <c r="H2039" i="1"/>
  <c r="H1312" i="1"/>
  <c r="H1313" i="1"/>
  <c r="H1314" i="1"/>
  <c r="H1315" i="1"/>
  <c r="H1316" i="1"/>
  <c r="H1317" i="1"/>
  <c r="H1318" i="1"/>
  <c r="H1319" i="1"/>
  <c r="H1320" i="1"/>
  <c r="H1321" i="1"/>
  <c r="H1322" i="1"/>
  <c r="H1323" i="1"/>
  <c r="H1324" i="1"/>
  <c r="H1325" i="1"/>
  <c r="H2327" i="1"/>
  <c r="H2328" i="1"/>
  <c r="H2329" i="1"/>
  <c r="H2330" i="1"/>
  <c r="H2331" i="1"/>
  <c r="H490" i="1"/>
  <c r="H491" i="1"/>
  <c r="H2181" i="1"/>
  <c r="H2182" i="1"/>
  <c r="H2183" i="1"/>
  <c r="H1326" i="1"/>
  <c r="H811" i="1"/>
  <c r="H812" i="1"/>
  <c r="H813" i="1"/>
  <c r="H814" i="1"/>
  <c r="H815" i="1"/>
  <c r="H816" i="1"/>
  <c r="H817" i="1"/>
  <c r="H818" i="1"/>
  <c r="H819" i="1"/>
  <c r="H820" i="1"/>
  <c r="H821" i="1"/>
  <c r="H822" i="1"/>
  <c r="H823" i="1"/>
  <c r="H824" i="1"/>
  <c r="H825" i="1"/>
  <c r="H119" i="1"/>
  <c r="H120" i="1"/>
  <c r="H121" i="1"/>
  <c r="H122" i="1"/>
  <c r="H123" i="1"/>
  <c r="H124" i="1"/>
  <c r="H125" i="1"/>
  <c r="H126" i="1"/>
  <c r="H127" i="1"/>
  <c r="H1936" i="1"/>
  <c r="H1937" i="1"/>
  <c r="H1938" i="1"/>
  <c r="H1939" i="1"/>
  <c r="H1940" i="1"/>
  <c r="H1941" i="1"/>
  <c r="H1942" i="1"/>
  <c r="H1943" i="1"/>
  <c r="H1944" i="1"/>
  <c r="H612" i="1"/>
  <c r="H613" i="1"/>
  <c r="H614" i="1"/>
  <c r="H1632" i="1"/>
  <c r="H1633" i="1"/>
  <c r="H1634" i="1"/>
  <c r="H1501" i="1"/>
  <c r="H1502" i="1"/>
  <c r="H1503" i="1"/>
  <c r="H1504" i="1"/>
  <c r="H1505" i="1"/>
  <c r="H270" i="1"/>
  <c r="H271" i="1"/>
  <c r="H272" i="1"/>
  <c r="H273" i="1"/>
  <c r="H492" i="1"/>
  <c r="H493" i="1"/>
  <c r="H1327" i="1"/>
  <c r="H2184" i="1"/>
  <c r="H2185" i="1"/>
  <c r="H2040" i="1"/>
  <c r="H2041" i="1"/>
  <c r="H2042" i="1"/>
  <c r="H2043" i="1"/>
  <c r="H2044" i="1"/>
  <c r="H2045" i="1"/>
  <c r="H494" i="1"/>
  <c r="H495" i="1"/>
  <c r="H496" i="1"/>
  <c r="H128" i="1"/>
  <c r="H129" i="1"/>
  <c r="H130" i="1"/>
  <c r="H131" i="1"/>
  <c r="H132" i="1"/>
  <c r="H133" i="1"/>
  <c r="H134" i="1"/>
  <c r="H135" i="1"/>
  <c r="H1945" i="1"/>
  <c r="H1946" i="1"/>
  <c r="H1947" i="1"/>
  <c r="H1948" i="1"/>
  <c r="H1949" i="1"/>
  <c r="H1950" i="1"/>
  <c r="H1951" i="1"/>
  <c r="H1952" i="1"/>
  <c r="H1953" i="1"/>
  <c r="H2332" i="1"/>
  <c r="H2333" i="1"/>
  <c r="H2403" i="1"/>
  <c r="H2404" i="1"/>
  <c r="H2405" i="1"/>
  <c r="H2406" i="1"/>
  <c r="H389" i="1"/>
  <c r="H390" i="1"/>
  <c r="H1635" i="1"/>
  <c r="H1636" i="1"/>
  <c r="H1637" i="1"/>
  <c r="H1638" i="1"/>
  <c r="H1639" i="1"/>
  <c r="H1640" i="1"/>
  <c r="H615" i="1"/>
  <c r="H616" i="1"/>
  <c r="H617" i="1"/>
  <c r="H618" i="1"/>
  <c r="H1954" i="1"/>
  <c r="H1955" i="1"/>
  <c r="H1956" i="1"/>
  <c r="H497" i="1"/>
  <c r="H826" i="1"/>
  <c r="H827" i="1"/>
  <c r="H10" i="1"/>
  <c r="H11" i="1"/>
  <c r="H12" i="1"/>
  <c r="H619" i="1"/>
  <c r="H1957" i="1"/>
  <c r="H1958" i="1"/>
  <c r="H2046" i="1"/>
  <c r="H2047" i="1"/>
  <c r="H2334" i="1"/>
  <c r="H2335" i="1"/>
  <c r="H2336" i="1"/>
  <c r="H2337" i="1"/>
  <c r="H136" i="1"/>
  <c r="H137" i="1"/>
  <c r="H138" i="1"/>
  <c r="H274" i="1"/>
  <c r="H498" i="1"/>
  <c r="H828" i="1"/>
  <c r="H829" i="1"/>
  <c r="H830" i="1"/>
  <c r="H831" i="1"/>
  <c r="H1170" i="1"/>
  <c r="H1745" i="1"/>
  <c r="H1746" i="1"/>
  <c r="H1747" i="1"/>
  <c r="H1328" i="1"/>
  <c r="H1329" i="1"/>
  <c r="H1641" i="1"/>
  <c r="H1642" i="1"/>
  <c r="H1643" i="1"/>
  <c r="H1644" i="1"/>
  <c r="H1748" i="1"/>
  <c r="H1749" i="1"/>
  <c r="H1750" i="1"/>
  <c r="H1751" i="1"/>
  <c r="H2407" i="1"/>
  <c r="H2408" i="1"/>
  <c r="H2409" i="1"/>
  <c r="H950" i="1"/>
  <c r="H951" i="1"/>
  <c r="H952" i="1"/>
  <c r="H953" i="1"/>
  <c r="H954" i="1"/>
  <c r="H955" i="1"/>
  <c r="H956" i="1"/>
  <c r="H1506" i="1"/>
  <c r="H1507" i="1"/>
  <c r="H1508" i="1"/>
  <c r="H1509" i="1"/>
  <c r="H1171" i="1"/>
  <c r="H275" i="1"/>
  <c r="H276" i="1"/>
  <c r="H277" i="1"/>
  <c r="H278" i="1"/>
  <c r="H1172" i="1"/>
  <c r="H1173" i="1"/>
  <c r="H1174" i="1"/>
  <c r="H1175" i="1"/>
  <c r="H1176" i="1"/>
  <c r="H391" i="1"/>
  <c r="H392" i="1"/>
  <c r="H279" i="1"/>
  <c r="H832" i="1"/>
  <c r="H1330" i="1"/>
  <c r="H139" i="1"/>
  <c r="H393" i="1"/>
  <c r="H716" i="1"/>
  <c r="H1177" i="1"/>
  <c r="H1178" i="1"/>
  <c r="H1179" i="1"/>
  <c r="H1180" i="1"/>
  <c r="H1181" i="1"/>
  <c r="H1182" i="1"/>
  <c r="H1183" i="1"/>
  <c r="H1184" i="1"/>
  <c r="H2186" i="1"/>
  <c r="H1420" i="1"/>
  <c r="H1421" i="1"/>
  <c r="H1422" i="1"/>
  <c r="H1423" i="1"/>
  <c r="H1424" i="1"/>
  <c r="H140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80" i="1"/>
  <c r="H281" i="1"/>
  <c r="H282" i="1"/>
  <c r="H283" i="1"/>
  <c r="H284" i="1"/>
  <c r="H285" i="1"/>
  <c r="H286" i="1"/>
  <c r="H287" i="1"/>
  <c r="H499" i="1"/>
  <c r="H500" i="1"/>
  <c r="H501" i="1"/>
  <c r="H502" i="1"/>
  <c r="H503" i="1"/>
  <c r="H504" i="1"/>
  <c r="H505" i="1"/>
  <c r="H506" i="1"/>
  <c r="H507" i="1"/>
  <c r="H508" i="1"/>
  <c r="H509" i="1"/>
  <c r="H510" i="1"/>
  <c r="H511" i="1"/>
  <c r="H1645" i="1"/>
  <c r="H1646" i="1"/>
  <c r="H1647" i="1"/>
  <c r="H1648" i="1"/>
  <c r="H1649" i="1"/>
  <c r="H1650" i="1"/>
  <c r="H1651" i="1"/>
  <c r="H1652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512" i="1"/>
  <c r="H513" i="1"/>
  <c r="H514" i="1"/>
  <c r="H515" i="1"/>
  <c r="H516" i="1"/>
  <c r="H1040" i="1"/>
  <c r="H1041" i="1"/>
  <c r="H1042" i="1"/>
  <c r="H1043" i="1"/>
  <c r="H1044" i="1"/>
  <c r="H1045" i="1"/>
  <c r="H1046" i="1"/>
  <c r="H1047" i="1"/>
  <c r="H1048" i="1"/>
  <c r="H1049" i="1"/>
  <c r="H1050" i="1"/>
  <c r="H1051" i="1"/>
  <c r="H1052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1185" i="1"/>
  <c r="H2241" i="1"/>
  <c r="H2242" i="1"/>
  <c r="H2243" i="1"/>
  <c r="H2244" i="1"/>
  <c r="H2245" i="1"/>
  <c r="H2246" i="1"/>
  <c r="H2247" i="1"/>
  <c r="H2248" i="1"/>
  <c r="H2249" i="1"/>
  <c r="H2250" i="1"/>
  <c r="H2251" i="1"/>
  <c r="H620" i="1"/>
  <c r="H621" i="1"/>
  <c r="H622" i="1"/>
  <c r="H623" i="1"/>
  <c r="H624" i="1"/>
  <c r="H625" i="1"/>
  <c r="H626" i="1"/>
  <c r="H627" i="1"/>
  <c r="H1053" i="1"/>
  <c r="H1510" i="1"/>
  <c r="H1511" i="1"/>
  <c r="H1512" i="1"/>
  <c r="H1186" i="1"/>
  <c r="H1187" i="1"/>
  <c r="H2048" i="1"/>
  <c r="H13" i="1"/>
  <c r="H141" i="1"/>
  <c r="H1054" i="1"/>
  <c r="H1055" i="1"/>
  <c r="H1056" i="1"/>
  <c r="H1057" i="1"/>
  <c r="H1188" i="1"/>
  <c r="H1331" i="1"/>
  <c r="H1332" i="1"/>
  <c r="H1333" i="1"/>
  <c r="H1334" i="1"/>
  <c r="H517" i="1"/>
  <c r="H518" i="1"/>
  <c r="H1752" i="1"/>
  <c r="H1753" i="1"/>
  <c r="H1754" i="1"/>
  <c r="H1755" i="1"/>
  <c r="H1756" i="1"/>
  <c r="H1757" i="1"/>
  <c r="H1758" i="1"/>
  <c r="H1759" i="1"/>
  <c r="H1760" i="1"/>
  <c r="H1761" i="1"/>
  <c r="H1762" i="1"/>
  <c r="H14" i="1"/>
  <c r="H15" i="1"/>
  <c r="H2410" i="1"/>
  <c r="H288" i="1"/>
  <c r="H289" i="1"/>
  <c r="H290" i="1"/>
  <c r="H291" i="1"/>
  <c r="H394" i="1"/>
  <c r="H717" i="1"/>
  <c r="H718" i="1"/>
  <c r="H1763" i="1"/>
  <c r="H2354" i="1"/>
  <c r="H395" i="1"/>
  <c r="H396" i="1"/>
  <c r="H397" i="1"/>
  <c r="H1513" i="1"/>
  <c r="H1514" i="1"/>
  <c r="H1653" i="1"/>
  <c r="H1654" i="1"/>
  <c r="H1655" i="1"/>
  <c r="H1656" i="1"/>
  <c r="H1657" i="1"/>
  <c r="H1658" i="1"/>
  <c r="H1659" i="1"/>
  <c r="H833" i="1"/>
  <c r="H834" i="1"/>
  <c r="H2252" i="1"/>
  <c r="H835" i="1"/>
  <c r="H836" i="1"/>
  <c r="H837" i="1"/>
  <c r="H838" i="1"/>
  <c r="H839" i="1"/>
  <c r="H840" i="1"/>
  <c r="H841" i="1"/>
  <c r="H842" i="1"/>
  <c r="H1189" i="1"/>
  <c r="H1190" i="1"/>
  <c r="H1191" i="1"/>
  <c r="H1192" i="1"/>
  <c r="H1193" i="1"/>
  <c r="H1194" i="1"/>
  <c r="H1195" i="1"/>
  <c r="H1196" i="1"/>
  <c r="H1197" i="1"/>
  <c r="H1198" i="1"/>
  <c r="H1199" i="1"/>
  <c r="H1764" i="1"/>
  <c r="H1765" i="1"/>
  <c r="H2253" i="1"/>
  <c r="H2254" i="1"/>
  <c r="H2255" i="1"/>
  <c r="H2256" i="1"/>
  <c r="H1959" i="1"/>
  <c r="H142" i="1"/>
  <c r="H143" i="1"/>
  <c r="H144" i="1"/>
  <c r="H719" i="1"/>
  <c r="H1200" i="1"/>
  <c r="H1201" i="1"/>
  <c r="H1202" i="1"/>
  <c r="H1203" i="1"/>
  <c r="H1204" i="1"/>
  <c r="H1205" i="1"/>
  <c r="H1206" i="1"/>
  <c r="H1207" i="1"/>
  <c r="H1335" i="1"/>
  <c r="H1336" i="1"/>
  <c r="H1337" i="1"/>
  <c r="H1338" i="1"/>
  <c r="H1425" i="1"/>
  <c r="H1960" i="1"/>
  <c r="H843" i="1"/>
  <c r="H844" i="1"/>
  <c r="H845" i="1"/>
  <c r="H846" i="1"/>
  <c r="H847" i="1"/>
  <c r="H848" i="1"/>
  <c r="H1660" i="1"/>
  <c r="H398" i="1"/>
  <c r="H399" i="1"/>
  <c r="H400" i="1"/>
  <c r="H628" i="1"/>
  <c r="H629" i="1"/>
  <c r="H720" i="1"/>
  <c r="H721" i="1"/>
  <c r="H722" i="1"/>
  <c r="H723" i="1"/>
  <c r="H849" i="1"/>
  <c r="H850" i="1"/>
  <c r="H851" i="1"/>
  <c r="H852" i="1"/>
  <c r="H853" i="1"/>
  <c r="H957" i="1"/>
  <c r="H958" i="1"/>
  <c r="H959" i="1"/>
  <c r="H1339" i="1"/>
  <c r="H1340" i="1"/>
  <c r="H1341" i="1"/>
  <c r="H1342" i="1"/>
  <c r="H1343" i="1"/>
  <c r="H1344" i="1"/>
  <c r="H1766" i="1"/>
  <c r="H1767" i="1"/>
  <c r="H1768" i="1"/>
  <c r="H2355" i="1"/>
  <c r="H2356" i="1"/>
  <c r="H2357" i="1"/>
  <c r="H2358" i="1"/>
  <c r="H2359" i="1"/>
  <c r="H292" i="1"/>
  <c r="H293" i="1"/>
  <c r="H401" i="1"/>
  <c r="H630" i="1"/>
  <c r="H724" i="1"/>
  <c r="H725" i="1"/>
  <c r="H726" i="1"/>
  <c r="H727" i="1"/>
  <c r="H728" i="1"/>
  <c r="H960" i="1"/>
  <c r="H1058" i="1"/>
  <c r="H1208" i="1"/>
  <c r="H1209" i="1"/>
  <c r="H1210" i="1"/>
  <c r="H1211" i="1"/>
  <c r="H1345" i="1"/>
  <c r="H1426" i="1"/>
  <c r="H1515" i="1"/>
  <c r="H1516" i="1"/>
  <c r="H1517" i="1"/>
  <c r="H1518" i="1"/>
  <c r="H1519" i="1"/>
  <c r="H1520" i="1"/>
  <c r="H1661" i="1"/>
  <c r="H1662" i="1"/>
  <c r="H1769" i="1"/>
  <c r="H1770" i="1"/>
  <c r="H2049" i="1"/>
  <c r="H2411" i="1"/>
  <c r="H2412" i="1"/>
  <c r="H2413" i="1"/>
  <c r="H2414" i="1"/>
  <c r="H1346" i="1"/>
  <c r="H519" i="1"/>
  <c r="H520" i="1"/>
  <c r="H521" i="1"/>
  <c r="H522" i="1"/>
  <c r="H523" i="1"/>
  <c r="H524" i="1"/>
  <c r="H631" i="1"/>
  <c r="H1961" i="1"/>
  <c r="H1962" i="1"/>
  <c r="H1963" i="1"/>
  <c r="H2257" i="1"/>
  <c r="H294" i="1"/>
  <c r="H295" i="1"/>
  <c r="H296" i="1"/>
  <c r="H1964" i="1"/>
  <c r="H145" i="1"/>
  <c r="H146" i="1"/>
  <c r="H147" i="1"/>
  <c r="H729" i="1"/>
  <c r="H730" i="1"/>
  <c r="H1427" i="1"/>
  <c r="H1428" i="1"/>
  <c r="H1429" i="1"/>
  <c r="H1430" i="1"/>
  <c r="H1431" i="1"/>
  <c r="H1432" i="1"/>
  <c r="H1433" i="1"/>
  <c r="H1434" i="1"/>
  <c r="H1663" i="1"/>
  <c r="H1664" i="1"/>
  <c r="H2415" i="1"/>
  <c r="H2416" i="1"/>
  <c r="H2417" i="1"/>
  <c r="H854" i="1"/>
  <c r="H855" i="1"/>
  <c r="H856" i="1"/>
  <c r="H857" i="1"/>
  <c r="H858" i="1"/>
  <c r="H859" i="1"/>
  <c r="H860" i="1"/>
  <c r="H961" i="1"/>
  <c r="H1059" i="1"/>
  <c r="H1060" i="1"/>
  <c r="H1347" i="1"/>
  <c r="H1435" i="1"/>
  <c r="H1665" i="1"/>
  <c r="H2258" i="1"/>
  <c r="H2259" i="1"/>
  <c r="H861" i="1"/>
  <c r="H862" i="1"/>
  <c r="H863" i="1"/>
  <c r="H864" i="1"/>
  <c r="H865" i="1"/>
  <c r="H866" i="1"/>
  <c r="H867" i="1"/>
  <c r="H2050" i="1"/>
  <c r="H2051" i="1"/>
  <c r="H2052" i="1"/>
  <c r="H2053" i="1"/>
  <c r="H2054" i="1"/>
  <c r="H868" i="1"/>
  <c r="H869" i="1"/>
  <c r="H870" i="1"/>
  <c r="H871" i="1"/>
  <c r="H872" i="1"/>
  <c r="H873" i="1"/>
  <c r="H874" i="1"/>
  <c r="H2055" i="1"/>
  <c r="H2056" i="1"/>
  <c r="H2057" i="1"/>
  <c r="H2058" i="1"/>
  <c r="H2059" i="1"/>
  <c r="H2060" i="1"/>
  <c r="H2061" i="1"/>
  <c r="H2062" i="1"/>
  <c r="H2063" i="1"/>
  <c r="H2064" i="1"/>
  <c r="H632" i="1"/>
  <c r="H633" i="1"/>
  <c r="H634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2260" i="1"/>
  <c r="H2261" i="1"/>
  <c r="H2262" i="1"/>
  <c r="H2263" i="1"/>
  <c r="H2418" i="1"/>
  <c r="H2419" i="1"/>
  <c r="H2420" i="1"/>
  <c r="H2421" i="1"/>
  <c r="H2422" i="1"/>
  <c r="H148" i="1"/>
  <c r="H149" i="1"/>
  <c r="H150" i="1"/>
  <c r="H151" i="1"/>
  <c r="H152" i="1"/>
  <c r="H153" i="1"/>
  <c r="H154" i="1"/>
  <c r="H155" i="1"/>
  <c r="H156" i="1"/>
  <c r="H157" i="1"/>
  <c r="H158" i="1"/>
  <c r="H159" i="1"/>
  <c r="H160" i="1"/>
  <c r="H161" i="1"/>
  <c r="H162" i="1"/>
  <c r="H525" i="1"/>
  <c r="H526" i="1"/>
  <c r="H527" i="1"/>
  <c r="H528" i="1"/>
  <c r="H875" i="1"/>
  <c r="H876" i="1"/>
  <c r="H877" i="1"/>
  <c r="H878" i="1"/>
  <c r="H879" i="1"/>
  <c r="H880" i="1"/>
  <c r="H962" i="1"/>
  <c r="H963" i="1"/>
  <c r="H964" i="1"/>
  <c r="H965" i="1"/>
  <c r="H966" i="1"/>
  <c r="H1771" i="1"/>
  <c r="H1772" i="1"/>
  <c r="H1773" i="1"/>
  <c r="H1774" i="1"/>
  <c r="H1775" i="1"/>
  <c r="H1776" i="1"/>
  <c r="H1777" i="1"/>
  <c r="H1778" i="1"/>
  <c r="H1779" i="1"/>
  <c r="H1780" i="1"/>
  <c r="H529" i="1"/>
  <c r="H530" i="1"/>
  <c r="H531" i="1"/>
  <c r="H532" i="1"/>
  <c r="H1436" i="1"/>
  <c r="H1437" i="1"/>
  <c r="H1438" i="1"/>
  <c r="H1439" i="1"/>
  <c r="H1666" i="1"/>
  <c r="H1667" i="1"/>
  <c r="H1668" i="1"/>
  <c r="H2423" i="1"/>
  <c r="H2424" i="1"/>
  <c r="H2425" i="1"/>
  <c r="H2426" i="1"/>
  <c r="H16" i="1"/>
  <c r="H17" i="1"/>
  <c r="H18" i="1"/>
  <c r="H19" i="1"/>
  <c r="H967" i="1"/>
  <c r="H968" i="1"/>
  <c r="H969" i="1"/>
  <c r="H970" i="1"/>
  <c r="H1534" i="1"/>
  <c r="H2065" i="1"/>
  <c r="H2066" i="1"/>
  <c r="H2067" i="1"/>
  <c r="H2264" i="1"/>
  <c r="H2265" i="1"/>
  <c r="H2266" i="1"/>
  <c r="H2267" i="1"/>
  <c r="H2268" i="1"/>
  <c r="H2269" i="1"/>
  <c r="H2427" i="1"/>
  <c r="H2428" i="1"/>
  <c r="H297" i="1"/>
  <c r="H1212" i="1"/>
  <c r="H2068" i="1"/>
  <c r="H2069" i="1"/>
  <c r="H2070" i="1"/>
  <c r="H2071" i="1"/>
  <c r="H2072" i="1"/>
  <c r="H2073" i="1"/>
  <c r="H2429" i="1"/>
  <c r="H2430" i="1"/>
  <c r="H2431" i="1"/>
  <c r="H2432" i="1"/>
  <c r="H2433" i="1"/>
  <c r="H2434" i="1"/>
  <c r="H731" i="1"/>
  <c r="H1535" i="1"/>
  <c r="H1536" i="1"/>
  <c r="H1537" i="1"/>
  <c r="H1213" i="1"/>
  <c r="H1214" i="1"/>
  <c r="H1215" i="1"/>
  <c r="H1216" i="1"/>
  <c r="H1217" i="1"/>
  <c r="H1218" i="1"/>
  <c r="H402" i="1"/>
  <c r="H1538" i="1"/>
  <c r="H1539" i="1"/>
  <c r="H1540" i="1"/>
  <c r="H1541" i="1"/>
  <c r="H1542" i="1"/>
  <c r="H1543" i="1"/>
  <c r="H298" i="1"/>
  <c r="H1061" i="1"/>
  <c r="H1348" i="1"/>
  <c r="H1781" i="1"/>
  <c r="H1782" i="1"/>
  <c r="H1783" i="1"/>
  <c r="H1784" i="1"/>
  <c r="H1785" i="1"/>
  <c r="H1786" i="1"/>
  <c r="H1787" i="1"/>
  <c r="H1788" i="1"/>
  <c r="H2360" i="1"/>
  <c r="H2361" i="1"/>
  <c r="H2362" i="1"/>
  <c r="H2363" i="1"/>
  <c r="H1544" i="1"/>
  <c r="H2074" i="1"/>
  <c r="H2075" i="1"/>
  <c r="H2435" i="1"/>
  <c r="H1789" i="1"/>
  <c r="H1790" i="1"/>
  <c r="H1791" i="1"/>
  <c r="H1792" i="1"/>
  <c r="H1793" i="1"/>
  <c r="H1794" i="1"/>
  <c r="H1795" i="1"/>
  <c r="H1219" i="1"/>
  <c r="H1220" i="1"/>
  <c r="H1221" i="1"/>
  <c r="H1222" i="1"/>
  <c r="H1223" i="1"/>
  <c r="H1224" i="1"/>
  <c r="H1225" i="1"/>
  <c r="H163" i="1"/>
  <c r="H164" i="1"/>
  <c r="H165" i="1"/>
  <c r="H166" i="1"/>
  <c r="H971" i="1"/>
  <c r="H972" i="1"/>
  <c r="H973" i="1"/>
  <c r="H974" i="1"/>
  <c r="H975" i="1"/>
  <c r="H976" i="1"/>
  <c r="H977" i="1"/>
  <c r="H1796" i="1"/>
  <c r="H1797" i="1"/>
  <c r="H1798" i="1"/>
  <c r="H1799" i="1"/>
  <c r="H1800" i="1"/>
  <c r="H1801" i="1"/>
  <c r="H1802" i="1"/>
  <c r="H1803" i="1"/>
  <c r="H1804" i="1"/>
  <c r="H1805" i="1"/>
  <c r="H1062" i="1"/>
  <c r="H1063" i="1"/>
  <c r="H1064" i="1"/>
  <c r="H1065" i="1"/>
  <c r="H1066" i="1"/>
  <c r="H1067" i="1"/>
  <c r="H1068" i="1"/>
  <c r="H20" i="1"/>
  <c r="H21" i="1"/>
  <c r="H1806" i="1"/>
  <c r="H1807" i="1"/>
  <c r="H2270" i="1"/>
  <c r="H2436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808" i="1"/>
  <c r="H1809" i="1"/>
  <c r="H1810" i="1"/>
  <c r="H1811" i="1"/>
  <c r="H1812" i="1"/>
  <c r="H1813" i="1"/>
  <c r="H1814" i="1"/>
  <c r="H635" i="1"/>
  <c r="H636" i="1"/>
  <c r="H167" i="1"/>
  <c r="H168" i="1"/>
  <c r="H169" i="1"/>
  <c r="H170" i="1"/>
  <c r="H171" i="1"/>
  <c r="H1069" i="1"/>
  <c r="H1070" i="1"/>
  <c r="H533" i="1"/>
  <c r="H1071" i="1"/>
  <c r="H1072" i="1"/>
  <c r="H1073" i="1"/>
  <c r="H1074" i="1"/>
  <c r="H1075" i="1"/>
  <c r="H1076" i="1"/>
  <c r="H1077" i="1"/>
  <c r="H1078" i="1"/>
  <c r="H2076" i="1"/>
  <c r="H2077" i="1"/>
  <c r="H2078" i="1"/>
  <c r="H2079" i="1"/>
  <c r="H534" i="1"/>
  <c r="H535" i="1"/>
  <c r="H536" i="1"/>
  <c r="H537" i="1"/>
  <c r="H978" i="1"/>
  <c r="H979" i="1"/>
  <c r="H1545" i="1"/>
  <c r="H1546" i="1"/>
  <c r="H1547" i="1"/>
  <c r="H1079" i="1"/>
  <c r="H1080" i="1"/>
  <c r="H172" i="1"/>
  <c r="H173" i="1"/>
  <c r="H174" i="1"/>
  <c r="H175" i="1"/>
  <c r="H176" i="1"/>
  <c r="H177" i="1"/>
  <c r="H178" i="1"/>
  <c r="H179" i="1"/>
  <c r="H180" i="1"/>
  <c r="H181" i="1"/>
  <c r="H182" i="1"/>
  <c r="H183" i="1"/>
  <c r="H184" i="1"/>
  <c r="H185" i="1"/>
  <c r="H186" i="1"/>
  <c r="H187" i="1"/>
  <c r="H188" i="1"/>
  <c r="H189" i="1"/>
  <c r="H190" i="1"/>
  <c r="H1226" i="1"/>
  <c r="H1227" i="1"/>
  <c r="H1349" i="1"/>
  <c r="H1548" i="1"/>
  <c r="H1549" i="1"/>
  <c r="H1550" i="1"/>
  <c r="H1551" i="1"/>
  <c r="H1552" i="1"/>
  <c r="H732" i="1"/>
  <c r="H733" i="1"/>
  <c r="H734" i="1"/>
  <c r="H735" i="1"/>
  <c r="H736" i="1"/>
  <c r="H737" i="1"/>
  <c r="H1669" i="1"/>
  <c r="H1670" i="1"/>
  <c r="H1671" i="1"/>
  <c r="H1672" i="1"/>
  <c r="H1673" i="1"/>
  <c r="H1674" i="1"/>
  <c r="H1675" i="1"/>
  <c r="H1676" i="1"/>
  <c r="H2364" i="1"/>
  <c r="H2365" i="1"/>
  <c r="H2366" i="1"/>
  <c r="H538" i="1"/>
  <c r="H539" i="1"/>
  <c r="H1815" i="1"/>
  <c r="H1816" i="1"/>
  <c r="H1817" i="1"/>
  <c r="H1818" i="1"/>
  <c r="H191" i="1"/>
  <c r="H192" i="1"/>
  <c r="H193" i="1"/>
  <c r="H194" i="1"/>
  <c r="H195" i="1"/>
  <c r="H196" i="1"/>
  <c r="H197" i="1"/>
  <c r="H198" i="1"/>
  <c r="H199" i="1"/>
  <c r="H200" i="1"/>
  <c r="H201" i="1"/>
  <c r="H202" i="1"/>
  <c r="H203" i="1"/>
  <c r="H204" i="1"/>
  <c r="H1819" i="1"/>
  <c r="H1820" i="1"/>
  <c r="H1821" i="1"/>
  <c r="H1822" i="1"/>
  <c r="H1823" i="1"/>
  <c r="H1824" i="1"/>
  <c r="H1825" i="1"/>
  <c r="H1826" i="1"/>
  <c r="H1827" i="1"/>
  <c r="H1828" i="1"/>
  <c r="H1829" i="1"/>
  <c r="H1983" i="1"/>
  <c r="H1984" i="1"/>
  <c r="H1830" i="1"/>
  <c r="H1831" i="1"/>
  <c r="H1832" i="1"/>
  <c r="H2437" i="1"/>
  <c r="H2438" i="1"/>
  <c r="H1081" i="1"/>
  <c r="H1082" i="1"/>
  <c r="H1083" i="1"/>
  <c r="H1084" i="1"/>
  <c r="H1085" i="1"/>
  <c r="H1086" i="1"/>
  <c r="H1087" i="1"/>
  <c r="H1088" i="1"/>
  <c r="H1089" i="1"/>
  <c r="H637" i="1"/>
  <c r="H638" i="1"/>
  <c r="H639" i="1"/>
  <c r="H640" i="1"/>
  <c r="H641" i="1"/>
  <c r="H642" i="1"/>
  <c r="H643" i="1"/>
  <c r="H644" i="1"/>
  <c r="H645" i="1"/>
  <c r="H646" i="1"/>
  <c r="H647" i="1"/>
  <c r="H1090" i="1"/>
  <c r="H1091" i="1"/>
  <c r="H1092" i="1"/>
  <c r="H1228" i="1"/>
  <c r="H1553" i="1"/>
  <c r="H1677" i="1"/>
  <c r="H1678" i="1"/>
  <c r="H1679" i="1"/>
  <c r="H1833" i="1"/>
  <c r="H1834" i="1"/>
  <c r="H1835" i="1"/>
  <c r="H1836" i="1"/>
  <c r="H1837" i="1"/>
  <c r="H2080" i="1"/>
  <c r="H2081" i="1"/>
  <c r="H22" i="1"/>
  <c r="H23" i="1"/>
  <c r="H24" i="1"/>
  <c r="H25" i="1"/>
  <c r="H26" i="1"/>
  <c r="H27" i="1"/>
  <c r="H738" i="1"/>
  <c r="H739" i="1"/>
  <c r="H740" i="1"/>
  <c r="H741" i="1"/>
  <c r="H742" i="1"/>
  <c r="H743" i="1"/>
  <c r="H744" i="1"/>
  <c r="H745" i="1"/>
  <c r="H1350" i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838" i="1"/>
  <c r="H1839" i="1"/>
  <c r="H1840" i="1"/>
  <c r="H1841" i="1"/>
  <c r="H1842" i="1"/>
  <c r="H1843" i="1"/>
  <c r="H1844" i="1"/>
  <c r="H1845" i="1"/>
  <c r="H1846" i="1"/>
  <c r="H1847" i="1"/>
  <c r="H1848" i="1"/>
  <c r="H1849" i="1"/>
  <c r="H1850" i="1"/>
  <c r="H1851" i="1"/>
  <c r="H1852" i="1"/>
  <c r="H1853" i="1"/>
  <c r="H1854" i="1"/>
  <c r="H2439" i="1"/>
  <c r="H2440" i="1"/>
  <c r="H2441" i="1"/>
  <c r="H2442" i="1"/>
  <c r="H2443" i="1"/>
  <c r="H2444" i="1"/>
  <c r="H2445" i="1"/>
  <c r="H2446" i="1"/>
  <c r="H881" i="1"/>
  <c r="H299" i="1"/>
  <c r="H300" i="1"/>
  <c r="H301" i="1"/>
  <c r="H302" i="1"/>
  <c r="H303" i="1"/>
  <c r="H304" i="1"/>
  <c r="H305" i="1"/>
  <c r="H306" i="1"/>
  <c r="H307" i="1"/>
  <c r="H308" i="1"/>
  <c r="H309" i="1"/>
  <c r="H882" i="1"/>
  <c r="H883" i="1"/>
  <c r="H884" i="1"/>
  <c r="H885" i="1"/>
  <c r="H886" i="1"/>
  <c r="H887" i="1"/>
  <c r="H888" i="1"/>
  <c r="H889" i="1"/>
  <c r="H890" i="1"/>
  <c r="H891" i="1"/>
  <c r="H892" i="1"/>
  <c r="H893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980" i="1"/>
  <c r="H981" i="1"/>
  <c r="H982" i="1"/>
  <c r="H983" i="1"/>
  <c r="H984" i="1"/>
  <c r="H985" i="1"/>
  <c r="H986" i="1"/>
  <c r="H1440" i="1"/>
  <c r="H1441" i="1"/>
  <c r="H1442" i="1"/>
  <c r="H1443" i="1"/>
  <c r="H1444" i="1"/>
  <c r="H1445" i="1"/>
  <c r="H1446" i="1"/>
  <c r="H1447" i="1"/>
  <c r="H648" i="1"/>
  <c r="H649" i="1"/>
  <c r="H650" i="1"/>
  <c r="H651" i="1"/>
  <c r="H652" i="1"/>
  <c r="H653" i="1"/>
  <c r="H403" i="1"/>
  <c r="H404" i="1"/>
  <c r="H405" i="1"/>
  <c r="H1554" i="1"/>
  <c r="H654" i="1"/>
  <c r="H655" i="1"/>
  <c r="H656" i="1"/>
  <c r="H657" i="1"/>
  <c r="H658" i="1"/>
  <c r="H659" i="1"/>
  <c r="H660" i="1"/>
  <c r="H661" i="1"/>
  <c r="H662" i="1"/>
  <c r="H663" i="1"/>
  <c r="H1555" i="1"/>
  <c r="H1556" i="1"/>
  <c r="H1557" i="1"/>
  <c r="H1558" i="1"/>
  <c r="H1559" i="1"/>
  <c r="H1560" i="1"/>
  <c r="H1561" i="1"/>
  <c r="H1562" i="1"/>
  <c r="H1563" i="1"/>
  <c r="H1680" i="1"/>
  <c r="H1681" i="1"/>
  <c r="H406" i="1"/>
  <c r="H407" i="1"/>
  <c r="H408" i="1"/>
  <c r="H409" i="1"/>
  <c r="H410" i="1"/>
  <c r="H411" i="1"/>
  <c r="H412" i="1"/>
  <c r="H413" i="1"/>
  <c r="H414" i="1"/>
  <c r="H415" i="1"/>
  <c r="H416" i="1"/>
  <c r="H417" i="1"/>
  <c r="H418" i="1"/>
  <c r="H419" i="1"/>
  <c r="H420" i="1"/>
  <c r="H421" i="1"/>
  <c r="H422" i="1"/>
  <c r="H423" i="1"/>
  <c r="H424" i="1"/>
  <c r="H425" i="1"/>
  <c r="H426" i="1"/>
  <c r="H427" i="1"/>
  <c r="H894" i="1"/>
  <c r="H895" i="1"/>
  <c r="H896" i="1"/>
  <c r="H897" i="1"/>
  <c r="H898" i="1"/>
  <c r="H899" i="1"/>
  <c r="H900" i="1"/>
  <c r="H901" i="1"/>
  <c r="H902" i="1"/>
  <c r="H903" i="1"/>
  <c r="H904" i="1"/>
  <c r="H905" i="1"/>
  <c r="H906" i="1"/>
  <c r="H907" i="1"/>
  <c r="H908" i="1"/>
  <c r="H909" i="1"/>
  <c r="H910" i="1"/>
  <c r="H911" i="1"/>
  <c r="H912" i="1"/>
  <c r="H913" i="1"/>
  <c r="H914" i="1"/>
  <c r="H915" i="1"/>
  <c r="H916" i="1"/>
  <c r="H917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918" i="1"/>
  <c r="H919" i="1"/>
  <c r="H920" i="1"/>
  <c r="H2271" i="1"/>
  <c r="H1093" i="1"/>
  <c r="H921" i="1"/>
  <c r="H922" i="1"/>
  <c r="H923" i="1"/>
  <c r="H924" i="1"/>
  <c r="H2112" i="1"/>
  <c r="H1999" i="1"/>
  <c r="H2000" i="1"/>
  <c r="H2001" i="1"/>
  <c r="H540" i="1"/>
  <c r="H541" i="1"/>
  <c r="H542" i="1"/>
  <c r="H543" i="1"/>
  <c r="H544" i="1"/>
  <c r="H1094" i="1"/>
  <c r="H1095" i="1"/>
  <c r="H1096" i="1"/>
  <c r="H1097" i="1"/>
  <c r="H1682" i="1"/>
  <c r="H2272" i="1"/>
  <c r="H2273" i="1"/>
  <c r="H1564" i="1"/>
  <c r="H2113" i="1"/>
  <c r="H428" i="1"/>
  <c r="H429" i="1"/>
  <c r="H430" i="1"/>
  <c r="H431" i="1"/>
  <c r="H432" i="1"/>
  <c r="H433" i="1"/>
  <c r="H434" i="1"/>
  <c r="H435" i="1"/>
  <c r="H436" i="1"/>
  <c r="H437" i="1"/>
  <c r="H438" i="1"/>
  <c r="H439" i="1"/>
  <c r="H440" i="1"/>
  <c r="H441" i="1"/>
  <c r="H442" i="1"/>
  <c r="H443" i="1"/>
  <c r="H444" i="1"/>
  <c r="H445" i="1"/>
  <c r="H446" i="1"/>
  <c r="H447" i="1"/>
  <c r="H448" i="1"/>
  <c r="H449" i="1"/>
  <c r="H450" i="1"/>
  <c r="H1098" i="1"/>
  <c r="H1099" i="1"/>
  <c r="H1100" i="1"/>
  <c r="H1101" i="1"/>
  <c r="H1102" i="1"/>
  <c r="H1229" i="1"/>
  <c r="H1230" i="1"/>
  <c r="H1231" i="1"/>
  <c r="H1232" i="1"/>
  <c r="H1233" i="1"/>
  <c r="H1234" i="1"/>
  <c r="H1235" i="1"/>
  <c r="H1236" i="1"/>
  <c r="H1237" i="1"/>
  <c r="H1448" i="1"/>
  <c r="H1449" i="1"/>
  <c r="H1450" i="1"/>
  <c r="H1451" i="1"/>
  <c r="H1452" i="1"/>
  <c r="H1453" i="1"/>
  <c r="H14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2114" i="1"/>
  <c r="H2115" i="1"/>
  <c r="H211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8" i="1"/>
  <c r="H29" i="1"/>
  <c r="H1565" i="1"/>
  <c r="H1566" i="1"/>
  <c r="H1567" i="1"/>
  <c r="H1683" i="1"/>
  <c r="H1684" i="1"/>
  <c r="H1685" i="1"/>
  <c r="H1686" i="1"/>
  <c r="H1687" i="1"/>
  <c r="H1688" i="1"/>
  <c r="H1689" i="1"/>
  <c r="H2447" i="1"/>
  <c r="H2448" i="1"/>
  <c r="H2449" i="1"/>
  <c r="H2450" i="1"/>
  <c r="H2451" i="1"/>
  <c r="H2452" i="1"/>
  <c r="H2453" i="1"/>
  <c r="H2454" i="1"/>
  <c r="H205" i="1"/>
  <c r="H206" i="1"/>
  <c r="H545" i="1"/>
  <c r="H546" i="1"/>
  <c r="H1103" i="1"/>
  <c r="H1104" i="1"/>
  <c r="H2382" i="1"/>
  <c r="H1238" i="1"/>
  <c r="H1239" i="1"/>
  <c r="H1240" i="1"/>
  <c r="H1241" i="1"/>
  <c r="H1242" i="1"/>
  <c r="H1243" i="1"/>
  <c r="H1873" i="1"/>
  <c r="H1874" i="1"/>
  <c r="H1875" i="1"/>
  <c r="H1876" i="1"/>
  <c r="H1877" i="1"/>
  <c r="H1878" i="1"/>
  <c r="H2002" i="1"/>
  <c r="H2003" i="1"/>
  <c r="H2004" i="1"/>
  <c r="H2005" i="1"/>
  <c r="H1879" i="1"/>
  <c r="H1880" i="1"/>
  <c r="H1881" i="1"/>
  <c r="H1882" i="1"/>
  <c r="H1883" i="1"/>
  <c r="H1884" i="1"/>
  <c r="H1885" i="1"/>
  <c r="H1886" i="1"/>
  <c r="H547" i="1"/>
  <c r="H548" i="1"/>
  <c r="H746" i="1"/>
  <c r="H987" i="1"/>
  <c r="H1365" i="1"/>
  <c r="H2383" i="1"/>
  <c r="H310" i="1"/>
  <c r="H311" i="1"/>
  <c r="H312" i="1"/>
  <c r="H313" i="1"/>
  <c r="H314" i="1"/>
  <c r="H315" i="1"/>
  <c r="H316" i="1"/>
  <c r="H317" i="1"/>
  <c r="H318" i="1"/>
  <c r="H319" i="1"/>
  <c r="H320" i="1"/>
  <c r="H321" i="1"/>
  <c r="H322" i="1"/>
  <c r="H323" i="1"/>
  <c r="H324" i="1"/>
  <c r="H325" i="1"/>
  <c r="H326" i="1"/>
  <c r="H1366" i="1"/>
  <c r="H1455" i="1"/>
  <c r="H1456" i="1"/>
  <c r="H1457" i="1"/>
  <c r="H1458" i="1"/>
  <c r="H1459" i="1"/>
  <c r="H1460" i="1"/>
  <c r="H327" i="1"/>
  <c r="H328" i="1"/>
  <c r="H329" i="1"/>
  <c r="H330" i="1"/>
  <c r="H331" i="1"/>
  <c r="H332" i="1"/>
  <c r="H333" i="1"/>
  <c r="H334" i="1"/>
  <c r="H335" i="1"/>
  <c r="H336" i="1"/>
  <c r="H337" i="1"/>
  <c r="H338" i="1"/>
  <c r="H339" i="1"/>
  <c r="H340" i="1"/>
  <c r="H341" i="1"/>
  <c r="H342" i="1"/>
  <c r="H343" i="1"/>
  <c r="H451" i="1"/>
  <c r="H1244" i="1"/>
  <c r="H1245" i="1"/>
  <c r="H1246" i="1"/>
  <c r="H1247" i="1"/>
  <c r="H1248" i="1"/>
  <c r="H1249" i="1"/>
  <c r="H1250" i="1"/>
  <c r="H1251" i="1"/>
  <c r="H344" i="1"/>
  <c r="H345" i="1"/>
  <c r="H346" i="1"/>
  <c r="H747" i="1"/>
  <c r="H925" i="1"/>
  <c r="H2117" i="1"/>
  <c r="H2118" i="1"/>
  <c r="H2119" i="1"/>
  <c r="H1105" i="1"/>
  <c r="H1887" i="1"/>
  <c r="H988" i="1"/>
  <c r="H989" i="1"/>
  <c r="H1888" i="1"/>
  <c r="H30" i="1"/>
  <c r="H31" i="1"/>
  <c r="H32" i="1"/>
  <c r="H33" i="1"/>
  <c r="H34" i="1"/>
  <c r="H35" i="1"/>
  <c r="H36" i="1"/>
  <c r="H37" i="1"/>
  <c r="H38" i="1"/>
  <c r="H39" i="1"/>
  <c r="H664" i="1"/>
  <c r="H665" i="1"/>
  <c r="H666" i="1"/>
  <c r="H667" i="1"/>
  <c r="H668" i="1"/>
  <c r="H669" i="1"/>
  <c r="H670" i="1"/>
  <c r="H671" i="1"/>
  <c r="H672" i="1"/>
  <c r="H673" i="1"/>
  <c r="H674" i="1"/>
  <c r="H675" i="1"/>
  <c r="H676" i="1"/>
  <c r="H677" i="1"/>
  <c r="H678" i="1"/>
  <c r="H679" i="1"/>
  <c r="H680" i="1"/>
  <c r="H681" i="1"/>
  <c r="H682" i="1"/>
  <c r="H990" i="1"/>
  <c r="H991" i="1"/>
  <c r="H992" i="1"/>
  <c r="H993" i="1"/>
  <c r="H994" i="1"/>
  <c r="H995" i="1"/>
  <c r="H996" i="1"/>
  <c r="H997" i="1"/>
  <c r="H13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2274" i="1"/>
  <c r="H2275" i="1"/>
  <c r="H2276" i="1"/>
  <c r="H2277" i="1"/>
  <c r="H2278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451" i="1"/>
  <c r="V1244" i="1"/>
  <c r="V1245" i="1"/>
  <c r="V1246" i="1"/>
  <c r="V1247" i="1"/>
  <c r="V1248" i="1"/>
  <c r="V1249" i="1"/>
  <c r="V1250" i="1"/>
  <c r="V1251" i="1"/>
  <c r="V344" i="1"/>
  <c r="V345" i="1"/>
  <c r="V346" i="1"/>
  <c r="V747" i="1"/>
  <c r="V925" i="1"/>
  <c r="V2117" i="1"/>
  <c r="V2118" i="1"/>
  <c r="V2119" i="1"/>
  <c r="V1105" i="1"/>
  <c r="V1887" i="1"/>
  <c r="V988" i="1"/>
  <c r="V989" i="1"/>
  <c r="V1888" i="1"/>
  <c r="V30" i="1"/>
  <c r="V31" i="1"/>
  <c r="V32" i="1"/>
  <c r="V33" i="1"/>
  <c r="V34" i="1"/>
  <c r="V35" i="1"/>
  <c r="V36" i="1"/>
  <c r="V37" i="1"/>
  <c r="V38" i="1"/>
  <c r="V39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990" i="1"/>
  <c r="V991" i="1"/>
  <c r="V992" i="1"/>
  <c r="V993" i="1"/>
  <c r="V994" i="1"/>
  <c r="V995" i="1"/>
  <c r="V996" i="1"/>
  <c r="V997" i="1"/>
  <c r="V13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2274" i="1"/>
  <c r="V2275" i="1"/>
  <c r="V2276" i="1"/>
  <c r="V2277" i="1"/>
  <c r="V2278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451" i="1"/>
  <c r="W1244" i="1"/>
  <c r="W1245" i="1"/>
  <c r="W1246" i="1"/>
  <c r="W1247" i="1"/>
  <c r="W1248" i="1"/>
  <c r="W1249" i="1"/>
  <c r="W1250" i="1"/>
  <c r="W1251" i="1"/>
  <c r="W344" i="1"/>
  <c r="W345" i="1"/>
  <c r="W346" i="1"/>
  <c r="W747" i="1"/>
  <c r="W925" i="1"/>
  <c r="W2117" i="1"/>
  <c r="W2118" i="1"/>
  <c r="W2119" i="1"/>
  <c r="W1105" i="1"/>
  <c r="W1887" i="1"/>
  <c r="W988" i="1"/>
  <c r="W989" i="1"/>
  <c r="W1888" i="1"/>
  <c r="W30" i="1"/>
  <c r="W31" i="1"/>
  <c r="W32" i="1"/>
  <c r="W33" i="1"/>
  <c r="W34" i="1"/>
  <c r="W35" i="1"/>
  <c r="W36" i="1"/>
  <c r="W37" i="1"/>
  <c r="W38" i="1"/>
  <c r="W39" i="1"/>
  <c r="W664" i="1"/>
  <c r="W665" i="1"/>
  <c r="W666" i="1"/>
  <c r="W667" i="1"/>
  <c r="W668" i="1"/>
  <c r="W669" i="1"/>
  <c r="W670" i="1"/>
  <c r="W671" i="1"/>
  <c r="W672" i="1"/>
  <c r="W673" i="1"/>
  <c r="W674" i="1"/>
  <c r="W675" i="1"/>
  <c r="W676" i="1"/>
  <c r="W677" i="1"/>
  <c r="W678" i="1"/>
  <c r="W679" i="1"/>
  <c r="W680" i="1"/>
  <c r="W681" i="1"/>
  <c r="W682" i="1"/>
  <c r="W990" i="1"/>
  <c r="W991" i="1"/>
  <c r="W992" i="1"/>
  <c r="W993" i="1"/>
  <c r="W994" i="1"/>
  <c r="W995" i="1"/>
  <c r="W996" i="1"/>
  <c r="W997" i="1"/>
  <c r="W1367" i="1"/>
  <c r="W1568" i="1"/>
  <c r="W1569" i="1"/>
  <c r="W1570" i="1"/>
  <c r="W1571" i="1"/>
  <c r="W1572" i="1"/>
  <c r="W1573" i="1"/>
  <c r="W1574" i="1"/>
  <c r="W1575" i="1"/>
  <c r="W1576" i="1"/>
  <c r="W1577" i="1"/>
  <c r="W1578" i="1"/>
  <c r="W1579" i="1"/>
  <c r="W1580" i="1"/>
  <c r="W1581" i="1"/>
  <c r="W1582" i="1"/>
  <c r="W1583" i="1"/>
  <c r="W1584" i="1"/>
  <c r="W2274" i="1"/>
  <c r="W2275" i="1"/>
  <c r="W2276" i="1"/>
  <c r="W2277" i="1"/>
  <c r="W2278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451" i="1"/>
  <c r="X1244" i="1"/>
  <c r="X1245" i="1"/>
  <c r="X1246" i="1"/>
  <c r="X1247" i="1"/>
  <c r="X1248" i="1"/>
  <c r="X1249" i="1"/>
  <c r="X1250" i="1"/>
  <c r="X1251" i="1"/>
  <c r="X344" i="1"/>
  <c r="X345" i="1"/>
  <c r="X346" i="1"/>
  <c r="X747" i="1"/>
  <c r="X925" i="1"/>
  <c r="X2117" i="1"/>
  <c r="X2118" i="1"/>
  <c r="X2119" i="1"/>
  <c r="X1105" i="1"/>
  <c r="X1887" i="1"/>
  <c r="X988" i="1"/>
  <c r="X989" i="1"/>
  <c r="X1888" i="1"/>
  <c r="X30" i="1"/>
  <c r="X31" i="1"/>
  <c r="X32" i="1"/>
  <c r="X33" i="1"/>
  <c r="X34" i="1"/>
  <c r="X35" i="1"/>
  <c r="X36" i="1"/>
  <c r="X37" i="1"/>
  <c r="X38" i="1"/>
  <c r="X39" i="1"/>
  <c r="X664" i="1"/>
  <c r="X665" i="1"/>
  <c r="X666" i="1"/>
  <c r="X667" i="1"/>
  <c r="X668" i="1"/>
  <c r="X669" i="1"/>
  <c r="X670" i="1"/>
  <c r="X671" i="1"/>
  <c r="X672" i="1"/>
  <c r="X673" i="1"/>
  <c r="X674" i="1"/>
  <c r="X675" i="1"/>
  <c r="X676" i="1"/>
  <c r="X677" i="1"/>
  <c r="X678" i="1"/>
  <c r="X679" i="1"/>
  <c r="X680" i="1"/>
  <c r="X681" i="1"/>
  <c r="X682" i="1"/>
  <c r="X990" i="1"/>
  <c r="X991" i="1"/>
  <c r="X992" i="1"/>
  <c r="X993" i="1"/>
  <c r="X994" i="1"/>
  <c r="X995" i="1"/>
  <c r="X996" i="1"/>
  <c r="X997" i="1"/>
  <c r="X1367" i="1"/>
  <c r="X1568" i="1"/>
  <c r="X1569" i="1"/>
  <c r="X1570" i="1"/>
  <c r="X1571" i="1"/>
  <c r="X1572" i="1"/>
  <c r="X1573" i="1"/>
  <c r="X1574" i="1"/>
  <c r="X1575" i="1"/>
  <c r="X1576" i="1"/>
  <c r="X1577" i="1"/>
  <c r="X1578" i="1"/>
  <c r="X1579" i="1"/>
  <c r="X1580" i="1"/>
  <c r="X1581" i="1"/>
  <c r="X1582" i="1"/>
  <c r="X1583" i="1"/>
  <c r="X1584" i="1"/>
  <c r="X2274" i="1"/>
  <c r="X2275" i="1"/>
  <c r="X2276" i="1"/>
  <c r="X2277" i="1"/>
  <c r="X2278" i="1"/>
  <c r="V2100" i="1"/>
  <c r="V2101" i="1"/>
  <c r="V2072" i="1"/>
  <c r="V878" i="1"/>
  <c r="V1396" i="1"/>
  <c r="V351" i="1"/>
  <c r="V352" i="1"/>
  <c r="V1656" i="1"/>
  <c r="V1417" i="1"/>
  <c r="V629" i="1"/>
  <c r="V720" i="1"/>
  <c r="V256" i="1"/>
  <c r="V1455" i="1"/>
  <c r="V1456" i="1"/>
  <c r="V1457" i="1"/>
  <c r="V1458" i="1"/>
  <c r="V1459" i="1"/>
  <c r="V1460" i="1"/>
  <c r="V327" i="1"/>
  <c r="V328" i="1"/>
  <c r="V329" i="1"/>
  <c r="V330" i="1"/>
  <c r="V1814" i="1"/>
  <c r="V635" i="1"/>
  <c r="V636" i="1"/>
  <c r="V167" i="1"/>
  <c r="V168" i="1"/>
  <c r="V169" i="1"/>
  <c r="V170" i="1"/>
  <c r="V171" i="1"/>
  <c r="V1069" i="1"/>
  <c r="V1070" i="1"/>
  <c r="V533" i="1"/>
  <c r="V1071" i="1"/>
  <c r="V1072" i="1"/>
  <c r="V1073" i="1"/>
  <c r="V1074" i="1"/>
  <c r="V1075" i="1"/>
  <c r="V1076" i="1"/>
  <c r="V1077" i="1"/>
  <c r="V1078" i="1"/>
  <c r="V721" i="1"/>
  <c r="V722" i="1"/>
  <c r="V723" i="1"/>
  <c r="V849" i="1"/>
  <c r="V850" i="1"/>
  <c r="V851" i="1"/>
  <c r="V852" i="1"/>
  <c r="V853" i="1"/>
  <c r="V1748" i="1"/>
  <c r="V610" i="1"/>
  <c r="V611" i="1"/>
  <c r="V806" i="1"/>
  <c r="V807" i="1"/>
  <c r="V946" i="1"/>
  <c r="V947" i="1"/>
  <c r="V948" i="1"/>
  <c r="V949" i="1"/>
  <c r="V1306" i="1"/>
  <c r="V1307" i="1"/>
  <c r="V1308" i="1"/>
  <c r="V1309" i="1"/>
  <c r="V1310" i="1"/>
  <c r="V1311" i="1"/>
  <c r="V1498" i="1"/>
  <c r="V1499" i="1"/>
  <c r="V1500" i="1"/>
  <c r="V2148" i="1"/>
  <c r="V2149" i="1"/>
  <c r="V2150" i="1"/>
  <c r="V2151" i="1"/>
  <c r="V53" i="1"/>
  <c r="W2100" i="1"/>
  <c r="W2101" i="1"/>
  <c r="W2072" i="1"/>
  <c r="W878" i="1"/>
  <c r="W1396" i="1"/>
  <c r="W351" i="1"/>
  <c r="W352" i="1"/>
  <c r="W1656" i="1"/>
  <c r="W1417" i="1"/>
  <c r="W629" i="1"/>
  <c r="W720" i="1"/>
  <c r="W256" i="1"/>
  <c r="W1455" i="1"/>
  <c r="W1456" i="1"/>
  <c r="W1457" i="1"/>
  <c r="W1458" i="1"/>
  <c r="W1459" i="1"/>
  <c r="W1460" i="1"/>
  <c r="W327" i="1"/>
  <c r="W328" i="1"/>
  <c r="W329" i="1"/>
  <c r="W330" i="1"/>
  <c r="W1814" i="1"/>
  <c r="W635" i="1"/>
  <c r="W636" i="1"/>
  <c r="W167" i="1"/>
  <c r="W168" i="1"/>
  <c r="W169" i="1"/>
  <c r="W170" i="1"/>
  <c r="W171" i="1"/>
  <c r="W1069" i="1"/>
  <c r="W1070" i="1"/>
  <c r="W533" i="1"/>
  <c r="W1071" i="1"/>
  <c r="W1072" i="1"/>
  <c r="W1073" i="1"/>
  <c r="W1074" i="1"/>
  <c r="W1075" i="1"/>
  <c r="W1076" i="1"/>
  <c r="W1077" i="1"/>
  <c r="W1078" i="1"/>
  <c r="W721" i="1"/>
  <c r="W722" i="1"/>
  <c r="W723" i="1"/>
  <c r="W849" i="1"/>
  <c r="W850" i="1"/>
  <c r="W851" i="1"/>
  <c r="W852" i="1"/>
  <c r="W853" i="1"/>
  <c r="W1748" i="1"/>
  <c r="W610" i="1"/>
  <c r="W611" i="1"/>
  <c r="W806" i="1"/>
  <c r="W807" i="1"/>
  <c r="W946" i="1"/>
  <c r="W947" i="1"/>
  <c r="W948" i="1"/>
  <c r="W949" i="1"/>
  <c r="W1306" i="1"/>
  <c r="W1307" i="1"/>
  <c r="W1308" i="1"/>
  <c r="W1309" i="1"/>
  <c r="W1310" i="1"/>
  <c r="W1311" i="1"/>
  <c r="W1498" i="1"/>
  <c r="W1499" i="1"/>
  <c r="W1500" i="1"/>
  <c r="W2148" i="1"/>
  <c r="W2149" i="1"/>
  <c r="W2150" i="1"/>
  <c r="W2151" i="1"/>
  <c r="W53" i="1"/>
  <c r="X2100" i="1"/>
  <c r="X2101" i="1"/>
  <c r="X2072" i="1"/>
  <c r="X878" i="1"/>
  <c r="X1396" i="1"/>
  <c r="X351" i="1"/>
  <c r="X352" i="1"/>
  <c r="X1656" i="1"/>
  <c r="X1417" i="1"/>
  <c r="X629" i="1"/>
  <c r="X720" i="1"/>
  <c r="X256" i="1"/>
  <c r="X1455" i="1"/>
  <c r="X1456" i="1"/>
  <c r="X1457" i="1"/>
  <c r="X1458" i="1"/>
  <c r="X1459" i="1"/>
  <c r="X1460" i="1"/>
  <c r="X327" i="1"/>
  <c r="X328" i="1"/>
  <c r="X329" i="1"/>
  <c r="X330" i="1"/>
  <c r="X1814" i="1"/>
  <c r="X635" i="1"/>
  <c r="X636" i="1"/>
  <c r="X167" i="1"/>
  <c r="X168" i="1"/>
  <c r="X169" i="1"/>
  <c r="X170" i="1"/>
  <c r="X171" i="1"/>
  <c r="X1069" i="1"/>
  <c r="X1070" i="1"/>
  <c r="X533" i="1"/>
  <c r="X1071" i="1"/>
  <c r="X1072" i="1"/>
  <c r="X1073" i="1"/>
  <c r="X1074" i="1"/>
  <c r="X1075" i="1"/>
  <c r="X1076" i="1"/>
  <c r="X1077" i="1"/>
  <c r="X1078" i="1"/>
  <c r="X721" i="1"/>
  <c r="X722" i="1"/>
  <c r="X723" i="1"/>
  <c r="X849" i="1"/>
  <c r="X850" i="1"/>
  <c r="X851" i="1"/>
  <c r="X852" i="1"/>
  <c r="X853" i="1"/>
  <c r="X1748" i="1"/>
  <c r="X610" i="1"/>
  <c r="X611" i="1"/>
  <c r="X806" i="1"/>
  <c r="X807" i="1"/>
  <c r="X946" i="1"/>
  <c r="X947" i="1"/>
  <c r="X948" i="1"/>
  <c r="X949" i="1"/>
  <c r="X1306" i="1"/>
  <c r="X1307" i="1"/>
  <c r="X1308" i="1"/>
  <c r="X1309" i="1"/>
  <c r="X1310" i="1"/>
  <c r="X1311" i="1"/>
  <c r="X1498" i="1"/>
  <c r="X1499" i="1"/>
  <c r="X1500" i="1"/>
  <c r="X2148" i="1"/>
  <c r="X2149" i="1"/>
  <c r="X2150" i="1"/>
  <c r="X2151" i="1"/>
  <c r="X53" i="1"/>
  <c r="X958" i="1"/>
  <c r="X959" i="1"/>
  <c r="X1339" i="1"/>
  <c r="X1340" i="1"/>
  <c r="X1341" i="1"/>
  <c r="X1342" i="1"/>
  <c r="X1343" i="1"/>
  <c r="X1344" i="1"/>
  <c r="X1766" i="1"/>
  <c r="X1767" i="1"/>
  <c r="X1768" i="1"/>
  <c r="X2355" i="1"/>
  <c r="X2356" i="1"/>
  <c r="X2357" i="1"/>
  <c r="X2358" i="1"/>
  <c r="X2359" i="1"/>
  <c r="X1045" i="1"/>
  <c r="X1749" i="1"/>
  <c r="X1750" i="1"/>
  <c r="X1751" i="1"/>
  <c r="X1006" i="1"/>
  <c r="X1007" i="1"/>
  <c r="X6" i="1"/>
  <c r="X2102" i="1"/>
  <c r="X292" i="1"/>
  <c r="X293" i="1"/>
  <c r="X401" i="1"/>
  <c r="X630" i="1"/>
  <c r="X379" i="1"/>
  <c r="X2407" i="1"/>
  <c r="X605" i="1"/>
  <c r="X606" i="1"/>
  <c r="X607" i="1"/>
  <c r="X796" i="1"/>
  <c r="X1046" i="1"/>
  <c r="X1047" i="1"/>
  <c r="X1048" i="1"/>
  <c r="X1049" i="1"/>
  <c r="X1050" i="1"/>
  <c r="X1051" i="1"/>
  <c r="X1052" i="1"/>
  <c r="X257" i="1"/>
  <c r="X376" i="1"/>
  <c r="X377" i="1"/>
  <c r="X378" i="1"/>
  <c r="X484" i="1"/>
  <c r="X702" i="1"/>
  <c r="X1008" i="1"/>
  <c r="X1009" i="1"/>
  <c r="X1010" i="1"/>
  <c r="X1011" i="1"/>
  <c r="X1012" i="1"/>
  <c r="X1883" i="1"/>
  <c r="X1884" i="1"/>
  <c r="X1885" i="1"/>
  <c r="X1886" i="1"/>
  <c r="X547" i="1"/>
  <c r="X882" i="1"/>
  <c r="X883" i="1"/>
  <c r="X884" i="1"/>
  <c r="X885" i="1"/>
  <c r="X886" i="1"/>
  <c r="X887" i="1"/>
  <c r="X888" i="1"/>
  <c r="X889" i="1"/>
  <c r="X890" i="1"/>
  <c r="X891" i="1"/>
  <c r="X892" i="1"/>
  <c r="X1944" i="1"/>
  <c r="X612" i="1"/>
  <c r="X613" i="1"/>
  <c r="X614" i="1"/>
  <c r="X1632" i="1"/>
  <c r="X1633" i="1"/>
  <c r="X1634" i="1"/>
  <c r="X1501" i="1"/>
  <c r="X1502" i="1"/>
  <c r="X1503" i="1"/>
  <c r="X1504" i="1"/>
  <c r="X1505" i="1"/>
  <c r="X270" i="1"/>
  <c r="X271" i="1"/>
  <c r="X272" i="1"/>
  <c r="X273" i="1"/>
  <c r="X492" i="1"/>
  <c r="X493" i="1"/>
  <c r="X584" i="1"/>
  <c r="X585" i="1"/>
  <c r="X586" i="1"/>
  <c r="X587" i="1"/>
  <c r="X588" i="1"/>
  <c r="X1013" i="1"/>
  <c r="X1014" i="1"/>
  <c r="X1015" i="1"/>
  <c r="X1016" i="1"/>
  <c r="X1017" i="1"/>
  <c r="X1018" i="1"/>
  <c r="X1110" i="1"/>
  <c r="X1111" i="1"/>
  <c r="X2076" i="1"/>
  <c r="X2077" i="1"/>
  <c r="X2078" i="1"/>
  <c r="X2079" i="1"/>
  <c r="X534" i="1"/>
  <c r="X2073" i="1"/>
  <c r="X535" i="1"/>
  <c r="X536" i="1"/>
  <c r="X2103" i="1"/>
  <c r="X2104" i="1"/>
  <c r="X2105" i="1"/>
  <c r="X2106" i="1"/>
  <c r="X2107" i="1"/>
  <c r="X2108" i="1"/>
  <c r="X2109" i="1"/>
  <c r="X2110" i="1"/>
  <c r="X2111" i="1"/>
  <c r="X879" i="1"/>
  <c r="X880" i="1"/>
  <c r="X962" i="1"/>
  <c r="X963" i="1"/>
  <c r="X964" i="1"/>
  <c r="X965" i="1"/>
  <c r="X966" i="1"/>
  <c r="X1771" i="1"/>
  <c r="X1772" i="1"/>
  <c r="X1773" i="1"/>
  <c r="X1774" i="1"/>
  <c r="X1775" i="1"/>
  <c r="X1776" i="1"/>
  <c r="X1777" i="1"/>
  <c r="X1778" i="1"/>
  <c r="X353" i="1"/>
  <c r="X1022" i="1"/>
  <c r="X1917" i="1"/>
  <c r="X1918" i="1"/>
  <c r="X2158" i="1"/>
  <c r="X1604" i="1"/>
  <c r="X1115" i="1"/>
  <c r="X1483" i="1"/>
  <c r="X926" i="1"/>
  <c r="X927" i="1"/>
  <c r="X928" i="1"/>
  <c r="X929" i="1"/>
  <c r="X930" i="1"/>
  <c r="X931" i="1"/>
  <c r="X1023" i="1"/>
  <c r="X2224" i="1"/>
  <c r="X2225" i="1"/>
  <c r="X2226" i="1"/>
  <c r="X2227" i="1"/>
  <c r="X2228" i="1"/>
  <c r="X2229" i="1"/>
  <c r="X2230" i="1"/>
  <c r="X2231" i="1"/>
  <c r="X2232" i="1"/>
  <c r="X2233" i="1"/>
  <c r="X2234" i="1"/>
  <c r="X2235" i="1"/>
  <c r="X2236" i="1"/>
  <c r="X2408" i="1"/>
  <c r="X2409" i="1"/>
  <c r="X950" i="1"/>
  <c r="X951" i="1"/>
  <c r="X952" i="1"/>
  <c r="X1742" i="1"/>
  <c r="X1743" i="1"/>
  <c r="X1744" i="1"/>
  <c r="X2320" i="1"/>
  <c r="X2321" i="1"/>
  <c r="X2322" i="1"/>
  <c r="X2323" i="1"/>
  <c r="X2324" i="1"/>
  <c r="X2325" i="1"/>
  <c r="X2326" i="1"/>
  <c r="X703" i="1"/>
  <c r="X704" i="1"/>
  <c r="X705" i="1"/>
  <c r="X706" i="1"/>
  <c r="X707" i="1"/>
  <c r="X935" i="1"/>
  <c r="X1112" i="1"/>
  <c r="X1113" i="1"/>
  <c r="X1114" i="1"/>
  <c r="X1368" i="1"/>
  <c r="X1369" i="1"/>
  <c r="X1370" i="1"/>
  <c r="X1371" i="1"/>
  <c r="X1372" i="1"/>
  <c r="X1373" i="1"/>
  <c r="X1374" i="1"/>
  <c r="X1375" i="1"/>
  <c r="X207" i="1"/>
  <c r="X208" i="1"/>
  <c r="X209" i="1"/>
  <c r="X210" i="1"/>
  <c r="X2429" i="1"/>
  <c r="X2430" i="1"/>
  <c r="X2431" i="1"/>
  <c r="X724" i="1"/>
  <c r="X725" i="1"/>
  <c r="X726" i="1"/>
  <c r="X797" i="1"/>
  <c r="X798" i="1"/>
  <c r="X748" i="1"/>
  <c r="X749" i="1"/>
  <c r="X537" i="1"/>
  <c r="X978" i="1"/>
  <c r="X979" i="1"/>
  <c r="X1545" i="1"/>
  <c r="X1546" i="1"/>
  <c r="X1547" i="1"/>
  <c r="X1079" i="1"/>
  <c r="X1080" i="1"/>
  <c r="X172" i="1"/>
  <c r="X173" i="1"/>
  <c r="X174" i="1"/>
  <c r="X175" i="1"/>
  <c r="X176" i="1"/>
  <c r="X1024" i="1"/>
  <c r="X1025" i="1"/>
  <c r="X1026" i="1"/>
  <c r="X1027" i="1"/>
  <c r="X1028" i="1"/>
  <c r="X1029" i="1"/>
  <c r="X1713" i="1"/>
  <c r="X1714" i="1"/>
  <c r="X1715" i="1"/>
  <c r="X1116" i="1"/>
  <c r="X1117" i="1"/>
  <c r="X1118" i="1"/>
  <c r="X893" i="1"/>
  <c r="X1985" i="1"/>
  <c r="X1986" i="1"/>
  <c r="X1987" i="1"/>
  <c r="X1988" i="1"/>
  <c r="X177" i="1"/>
  <c r="X1327" i="1"/>
  <c r="X2184" i="1"/>
  <c r="X2185" i="1"/>
  <c r="X936" i="1"/>
  <c r="X937" i="1"/>
  <c r="X178" i="1"/>
  <c r="X179" i="1"/>
  <c r="X180" i="1"/>
  <c r="X54" i="1"/>
  <c r="X1989" i="1"/>
  <c r="X1990" i="1"/>
  <c r="X1991" i="1"/>
  <c r="X1992" i="1"/>
  <c r="X1993" i="1"/>
  <c r="X1994" i="1"/>
  <c r="X211" i="1"/>
  <c r="X212" i="1"/>
  <c r="X213" i="1"/>
  <c r="X214" i="1"/>
  <c r="X215" i="1"/>
  <c r="X589" i="1"/>
  <c r="X590" i="1"/>
  <c r="X591" i="1"/>
  <c r="X592" i="1"/>
  <c r="X593" i="1"/>
  <c r="X594" i="1"/>
  <c r="X595" i="1"/>
  <c r="X596" i="1"/>
  <c r="X597" i="1"/>
  <c r="X598" i="1"/>
  <c r="X599" i="1"/>
  <c r="X600" i="1"/>
  <c r="X601" i="1"/>
  <c r="X602" i="1"/>
  <c r="X603" i="1"/>
  <c r="X604" i="1"/>
  <c r="X772" i="1"/>
  <c r="X181" i="1"/>
  <c r="X182" i="1"/>
  <c r="X2237" i="1"/>
  <c r="X2238" i="1"/>
  <c r="X938" i="1"/>
  <c r="X939" i="1"/>
  <c r="X940" i="1"/>
  <c r="X1144" i="1"/>
  <c r="X918" i="1"/>
  <c r="X2239" i="1"/>
  <c r="X1153" i="1"/>
  <c r="X1154" i="1"/>
  <c r="X1155" i="1"/>
  <c r="X1156" i="1"/>
  <c r="X941" i="1"/>
  <c r="X1031" i="1"/>
  <c r="X548" i="1"/>
  <c r="X746" i="1"/>
  <c r="X987" i="1"/>
  <c r="X1995" i="1"/>
  <c r="X1996" i="1"/>
  <c r="X1376" i="1"/>
  <c r="X1377" i="1"/>
  <c r="X1591" i="1"/>
  <c r="X1592" i="1"/>
  <c r="X1593" i="1"/>
  <c r="X1594" i="1"/>
  <c r="X919" i="1"/>
  <c r="X920" i="1"/>
  <c r="X1081" i="1"/>
  <c r="X1082" i="1"/>
  <c r="X1083" i="1"/>
  <c r="X2432" i="1"/>
  <c r="X2433" i="1"/>
  <c r="X2434" i="1"/>
  <c r="X731" i="1"/>
  <c r="X1535" i="1"/>
  <c r="X1536" i="1"/>
  <c r="X1537" i="1"/>
  <c r="X1213" i="1"/>
  <c r="X1214" i="1"/>
  <c r="X1215" i="1"/>
  <c r="X1216" i="1"/>
  <c r="X1217" i="1"/>
  <c r="X1218" i="1"/>
  <c r="X402" i="1"/>
  <c r="X1157" i="1"/>
  <c r="X1158" i="1"/>
  <c r="X1159" i="1"/>
  <c r="X1160" i="1"/>
  <c r="X1161" i="1"/>
  <c r="X1162" i="1"/>
  <c r="X1163" i="1"/>
  <c r="X1164" i="1"/>
  <c r="X1165" i="1"/>
  <c r="X1166" i="1"/>
  <c r="X773" i="1"/>
  <c r="X1538" i="1"/>
  <c r="X1145" i="1"/>
  <c r="X216" i="1"/>
  <c r="X217" i="1"/>
  <c r="X1252" i="1"/>
  <c r="X1253" i="1"/>
  <c r="X1254" i="1"/>
  <c r="X1779" i="1"/>
  <c r="X1780" i="1"/>
  <c r="X529" i="1"/>
  <c r="X530" i="1"/>
  <c r="X2271" i="1"/>
  <c r="X1093" i="1"/>
  <c r="X921" i="1"/>
  <c r="X922" i="1"/>
  <c r="X923" i="1"/>
  <c r="X924" i="1"/>
  <c r="X2112" i="1"/>
  <c r="X1999" i="1"/>
  <c r="X2000" i="1"/>
  <c r="X2001" i="1"/>
  <c r="X540" i="1"/>
  <c r="X541" i="1"/>
  <c r="X542" i="1"/>
  <c r="X543" i="1"/>
  <c r="X544" i="1"/>
  <c r="X1094" i="1"/>
  <c r="X1095" i="1"/>
  <c r="X1096" i="1"/>
  <c r="X1097" i="1"/>
  <c r="X1682" i="1"/>
  <c r="X2272" i="1"/>
  <c r="X2273" i="1"/>
  <c r="X1564" i="1"/>
  <c r="X2113" i="1"/>
  <c r="X428" i="1"/>
  <c r="X429" i="1"/>
  <c r="X430" i="1"/>
  <c r="X431" i="1"/>
  <c r="X432" i="1"/>
  <c r="X433" i="1"/>
  <c r="X1997" i="1"/>
  <c r="X1998" i="1"/>
  <c r="X980" i="1"/>
  <c r="X981" i="1"/>
  <c r="X982" i="1"/>
  <c r="X983" i="1"/>
  <c r="X984" i="1"/>
  <c r="X985" i="1"/>
  <c r="X986" i="1"/>
  <c r="X1440" i="1"/>
  <c r="X1441" i="1"/>
  <c r="X1442" i="1"/>
  <c r="X1084" i="1"/>
  <c r="X1595" i="1"/>
  <c r="X1596" i="1"/>
  <c r="X2135" i="1"/>
  <c r="X2136" i="1"/>
  <c r="X2137" i="1"/>
  <c r="X2138" i="1"/>
  <c r="X183" i="1"/>
  <c r="X184" i="1"/>
  <c r="X185" i="1"/>
  <c r="X434" i="1"/>
  <c r="X435" i="1"/>
  <c r="X436" i="1"/>
  <c r="X437" i="1"/>
  <c r="X438" i="1"/>
  <c r="X439" i="1"/>
  <c r="X440" i="1"/>
  <c r="X441" i="1"/>
  <c r="X442" i="1"/>
  <c r="X443" i="1"/>
  <c r="X444" i="1"/>
  <c r="X445" i="1"/>
  <c r="X446" i="1"/>
  <c r="X1167" i="1"/>
  <c r="X1168" i="1"/>
  <c r="X1169" i="1"/>
  <c r="X487" i="1"/>
  <c r="X488" i="1"/>
  <c r="X1085" i="1"/>
  <c r="X1086" i="1"/>
  <c r="X1087" i="1"/>
  <c r="X2240" i="1"/>
  <c r="X1119" i="1"/>
  <c r="X1120" i="1"/>
  <c r="X2139" i="1"/>
  <c r="X1032" i="1"/>
  <c r="X953" i="1"/>
  <c r="X1299" i="1"/>
  <c r="X1657" i="1"/>
  <c r="X1658" i="1"/>
  <c r="X1659" i="1"/>
  <c r="X833" i="1"/>
  <c r="X834" i="1"/>
  <c r="X2252" i="1"/>
  <c r="X774" i="1"/>
  <c r="X775" i="1"/>
  <c r="X776" i="1"/>
  <c r="X954" i="1"/>
  <c r="X955" i="1"/>
  <c r="X956" i="1"/>
  <c r="X1506" i="1"/>
  <c r="X1507" i="1"/>
  <c r="X750" i="1"/>
  <c r="X751" i="1"/>
  <c r="X752" i="1"/>
  <c r="X753" i="1"/>
  <c r="X447" i="1"/>
  <c r="X448" i="1"/>
  <c r="X449" i="1"/>
  <c r="X450" i="1"/>
  <c r="X1098" i="1"/>
  <c r="X1099" i="1"/>
  <c r="X1100" i="1"/>
  <c r="X1101" i="1"/>
  <c r="X1102" i="1"/>
  <c r="X1229" i="1"/>
  <c r="X1230" i="1"/>
  <c r="X1231" i="1"/>
  <c r="X1232" i="1"/>
  <c r="X1233" i="1"/>
  <c r="X1234" i="1"/>
  <c r="X727" i="1"/>
  <c r="X1300" i="1"/>
  <c r="X1033" i="1"/>
  <c r="X1143" i="1"/>
  <c r="X1487" i="1"/>
  <c r="X1488" i="1"/>
  <c r="X1489" i="1"/>
  <c r="X1490" i="1"/>
  <c r="X347" i="1"/>
  <c r="X348" i="1"/>
  <c r="X349" i="1"/>
  <c r="X553" i="1"/>
  <c r="X554" i="1"/>
  <c r="X555" i="1"/>
  <c r="X556" i="1"/>
  <c r="X557" i="1"/>
  <c r="X558" i="1"/>
  <c r="X559" i="1"/>
  <c r="X1443" i="1"/>
  <c r="X1444" i="1"/>
  <c r="X1445" i="1"/>
  <c r="X1446" i="1"/>
  <c r="X1447" i="1"/>
  <c r="X648" i="1"/>
  <c r="X649" i="1"/>
  <c r="X650" i="1"/>
  <c r="X651" i="1"/>
  <c r="X652" i="1"/>
  <c r="X653" i="1"/>
  <c r="X1088" i="1"/>
  <c r="X1089" i="1"/>
  <c r="X637" i="1"/>
  <c r="X638" i="1"/>
  <c r="X639" i="1"/>
  <c r="X640" i="1"/>
  <c r="X641" i="1"/>
  <c r="X642" i="1"/>
  <c r="X643" i="1"/>
  <c r="X644" i="1"/>
  <c r="X645" i="1"/>
  <c r="X646" i="1"/>
  <c r="X647" i="1"/>
  <c r="X1090" i="1"/>
  <c r="X1091" i="1"/>
  <c r="X1092" i="1"/>
  <c r="X1228" i="1"/>
  <c r="X1553" i="1"/>
  <c r="X1677" i="1"/>
  <c r="X1678" i="1"/>
  <c r="X1679" i="1"/>
  <c r="X1833" i="1"/>
  <c r="X1539" i="1"/>
  <c r="X1540" i="1"/>
  <c r="X1541" i="1"/>
  <c r="X1542" i="1"/>
  <c r="X1543" i="1"/>
  <c r="X298" i="1"/>
  <c r="X1061" i="1"/>
  <c r="X1348" i="1"/>
  <c r="X1781" i="1"/>
  <c r="X1782" i="1"/>
  <c r="X1783" i="1"/>
  <c r="X1784" i="1"/>
  <c r="X1785" i="1"/>
  <c r="X1786" i="1"/>
  <c r="X1787" i="1"/>
  <c r="X1788" i="1"/>
  <c r="X2360" i="1"/>
  <c r="X2361" i="1"/>
  <c r="X2362" i="1"/>
  <c r="X2363" i="1"/>
  <c r="X1544" i="1"/>
  <c r="X2074" i="1"/>
  <c r="X2075" i="1"/>
  <c r="X2435" i="1"/>
  <c r="X1789" i="1"/>
  <c r="X1790" i="1"/>
  <c r="X1791" i="1"/>
  <c r="X1792" i="1"/>
  <c r="X1793" i="1"/>
  <c r="X1794" i="1"/>
  <c r="X1795" i="1"/>
  <c r="X1219" i="1"/>
  <c r="X1220" i="1"/>
  <c r="X1221" i="1"/>
  <c r="X1222" i="1"/>
  <c r="X1223" i="1"/>
  <c r="X1224" i="1"/>
  <c r="X728" i="1"/>
  <c r="X960" i="1"/>
  <c r="X1058" i="1"/>
  <c r="X1208" i="1"/>
  <c r="X1209" i="1"/>
  <c r="X1210" i="1"/>
  <c r="X1211" i="1"/>
  <c r="X1345" i="1"/>
  <c r="X1426" i="1"/>
  <c r="X1515" i="1"/>
  <c r="X1516" i="1"/>
  <c r="X1517" i="1"/>
  <c r="X1508" i="1"/>
  <c r="X1509" i="1"/>
  <c r="X1171" i="1"/>
  <c r="X275" i="1"/>
  <c r="X276" i="1"/>
  <c r="X277" i="1"/>
  <c r="X278" i="1"/>
  <c r="X1172" i="1"/>
  <c r="X1173" i="1"/>
  <c r="X1174" i="1"/>
  <c r="X1175" i="1"/>
  <c r="X1176" i="1"/>
  <c r="X391" i="1"/>
  <c r="X392" i="1"/>
  <c r="X279" i="1"/>
  <c r="X832" i="1"/>
  <c r="X1330" i="1"/>
  <c r="X139" i="1"/>
  <c r="X393" i="1"/>
  <c r="X716" i="1"/>
  <c r="X1177" i="1"/>
  <c r="X1178" i="1"/>
  <c r="X489" i="1"/>
  <c r="X808" i="1"/>
  <c r="X809" i="1"/>
  <c r="X810" i="1"/>
  <c r="X2037" i="1"/>
  <c r="X2038" i="1"/>
  <c r="X2039" i="1"/>
  <c r="X1312" i="1"/>
  <c r="X1313" i="1"/>
  <c r="X1314" i="1"/>
  <c r="X1315" i="1"/>
  <c r="X1316" i="1"/>
  <c r="X1317" i="1"/>
  <c r="X1318" i="1"/>
  <c r="X1319" i="1"/>
  <c r="X1320" i="1"/>
  <c r="X1321" i="1"/>
  <c r="X1322" i="1"/>
  <c r="X1627" i="1"/>
  <c r="X1628" i="1"/>
  <c r="X1629" i="1"/>
  <c r="X1929" i="1"/>
  <c r="X1930" i="1"/>
  <c r="X1931" i="1"/>
  <c r="X1932" i="1"/>
  <c r="X1933" i="1"/>
  <c r="X1934" i="1"/>
  <c r="X2035" i="1"/>
  <c r="X2176" i="1"/>
  <c r="X777" i="1"/>
  <c r="X778" i="1"/>
  <c r="X779" i="1"/>
  <c r="X780" i="1"/>
  <c r="X781" i="1"/>
  <c r="X782" i="1"/>
  <c r="X2387" i="1"/>
  <c r="X2388" i="1"/>
  <c r="X2389" i="1"/>
  <c r="X2390" i="1"/>
  <c r="X99" i="1"/>
  <c r="X100" i="1"/>
  <c r="X101" i="1"/>
  <c r="X102" i="1"/>
  <c r="X103" i="1"/>
  <c r="X104" i="1"/>
  <c r="X560" i="1"/>
  <c r="X561" i="1"/>
  <c r="X562" i="1"/>
  <c r="X563" i="1"/>
  <c r="X564" i="1"/>
  <c r="X565" i="1"/>
  <c r="X566" i="1"/>
  <c r="X1382" i="1"/>
  <c r="X1383" i="1"/>
  <c r="X1384" i="1"/>
  <c r="X1385" i="1"/>
  <c r="X1386" i="1"/>
  <c r="X1387" i="1"/>
  <c r="X1388" i="1"/>
  <c r="X1389" i="1"/>
  <c r="X1390" i="1"/>
  <c r="X1391" i="1"/>
  <c r="X1712" i="1"/>
  <c r="X2140" i="1"/>
  <c r="X2141" i="1"/>
  <c r="X2142" i="1"/>
  <c r="X2143" i="1"/>
  <c r="X2144" i="1"/>
  <c r="X2145" i="1"/>
  <c r="X2280" i="1"/>
  <c r="X2281" i="1"/>
  <c r="X2282" i="1"/>
  <c r="X2283" i="1"/>
  <c r="X550" i="1"/>
  <c r="X551" i="1"/>
  <c r="X552" i="1"/>
  <c r="X768" i="1"/>
  <c r="X769" i="1"/>
  <c r="X770" i="1"/>
  <c r="X1479" i="1"/>
  <c r="X1255" i="1"/>
  <c r="X1256" i="1"/>
  <c r="X1257" i="1"/>
  <c r="X1258" i="1"/>
  <c r="X1259" i="1"/>
  <c r="X1260" i="1"/>
  <c r="X1261" i="1"/>
  <c r="X1262" i="1"/>
  <c r="X1263" i="1"/>
  <c r="X1264" i="1"/>
  <c r="X1265" i="1"/>
  <c r="X1266" i="1"/>
  <c r="X1267" i="1"/>
  <c r="X754" i="1"/>
  <c r="X1235" i="1"/>
  <c r="X1236" i="1"/>
  <c r="X1237" i="1"/>
  <c r="X1448" i="1"/>
  <c r="X2040" i="1"/>
  <c r="X2041" i="1"/>
  <c r="X2042" i="1"/>
  <c r="X2043" i="1"/>
  <c r="X2044" i="1"/>
  <c r="X186" i="1"/>
  <c r="X187" i="1"/>
  <c r="X188" i="1"/>
  <c r="X1449" i="1"/>
  <c r="X835" i="1"/>
  <c r="X836" i="1"/>
  <c r="X837" i="1"/>
  <c r="X2045" i="1"/>
  <c r="X494" i="1"/>
  <c r="X1493" i="1"/>
  <c r="X1494" i="1"/>
  <c r="X2177" i="1"/>
  <c r="X495" i="1"/>
  <c r="X496" i="1"/>
  <c r="X128" i="1"/>
  <c r="X129" i="1"/>
  <c r="X130" i="1"/>
  <c r="X1323" i="1"/>
  <c r="X2178" i="1"/>
  <c r="X2307" i="1"/>
  <c r="X2308" i="1"/>
  <c r="X2309" i="1"/>
  <c r="X1324" i="1"/>
  <c r="X1325" i="1"/>
  <c r="X403" i="1"/>
  <c r="X404" i="1"/>
  <c r="X1834" i="1"/>
  <c r="X1835" i="1"/>
  <c r="X1836" i="1"/>
  <c r="X189" i="1"/>
  <c r="X531" i="1"/>
  <c r="X532" i="1"/>
  <c r="X1436" i="1"/>
  <c r="X1437" i="1"/>
  <c r="X1438" i="1"/>
  <c r="X1439" i="1"/>
  <c r="X838" i="1"/>
  <c r="X839" i="1"/>
  <c r="X840" i="1"/>
  <c r="X841" i="1"/>
  <c r="X842" i="1"/>
  <c r="X1189" i="1"/>
  <c r="X1190" i="1"/>
  <c r="X1185" i="1"/>
  <c r="X2241" i="1"/>
  <c r="X1179" i="1"/>
  <c r="X1495" i="1"/>
  <c r="X1496" i="1"/>
  <c r="X1497" i="1"/>
  <c r="X2179" i="1"/>
  <c r="X784" i="1"/>
  <c r="X785" i="1"/>
  <c r="X786" i="1"/>
  <c r="X105" i="1"/>
  <c r="X106" i="1"/>
  <c r="X107" i="1"/>
  <c r="X108" i="1"/>
  <c r="X109" i="1"/>
  <c r="X110" i="1"/>
  <c r="X567" i="1"/>
  <c r="X1480" i="1"/>
  <c r="X2385" i="1"/>
  <c r="X2386" i="1"/>
  <c r="X1268" i="1"/>
  <c r="X1269" i="1"/>
  <c r="X1690" i="1"/>
  <c r="X1518" i="1"/>
  <c r="X1519" i="1"/>
  <c r="X1520" i="1"/>
  <c r="X1661" i="1"/>
  <c r="X1662" i="1"/>
  <c r="X1769" i="1"/>
  <c r="X1770" i="1"/>
  <c r="X2049" i="1"/>
  <c r="X2411" i="1"/>
  <c r="X2412" i="1"/>
  <c r="X2413" i="1"/>
  <c r="X2414" i="1"/>
  <c r="X2327" i="1"/>
  <c r="X2328" i="1"/>
  <c r="X1191" i="1"/>
  <c r="X783" i="1"/>
  <c r="X1121" i="1"/>
  <c r="X1122" i="1"/>
  <c r="X111" i="1"/>
  <c r="X2180" i="1"/>
  <c r="X2312" i="1"/>
  <c r="X755" i="1"/>
  <c r="X131" i="1"/>
  <c r="X132" i="1"/>
  <c r="X133" i="1"/>
  <c r="X134" i="1"/>
  <c r="X135" i="1"/>
  <c r="X1945" i="1"/>
  <c r="X1946" i="1"/>
  <c r="X1947" i="1"/>
  <c r="X1948" i="1"/>
  <c r="X1123" i="1"/>
  <c r="X1124" i="1"/>
  <c r="X1125" i="1"/>
  <c r="X1126" i="1"/>
  <c r="X1127" i="1"/>
  <c r="X1128" i="1"/>
  <c r="X1129" i="1"/>
  <c r="X1130" i="1"/>
  <c r="X1131" i="1"/>
  <c r="X1132" i="1"/>
  <c r="X1133" i="1"/>
  <c r="X1134" i="1"/>
  <c r="X1135" i="1"/>
  <c r="X1136" i="1"/>
  <c r="X1137" i="1"/>
  <c r="X1138" i="1"/>
  <c r="X1139" i="1"/>
  <c r="X1691" i="1"/>
  <c r="X1692" i="1"/>
  <c r="X756" i="1"/>
  <c r="X757" i="1"/>
  <c r="X758" i="1"/>
  <c r="X759" i="1"/>
  <c r="X760" i="1"/>
  <c r="X761" i="1"/>
  <c r="X762" i="1"/>
  <c r="X763" i="1"/>
  <c r="X1837" i="1"/>
  <c r="X1225" i="1"/>
  <c r="X163" i="1"/>
  <c r="X164" i="1"/>
  <c r="X1346" i="1"/>
  <c r="X519" i="1"/>
  <c r="X520" i="1"/>
  <c r="X1180" i="1"/>
  <c r="X1181" i="1"/>
  <c r="X1949" i="1"/>
  <c r="X1950" i="1"/>
  <c r="X2313" i="1"/>
  <c r="X2401" i="1"/>
  <c r="X2402" i="1"/>
  <c r="X459" i="1"/>
  <c r="X460" i="1"/>
  <c r="X1693" i="1"/>
  <c r="X1694" i="1"/>
  <c r="X998" i="1"/>
  <c r="X1106" i="1"/>
  <c r="X1482" i="1"/>
  <c r="X405" i="1"/>
  <c r="X1554" i="1"/>
  <c r="X654" i="1"/>
  <c r="X655" i="1"/>
  <c r="X656" i="1"/>
  <c r="X657" i="1"/>
  <c r="X658" i="1"/>
  <c r="X1192" i="1"/>
  <c r="X1193" i="1"/>
  <c r="X1194" i="1"/>
  <c r="X1182" i="1"/>
  <c r="X1183" i="1"/>
  <c r="X1184" i="1"/>
  <c r="X2186" i="1"/>
  <c r="X1420" i="1"/>
  <c r="X190" i="1"/>
  <c r="X2127" i="1"/>
  <c r="X1666" i="1"/>
  <c r="X1667" i="1"/>
  <c r="X1668" i="1"/>
  <c r="X2423" i="1"/>
  <c r="X2424" i="1"/>
  <c r="X2425" i="1"/>
  <c r="X2426" i="1"/>
  <c r="X16" i="1"/>
  <c r="X1951" i="1"/>
  <c r="X1952" i="1"/>
  <c r="X1953" i="1"/>
  <c r="X787" i="1"/>
  <c r="X788" i="1"/>
  <c r="X2128" i="1"/>
  <c r="X2129" i="1"/>
  <c r="X2130" i="1"/>
  <c r="X2131" i="1"/>
  <c r="X2242" i="1"/>
  <c r="X2243" i="1"/>
  <c r="X2244" i="1"/>
  <c r="X1421" i="1"/>
  <c r="X1422" i="1"/>
  <c r="X2332" i="1"/>
  <c r="X2333" i="1"/>
  <c r="X2132" i="1"/>
  <c r="X659" i="1"/>
  <c r="X660" i="1"/>
  <c r="X661" i="1"/>
  <c r="X662" i="1"/>
  <c r="X663" i="1"/>
  <c r="X1226" i="1"/>
  <c r="X2245" i="1"/>
  <c r="X2246" i="1"/>
  <c r="X2247" i="1"/>
  <c r="X521" i="1"/>
  <c r="X522" i="1"/>
  <c r="X523" i="1"/>
  <c r="X524" i="1"/>
  <c r="X631" i="1"/>
  <c r="X1961" i="1"/>
  <c r="X1962" i="1"/>
  <c r="X2080" i="1"/>
  <c r="X2081" i="1"/>
  <c r="X22" i="1"/>
  <c r="X23" i="1"/>
  <c r="X24" i="1"/>
  <c r="X165" i="1"/>
  <c r="X166" i="1"/>
  <c r="X971" i="1"/>
  <c r="X972" i="1"/>
  <c r="X1963" i="1"/>
  <c r="X2257" i="1"/>
  <c r="X1195" i="1"/>
  <c r="X1196" i="1"/>
  <c r="X1197" i="1"/>
  <c r="X1198" i="1"/>
  <c r="X2403" i="1"/>
  <c r="X2404" i="1"/>
  <c r="X2405" i="1"/>
  <c r="X2406" i="1"/>
  <c r="X2036" i="1"/>
  <c r="X258" i="1"/>
  <c r="X259" i="1"/>
  <c r="X1140" i="1"/>
  <c r="X1141" i="1"/>
  <c r="X1142" i="1"/>
  <c r="X2133" i="1"/>
  <c r="X2134" i="1"/>
  <c r="X1423" i="1"/>
  <c r="X1424" i="1"/>
  <c r="X140" i="1"/>
  <c r="X2187" i="1"/>
  <c r="X2188" i="1"/>
  <c r="X2189" i="1"/>
  <c r="X2190" i="1"/>
  <c r="X2191" i="1"/>
  <c r="X2192" i="1"/>
  <c r="X2193" i="1"/>
  <c r="X2194" i="1"/>
  <c r="X2195" i="1"/>
  <c r="X2196" i="1"/>
  <c r="X1227" i="1"/>
  <c r="X1349" i="1"/>
  <c r="X1548" i="1"/>
  <c r="X294" i="1"/>
  <c r="X2289" i="1"/>
  <c r="X2290" i="1"/>
  <c r="X2291" i="1"/>
  <c r="X389" i="1"/>
  <c r="X390" i="1"/>
  <c r="X1635" i="1"/>
  <c r="X1636" i="1"/>
  <c r="X1637" i="1"/>
  <c r="X1638" i="1"/>
  <c r="X1639" i="1"/>
  <c r="X1640" i="1"/>
  <c r="X1549" i="1"/>
  <c r="X1550" i="1"/>
  <c r="X461" i="1"/>
  <c r="X462" i="1"/>
  <c r="X463" i="1"/>
  <c r="X615" i="1"/>
  <c r="X295" i="1"/>
  <c r="X296" i="1"/>
  <c r="X1964" i="1"/>
  <c r="X145" i="1"/>
  <c r="X146" i="1"/>
  <c r="X147" i="1"/>
  <c r="X729" i="1"/>
  <c r="X730" i="1"/>
  <c r="X1427" i="1"/>
  <c r="X1428" i="1"/>
  <c r="X1429" i="1"/>
  <c r="X1430" i="1"/>
  <c r="X1431" i="1"/>
  <c r="X1450" i="1"/>
  <c r="X1451" i="1"/>
  <c r="X1452" i="1"/>
  <c r="X1453" i="1"/>
  <c r="X1454" i="1"/>
  <c r="X1855" i="1"/>
  <c r="X1856" i="1"/>
  <c r="X1857" i="1"/>
  <c r="X1858" i="1"/>
  <c r="X112" i="1"/>
  <c r="X113" i="1"/>
  <c r="X771" i="1"/>
  <c r="X1276" i="1"/>
  <c r="X1484" i="1"/>
  <c r="X1605" i="1"/>
  <c r="X1606" i="1"/>
  <c r="X1607" i="1"/>
  <c r="X1608" i="1"/>
  <c r="X973" i="1"/>
  <c r="X974" i="1"/>
  <c r="X975" i="1"/>
  <c r="X789" i="1"/>
  <c r="X790" i="1"/>
  <c r="X791" i="1"/>
  <c r="X260" i="1"/>
  <c r="X261" i="1"/>
  <c r="X262" i="1"/>
  <c r="X263" i="1"/>
  <c r="X264" i="1"/>
  <c r="X1555" i="1"/>
  <c r="X1556" i="1"/>
  <c r="X1557" i="1"/>
  <c r="X1558" i="1"/>
  <c r="X1551" i="1"/>
  <c r="X1552" i="1"/>
  <c r="X616" i="1"/>
  <c r="X464" i="1"/>
  <c r="X465" i="1"/>
  <c r="X2292" i="1"/>
  <c r="X2293" i="1"/>
  <c r="X698" i="1"/>
  <c r="X699" i="1"/>
  <c r="X700" i="1"/>
  <c r="X701" i="1"/>
  <c r="X732" i="1"/>
  <c r="X733" i="1"/>
  <c r="X734" i="1"/>
  <c r="X1859" i="1"/>
  <c r="X1860" i="1"/>
  <c r="X1861" i="1"/>
  <c r="X1862" i="1"/>
  <c r="X1863" i="1"/>
  <c r="X1864" i="1"/>
  <c r="X1865" i="1"/>
  <c r="X1866" i="1"/>
  <c r="X1609" i="1"/>
  <c r="X1610" i="1"/>
  <c r="X2007" i="1"/>
  <c r="X2008" i="1"/>
  <c r="X2009" i="1"/>
  <c r="X2010" i="1"/>
  <c r="X2011" i="1"/>
  <c r="X2012" i="1"/>
  <c r="X2013" i="1"/>
  <c r="X1107" i="1"/>
  <c r="X1108" i="1"/>
  <c r="X1461" i="1"/>
  <c r="X1462" i="1"/>
  <c r="X25" i="1"/>
  <c r="X26" i="1"/>
  <c r="X792" i="1"/>
  <c r="X793" i="1"/>
  <c r="X794" i="1"/>
  <c r="X795" i="1"/>
  <c r="X1418" i="1"/>
  <c r="X1419" i="1"/>
  <c r="X976" i="1"/>
  <c r="X977" i="1"/>
  <c r="X1796" i="1"/>
  <c r="X1797" i="1"/>
  <c r="X2014" i="1"/>
  <c r="X2015" i="1"/>
  <c r="X2016" i="1"/>
  <c r="X735" i="1"/>
  <c r="X1432" i="1"/>
  <c r="X1433" i="1"/>
  <c r="X1365" i="1"/>
  <c r="X2383" i="1"/>
  <c r="X310" i="1"/>
  <c r="X1798" i="1"/>
  <c r="X243" i="1"/>
  <c r="X244" i="1"/>
  <c r="X55" i="1"/>
  <c r="X56" i="1"/>
  <c r="X452" i="1"/>
  <c r="X453" i="1"/>
  <c r="X454" i="1"/>
  <c r="X455" i="1"/>
  <c r="X1867" i="1"/>
  <c r="X1868" i="1"/>
  <c r="X1869" i="1"/>
  <c r="X1559" i="1"/>
  <c r="X736" i="1"/>
  <c r="X1434" i="1"/>
  <c r="X1663" i="1"/>
  <c r="X1664" i="1"/>
  <c r="X2415" i="1"/>
  <c r="X2197" i="1"/>
  <c r="X1397" i="1"/>
  <c r="X1398" i="1"/>
  <c r="X1399" i="1"/>
  <c r="X617" i="1"/>
  <c r="X618" i="1"/>
  <c r="X942" i="1"/>
  <c r="X1722" i="1"/>
  <c r="X1723" i="1"/>
  <c r="X1724" i="1"/>
  <c r="X1400" i="1"/>
  <c r="X1401" i="1"/>
  <c r="X1402" i="1"/>
  <c r="X1403" i="1"/>
  <c r="X1463" i="1"/>
  <c r="X1464" i="1"/>
  <c r="X1465" i="1"/>
  <c r="X1199" i="1"/>
  <c r="X1764" i="1"/>
  <c r="X1765" i="1"/>
  <c r="X2253" i="1"/>
  <c r="X2254" i="1"/>
  <c r="X2255" i="1"/>
  <c r="X2256" i="1"/>
  <c r="X943" i="1"/>
  <c r="X944" i="1"/>
  <c r="X945" i="1"/>
  <c r="X1146" i="1"/>
  <c r="X2198" i="1"/>
  <c r="X1560" i="1"/>
  <c r="X1561" i="1"/>
  <c r="X1562" i="1"/>
  <c r="X1563" i="1"/>
  <c r="X2199" i="1"/>
  <c r="X2200" i="1"/>
  <c r="X2201" i="1"/>
  <c r="X2202" i="1"/>
  <c r="X2203" i="1"/>
  <c r="X27" i="1"/>
  <c r="X738" i="1"/>
  <c r="X1680" i="1"/>
  <c r="X2416" i="1"/>
  <c r="X1954" i="1"/>
  <c r="X1870" i="1"/>
  <c r="X739" i="1"/>
  <c r="X17" i="1"/>
  <c r="X2204" i="1"/>
  <c r="X2205" i="1"/>
  <c r="X2206" i="1"/>
  <c r="X2207" i="1"/>
  <c r="X2208" i="1"/>
  <c r="X2209" i="1"/>
  <c r="X2210" i="1"/>
  <c r="X2211" i="1"/>
  <c r="X466" i="1"/>
  <c r="X2329" i="1"/>
  <c r="X2330" i="1"/>
  <c r="X2331" i="1"/>
  <c r="X490" i="1"/>
  <c r="X491" i="1"/>
  <c r="X1871" i="1"/>
  <c r="X467" i="1"/>
  <c r="X468" i="1"/>
  <c r="X469" i="1"/>
  <c r="X470" i="1"/>
  <c r="X471" i="1"/>
  <c r="X1905" i="1"/>
  <c r="X1906" i="1"/>
  <c r="X1907" i="1"/>
  <c r="X1908" i="1"/>
  <c r="X1909" i="1"/>
  <c r="X1910" i="1"/>
  <c r="X1911" i="1"/>
  <c r="X1912" i="1"/>
  <c r="X1913" i="1"/>
  <c r="X1914" i="1"/>
  <c r="X1915" i="1"/>
  <c r="X1916" i="1"/>
  <c r="X218" i="1"/>
  <c r="X219" i="1"/>
  <c r="X220" i="1"/>
  <c r="X221" i="1"/>
  <c r="X222" i="1"/>
  <c r="X472" i="1"/>
  <c r="X1270" i="1"/>
  <c r="X1271" i="1"/>
  <c r="X1272" i="1"/>
  <c r="X1273" i="1"/>
  <c r="X1274" i="1"/>
  <c r="X1597" i="1"/>
  <c r="X1598" i="1"/>
  <c r="X473" i="1"/>
  <c r="X474" i="1"/>
  <c r="X475" i="1"/>
  <c r="X2006" i="1"/>
  <c r="X223" i="1"/>
  <c r="X224" i="1"/>
  <c r="X225" i="1"/>
  <c r="X1681" i="1"/>
  <c r="X406" i="1"/>
  <c r="X407" i="1"/>
  <c r="X408" i="1"/>
  <c r="X409" i="1"/>
  <c r="X410" i="1"/>
  <c r="X411" i="1"/>
  <c r="X412" i="1"/>
  <c r="X737" i="1"/>
  <c r="X1669" i="1"/>
  <c r="X1670" i="1"/>
  <c r="X1671" i="1"/>
  <c r="X1672" i="1"/>
  <c r="X1673" i="1"/>
  <c r="X1674" i="1"/>
  <c r="X1675" i="1"/>
  <c r="X1676" i="1"/>
  <c r="X2364" i="1"/>
  <c r="X2365" i="1"/>
  <c r="X2366" i="1"/>
  <c r="X538" i="1"/>
  <c r="X1935" i="1"/>
  <c r="X1491" i="1"/>
  <c r="X1492" i="1"/>
  <c r="X2392" i="1"/>
  <c r="X1290" i="1"/>
  <c r="X1291" i="1"/>
  <c r="X1292" i="1"/>
  <c r="X1293" i="1"/>
  <c r="X456" i="1"/>
  <c r="X549" i="1"/>
  <c r="X457" i="1"/>
  <c r="X458" i="1"/>
  <c r="X41" i="1"/>
  <c r="X42" i="1"/>
  <c r="X43" i="1"/>
  <c r="X44" i="1"/>
  <c r="X45" i="1"/>
  <c r="X46" i="1"/>
  <c r="X47" i="1"/>
  <c r="X48" i="1"/>
  <c r="X49" i="1"/>
  <c r="X50" i="1"/>
  <c r="X51" i="1"/>
  <c r="X683" i="1"/>
  <c r="X539" i="1"/>
  <c r="X1815" i="1"/>
  <c r="X1816" i="1"/>
  <c r="X1817" i="1"/>
  <c r="X1818" i="1"/>
  <c r="X2248" i="1"/>
  <c r="X2249" i="1"/>
  <c r="X2250" i="1"/>
  <c r="X2251" i="1"/>
  <c r="X620" i="1"/>
  <c r="X621" i="1"/>
  <c r="X622" i="1"/>
  <c r="X623" i="1"/>
  <c r="X624" i="1"/>
  <c r="X625" i="1"/>
  <c r="X626" i="1"/>
  <c r="X627" i="1"/>
  <c r="X1053" i="1"/>
  <c r="X226" i="1"/>
  <c r="X227" i="1"/>
  <c r="X228" i="1"/>
  <c r="X2284" i="1"/>
  <c r="X2285" i="1"/>
  <c r="X2286" i="1"/>
  <c r="X2287" i="1"/>
  <c r="X2288" i="1"/>
  <c r="X1695" i="1"/>
  <c r="X1696" i="1"/>
  <c r="X1697" i="1"/>
  <c r="X1698" i="1"/>
  <c r="X1699" i="1"/>
  <c r="X1700" i="1"/>
  <c r="X1701" i="1"/>
  <c r="X1702" i="1"/>
  <c r="X1703" i="1"/>
  <c r="X2212" i="1"/>
  <c r="X1704" i="1"/>
  <c r="X1705" i="1"/>
  <c r="X1706" i="1"/>
  <c r="X1707" i="1"/>
  <c r="X1708" i="1"/>
  <c r="X1709" i="1"/>
  <c r="X1710" i="1"/>
  <c r="X1711" i="1"/>
  <c r="X476" i="1"/>
  <c r="X477" i="1"/>
  <c r="X1019" i="1"/>
  <c r="X1799" i="1"/>
  <c r="X1800" i="1"/>
  <c r="X1801" i="1"/>
  <c r="X1802" i="1"/>
  <c r="X1803" i="1"/>
  <c r="X1804" i="1"/>
  <c r="X1805" i="1"/>
  <c r="X1062" i="1"/>
  <c r="X1510" i="1"/>
  <c r="X1147" i="1"/>
  <c r="X1148" i="1"/>
  <c r="X1149" i="1"/>
  <c r="X2213" i="1"/>
  <c r="X2214" i="1"/>
  <c r="X57" i="1"/>
  <c r="X311" i="1"/>
  <c r="X1872" i="1"/>
  <c r="X1511" i="1"/>
  <c r="X1512" i="1"/>
  <c r="X1186" i="1"/>
  <c r="X1187" i="1"/>
  <c r="X2215" i="1"/>
  <c r="X1955" i="1"/>
  <c r="X1956" i="1"/>
  <c r="X497" i="1"/>
  <c r="X826" i="1"/>
  <c r="X191" i="1"/>
  <c r="X192" i="1"/>
  <c r="X1404" i="1"/>
  <c r="X1405" i="1"/>
  <c r="X1406" i="1"/>
  <c r="X1407" i="1"/>
  <c r="X1408" i="1"/>
  <c r="X1409" i="1"/>
  <c r="X1410" i="1"/>
  <c r="X1411" i="1"/>
  <c r="X1412" i="1"/>
  <c r="X1413" i="1"/>
  <c r="X1414" i="1"/>
  <c r="X312" i="1"/>
  <c r="X313" i="1"/>
  <c r="X2120" i="1"/>
  <c r="X413" i="1"/>
  <c r="X414" i="1"/>
  <c r="X415" i="1"/>
  <c r="X416" i="1"/>
  <c r="X740" i="1"/>
  <c r="X18" i="1"/>
  <c r="X19" i="1"/>
  <c r="X1611" i="1"/>
  <c r="X684" i="1"/>
  <c r="X741" i="1"/>
  <c r="X742" i="1"/>
  <c r="X743" i="1"/>
  <c r="X1150" i="1"/>
  <c r="X485" i="1"/>
  <c r="X1294" i="1"/>
  <c r="X1295" i="1"/>
  <c r="X1296" i="1"/>
  <c r="X1297" i="1"/>
  <c r="X1298" i="1"/>
  <c r="X1725" i="1"/>
  <c r="X1726" i="1"/>
  <c r="X2417" i="1"/>
  <c r="X854" i="1"/>
  <c r="X1020" i="1"/>
  <c r="X855" i="1"/>
  <c r="X856" i="1"/>
  <c r="X857" i="1"/>
  <c r="X858" i="1"/>
  <c r="X859" i="1"/>
  <c r="X860" i="1"/>
  <c r="X961" i="1"/>
  <c r="X1059" i="1"/>
  <c r="X2216" i="1"/>
  <c r="X2217" i="1"/>
  <c r="X2218" i="1"/>
  <c r="X2219" i="1"/>
  <c r="X2220" i="1"/>
  <c r="X2221" i="1"/>
  <c r="X2222" i="1"/>
  <c r="X2223" i="1"/>
  <c r="X280" i="1"/>
  <c r="X281" i="1"/>
  <c r="X282" i="1"/>
  <c r="X1612" i="1"/>
  <c r="X1613" i="1"/>
  <c r="X1599" i="1"/>
  <c r="X1600" i="1"/>
  <c r="X1601" i="1"/>
  <c r="X245" i="1"/>
  <c r="X2114" i="1"/>
  <c r="X2115" i="1"/>
  <c r="X2116" i="1"/>
  <c r="X967" i="1"/>
  <c r="X283" i="1"/>
  <c r="X284" i="1"/>
  <c r="X285" i="1"/>
  <c r="X286" i="1"/>
  <c r="X287" i="1"/>
  <c r="X499" i="1"/>
  <c r="X500" i="1"/>
  <c r="X501" i="1"/>
  <c r="X827" i="1"/>
  <c r="X10" i="1"/>
  <c r="X11" i="1"/>
  <c r="X12" i="1"/>
  <c r="X2181" i="1"/>
  <c r="X246" i="1"/>
  <c r="X1060" i="1"/>
  <c r="X1347" i="1"/>
  <c r="X1435" i="1"/>
  <c r="X1665" i="1"/>
  <c r="X2258" i="1"/>
  <c r="X2259" i="1"/>
  <c r="X1727" i="1"/>
  <c r="X744" i="1"/>
  <c r="X745" i="1"/>
  <c r="X1350" i="1"/>
  <c r="X1063" i="1"/>
  <c r="X1064" i="1"/>
  <c r="X968" i="1"/>
  <c r="X969" i="1"/>
  <c r="X970" i="1"/>
  <c r="X1534" i="1"/>
  <c r="X861" i="1"/>
  <c r="X862" i="1"/>
  <c r="X863" i="1"/>
  <c r="X864" i="1"/>
  <c r="X865" i="1"/>
  <c r="X1959" i="1"/>
  <c r="X142" i="1"/>
  <c r="X619" i="1"/>
  <c r="X1957" i="1"/>
  <c r="X1958" i="1"/>
  <c r="X2046" i="1"/>
  <c r="X2047" i="1"/>
  <c r="X2334" i="1"/>
  <c r="X1614" i="1"/>
  <c r="X1615" i="1"/>
  <c r="X1616" i="1"/>
  <c r="X685" i="1"/>
  <c r="X686" i="1"/>
  <c r="X687" i="1"/>
  <c r="X688" i="1"/>
  <c r="X689" i="1"/>
  <c r="X417" i="1"/>
  <c r="X418" i="1"/>
  <c r="X1351" i="1"/>
  <c r="X1065" i="1"/>
  <c r="X2065" i="1"/>
  <c r="X2066" i="1"/>
  <c r="X2067" i="1"/>
  <c r="X2264" i="1"/>
  <c r="X2265" i="1"/>
  <c r="X143" i="1"/>
  <c r="X2048" i="1"/>
  <c r="X502" i="1"/>
  <c r="X503" i="1"/>
  <c r="X504" i="1"/>
  <c r="X505" i="1"/>
  <c r="X2335" i="1"/>
  <c r="X2182" i="1"/>
  <c r="X2314" i="1"/>
  <c r="X708" i="1"/>
  <c r="X709" i="1"/>
  <c r="X710" i="1"/>
  <c r="X711" i="1"/>
  <c r="X712" i="1"/>
  <c r="X1728" i="1"/>
  <c r="X1729" i="1"/>
  <c r="X1617" i="1"/>
  <c r="X1618" i="1"/>
  <c r="X58" i="1"/>
  <c r="X2121" i="1"/>
  <c r="X2279" i="1"/>
  <c r="X2384" i="1"/>
  <c r="X40" i="1"/>
  <c r="X2336" i="1"/>
  <c r="X193" i="1"/>
  <c r="X194" i="1"/>
  <c r="X195" i="1"/>
  <c r="X196" i="1"/>
  <c r="X197" i="1"/>
  <c r="X198" i="1"/>
  <c r="X1066" i="1"/>
  <c r="X247" i="1"/>
  <c r="X248" i="1"/>
  <c r="X249" i="1"/>
  <c r="X419" i="1"/>
  <c r="X420" i="1"/>
  <c r="X421" i="1"/>
  <c r="X250" i="1"/>
  <c r="X2367" i="1"/>
  <c r="X2368" i="1"/>
  <c r="X2369" i="1"/>
  <c r="X2266" i="1"/>
  <c r="X2267" i="1"/>
  <c r="X2183" i="1"/>
  <c r="X1326" i="1"/>
  <c r="X811" i="1"/>
  <c r="X812" i="1"/>
  <c r="X813" i="1"/>
  <c r="X814" i="1"/>
  <c r="X815" i="1"/>
  <c r="X816" i="1"/>
  <c r="X1730" i="1"/>
  <c r="X1731" i="1"/>
  <c r="X764" i="1"/>
  <c r="X765" i="1"/>
  <c r="X766" i="1"/>
  <c r="X866" i="1"/>
  <c r="X867" i="1"/>
  <c r="X2050" i="1"/>
  <c r="X2051" i="1"/>
  <c r="X2052" i="1"/>
  <c r="X2053" i="1"/>
  <c r="X2054" i="1"/>
  <c r="X144" i="1"/>
  <c r="X13" i="1"/>
  <c r="X141" i="1"/>
  <c r="X2337" i="1"/>
  <c r="X817" i="1"/>
  <c r="X1732" i="1"/>
  <c r="X1481" i="1"/>
  <c r="X52" i="1"/>
  <c r="X868" i="1"/>
  <c r="X869" i="1"/>
  <c r="X870" i="1"/>
  <c r="X871" i="1"/>
  <c r="X872" i="1"/>
  <c r="X873" i="1"/>
  <c r="X874" i="1"/>
  <c r="X59" i="1"/>
  <c r="X60" i="1"/>
  <c r="X61" i="1"/>
  <c r="X62" i="1"/>
  <c r="X63" i="1"/>
  <c r="X2055" i="1"/>
  <c r="X2056" i="1"/>
  <c r="X2057" i="1"/>
  <c r="X2058" i="1"/>
  <c r="X2059" i="1"/>
  <c r="X2060" i="1"/>
  <c r="X2061" i="1"/>
  <c r="X64" i="1"/>
  <c r="X65" i="1"/>
  <c r="X66" i="1"/>
  <c r="X67" i="1"/>
  <c r="X68" i="1"/>
  <c r="X69" i="1"/>
  <c r="X70" i="1"/>
  <c r="X71" i="1"/>
  <c r="X72" i="1"/>
  <c r="X73" i="1"/>
  <c r="X1067" i="1"/>
  <c r="X1068" i="1"/>
  <c r="X20" i="1"/>
  <c r="X713" i="1"/>
  <c r="X714" i="1"/>
  <c r="X715" i="1"/>
  <c r="X1301" i="1"/>
  <c r="X1302" i="1"/>
  <c r="X1303" i="1"/>
  <c r="X1630" i="1"/>
  <c r="X1631" i="1"/>
  <c r="X2315" i="1"/>
  <c r="X2316" i="1"/>
  <c r="X2317" i="1"/>
  <c r="X2318" i="1"/>
  <c r="X1034" i="1"/>
  <c r="X1021" i="1"/>
  <c r="X1378" i="1"/>
  <c r="X1379" i="1"/>
  <c r="X1380" i="1"/>
  <c r="X767" i="1"/>
  <c r="X1466" i="1"/>
  <c r="X1467" i="1"/>
  <c r="X1468" i="1"/>
  <c r="X1469" i="1"/>
  <c r="X2370" i="1"/>
  <c r="X2371" i="1"/>
  <c r="X2372" i="1"/>
  <c r="X2373" i="1"/>
  <c r="X2374" i="1"/>
  <c r="X2375" i="1"/>
  <c r="X2376" i="1"/>
  <c r="X2377" i="1"/>
  <c r="X2378" i="1"/>
  <c r="X2379" i="1"/>
  <c r="X2380" i="1"/>
  <c r="X2381" i="1"/>
  <c r="X28" i="1"/>
  <c r="X29" i="1"/>
  <c r="X1565" i="1"/>
  <c r="X199" i="1"/>
  <c r="X200" i="1"/>
  <c r="X201" i="1"/>
  <c r="X202" i="1"/>
  <c r="X2062" i="1"/>
  <c r="X2063" i="1"/>
  <c r="X2064" i="1"/>
  <c r="X632" i="1"/>
  <c r="X633" i="1"/>
  <c r="X634" i="1"/>
  <c r="X719" i="1"/>
  <c r="X1200" i="1"/>
  <c r="X1201" i="1"/>
  <c r="X1202" i="1"/>
  <c r="X1203" i="1"/>
  <c r="X1619" i="1"/>
  <c r="X1620" i="1"/>
  <c r="X1621" i="1"/>
  <c r="X1716" i="1"/>
  <c r="X1717" i="1"/>
  <c r="X1718" i="1"/>
  <c r="X1719" i="1"/>
  <c r="X1720" i="1"/>
  <c r="X1721" i="1"/>
  <c r="X1919" i="1"/>
  <c r="X203" i="1"/>
  <c r="X204" i="1"/>
  <c r="X1819" i="1"/>
  <c r="X1820" i="1"/>
  <c r="X818" i="1"/>
  <c r="X819" i="1"/>
  <c r="X820" i="1"/>
  <c r="X821" i="1"/>
  <c r="X1733" i="1"/>
  <c r="X1734" i="1"/>
  <c r="X1735" i="1"/>
  <c r="X1470" i="1"/>
  <c r="X1471" i="1"/>
  <c r="X1472" i="1"/>
  <c r="X1473" i="1"/>
  <c r="X314" i="1"/>
  <c r="X315" i="1"/>
  <c r="X316" i="1"/>
  <c r="X317" i="1"/>
  <c r="X1204" i="1"/>
  <c r="X1205" i="1"/>
  <c r="X1206" i="1"/>
  <c r="X1207" i="1"/>
  <c r="X1035" i="1"/>
  <c r="X74" i="1"/>
  <c r="X75" i="1"/>
  <c r="X76" i="1"/>
  <c r="X1381" i="1"/>
  <c r="X1602" i="1"/>
  <c r="X1603" i="1"/>
  <c r="X7" i="1"/>
  <c r="X8" i="1"/>
  <c r="X9" i="1"/>
  <c r="X1474" i="1"/>
  <c r="X1109" i="1"/>
  <c r="X422" i="1"/>
  <c r="X506" i="1"/>
  <c r="X77" i="1"/>
  <c r="X78" i="1"/>
  <c r="X79" i="1"/>
  <c r="X80" i="1"/>
  <c r="X81" i="1"/>
  <c r="X82" i="1"/>
  <c r="X1475" i="1"/>
  <c r="X1476" i="1"/>
  <c r="X1477" i="1"/>
  <c r="X1478" i="1"/>
  <c r="X999" i="1"/>
  <c r="X1000" i="1"/>
  <c r="X2268" i="1"/>
  <c r="X1036" i="1"/>
  <c r="X1151" i="1"/>
  <c r="X1152" i="1"/>
  <c r="X507" i="1"/>
  <c r="X508" i="1"/>
  <c r="X509" i="1"/>
  <c r="X510" i="1"/>
  <c r="X511" i="1"/>
  <c r="X1645" i="1"/>
  <c r="X1352" i="1"/>
  <c r="X1304" i="1"/>
  <c r="X1305" i="1"/>
  <c r="X2319" i="1"/>
  <c r="X265" i="1"/>
  <c r="X266" i="1"/>
  <c r="X267" i="1"/>
  <c r="X423" i="1"/>
  <c r="X1054" i="1"/>
  <c r="X136" i="1"/>
  <c r="X1920" i="1"/>
  <c r="X1921" i="1"/>
  <c r="X1922" i="1"/>
  <c r="X1923" i="1"/>
  <c r="X1924" i="1"/>
  <c r="X1925" i="1"/>
  <c r="X1926" i="1"/>
  <c r="X1927" i="1"/>
  <c r="X690" i="1"/>
  <c r="X691" i="1"/>
  <c r="X692" i="1"/>
  <c r="X693" i="1"/>
  <c r="X268" i="1"/>
  <c r="X83" i="1"/>
  <c r="X84" i="1"/>
  <c r="X1001" i="1"/>
  <c r="X1928" i="1"/>
  <c r="X2017" i="1"/>
  <c r="X2018" i="1"/>
  <c r="X2019" i="1"/>
  <c r="X2020" i="1"/>
  <c r="X2021" i="1"/>
  <c r="X2022" i="1"/>
  <c r="X1646" i="1"/>
  <c r="X1647" i="1"/>
  <c r="X1648" i="1"/>
  <c r="X1649" i="1"/>
  <c r="X1650" i="1"/>
  <c r="X1651" i="1"/>
  <c r="X1652" i="1"/>
  <c r="X1566" i="1"/>
  <c r="X1567" i="1"/>
  <c r="X1683" i="1"/>
  <c r="X1684" i="1"/>
  <c r="X1335" i="1"/>
  <c r="X1336" i="1"/>
  <c r="X1337" i="1"/>
  <c r="X1338" i="1"/>
  <c r="X1425" i="1"/>
  <c r="X1960" i="1"/>
  <c r="X843" i="1"/>
  <c r="X2023" i="1"/>
  <c r="X2024" i="1"/>
  <c r="X2025" i="1"/>
  <c r="X2026" i="1"/>
  <c r="X2027" i="1"/>
  <c r="X2028" i="1"/>
  <c r="X2029" i="1"/>
  <c r="X2030" i="1"/>
  <c r="X2031" i="1"/>
  <c r="X2032" i="1"/>
  <c r="X1055" i="1"/>
  <c r="X1056" i="1"/>
  <c r="X1057" i="1"/>
  <c r="X1188" i="1"/>
  <c r="X1331" i="1"/>
  <c r="X1332" i="1"/>
  <c r="X1333" i="1"/>
  <c r="X318" i="1"/>
  <c r="X319" i="1"/>
  <c r="X2033" i="1"/>
  <c r="X2034" i="1"/>
  <c r="X229" i="1"/>
  <c r="X1002" i="1"/>
  <c r="X251" i="1"/>
  <c r="X252" i="1"/>
  <c r="X2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2159" i="1"/>
  <c r="X2160" i="1"/>
  <c r="X2161" i="1"/>
  <c r="X2162" i="1"/>
  <c r="X2163" i="1"/>
  <c r="X2164" i="1"/>
  <c r="X2165" i="1"/>
  <c r="X21" i="1"/>
  <c r="X1806" i="1"/>
  <c r="X1685" i="1"/>
  <c r="X1686" i="1"/>
  <c r="X1687" i="1"/>
  <c r="X1688" i="1"/>
  <c r="X1689" i="1"/>
  <c r="X1334" i="1"/>
  <c r="X517" i="1"/>
  <c r="X1821" i="1"/>
  <c r="X518" i="1"/>
  <c r="X1752" i="1"/>
  <c r="X1753" i="1"/>
  <c r="X1754" i="1"/>
  <c r="X1755" i="1"/>
  <c r="X1756" i="1"/>
  <c r="X1757" i="1"/>
  <c r="X1758" i="1"/>
  <c r="X85" i="1"/>
  <c r="X231" i="1"/>
  <c r="X232" i="1"/>
  <c r="X233" i="1"/>
  <c r="X1822" i="1"/>
  <c r="X1823" i="1"/>
  <c r="X1824" i="1"/>
  <c r="X1825" i="1"/>
  <c r="X844" i="1"/>
  <c r="X845" i="1"/>
  <c r="X269" i="1"/>
  <c r="X486" i="1"/>
  <c r="X1037" i="1"/>
  <c r="X1759" i="1"/>
  <c r="X1760" i="1"/>
  <c r="X2447" i="1"/>
  <c r="X2448" i="1"/>
  <c r="X2449" i="1"/>
  <c r="X2450" i="1"/>
  <c r="X2451" i="1"/>
  <c r="X2452" i="1"/>
  <c r="X2453" i="1"/>
  <c r="X2454" i="1"/>
  <c r="X205" i="1"/>
  <c r="X206" i="1"/>
  <c r="X545" i="1"/>
  <c r="X546" i="1"/>
  <c r="X1103" i="1"/>
  <c r="X1104" i="1"/>
  <c r="X2382" i="1"/>
  <c r="X1238" i="1"/>
  <c r="X1239" i="1"/>
  <c r="X1240" i="1"/>
  <c r="X1241" i="1"/>
  <c r="X2338" i="1"/>
  <c r="X2339" i="1"/>
  <c r="X137" i="1"/>
  <c r="X1038" i="1"/>
  <c r="X1039" i="1"/>
  <c r="X799" i="1"/>
  <c r="X800" i="1"/>
  <c r="X801" i="1"/>
  <c r="X2269" i="1"/>
  <c r="X2427" i="1"/>
  <c r="X2428" i="1"/>
  <c r="X1736" i="1"/>
  <c r="X1737" i="1"/>
  <c r="X1738" i="1"/>
  <c r="X1739" i="1"/>
  <c r="X1740" i="1"/>
  <c r="X1741" i="1"/>
  <c r="X2310" i="1"/>
  <c r="X2311" i="1"/>
  <c r="X694" i="1"/>
  <c r="X695" i="1"/>
  <c r="X696" i="1"/>
  <c r="X1826" i="1"/>
  <c r="X1827" i="1"/>
  <c r="X2166" i="1"/>
  <c r="X2167" i="1"/>
  <c r="X2168" i="1"/>
  <c r="X2169" i="1"/>
  <c r="X1242" i="1"/>
  <c r="X1243" i="1"/>
  <c r="X1873" i="1"/>
  <c r="X1874" i="1"/>
  <c r="X1875" i="1"/>
  <c r="X1876" i="1"/>
  <c r="X1877" i="1"/>
  <c r="X1878" i="1"/>
  <c r="X2002" i="1"/>
  <c r="X2003" i="1"/>
  <c r="X2004" i="1"/>
  <c r="X2005" i="1"/>
  <c r="X1879" i="1"/>
  <c r="X1880" i="1"/>
  <c r="X2170" i="1"/>
  <c r="X2171" i="1"/>
  <c r="X2172" i="1"/>
  <c r="X2173" i="1"/>
  <c r="X2174" i="1"/>
  <c r="X2175" i="1"/>
  <c r="X2294" i="1"/>
  <c r="X2295" i="1"/>
  <c r="X2296" i="1"/>
  <c r="X2297" i="1"/>
  <c r="X2298" i="1"/>
  <c r="X369" i="1"/>
  <c r="X370" i="1"/>
  <c r="X2299" i="1"/>
  <c r="X2300" i="1"/>
  <c r="X2301" i="1"/>
  <c r="X1003" i="1"/>
  <c r="X1004" i="1"/>
  <c r="X1761" i="1"/>
  <c r="X1762" i="1"/>
  <c r="X14" i="1"/>
  <c r="X15" i="1"/>
  <c r="X2410" i="1"/>
  <c r="X288" i="1"/>
  <c r="X289" i="1"/>
  <c r="X290" i="1"/>
  <c r="X1807" i="1"/>
  <c r="X2270" i="1"/>
  <c r="X2436" i="1"/>
  <c r="X1965" i="1"/>
  <c r="X1966" i="1"/>
  <c r="X1967" i="1"/>
  <c r="X1968" i="1"/>
  <c r="X1969" i="1"/>
  <c r="X1970" i="1"/>
  <c r="X1971" i="1"/>
  <c r="X1972" i="1"/>
  <c r="X291" i="1"/>
  <c r="X394" i="1"/>
  <c r="X717" i="1"/>
  <c r="X2340" i="1"/>
  <c r="X802" i="1"/>
  <c r="X2393" i="1"/>
  <c r="X2394" i="1"/>
  <c r="X2395" i="1"/>
  <c r="X2302" i="1"/>
  <c r="X2303" i="1"/>
  <c r="X2304" i="1"/>
  <c r="X2305" i="1"/>
  <c r="X2306" i="1"/>
  <c r="X234" i="1"/>
  <c r="X235" i="1"/>
  <c r="X320" i="1"/>
  <c r="X321" i="1"/>
  <c r="X322" i="1"/>
  <c r="X323" i="1"/>
  <c r="X324" i="1"/>
  <c r="X325" i="1"/>
  <c r="X297" i="1"/>
  <c r="X1212" i="1"/>
  <c r="X2068" i="1"/>
  <c r="X2069" i="1"/>
  <c r="X2070" i="1"/>
  <c r="X138" i="1"/>
  <c r="X274" i="1"/>
  <c r="X498" i="1"/>
  <c r="X828" i="1"/>
  <c r="X829" i="1"/>
  <c r="X830" i="1"/>
  <c r="X831" i="1"/>
  <c r="X1170" i="1"/>
  <c r="X1745" i="1"/>
  <c r="X1746" i="1"/>
  <c r="X1747" i="1"/>
  <c r="X1328" i="1"/>
  <c r="X1329" i="1"/>
  <c r="X1641" i="1"/>
  <c r="X1642" i="1"/>
  <c r="X2391" i="1"/>
  <c r="X114" i="1"/>
  <c r="X115" i="1"/>
  <c r="X116" i="1"/>
  <c r="X117" i="1"/>
  <c r="X1005" i="1"/>
  <c r="X1585" i="1"/>
  <c r="X1586" i="1"/>
  <c r="X1587" i="1"/>
  <c r="X1588" i="1"/>
  <c r="X1589" i="1"/>
  <c r="X1590" i="1"/>
  <c r="X2122" i="1"/>
  <c r="X1521" i="1"/>
  <c r="X424" i="1"/>
  <c r="X425" i="1"/>
  <c r="X426" i="1"/>
  <c r="X427" i="1"/>
  <c r="X894" i="1"/>
  <c r="X895" i="1"/>
  <c r="X896" i="1"/>
  <c r="X897" i="1"/>
  <c r="X898" i="1"/>
  <c r="X899" i="1"/>
  <c r="X900" i="1"/>
  <c r="X1522" i="1"/>
  <c r="X1523" i="1"/>
  <c r="X1524" i="1"/>
  <c r="X1525" i="1"/>
  <c r="X1526" i="1"/>
  <c r="X1527" i="1"/>
  <c r="X1528" i="1"/>
  <c r="X1529" i="1"/>
  <c r="X1530" i="1"/>
  <c r="X1531" i="1"/>
  <c r="X1532" i="1"/>
  <c r="X1533" i="1"/>
  <c r="X371" i="1"/>
  <c r="X372" i="1"/>
  <c r="X373" i="1"/>
  <c r="X374" i="1"/>
  <c r="X375" i="1"/>
  <c r="X568" i="1"/>
  <c r="X569" i="1"/>
  <c r="X570" i="1"/>
  <c r="X571" i="1"/>
  <c r="X572" i="1"/>
  <c r="X573" i="1"/>
  <c r="X574" i="1"/>
  <c r="X575" i="1"/>
  <c r="X576" i="1"/>
  <c r="X846" i="1"/>
  <c r="X847" i="1"/>
  <c r="X848" i="1"/>
  <c r="X1660" i="1"/>
  <c r="X398" i="1"/>
  <c r="X399" i="1"/>
  <c r="X400" i="1"/>
  <c r="X822" i="1"/>
  <c r="X823" i="1"/>
  <c r="X824" i="1"/>
  <c r="X825" i="1"/>
  <c r="X119" i="1"/>
  <c r="X120" i="1"/>
  <c r="X121" i="1"/>
  <c r="X122" i="1"/>
  <c r="X1973" i="1"/>
  <c r="X1974" i="1"/>
  <c r="X1975" i="1"/>
  <c r="X1976" i="1"/>
  <c r="X1977" i="1"/>
  <c r="X1978" i="1"/>
  <c r="X1353" i="1"/>
  <c r="X1354" i="1"/>
  <c r="X1355" i="1"/>
  <c r="X803" i="1"/>
  <c r="X1979" i="1"/>
  <c r="X1980" i="1"/>
  <c r="X1981" i="1"/>
  <c r="X1982" i="1"/>
  <c r="X1808" i="1"/>
  <c r="X1809" i="1"/>
  <c r="X1810" i="1"/>
  <c r="X1811" i="1"/>
  <c r="X1812" i="1"/>
  <c r="X1813" i="1"/>
  <c r="X804" i="1"/>
  <c r="X805" i="1"/>
  <c r="X380" i="1"/>
  <c r="X381" i="1"/>
  <c r="X382" i="1"/>
  <c r="X383" i="1"/>
  <c r="X384" i="1"/>
  <c r="X385" i="1"/>
  <c r="X386" i="1"/>
  <c r="X2396" i="1"/>
  <c r="X2397" i="1"/>
  <c r="X1356" i="1"/>
  <c r="X1357" i="1"/>
  <c r="X1358" i="1"/>
  <c r="X1359" i="1"/>
  <c r="X1360" i="1"/>
  <c r="X1361" i="1"/>
  <c r="X1362" i="1"/>
  <c r="X1363" i="1"/>
  <c r="X1364" i="1"/>
  <c r="X1838" i="1"/>
  <c r="X1839" i="1"/>
  <c r="X1840" i="1"/>
  <c r="X1841" i="1"/>
  <c r="X1842" i="1"/>
  <c r="X1843" i="1"/>
  <c r="X1844" i="1"/>
  <c r="X1845" i="1"/>
  <c r="X1846" i="1"/>
  <c r="X1847" i="1"/>
  <c r="X1848" i="1"/>
  <c r="X1849" i="1"/>
  <c r="X1850" i="1"/>
  <c r="X2260" i="1"/>
  <c r="X2261" i="1"/>
  <c r="X2262" i="1"/>
  <c r="X2263" i="1"/>
  <c r="X2418" i="1"/>
  <c r="X2419" i="1"/>
  <c r="X2420" i="1"/>
  <c r="X2421" i="1"/>
  <c r="X2422" i="1"/>
  <c r="X148" i="1"/>
  <c r="X149" i="1"/>
  <c r="X150" i="1"/>
  <c r="X151" i="1"/>
  <c r="X152" i="1"/>
  <c r="X153" i="1"/>
  <c r="X154" i="1"/>
  <c r="X155" i="1"/>
  <c r="X156" i="1"/>
  <c r="X157" i="1"/>
  <c r="X158" i="1"/>
  <c r="X159" i="1"/>
  <c r="X160" i="1"/>
  <c r="X161" i="1"/>
  <c r="X162" i="1"/>
  <c r="X236" i="1"/>
  <c r="X237" i="1"/>
  <c r="X238" i="1"/>
  <c r="X239" i="1"/>
  <c r="X240" i="1"/>
  <c r="X241" i="1"/>
  <c r="X242" i="1"/>
  <c r="X350" i="1"/>
  <c r="X1275" i="1"/>
  <c r="X2152" i="1"/>
  <c r="X2153" i="1"/>
  <c r="X2154" i="1"/>
  <c r="X2155" i="1"/>
  <c r="X2156" i="1"/>
  <c r="X2157" i="1"/>
  <c r="X478" i="1"/>
  <c r="X479" i="1"/>
  <c r="X480" i="1"/>
  <c r="X86" i="1"/>
  <c r="X87" i="1"/>
  <c r="X88" i="1"/>
  <c r="X89" i="1"/>
  <c r="X90" i="1"/>
  <c r="X91" i="1"/>
  <c r="X92" i="1"/>
  <c r="X93" i="1"/>
  <c r="X94" i="1"/>
  <c r="X95" i="1"/>
  <c r="X96" i="1"/>
  <c r="X97" i="1"/>
  <c r="X525" i="1"/>
  <c r="X526" i="1"/>
  <c r="X527" i="1"/>
  <c r="X230" i="1"/>
  <c r="X718" i="1"/>
  <c r="X528" i="1"/>
  <c r="X875" i="1"/>
  <c r="X876" i="1"/>
  <c r="X877" i="1"/>
  <c r="X98" i="1"/>
  <c r="X577" i="1"/>
  <c r="X578" i="1"/>
  <c r="X579" i="1"/>
  <c r="X1828" i="1"/>
  <c r="X1829" i="1"/>
  <c r="X1983" i="1"/>
  <c r="X1984" i="1"/>
  <c r="X1830" i="1"/>
  <c r="X1763" i="1"/>
  <c r="X2354" i="1"/>
  <c r="X395" i="1"/>
  <c r="X2398" i="1"/>
  <c r="X2146" i="1"/>
  <c r="X2147" i="1"/>
  <c r="X387" i="1"/>
  <c r="X1392" i="1"/>
  <c r="X1851" i="1"/>
  <c r="X1852" i="1"/>
  <c r="X1853" i="1"/>
  <c r="X1854" i="1"/>
  <c r="X2439" i="1"/>
  <c r="X2440" i="1"/>
  <c r="X2441" i="1"/>
  <c r="X2442" i="1"/>
  <c r="X2443" i="1"/>
  <c r="X2444" i="1"/>
  <c r="X2445" i="1"/>
  <c r="X2446" i="1"/>
  <c r="X881" i="1"/>
  <c r="X299" i="1"/>
  <c r="X300" i="1"/>
  <c r="X301" i="1"/>
  <c r="X302" i="1"/>
  <c r="X303" i="1"/>
  <c r="X304" i="1"/>
  <c r="X305" i="1"/>
  <c r="X306" i="1"/>
  <c r="X307" i="1"/>
  <c r="X308" i="1"/>
  <c r="X396" i="1"/>
  <c r="X397" i="1"/>
  <c r="X1513" i="1"/>
  <c r="X1514" i="1"/>
  <c r="X1653" i="1"/>
  <c r="X2341" i="1"/>
  <c r="X2342" i="1"/>
  <c r="X2343" i="1"/>
  <c r="X2344" i="1"/>
  <c r="X2345" i="1"/>
  <c r="X2346" i="1"/>
  <c r="X2347" i="1"/>
  <c r="X2348" i="1"/>
  <c r="X2349" i="1"/>
  <c r="X123" i="1"/>
  <c r="X124" i="1"/>
  <c r="X125" i="1"/>
  <c r="X126" i="1"/>
  <c r="X127" i="1"/>
  <c r="X1936" i="1"/>
  <c r="X1937" i="1"/>
  <c r="X1277" i="1"/>
  <c r="X1278" i="1"/>
  <c r="X1279" i="1"/>
  <c r="X1280" i="1"/>
  <c r="X1281" i="1"/>
  <c r="X1282" i="1"/>
  <c r="X481" i="1"/>
  <c r="X482" i="1"/>
  <c r="X483" i="1"/>
  <c r="X118" i="1"/>
  <c r="X254" i="1"/>
  <c r="X255" i="1"/>
  <c r="X932" i="1"/>
  <c r="X933" i="1"/>
  <c r="X934" i="1"/>
  <c r="X1030" i="1"/>
  <c r="X1283" i="1"/>
  <c r="X1284" i="1"/>
  <c r="X1393" i="1"/>
  <c r="X1394" i="1"/>
  <c r="X1395" i="1"/>
  <c r="X697" i="1"/>
  <c r="X1889" i="1"/>
  <c r="X1890" i="1"/>
  <c r="X1891" i="1"/>
  <c r="X1892" i="1"/>
  <c r="X1893" i="1"/>
  <c r="X1894" i="1"/>
  <c r="X1895" i="1"/>
  <c r="X1896" i="1"/>
  <c r="X1897" i="1"/>
  <c r="X1898" i="1"/>
  <c r="X1899" i="1"/>
  <c r="X1900" i="1"/>
  <c r="X1901" i="1"/>
  <c r="X1902" i="1"/>
  <c r="X326" i="1"/>
  <c r="X1366" i="1"/>
  <c r="X388" i="1"/>
  <c r="X608" i="1"/>
  <c r="X609" i="1"/>
  <c r="X2399" i="1"/>
  <c r="X2400" i="1"/>
  <c r="X2123" i="1"/>
  <c r="X2124" i="1"/>
  <c r="X2125" i="1"/>
  <c r="X2126" i="1"/>
  <c r="X2" i="1"/>
  <c r="X3" i="1"/>
  <c r="X4" i="1"/>
  <c r="X5" i="1"/>
  <c r="X1881" i="1"/>
  <c r="X1882" i="1"/>
  <c r="X1831" i="1"/>
  <c r="X1832" i="1"/>
  <c r="X1654" i="1"/>
  <c r="X1655" i="1"/>
  <c r="X1903" i="1"/>
  <c r="X2350" i="1"/>
  <c r="X2351" i="1"/>
  <c r="X2352" i="1"/>
  <c r="X2353" i="1"/>
  <c r="X512" i="1"/>
  <c r="X513" i="1"/>
  <c r="X1485" i="1"/>
  <c r="X1486" i="1"/>
  <c r="X1622" i="1"/>
  <c r="X1285" i="1"/>
  <c r="X1286" i="1"/>
  <c r="X1287" i="1"/>
  <c r="X580" i="1"/>
  <c r="X581" i="1"/>
  <c r="X582" i="1"/>
  <c r="X583" i="1"/>
  <c r="X1288" i="1"/>
  <c r="X1289" i="1"/>
  <c r="X1415" i="1"/>
  <c r="X1623" i="1"/>
  <c r="X1624" i="1"/>
  <c r="X1625" i="1"/>
  <c r="X1626" i="1"/>
  <c r="X1416" i="1"/>
  <c r="X2437" i="1"/>
  <c r="X2438" i="1"/>
  <c r="X2071" i="1"/>
  <c r="X628" i="1"/>
  <c r="X1643" i="1"/>
  <c r="X1904" i="1"/>
  <c r="X901" i="1"/>
  <c r="X902" i="1"/>
  <c r="X903" i="1"/>
  <c r="X904" i="1"/>
  <c r="X905" i="1"/>
  <c r="X906" i="1"/>
  <c r="X907" i="1"/>
  <c r="X908" i="1"/>
  <c r="X909" i="1"/>
  <c r="X910" i="1"/>
  <c r="X911" i="1"/>
  <c r="X912" i="1"/>
  <c r="X913" i="1"/>
  <c r="X914" i="1"/>
  <c r="X915" i="1"/>
  <c r="X916" i="1"/>
  <c r="X917" i="1"/>
  <c r="X1644" i="1"/>
  <c r="X1938" i="1"/>
  <c r="X1939" i="1"/>
  <c r="X1940" i="1"/>
  <c r="X1941" i="1"/>
  <c r="X1942" i="1"/>
  <c r="X1943" i="1"/>
  <c r="X2082" i="1"/>
  <c r="X2083" i="1"/>
  <c r="X2084" i="1"/>
  <c r="X2085" i="1"/>
  <c r="X2086" i="1"/>
  <c r="X2087" i="1"/>
  <c r="X2088" i="1"/>
  <c r="X2089" i="1"/>
  <c r="X2090" i="1"/>
  <c r="X2091" i="1"/>
  <c r="X2092" i="1"/>
  <c r="X2093" i="1"/>
  <c r="X2094" i="1"/>
  <c r="X2095" i="1"/>
  <c r="X2096" i="1"/>
  <c r="X2097" i="1"/>
  <c r="X2098" i="1"/>
  <c r="X309" i="1"/>
  <c r="X514" i="1"/>
  <c r="X515" i="1"/>
  <c r="X516" i="1"/>
  <c r="X1040" i="1"/>
  <c r="X1041" i="1"/>
  <c r="X1042" i="1"/>
  <c r="X1043" i="1"/>
  <c r="X1044" i="1"/>
  <c r="X2099" i="1"/>
  <c r="X957" i="1"/>
  <c r="W958" i="1"/>
  <c r="W959" i="1"/>
  <c r="W1339" i="1"/>
  <c r="W1340" i="1"/>
  <c r="W1341" i="1"/>
  <c r="W1342" i="1"/>
  <c r="W1343" i="1"/>
  <c r="W1344" i="1"/>
  <c r="W1766" i="1"/>
  <c r="W1767" i="1"/>
  <c r="W1768" i="1"/>
  <c r="W2355" i="1"/>
  <c r="W2356" i="1"/>
  <c r="W2357" i="1"/>
  <c r="W2358" i="1"/>
  <c r="W2359" i="1"/>
  <c r="W1045" i="1"/>
  <c r="W1749" i="1"/>
  <c r="W1750" i="1"/>
  <c r="W1751" i="1"/>
  <c r="W1006" i="1"/>
  <c r="W1007" i="1"/>
  <c r="W6" i="1"/>
  <c r="W2102" i="1"/>
  <c r="W292" i="1"/>
  <c r="W293" i="1"/>
  <c r="W401" i="1"/>
  <c r="W630" i="1"/>
  <c r="W379" i="1"/>
  <c r="W2407" i="1"/>
  <c r="W605" i="1"/>
  <c r="W606" i="1"/>
  <c r="W607" i="1"/>
  <c r="W796" i="1"/>
  <c r="W1046" i="1"/>
  <c r="W1047" i="1"/>
  <c r="W1048" i="1"/>
  <c r="W1049" i="1"/>
  <c r="W1050" i="1"/>
  <c r="W1051" i="1"/>
  <c r="W1052" i="1"/>
  <c r="W257" i="1"/>
  <c r="W376" i="1"/>
  <c r="W377" i="1"/>
  <c r="W378" i="1"/>
  <c r="W484" i="1"/>
  <c r="W702" i="1"/>
  <c r="W1008" i="1"/>
  <c r="W1009" i="1"/>
  <c r="W1010" i="1"/>
  <c r="W1011" i="1"/>
  <c r="W1012" i="1"/>
  <c r="W1883" i="1"/>
  <c r="W1884" i="1"/>
  <c r="W1885" i="1"/>
  <c r="W1886" i="1"/>
  <c r="W547" i="1"/>
  <c r="W882" i="1"/>
  <c r="W883" i="1"/>
  <c r="W884" i="1"/>
  <c r="W885" i="1"/>
  <c r="W886" i="1"/>
  <c r="W887" i="1"/>
  <c r="W888" i="1"/>
  <c r="W889" i="1"/>
  <c r="W890" i="1"/>
  <c r="W891" i="1"/>
  <c r="W892" i="1"/>
  <c r="W1944" i="1"/>
  <c r="W612" i="1"/>
  <c r="W613" i="1"/>
  <c r="W614" i="1"/>
  <c r="W1632" i="1"/>
  <c r="W1633" i="1"/>
  <c r="W1634" i="1"/>
  <c r="W1501" i="1"/>
  <c r="W1502" i="1"/>
  <c r="W1503" i="1"/>
  <c r="W1504" i="1"/>
  <c r="W1505" i="1"/>
  <c r="W270" i="1"/>
  <c r="W271" i="1"/>
  <c r="W272" i="1"/>
  <c r="W273" i="1"/>
  <c r="W492" i="1"/>
  <c r="W493" i="1"/>
  <c r="W584" i="1"/>
  <c r="W585" i="1"/>
  <c r="W586" i="1"/>
  <c r="W587" i="1"/>
  <c r="W588" i="1"/>
  <c r="W1013" i="1"/>
  <c r="W1014" i="1"/>
  <c r="W1015" i="1"/>
  <c r="W1016" i="1"/>
  <c r="W1017" i="1"/>
  <c r="W1018" i="1"/>
  <c r="W1110" i="1"/>
  <c r="W1111" i="1"/>
  <c r="W2076" i="1"/>
  <c r="W2077" i="1"/>
  <c r="W2078" i="1"/>
  <c r="W2079" i="1"/>
  <c r="W534" i="1"/>
  <c r="W2073" i="1"/>
  <c r="W535" i="1"/>
  <c r="W536" i="1"/>
  <c r="W2103" i="1"/>
  <c r="W2104" i="1"/>
  <c r="W2105" i="1"/>
  <c r="W2106" i="1"/>
  <c r="W2107" i="1"/>
  <c r="W2108" i="1"/>
  <c r="W2109" i="1"/>
  <c r="W2110" i="1"/>
  <c r="W2111" i="1"/>
  <c r="W879" i="1"/>
  <c r="W880" i="1"/>
  <c r="W962" i="1"/>
  <c r="W963" i="1"/>
  <c r="W964" i="1"/>
  <c r="W965" i="1"/>
  <c r="W966" i="1"/>
  <c r="W1771" i="1"/>
  <c r="W1772" i="1"/>
  <c r="W1773" i="1"/>
  <c r="W1774" i="1"/>
  <c r="W1775" i="1"/>
  <c r="W1776" i="1"/>
  <c r="W1777" i="1"/>
  <c r="W1778" i="1"/>
  <c r="W353" i="1"/>
  <c r="W1022" i="1"/>
  <c r="W1917" i="1"/>
  <c r="W1918" i="1"/>
  <c r="W2158" i="1"/>
  <c r="W1604" i="1"/>
  <c r="W1115" i="1"/>
  <c r="W1483" i="1"/>
  <c r="W926" i="1"/>
  <c r="W927" i="1"/>
  <c r="W928" i="1"/>
  <c r="W929" i="1"/>
  <c r="W930" i="1"/>
  <c r="W931" i="1"/>
  <c r="W1023" i="1"/>
  <c r="W2224" i="1"/>
  <c r="W2225" i="1"/>
  <c r="W2226" i="1"/>
  <c r="W2227" i="1"/>
  <c r="W2228" i="1"/>
  <c r="W2229" i="1"/>
  <c r="W2230" i="1"/>
  <c r="W2231" i="1"/>
  <c r="W2232" i="1"/>
  <c r="W2233" i="1"/>
  <c r="W2234" i="1"/>
  <c r="W2235" i="1"/>
  <c r="W2236" i="1"/>
  <c r="W2408" i="1"/>
  <c r="W2409" i="1"/>
  <c r="W950" i="1"/>
  <c r="W951" i="1"/>
  <c r="W952" i="1"/>
  <c r="W1742" i="1"/>
  <c r="W1743" i="1"/>
  <c r="W1744" i="1"/>
  <c r="W2320" i="1"/>
  <c r="W2321" i="1"/>
  <c r="W2322" i="1"/>
  <c r="W2323" i="1"/>
  <c r="W2324" i="1"/>
  <c r="W2325" i="1"/>
  <c r="W2326" i="1"/>
  <c r="W703" i="1"/>
  <c r="W704" i="1"/>
  <c r="W705" i="1"/>
  <c r="W706" i="1"/>
  <c r="W707" i="1"/>
  <c r="W935" i="1"/>
  <c r="W1112" i="1"/>
  <c r="W1113" i="1"/>
  <c r="W1114" i="1"/>
  <c r="W1368" i="1"/>
  <c r="W1369" i="1"/>
  <c r="W1370" i="1"/>
  <c r="W1371" i="1"/>
  <c r="W1372" i="1"/>
  <c r="W1373" i="1"/>
  <c r="W1374" i="1"/>
  <c r="W1375" i="1"/>
  <c r="W207" i="1"/>
  <c r="W208" i="1"/>
  <c r="W209" i="1"/>
  <c r="W210" i="1"/>
  <c r="W2429" i="1"/>
  <c r="W2430" i="1"/>
  <c r="W2431" i="1"/>
  <c r="W724" i="1"/>
  <c r="W725" i="1"/>
  <c r="W726" i="1"/>
  <c r="W797" i="1"/>
  <c r="W798" i="1"/>
  <c r="W748" i="1"/>
  <c r="W749" i="1"/>
  <c r="W537" i="1"/>
  <c r="W978" i="1"/>
  <c r="W979" i="1"/>
  <c r="W1545" i="1"/>
  <c r="W1546" i="1"/>
  <c r="W1547" i="1"/>
  <c r="W1079" i="1"/>
  <c r="W1080" i="1"/>
  <c r="W172" i="1"/>
  <c r="W173" i="1"/>
  <c r="W174" i="1"/>
  <c r="W175" i="1"/>
  <c r="W176" i="1"/>
  <c r="W1024" i="1"/>
  <c r="W1025" i="1"/>
  <c r="W1026" i="1"/>
  <c r="W1027" i="1"/>
  <c r="W1028" i="1"/>
  <c r="W1029" i="1"/>
  <c r="W1713" i="1"/>
  <c r="W1714" i="1"/>
  <c r="W1715" i="1"/>
  <c r="W1116" i="1"/>
  <c r="W1117" i="1"/>
  <c r="W1118" i="1"/>
  <c r="W893" i="1"/>
  <c r="W1985" i="1"/>
  <c r="W1986" i="1"/>
  <c r="W1987" i="1"/>
  <c r="W1988" i="1"/>
  <c r="W177" i="1"/>
  <c r="W1327" i="1"/>
  <c r="W2184" i="1"/>
  <c r="W2185" i="1"/>
  <c r="W936" i="1"/>
  <c r="W937" i="1"/>
  <c r="W178" i="1"/>
  <c r="W179" i="1"/>
  <c r="W180" i="1"/>
  <c r="W54" i="1"/>
  <c r="W1989" i="1"/>
  <c r="W1990" i="1"/>
  <c r="W1991" i="1"/>
  <c r="W1992" i="1"/>
  <c r="W1993" i="1"/>
  <c r="W1994" i="1"/>
  <c r="W211" i="1"/>
  <c r="W212" i="1"/>
  <c r="W213" i="1"/>
  <c r="W214" i="1"/>
  <c r="W215" i="1"/>
  <c r="W589" i="1"/>
  <c r="W590" i="1"/>
  <c r="W591" i="1"/>
  <c r="W592" i="1"/>
  <c r="W593" i="1"/>
  <c r="W594" i="1"/>
  <c r="W595" i="1"/>
  <c r="W596" i="1"/>
  <c r="W597" i="1"/>
  <c r="W598" i="1"/>
  <c r="W599" i="1"/>
  <c r="W600" i="1"/>
  <c r="W601" i="1"/>
  <c r="W602" i="1"/>
  <c r="W603" i="1"/>
  <c r="W604" i="1"/>
  <c r="W772" i="1"/>
  <c r="W181" i="1"/>
  <c r="W182" i="1"/>
  <c r="W2237" i="1"/>
  <c r="W2238" i="1"/>
  <c r="W938" i="1"/>
  <c r="W939" i="1"/>
  <c r="W940" i="1"/>
  <c r="W1144" i="1"/>
  <c r="W918" i="1"/>
  <c r="W2239" i="1"/>
  <c r="W1153" i="1"/>
  <c r="W1154" i="1"/>
  <c r="W1155" i="1"/>
  <c r="W1156" i="1"/>
  <c r="W941" i="1"/>
  <c r="W1031" i="1"/>
  <c r="W548" i="1"/>
  <c r="W746" i="1"/>
  <c r="W987" i="1"/>
  <c r="W1995" i="1"/>
  <c r="W1996" i="1"/>
  <c r="W1376" i="1"/>
  <c r="W1377" i="1"/>
  <c r="W1591" i="1"/>
  <c r="W1592" i="1"/>
  <c r="W1593" i="1"/>
  <c r="W1594" i="1"/>
  <c r="W919" i="1"/>
  <c r="W920" i="1"/>
  <c r="W1081" i="1"/>
  <c r="W1082" i="1"/>
  <c r="W1083" i="1"/>
  <c r="W2432" i="1"/>
  <c r="W2433" i="1"/>
  <c r="W2434" i="1"/>
  <c r="W731" i="1"/>
  <c r="W1535" i="1"/>
  <c r="W1536" i="1"/>
  <c r="W1537" i="1"/>
  <c r="W1213" i="1"/>
  <c r="W1214" i="1"/>
  <c r="W1215" i="1"/>
  <c r="W1216" i="1"/>
  <c r="W1217" i="1"/>
  <c r="W1218" i="1"/>
  <c r="W402" i="1"/>
  <c r="W1157" i="1"/>
  <c r="W1158" i="1"/>
  <c r="W1159" i="1"/>
  <c r="W1160" i="1"/>
  <c r="W1161" i="1"/>
  <c r="W1162" i="1"/>
  <c r="W1163" i="1"/>
  <c r="W1164" i="1"/>
  <c r="W1165" i="1"/>
  <c r="W1166" i="1"/>
  <c r="W773" i="1"/>
  <c r="W1538" i="1"/>
  <c r="W1145" i="1"/>
  <c r="W216" i="1"/>
  <c r="W217" i="1"/>
  <c r="W1252" i="1"/>
  <c r="W1253" i="1"/>
  <c r="W1254" i="1"/>
  <c r="W1779" i="1"/>
  <c r="W1780" i="1"/>
  <c r="W529" i="1"/>
  <c r="W530" i="1"/>
  <c r="W2271" i="1"/>
  <c r="W1093" i="1"/>
  <c r="W921" i="1"/>
  <c r="W922" i="1"/>
  <c r="W923" i="1"/>
  <c r="W924" i="1"/>
  <c r="W2112" i="1"/>
  <c r="W1999" i="1"/>
  <c r="W2000" i="1"/>
  <c r="W2001" i="1"/>
  <c r="W540" i="1"/>
  <c r="W541" i="1"/>
  <c r="W542" i="1"/>
  <c r="W543" i="1"/>
  <c r="W544" i="1"/>
  <c r="W1094" i="1"/>
  <c r="W1095" i="1"/>
  <c r="W1096" i="1"/>
  <c r="W1097" i="1"/>
  <c r="W1682" i="1"/>
  <c r="W2272" i="1"/>
  <c r="W2273" i="1"/>
  <c r="W1564" i="1"/>
  <c r="W2113" i="1"/>
  <c r="W428" i="1"/>
  <c r="W429" i="1"/>
  <c r="W430" i="1"/>
  <c r="W431" i="1"/>
  <c r="W432" i="1"/>
  <c r="W433" i="1"/>
  <c r="W1997" i="1"/>
  <c r="W1998" i="1"/>
  <c r="W980" i="1"/>
  <c r="W981" i="1"/>
  <c r="W982" i="1"/>
  <c r="W983" i="1"/>
  <c r="W984" i="1"/>
  <c r="W985" i="1"/>
  <c r="W986" i="1"/>
  <c r="W1440" i="1"/>
  <c r="W1441" i="1"/>
  <c r="W1442" i="1"/>
  <c r="W1084" i="1"/>
  <c r="W1595" i="1"/>
  <c r="W1596" i="1"/>
  <c r="W2135" i="1"/>
  <c r="W2136" i="1"/>
  <c r="W2137" i="1"/>
  <c r="W2138" i="1"/>
  <c r="W183" i="1"/>
  <c r="W184" i="1"/>
  <c r="W185" i="1"/>
  <c r="W434" i="1"/>
  <c r="W435" i="1"/>
  <c r="W436" i="1"/>
  <c r="W437" i="1"/>
  <c r="W438" i="1"/>
  <c r="W439" i="1"/>
  <c r="W440" i="1"/>
  <c r="W441" i="1"/>
  <c r="W442" i="1"/>
  <c r="W443" i="1"/>
  <c r="W444" i="1"/>
  <c r="W445" i="1"/>
  <c r="W446" i="1"/>
  <c r="W1167" i="1"/>
  <c r="W1168" i="1"/>
  <c r="W1169" i="1"/>
  <c r="W487" i="1"/>
  <c r="W488" i="1"/>
  <c r="W1085" i="1"/>
  <c r="W1086" i="1"/>
  <c r="W1087" i="1"/>
  <c r="W2240" i="1"/>
  <c r="W1119" i="1"/>
  <c r="W1120" i="1"/>
  <c r="W2139" i="1"/>
  <c r="W1032" i="1"/>
  <c r="W953" i="1"/>
  <c r="W1299" i="1"/>
  <c r="W1657" i="1"/>
  <c r="W1658" i="1"/>
  <c r="W1659" i="1"/>
  <c r="W833" i="1"/>
  <c r="W834" i="1"/>
  <c r="W2252" i="1"/>
  <c r="W774" i="1"/>
  <c r="W775" i="1"/>
  <c r="W776" i="1"/>
  <c r="W954" i="1"/>
  <c r="W955" i="1"/>
  <c r="W956" i="1"/>
  <c r="W1506" i="1"/>
  <c r="W1507" i="1"/>
  <c r="W750" i="1"/>
  <c r="W751" i="1"/>
  <c r="W752" i="1"/>
  <c r="W753" i="1"/>
  <c r="W447" i="1"/>
  <c r="W448" i="1"/>
  <c r="W449" i="1"/>
  <c r="W450" i="1"/>
  <c r="W1098" i="1"/>
  <c r="W1099" i="1"/>
  <c r="W1100" i="1"/>
  <c r="W1101" i="1"/>
  <c r="W1102" i="1"/>
  <c r="W1229" i="1"/>
  <c r="W1230" i="1"/>
  <c r="W1231" i="1"/>
  <c r="W1232" i="1"/>
  <c r="W1233" i="1"/>
  <c r="W1234" i="1"/>
  <c r="W727" i="1"/>
  <c r="W1300" i="1"/>
  <c r="W1033" i="1"/>
  <c r="W1143" i="1"/>
  <c r="W1487" i="1"/>
  <c r="W1488" i="1"/>
  <c r="W1489" i="1"/>
  <c r="W1490" i="1"/>
  <c r="W347" i="1"/>
  <c r="W348" i="1"/>
  <c r="W349" i="1"/>
  <c r="W553" i="1"/>
  <c r="W554" i="1"/>
  <c r="W555" i="1"/>
  <c r="W556" i="1"/>
  <c r="W557" i="1"/>
  <c r="W558" i="1"/>
  <c r="W559" i="1"/>
  <c r="W1443" i="1"/>
  <c r="W1444" i="1"/>
  <c r="W1445" i="1"/>
  <c r="W1446" i="1"/>
  <c r="W1447" i="1"/>
  <c r="W648" i="1"/>
  <c r="W649" i="1"/>
  <c r="W650" i="1"/>
  <c r="W651" i="1"/>
  <c r="W652" i="1"/>
  <c r="W653" i="1"/>
  <c r="W1088" i="1"/>
  <c r="W1089" i="1"/>
  <c r="W637" i="1"/>
  <c r="W638" i="1"/>
  <c r="W639" i="1"/>
  <c r="W640" i="1"/>
  <c r="W641" i="1"/>
  <c r="W642" i="1"/>
  <c r="W643" i="1"/>
  <c r="W644" i="1"/>
  <c r="W645" i="1"/>
  <c r="W646" i="1"/>
  <c r="W647" i="1"/>
  <c r="W1090" i="1"/>
  <c r="W1091" i="1"/>
  <c r="W1092" i="1"/>
  <c r="W1228" i="1"/>
  <c r="W1553" i="1"/>
  <c r="W1677" i="1"/>
  <c r="W1678" i="1"/>
  <c r="W1679" i="1"/>
  <c r="W1833" i="1"/>
  <c r="W1539" i="1"/>
  <c r="W1540" i="1"/>
  <c r="W1541" i="1"/>
  <c r="W1542" i="1"/>
  <c r="W1543" i="1"/>
  <c r="W298" i="1"/>
  <c r="W1061" i="1"/>
  <c r="W1348" i="1"/>
  <c r="W1781" i="1"/>
  <c r="W1782" i="1"/>
  <c r="W1783" i="1"/>
  <c r="W1784" i="1"/>
  <c r="W1785" i="1"/>
  <c r="W1786" i="1"/>
  <c r="W1787" i="1"/>
  <c r="W1788" i="1"/>
  <c r="W2360" i="1"/>
  <c r="W2361" i="1"/>
  <c r="W2362" i="1"/>
  <c r="W2363" i="1"/>
  <c r="W1544" i="1"/>
  <c r="W2074" i="1"/>
  <c r="W2075" i="1"/>
  <c r="W2435" i="1"/>
  <c r="W1789" i="1"/>
  <c r="W1790" i="1"/>
  <c r="W1791" i="1"/>
  <c r="W1792" i="1"/>
  <c r="W1793" i="1"/>
  <c r="W1794" i="1"/>
  <c r="W1795" i="1"/>
  <c r="W1219" i="1"/>
  <c r="W1220" i="1"/>
  <c r="W1221" i="1"/>
  <c r="W1222" i="1"/>
  <c r="W1223" i="1"/>
  <c r="W1224" i="1"/>
  <c r="W728" i="1"/>
  <c r="W960" i="1"/>
  <c r="W1058" i="1"/>
  <c r="W1208" i="1"/>
  <c r="W1209" i="1"/>
  <c r="W1210" i="1"/>
  <c r="W1211" i="1"/>
  <c r="W1345" i="1"/>
  <c r="W1426" i="1"/>
  <c r="W1515" i="1"/>
  <c r="W1516" i="1"/>
  <c r="W1517" i="1"/>
  <c r="W1508" i="1"/>
  <c r="W1509" i="1"/>
  <c r="W1171" i="1"/>
  <c r="W275" i="1"/>
  <c r="W276" i="1"/>
  <c r="W277" i="1"/>
  <c r="W278" i="1"/>
  <c r="W1172" i="1"/>
  <c r="W1173" i="1"/>
  <c r="W1174" i="1"/>
  <c r="W1175" i="1"/>
  <c r="W1176" i="1"/>
  <c r="W391" i="1"/>
  <c r="W392" i="1"/>
  <c r="W279" i="1"/>
  <c r="W832" i="1"/>
  <c r="W1330" i="1"/>
  <c r="W139" i="1"/>
  <c r="W393" i="1"/>
  <c r="W716" i="1"/>
  <c r="W1177" i="1"/>
  <c r="W1178" i="1"/>
  <c r="W489" i="1"/>
  <c r="W808" i="1"/>
  <c r="W809" i="1"/>
  <c r="W810" i="1"/>
  <c r="W2037" i="1"/>
  <c r="W2038" i="1"/>
  <c r="W2039" i="1"/>
  <c r="W1312" i="1"/>
  <c r="W1313" i="1"/>
  <c r="W1314" i="1"/>
  <c r="W1315" i="1"/>
  <c r="W1316" i="1"/>
  <c r="W1317" i="1"/>
  <c r="W1318" i="1"/>
  <c r="W1319" i="1"/>
  <c r="W1320" i="1"/>
  <c r="W1321" i="1"/>
  <c r="W1322" i="1"/>
  <c r="W1627" i="1"/>
  <c r="W1628" i="1"/>
  <c r="W1629" i="1"/>
  <c r="W1929" i="1"/>
  <c r="W1930" i="1"/>
  <c r="W1931" i="1"/>
  <c r="W1932" i="1"/>
  <c r="W1933" i="1"/>
  <c r="W1934" i="1"/>
  <c r="W2035" i="1"/>
  <c r="W2176" i="1"/>
  <c r="W777" i="1"/>
  <c r="W778" i="1"/>
  <c r="W779" i="1"/>
  <c r="W780" i="1"/>
  <c r="W781" i="1"/>
  <c r="W782" i="1"/>
  <c r="W2387" i="1"/>
  <c r="W2388" i="1"/>
  <c r="W2389" i="1"/>
  <c r="W2390" i="1"/>
  <c r="W99" i="1"/>
  <c r="W100" i="1"/>
  <c r="W101" i="1"/>
  <c r="W102" i="1"/>
  <c r="W103" i="1"/>
  <c r="W104" i="1"/>
  <c r="W560" i="1"/>
  <c r="W561" i="1"/>
  <c r="W562" i="1"/>
  <c r="W563" i="1"/>
  <c r="W564" i="1"/>
  <c r="W565" i="1"/>
  <c r="W566" i="1"/>
  <c r="W1382" i="1"/>
  <c r="W1383" i="1"/>
  <c r="W1384" i="1"/>
  <c r="W1385" i="1"/>
  <c r="W1386" i="1"/>
  <c r="W1387" i="1"/>
  <c r="W1388" i="1"/>
  <c r="W1389" i="1"/>
  <c r="W1390" i="1"/>
  <c r="W1391" i="1"/>
  <c r="W1712" i="1"/>
  <c r="W2140" i="1"/>
  <c r="W2141" i="1"/>
  <c r="W2142" i="1"/>
  <c r="W2143" i="1"/>
  <c r="W2144" i="1"/>
  <c r="W2145" i="1"/>
  <c r="W2280" i="1"/>
  <c r="W2281" i="1"/>
  <c r="W2282" i="1"/>
  <c r="W2283" i="1"/>
  <c r="W550" i="1"/>
  <c r="W551" i="1"/>
  <c r="W552" i="1"/>
  <c r="W768" i="1"/>
  <c r="W769" i="1"/>
  <c r="W770" i="1"/>
  <c r="W1479" i="1"/>
  <c r="W1255" i="1"/>
  <c r="W1256" i="1"/>
  <c r="W1257" i="1"/>
  <c r="W1258" i="1"/>
  <c r="W1259" i="1"/>
  <c r="W1260" i="1"/>
  <c r="W1261" i="1"/>
  <c r="W1262" i="1"/>
  <c r="W1263" i="1"/>
  <c r="W1264" i="1"/>
  <c r="W1265" i="1"/>
  <c r="W1266" i="1"/>
  <c r="W1267" i="1"/>
  <c r="W754" i="1"/>
  <c r="W1235" i="1"/>
  <c r="W1236" i="1"/>
  <c r="W1237" i="1"/>
  <c r="W1448" i="1"/>
  <c r="W2040" i="1"/>
  <c r="W2041" i="1"/>
  <c r="W2042" i="1"/>
  <c r="W2043" i="1"/>
  <c r="W2044" i="1"/>
  <c r="W186" i="1"/>
  <c r="W187" i="1"/>
  <c r="W188" i="1"/>
  <c r="W1449" i="1"/>
  <c r="W835" i="1"/>
  <c r="W836" i="1"/>
  <c r="W837" i="1"/>
  <c r="W2045" i="1"/>
  <c r="W494" i="1"/>
  <c r="W1493" i="1"/>
  <c r="W1494" i="1"/>
  <c r="W2177" i="1"/>
  <c r="W495" i="1"/>
  <c r="W496" i="1"/>
  <c r="W128" i="1"/>
  <c r="W129" i="1"/>
  <c r="W130" i="1"/>
  <c r="W1323" i="1"/>
  <c r="W2178" i="1"/>
  <c r="W2307" i="1"/>
  <c r="W2308" i="1"/>
  <c r="W2309" i="1"/>
  <c r="W1324" i="1"/>
  <c r="W1325" i="1"/>
  <c r="W403" i="1"/>
  <c r="W404" i="1"/>
  <c r="W1834" i="1"/>
  <c r="W1835" i="1"/>
  <c r="W1836" i="1"/>
  <c r="W189" i="1"/>
  <c r="W531" i="1"/>
  <c r="W532" i="1"/>
  <c r="W1436" i="1"/>
  <c r="W1437" i="1"/>
  <c r="W1438" i="1"/>
  <c r="W1439" i="1"/>
  <c r="W838" i="1"/>
  <c r="W839" i="1"/>
  <c r="W840" i="1"/>
  <c r="W841" i="1"/>
  <c r="W842" i="1"/>
  <c r="W1189" i="1"/>
  <c r="W1190" i="1"/>
  <c r="W1185" i="1"/>
  <c r="W2241" i="1"/>
  <c r="W1179" i="1"/>
  <c r="W1495" i="1"/>
  <c r="W1496" i="1"/>
  <c r="W1497" i="1"/>
  <c r="W2179" i="1"/>
  <c r="W784" i="1"/>
  <c r="W785" i="1"/>
  <c r="W786" i="1"/>
  <c r="W105" i="1"/>
  <c r="W106" i="1"/>
  <c r="W107" i="1"/>
  <c r="W108" i="1"/>
  <c r="W109" i="1"/>
  <c r="W110" i="1"/>
  <c r="W567" i="1"/>
  <c r="W1480" i="1"/>
  <c r="W2385" i="1"/>
  <c r="W2386" i="1"/>
  <c r="W1268" i="1"/>
  <c r="W1269" i="1"/>
  <c r="W1690" i="1"/>
  <c r="W1518" i="1"/>
  <c r="W1519" i="1"/>
  <c r="W1520" i="1"/>
  <c r="W1661" i="1"/>
  <c r="W1662" i="1"/>
  <c r="W1769" i="1"/>
  <c r="W1770" i="1"/>
  <c r="W2049" i="1"/>
  <c r="W2411" i="1"/>
  <c r="W2412" i="1"/>
  <c r="W2413" i="1"/>
  <c r="W2414" i="1"/>
  <c r="W2327" i="1"/>
  <c r="W2328" i="1"/>
  <c r="W1191" i="1"/>
  <c r="W783" i="1"/>
  <c r="W1121" i="1"/>
  <c r="W1122" i="1"/>
  <c r="W111" i="1"/>
  <c r="W2180" i="1"/>
  <c r="W2312" i="1"/>
  <c r="W755" i="1"/>
  <c r="W131" i="1"/>
  <c r="W132" i="1"/>
  <c r="W133" i="1"/>
  <c r="W134" i="1"/>
  <c r="W135" i="1"/>
  <c r="W1945" i="1"/>
  <c r="W1946" i="1"/>
  <c r="W1947" i="1"/>
  <c r="W1948" i="1"/>
  <c r="W1123" i="1"/>
  <c r="W1124" i="1"/>
  <c r="W1125" i="1"/>
  <c r="W1126" i="1"/>
  <c r="W1127" i="1"/>
  <c r="W1128" i="1"/>
  <c r="W1129" i="1"/>
  <c r="W1130" i="1"/>
  <c r="W1131" i="1"/>
  <c r="W1132" i="1"/>
  <c r="W1133" i="1"/>
  <c r="W1134" i="1"/>
  <c r="W1135" i="1"/>
  <c r="W1136" i="1"/>
  <c r="W1137" i="1"/>
  <c r="W1138" i="1"/>
  <c r="W1139" i="1"/>
  <c r="W1691" i="1"/>
  <c r="W1692" i="1"/>
  <c r="W756" i="1"/>
  <c r="W757" i="1"/>
  <c r="W758" i="1"/>
  <c r="W759" i="1"/>
  <c r="W760" i="1"/>
  <c r="W761" i="1"/>
  <c r="W762" i="1"/>
  <c r="W763" i="1"/>
  <c r="W1837" i="1"/>
  <c r="W1225" i="1"/>
  <c r="W163" i="1"/>
  <c r="W164" i="1"/>
  <c r="W1346" i="1"/>
  <c r="W519" i="1"/>
  <c r="W520" i="1"/>
  <c r="W1180" i="1"/>
  <c r="W1181" i="1"/>
  <c r="W1949" i="1"/>
  <c r="W1950" i="1"/>
  <c r="W2313" i="1"/>
  <c r="W2401" i="1"/>
  <c r="W2402" i="1"/>
  <c r="W459" i="1"/>
  <c r="W460" i="1"/>
  <c r="W1693" i="1"/>
  <c r="W1694" i="1"/>
  <c r="W998" i="1"/>
  <c r="W1106" i="1"/>
  <c r="W1482" i="1"/>
  <c r="W405" i="1"/>
  <c r="W1554" i="1"/>
  <c r="W654" i="1"/>
  <c r="W655" i="1"/>
  <c r="W656" i="1"/>
  <c r="W657" i="1"/>
  <c r="W658" i="1"/>
  <c r="W1192" i="1"/>
  <c r="W1193" i="1"/>
  <c r="W1194" i="1"/>
  <c r="W1182" i="1"/>
  <c r="W1183" i="1"/>
  <c r="W1184" i="1"/>
  <c r="W2186" i="1"/>
  <c r="W1420" i="1"/>
  <c r="W190" i="1"/>
  <c r="W2127" i="1"/>
  <c r="W1666" i="1"/>
  <c r="W1667" i="1"/>
  <c r="W1668" i="1"/>
  <c r="W2423" i="1"/>
  <c r="W2424" i="1"/>
  <c r="W2425" i="1"/>
  <c r="W2426" i="1"/>
  <c r="W16" i="1"/>
  <c r="W1951" i="1"/>
  <c r="W1952" i="1"/>
  <c r="W1953" i="1"/>
  <c r="W787" i="1"/>
  <c r="W788" i="1"/>
  <c r="W2128" i="1"/>
  <c r="W2129" i="1"/>
  <c r="W2130" i="1"/>
  <c r="W2131" i="1"/>
  <c r="W2242" i="1"/>
  <c r="W2243" i="1"/>
  <c r="W2244" i="1"/>
  <c r="W1421" i="1"/>
  <c r="W1422" i="1"/>
  <c r="W2332" i="1"/>
  <c r="W2333" i="1"/>
  <c r="W2132" i="1"/>
  <c r="W659" i="1"/>
  <c r="W660" i="1"/>
  <c r="W661" i="1"/>
  <c r="W662" i="1"/>
  <c r="W663" i="1"/>
  <c r="W1226" i="1"/>
  <c r="W2245" i="1"/>
  <c r="W2246" i="1"/>
  <c r="W2247" i="1"/>
  <c r="W521" i="1"/>
  <c r="W522" i="1"/>
  <c r="W523" i="1"/>
  <c r="W524" i="1"/>
  <c r="W631" i="1"/>
  <c r="W1961" i="1"/>
  <c r="W1962" i="1"/>
  <c r="W2080" i="1"/>
  <c r="W2081" i="1"/>
  <c r="W22" i="1"/>
  <c r="W23" i="1"/>
  <c r="W24" i="1"/>
  <c r="W165" i="1"/>
  <c r="W166" i="1"/>
  <c r="W971" i="1"/>
  <c r="W972" i="1"/>
  <c r="W1963" i="1"/>
  <c r="W2257" i="1"/>
  <c r="W1195" i="1"/>
  <c r="W1196" i="1"/>
  <c r="W1197" i="1"/>
  <c r="W1198" i="1"/>
  <c r="W2403" i="1"/>
  <c r="W2404" i="1"/>
  <c r="W2405" i="1"/>
  <c r="W2406" i="1"/>
  <c r="W2036" i="1"/>
  <c r="W258" i="1"/>
  <c r="W259" i="1"/>
  <c r="W1140" i="1"/>
  <c r="W1141" i="1"/>
  <c r="W1142" i="1"/>
  <c r="W2133" i="1"/>
  <c r="W2134" i="1"/>
  <c r="W1423" i="1"/>
  <c r="W1424" i="1"/>
  <c r="W140" i="1"/>
  <c r="W2187" i="1"/>
  <c r="W2188" i="1"/>
  <c r="W2189" i="1"/>
  <c r="W2190" i="1"/>
  <c r="W2191" i="1"/>
  <c r="W2192" i="1"/>
  <c r="W2193" i="1"/>
  <c r="W2194" i="1"/>
  <c r="W2195" i="1"/>
  <c r="W2196" i="1"/>
  <c r="W1227" i="1"/>
  <c r="W1349" i="1"/>
  <c r="W1548" i="1"/>
  <c r="W294" i="1"/>
  <c r="W2289" i="1"/>
  <c r="W2290" i="1"/>
  <c r="W2291" i="1"/>
  <c r="W389" i="1"/>
  <c r="W390" i="1"/>
  <c r="W1635" i="1"/>
  <c r="W1636" i="1"/>
  <c r="W1637" i="1"/>
  <c r="W1638" i="1"/>
  <c r="W1639" i="1"/>
  <c r="W1640" i="1"/>
  <c r="W1549" i="1"/>
  <c r="W1550" i="1"/>
  <c r="W461" i="1"/>
  <c r="W462" i="1"/>
  <c r="W463" i="1"/>
  <c r="W615" i="1"/>
  <c r="W295" i="1"/>
  <c r="W296" i="1"/>
  <c r="W1964" i="1"/>
  <c r="W145" i="1"/>
  <c r="W146" i="1"/>
  <c r="W147" i="1"/>
  <c r="W729" i="1"/>
  <c r="W730" i="1"/>
  <c r="W1427" i="1"/>
  <c r="W1428" i="1"/>
  <c r="W1429" i="1"/>
  <c r="W1430" i="1"/>
  <c r="W1431" i="1"/>
  <c r="W1450" i="1"/>
  <c r="W1451" i="1"/>
  <c r="W1452" i="1"/>
  <c r="W1453" i="1"/>
  <c r="W1454" i="1"/>
  <c r="W1855" i="1"/>
  <c r="W1856" i="1"/>
  <c r="W1857" i="1"/>
  <c r="W1858" i="1"/>
  <c r="W112" i="1"/>
  <c r="W113" i="1"/>
  <c r="W771" i="1"/>
  <c r="W1276" i="1"/>
  <c r="W1484" i="1"/>
  <c r="W1605" i="1"/>
  <c r="W1606" i="1"/>
  <c r="W1607" i="1"/>
  <c r="W1608" i="1"/>
  <c r="W973" i="1"/>
  <c r="W974" i="1"/>
  <c r="W975" i="1"/>
  <c r="W789" i="1"/>
  <c r="W790" i="1"/>
  <c r="W791" i="1"/>
  <c r="W260" i="1"/>
  <c r="W261" i="1"/>
  <c r="W262" i="1"/>
  <c r="W263" i="1"/>
  <c r="W264" i="1"/>
  <c r="W1555" i="1"/>
  <c r="W1556" i="1"/>
  <c r="W1557" i="1"/>
  <c r="W1558" i="1"/>
  <c r="W1551" i="1"/>
  <c r="W1552" i="1"/>
  <c r="W616" i="1"/>
  <c r="W464" i="1"/>
  <c r="W465" i="1"/>
  <c r="W2292" i="1"/>
  <c r="W2293" i="1"/>
  <c r="W698" i="1"/>
  <c r="W699" i="1"/>
  <c r="W700" i="1"/>
  <c r="W701" i="1"/>
  <c r="W732" i="1"/>
  <c r="W733" i="1"/>
  <c r="W734" i="1"/>
  <c r="W1859" i="1"/>
  <c r="W1860" i="1"/>
  <c r="W1861" i="1"/>
  <c r="W1862" i="1"/>
  <c r="W1863" i="1"/>
  <c r="W1864" i="1"/>
  <c r="W1865" i="1"/>
  <c r="W1866" i="1"/>
  <c r="W1609" i="1"/>
  <c r="W1610" i="1"/>
  <c r="W2007" i="1"/>
  <c r="W2008" i="1"/>
  <c r="W2009" i="1"/>
  <c r="W2010" i="1"/>
  <c r="W2011" i="1"/>
  <c r="W2012" i="1"/>
  <c r="W2013" i="1"/>
  <c r="W1107" i="1"/>
  <c r="W1108" i="1"/>
  <c r="W1461" i="1"/>
  <c r="W1462" i="1"/>
  <c r="W25" i="1"/>
  <c r="W26" i="1"/>
  <c r="W792" i="1"/>
  <c r="W793" i="1"/>
  <c r="W794" i="1"/>
  <c r="W795" i="1"/>
  <c r="W1418" i="1"/>
  <c r="W1419" i="1"/>
  <c r="W976" i="1"/>
  <c r="W977" i="1"/>
  <c r="W1796" i="1"/>
  <c r="W1797" i="1"/>
  <c r="W2014" i="1"/>
  <c r="W2015" i="1"/>
  <c r="W2016" i="1"/>
  <c r="W735" i="1"/>
  <c r="W1432" i="1"/>
  <c r="W1433" i="1"/>
  <c r="W1365" i="1"/>
  <c r="W2383" i="1"/>
  <c r="W310" i="1"/>
  <c r="W1798" i="1"/>
  <c r="W243" i="1"/>
  <c r="W244" i="1"/>
  <c r="W55" i="1"/>
  <c r="W56" i="1"/>
  <c r="W452" i="1"/>
  <c r="W453" i="1"/>
  <c r="W454" i="1"/>
  <c r="W455" i="1"/>
  <c r="W1867" i="1"/>
  <c r="W1868" i="1"/>
  <c r="W1869" i="1"/>
  <c r="W1559" i="1"/>
  <c r="W736" i="1"/>
  <c r="W1434" i="1"/>
  <c r="W1663" i="1"/>
  <c r="W1664" i="1"/>
  <c r="W2415" i="1"/>
  <c r="W2197" i="1"/>
  <c r="W1397" i="1"/>
  <c r="W1398" i="1"/>
  <c r="W1399" i="1"/>
  <c r="W617" i="1"/>
  <c r="W618" i="1"/>
  <c r="W942" i="1"/>
  <c r="W1722" i="1"/>
  <c r="W1723" i="1"/>
  <c r="W1724" i="1"/>
  <c r="W1400" i="1"/>
  <c r="W1401" i="1"/>
  <c r="W1402" i="1"/>
  <c r="W1403" i="1"/>
  <c r="W1463" i="1"/>
  <c r="W1464" i="1"/>
  <c r="W1465" i="1"/>
  <c r="W1199" i="1"/>
  <c r="W1764" i="1"/>
  <c r="W1765" i="1"/>
  <c r="W2253" i="1"/>
  <c r="W2254" i="1"/>
  <c r="W2255" i="1"/>
  <c r="W2256" i="1"/>
  <c r="W943" i="1"/>
  <c r="W944" i="1"/>
  <c r="W945" i="1"/>
  <c r="W1146" i="1"/>
  <c r="W2198" i="1"/>
  <c r="W1560" i="1"/>
  <c r="W1561" i="1"/>
  <c r="W1562" i="1"/>
  <c r="W1563" i="1"/>
  <c r="W2199" i="1"/>
  <c r="W2200" i="1"/>
  <c r="W2201" i="1"/>
  <c r="W2202" i="1"/>
  <c r="W2203" i="1"/>
  <c r="W27" i="1"/>
  <c r="W738" i="1"/>
  <c r="W1680" i="1"/>
  <c r="W2416" i="1"/>
  <c r="W1954" i="1"/>
  <c r="W1870" i="1"/>
  <c r="W739" i="1"/>
  <c r="W17" i="1"/>
  <c r="W2204" i="1"/>
  <c r="W2205" i="1"/>
  <c r="W2206" i="1"/>
  <c r="W2207" i="1"/>
  <c r="W2208" i="1"/>
  <c r="W2209" i="1"/>
  <c r="W2210" i="1"/>
  <c r="W2211" i="1"/>
  <c r="W466" i="1"/>
  <c r="W2329" i="1"/>
  <c r="W2330" i="1"/>
  <c r="W2331" i="1"/>
  <c r="W490" i="1"/>
  <c r="W491" i="1"/>
  <c r="W1871" i="1"/>
  <c r="W467" i="1"/>
  <c r="W468" i="1"/>
  <c r="W469" i="1"/>
  <c r="W470" i="1"/>
  <c r="W471" i="1"/>
  <c r="W1905" i="1"/>
  <c r="W1906" i="1"/>
  <c r="W1907" i="1"/>
  <c r="W1908" i="1"/>
  <c r="W1909" i="1"/>
  <c r="W1910" i="1"/>
  <c r="W1911" i="1"/>
  <c r="W1912" i="1"/>
  <c r="W1913" i="1"/>
  <c r="W1914" i="1"/>
  <c r="W1915" i="1"/>
  <c r="W1916" i="1"/>
  <c r="W218" i="1"/>
  <c r="W219" i="1"/>
  <c r="W220" i="1"/>
  <c r="W221" i="1"/>
  <c r="W222" i="1"/>
  <c r="W472" i="1"/>
  <c r="W1270" i="1"/>
  <c r="W1271" i="1"/>
  <c r="W1272" i="1"/>
  <c r="W1273" i="1"/>
  <c r="W1274" i="1"/>
  <c r="W1597" i="1"/>
  <c r="W1598" i="1"/>
  <c r="W473" i="1"/>
  <c r="W474" i="1"/>
  <c r="W475" i="1"/>
  <c r="W2006" i="1"/>
  <c r="W223" i="1"/>
  <c r="W224" i="1"/>
  <c r="W225" i="1"/>
  <c r="W1681" i="1"/>
  <c r="W406" i="1"/>
  <c r="W407" i="1"/>
  <c r="W408" i="1"/>
  <c r="W409" i="1"/>
  <c r="W410" i="1"/>
  <c r="W411" i="1"/>
  <c r="W412" i="1"/>
  <c r="W737" i="1"/>
  <c r="W1669" i="1"/>
  <c r="W1670" i="1"/>
  <c r="W1671" i="1"/>
  <c r="W1672" i="1"/>
  <c r="W1673" i="1"/>
  <c r="W1674" i="1"/>
  <c r="W1675" i="1"/>
  <c r="W1676" i="1"/>
  <c r="W2364" i="1"/>
  <c r="W2365" i="1"/>
  <c r="W2366" i="1"/>
  <c r="W538" i="1"/>
  <c r="W1935" i="1"/>
  <c r="W1491" i="1"/>
  <c r="W1492" i="1"/>
  <c r="W2392" i="1"/>
  <c r="W1290" i="1"/>
  <c r="W1291" i="1"/>
  <c r="W1292" i="1"/>
  <c r="W1293" i="1"/>
  <c r="W456" i="1"/>
  <c r="W549" i="1"/>
  <c r="W457" i="1"/>
  <c r="W458" i="1"/>
  <c r="W41" i="1"/>
  <c r="W42" i="1"/>
  <c r="W43" i="1"/>
  <c r="W44" i="1"/>
  <c r="W45" i="1"/>
  <c r="W46" i="1"/>
  <c r="W47" i="1"/>
  <c r="W48" i="1"/>
  <c r="W49" i="1"/>
  <c r="W50" i="1"/>
  <c r="W51" i="1"/>
  <c r="W683" i="1"/>
  <c r="W539" i="1"/>
  <c r="W1815" i="1"/>
  <c r="W1816" i="1"/>
  <c r="W1817" i="1"/>
  <c r="W1818" i="1"/>
  <c r="W2248" i="1"/>
  <c r="W2249" i="1"/>
  <c r="W2250" i="1"/>
  <c r="W2251" i="1"/>
  <c r="W620" i="1"/>
  <c r="W621" i="1"/>
  <c r="W622" i="1"/>
  <c r="W623" i="1"/>
  <c r="W624" i="1"/>
  <c r="W625" i="1"/>
  <c r="W626" i="1"/>
  <c r="W627" i="1"/>
  <c r="W1053" i="1"/>
  <c r="W226" i="1"/>
  <c r="W227" i="1"/>
  <c r="W228" i="1"/>
  <c r="W2284" i="1"/>
  <c r="W2285" i="1"/>
  <c r="W2286" i="1"/>
  <c r="W2287" i="1"/>
  <c r="W2288" i="1"/>
  <c r="W1695" i="1"/>
  <c r="W1696" i="1"/>
  <c r="W1697" i="1"/>
  <c r="W1698" i="1"/>
  <c r="W1699" i="1"/>
  <c r="W1700" i="1"/>
  <c r="W1701" i="1"/>
  <c r="W1702" i="1"/>
  <c r="W1703" i="1"/>
  <c r="W2212" i="1"/>
  <c r="W1704" i="1"/>
  <c r="W1705" i="1"/>
  <c r="W1706" i="1"/>
  <c r="W1707" i="1"/>
  <c r="W1708" i="1"/>
  <c r="W1709" i="1"/>
  <c r="W1710" i="1"/>
  <c r="W1711" i="1"/>
  <c r="W476" i="1"/>
  <c r="W477" i="1"/>
  <c r="W1019" i="1"/>
  <c r="W1799" i="1"/>
  <c r="W1800" i="1"/>
  <c r="W1801" i="1"/>
  <c r="W1802" i="1"/>
  <c r="W1803" i="1"/>
  <c r="W1804" i="1"/>
  <c r="W1805" i="1"/>
  <c r="W1062" i="1"/>
  <c r="W1510" i="1"/>
  <c r="W1147" i="1"/>
  <c r="W1148" i="1"/>
  <c r="W1149" i="1"/>
  <c r="W2213" i="1"/>
  <c r="W2214" i="1"/>
  <c r="W57" i="1"/>
  <c r="W311" i="1"/>
  <c r="W1872" i="1"/>
  <c r="W1511" i="1"/>
  <c r="W1512" i="1"/>
  <c r="W1186" i="1"/>
  <c r="W1187" i="1"/>
  <c r="W2215" i="1"/>
  <c r="W1955" i="1"/>
  <c r="W1956" i="1"/>
  <c r="W497" i="1"/>
  <c r="W826" i="1"/>
  <c r="W191" i="1"/>
  <c r="W192" i="1"/>
  <c r="W1404" i="1"/>
  <c r="W1405" i="1"/>
  <c r="W1406" i="1"/>
  <c r="W1407" i="1"/>
  <c r="W1408" i="1"/>
  <c r="W1409" i="1"/>
  <c r="W1410" i="1"/>
  <c r="W1411" i="1"/>
  <c r="W1412" i="1"/>
  <c r="W1413" i="1"/>
  <c r="W1414" i="1"/>
  <c r="W312" i="1"/>
  <c r="W313" i="1"/>
  <c r="W2120" i="1"/>
  <c r="W413" i="1"/>
  <c r="W414" i="1"/>
  <c r="W415" i="1"/>
  <c r="W416" i="1"/>
  <c r="W740" i="1"/>
  <c r="W18" i="1"/>
  <c r="W19" i="1"/>
  <c r="W1611" i="1"/>
  <c r="W684" i="1"/>
  <c r="W741" i="1"/>
  <c r="W742" i="1"/>
  <c r="W743" i="1"/>
  <c r="W1150" i="1"/>
  <c r="W485" i="1"/>
  <c r="W1294" i="1"/>
  <c r="W1295" i="1"/>
  <c r="W1296" i="1"/>
  <c r="W1297" i="1"/>
  <c r="W1298" i="1"/>
  <c r="W1725" i="1"/>
  <c r="W1726" i="1"/>
  <c r="W2417" i="1"/>
  <c r="W854" i="1"/>
  <c r="W1020" i="1"/>
  <c r="W855" i="1"/>
  <c r="W856" i="1"/>
  <c r="W857" i="1"/>
  <c r="W858" i="1"/>
  <c r="W859" i="1"/>
  <c r="W860" i="1"/>
  <c r="W961" i="1"/>
  <c r="W1059" i="1"/>
  <c r="W2216" i="1"/>
  <c r="W2217" i="1"/>
  <c r="W2218" i="1"/>
  <c r="W2219" i="1"/>
  <c r="W2220" i="1"/>
  <c r="W2221" i="1"/>
  <c r="W2222" i="1"/>
  <c r="W2223" i="1"/>
  <c r="W280" i="1"/>
  <c r="W281" i="1"/>
  <c r="W282" i="1"/>
  <c r="W1612" i="1"/>
  <c r="W1613" i="1"/>
  <c r="W1599" i="1"/>
  <c r="W1600" i="1"/>
  <c r="W1601" i="1"/>
  <c r="W245" i="1"/>
  <c r="W2114" i="1"/>
  <c r="W2115" i="1"/>
  <c r="W2116" i="1"/>
  <c r="W967" i="1"/>
  <c r="W283" i="1"/>
  <c r="W284" i="1"/>
  <c r="W285" i="1"/>
  <c r="W286" i="1"/>
  <c r="W287" i="1"/>
  <c r="W499" i="1"/>
  <c r="W500" i="1"/>
  <c r="W501" i="1"/>
  <c r="W827" i="1"/>
  <c r="W10" i="1"/>
  <c r="W11" i="1"/>
  <c r="W12" i="1"/>
  <c r="W2181" i="1"/>
  <c r="W246" i="1"/>
  <c r="W1060" i="1"/>
  <c r="W1347" i="1"/>
  <c r="W1435" i="1"/>
  <c r="W1665" i="1"/>
  <c r="W2258" i="1"/>
  <c r="W2259" i="1"/>
  <c r="W1727" i="1"/>
  <c r="W744" i="1"/>
  <c r="W745" i="1"/>
  <c r="W1350" i="1"/>
  <c r="W1063" i="1"/>
  <c r="W1064" i="1"/>
  <c r="W968" i="1"/>
  <c r="W969" i="1"/>
  <c r="W970" i="1"/>
  <c r="W1534" i="1"/>
  <c r="W861" i="1"/>
  <c r="W862" i="1"/>
  <c r="W863" i="1"/>
  <c r="W864" i="1"/>
  <c r="W865" i="1"/>
  <c r="W1959" i="1"/>
  <c r="W142" i="1"/>
  <c r="W619" i="1"/>
  <c r="W1957" i="1"/>
  <c r="W1958" i="1"/>
  <c r="W2046" i="1"/>
  <c r="W2047" i="1"/>
  <c r="W2334" i="1"/>
  <c r="W1614" i="1"/>
  <c r="W1615" i="1"/>
  <c r="W1616" i="1"/>
  <c r="W685" i="1"/>
  <c r="W686" i="1"/>
  <c r="W687" i="1"/>
  <c r="W688" i="1"/>
  <c r="W689" i="1"/>
  <c r="W417" i="1"/>
  <c r="W418" i="1"/>
  <c r="W1351" i="1"/>
  <c r="W1065" i="1"/>
  <c r="W2065" i="1"/>
  <c r="W2066" i="1"/>
  <c r="W2067" i="1"/>
  <c r="W2264" i="1"/>
  <c r="W2265" i="1"/>
  <c r="W143" i="1"/>
  <c r="W2048" i="1"/>
  <c r="W502" i="1"/>
  <c r="W503" i="1"/>
  <c r="W504" i="1"/>
  <c r="W505" i="1"/>
  <c r="W2335" i="1"/>
  <c r="W2182" i="1"/>
  <c r="W2314" i="1"/>
  <c r="W708" i="1"/>
  <c r="W709" i="1"/>
  <c r="W710" i="1"/>
  <c r="W711" i="1"/>
  <c r="W712" i="1"/>
  <c r="W1728" i="1"/>
  <c r="W1729" i="1"/>
  <c r="W1617" i="1"/>
  <c r="W1618" i="1"/>
  <c r="W58" i="1"/>
  <c r="W2121" i="1"/>
  <c r="W2279" i="1"/>
  <c r="W2384" i="1"/>
  <c r="W40" i="1"/>
  <c r="W2336" i="1"/>
  <c r="W193" i="1"/>
  <c r="W194" i="1"/>
  <c r="W195" i="1"/>
  <c r="W196" i="1"/>
  <c r="W197" i="1"/>
  <c r="W198" i="1"/>
  <c r="W1066" i="1"/>
  <c r="W247" i="1"/>
  <c r="W248" i="1"/>
  <c r="W249" i="1"/>
  <c r="W419" i="1"/>
  <c r="W420" i="1"/>
  <c r="W421" i="1"/>
  <c r="W250" i="1"/>
  <c r="W2367" i="1"/>
  <c r="W2368" i="1"/>
  <c r="W2369" i="1"/>
  <c r="W2266" i="1"/>
  <c r="W2267" i="1"/>
  <c r="W2183" i="1"/>
  <c r="W1326" i="1"/>
  <c r="W811" i="1"/>
  <c r="W812" i="1"/>
  <c r="W813" i="1"/>
  <c r="W814" i="1"/>
  <c r="W815" i="1"/>
  <c r="W816" i="1"/>
  <c r="W1730" i="1"/>
  <c r="W1731" i="1"/>
  <c r="W764" i="1"/>
  <c r="W765" i="1"/>
  <c r="W766" i="1"/>
  <c r="W866" i="1"/>
  <c r="W867" i="1"/>
  <c r="W2050" i="1"/>
  <c r="W2051" i="1"/>
  <c r="W2052" i="1"/>
  <c r="W2053" i="1"/>
  <c r="W2054" i="1"/>
  <c r="W144" i="1"/>
  <c r="W13" i="1"/>
  <c r="W141" i="1"/>
  <c r="W2337" i="1"/>
  <c r="W817" i="1"/>
  <c r="W1732" i="1"/>
  <c r="W1481" i="1"/>
  <c r="W52" i="1"/>
  <c r="W868" i="1"/>
  <c r="W869" i="1"/>
  <c r="W870" i="1"/>
  <c r="W871" i="1"/>
  <c r="W872" i="1"/>
  <c r="W873" i="1"/>
  <c r="W874" i="1"/>
  <c r="W59" i="1"/>
  <c r="W60" i="1"/>
  <c r="W61" i="1"/>
  <c r="W62" i="1"/>
  <c r="W63" i="1"/>
  <c r="W2055" i="1"/>
  <c r="W2056" i="1"/>
  <c r="W2057" i="1"/>
  <c r="W2058" i="1"/>
  <c r="W2059" i="1"/>
  <c r="W2060" i="1"/>
  <c r="W2061" i="1"/>
  <c r="W64" i="1"/>
  <c r="W65" i="1"/>
  <c r="W66" i="1"/>
  <c r="W67" i="1"/>
  <c r="W68" i="1"/>
  <c r="W69" i="1"/>
  <c r="W70" i="1"/>
  <c r="W71" i="1"/>
  <c r="W72" i="1"/>
  <c r="W73" i="1"/>
  <c r="W1067" i="1"/>
  <c r="W1068" i="1"/>
  <c r="W20" i="1"/>
  <c r="W713" i="1"/>
  <c r="W714" i="1"/>
  <c r="W715" i="1"/>
  <c r="W1301" i="1"/>
  <c r="W1302" i="1"/>
  <c r="W1303" i="1"/>
  <c r="W1630" i="1"/>
  <c r="W1631" i="1"/>
  <c r="W2315" i="1"/>
  <c r="W2316" i="1"/>
  <c r="W2317" i="1"/>
  <c r="W2318" i="1"/>
  <c r="W1034" i="1"/>
  <c r="W1021" i="1"/>
  <c r="W1378" i="1"/>
  <c r="W1379" i="1"/>
  <c r="W1380" i="1"/>
  <c r="W767" i="1"/>
  <c r="W1466" i="1"/>
  <c r="W1467" i="1"/>
  <c r="W1468" i="1"/>
  <c r="W1469" i="1"/>
  <c r="W2370" i="1"/>
  <c r="W2371" i="1"/>
  <c r="W2372" i="1"/>
  <c r="W2373" i="1"/>
  <c r="W2374" i="1"/>
  <c r="W2375" i="1"/>
  <c r="W2376" i="1"/>
  <c r="W2377" i="1"/>
  <c r="W2378" i="1"/>
  <c r="W2379" i="1"/>
  <c r="W2380" i="1"/>
  <c r="W2381" i="1"/>
  <c r="W28" i="1"/>
  <c r="W29" i="1"/>
  <c r="W1565" i="1"/>
  <c r="W199" i="1"/>
  <c r="W200" i="1"/>
  <c r="W201" i="1"/>
  <c r="W202" i="1"/>
  <c r="W2062" i="1"/>
  <c r="W2063" i="1"/>
  <c r="W2064" i="1"/>
  <c r="W632" i="1"/>
  <c r="W633" i="1"/>
  <c r="W634" i="1"/>
  <c r="W719" i="1"/>
  <c r="W1200" i="1"/>
  <c r="W1201" i="1"/>
  <c r="W1202" i="1"/>
  <c r="W1203" i="1"/>
  <c r="W1619" i="1"/>
  <c r="W1620" i="1"/>
  <c r="W1621" i="1"/>
  <c r="W1716" i="1"/>
  <c r="W1717" i="1"/>
  <c r="W1718" i="1"/>
  <c r="W1719" i="1"/>
  <c r="W1720" i="1"/>
  <c r="W1721" i="1"/>
  <c r="W1919" i="1"/>
  <c r="W203" i="1"/>
  <c r="W204" i="1"/>
  <c r="W1819" i="1"/>
  <c r="W1820" i="1"/>
  <c r="W818" i="1"/>
  <c r="W819" i="1"/>
  <c r="W820" i="1"/>
  <c r="W821" i="1"/>
  <c r="W1733" i="1"/>
  <c r="W1734" i="1"/>
  <c r="W1735" i="1"/>
  <c r="W1470" i="1"/>
  <c r="W1471" i="1"/>
  <c r="W1472" i="1"/>
  <c r="W1473" i="1"/>
  <c r="W314" i="1"/>
  <c r="W315" i="1"/>
  <c r="W316" i="1"/>
  <c r="W317" i="1"/>
  <c r="W1204" i="1"/>
  <c r="W1205" i="1"/>
  <c r="W1206" i="1"/>
  <c r="W1207" i="1"/>
  <c r="W1035" i="1"/>
  <c r="W74" i="1"/>
  <c r="W75" i="1"/>
  <c r="W76" i="1"/>
  <c r="W1381" i="1"/>
  <c r="W1602" i="1"/>
  <c r="W1603" i="1"/>
  <c r="W7" i="1"/>
  <c r="W8" i="1"/>
  <c r="W9" i="1"/>
  <c r="W1474" i="1"/>
  <c r="W1109" i="1"/>
  <c r="W422" i="1"/>
  <c r="W506" i="1"/>
  <c r="W77" i="1"/>
  <c r="W78" i="1"/>
  <c r="W79" i="1"/>
  <c r="W80" i="1"/>
  <c r="W81" i="1"/>
  <c r="W82" i="1"/>
  <c r="W1475" i="1"/>
  <c r="W1476" i="1"/>
  <c r="W1477" i="1"/>
  <c r="W1478" i="1"/>
  <c r="W999" i="1"/>
  <c r="W1000" i="1"/>
  <c r="W2268" i="1"/>
  <c r="W1036" i="1"/>
  <c r="W1151" i="1"/>
  <c r="W1152" i="1"/>
  <c r="W507" i="1"/>
  <c r="W508" i="1"/>
  <c r="W509" i="1"/>
  <c r="W510" i="1"/>
  <c r="W511" i="1"/>
  <c r="W1645" i="1"/>
  <c r="W1352" i="1"/>
  <c r="W1304" i="1"/>
  <c r="W1305" i="1"/>
  <c r="W2319" i="1"/>
  <c r="W265" i="1"/>
  <c r="W266" i="1"/>
  <c r="W267" i="1"/>
  <c r="W423" i="1"/>
  <c r="W1054" i="1"/>
  <c r="W136" i="1"/>
  <c r="W1920" i="1"/>
  <c r="W1921" i="1"/>
  <c r="W1922" i="1"/>
  <c r="W1923" i="1"/>
  <c r="W1924" i="1"/>
  <c r="W1925" i="1"/>
  <c r="W1926" i="1"/>
  <c r="W1927" i="1"/>
  <c r="W690" i="1"/>
  <c r="W691" i="1"/>
  <c r="W692" i="1"/>
  <c r="W693" i="1"/>
  <c r="W268" i="1"/>
  <c r="W83" i="1"/>
  <c r="W84" i="1"/>
  <c r="W1001" i="1"/>
  <c r="W1928" i="1"/>
  <c r="W2017" i="1"/>
  <c r="W2018" i="1"/>
  <c r="W2019" i="1"/>
  <c r="W2020" i="1"/>
  <c r="W2021" i="1"/>
  <c r="W2022" i="1"/>
  <c r="W1646" i="1"/>
  <c r="W1647" i="1"/>
  <c r="W1648" i="1"/>
  <c r="W1649" i="1"/>
  <c r="W1650" i="1"/>
  <c r="W1651" i="1"/>
  <c r="W1652" i="1"/>
  <c r="W1566" i="1"/>
  <c r="W1567" i="1"/>
  <c r="W1683" i="1"/>
  <c r="W1684" i="1"/>
  <c r="W1335" i="1"/>
  <c r="W1336" i="1"/>
  <c r="W1337" i="1"/>
  <c r="W1338" i="1"/>
  <c r="W1425" i="1"/>
  <c r="W1960" i="1"/>
  <c r="W843" i="1"/>
  <c r="W2023" i="1"/>
  <c r="W2024" i="1"/>
  <c r="W2025" i="1"/>
  <c r="W2026" i="1"/>
  <c r="W2027" i="1"/>
  <c r="W2028" i="1"/>
  <c r="W2029" i="1"/>
  <c r="W2030" i="1"/>
  <c r="W2031" i="1"/>
  <c r="W2032" i="1"/>
  <c r="W1055" i="1"/>
  <c r="W1056" i="1"/>
  <c r="W1057" i="1"/>
  <c r="W1188" i="1"/>
  <c r="W1331" i="1"/>
  <c r="W1332" i="1"/>
  <c r="W1333" i="1"/>
  <c r="W318" i="1"/>
  <c r="W319" i="1"/>
  <c r="W2033" i="1"/>
  <c r="W2034" i="1"/>
  <c r="W229" i="1"/>
  <c r="W1002" i="1"/>
  <c r="W251" i="1"/>
  <c r="W252" i="1"/>
  <c r="W2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2159" i="1"/>
  <c r="W2160" i="1"/>
  <c r="W2161" i="1"/>
  <c r="W2162" i="1"/>
  <c r="W2163" i="1"/>
  <c r="W2164" i="1"/>
  <c r="W2165" i="1"/>
  <c r="W21" i="1"/>
  <c r="W1806" i="1"/>
  <c r="W1685" i="1"/>
  <c r="W1686" i="1"/>
  <c r="W1687" i="1"/>
  <c r="W1688" i="1"/>
  <c r="W1689" i="1"/>
  <c r="W1334" i="1"/>
  <c r="W517" i="1"/>
  <c r="W1821" i="1"/>
  <c r="W518" i="1"/>
  <c r="W1752" i="1"/>
  <c r="W1753" i="1"/>
  <c r="W1754" i="1"/>
  <c r="W1755" i="1"/>
  <c r="W1756" i="1"/>
  <c r="W1757" i="1"/>
  <c r="W1758" i="1"/>
  <c r="W85" i="1"/>
  <c r="W231" i="1"/>
  <c r="W232" i="1"/>
  <c r="W233" i="1"/>
  <c r="W1822" i="1"/>
  <c r="W1823" i="1"/>
  <c r="W1824" i="1"/>
  <c r="W1825" i="1"/>
  <c r="W844" i="1"/>
  <c r="W845" i="1"/>
  <c r="W269" i="1"/>
  <c r="W486" i="1"/>
  <c r="W1037" i="1"/>
  <c r="W1759" i="1"/>
  <c r="W1760" i="1"/>
  <c r="W2447" i="1"/>
  <c r="W2448" i="1"/>
  <c r="W2449" i="1"/>
  <c r="W2450" i="1"/>
  <c r="W2451" i="1"/>
  <c r="W2452" i="1"/>
  <c r="W2453" i="1"/>
  <c r="W2454" i="1"/>
  <c r="W205" i="1"/>
  <c r="W206" i="1"/>
  <c r="W545" i="1"/>
  <c r="W546" i="1"/>
  <c r="W1103" i="1"/>
  <c r="W1104" i="1"/>
  <c r="W2382" i="1"/>
  <c r="W1238" i="1"/>
  <c r="W1239" i="1"/>
  <c r="W1240" i="1"/>
  <c r="W1241" i="1"/>
  <c r="W2338" i="1"/>
  <c r="W2339" i="1"/>
  <c r="W137" i="1"/>
  <c r="W1038" i="1"/>
  <c r="W1039" i="1"/>
  <c r="W799" i="1"/>
  <c r="W800" i="1"/>
  <c r="W801" i="1"/>
  <c r="W2269" i="1"/>
  <c r="W2427" i="1"/>
  <c r="W2428" i="1"/>
  <c r="W1736" i="1"/>
  <c r="W1737" i="1"/>
  <c r="W1738" i="1"/>
  <c r="W1739" i="1"/>
  <c r="W1740" i="1"/>
  <c r="W1741" i="1"/>
  <c r="W2310" i="1"/>
  <c r="W2311" i="1"/>
  <c r="W694" i="1"/>
  <c r="W695" i="1"/>
  <c r="W696" i="1"/>
  <c r="W1826" i="1"/>
  <c r="W1827" i="1"/>
  <c r="W2166" i="1"/>
  <c r="W2167" i="1"/>
  <c r="W2168" i="1"/>
  <c r="W2169" i="1"/>
  <c r="W1242" i="1"/>
  <c r="W1243" i="1"/>
  <c r="W1873" i="1"/>
  <c r="W1874" i="1"/>
  <c r="W1875" i="1"/>
  <c r="W1876" i="1"/>
  <c r="W1877" i="1"/>
  <c r="W1878" i="1"/>
  <c r="W2002" i="1"/>
  <c r="W2003" i="1"/>
  <c r="W2004" i="1"/>
  <c r="W2005" i="1"/>
  <c r="W1879" i="1"/>
  <c r="W1880" i="1"/>
  <c r="W2170" i="1"/>
  <c r="W2171" i="1"/>
  <c r="W2172" i="1"/>
  <c r="W2173" i="1"/>
  <c r="W2174" i="1"/>
  <c r="W2175" i="1"/>
  <c r="W2294" i="1"/>
  <c r="W2295" i="1"/>
  <c r="W2296" i="1"/>
  <c r="W2297" i="1"/>
  <c r="W2298" i="1"/>
  <c r="W369" i="1"/>
  <c r="W370" i="1"/>
  <c r="W2299" i="1"/>
  <c r="W2300" i="1"/>
  <c r="W2301" i="1"/>
  <c r="W1003" i="1"/>
  <c r="W1004" i="1"/>
  <c r="W1761" i="1"/>
  <c r="W1762" i="1"/>
  <c r="W14" i="1"/>
  <c r="W15" i="1"/>
  <c r="W2410" i="1"/>
  <c r="W288" i="1"/>
  <c r="W289" i="1"/>
  <c r="W290" i="1"/>
  <c r="W1807" i="1"/>
  <c r="W2270" i="1"/>
  <c r="W2436" i="1"/>
  <c r="W1965" i="1"/>
  <c r="W1966" i="1"/>
  <c r="W1967" i="1"/>
  <c r="W1968" i="1"/>
  <c r="W1969" i="1"/>
  <c r="W1970" i="1"/>
  <c r="W1971" i="1"/>
  <c r="W1972" i="1"/>
  <c r="W291" i="1"/>
  <c r="W394" i="1"/>
  <c r="W717" i="1"/>
  <c r="W2340" i="1"/>
  <c r="W802" i="1"/>
  <c r="W2393" i="1"/>
  <c r="W2394" i="1"/>
  <c r="W2395" i="1"/>
  <c r="W2302" i="1"/>
  <c r="W2303" i="1"/>
  <c r="W2304" i="1"/>
  <c r="W2305" i="1"/>
  <c r="W2306" i="1"/>
  <c r="W234" i="1"/>
  <c r="W235" i="1"/>
  <c r="W320" i="1"/>
  <c r="W321" i="1"/>
  <c r="W322" i="1"/>
  <c r="W323" i="1"/>
  <c r="W324" i="1"/>
  <c r="W325" i="1"/>
  <c r="W297" i="1"/>
  <c r="W1212" i="1"/>
  <c r="W2068" i="1"/>
  <c r="W2069" i="1"/>
  <c r="W2070" i="1"/>
  <c r="W138" i="1"/>
  <c r="W274" i="1"/>
  <c r="W498" i="1"/>
  <c r="W828" i="1"/>
  <c r="W829" i="1"/>
  <c r="W830" i="1"/>
  <c r="W831" i="1"/>
  <c r="W1170" i="1"/>
  <c r="W1745" i="1"/>
  <c r="W1746" i="1"/>
  <c r="W1747" i="1"/>
  <c r="W1328" i="1"/>
  <c r="W1329" i="1"/>
  <c r="W1641" i="1"/>
  <c r="W1642" i="1"/>
  <c r="W2391" i="1"/>
  <c r="W114" i="1"/>
  <c r="W115" i="1"/>
  <c r="W116" i="1"/>
  <c r="W117" i="1"/>
  <c r="W1005" i="1"/>
  <c r="W1585" i="1"/>
  <c r="W1586" i="1"/>
  <c r="W1587" i="1"/>
  <c r="W1588" i="1"/>
  <c r="W1589" i="1"/>
  <c r="W1590" i="1"/>
  <c r="W2122" i="1"/>
  <c r="W1521" i="1"/>
  <c r="W424" i="1"/>
  <c r="W425" i="1"/>
  <c r="W426" i="1"/>
  <c r="W427" i="1"/>
  <c r="W894" i="1"/>
  <c r="W895" i="1"/>
  <c r="W896" i="1"/>
  <c r="W897" i="1"/>
  <c r="W898" i="1"/>
  <c r="W899" i="1"/>
  <c r="W900" i="1"/>
  <c r="W1522" i="1"/>
  <c r="W1523" i="1"/>
  <c r="W1524" i="1"/>
  <c r="W1525" i="1"/>
  <c r="W1526" i="1"/>
  <c r="W1527" i="1"/>
  <c r="W1528" i="1"/>
  <c r="W1529" i="1"/>
  <c r="W1530" i="1"/>
  <c r="W1531" i="1"/>
  <c r="W1532" i="1"/>
  <c r="W1533" i="1"/>
  <c r="W371" i="1"/>
  <c r="W372" i="1"/>
  <c r="W373" i="1"/>
  <c r="W374" i="1"/>
  <c r="W375" i="1"/>
  <c r="W568" i="1"/>
  <c r="W569" i="1"/>
  <c r="W570" i="1"/>
  <c r="W571" i="1"/>
  <c r="W572" i="1"/>
  <c r="W573" i="1"/>
  <c r="W574" i="1"/>
  <c r="W575" i="1"/>
  <c r="W576" i="1"/>
  <c r="W846" i="1"/>
  <c r="W847" i="1"/>
  <c r="W848" i="1"/>
  <c r="W1660" i="1"/>
  <c r="W398" i="1"/>
  <c r="W399" i="1"/>
  <c r="W400" i="1"/>
  <c r="W822" i="1"/>
  <c r="W823" i="1"/>
  <c r="W824" i="1"/>
  <c r="W825" i="1"/>
  <c r="W119" i="1"/>
  <c r="W120" i="1"/>
  <c r="W121" i="1"/>
  <c r="W122" i="1"/>
  <c r="W1973" i="1"/>
  <c r="W1974" i="1"/>
  <c r="W1975" i="1"/>
  <c r="W1976" i="1"/>
  <c r="W1977" i="1"/>
  <c r="W1978" i="1"/>
  <c r="W1353" i="1"/>
  <c r="W1354" i="1"/>
  <c r="W1355" i="1"/>
  <c r="W803" i="1"/>
  <c r="W1979" i="1"/>
  <c r="W1980" i="1"/>
  <c r="W1981" i="1"/>
  <c r="W1982" i="1"/>
  <c r="W1808" i="1"/>
  <c r="W1809" i="1"/>
  <c r="W1810" i="1"/>
  <c r="W1811" i="1"/>
  <c r="W1812" i="1"/>
  <c r="W1813" i="1"/>
  <c r="W804" i="1"/>
  <c r="W805" i="1"/>
  <c r="W380" i="1"/>
  <c r="W381" i="1"/>
  <c r="W382" i="1"/>
  <c r="W383" i="1"/>
  <c r="W384" i="1"/>
  <c r="W385" i="1"/>
  <c r="W386" i="1"/>
  <c r="W2396" i="1"/>
  <c r="W2397" i="1"/>
  <c r="W1356" i="1"/>
  <c r="W1357" i="1"/>
  <c r="W1358" i="1"/>
  <c r="W1359" i="1"/>
  <c r="W1360" i="1"/>
  <c r="W1361" i="1"/>
  <c r="W1362" i="1"/>
  <c r="W1363" i="1"/>
  <c r="W1364" i="1"/>
  <c r="W1838" i="1"/>
  <c r="W1839" i="1"/>
  <c r="W1840" i="1"/>
  <c r="W1841" i="1"/>
  <c r="W1842" i="1"/>
  <c r="W1843" i="1"/>
  <c r="W1844" i="1"/>
  <c r="W1845" i="1"/>
  <c r="W1846" i="1"/>
  <c r="W1847" i="1"/>
  <c r="W1848" i="1"/>
  <c r="W1849" i="1"/>
  <c r="W1850" i="1"/>
  <c r="W2260" i="1"/>
  <c r="W2261" i="1"/>
  <c r="W2262" i="1"/>
  <c r="W2263" i="1"/>
  <c r="W2418" i="1"/>
  <c r="W2419" i="1"/>
  <c r="W2420" i="1"/>
  <c r="W2421" i="1"/>
  <c r="W2422" i="1"/>
  <c r="W148" i="1"/>
  <c r="W149" i="1"/>
  <c r="W150" i="1"/>
  <c r="W151" i="1"/>
  <c r="W152" i="1"/>
  <c r="W153" i="1"/>
  <c r="W154" i="1"/>
  <c r="W155" i="1"/>
  <c r="W156" i="1"/>
  <c r="W157" i="1"/>
  <c r="W158" i="1"/>
  <c r="W159" i="1"/>
  <c r="W160" i="1"/>
  <c r="W161" i="1"/>
  <c r="W162" i="1"/>
  <c r="W236" i="1"/>
  <c r="W237" i="1"/>
  <c r="W238" i="1"/>
  <c r="W239" i="1"/>
  <c r="W240" i="1"/>
  <c r="W241" i="1"/>
  <c r="W242" i="1"/>
  <c r="W350" i="1"/>
  <c r="W1275" i="1"/>
  <c r="W2152" i="1"/>
  <c r="W2153" i="1"/>
  <c r="W2154" i="1"/>
  <c r="W2155" i="1"/>
  <c r="W2156" i="1"/>
  <c r="W2157" i="1"/>
  <c r="W478" i="1"/>
  <c r="W479" i="1"/>
  <c r="W480" i="1"/>
  <c r="W86" i="1"/>
  <c r="W87" i="1"/>
  <c r="W88" i="1"/>
  <c r="W89" i="1"/>
  <c r="W90" i="1"/>
  <c r="W91" i="1"/>
  <c r="W92" i="1"/>
  <c r="W93" i="1"/>
  <c r="W94" i="1"/>
  <c r="W95" i="1"/>
  <c r="W96" i="1"/>
  <c r="W97" i="1"/>
  <c r="W525" i="1"/>
  <c r="W526" i="1"/>
  <c r="W527" i="1"/>
  <c r="W230" i="1"/>
  <c r="W718" i="1"/>
  <c r="W528" i="1"/>
  <c r="W875" i="1"/>
  <c r="W876" i="1"/>
  <c r="W877" i="1"/>
  <c r="W98" i="1"/>
  <c r="W577" i="1"/>
  <c r="W578" i="1"/>
  <c r="W579" i="1"/>
  <c r="W1828" i="1"/>
  <c r="W1829" i="1"/>
  <c r="W1983" i="1"/>
  <c r="W1984" i="1"/>
  <c r="W1830" i="1"/>
  <c r="W1763" i="1"/>
  <c r="W2354" i="1"/>
  <c r="W395" i="1"/>
  <c r="W2398" i="1"/>
  <c r="W2146" i="1"/>
  <c r="W2147" i="1"/>
  <c r="W387" i="1"/>
  <c r="W1392" i="1"/>
  <c r="W1851" i="1"/>
  <c r="W1852" i="1"/>
  <c r="W1853" i="1"/>
  <c r="W1854" i="1"/>
  <c r="W2439" i="1"/>
  <c r="W2440" i="1"/>
  <c r="W2441" i="1"/>
  <c r="W2442" i="1"/>
  <c r="W2443" i="1"/>
  <c r="W2444" i="1"/>
  <c r="W2445" i="1"/>
  <c r="W2446" i="1"/>
  <c r="W881" i="1"/>
  <c r="W299" i="1"/>
  <c r="W300" i="1"/>
  <c r="W301" i="1"/>
  <c r="W302" i="1"/>
  <c r="W303" i="1"/>
  <c r="W304" i="1"/>
  <c r="W305" i="1"/>
  <c r="W306" i="1"/>
  <c r="W307" i="1"/>
  <c r="W308" i="1"/>
  <c r="W396" i="1"/>
  <c r="W397" i="1"/>
  <c r="W1513" i="1"/>
  <c r="W1514" i="1"/>
  <c r="W1653" i="1"/>
  <c r="W2341" i="1"/>
  <c r="W2342" i="1"/>
  <c r="W2343" i="1"/>
  <c r="W2344" i="1"/>
  <c r="W2345" i="1"/>
  <c r="W2346" i="1"/>
  <c r="W2347" i="1"/>
  <c r="W2348" i="1"/>
  <c r="W2349" i="1"/>
  <c r="W123" i="1"/>
  <c r="W124" i="1"/>
  <c r="W125" i="1"/>
  <c r="W126" i="1"/>
  <c r="W127" i="1"/>
  <c r="W1936" i="1"/>
  <c r="W1937" i="1"/>
  <c r="W1277" i="1"/>
  <c r="W1278" i="1"/>
  <c r="W1279" i="1"/>
  <c r="W1280" i="1"/>
  <c r="W1281" i="1"/>
  <c r="W1282" i="1"/>
  <c r="W481" i="1"/>
  <c r="W482" i="1"/>
  <c r="W483" i="1"/>
  <c r="W118" i="1"/>
  <c r="W254" i="1"/>
  <c r="W255" i="1"/>
  <c r="W932" i="1"/>
  <c r="W933" i="1"/>
  <c r="W934" i="1"/>
  <c r="W1030" i="1"/>
  <c r="W1283" i="1"/>
  <c r="W1284" i="1"/>
  <c r="W1393" i="1"/>
  <c r="W1394" i="1"/>
  <c r="W1395" i="1"/>
  <c r="W697" i="1"/>
  <c r="W1889" i="1"/>
  <c r="W1890" i="1"/>
  <c r="W1891" i="1"/>
  <c r="W1892" i="1"/>
  <c r="W1893" i="1"/>
  <c r="W1894" i="1"/>
  <c r="W1895" i="1"/>
  <c r="W1896" i="1"/>
  <c r="W1897" i="1"/>
  <c r="W1898" i="1"/>
  <c r="W1899" i="1"/>
  <c r="W1900" i="1"/>
  <c r="W1901" i="1"/>
  <c r="W1902" i="1"/>
  <c r="W326" i="1"/>
  <c r="W1366" i="1"/>
  <c r="W388" i="1"/>
  <c r="W608" i="1"/>
  <c r="W609" i="1"/>
  <c r="W2399" i="1"/>
  <c r="W2400" i="1"/>
  <c r="W2123" i="1"/>
  <c r="W2124" i="1"/>
  <c r="W2125" i="1"/>
  <c r="W2126" i="1"/>
  <c r="W2" i="1"/>
  <c r="W3" i="1"/>
  <c r="W4" i="1"/>
  <c r="W5" i="1"/>
  <c r="W1881" i="1"/>
  <c r="W1882" i="1"/>
  <c r="W1831" i="1"/>
  <c r="W1832" i="1"/>
  <c r="W1654" i="1"/>
  <c r="W1655" i="1"/>
  <c r="W1903" i="1"/>
  <c r="W2350" i="1"/>
  <c r="W2351" i="1"/>
  <c r="W2352" i="1"/>
  <c r="W2353" i="1"/>
  <c r="W512" i="1"/>
  <c r="W513" i="1"/>
  <c r="W1485" i="1"/>
  <c r="W1486" i="1"/>
  <c r="W1622" i="1"/>
  <c r="W1285" i="1"/>
  <c r="W1286" i="1"/>
  <c r="W1287" i="1"/>
  <c r="W580" i="1"/>
  <c r="W581" i="1"/>
  <c r="W582" i="1"/>
  <c r="W583" i="1"/>
  <c r="W1288" i="1"/>
  <c r="W1289" i="1"/>
  <c r="W1415" i="1"/>
  <c r="W1623" i="1"/>
  <c r="W1624" i="1"/>
  <c r="W1625" i="1"/>
  <c r="W1626" i="1"/>
  <c r="W1416" i="1"/>
  <c r="W2437" i="1"/>
  <c r="W2438" i="1"/>
  <c r="W2071" i="1"/>
  <c r="W628" i="1"/>
  <c r="W1643" i="1"/>
  <c r="W1904" i="1"/>
  <c r="W901" i="1"/>
  <c r="W902" i="1"/>
  <c r="W903" i="1"/>
  <c r="W904" i="1"/>
  <c r="W905" i="1"/>
  <c r="W906" i="1"/>
  <c r="W907" i="1"/>
  <c r="W908" i="1"/>
  <c r="W909" i="1"/>
  <c r="W910" i="1"/>
  <c r="W911" i="1"/>
  <c r="W912" i="1"/>
  <c r="W913" i="1"/>
  <c r="W914" i="1"/>
  <c r="W915" i="1"/>
  <c r="W916" i="1"/>
  <c r="W917" i="1"/>
  <c r="W1644" i="1"/>
  <c r="W1938" i="1"/>
  <c r="W1939" i="1"/>
  <c r="W1940" i="1"/>
  <c r="W1941" i="1"/>
  <c r="W1942" i="1"/>
  <c r="W1943" i="1"/>
  <c r="W2082" i="1"/>
  <c r="W2083" i="1"/>
  <c r="W2084" i="1"/>
  <c r="W2085" i="1"/>
  <c r="W2086" i="1"/>
  <c r="W2087" i="1"/>
  <c r="W2088" i="1"/>
  <c r="W2089" i="1"/>
  <c r="W2090" i="1"/>
  <c r="W2091" i="1"/>
  <c r="W2092" i="1"/>
  <c r="W2093" i="1"/>
  <c r="W2094" i="1"/>
  <c r="W2095" i="1"/>
  <c r="W2096" i="1"/>
  <c r="W2097" i="1"/>
  <c r="W2098" i="1"/>
  <c r="W309" i="1"/>
  <c r="W514" i="1"/>
  <c r="W515" i="1"/>
  <c r="W516" i="1"/>
  <c r="W1040" i="1"/>
  <c r="W1041" i="1"/>
  <c r="W1042" i="1"/>
  <c r="W1043" i="1"/>
  <c r="W1044" i="1"/>
  <c r="W2099" i="1"/>
  <c r="W957" i="1"/>
  <c r="V958" i="1"/>
  <c r="V959" i="1"/>
  <c r="V1339" i="1"/>
  <c r="V1340" i="1"/>
  <c r="V1341" i="1"/>
  <c r="V1342" i="1"/>
  <c r="V1343" i="1"/>
  <c r="V1344" i="1"/>
  <c r="V1766" i="1"/>
  <c r="V1767" i="1"/>
  <c r="V1768" i="1"/>
  <c r="V2355" i="1"/>
  <c r="V2356" i="1"/>
  <c r="V2357" i="1"/>
  <c r="V2358" i="1"/>
  <c r="V2359" i="1"/>
  <c r="V1045" i="1"/>
  <c r="V1749" i="1"/>
  <c r="V1750" i="1"/>
  <c r="V1751" i="1"/>
  <c r="V1006" i="1"/>
  <c r="V1007" i="1"/>
  <c r="V6" i="1"/>
  <c r="V2102" i="1"/>
  <c r="V292" i="1"/>
  <c r="V293" i="1"/>
  <c r="V401" i="1"/>
  <c r="V630" i="1"/>
  <c r="V379" i="1"/>
  <c r="V2407" i="1"/>
  <c r="V605" i="1"/>
  <c r="V606" i="1"/>
  <c r="V607" i="1"/>
  <c r="V796" i="1"/>
  <c r="V1046" i="1"/>
  <c r="V1047" i="1"/>
  <c r="V1048" i="1"/>
  <c r="V1049" i="1"/>
  <c r="V1050" i="1"/>
  <c r="V1051" i="1"/>
  <c r="V1052" i="1"/>
  <c r="V257" i="1"/>
  <c r="V376" i="1"/>
  <c r="V377" i="1"/>
  <c r="V378" i="1"/>
  <c r="V484" i="1"/>
  <c r="V702" i="1"/>
  <c r="V1008" i="1"/>
  <c r="V1009" i="1"/>
  <c r="V1010" i="1"/>
  <c r="V1011" i="1"/>
  <c r="V1012" i="1"/>
  <c r="V1883" i="1"/>
  <c r="V1884" i="1"/>
  <c r="V1885" i="1"/>
  <c r="V1886" i="1"/>
  <c r="V547" i="1"/>
  <c r="V882" i="1"/>
  <c r="V883" i="1"/>
  <c r="V884" i="1"/>
  <c r="V885" i="1"/>
  <c r="V886" i="1"/>
  <c r="V887" i="1"/>
  <c r="V888" i="1"/>
  <c r="V889" i="1"/>
  <c r="V890" i="1"/>
  <c r="V891" i="1"/>
  <c r="V892" i="1"/>
  <c r="V1944" i="1"/>
  <c r="V612" i="1"/>
  <c r="V613" i="1"/>
  <c r="V614" i="1"/>
  <c r="V1632" i="1"/>
  <c r="V1633" i="1"/>
  <c r="V1634" i="1"/>
  <c r="V1501" i="1"/>
  <c r="V1502" i="1"/>
  <c r="V1503" i="1"/>
  <c r="V1504" i="1"/>
  <c r="V1505" i="1"/>
  <c r="V270" i="1"/>
  <c r="V271" i="1"/>
  <c r="V272" i="1"/>
  <c r="V273" i="1"/>
  <c r="V492" i="1"/>
  <c r="V493" i="1"/>
  <c r="V584" i="1"/>
  <c r="V585" i="1"/>
  <c r="V586" i="1"/>
  <c r="V587" i="1"/>
  <c r="V588" i="1"/>
  <c r="V1013" i="1"/>
  <c r="V1014" i="1"/>
  <c r="V1015" i="1"/>
  <c r="V1016" i="1"/>
  <c r="V1017" i="1"/>
  <c r="V1018" i="1"/>
  <c r="V1110" i="1"/>
  <c r="V1111" i="1"/>
  <c r="V2076" i="1"/>
  <c r="V2077" i="1"/>
  <c r="V2078" i="1"/>
  <c r="V2079" i="1"/>
  <c r="V534" i="1"/>
  <c r="V2073" i="1"/>
  <c r="V535" i="1"/>
  <c r="V536" i="1"/>
  <c r="V2103" i="1"/>
  <c r="V2104" i="1"/>
  <c r="V2105" i="1"/>
  <c r="V2106" i="1"/>
  <c r="V2107" i="1"/>
  <c r="V2108" i="1"/>
  <c r="V2109" i="1"/>
  <c r="V2110" i="1"/>
  <c r="V2111" i="1"/>
  <c r="V879" i="1"/>
  <c r="V880" i="1"/>
  <c r="V962" i="1"/>
  <c r="V963" i="1"/>
  <c r="V964" i="1"/>
  <c r="V965" i="1"/>
  <c r="V966" i="1"/>
  <c r="V1771" i="1"/>
  <c r="V1772" i="1"/>
  <c r="V1773" i="1"/>
  <c r="V1774" i="1"/>
  <c r="V1775" i="1"/>
  <c r="V1776" i="1"/>
  <c r="V1777" i="1"/>
  <c r="V1778" i="1"/>
  <c r="V353" i="1"/>
  <c r="V1022" i="1"/>
  <c r="V1917" i="1"/>
  <c r="V1918" i="1"/>
  <c r="V2158" i="1"/>
  <c r="V1604" i="1"/>
  <c r="V1115" i="1"/>
  <c r="V1483" i="1"/>
  <c r="V926" i="1"/>
  <c r="V927" i="1"/>
  <c r="V928" i="1"/>
  <c r="V929" i="1"/>
  <c r="V930" i="1"/>
  <c r="V931" i="1"/>
  <c r="V10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408" i="1"/>
  <c r="V2409" i="1"/>
  <c r="V950" i="1"/>
  <c r="V951" i="1"/>
  <c r="V952" i="1"/>
  <c r="V1742" i="1"/>
  <c r="V1743" i="1"/>
  <c r="V1744" i="1"/>
  <c r="V2320" i="1"/>
  <c r="V2321" i="1"/>
  <c r="V2322" i="1"/>
  <c r="V2323" i="1"/>
  <c r="V2324" i="1"/>
  <c r="V2325" i="1"/>
  <c r="V2326" i="1"/>
  <c r="V703" i="1"/>
  <c r="V704" i="1"/>
  <c r="V705" i="1"/>
  <c r="V706" i="1"/>
  <c r="V707" i="1"/>
  <c r="V935" i="1"/>
  <c r="V1112" i="1"/>
  <c r="V1113" i="1"/>
  <c r="V1114" i="1"/>
  <c r="V1368" i="1"/>
  <c r="V1369" i="1"/>
  <c r="V1370" i="1"/>
  <c r="V1371" i="1"/>
  <c r="V1372" i="1"/>
  <c r="V1373" i="1"/>
  <c r="V1374" i="1"/>
  <c r="V1375" i="1"/>
  <c r="V207" i="1"/>
  <c r="V208" i="1"/>
  <c r="V209" i="1"/>
  <c r="V210" i="1"/>
  <c r="V2429" i="1"/>
  <c r="V2430" i="1"/>
  <c r="V2431" i="1"/>
  <c r="V724" i="1"/>
  <c r="V725" i="1"/>
  <c r="V726" i="1"/>
  <c r="V797" i="1"/>
  <c r="V798" i="1"/>
  <c r="V748" i="1"/>
  <c r="V749" i="1"/>
  <c r="V537" i="1"/>
  <c r="V978" i="1"/>
  <c r="V979" i="1"/>
  <c r="V1545" i="1"/>
  <c r="V1546" i="1"/>
  <c r="V1547" i="1"/>
  <c r="V1079" i="1"/>
  <c r="V1080" i="1"/>
  <c r="V172" i="1"/>
  <c r="V173" i="1"/>
  <c r="V174" i="1"/>
  <c r="V175" i="1"/>
  <c r="V176" i="1"/>
  <c r="V1024" i="1"/>
  <c r="V1025" i="1"/>
  <c r="V1026" i="1"/>
  <c r="V1027" i="1"/>
  <c r="V1028" i="1"/>
  <c r="V1029" i="1"/>
  <c r="V1713" i="1"/>
  <c r="V1714" i="1"/>
  <c r="V1715" i="1"/>
  <c r="V1116" i="1"/>
  <c r="V1117" i="1"/>
  <c r="V1118" i="1"/>
  <c r="V893" i="1"/>
  <c r="V1985" i="1"/>
  <c r="V1986" i="1"/>
  <c r="V1987" i="1"/>
  <c r="V1988" i="1"/>
  <c r="V177" i="1"/>
  <c r="V1327" i="1"/>
  <c r="V2184" i="1"/>
  <c r="V2185" i="1"/>
  <c r="V936" i="1"/>
  <c r="V937" i="1"/>
  <c r="V178" i="1"/>
  <c r="V179" i="1"/>
  <c r="V180" i="1"/>
  <c r="V54" i="1"/>
  <c r="V1989" i="1"/>
  <c r="V1990" i="1"/>
  <c r="V1991" i="1"/>
  <c r="V1992" i="1"/>
  <c r="V1993" i="1"/>
  <c r="V1994" i="1"/>
  <c r="V211" i="1"/>
  <c r="V212" i="1"/>
  <c r="V213" i="1"/>
  <c r="V214" i="1"/>
  <c r="V215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772" i="1"/>
  <c r="V181" i="1"/>
  <c r="V182" i="1"/>
  <c r="V2237" i="1"/>
  <c r="V2238" i="1"/>
  <c r="V938" i="1"/>
  <c r="V939" i="1"/>
  <c r="V940" i="1"/>
  <c r="V1144" i="1"/>
  <c r="V918" i="1"/>
  <c r="V2239" i="1"/>
  <c r="V1153" i="1"/>
  <c r="V1154" i="1"/>
  <c r="V1155" i="1"/>
  <c r="V1156" i="1"/>
  <c r="V941" i="1"/>
  <c r="V1031" i="1"/>
  <c r="V548" i="1"/>
  <c r="V746" i="1"/>
  <c r="V987" i="1"/>
  <c r="V1995" i="1"/>
  <c r="V1996" i="1"/>
  <c r="V1376" i="1"/>
  <c r="V1377" i="1"/>
  <c r="V1591" i="1"/>
  <c r="V1592" i="1"/>
  <c r="V1593" i="1"/>
  <c r="V1594" i="1"/>
  <c r="V919" i="1"/>
  <c r="V920" i="1"/>
  <c r="V1081" i="1"/>
  <c r="V1082" i="1"/>
  <c r="V1083" i="1"/>
  <c r="V2432" i="1"/>
  <c r="V2433" i="1"/>
  <c r="V2434" i="1"/>
  <c r="V731" i="1"/>
  <c r="V1535" i="1"/>
  <c r="V1536" i="1"/>
  <c r="V1537" i="1"/>
  <c r="V1213" i="1"/>
  <c r="V1214" i="1"/>
  <c r="V1215" i="1"/>
  <c r="V1216" i="1"/>
  <c r="V1217" i="1"/>
  <c r="V1218" i="1"/>
  <c r="V402" i="1"/>
  <c r="V1157" i="1"/>
  <c r="V1158" i="1"/>
  <c r="V1159" i="1"/>
  <c r="V1160" i="1"/>
  <c r="V1161" i="1"/>
  <c r="V1162" i="1"/>
  <c r="V1163" i="1"/>
  <c r="V1164" i="1"/>
  <c r="V1165" i="1"/>
  <c r="V1166" i="1"/>
  <c r="V773" i="1"/>
  <c r="V1538" i="1"/>
  <c r="V1145" i="1"/>
  <c r="V216" i="1"/>
  <c r="V217" i="1"/>
  <c r="V1252" i="1"/>
  <c r="V1253" i="1"/>
  <c r="V1254" i="1"/>
  <c r="V1779" i="1"/>
  <c r="V1780" i="1"/>
  <c r="V529" i="1"/>
  <c r="V530" i="1"/>
  <c r="V2271" i="1"/>
  <c r="V1093" i="1"/>
  <c r="V921" i="1"/>
  <c r="V922" i="1"/>
  <c r="V923" i="1"/>
  <c r="V924" i="1"/>
  <c r="V2112" i="1"/>
  <c r="V1999" i="1"/>
  <c r="V2000" i="1"/>
  <c r="V2001" i="1"/>
  <c r="V540" i="1"/>
  <c r="V541" i="1"/>
  <c r="V542" i="1"/>
  <c r="V543" i="1"/>
  <c r="V544" i="1"/>
  <c r="V1094" i="1"/>
  <c r="V1095" i="1"/>
  <c r="V1096" i="1"/>
  <c r="V1097" i="1"/>
  <c r="V1682" i="1"/>
  <c r="V2272" i="1"/>
  <c r="V2273" i="1"/>
  <c r="V1564" i="1"/>
  <c r="V2113" i="1"/>
  <c r="V428" i="1"/>
  <c r="V429" i="1"/>
  <c r="V430" i="1"/>
  <c r="V431" i="1"/>
  <c r="V432" i="1"/>
  <c r="V433" i="1"/>
  <c r="V1997" i="1"/>
  <c r="V1998" i="1"/>
  <c r="V980" i="1"/>
  <c r="V981" i="1"/>
  <c r="V982" i="1"/>
  <c r="V983" i="1"/>
  <c r="V984" i="1"/>
  <c r="V985" i="1"/>
  <c r="V986" i="1"/>
  <c r="V1440" i="1"/>
  <c r="V1441" i="1"/>
  <c r="V1442" i="1"/>
  <c r="V1084" i="1"/>
  <c r="V1595" i="1"/>
  <c r="V1596" i="1"/>
  <c r="V2135" i="1"/>
  <c r="V2136" i="1"/>
  <c r="V2137" i="1"/>
  <c r="V2138" i="1"/>
  <c r="V183" i="1"/>
  <c r="V184" i="1"/>
  <c r="V185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1167" i="1"/>
  <c r="V1168" i="1"/>
  <c r="V1169" i="1"/>
  <c r="V487" i="1"/>
  <c r="V488" i="1"/>
  <c r="V1085" i="1"/>
  <c r="V1086" i="1"/>
  <c r="V1087" i="1"/>
  <c r="V2240" i="1"/>
  <c r="V1119" i="1"/>
  <c r="V1120" i="1"/>
  <c r="V2139" i="1"/>
  <c r="V1032" i="1"/>
  <c r="V953" i="1"/>
  <c r="V1299" i="1"/>
  <c r="V1657" i="1"/>
  <c r="V1658" i="1"/>
  <c r="V1659" i="1"/>
  <c r="V833" i="1"/>
  <c r="V834" i="1"/>
  <c r="V2252" i="1"/>
  <c r="V774" i="1"/>
  <c r="V775" i="1"/>
  <c r="V776" i="1"/>
  <c r="V954" i="1"/>
  <c r="V955" i="1"/>
  <c r="V956" i="1"/>
  <c r="V1506" i="1"/>
  <c r="V1507" i="1"/>
  <c r="V750" i="1"/>
  <c r="V751" i="1"/>
  <c r="V752" i="1"/>
  <c r="V753" i="1"/>
  <c r="V447" i="1"/>
  <c r="V448" i="1"/>
  <c r="V449" i="1"/>
  <c r="V450" i="1"/>
  <c r="V1098" i="1"/>
  <c r="V1099" i="1"/>
  <c r="V1100" i="1"/>
  <c r="V1101" i="1"/>
  <c r="V1102" i="1"/>
  <c r="V1229" i="1"/>
  <c r="V1230" i="1"/>
  <c r="V1231" i="1"/>
  <c r="V1232" i="1"/>
  <c r="V1233" i="1"/>
  <c r="V1234" i="1"/>
  <c r="V727" i="1"/>
  <c r="V1300" i="1"/>
  <c r="V1033" i="1"/>
  <c r="V1143" i="1"/>
  <c r="V1487" i="1"/>
  <c r="V1488" i="1"/>
  <c r="V1489" i="1"/>
  <c r="V1490" i="1"/>
  <c r="V347" i="1"/>
  <c r="V348" i="1"/>
  <c r="V349" i="1"/>
  <c r="V553" i="1"/>
  <c r="V554" i="1"/>
  <c r="V555" i="1"/>
  <c r="V556" i="1"/>
  <c r="V557" i="1"/>
  <c r="V558" i="1"/>
  <c r="V559" i="1"/>
  <c r="V1443" i="1"/>
  <c r="V1444" i="1"/>
  <c r="V1445" i="1"/>
  <c r="V1446" i="1"/>
  <c r="V1447" i="1"/>
  <c r="V648" i="1"/>
  <c r="V649" i="1"/>
  <c r="V650" i="1"/>
  <c r="V651" i="1"/>
  <c r="V652" i="1"/>
  <c r="V653" i="1"/>
  <c r="V1088" i="1"/>
  <c r="V1089" i="1"/>
  <c r="V637" i="1"/>
  <c r="V638" i="1"/>
  <c r="V639" i="1"/>
  <c r="V640" i="1"/>
  <c r="V641" i="1"/>
  <c r="V642" i="1"/>
  <c r="V643" i="1"/>
  <c r="V644" i="1"/>
  <c r="V645" i="1"/>
  <c r="V646" i="1"/>
  <c r="V647" i="1"/>
  <c r="V1090" i="1"/>
  <c r="V1091" i="1"/>
  <c r="V1092" i="1"/>
  <c r="V1228" i="1"/>
  <c r="V1553" i="1"/>
  <c r="V1677" i="1"/>
  <c r="V1678" i="1"/>
  <c r="V1679" i="1"/>
  <c r="V1833" i="1"/>
  <c r="V1539" i="1"/>
  <c r="V1540" i="1"/>
  <c r="V1541" i="1"/>
  <c r="V1542" i="1"/>
  <c r="V1543" i="1"/>
  <c r="V298" i="1"/>
  <c r="V1061" i="1"/>
  <c r="V1348" i="1"/>
  <c r="V1781" i="1"/>
  <c r="V1782" i="1"/>
  <c r="V1783" i="1"/>
  <c r="V1784" i="1"/>
  <c r="V1785" i="1"/>
  <c r="V1786" i="1"/>
  <c r="V1787" i="1"/>
  <c r="V1788" i="1"/>
  <c r="V2360" i="1"/>
  <c r="V2361" i="1"/>
  <c r="V2362" i="1"/>
  <c r="V2363" i="1"/>
  <c r="V1544" i="1"/>
  <c r="V2074" i="1"/>
  <c r="V2075" i="1"/>
  <c r="V2435" i="1"/>
  <c r="V1789" i="1"/>
  <c r="V1790" i="1"/>
  <c r="V1791" i="1"/>
  <c r="V1792" i="1"/>
  <c r="V1793" i="1"/>
  <c r="V1794" i="1"/>
  <c r="V1795" i="1"/>
  <c r="V1219" i="1"/>
  <c r="V1220" i="1"/>
  <c r="V1221" i="1"/>
  <c r="V1222" i="1"/>
  <c r="V1223" i="1"/>
  <c r="V1224" i="1"/>
  <c r="V728" i="1"/>
  <c r="V960" i="1"/>
  <c r="V1058" i="1"/>
  <c r="V1208" i="1"/>
  <c r="V1209" i="1"/>
  <c r="V1210" i="1"/>
  <c r="V1211" i="1"/>
  <c r="V1345" i="1"/>
  <c r="V1426" i="1"/>
  <c r="V1515" i="1"/>
  <c r="V1516" i="1"/>
  <c r="V1517" i="1"/>
  <c r="V1508" i="1"/>
  <c r="V1509" i="1"/>
  <c r="V1171" i="1"/>
  <c r="V275" i="1"/>
  <c r="V276" i="1"/>
  <c r="V277" i="1"/>
  <c r="V278" i="1"/>
  <c r="V1172" i="1"/>
  <c r="V1173" i="1"/>
  <c r="V1174" i="1"/>
  <c r="V1175" i="1"/>
  <c r="V1176" i="1"/>
  <c r="V391" i="1"/>
  <c r="V392" i="1"/>
  <c r="V279" i="1"/>
  <c r="V832" i="1"/>
  <c r="V1330" i="1"/>
  <c r="V139" i="1"/>
  <c r="V393" i="1"/>
  <c r="V716" i="1"/>
  <c r="V1177" i="1"/>
  <c r="V1178" i="1"/>
  <c r="V489" i="1"/>
  <c r="V808" i="1"/>
  <c r="V809" i="1"/>
  <c r="V810" i="1"/>
  <c r="V2037" i="1"/>
  <c r="V2038" i="1"/>
  <c r="V2039" i="1"/>
  <c r="V1312" i="1"/>
  <c r="V1313" i="1"/>
  <c r="V1314" i="1"/>
  <c r="V1315" i="1"/>
  <c r="V1316" i="1"/>
  <c r="V1317" i="1"/>
  <c r="V1318" i="1"/>
  <c r="V1319" i="1"/>
  <c r="V1320" i="1"/>
  <c r="V1321" i="1"/>
  <c r="V1322" i="1"/>
  <c r="V1627" i="1"/>
  <c r="V1628" i="1"/>
  <c r="V1629" i="1"/>
  <c r="V1929" i="1"/>
  <c r="V1930" i="1"/>
  <c r="V1931" i="1"/>
  <c r="V1932" i="1"/>
  <c r="V1933" i="1"/>
  <c r="V1934" i="1"/>
  <c r="V2035" i="1"/>
  <c r="V2176" i="1"/>
  <c r="V777" i="1"/>
  <c r="V778" i="1"/>
  <c r="V779" i="1"/>
  <c r="V780" i="1"/>
  <c r="V781" i="1"/>
  <c r="V782" i="1"/>
  <c r="V2387" i="1"/>
  <c r="V2388" i="1"/>
  <c r="V2389" i="1"/>
  <c r="V2390" i="1"/>
  <c r="V99" i="1"/>
  <c r="V100" i="1"/>
  <c r="V101" i="1"/>
  <c r="V102" i="1"/>
  <c r="V103" i="1"/>
  <c r="V104" i="1"/>
  <c r="V560" i="1"/>
  <c r="V561" i="1"/>
  <c r="V562" i="1"/>
  <c r="V563" i="1"/>
  <c r="V564" i="1"/>
  <c r="V565" i="1"/>
  <c r="V566" i="1"/>
  <c r="V1382" i="1"/>
  <c r="V1383" i="1"/>
  <c r="V1384" i="1"/>
  <c r="V1385" i="1"/>
  <c r="V1386" i="1"/>
  <c r="V1387" i="1"/>
  <c r="V1388" i="1"/>
  <c r="V1389" i="1"/>
  <c r="V1390" i="1"/>
  <c r="V1391" i="1"/>
  <c r="V1712" i="1"/>
  <c r="V2140" i="1"/>
  <c r="V2141" i="1"/>
  <c r="V2142" i="1"/>
  <c r="V2143" i="1"/>
  <c r="V2144" i="1"/>
  <c r="V2145" i="1"/>
  <c r="V2280" i="1"/>
  <c r="V2281" i="1"/>
  <c r="V2282" i="1"/>
  <c r="V2283" i="1"/>
  <c r="V550" i="1"/>
  <c r="V551" i="1"/>
  <c r="V552" i="1"/>
  <c r="V768" i="1"/>
  <c r="V769" i="1"/>
  <c r="V770" i="1"/>
  <c r="V1479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754" i="1"/>
  <c r="V1235" i="1"/>
  <c r="V1236" i="1"/>
  <c r="V1237" i="1"/>
  <c r="V1448" i="1"/>
  <c r="V2040" i="1"/>
  <c r="V2041" i="1"/>
  <c r="V2042" i="1"/>
  <c r="V2043" i="1"/>
  <c r="V2044" i="1"/>
  <c r="V186" i="1"/>
  <c r="V187" i="1"/>
  <c r="V188" i="1"/>
  <c r="V1449" i="1"/>
  <c r="V835" i="1"/>
  <c r="V836" i="1"/>
  <c r="V837" i="1"/>
  <c r="V2045" i="1"/>
  <c r="V494" i="1"/>
  <c r="V1493" i="1"/>
  <c r="V1494" i="1"/>
  <c r="V2177" i="1"/>
  <c r="V495" i="1"/>
  <c r="V496" i="1"/>
  <c r="V128" i="1"/>
  <c r="V129" i="1"/>
  <c r="V130" i="1"/>
  <c r="V1323" i="1"/>
  <c r="V2178" i="1"/>
  <c r="V2307" i="1"/>
  <c r="V2308" i="1"/>
  <c r="V2309" i="1"/>
  <c r="V1324" i="1"/>
  <c r="V1325" i="1"/>
  <c r="V403" i="1"/>
  <c r="V404" i="1"/>
  <c r="V1834" i="1"/>
  <c r="V1835" i="1"/>
  <c r="V1836" i="1"/>
  <c r="V189" i="1"/>
  <c r="V531" i="1"/>
  <c r="V532" i="1"/>
  <c r="V1436" i="1"/>
  <c r="V1437" i="1"/>
  <c r="V1438" i="1"/>
  <c r="V1439" i="1"/>
  <c r="V838" i="1"/>
  <c r="V839" i="1"/>
  <c r="V840" i="1"/>
  <c r="V841" i="1"/>
  <c r="V842" i="1"/>
  <c r="V1189" i="1"/>
  <c r="V1190" i="1"/>
  <c r="V1185" i="1"/>
  <c r="V2241" i="1"/>
  <c r="V1179" i="1"/>
  <c r="V1495" i="1"/>
  <c r="V1496" i="1"/>
  <c r="V1497" i="1"/>
  <c r="V2179" i="1"/>
  <c r="V784" i="1"/>
  <c r="V785" i="1"/>
  <c r="V786" i="1"/>
  <c r="V105" i="1"/>
  <c r="V106" i="1"/>
  <c r="V107" i="1"/>
  <c r="V108" i="1"/>
  <c r="V109" i="1"/>
  <c r="V110" i="1"/>
  <c r="V567" i="1"/>
  <c r="V1480" i="1"/>
  <c r="V2385" i="1"/>
  <c r="V2386" i="1"/>
  <c r="V1268" i="1"/>
  <c r="V1269" i="1"/>
  <c r="V1690" i="1"/>
  <c r="V1518" i="1"/>
  <c r="V1519" i="1"/>
  <c r="V1520" i="1"/>
  <c r="V1661" i="1"/>
  <c r="V1662" i="1"/>
  <c r="V1769" i="1"/>
  <c r="V1770" i="1"/>
  <c r="V2049" i="1"/>
  <c r="V2411" i="1"/>
  <c r="V2412" i="1"/>
  <c r="V2413" i="1"/>
  <c r="V2414" i="1"/>
  <c r="V2327" i="1"/>
  <c r="V2328" i="1"/>
  <c r="V1191" i="1"/>
  <c r="V783" i="1"/>
  <c r="V1121" i="1"/>
  <c r="V1122" i="1"/>
  <c r="V111" i="1"/>
  <c r="V2180" i="1"/>
  <c r="V2312" i="1"/>
  <c r="V755" i="1"/>
  <c r="V131" i="1"/>
  <c r="V132" i="1"/>
  <c r="V133" i="1"/>
  <c r="V134" i="1"/>
  <c r="V135" i="1"/>
  <c r="V1945" i="1"/>
  <c r="V1946" i="1"/>
  <c r="V1947" i="1"/>
  <c r="V1948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691" i="1"/>
  <c r="V1692" i="1"/>
  <c r="V756" i="1"/>
  <c r="V757" i="1"/>
  <c r="V758" i="1"/>
  <c r="V759" i="1"/>
  <c r="V760" i="1"/>
  <c r="V761" i="1"/>
  <c r="V762" i="1"/>
  <c r="V763" i="1"/>
  <c r="V1837" i="1"/>
  <c r="V1225" i="1"/>
  <c r="V163" i="1"/>
  <c r="V164" i="1"/>
  <c r="V1346" i="1"/>
  <c r="V519" i="1"/>
  <c r="V520" i="1"/>
  <c r="V1180" i="1"/>
  <c r="V1181" i="1"/>
  <c r="V1949" i="1"/>
  <c r="V1950" i="1"/>
  <c r="V2313" i="1"/>
  <c r="V2401" i="1"/>
  <c r="V2402" i="1"/>
  <c r="V459" i="1"/>
  <c r="V460" i="1"/>
  <c r="V1693" i="1"/>
  <c r="V1694" i="1"/>
  <c r="V998" i="1"/>
  <c r="V1106" i="1"/>
  <c r="V1482" i="1"/>
  <c r="V405" i="1"/>
  <c r="V1554" i="1"/>
  <c r="V654" i="1"/>
  <c r="V655" i="1"/>
  <c r="V656" i="1"/>
  <c r="V657" i="1"/>
  <c r="V658" i="1"/>
  <c r="V1192" i="1"/>
  <c r="V1193" i="1"/>
  <c r="V1194" i="1"/>
  <c r="V1182" i="1"/>
  <c r="V1183" i="1"/>
  <c r="V1184" i="1"/>
  <c r="V2186" i="1"/>
  <c r="V1420" i="1"/>
  <c r="V190" i="1"/>
  <c r="V2127" i="1"/>
  <c r="V1666" i="1"/>
  <c r="V1667" i="1"/>
  <c r="V1668" i="1"/>
  <c r="V2423" i="1"/>
  <c r="V2424" i="1"/>
  <c r="V2425" i="1"/>
  <c r="V2426" i="1"/>
  <c r="V16" i="1"/>
  <c r="V1951" i="1"/>
  <c r="V1952" i="1"/>
  <c r="V1953" i="1"/>
  <c r="V787" i="1"/>
  <c r="V788" i="1"/>
  <c r="V2128" i="1"/>
  <c r="V2129" i="1"/>
  <c r="V2130" i="1"/>
  <c r="V2131" i="1"/>
  <c r="V2242" i="1"/>
  <c r="V2243" i="1"/>
  <c r="V2244" i="1"/>
  <c r="V1421" i="1"/>
  <c r="V1422" i="1"/>
  <c r="V2332" i="1"/>
  <c r="V2333" i="1"/>
  <c r="V2132" i="1"/>
  <c r="V659" i="1"/>
  <c r="V660" i="1"/>
  <c r="V661" i="1"/>
  <c r="V662" i="1"/>
  <c r="V663" i="1"/>
  <c r="V1226" i="1"/>
  <c r="V2245" i="1"/>
  <c r="V2246" i="1"/>
  <c r="V2247" i="1"/>
  <c r="V521" i="1"/>
  <c r="V522" i="1"/>
  <c r="V523" i="1"/>
  <c r="V524" i="1"/>
  <c r="V631" i="1"/>
  <c r="V1961" i="1"/>
  <c r="V1962" i="1"/>
  <c r="V2080" i="1"/>
  <c r="V2081" i="1"/>
  <c r="V22" i="1"/>
  <c r="V23" i="1"/>
  <c r="V24" i="1"/>
  <c r="V165" i="1"/>
  <c r="V166" i="1"/>
  <c r="V971" i="1"/>
  <c r="V972" i="1"/>
  <c r="V1963" i="1"/>
  <c r="V2257" i="1"/>
  <c r="V1195" i="1"/>
  <c r="V1196" i="1"/>
  <c r="V1197" i="1"/>
  <c r="V1198" i="1"/>
  <c r="V2403" i="1"/>
  <c r="V2404" i="1"/>
  <c r="V2405" i="1"/>
  <c r="V2406" i="1"/>
  <c r="V2036" i="1"/>
  <c r="V258" i="1"/>
  <c r="V259" i="1"/>
  <c r="V1140" i="1"/>
  <c r="V1141" i="1"/>
  <c r="V1142" i="1"/>
  <c r="V2133" i="1"/>
  <c r="V2134" i="1"/>
  <c r="V1423" i="1"/>
  <c r="V1424" i="1"/>
  <c r="V140" i="1"/>
  <c r="V2187" i="1"/>
  <c r="V2188" i="1"/>
  <c r="V2189" i="1"/>
  <c r="V2190" i="1"/>
  <c r="V2191" i="1"/>
  <c r="V2192" i="1"/>
  <c r="V2193" i="1"/>
  <c r="V2194" i="1"/>
  <c r="V2195" i="1"/>
  <c r="V2196" i="1"/>
  <c r="V1227" i="1"/>
  <c r="V1349" i="1"/>
  <c r="V1548" i="1"/>
  <c r="V294" i="1"/>
  <c r="V2289" i="1"/>
  <c r="V2290" i="1"/>
  <c r="V2291" i="1"/>
  <c r="V389" i="1"/>
  <c r="V390" i="1"/>
  <c r="V1635" i="1"/>
  <c r="V1636" i="1"/>
  <c r="V1637" i="1"/>
  <c r="V1638" i="1"/>
  <c r="V1639" i="1"/>
  <c r="V1640" i="1"/>
  <c r="V1549" i="1"/>
  <c r="V1550" i="1"/>
  <c r="V461" i="1"/>
  <c r="V462" i="1"/>
  <c r="V463" i="1"/>
  <c r="V615" i="1"/>
  <c r="V295" i="1"/>
  <c r="V296" i="1"/>
  <c r="V1964" i="1"/>
  <c r="V145" i="1"/>
  <c r="V146" i="1"/>
  <c r="V147" i="1"/>
  <c r="V729" i="1"/>
  <c r="V730" i="1"/>
  <c r="V1427" i="1"/>
  <c r="V1428" i="1"/>
  <c r="V1429" i="1"/>
  <c r="V1430" i="1"/>
  <c r="V1431" i="1"/>
  <c r="V1450" i="1"/>
  <c r="V1451" i="1"/>
  <c r="V1452" i="1"/>
  <c r="V1453" i="1"/>
  <c r="V1454" i="1"/>
  <c r="V1855" i="1"/>
  <c r="V1856" i="1"/>
  <c r="V1857" i="1"/>
  <c r="V1858" i="1"/>
  <c r="V112" i="1"/>
  <c r="V113" i="1"/>
  <c r="V771" i="1"/>
  <c r="V1276" i="1"/>
  <c r="V1484" i="1"/>
  <c r="V1605" i="1"/>
  <c r="V1606" i="1"/>
  <c r="V1607" i="1"/>
  <c r="V1608" i="1"/>
  <c r="V973" i="1"/>
  <c r="V974" i="1"/>
  <c r="V975" i="1"/>
  <c r="V789" i="1"/>
  <c r="V790" i="1"/>
  <c r="V791" i="1"/>
  <c r="V260" i="1"/>
  <c r="V261" i="1"/>
  <c r="V262" i="1"/>
  <c r="V263" i="1"/>
  <c r="V264" i="1"/>
  <c r="V1555" i="1"/>
  <c r="V1556" i="1"/>
  <c r="V1557" i="1"/>
  <c r="V1558" i="1"/>
  <c r="V1551" i="1"/>
  <c r="V1552" i="1"/>
  <c r="V616" i="1"/>
  <c r="V464" i="1"/>
  <c r="V465" i="1"/>
  <c r="V2292" i="1"/>
  <c r="V2293" i="1"/>
  <c r="V698" i="1"/>
  <c r="V699" i="1"/>
  <c r="V700" i="1"/>
  <c r="V701" i="1"/>
  <c r="V732" i="1"/>
  <c r="V733" i="1"/>
  <c r="V734" i="1"/>
  <c r="V1859" i="1"/>
  <c r="V1860" i="1"/>
  <c r="V1861" i="1"/>
  <c r="V1862" i="1"/>
  <c r="V1863" i="1"/>
  <c r="V1864" i="1"/>
  <c r="V1865" i="1"/>
  <c r="V1866" i="1"/>
  <c r="V1609" i="1"/>
  <c r="V1610" i="1"/>
  <c r="V2007" i="1"/>
  <c r="V2008" i="1"/>
  <c r="V2009" i="1"/>
  <c r="V2010" i="1"/>
  <c r="V2011" i="1"/>
  <c r="V2012" i="1"/>
  <c r="V2013" i="1"/>
  <c r="V1107" i="1"/>
  <c r="V1108" i="1"/>
  <c r="V1461" i="1"/>
  <c r="V1462" i="1"/>
  <c r="V25" i="1"/>
  <c r="V26" i="1"/>
  <c r="V792" i="1"/>
  <c r="V793" i="1"/>
  <c r="V794" i="1"/>
  <c r="V795" i="1"/>
  <c r="V1418" i="1"/>
  <c r="V1419" i="1"/>
  <c r="V976" i="1"/>
  <c r="V977" i="1"/>
  <c r="V1796" i="1"/>
  <c r="V1797" i="1"/>
  <c r="V2014" i="1"/>
  <c r="V2015" i="1"/>
  <c r="V2016" i="1"/>
  <c r="V735" i="1"/>
  <c r="V1432" i="1"/>
  <c r="V1433" i="1"/>
  <c r="V1365" i="1"/>
  <c r="V2383" i="1"/>
  <c r="V310" i="1"/>
  <c r="V1798" i="1"/>
  <c r="V243" i="1"/>
  <c r="V244" i="1"/>
  <c r="V55" i="1"/>
  <c r="V56" i="1"/>
  <c r="V452" i="1"/>
  <c r="V453" i="1"/>
  <c r="V454" i="1"/>
  <c r="V455" i="1"/>
  <c r="V1867" i="1"/>
  <c r="V1868" i="1"/>
  <c r="V1869" i="1"/>
  <c r="V1559" i="1"/>
  <c r="V736" i="1"/>
  <c r="V1434" i="1"/>
  <c r="V1663" i="1"/>
  <c r="V1664" i="1"/>
  <c r="V2415" i="1"/>
  <c r="V2197" i="1"/>
  <c r="V1397" i="1"/>
  <c r="V1398" i="1"/>
  <c r="V1399" i="1"/>
  <c r="V617" i="1"/>
  <c r="V618" i="1"/>
  <c r="V942" i="1"/>
  <c r="V1722" i="1"/>
  <c r="V1723" i="1"/>
  <c r="V1724" i="1"/>
  <c r="V1400" i="1"/>
  <c r="V1401" i="1"/>
  <c r="V1402" i="1"/>
  <c r="V1403" i="1"/>
  <c r="V1463" i="1"/>
  <c r="V1464" i="1"/>
  <c r="V1465" i="1"/>
  <c r="V1199" i="1"/>
  <c r="V1764" i="1"/>
  <c r="V1765" i="1"/>
  <c r="V2253" i="1"/>
  <c r="V2254" i="1"/>
  <c r="V2255" i="1"/>
  <c r="V2256" i="1"/>
  <c r="V943" i="1"/>
  <c r="V944" i="1"/>
  <c r="V945" i="1"/>
  <c r="V1146" i="1"/>
  <c r="V2198" i="1"/>
  <c r="V1560" i="1"/>
  <c r="V1561" i="1"/>
  <c r="V1562" i="1"/>
  <c r="V1563" i="1"/>
  <c r="V2199" i="1"/>
  <c r="V2200" i="1"/>
  <c r="V2201" i="1"/>
  <c r="V2202" i="1"/>
  <c r="V2203" i="1"/>
  <c r="V27" i="1"/>
  <c r="V738" i="1"/>
  <c r="V1680" i="1"/>
  <c r="V2416" i="1"/>
  <c r="V1954" i="1"/>
  <c r="V1870" i="1"/>
  <c r="V739" i="1"/>
  <c r="V17" i="1"/>
  <c r="V2204" i="1"/>
  <c r="V2205" i="1"/>
  <c r="V2206" i="1"/>
  <c r="V2207" i="1"/>
  <c r="V2208" i="1"/>
  <c r="V2209" i="1"/>
  <c r="V2210" i="1"/>
  <c r="V2211" i="1"/>
  <c r="V466" i="1"/>
  <c r="V2329" i="1"/>
  <c r="V2330" i="1"/>
  <c r="V2331" i="1"/>
  <c r="V490" i="1"/>
  <c r="V491" i="1"/>
  <c r="V1871" i="1"/>
  <c r="V467" i="1"/>
  <c r="V468" i="1"/>
  <c r="V469" i="1"/>
  <c r="V470" i="1"/>
  <c r="V471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218" i="1"/>
  <c r="V219" i="1"/>
  <c r="V220" i="1"/>
  <c r="V221" i="1"/>
  <c r="V222" i="1"/>
  <c r="V472" i="1"/>
  <c r="V1270" i="1"/>
  <c r="V1271" i="1"/>
  <c r="V1272" i="1"/>
  <c r="V1273" i="1"/>
  <c r="V1274" i="1"/>
  <c r="V1597" i="1"/>
  <c r="V1598" i="1"/>
  <c r="V473" i="1"/>
  <c r="V474" i="1"/>
  <c r="V475" i="1"/>
  <c r="V2006" i="1"/>
  <c r="V223" i="1"/>
  <c r="V224" i="1"/>
  <c r="V225" i="1"/>
  <c r="V1681" i="1"/>
  <c r="V406" i="1"/>
  <c r="V407" i="1"/>
  <c r="V408" i="1"/>
  <c r="V409" i="1"/>
  <c r="V410" i="1"/>
  <c r="V411" i="1"/>
  <c r="V412" i="1"/>
  <c r="V737" i="1"/>
  <c r="V1669" i="1"/>
  <c r="V1670" i="1"/>
  <c r="V1671" i="1"/>
  <c r="V1672" i="1"/>
  <c r="V1673" i="1"/>
  <c r="V1674" i="1"/>
  <c r="V1675" i="1"/>
  <c r="V1676" i="1"/>
  <c r="V2364" i="1"/>
  <c r="V2365" i="1"/>
  <c r="V2366" i="1"/>
  <c r="V538" i="1"/>
  <c r="V1935" i="1"/>
  <c r="V1491" i="1"/>
  <c r="V1492" i="1"/>
  <c r="V2392" i="1"/>
  <c r="V1290" i="1"/>
  <c r="V1291" i="1"/>
  <c r="V1292" i="1"/>
  <c r="V1293" i="1"/>
  <c r="V456" i="1"/>
  <c r="V549" i="1"/>
  <c r="V457" i="1"/>
  <c r="V458" i="1"/>
  <c r="V41" i="1"/>
  <c r="V42" i="1"/>
  <c r="V43" i="1"/>
  <c r="V44" i="1"/>
  <c r="V45" i="1"/>
  <c r="V46" i="1"/>
  <c r="V47" i="1"/>
  <c r="V48" i="1"/>
  <c r="V49" i="1"/>
  <c r="V50" i="1"/>
  <c r="V51" i="1"/>
  <c r="V683" i="1"/>
  <c r="V539" i="1"/>
  <c r="V1815" i="1"/>
  <c r="V1816" i="1"/>
  <c r="V1817" i="1"/>
  <c r="V1818" i="1"/>
  <c r="V2248" i="1"/>
  <c r="V2249" i="1"/>
  <c r="V2250" i="1"/>
  <c r="V2251" i="1"/>
  <c r="V620" i="1"/>
  <c r="V621" i="1"/>
  <c r="V622" i="1"/>
  <c r="V623" i="1"/>
  <c r="V624" i="1"/>
  <c r="V625" i="1"/>
  <c r="V626" i="1"/>
  <c r="V627" i="1"/>
  <c r="V1053" i="1"/>
  <c r="V226" i="1"/>
  <c r="V227" i="1"/>
  <c r="V228" i="1"/>
  <c r="V2284" i="1"/>
  <c r="V2285" i="1"/>
  <c r="V2286" i="1"/>
  <c r="V2287" i="1"/>
  <c r="V2288" i="1"/>
  <c r="V1695" i="1"/>
  <c r="V1696" i="1"/>
  <c r="V1697" i="1"/>
  <c r="V1698" i="1"/>
  <c r="V1699" i="1"/>
  <c r="V1700" i="1"/>
  <c r="V1701" i="1"/>
  <c r="V1702" i="1"/>
  <c r="V1703" i="1"/>
  <c r="V2212" i="1"/>
  <c r="V1704" i="1"/>
  <c r="V1705" i="1"/>
  <c r="V1706" i="1"/>
  <c r="V1707" i="1"/>
  <c r="V1708" i="1"/>
  <c r="V1709" i="1"/>
  <c r="V1710" i="1"/>
  <c r="V1711" i="1"/>
  <c r="V476" i="1"/>
  <c r="V477" i="1"/>
  <c r="V1019" i="1"/>
  <c r="V1799" i="1"/>
  <c r="V1800" i="1"/>
  <c r="V1801" i="1"/>
  <c r="V1802" i="1"/>
  <c r="V1803" i="1"/>
  <c r="V1804" i="1"/>
  <c r="V1805" i="1"/>
  <c r="V1062" i="1"/>
  <c r="V1510" i="1"/>
  <c r="V1147" i="1"/>
  <c r="V1148" i="1"/>
  <c r="V1149" i="1"/>
  <c r="V2213" i="1"/>
  <c r="V2214" i="1"/>
  <c r="V57" i="1"/>
  <c r="V311" i="1"/>
  <c r="V1872" i="1"/>
  <c r="V1511" i="1"/>
  <c r="V1512" i="1"/>
  <c r="V1186" i="1"/>
  <c r="V1187" i="1"/>
  <c r="V2215" i="1"/>
  <c r="V1955" i="1"/>
  <c r="V1956" i="1"/>
  <c r="V497" i="1"/>
  <c r="V826" i="1"/>
  <c r="V191" i="1"/>
  <c r="V192" i="1"/>
  <c r="V1404" i="1"/>
  <c r="V1405" i="1"/>
  <c r="V1406" i="1"/>
  <c r="V1407" i="1"/>
  <c r="V1408" i="1"/>
  <c r="V1409" i="1"/>
  <c r="V1410" i="1"/>
  <c r="V1411" i="1"/>
  <c r="V1412" i="1"/>
  <c r="V1413" i="1"/>
  <c r="V1414" i="1"/>
  <c r="V312" i="1"/>
  <c r="V313" i="1"/>
  <c r="V2120" i="1"/>
  <c r="V413" i="1"/>
  <c r="V414" i="1"/>
  <c r="V415" i="1"/>
  <c r="V416" i="1"/>
  <c r="V740" i="1"/>
  <c r="V18" i="1"/>
  <c r="V19" i="1"/>
  <c r="V1611" i="1"/>
  <c r="V684" i="1"/>
  <c r="V741" i="1"/>
  <c r="V742" i="1"/>
  <c r="V743" i="1"/>
  <c r="V1150" i="1"/>
  <c r="V485" i="1"/>
  <c r="V1294" i="1"/>
  <c r="V1295" i="1"/>
  <c r="V1296" i="1"/>
  <c r="V1297" i="1"/>
  <c r="V1298" i="1"/>
  <c r="V1725" i="1"/>
  <c r="V1726" i="1"/>
  <c r="V2417" i="1"/>
  <c r="V854" i="1"/>
  <c r="V1020" i="1"/>
  <c r="V855" i="1"/>
  <c r="V856" i="1"/>
  <c r="V857" i="1"/>
  <c r="V858" i="1"/>
  <c r="V859" i="1"/>
  <c r="V860" i="1"/>
  <c r="V961" i="1"/>
  <c r="V1059" i="1"/>
  <c r="V2216" i="1"/>
  <c r="V2217" i="1"/>
  <c r="V2218" i="1"/>
  <c r="V2219" i="1"/>
  <c r="V2220" i="1"/>
  <c r="V2221" i="1"/>
  <c r="V2222" i="1"/>
  <c r="V2223" i="1"/>
  <c r="V280" i="1"/>
  <c r="V281" i="1"/>
  <c r="V282" i="1"/>
  <c r="V1612" i="1"/>
  <c r="V1613" i="1"/>
  <c r="V1599" i="1"/>
  <c r="V1600" i="1"/>
  <c r="V1601" i="1"/>
  <c r="V245" i="1"/>
  <c r="V2114" i="1"/>
  <c r="V2115" i="1"/>
  <c r="V2116" i="1"/>
  <c r="V967" i="1"/>
  <c r="V283" i="1"/>
  <c r="V284" i="1"/>
  <c r="V285" i="1"/>
  <c r="V286" i="1"/>
  <c r="V287" i="1"/>
  <c r="V499" i="1"/>
  <c r="V500" i="1"/>
  <c r="V501" i="1"/>
  <c r="V827" i="1"/>
  <c r="V10" i="1"/>
  <c r="V11" i="1"/>
  <c r="V12" i="1"/>
  <c r="V2181" i="1"/>
  <c r="V246" i="1"/>
  <c r="V1060" i="1"/>
  <c r="V1347" i="1"/>
  <c r="V1435" i="1"/>
  <c r="V1665" i="1"/>
  <c r="V2258" i="1"/>
  <c r="V2259" i="1"/>
  <c r="V1727" i="1"/>
  <c r="V744" i="1"/>
  <c r="V745" i="1"/>
  <c r="V1350" i="1"/>
  <c r="V1063" i="1"/>
  <c r="V1064" i="1"/>
  <c r="V968" i="1"/>
  <c r="V969" i="1"/>
  <c r="V970" i="1"/>
  <c r="V1534" i="1"/>
  <c r="V861" i="1"/>
  <c r="V862" i="1"/>
  <c r="V863" i="1"/>
  <c r="V864" i="1"/>
  <c r="V865" i="1"/>
  <c r="V1959" i="1"/>
  <c r="V142" i="1"/>
  <c r="V619" i="1"/>
  <c r="V1957" i="1"/>
  <c r="V1958" i="1"/>
  <c r="V2046" i="1"/>
  <c r="V2047" i="1"/>
  <c r="V2334" i="1"/>
  <c r="V1614" i="1"/>
  <c r="V1615" i="1"/>
  <c r="V1616" i="1"/>
  <c r="V685" i="1"/>
  <c r="V686" i="1"/>
  <c r="V687" i="1"/>
  <c r="V688" i="1"/>
  <c r="V689" i="1"/>
  <c r="V417" i="1"/>
  <c r="V418" i="1"/>
  <c r="V1351" i="1"/>
  <c r="V1065" i="1"/>
  <c r="V2065" i="1"/>
  <c r="V2066" i="1"/>
  <c r="V2067" i="1"/>
  <c r="V2264" i="1"/>
  <c r="V2265" i="1"/>
  <c r="V143" i="1"/>
  <c r="V2048" i="1"/>
  <c r="V502" i="1"/>
  <c r="V503" i="1"/>
  <c r="V504" i="1"/>
  <c r="V505" i="1"/>
  <c r="V2335" i="1"/>
  <c r="V2182" i="1"/>
  <c r="V2314" i="1"/>
  <c r="V708" i="1"/>
  <c r="V709" i="1"/>
  <c r="V710" i="1"/>
  <c r="V711" i="1"/>
  <c r="V712" i="1"/>
  <c r="V1728" i="1"/>
  <c r="V1729" i="1"/>
  <c r="V1617" i="1"/>
  <c r="V1618" i="1"/>
  <c r="V58" i="1"/>
  <c r="V2121" i="1"/>
  <c r="V2279" i="1"/>
  <c r="V2384" i="1"/>
  <c r="V40" i="1"/>
  <c r="V2336" i="1"/>
  <c r="V193" i="1"/>
  <c r="V194" i="1"/>
  <c r="V195" i="1"/>
  <c r="V196" i="1"/>
  <c r="V197" i="1"/>
  <c r="V198" i="1"/>
  <c r="V1066" i="1"/>
  <c r="V247" i="1"/>
  <c r="V248" i="1"/>
  <c r="V249" i="1"/>
  <c r="V419" i="1"/>
  <c r="V420" i="1"/>
  <c r="V421" i="1"/>
  <c r="V250" i="1"/>
  <c r="V2367" i="1"/>
  <c r="V2368" i="1"/>
  <c r="V2369" i="1"/>
  <c r="V2266" i="1"/>
  <c r="V2267" i="1"/>
  <c r="V2183" i="1"/>
  <c r="V1326" i="1"/>
  <c r="V811" i="1"/>
  <c r="V812" i="1"/>
  <c r="V813" i="1"/>
  <c r="V814" i="1"/>
  <c r="V815" i="1"/>
  <c r="V816" i="1"/>
  <c r="V1730" i="1"/>
  <c r="V1731" i="1"/>
  <c r="V764" i="1"/>
  <c r="V765" i="1"/>
  <c r="V766" i="1"/>
  <c r="V866" i="1"/>
  <c r="V867" i="1"/>
  <c r="V2050" i="1"/>
  <c r="V2051" i="1"/>
  <c r="V2052" i="1"/>
  <c r="V2053" i="1"/>
  <c r="V2054" i="1"/>
  <c r="V144" i="1"/>
  <c r="V13" i="1"/>
  <c r="V141" i="1"/>
  <c r="V2337" i="1"/>
  <c r="V817" i="1"/>
  <c r="V1732" i="1"/>
  <c r="V1481" i="1"/>
  <c r="V52" i="1"/>
  <c r="V868" i="1"/>
  <c r="V869" i="1"/>
  <c r="V870" i="1"/>
  <c r="V871" i="1"/>
  <c r="V872" i="1"/>
  <c r="V873" i="1"/>
  <c r="V874" i="1"/>
  <c r="V59" i="1"/>
  <c r="V60" i="1"/>
  <c r="V61" i="1"/>
  <c r="V62" i="1"/>
  <c r="V63" i="1"/>
  <c r="V2055" i="1"/>
  <c r="V2056" i="1"/>
  <c r="V2057" i="1"/>
  <c r="V2058" i="1"/>
  <c r="V2059" i="1"/>
  <c r="V2060" i="1"/>
  <c r="V2061" i="1"/>
  <c r="V64" i="1"/>
  <c r="V65" i="1"/>
  <c r="V66" i="1"/>
  <c r="V67" i="1"/>
  <c r="V68" i="1"/>
  <c r="V69" i="1"/>
  <c r="V70" i="1"/>
  <c r="V71" i="1"/>
  <c r="V72" i="1"/>
  <c r="V73" i="1"/>
  <c r="V1067" i="1"/>
  <c r="V1068" i="1"/>
  <c r="V20" i="1"/>
  <c r="V713" i="1"/>
  <c r="V714" i="1"/>
  <c r="V715" i="1"/>
  <c r="V1301" i="1"/>
  <c r="V1302" i="1"/>
  <c r="V1303" i="1"/>
  <c r="V1630" i="1"/>
  <c r="V1631" i="1"/>
  <c r="V2315" i="1"/>
  <c r="V2316" i="1"/>
  <c r="V2317" i="1"/>
  <c r="V2318" i="1"/>
  <c r="V1034" i="1"/>
  <c r="V1021" i="1"/>
  <c r="V1378" i="1"/>
  <c r="V1379" i="1"/>
  <c r="V1380" i="1"/>
  <c r="V767" i="1"/>
  <c r="V1466" i="1"/>
  <c r="V1467" i="1"/>
  <c r="V1468" i="1"/>
  <c r="V14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8" i="1"/>
  <c r="V29" i="1"/>
  <c r="V1565" i="1"/>
  <c r="V199" i="1"/>
  <c r="V200" i="1"/>
  <c r="V201" i="1"/>
  <c r="V202" i="1"/>
  <c r="V2062" i="1"/>
  <c r="V2063" i="1"/>
  <c r="V2064" i="1"/>
  <c r="V632" i="1"/>
  <c r="V633" i="1"/>
  <c r="V634" i="1"/>
  <c r="V719" i="1"/>
  <c r="V1200" i="1"/>
  <c r="V1201" i="1"/>
  <c r="V1202" i="1"/>
  <c r="V1203" i="1"/>
  <c r="V1619" i="1"/>
  <c r="V1620" i="1"/>
  <c r="V1621" i="1"/>
  <c r="V1716" i="1"/>
  <c r="V1717" i="1"/>
  <c r="V1718" i="1"/>
  <c r="V1719" i="1"/>
  <c r="V1720" i="1"/>
  <c r="V1721" i="1"/>
  <c r="V1919" i="1"/>
  <c r="V203" i="1"/>
  <c r="V204" i="1"/>
  <c r="V1819" i="1"/>
  <c r="V1820" i="1"/>
  <c r="V818" i="1"/>
  <c r="V819" i="1"/>
  <c r="V820" i="1"/>
  <c r="V821" i="1"/>
  <c r="V1733" i="1"/>
  <c r="V1734" i="1"/>
  <c r="V1735" i="1"/>
  <c r="V1470" i="1"/>
  <c r="V1471" i="1"/>
  <c r="V1472" i="1"/>
  <c r="V1473" i="1"/>
  <c r="V314" i="1"/>
  <c r="V315" i="1"/>
  <c r="V316" i="1"/>
  <c r="V317" i="1"/>
  <c r="V1204" i="1"/>
  <c r="V1205" i="1"/>
  <c r="V1206" i="1"/>
  <c r="V1207" i="1"/>
  <c r="V1035" i="1"/>
  <c r="V74" i="1"/>
  <c r="V75" i="1"/>
  <c r="V76" i="1"/>
  <c r="V1381" i="1"/>
  <c r="V1602" i="1"/>
  <c r="V1603" i="1"/>
  <c r="V7" i="1"/>
  <c r="V8" i="1"/>
  <c r="V9" i="1"/>
  <c r="V1474" i="1"/>
  <c r="V1109" i="1"/>
  <c r="V422" i="1"/>
  <c r="V506" i="1"/>
  <c r="V77" i="1"/>
  <c r="V78" i="1"/>
  <c r="V79" i="1"/>
  <c r="V80" i="1"/>
  <c r="V81" i="1"/>
  <c r="V82" i="1"/>
  <c r="V1475" i="1"/>
  <c r="V1476" i="1"/>
  <c r="V1477" i="1"/>
  <c r="V1478" i="1"/>
  <c r="V999" i="1"/>
  <c r="V1000" i="1"/>
  <c r="V2268" i="1"/>
  <c r="V1036" i="1"/>
  <c r="V1151" i="1"/>
  <c r="V1152" i="1"/>
  <c r="V507" i="1"/>
  <c r="V508" i="1"/>
  <c r="V509" i="1"/>
  <c r="V510" i="1"/>
  <c r="V511" i="1"/>
  <c r="V1645" i="1"/>
  <c r="V1352" i="1"/>
  <c r="V1304" i="1"/>
  <c r="V1305" i="1"/>
  <c r="V2319" i="1"/>
  <c r="V265" i="1"/>
  <c r="V266" i="1"/>
  <c r="V267" i="1"/>
  <c r="V423" i="1"/>
  <c r="V1054" i="1"/>
  <c r="V136" i="1"/>
  <c r="V1920" i="1"/>
  <c r="V1921" i="1"/>
  <c r="V1922" i="1"/>
  <c r="V1923" i="1"/>
  <c r="V1924" i="1"/>
  <c r="V1925" i="1"/>
  <c r="V1926" i="1"/>
  <c r="V1927" i="1"/>
  <c r="V690" i="1"/>
  <c r="V691" i="1"/>
  <c r="V692" i="1"/>
  <c r="V693" i="1"/>
  <c r="V268" i="1"/>
  <c r="V83" i="1"/>
  <c r="V84" i="1"/>
  <c r="V1001" i="1"/>
  <c r="V1928" i="1"/>
  <c r="V2017" i="1"/>
  <c r="V2018" i="1"/>
  <c r="V2019" i="1"/>
  <c r="V2020" i="1"/>
  <c r="V2021" i="1"/>
  <c r="V2022" i="1"/>
  <c r="V1646" i="1"/>
  <c r="V1647" i="1"/>
  <c r="V1648" i="1"/>
  <c r="V1649" i="1"/>
  <c r="V1650" i="1"/>
  <c r="V1651" i="1"/>
  <c r="V1652" i="1"/>
  <c r="V1566" i="1"/>
  <c r="V1567" i="1"/>
  <c r="V1683" i="1"/>
  <c r="V1684" i="1"/>
  <c r="V1335" i="1"/>
  <c r="V1336" i="1"/>
  <c r="V1337" i="1"/>
  <c r="V1338" i="1"/>
  <c r="V1425" i="1"/>
  <c r="V1960" i="1"/>
  <c r="V843" i="1"/>
  <c r="V2023" i="1"/>
  <c r="V2024" i="1"/>
  <c r="V2025" i="1"/>
  <c r="V2026" i="1"/>
  <c r="V2027" i="1"/>
  <c r="V2028" i="1"/>
  <c r="V2029" i="1"/>
  <c r="V2030" i="1"/>
  <c r="V2031" i="1"/>
  <c r="V2032" i="1"/>
  <c r="V1055" i="1"/>
  <c r="V1056" i="1"/>
  <c r="V1057" i="1"/>
  <c r="V1188" i="1"/>
  <c r="V1331" i="1"/>
  <c r="V1332" i="1"/>
  <c r="V1333" i="1"/>
  <c r="V318" i="1"/>
  <c r="V319" i="1"/>
  <c r="V2033" i="1"/>
  <c r="V2034" i="1"/>
  <c r="V229" i="1"/>
  <c r="V1002" i="1"/>
  <c r="V251" i="1"/>
  <c r="V252" i="1"/>
  <c r="V2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2159" i="1"/>
  <c r="V2160" i="1"/>
  <c r="V2161" i="1"/>
  <c r="V2162" i="1"/>
  <c r="V2163" i="1"/>
  <c r="V2164" i="1"/>
  <c r="V2165" i="1"/>
  <c r="V21" i="1"/>
  <c r="V1806" i="1"/>
  <c r="V1685" i="1"/>
  <c r="V1686" i="1"/>
  <c r="V1687" i="1"/>
  <c r="V1688" i="1"/>
  <c r="V1689" i="1"/>
  <c r="V1334" i="1"/>
  <c r="V517" i="1"/>
  <c r="V1821" i="1"/>
  <c r="V518" i="1"/>
  <c r="V1752" i="1"/>
  <c r="V1753" i="1"/>
  <c r="V1754" i="1"/>
  <c r="V1755" i="1"/>
  <c r="V1756" i="1"/>
  <c r="V1757" i="1"/>
  <c r="V1758" i="1"/>
  <c r="V85" i="1"/>
  <c r="V231" i="1"/>
  <c r="V232" i="1"/>
  <c r="V233" i="1"/>
  <c r="V1822" i="1"/>
  <c r="V1823" i="1"/>
  <c r="V1824" i="1"/>
  <c r="V1825" i="1"/>
  <c r="V844" i="1"/>
  <c r="V845" i="1"/>
  <c r="V269" i="1"/>
  <c r="V486" i="1"/>
  <c r="V1037" i="1"/>
  <c r="V1759" i="1"/>
  <c r="V1760" i="1"/>
  <c r="V2447" i="1"/>
  <c r="V2448" i="1"/>
  <c r="V2449" i="1"/>
  <c r="V2450" i="1"/>
  <c r="V2451" i="1"/>
  <c r="V2452" i="1"/>
  <c r="V2453" i="1"/>
  <c r="V2454" i="1"/>
  <c r="V205" i="1"/>
  <c r="V206" i="1"/>
  <c r="V545" i="1"/>
  <c r="V546" i="1"/>
  <c r="V1103" i="1"/>
  <c r="V1104" i="1"/>
  <c r="V2382" i="1"/>
  <c r="V1238" i="1"/>
  <c r="V1239" i="1"/>
  <c r="V1240" i="1"/>
  <c r="V1241" i="1"/>
  <c r="V2338" i="1"/>
  <c r="V2339" i="1"/>
  <c r="V137" i="1"/>
  <c r="V1038" i="1"/>
  <c r="V1039" i="1"/>
  <c r="V799" i="1"/>
  <c r="V800" i="1"/>
  <c r="V801" i="1"/>
  <c r="V2269" i="1"/>
  <c r="V2427" i="1"/>
  <c r="V2428" i="1"/>
  <c r="V1736" i="1"/>
  <c r="V1737" i="1"/>
  <c r="V1738" i="1"/>
  <c r="V1739" i="1"/>
  <c r="V1740" i="1"/>
  <c r="V1741" i="1"/>
  <c r="V2310" i="1"/>
  <c r="V2311" i="1"/>
  <c r="V694" i="1"/>
  <c r="V695" i="1"/>
  <c r="V696" i="1"/>
  <c r="V1826" i="1"/>
  <c r="V1827" i="1"/>
  <c r="V2166" i="1"/>
  <c r="V2167" i="1"/>
  <c r="V2168" i="1"/>
  <c r="V2169" i="1"/>
  <c r="V1242" i="1"/>
  <c r="V1243" i="1"/>
  <c r="V1873" i="1"/>
  <c r="V1874" i="1"/>
  <c r="V1875" i="1"/>
  <c r="V1876" i="1"/>
  <c r="V1877" i="1"/>
  <c r="V1878" i="1"/>
  <c r="V2002" i="1"/>
  <c r="V2003" i="1"/>
  <c r="V2004" i="1"/>
  <c r="V2005" i="1"/>
  <c r="V1879" i="1"/>
  <c r="V1880" i="1"/>
  <c r="V2170" i="1"/>
  <c r="V2171" i="1"/>
  <c r="V2172" i="1"/>
  <c r="V2173" i="1"/>
  <c r="V2174" i="1"/>
  <c r="V2175" i="1"/>
  <c r="V2294" i="1"/>
  <c r="V2295" i="1"/>
  <c r="V2296" i="1"/>
  <c r="V2297" i="1"/>
  <c r="V2298" i="1"/>
  <c r="V369" i="1"/>
  <c r="V370" i="1"/>
  <c r="V2299" i="1"/>
  <c r="V2300" i="1"/>
  <c r="V2301" i="1"/>
  <c r="V1003" i="1"/>
  <c r="V1004" i="1"/>
  <c r="V1761" i="1"/>
  <c r="V1762" i="1"/>
  <c r="V14" i="1"/>
  <c r="V15" i="1"/>
  <c r="V2410" i="1"/>
  <c r="V288" i="1"/>
  <c r="V289" i="1"/>
  <c r="V290" i="1"/>
  <c r="V1807" i="1"/>
  <c r="V2270" i="1"/>
  <c r="V2436" i="1"/>
  <c r="V1965" i="1"/>
  <c r="V1966" i="1"/>
  <c r="V1967" i="1"/>
  <c r="V1968" i="1"/>
  <c r="V1969" i="1"/>
  <c r="V1970" i="1"/>
  <c r="V1971" i="1"/>
  <c r="V1972" i="1"/>
  <c r="V291" i="1"/>
  <c r="V394" i="1"/>
  <c r="V717" i="1"/>
  <c r="V2340" i="1"/>
  <c r="V802" i="1"/>
  <c r="V2393" i="1"/>
  <c r="V2394" i="1"/>
  <c r="V2395" i="1"/>
  <c r="V2302" i="1"/>
  <c r="V2303" i="1"/>
  <c r="V2304" i="1"/>
  <c r="V2305" i="1"/>
  <c r="V2306" i="1"/>
  <c r="V234" i="1"/>
  <c r="V235" i="1"/>
  <c r="V320" i="1"/>
  <c r="V321" i="1"/>
  <c r="V322" i="1"/>
  <c r="V323" i="1"/>
  <c r="V324" i="1"/>
  <c r="V325" i="1"/>
  <c r="V297" i="1"/>
  <c r="V1212" i="1"/>
  <c r="V2068" i="1"/>
  <c r="V2069" i="1"/>
  <c r="V2070" i="1"/>
  <c r="V138" i="1"/>
  <c r="V274" i="1"/>
  <c r="V498" i="1"/>
  <c r="V828" i="1"/>
  <c r="V829" i="1"/>
  <c r="V830" i="1"/>
  <c r="V831" i="1"/>
  <c r="V1170" i="1"/>
  <c r="V1745" i="1"/>
  <c r="V1746" i="1"/>
  <c r="V1747" i="1"/>
  <c r="V1328" i="1"/>
  <c r="V1329" i="1"/>
  <c r="V1641" i="1"/>
  <c r="V1642" i="1"/>
  <c r="V2391" i="1"/>
  <c r="V114" i="1"/>
  <c r="V115" i="1"/>
  <c r="V116" i="1"/>
  <c r="V117" i="1"/>
  <c r="V1005" i="1"/>
  <c r="V1585" i="1"/>
  <c r="V1586" i="1"/>
  <c r="V1587" i="1"/>
  <c r="V1588" i="1"/>
  <c r="V1589" i="1"/>
  <c r="V1590" i="1"/>
  <c r="V2122" i="1"/>
  <c r="V1521" i="1"/>
  <c r="V424" i="1"/>
  <c r="V425" i="1"/>
  <c r="V426" i="1"/>
  <c r="V427" i="1"/>
  <c r="V894" i="1"/>
  <c r="V895" i="1"/>
  <c r="V896" i="1"/>
  <c r="V897" i="1"/>
  <c r="V898" i="1"/>
  <c r="V899" i="1"/>
  <c r="V900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371" i="1"/>
  <c r="V372" i="1"/>
  <c r="V373" i="1"/>
  <c r="V374" i="1"/>
  <c r="V375" i="1"/>
  <c r="V568" i="1"/>
  <c r="V569" i="1"/>
  <c r="V570" i="1"/>
  <c r="V571" i="1"/>
  <c r="V572" i="1"/>
  <c r="V573" i="1"/>
  <c r="V574" i="1"/>
  <c r="V575" i="1"/>
  <c r="V576" i="1"/>
  <c r="V846" i="1"/>
  <c r="V847" i="1"/>
  <c r="V848" i="1"/>
  <c r="V1660" i="1"/>
  <c r="V398" i="1"/>
  <c r="V399" i="1"/>
  <c r="V400" i="1"/>
  <c r="V822" i="1"/>
  <c r="V823" i="1"/>
  <c r="V824" i="1"/>
  <c r="V825" i="1"/>
  <c r="V119" i="1"/>
  <c r="V120" i="1"/>
  <c r="V121" i="1"/>
  <c r="V122" i="1"/>
  <c r="V1973" i="1"/>
  <c r="V1974" i="1"/>
  <c r="V1975" i="1"/>
  <c r="V1976" i="1"/>
  <c r="V1977" i="1"/>
  <c r="V1978" i="1"/>
  <c r="V1353" i="1"/>
  <c r="V1354" i="1"/>
  <c r="V1355" i="1"/>
  <c r="V803" i="1"/>
  <c r="V1979" i="1"/>
  <c r="V1980" i="1"/>
  <c r="V1981" i="1"/>
  <c r="V1982" i="1"/>
  <c r="V1808" i="1"/>
  <c r="V1809" i="1"/>
  <c r="V1810" i="1"/>
  <c r="V1811" i="1"/>
  <c r="V1812" i="1"/>
  <c r="V1813" i="1"/>
  <c r="V804" i="1"/>
  <c r="V805" i="1"/>
  <c r="V380" i="1"/>
  <c r="V381" i="1"/>
  <c r="V382" i="1"/>
  <c r="V383" i="1"/>
  <c r="V384" i="1"/>
  <c r="V385" i="1"/>
  <c r="V386" i="1"/>
  <c r="V2396" i="1"/>
  <c r="V2397" i="1"/>
  <c r="V1356" i="1"/>
  <c r="V1357" i="1"/>
  <c r="V1358" i="1"/>
  <c r="V1359" i="1"/>
  <c r="V1360" i="1"/>
  <c r="V1361" i="1"/>
  <c r="V1362" i="1"/>
  <c r="V1363" i="1"/>
  <c r="V1364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2260" i="1"/>
  <c r="V2261" i="1"/>
  <c r="V2262" i="1"/>
  <c r="V2263" i="1"/>
  <c r="V2418" i="1"/>
  <c r="V2419" i="1"/>
  <c r="V2420" i="1"/>
  <c r="V2421" i="1"/>
  <c r="V2422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236" i="1"/>
  <c r="V237" i="1"/>
  <c r="V238" i="1"/>
  <c r="V239" i="1"/>
  <c r="V240" i="1"/>
  <c r="V241" i="1"/>
  <c r="V242" i="1"/>
  <c r="V350" i="1"/>
  <c r="V1275" i="1"/>
  <c r="V2152" i="1"/>
  <c r="V2153" i="1"/>
  <c r="V2154" i="1"/>
  <c r="V2155" i="1"/>
  <c r="V2156" i="1"/>
  <c r="V2157" i="1"/>
  <c r="V478" i="1"/>
  <c r="V479" i="1"/>
  <c r="V480" i="1"/>
  <c r="V86" i="1"/>
  <c r="V87" i="1"/>
  <c r="V88" i="1"/>
  <c r="V89" i="1"/>
  <c r="V90" i="1"/>
  <c r="V91" i="1"/>
  <c r="V92" i="1"/>
  <c r="V93" i="1"/>
  <c r="V94" i="1"/>
  <c r="V95" i="1"/>
  <c r="V96" i="1"/>
  <c r="V97" i="1"/>
  <c r="V525" i="1"/>
  <c r="V526" i="1"/>
  <c r="V527" i="1"/>
  <c r="V230" i="1"/>
  <c r="V718" i="1"/>
  <c r="V528" i="1"/>
  <c r="V875" i="1"/>
  <c r="V876" i="1"/>
  <c r="V877" i="1"/>
  <c r="V98" i="1"/>
  <c r="V577" i="1"/>
  <c r="V578" i="1"/>
  <c r="V579" i="1"/>
  <c r="V1828" i="1"/>
  <c r="V1829" i="1"/>
  <c r="V1983" i="1"/>
  <c r="V1984" i="1"/>
  <c r="V1830" i="1"/>
  <c r="V1763" i="1"/>
  <c r="V2354" i="1"/>
  <c r="V395" i="1"/>
  <c r="V2398" i="1"/>
  <c r="V2146" i="1"/>
  <c r="V2147" i="1"/>
  <c r="V387" i="1"/>
  <c r="V1392" i="1"/>
  <c r="V1851" i="1"/>
  <c r="V1852" i="1"/>
  <c r="V1853" i="1"/>
  <c r="V1854" i="1"/>
  <c r="V2439" i="1"/>
  <c r="V2440" i="1"/>
  <c r="V2441" i="1"/>
  <c r="V2442" i="1"/>
  <c r="V2443" i="1"/>
  <c r="V2444" i="1"/>
  <c r="V2445" i="1"/>
  <c r="V2446" i="1"/>
  <c r="V881" i="1"/>
  <c r="V299" i="1"/>
  <c r="V300" i="1"/>
  <c r="V301" i="1"/>
  <c r="V302" i="1"/>
  <c r="V303" i="1"/>
  <c r="V304" i="1"/>
  <c r="V305" i="1"/>
  <c r="V306" i="1"/>
  <c r="V307" i="1"/>
  <c r="V308" i="1"/>
  <c r="V396" i="1"/>
  <c r="V397" i="1"/>
  <c r="V1513" i="1"/>
  <c r="V1514" i="1"/>
  <c r="V1653" i="1"/>
  <c r="V2341" i="1"/>
  <c r="V2342" i="1"/>
  <c r="V2343" i="1"/>
  <c r="V2344" i="1"/>
  <c r="V2345" i="1"/>
  <c r="V2346" i="1"/>
  <c r="V2347" i="1"/>
  <c r="V2348" i="1"/>
  <c r="V2349" i="1"/>
  <c r="V123" i="1"/>
  <c r="V124" i="1"/>
  <c r="V125" i="1"/>
  <c r="V126" i="1"/>
  <c r="V127" i="1"/>
  <c r="V1936" i="1"/>
  <c r="V1937" i="1"/>
  <c r="V1277" i="1"/>
  <c r="V1278" i="1"/>
  <c r="V1279" i="1"/>
  <c r="V1280" i="1"/>
  <c r="V1281" i="1"/>
  <c r="V1282" i="1"/>
  <c r="V481" i="1"/>
  <c r="V482" i="1"/>
  <c r="V483" i="1"/>
  <c r="V118" i="1"/>
  <c r="V254" i="1"/>
  <c r="V255" i="1"/>
  <c r="V932" i="1"/>
  <c r="V933" i="1"/>
  <c r="V934" i="1"/>
  <c r="V1030" i="1"/>
  <c r="V1283" i="1"/>
  <c r="V1284" i="1"/>
  <c r="V1393" i="1"/>
  <c r="V1394" i="1"/>
  <c r="V1395" i="1"/>
  <c r="V697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326" i="1"/>
  <c r="V1366" i="1"/>
  <c r="V388" i="1"/>
  <c r="V608" i="1"/>
  <c r="V609" i="1"/>
  <c r="V2399" i="1"/>
  <c r="V2400" i="1"/>
  <c r="V2123" i="1"/>
  <c r="V2124" i="1"/>
  <c r="V2125" i="1"/>
  <c r="V2126" i="1"/>
  <c r="V2" i="1"/>
  <c r="V3" i="1"/>
  <c r="V4" i="1"/>
  <c r="V5" i="1"/>
  <c r="V1881" i="1"/>
  <c r="V1882" i="1"/>
  <c r="V1831" i="1"/>
  <c r="V1832" i="1"/>
  <c r="V1654" i="1"/>
  <c r="V1655" i="1"/>
  <c r="V1903" i="1"/>
  <c r="V2350" i="1"/>
  <c r="V2351" i="1"/>
  <c r="V2352" i="1"/>
  <c r="V2353" i="1"/>
  <c r="V512" i="1"/>
  <c r="V513" i="1"/>
  <c r="V1485" i="1"/>
  <c r="V1486" i="1"/>
  <c r="V1622" i="1"/>
  <c r="V1285" i="1"/>
  <c r="V1286" i="1"/>
  <c r="V1287" i="1"/>
  <c r="V580" i="1"/>
  <c r="V581" i="1"/>
  <c r="V582" i="1"/>
  <c r="V583" i="1"/>
  <c r="V1288" i="1"/>
  <c r="V1289" i="1"/>
  <c r="V1415" i="1"/>
  <c r="V1623" i="1"/>
  <c r="V1624" i="1"/>
  <c r="V1625" i="1"/>
  <c r="V1626" i="1"/>
  <c r="V1416" i="1"/>
  <c r="V2437" i="1"/>
  <c r="V2438" i="1"/>
  <c r="V2071" i="1"/>
  <c r="V628" i="1"/>
  <c r="V1643" i="1"/>
  <c r="V1904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1644" i="1"/>
  <c r="V1938" i="1"/>
  <c r="V1939" i="1"/>
  <c r="V1940" i="1"/>
  <c r="V1941" i="1"/>
  <c r="V1942" i="1"/>
  <c r="V1943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309" i="1"/>
  <c r="V514" i="1"/>
  <c r="V515" i="1"/>
  <c r="V516" i="1"/>
  <c r="V1040" i="1"/>
  <c r="V1041" i="1"/>
  <c r="V1042" i="1"/>
  <c r="V1043" i="1"/>
  <c r="V1044" i="1"/>
  <c r="V2099" i="1"/>
  <c r="V957" i="1"/>
</calcChain>
</file>

<file path=xl/sharedStrings.xml><?xml version="1.0" encoding="utf-8"?>
<sst xmlns="http://schemas.openxmlformats.org/spreadsheetml/2006/main" count="25386" uniqueCount="2863">
  <si>
    <t>CLIENTE</t>
  </si>
  <si>
    <t>TELEFONE</t>
  </si>
  <si>
    <t>Nº DOC</t>
  </si>
  <si>
    <t>DATA</t>
  </si>
  <si>
    <t>EMP</t>
  </si>
  <si>
    <t>VEN</t>
  </si>
  <si>
    <t>CIDADE</t>
  </si>
  <si>
    <t>BAIRRO</t>
  </si>
  <si>
    <t>CPF/CNPJ</t>
  </si>
  <si>
    <t>CÓD</t>
  </si>
  <si>
    <t>DESCRIÇÃO</t>
  </si>
  <si>
    <t>UN</t>
  </si>
  <si>
    <t>CFOP</t>
  </si>
  <si>
    <t>QTD</t>
  </si>
  <si>
    <t>UNIT</t>
  </si>
  <si>
    <t>VR.TOTAL</t>
  </si>
  <si>
    <t>CUSTO</t>
  </si>
  <si>
    <t>%MAR</t>
  </si>
  <si>
    <t>22.749.579 CARLOS MARCOS BARBOSA DE OLIVEIRA JUNIOR</t>
  </si>
  <si>
    <t>000000039978-NF-1</t>
  </si>
  <si>
    <t>DOC. ORI. 000000047624-PD</t>
  </si>
  <si>
    <t>01771 - BRASILIA-DF</t>
  </si>
  <si>
    <t>SAMAMBAIA NORTE (SAMAMBAIA)</t>
  </si>
  <si>
    <t>22.749.579/0001-22</t>
  </si>
  <si>
    <t>CR CORALIT TOTAL FO BRANCO 3,6L</t>
  </si>
  <si>
    <t>DOC. ORI. 000000047622-PD</t>
  </si>
  <si>
    <t>KIT 5 PINCEIS DETALHAMENTO EXTERNO VONIXX</t>
  </si>
  <si>
    <t>000000039979-NF-1</t>
  </si>
  <si>
    <t>DOC. ORI. 000000047617-PD</t>
  </si>
  <si>
    <t>AGUARRAS MINERAL 900ML BRASILUX</t>
  </si>
  <si>
    <t>BRASIMAR-VERNIZ MARITIMO FOSCO 900ML BRASILUX</t>
  </si>
  <si>
    <t>CIMENTO QUEIMADO-ELEFANTE 5,5KG BRASILUX</t>
  </si>
  <si>
    <t>CR DECORA EFEITO MARMORE BASE 3,9 KG</t>
  </si>
  <si>
    <t>CR DECORA SEDA AC BRANCO GELO GL 3,6L</t>
  </si>
  <si>
    <t>CR MASSA CORRIDA GL 5,7KG</t>
  </si>
  <si>
    <t>FITA CREPE USO GERAL BEGE 24MMX50M ADERE</t>
  </si>
  <si>
    <t>FITA CREPE USO GERAL BEGE 48MMX50M ADERE</t>
  </si>
  <si>
    <t>FLANELA MICROFIBRA 40X60 COM COSTURA AMARELA AUTOAMERICA</t>
  </si>
  <si>
    <t>GESSO RAPIDO 1KG (20X1) REJUMASSA</t>
  </si>
  <si>
    <t>REMOVEX 5L VONIXX</t>
  </si>
  <si>
    <t>SINTRA PRO 5L VONIXX</t>
  </si>
  <si>
    <t>THINNER 2750 900ML ANJO</t>
  </si>
  <si>
    <t>V-MOL 5L VONIXX</t>
  </si>
  <si>
    <t>000000040038-NF-1</t>
  </si>
  <si>
    <t>DOC. ORI. 000000047683-PD</t>
  </si>
  <si>
    <t>LONA PLASTICA PRETA 4X50 10KG 54MC MAXILONA</t>
  </si>
  <si>
    <t>MT</t>
  </si>
  <si>
    <t>000000040084-NF-1</t>
  </si>
  <si>
    <t>DOC. ORI. 000000047717-PD</t>
  </si>
  <si>
    <t>000000040085-NF-1</t>
  </si>
  <si>
    <t>DOC. ORI. 000000047712-PD</t>
  </si>
  <si>
    <t>000000040251-NF-1</t>
  </si>
  <si>
    <t>DOC. ORI. 000000047898-PD</t>
  </si>
  <si>
    <t>CIMENTO QUEIMADO-PRATA ENVEL 5,5KG BRASILUX</t>
  </si>
  <si>
    <t>CR RENDE MUITO BRANCO GL 3,6L</t>
  </si>
  <si>
    <t>FLANELA MICROFIBRA 40X60 SEM COSTURA AMARELA AUTOAMERICA</t>
  </si>
  <si>
    <t>LT DECORA SEDA AC (ANTIGO) P SUV B 528 ROSA PASTEL - SUV CR DECORA SEDA AC BASE P 0,8L</t>
  </si>
  <si>
    <t>LT DECORA SEDA AC (ANTIGO) P SUV C 088 LAVANDA - SUV CR DECORA SEDA AC BASE P 0,8L</t>
  </si>
  <si>
    <t>000000040467-NF-1</t>
  </si>
  <si>
    <t>DOC. ORI. 000000048119-PD</t>
  </si>
  <si>
    <t>TRINCHA 315 2  PINTURA RECORTE E ACAB. PLUMATEK AT315/5 ATLAS</t>
  </si>
  <si>
    <t>000000040518-NF-1</t>
  </si>
  <si>
    <t>DOC. ORI. 000000048162-PD</t>
  </si>
  <si>
    <t>32.993.132 MAURO DA SILVA NUNES</t>
  </si>
  <si>
    <t>000000039667-NF-1</t>
  </si>
  <si>
    <t>DOC. ORI. 000000047340-PD</t>
  </si>
  <si>
    <t>CEILÂNDIA NORTE (CEILÂNDIA)</t>
  </si>
  <si>
    <t>32.993.132/0001-58</t>
  </si>
  <si>
    <t>REMOVEDOR PASTOSO 1KG ANJO</t>
  </si>
  <si>
    <t>000000039967-NF-1</t>
  </si>
  <si>
    <t>DOC. ORI. 000000047606-PD</t>
  </si>
  <si>
    <t>ADITIVO TEXTURIZADOR 900ML LAZZURIL</t>
  </si>
  <si>
    <t>DOC. ORI. 000000047608-PD</t>
  </si>
  <si>
    <t>FITA ALTA PERFO 16MMX40M AMARELA 3M</t>
  </si>
  <si>
    <t>LIQUIDO DE MASCARAMENTO 5L WANDA-20,56-ST</t>
  </si>
  <si>
    <t>000000040238-NF-1</t>
  </si>
  <si>
    <t>DOC. ORI. 000000047886-PD</t>
  </si>
  <si>
    <t>BRASIMIX BU-FOSQUEANTE P/ PU 800ML BRASILUX</t>
  </si>
  <si>
    <t>FITA ALTA PERFO 48MMX40M AMARELA 3M</t>
  </si>
  <si>
    <t>LIXA SECO A275 Nº 080 NORTON</t>
  </si>
  <si>
    <t>LIXA SECO A275 Nº 120 NORTON</t>
  </si>
  <si>
    <t>LIXA SECO A275 Nº 150 NORTON</t>
  </si>
  <si>
    <t>LIXA SECO A275 Nº 220 NORTON</t>
  </si>
  <si>
    <t>LIXA SECO A275 Nº 320 NORTON</t>
  </si>
  <si>
    <t>LIXA SECO A275 Nº 400 NORTON</t>
  </si>
  <si>
    <t>THINNER 2750 5L ANJO</t>
  </si>
  <si>
    <t>36.057.454 ALEXANDRE SANTOS DE FARIAS</t>
  </si>
  <si>
    <t>000000040087-NF-1</t>
  </si>
  <si>
    <t>DOC. ORI. 000000047722-PD</t>
  </si>
  <si>
    <t>SETOR HABITACIONAL VICENTE PIRES - TRECHO 3</t>
  </si>
  <si>
    <t>36.057.454/0001-46</t>
  </si>
  <si>
    <t>BRASPISO AMARELO OURO ACETINADO BALDE 18L BRASILUX</t>
  </si>
  <si>
    <t>41.329.150 PAULO DA SILVA  ALVES</t>
  </si>
  <si>
    <t>000000040237-NF-1</t>
  </si>
  <si>
    <t>DOC. ORI. 000000047884-PD</t>
  </si>
  <si>
    <t>RIACHO FUNDO I</t>
  </si>
  <si>
    <t>41.329.150/0001-20</t>
  </si>
  <si>
    <t>KIT PRIMER 3100 E END 3093 100ML WANDA-21,46-ST</t>
  </si>
  <si>
    <t>KIT VERNIZ 5500 E END 3093 150ML WANDA-21,46-ST</t>
  </si>
  <si>
    <t>LIXA BLUE 080 225X275MM 338U 3M</t>
  </si>
  <si>
    <t>MASSA POLIESTER REVOLUTION 1KG ANJO</t>
  </si>
  <si>
    <t>43.007.560 CAMILLA KELLY NASCIMENTO SANTOS</t>
  </si>
  <si>
    <t>000000040069-NF-1</t>
  </si>
  <si>
    <t>DOC. ORI. 000000047705-PD</t>
  </si>
  <si>
    <t>SETOR INDUSTRIAL (TAGUATINGA)</t>
  </si>
  <si>
    <t>43.007.560/0001-80</t>
  </si>
  <si>
    <t>COPO DE MISTURA 450ML WANDA</t>
  </si>
  <si>
    <t>ENDURECEDOR KP350 5:1 150ML LAZZURIL</t>
  </si>
  <si>
    <t>LAZZUDUR ENDURECEDOR PU 225ML</t>
  </si>
  <si>
    <t>LAZZUDUR PU PRETO CADILAC 675ML</t>
  </si>
  <si>
    <t>MÁSCARA DE PROTEÇÃO RESPIRATÓRIA SEM VÁLVULA 9820 PFF-2 3M</t>
  </si>
  <si>
    <t>PRIMER KP350 PU 5:1 750ML LAZZURIL-21,46-ST</t>
  </si>
  <si>
    <t>THINNER 454 900ML LAZZURIL</t>
  </si>
  <si>
    <t>000000040269-NF-1</t>
  </si>
  <si>
    <t>DOC. ORI. 000000047905-PD</t>
  </si>
  <si>
    <t>COADOR DESCARTAVEL DAUTO</t>
  </si>
  <si>
    <t>DILUENTE 107 PU/POLIESTER 900ML BRASILUX</t>
  </si>
  <si>
    <t>ESPUMA ABRASIVA N.04 P800/P1000 NORTON</t>
  </si>
  <si>
    <t>THINNER 4016 USO GERAL 5L BRASILUX</t>
  </si>
  <si>
    <t>000000040494-NF-1</t>
  </si>
  <si>
    <t>DOC. ORI. 000000048139-PD</t>
  </si>
  <si>
    <t>ACRILAR FOSCO TINTA ACRIL. FOSCA PREMIUM CONTO DE FADAS 2120071465 GL 12-49 A 84609 ACRILAR-BASE A F</t>
  </si>
  <si>
    <t>LIXA DAGUA Nº 2000 401Q 3M</t>
  </si>
  <si>
    <t>50.827.812 FRANCISCO DA CRUZ LIMA</t>
  </si>
  <si>
    <t>000000039658-NF-1</t>
  </si>
  <si>
    <t>DOC. ORI. 000000047328-PD</t>
  </si>
  <si>
    <t>02190 - LUZIÂNIA-GO</t>
  </si>
  <si>
    <t>JARDIM DO INGÁ</t>
  </si>
  <si>
    <t>50.827.812/0001-83</t>
  </si>
  <si>
    <t>LAZZUDUR POLIESTER PRATA REFLEX MET 900ML</t>
  </si>
  <si>
    <t>VEDADOR CAPO KPO A 400G + B 60G MAXI RUBBER</t>
  </si>
  <si>
    <t>000000039741-NF-1</t>
  </si>
  <si>
    <t>DOC. ORI. 000000047406-PD</t>
  </si>
  <si>
    <t>DISCO HOOKIT 080 NORTON</t>
  </si>
  <si>
    <t>DISCO HOOKIT 320 NORTON</t>
  </si>
  <si>
    <t>KIT COLA PLASTICA BRANCA 1KG C/ CAT 12ML RETOQUE</t>
  </si>
  <si>
    <t>LAZZUDUR POLIESTER BRANCO BANCHISA LISA 900ML</t>
  </si>
  <si>
    <t>MASSA PEQUENAS CORREÇÕES 200G LAZZURIL</t>
  </si>
  <si>
    <t>REMOVEDOR PASTOSO 1KG MAXI RUBBER</t>
  </si>
  <si>
    <t>000000039750-NF-1</t>
  </si>
  <si>
    <t>DOC. ORI. 000000047416-PD</t>
  </si>
  <si>
    <t>MASSA POLIESTER 750G LAZZURIL</t>
  </si>
  <si>
    <t>000000040121-NF-1</t>
  </si>
  <si>
    <t>DOC. ORI. 000000047745-PD</t>
  </si>
  <si>
    <t>BRASILACA-PRETO FOSCO 900ML BRASILUX</t>
  </si>
  <si>
    <t>DISCO HOOKIT 150 NORTON</t>
  </si>
  <si>
    <t>ESPATULA PLASTICA CELULOIDE 13,1CM 152/2 ATLAS</t>
  </si>
  <si>
    <t>ESTOPA BRANCA 500G</t>
  </si>
  <si>
    <t>LAZZUDUR POLIESTER BRANCO CRISTAL LISA 900ML</t>
  </si>
  <si>
    <t>LAZZUDUR POLIESTER BRANCO SUMMIT LISA 900ML</t>
  </si>
  <si>
    <t>LAZZUDUR POLIESTER PRATA BARI MET 900ML</t>
  </si>
  <si>
    <t>LAZZUDUR POLIESTER PRATA ETOILE MET KNH 900ML</t>
  </si>
  <si>
    <t>LIXA DAGUA Nº 1200 401Q 3M</t>
  </si>
  <si>
    <t>MASSA DE POLIR SUPER POLIDOR 1KG AUTOAMERICA</t>
  </si>
  <si>
    <t>PRIMER UNIVERSAL BRANCO 900ML MAXI RUBBER</t>
  </si>
  <si>
    <t>000000040128-NF-1</t>
  </si>
  <si>
    <t>DOC. ORI. 000000047758-PD</t>
  </si>
  <si>
    <t>DISCO HOOKIT 400 NORTON</t>
  </si>
  <si>
    <t>000000040372-NF-1</t>
  </si>
  <si>
    <t>DOC. ORI. 000000047994-PD</t>
  </si>
  <si>
    <t>PRIMER KP350 PU 5:1 750ML LAZZURIL</t>
  </si>
  <si>
    <t>000000040500-NF-1</t>
  </si>
  <si>
    <t>DOC. ORI. 000000048134-PD</t>
  </si>
  <si>
    <t>LAZZUDUR POLIESTER PRATA SIRIUS MET</t>
  </si>
  <si>
    <t>MASSA POLIESTER OCTANO 900G ANJO</t>
  </si>
  <si>
    <t>51.77.196 MONICA ANDRADE DA SILVA MELO</t>
  </si>
  <si>
    <t>000000039846-NF-1</t>
  </si>
  <si>
    <t>DOC. ORI. 000000047438-PD</t>
  </si>
  <si>
    <t>02328 - VALPARAÍSO DE GOIÁS-GO</t>
  </si>
  <si>
    <t>JARDIM CÉU AZUL</t>
  </si>
  <si>
    <t>51.779.196/0001-03</t>
  </si>
  <si>
    <t>CR RENOVA GESSO DRYWALL BRANCO GL 3,6L</t>
  </si>
  <si>
    <t>MASSA FIBRA DE VIDRO 800G LAZZURIL</t>
  </si>
  <si>
    <t>MASSA KOMBI FILLER 200 GR. SIKKENS</t>
  </si>
  <si>
    <t>REMOVEDOR PASTOSO 500G BRASILUX</t>
  </si>
  <si>
    <t>000000039852-NF-1</t>
  </si>
  <si>
    <t>DOC. ORI. 000000047506-PD</t>
  </si>
  <si>
    <t>BOINA DUPLA FACE DE LA NORMAL PN33313 3M</t>
  </si>
  <si>
    <t>52.653.731 MICAELLE SOUSA COSTA</t>
  </si>
  <si>
    <t>000000039825-NF-1</t>
  </si>
  <si>
    <t>DOC. ORI. 000000047473-PD</t>
  </si>
  <si>
    <t>02106 - COCALZINHO DE GOIÁS-GO</t>
  </si>
  <si>
    <t>GIRASSOL</t>
  </si>
  <si>
    <t>52.653.731/0001-30</t>
  </si>
  <si>
    <t>FITA DUPLA FACE 9,5MMX20M VERDE 3M</t>
  </si>
  <si>
    <t>PRIMER P-8225A LATA 940ML 3M</t>
  </si>
  <si>
    <t>55.055.702 WALIRES UCHOA LOPES</t>
  </si>
  <si>
    <t>000000039696-NF-1</t>
  </si>
  <si>
    <t>DOC. ORI. 000000047342-PD</t>
  </si>
  <si>
    <t>DEL LAGO II (ITAPOÃ)</t>
  </si>
  <si>
    <t>55.055.702/0001-64</t>
  </si>
  <si>
    <t>BLEND SPRAY 500ML VONIXX</t>
  </si>
  <si>
    <t>BOINA DUPLA FACE DE ESPUMA PRETA 8P DT AUTOMOTIVE</t>
  </si>
  <si>
    <t>DISCO HOOKIT 220 NORTON</t>
  </si>
  <si>
    <t>FITA ALTA PERFO 18MMX40M AMARELA 3M</t>
  </si>
  <si>
    <t>LIXA SECO A275 Nº 600 NORTON</t>
  </si>
  <si>
    <t>MASSA POLIESTER FILLER 900G MAXI RUBBER</t>
  </si>
  <si>
    <t>PISTOLA DE PINTURA GRAV. HVLP 1.4MM PDR</t>
  </si>
  <si>
    <t>SELADORA PARA PLASTICO 900ML MAXI RUBBER</t>
  </si>
  <si>
    <t>000000039929-NF-1</t>
  </si>
  <si>
    <t>DOC. ORI. 000000047546-PD</t>
  </si>
  <si>
    <t>KIT PRIMER 2500 E END 1091 112ML WANDA-21,46-ST</t>
  </si>
  <si>
    <t>KIT VERNIZ 8050 E END 058 150ML LAZZURIL-21,94-ST</t>
  </si>
  <si>
    <t>000000040399-NF-1</t>
  </si>
  <si>
    <t>DOC. ORI. 000000048025-PD</t>
  </si>
  <si>
    <t>LIXA DAGUA Nº 1500 401Q 3M</t>
  </si>
  <si>
    <t>LIXA SECO A275 Nº 800 NORTON</t>
  </si>
  <si>
    <t>MASSA POLIESTER 1,5KG LAZZURIL</t>
  </si>
  <si>
    <t>55.957.421 LETICIA MENEZES DE LIMA</t>
  </si>
  <si>
    <t>000000040021-NF-1</t>
  </si>
  <si>
    <t>DOC. ORI. 000000047662-PD</t>
  </si>
  <si>
    <t>SETOR HABITACIONAL VICENTE PIRES</t>
  </si>
  <si>
    <t>55.957.421/0001-05</t>
  </si>
  <si>
    <t>BOINA DUPLA FACE DE LA MISTA 8P DT AUTOMOTIVE</t>
  </si>
  <si>
    <t>BRASICAR-EMBORRACHAMENTO PRETO 900ML BRASILUX</t>
  </si>
  <si>
    <t>KIT VERNIZ 8000 E END 054 150ML LAZZURIL-21,94-ST</t>
  </si>
  <si>
    <t>LAZZUDUR PRETO VESUVIO MET ANO 01/09 FIAT</t>
  </si>
  <si>
    <t>MASSA XTRA PLUS LIGHT 900GR ROBERLO</t>
  </si>
  <si>
    <t>000000040098-NF-1</t>
  </si>
  <si>
    <t>DOC. ORI. 000000047735-PD</t>
  </si>
  <si>
    <t>BOINA DUPLA FACE DE LA NORMAL BRANCA 8P DT AUTOMOTIVE</t>
  </si>
  <si>
    <t>DOC. ORI. 000000047737-PD</t>
  </si>
  <si>
    <t>MASSA DE POLIR N2 1KG BRASILUX</t>
  </si>
  <si>
    <t>000000040179-NF-1</t>
  </si>
  <si>
    <t>DOC. ORI. 000000047819-PD</t>
  </si>
  <si>
    <t>DOC. ORI. 000000047822-PD</t>
  </si>
  <si>
    <t>DOC. ORI. 000000047824-PD</t>
  </si>
  <si>
    <t>000000040283-NF-1</t>
  </si>
  <si>
    <t>DOC. ORI. 000000047926-PD</t>
  </si>
  <si>
    <t>CATALISADOR WASH PRIMER P/ PRETO FOSCO VINILICO 300ML ANJO</t>
  </si>
  <si>
    <t>WASH PRIMER 2:1 N-1261 600ML ANJO-21,46-ST</t>
  </si>
  <si>
    <t>000000040474-NF-1</t>
  </si>
  <si>
    <t>DOC. ORI. 000000048126-PD</t>
  </si>
  <si>
    <t>FITA CREPE AUTOMOTIVA AMARELA 48MMX40M ADERE</t>
  </si>
  <si>
    <t>000000040498-NF-1</t>
  </si>
  <si>
    <t>DOC. ORI. 000000048144-PD</t>
  </si>
  <si>
    <t>CATALISADOR P/ VINILICO 300ML BRASILUX</t>
  </si>
  <si>
    <t>WASHPRIMER AMARELO 600ML BRASICAR BRASILUX</t>
  </si>
  <si>
    <t>000000040545-NF-1</t>
  </si>
  <si>
    <t>DOC. ORI. 000000048189-PD</t>
  </si>
  <si>
    <t>FITA CREPE AUTOMOTIVA AMARELA 18MMX40M ADERE</t>
  </si>
  <si>
    <t>64.127.281 GABRIEL COSTA GONCALVES</t>
  </si>
  <si>
    <t>000000039884-NF-1</t>
  </si>
  <si>
    <t>DOC. ORI. 000000047530-PD</t>
  </si>
  <si>
    <t>02024 - ÁGUAS LINDAS DE GOIÁS-GO</t>
  </si>
  <si>
    <t>JARDIM DA BARRAGEM III</t>
  </si>
  <si>
    <t>64.127.281/0001-20</t>
  </si>
  <si>
    <t>DISCO BLUE 320 152MM 7F 321U 3M</t>
  </si>
  <si>
    <t>DISCO BLUE 400 152MM 7F 321U 3M</t>
  </si>
  <si>
    <t>000000039947-NF-1</t>
  </si>
  <si>
    <t>DOC. DEV. 000000039884-NF</t>
  </si>
  <si>
    <t>000000039949-NF-1</t>
  </si>
  <si>
    <t>DOC. ORI. 000000047593-PD</t>
  </si>
  <si>
    <t>DISCO BLUE 800 152MM 7F 321U 3M</t>
  </si>
  <si>
    <t>A LASER MICHAEL LTDA</t>
  </si>
  <si>
    <t>000000040234-NF-1</t>
  </si>
  <si>
    <t>DOC. ORI. 000000047872-PD</t>
  </si>
  <si>
    <t>24.512.862/0001-61</t>
  </si>
  <si>
    <t>TINTA EM PO HIBRIDA - PRETO ULTRA FOSCO 25KG</t>
  </si>
  <si>
    <t>000000040239-NF-1</t>
  </si>
  <si>
    <t>DOC. ORI. 000000047883-PD</t>
  </si>
  <si>
    <t>TINTA EM PO POLIESTER - BRANCO BRILHANTE 25KG BRASILUX</t>
  </si>
  <si>
    <t>A R F DA CUNHA</t>
  </si>
  <si>
    <t>000000039802-NF-1</t>
  </si>
  <si>
    <t>DOC. ORI. 000000047462-PD</t>
  </si>
  <si>
    <t>FAZENDINHA (ITAPOÃ)</t>
  </si>
  <si>
    <t>18.937.225/0001-34</t>
  </si>
  <si>
    <t>ADESIVO PU40 MULTIUSO BRANCO BISNAGA PLASTICA 80G UNIPEGA</t>
  </si>
  <si>
    <t>ADESIVO PU40 MULTIUSO CINZA BISNAGA PLASTICA 80G UNIPEGA</t>
  </si>
  <si>
    <t>BRASIMOB-PLATINA 3,6L BRASILUX</t>
  </si>
  <si>
    <t>DISCO HOOKIT 120 NORTON</t>
  </si>
  <si>
    <t>DISCO HOOKIT 600 NORTON</t>
  </si>
  <si>
    <t>TRIPLE WAX 100G AUTO AMERICA</t>
  </si>
  <si>
    <t>TRIPLE WAX 300 GR AUTO AMERICA</t>
  </si>
  <si>
    <t>000000040378-NF-1</t>
  </si>
  <si>
    <t>DOC. ORI. 000000047996-PD</t>
  </si>
  <si>
    <t>LIXA DAGUA Nº 2500 401Q 3M</t>
  </si>
  <si>
    <t>MASSA BR12 MOGNO BASE AGUA 400G BRASILUX</t>
  </si>
  <si>
    <t>QUEROSENE 900ML BRASILUX</t>
  </si>
  <si>
    <t>ABS TINTAS 2 LTDA</t>
  </si>
  <si>
    <t>000000039738-NF-1</t>
  </si>
  <si>
    <t>DOC. ORI. 000000047379-PD</t>
  </si>
  <si>
    <t>02134 - FORMOSA-GO</t>
  </si>
  <si>
    <t>JARDIM TRIÂNGULO</t>
  </si>
  <si>
    <t>56.942.547/0001-60</t>
  </si>
  <si>
    <t>BRASIMOB-AZUL FRANCA 3,6L BRASILUX</t>
  </si>
  <si>
    <t>BRASIMOB-AZUL MAR 3,6L BRASILUX</t>
  </si>
  <si>
    <t>BRASIMOB-MARROM CONHAQUE 900ML BRASILUX</t>
  </si>
  <si>
    <t>BRASIMOB-TABACO 900ML BRASILUX</t>
  </si>
  <si>
    <t>MASSA PVA BALDE 25KG BRASILUX</t>
  </si>
  <si>
    <t>000000039820-NF-1</t>
  </si>
  <si>
    <t>DOC. ORI. 000000047465-PD</t>
  </si>
  <si>
    <t>KIT EPOXI AZUL 2.5PB4/10 3,6L BRASILUX</t>
  </si>
  <si>
    <t>000000040169-NF-1</t>
  </si>
  <si>
    <t>DOC. ORI. 000000047793-PD</t>
  </si>
  <si>
    <t>BRASILAR-BRANCO NEVE FOSCO 3,6L BRASILUX</t>
  </si>
  <si>
    <t>BRASIMOB-PRETO BRILHANTE 900ML BRASILUX</t>
  </si>
  <si>
    <t>EMBORRACHADA-BRANCO NEVE 3,6L BRASILUX</t>
  </si>
  <si>
    <t>METALICO-DOURADO 900ML BRASILUX</t>
  </si>
  <si>
    <t>000000040286-NF-1</t>
  </si>
  <si>
    <t>DOC. ORI. 000000047920-PD</t>
  </si>
  <si>
    <t>BRASIMOB-PRETO FOSCO 3,6L BRASILUX</t>
  </si>
  <si>
    <t>ACS COMERCIO DE MATERIAIS DE CONSTRUCOES EIRELI</t>
  </si>
  <si>
    <t>(61)98554-7688</t>
  </si>
  <si>
    <t>000000039840-NF-1</t>
  </si>
  <si>
    <t>DOC. ORI. 000000047482-PD</t>
  </si>
  <si>
    <t>CANDANGOLÂNDIA</t>
  </si>
  <si>
    <t>37.829.681/0001-05</t>
  </si>
  <si>
    <t>ADE COMERCIO DE TINTAS LTDA-EPP</t>
  </si>
  <si>
    <t>000000040448-NF-1</t>
  </si>
  <si>
    <t>DOC. ORI. 000000048068-PD</t>
  </si>
  <si>
    <t>ADE AGUAS CLARAS</t>
  </si>
  <si>
    <t>07.124.007/0001-64</t>
  </si>
  <si>
    <t>AFONSO TINTAS LTDA</t>
  </si>
  <si>
    <t>(61)99452-3446</t>
  </si>
  <si>
    <t>000000039703-NF-1</t>
  </si>
  <si>
    <t>DOC. ORI. 000000047380-PD</t>
  </si>
  <si>
    <t>02226 - NOVO GAMA-GO</t>
  </si>
  <si>
    <t>BOA VISTA</t>
  </si>
  <si>
    <t>54.291.577/0001-29</t>
  </si>
  <si>
    <t>000000040510-NF-1</t>
  </si>
  <si>
    <t>DOC. ORI. 000000048150-PD</t>
  </si>
  <si>
    <t>VEDA CHOQUE 300G BRASILUX</t>
  </si>
  <si>
    <t>AGATA GOMES MARTINS</t>
  </si>
  <si>
    <t>(38)98827-6071</t>
  </si>
  <si>
    <t>000000040316-NF-1</t>
  </si>
  <si>
    <t>DOC. ORI. 000000047942-PD</t>
  </si>
  <si>
    <t>02763 - BRASILÂNDIA DE MINAS-MG</t>
  </si>
  <si>
    <t>PORTO</t>
  </si>
  <si>
    <t>60.213.875/0001-01</t>
  </si>
  <si>
    <t>CATALISADOR P/ VERNIZ 9038 - CATALISADOR 045 450ML BRASILUX</t>
  </si>
  <si>
    <t>DILUENTE 107 PU/POLIESTER 5L BRASILUX</t>
  </si>
  <si>
    <t>DISCO DE LIXA SECO A396 DP P0040 152X1X6 NORTON</t>
  </si>
  <si>
    <t>MASSA POLIESTER 750G WANDA</t>
  </si>
  <si>
    <t>SOLUCAO DESENGRAXANTE 900ML ANJO</t>
  </si>
  <si>
    <t>VERNIZ ALTO SOLIDOS 9038 900ML</t>
  </si>
  <si>
    <t>AHF - CONSTRUCOES E INCORPORACOES SPE LTDA</t>
  </si>
  <si>
    <t>000000039833-NF-1</t>
  </si>
  <si>
    <t>DOC. ORI. 000000047484-PD</t>
  </si>
  <si>
    <t>SETOR DE HABITAÇÕES INDIVIDUAIS SUL</t>
  </si>
  <si>
    <t>56.971.320/0001-43</t>
  </si>
  <si>
    <t>TINTA SPRAY ALTA TEMPERATURA PRETO FOSCO LATA 350ML/210G UNIPEGA</t>
  </si>
  <si>
    <t>TINTA SPRAY LUMINOSO LARANJA LATA 350ML/210G UNIPEGA</t>
  </si>
  <si>
    <t>000000040037-NF-1</t>
  </si>
  <si>
    <t>DOC. ORI. 000000047685-PD</t>
  </si>
  <si>
    <t>BRASPISO CINZA MEDIO FOSCO BALDE 18L BRASILUX</t>
  </si>
  <si>
    <t>ROLO PELE DE CARNEIRO EXTRA 23CM 322/22 ATLAS</t>
  </si>
  <si>
    <t>AJ CONSTRUÇÃO LTDA</t>
  </si>
  <si>
    <t>000000040298-NF-1</t>
  </si>
  <si>
    <t>DOC. ORI. 000000047937-PD</t>
  </si>
  <si>
    <t>SETOR OESTE (SOBRADINHO II)</t>
  </si>
  <si>
    <t>44.946.975/0001-82</t>
  </si>
  <si>
    <t>CR MASSA CORRIDA LATA 25KG</t>
  </si>
  <si>
    <t>ROLO POLIAMIDA ANTIGOTA 23CM 321/10 ATLAS</t>
  </si>
  <si>
    <t>ALESSANDRO MENDES DA COSTA</t>
  </si>
  <si>
    <t>000000040255-NF-1</t>
  </si>
  <si>
    <t>DOC. ORI. 000000047877-PD</t>
  </si>
  <si>
    <t>SAMAMBAIA SUL (SAMAMBAIA)</t>
  </si>
  <si>
    <t>10.784.693/0001-04</t>
  </si>
  <si>
    <t>BRASIMOB-ALUMINIO 3,6L BRASILUX</t>
  </si>
  <si>
    <t>ALIPOX PINTURA ELETROSTATICA LTDA</t>
  </si>
  <si>
    <t>000000039688-NF-1</t>
  </si>
  <si>
    <t>DOC. ORI. 000000047354-PD</t>
  </si>
  <si>
    <t>ÁREA DE DESENVOLVIMENTO ECONÔMICO (CEILÂNDIA)</t>
  </si>
  <si>
    <t>22.872.165/0001-96</t>
  </si>
  <si>
    <t>TINTA EM PO POLIESTER - VERMELHO COCA COLA 25KG</t>
  </si>
  <si>
    <t>000000040024-NF-1</t>
  </si>
  <si>
    <t>DOC. ORI. 000000047663-PD</t>
  </si>
  <si>
    <t>TINTA EM PO POLIESTER - VERDE RAL 6005 25KG BRASILUX</t>
  </si>
  <si>
    <t>ALMEIDA&amp;VIANA CONSTRUCOES LTDA</t>
  </si>
  <si>
    <t>000000040187-NF-1</t>
  </si>
  <si>
    <t>DOC. ORI. 000000047826-PD</t>
  </si>
  <si>
    <t>ASA SUL</t>
  </si>
  <si>
    <t>26.691.126/0001-43</t>
  </si>
  <si>
    <t>CR CORALIT ULTRA RESISTÊNCIA AB LARANJA 3,6L</t>
  </si>
  <si>
    <t>CR RENDE MUITO BRANCO BALDE 20L</t>
  </si>
  <si>
    <t>000000040266-NF-1</t>
  </si>
  <si>
    <t>DOC. ORI. 000000047904-PD</t>
  </si>
  <si>
    <t>ALTERNATINTAS MATERIAIS PARA CONSTRUÇÃO LTDA ME</t>
  </si>
  <si>
    <t>000000039655-NF-1</t>
  </si>
  <si>
    <t>DOC. ORI. 000000047314-PD</t>
  </si>
  <si>
    <t>PLANALTINA</t>
  </si>
  <si>
    <t>37.108.966/0002-38</t>
  </si>
  <si>
    <t>WANDABASE MM 2700 VIOLETA TR. 0,9L-21,46-ST</t>
  </si>
  <si>
    <t>WANDABASE MM 2840 PRETO 3,6L-21,46-ST</t>
  </si>
  <si>
    <t>000000039704-NF-1</t>
  </si>
  <si>
    <t>DOC. ORI. 000000047381-PD</t>
  </si>
  <si>
    <t>000000040462-NF-1</t>
  </si>
  <si>
    <t>DOC. ORI. 000000048079-PD</t>
  </si>
  <si>
    <t>LIXA DAGUA Nº 400 331Q 3M</t>
  </si>
  <si>
    <t>WANDABASE MM 2009 ALUMINIO EXTRA FINO 0,9L-21,46-ST</t>
  </si>
  <si>
    <t>WANDABASE MM 2400 AMARELO TR. 0,9L-21,46-ST</t>
  </si>
  <si>
    <t>WANDABASE MM 2910 PEROLA BRANCA 0,9L-21,46-ST</t>
  </si>
  <si>
    <t>ALYSSON VIEIRA DE OLIVEIRA</t>
  </si>
  <si>
    <t>(34)99946-7288</t>
  </si>
  <si>
    <t>000000039680-NF-1</t>
  </si>
  <si>
    <t>DOC. ORI. 000000047364-PD</t>
  </si>
  <si>
    <t>ZONA INDUSTRIAL (GUARÁ)</t>
  </si>
  <si>
    <t>41.321.573/0001-02</t>
  </si>
  <si>
    <t>LAZZUDUR PU BRANCO BANCHISA 675ML</t>
  </si>
  <si>
    <t>000000039791-NF-1</t>
  </si>
  <si>
    <t>DOC. ORI. 000000047448-PD</t>
  </si>
  <si>
    <t>DISCO BLUE 150 152MM 7F 321U 3M</t>
  </si>
  <si>
    <t>DISCO BLUE 220 152MM 7F 321U 3M</t>
  </si>
  <si>
    <t>PAPEL MASCARAUTO SEMI KRAFT 90CM TSK90</t>
  </si>
  <si>
    <t>000000039872-NF-1</t>
  </si>
  <si>
    <t>DOC. ORI. 000000047518-PD</t>
  </si>
  <si>
    <t>BP BRANCO SUMMIT GM 2012 900ML WANDA-21,67-ST</t>
  </si>
  <si>
    <t>DISCO BLUE 040 152MM 7F 321U 3M</t>
  </si>
  <si>
    <t>DISCO BLUE 080 152MM 7F 321U 3M</t>
  </si>
  <si>
    <t>LIXA BLUE 150 225X275MM 338U 3M</t>
  </si>
  <si>
    <t>PC</t>
  </si>
  <si>
    <t>LIXA BLUE 400 225X275MM 338U 3M</t>
  </si>
  <si>
    <t>LIXA BLUE 600 225X275MM 338U 3M</t>
  </si>
  <si>
    <t>LIXA BLUE 800 225X275MM 338U 3M</t>
  </si>
  <si>
    <t>000000040206-NF-1</t>
  </si>
  <si>
    <t>DOC. ORI. 000000047853-PD</t>
  </si>
  <si>
    <t>BP AZUL BUZIOS FIAT 2000 900ML WANDA-21,45-ST</t>
  </si>
  <si>
    <t>DISCO BLUE 600 152MM 7F 321U 3M</t>
  </si>
  <si>
    <t>KIT PU BRANCO CRISTAL VW 1999 900ML WANDA-21,67-ST</t>
  </si>
  <si>
    <t>LIXA BLUE 220 225X275MM 338U 3M</t>
  </si>
  <si>
    <t>AMERICAN SOLUCOES PORTAS LTDA</t>
  </si>
  <si>
    <t>000000040354-NF-1</t>
  </si>
  <si>
    <t>DOC. ORI. 000000047985-PD</t>
  </si>
  <si>
    <t>ÁREA DE DESENVOLVIMENTO ECONÔMICO (ÁGUAS CLARAS)</t>
  </si>
  <si>
    <t>45.710.664/0001-82</t>
  </si>
  <si>
    <t>AO CONSUMIDOR</t>
  </si>
  <si>
    <t>(61)99999-9999</t>
  </si>
  <si>
    <t>000000021582-FF-1</t>
  </si>
  <si>
    <t>DOC. ORI. 000000047533-PD</t>
  </si>
  <si>
    <t>PLANO PILOTO</t>
  </si>
  <si>
    <t>000.000.000-00</t>
  </si>
  <si>
    <t>FITA ISOLANTE IMPERIAL SLIM 18MMX20M 3M</t>
  </si>
  <si>
    <t>000000021660-FF-1</t>
  </si>
  <si>
    <t>DOC. ORI. 000000047873-PD</t>
  </si>
  <si>
    <t>MASSA DE POLIR N2 490G MAXI RUBBER</t>
  </si>
  <si>
    <t>000000021707-FF-1</t>
  </si>
  <si>
    <t>DOC. ORI. 000000048159-PD</t>
  </si>
  <si>
    <t>DOC. ORI. 000000048158-PD</t>
  </si>
  <si>
    <t>TINTA SPRAY USO GERAL PRETO FOSCO LATA 350ML/210G UNIPEGA</t>
  </si>
  <si>
    <t>000000021710-FF-1</t>
  </si>
  <si>
    <t>DOC. ORI. 000000048178-PD</t>
  </si>
  <si>
    <t>SINTRA PRO 1,5L VONIXX</t>
  </si>
  <si>
    <t>000000021711-FF-1</t>
  </si>
  <si>
    <t>DOC. ORI. 000000048188-PD</t>
  </si>
  <si>
    <t>ESPUMA APLICADORA AMARELA BUFF PACOTE C/ 02 UNID. AUTO AMERICA</t>
  </si>
  <si>
    <t>INTENSE 500ML VONIXX</t>
  </si>
  <si>
    <t>ATUAL COMERCIO DE PRODUTOS DE LIMPEZA E ALIMENTOS LTDA</t>
  </si>
  <si>
    <t>000000039930-NF-1</t>
  </si>
  <si>
    <t>DOC. ORI. 000000047562-PD</t>
  </si>
  <si>
    <t>TAGUATINGA SUL (TAGUATINGA)</t>
  </si>
  <si>
    <t>10.946.351/0001-43</t>
  </si>
  <si>
    <t>AUTO REFORMADORA JL LTDA</t>
  </si>
  <si>
    <t>000000039677-NF-1</t>
  </si>
  <si>
    <t>DOC. ORI. 000000047359-PD</t>
  </si>
  <si>
    <t>02234 - PADRE BERNARDO-GO</t>
  </si>
  <si>
    <t>SETOR LESTE /PADRE BERNADO</t>
  </si>
  <si>
    <t>11.028.380/0001-99</t>
  </si>
  <si>
    <t>DOC. ORI. 000000047362-PD</t>
  </si>
  <si>
    <t>DISCO TRIZACT P3000 152MM 3M</t>
  </si>
  <si>
    <t>ENDURECEDOR 065 P/ VERNIZ 8937 450ML LAZZURIL</t>
  </si>
  <si>
    <t>FILTRO 5N11 P 6000/7500 3M</t>
  </si>
  <si>
    <t>KIT RESPIRADOR 3M 6200</t>
  </si>
  <si>
    <t>PAPEL MASCARAMENTO KRAFT 90CM ALEC</t>
  </si>
  <si>
    <t>V-FLOC 500ML VONIXX</t>
  </si>
  <si>
    <t>VERNIZ 8937 900ML LAZZURIL-21,94-ST</t>
  </si>
  <si>
    <t>AVENIDA TINTAS COMERCIO DE MATERIAIS DE CONSTRUCAO LTDA</t>
  </si>
  <si>
    <t>000000039705-NF-1</t>
  </si>
  <si>
    <t>DOC. ORI. 000000047374-PD</t>
  </si>
  <si>
    <t>SETOR DE MANSÕES DE SOBRADINHO</t>
  </si>
  <si>
    <t>60.511.743/0001-58</t>
  </si>
  <si>
    <t>FITA EMPACOTAMENTO TRANSPARENTE 45MMX40M 710 ADERE</t>
  </si>
  <si>
    <t>TINTA SPRAY ALTA TEMPERATURA ALUMINIO LATA 350ML/210G UNIPEGA</t>
  </si>
  <si>
    <t>TINTA SPRAY ALTA TEMPERATURA PRETO BRILHO LATA 350ML/210G UNIPEGA</t>
  </si>
  <si>
    <t>TINTA SPRAY USO GERAL ALUMINIO LATA 350ML/210G UNIPEGA</t>
  </si>
  <si>
    <t>TINTA SPRAY USO GERAL AMARELO LATA 350ML/210G UNIPEGA</t>
  </si>
  <si>
    <t>TINTA SPRAY USO GERAL BRANCO BRILHANTE LATA 350ML/210G UNIPEGA</t>
  </si>
  <si>
    <t>TINTA SPRAY USO GERAL GRAFITE LATA 350ML/210G UNIPEGA</t>
  </si>
  <si>
    <t>TINTA SPRAY USO GERAL PRETO BRILHANTE LATA 350ML/210G UNIPEGA</t>
  </si>
  <si>
    <t>B S INDUSTRIA E COMERCIO LTDA</t>
  </si>
  <si>
    <t>(61)99557-6450</t>
  </si>
  <si>
    <t>000000039763-NF-1</t>
  </si>
  <si>
    <t>DOC. ORI. 000000047426-PD</t>
  </si>
  <si>
    <t>AREA DE DESENVOLVIMENTO ECONOMICO (CEILANDIA)</t>
  </si>
  <si>
    <t>45.705.710/0001-55</t>
  </si>
  <si>
    <t>TINTA EM PO POLIESTER - PRETO BRILHANTE N1 25KG</t>
  </si>
  <si>
    <t>BARBOSA COMERCIO DE FERRAGENS E FERRAMENTAS LTDA.</t>
  </si>
  <si>
    <t>000000040124-NF-1</t>
  </si>
  <si>
    <t>DOC. ORI. 000000047751-PD</t>
  </si>
  <si>
    <t>34.963.006/0001-86</t>
  </si>
  <si>
    <t>BRASILACA-PRETO SEMI-FOSCO 3,6L BRASILUX</t>
  </si>
  <si>
    <t>BENTO ELETRICA E HIDRAULICA LTDA</t>
  </si>
  <si>
    <t>000000040457-NF-1</t>
  </si>
  <si>
    <t>DOC. ORI. 000000048096-PD</t>
  </si>
  <si>
    <t>RECANTO DAS EMAS</t>
  </si>
  <si>
    <t>43.256.342/0001-80</t>
  </si>
  <si>
    <t>BRASIMOB-AZUL DEL REY 3,6L BRASILUX</t>
  </si>
  <si>
    <t>BRASIMOB-BRANCO BRILHANTE 3,6L BRASILUX</t>
  </si>
  <si>
    <t>BRASIMOB-PRETO BRILHANTE 3,6L BRASILUX</t>
  </si>
  <si>
    <t>MASSA BR12 BRANCA BASE AGUA 400G BRASILUX</t>
  </si>
  <si>
    <t>MASSA BR12 IMBUIA BASE AGUA 400G BRASILUX</t>
  </si>
  <si>
    <t>BOREAL TINTAS AUTOMOTIVAS LTDA</t>
  </si>
  <si>
    <t>000000039842-NF-1</t>
  </si>
  <si>
    <t>DOC. ORI. 000000047492-PD</t>
  </si>
  <si>
    <t>SETOR NORTE (PLANALTINA)</t>
  </si>
  <si>
    <t>43.175.781/0001-68</t>
  </si>
  <si>
    <t>000000039843-NF-1</t>
  </si>
  <si>
    <t>DOC. ORI. 000000047494-PD</t>
  </si>
  <si>
    <t>BRASIL COMERCIO DE MATERIAIS DE HIDRAULICA E ELETRICA</t>
  </si>
  <si>
    <t>000000039693-NF-1</t>
  </si>
  <si>
    <t>DOC. ORI. 000000047355-PD</t>
  </si>
  <si>
    <t>49.875.688/0001-42</t>
  </si>
  <si>
    <t>ASSENTO SANITARIO SLIMFORTTE ALMOFADADO BRANCO UNIFORTTE</t>
  </si>
  <si>
    <t>ASSENTO SANITARIO SLIMFORTTE SOPRADO BRANCO UNIFORTTE</t>
  </si>
  <si>
    <t>ESPATULA AÇO CROMADO 10CM 4  6255/16 ATLAS</t>
  </si>
  <si>
    <t>ESPATULA AÇO CROMADO 12,7CM 6255/20 ATLAS</t>
  </si>
  <si>
    <t>ESPATULA AÇO CROMADO 15CM AT6255/21 ATLAS</t>
  </si>
  <si>
    <t>ESPATULA AÇO CROMADO 7,6CM 3  6255/12 ATLAS</t>
  </si>
  <si>
    <t>LIXA SECO 230U MASSA/MADEIRA Nº 080 3M</t>
  </si>
  <si>
    <t>LIXA SECO 230U MASSA/MADEIRA Nº 180 3M</t>
  </si>
  <si>
    <t>MANGUEIRA AR/AGUA 300LB 5/16 PRETA VONDER</t>
  </si>
  <si>
    <t>SILICONE ACETICO MULTIUSO INCOLOR CARTUCHO 250ML UNIPEGA</t>
  </si>
  <si>
    <t>TACO LIXADOR MANUAL DE BORRACHA GRANDE 65X122MM PURPLEX</t>
  </si>
  <si>
    <t>TACO LIXADOR MANUAL DE BORRACHA PEQUENO 43X122MM PURPLEX</t>
  </si>
  <si>
    <t>000000040202-NF-1</t>
  </si>
  <si>
    <t>DOC. ORI. 000000047827-PD</t>
  </si>
  <si>
    <t>ADESIVO PU40 MULTIUSO CINZA CARTUCHO 360G UNIPEGA</t>
  </si>
  <si>
    <t>REMOVEDOR PASTOSO 1KG BRASILUX</t>
  </si>
  <si>
    <t>BRASIL SUL INDUSTRIA DE EQUIPAMENTOS CONTRA INCENDIO LTDA</t>
  </si>
  <si>
    <t>000000039774-NF-1</t>
  </si>
  <si>
    <t>DOC. ORI. 000000047435-PD</t>
  </si>
  <si>
    <t>SETOR INDUSTRIAL (CEILÂNDIA)</t>
  </si>
  <si>
    <t>22.870.211/0001-18</t>
  </si>
  <si>
    <t>BRASITEC-VERMELHO EXTINTOR 18L BRASILUX</t>
  </si>
  <si>
    <t>THINNER 4016 USO GERAL 18L BRASILUX</t>
  </si>
  <si>
    <t>000000039783-NF-1</t>
  </si>
  <si>
    <t>DOC. ORI. 000000047443-PD</t>
  </si>
  <si>
    <t>000000040047-NF-1</t>
  </si>
  <si>
    <t>DOC. ORI. 000000047693-PD</t>
  </si>
  <si>
    <t>000000040393-NF-1</t>
  </si>
  <si>
    <t>DOC. ORI. 000000048027-PD</t>
  </si>
  <si>
    <t>000000040473-NF-1</t>
  </si>
  <si>
    <t>DOC. ORI. 000000048124-PD</t>
  </si>
  <si>
    <t>BSBSHOP INFORMATICA ELETRODOMESTICA MAT DE CONSTRUCAO MADEIR</t>
  </si>
  <si>
    <t>000000040274-NF-1</t>
  </si>
  <si>
    <t>DOC. ORI. 000000047918-PD</t>
  </si>
  <si>
    <t>15.343.055/0001-71</t>
  </si>
  <si>
    <t>C &amp; M COMERCIO DE TINTAS LTDA ME</t>
  </si>
  <si>
    <t>000000040111-NF-1</t>
  </si>
  <si>
    <t>DOC. ORI. 000000047730-PD</t>
  </si>
  <si>
    <t>CEILÂNDIA SUL (CEILÂNDIA)</t>
  </si>
  <si>
    <t>10.868.223/0001-29</t>
  </si>
  <si>
    <t>BRASPISO CONCRETO ACETINADO BALDE 18L BRASILUX</t>
  </si>
  <si>
    <t>000000040220-NF-1</t>
  </si>
  <si>
    <t>DOC. ORI. 000000047859-PD</t>
  </si>
  <si>
    <t>CARVAL SERVICOS DE CONSTRUCOES E REFORMAS LTDA</t>
  </si>
  <si>
    <t>000000039998-NF-1</t>
  </si>
  <si>
    <t>DOC. ORI. 000000047646-PD</t>
  </si>
  <si>
    <t>SETOR CENTRAL (GAMA)</t>
  </si>
  <si>
    <t>33.174.123/0001-06</t>
  </si>
  <si>
    <t>BRASIMOB ESMALTE BRANCO GELO 900ML BRASILUX</t>
  </si>
  <si>
    <t>BRASIMOB-CAMURCA 900ML BRASILUX</t>
  </si>
  <si>
    <t>BRASIMOB-MARFIM 900ML BRASILUX</t>
  </si>
  <si>
    <t>RESINA PARA TELHA-MULTIUSO BRANCO 18L BRASILUX</t>
  </si>
  <si>
    <t>000000040034-NF-1</t>
  </si>
  <si>
    <t>DOC. ORI. 000000047681-PD</t>
  </si>
  <si>
    <t>BRASIMOB ESMALTE BRANCO GELO 3,6L BRASILUX</t>
  </si>
  <si>
    <t>ROLO LA SINTETICA RESIMAX 15CM 339/15A ATLAS</t>
  </si>
  <si>
    <t>ROLO LA SINTETICA RESIMAX 5CM 339/55A ATLAS</t>
  </si>
  <si>
    <t>ROLO LA SINTETICA RESIMAX 9CM 339/9A ATLAS</t>
  </si>
  <si>
    <t>TINGIDOR UNIVERSAL-MOGNO 225ML BRASILUX</t>
  </si>
  <si>
    <t>TRINCHA 395 1 1/2  PINTURA LATEX E ACRILICA 395/4 ATLAS</t>
  </si>
  <si>
    <t>TRINCHA 395 2  PINTURA LATEX E ACRILICA 395/5 ATLAS</t>
  </si>
  <si>
    <t>000000040328-NF-1</t>
  </si>
  <si>
    <t>DOC. ORI. 000000047969-PD</t>
  </si>
  <si>
    <t>CASA COELHOTINTAS E MATERIAIS LTDA</t>
  </si>
  <si>
    <t>(61) 3272-5046</t>
  </si>
  <si>
    <t>000000040077-NF-1</t>
  </si>
  <si>
    <t>DOC. ORI. 000000047698-PD</t>
  </si>
  <si>
    <t>26.936.806/0001-80</t>
  </si>
  <si>
    <t>BRASIMOB-BRANCO BRILHANTE 900ML BRASILUX</t>
  </si>
  <si>
    <t>CATALISADOR EPOXI POLIAMIDA 720ML BRASILUX</t>
  </si>
  <si>
    <t>COLA PLASTICA UNIV. SUPER LIGHT 495G ANJO</t>
  </si>
  <si>
    <t>EPOXI POLIAMIDA PLUS BRANCO N9,5 PURO 2,88L BRASILUX</t>
  </si>
  <si>
    <t>CASA DO ELETRICISTA MATERIAIS ELETRICOS E HIDRAULICOS LTDA</t>
  </si>
  <si>
    <t>000000039685-NF-1</t>
  </si>
  <si>
    <t>DOC. ORI. 000000047343-PD</t>
  </si>
  <si>
    <t>CEILÂNDIA NORTE</t>
  </si>
  <si>
    <t>50.668.830/0001-60</t>
  </si>
  <si>
    <t>BRASIMOB-BRANCO 225ML BRASILUX</t>
  </si>
  <si>
    <t>BRASIMOB-PRETO BRILHANTE 225ML BRASILUX</t>
  </si>
  <si>
    <t>CIMENTO COMUM 1KG (20X1) REJUMASSA</t>
  </si>
  <si>
    <t>GESSO RAPIDO SC 1KG</t>
  </si>
  <si>
    <t>MASSA PVA 5,5KG BRASILUX</t>
  </si>
  <si>
    <t>MASSA PVA LITRO 1,450KG BRASILUX</t>
  </si>
  <si>
    <t>PALHA DE AÇO Nº 2 AÇO BOM</t>
  </si>
  <si>
    <t>SILICONE ACETICO USO GERAL INCOLOR BISNAGA 50ML UNIPEGA</t>
  </si>
  <si>
    <t>TORNEIRA ALAVANCA PVC 18CM 1/2 BRANCA HERC</t>
  </si>
  <si>
    <t>TORNEIRA LAVATORIO PVC 1/2 BRANCA HERC</t>
  </si>
  <si>
    <t>CASA DOS ESPELHOS E PINTURA ELETROSTATICA LTDA</t>
  </si>
  <si>
    <t>000000039956-NF-1</t>
  </si>
  <si>
    <t>DOC. ORI. 000000047591-PD</t>
  </si>
  <si>
    <t>00830 - LUÍS EDUARDO MAGALHÃES-BA</t>
  </si>
  <si>
    <t>UNIVERSITÁRIO</t>
  </si>
  <si>
    <t>12.694.924/0001-14</t>
  </si>
  <si>
    <t>TINTA EM PO POLIESTER - PRETO SEMI FOSCO 25KG</t>
  </si>
  <si>
    <t>000000040127-NF-1</t>
  </si>
  <si>
    <t>DOC. ORI. 000000047757-PD</t>
  </si>
  <si>
    <t>000000040258-NF-1</t>
  </si>
  <si>
    <t>DOC. ORI. 000000047892-PD</t>
  </si>
  <si>
    <t>CASTELO DAS CORES COM. TINTAS LTDA</t>
  </si>
  <si>
    <t>000000040299-NF-1</t>
  </si>
  <si>
    <t>DOC. ORI. 000000047891-PD</t>
  </si>
  <si>
    <t>10682 - SOBRADINHO-DF</t>
  </si>
  <si>
    <t>SOBRADINHO</t>
  </si>
  <si>
    <t>34.360.009/0001-25</t>
  </si>
  <si>
    <t>ROLO ESPUMA POLYESTER CINZA 5CM 406/5 ATLAS</t>
  </si>
  <si>
    <t>CASTRO E FARIAS MATERIAIS DE CONSTRUCAO LTDA</t>
  </si>
  <si>
    <t>000000040456-NF-1</t>
  </si>
  <si>
    <t>DOC. ORI. 000000048070-PD</t>
  </si>
  <si>
    <t>10644 - CEILANDIA-DF</t>
  </si>
  <si>
    <t>CEILANDIA</t>
  </si>
  <si>
    <t>12.745.067/0001-34</t>
  </si>
  <si>
    <t>FITA ISOLANTE IMPERIAL SLIM 18MMX10M 3M</t>
  </si>
  <si>
    <t>IMPERMEABILIZANTE VEDACIT 900ML VEDACIT</t>
  </si>
  <si>
    <t>LONA PLASTICA PRETA 4X100 20KG 54MC MAXILONA</t>
  </si>
  <si>
    <t>CELINA BARROS DE AMORIM 54003601149</t>
  </si>
  <si>
    <t>(61)99653-1720</t>
  </si>
  <si>
    <t>000000039709-NF-1</t>
  </si>
  <si>
    <t>DOC. ORI. 000000047375-PD</t>
  </si>
  <si>
    <t>SETOR MEIRELES - SAN.MAR.</t>
  </si>
  <si>
    <t>46.631.147/0001-80</t>
  </si>
  <si>
    <t>BP VERMELHO FLASH VW 2009 900ML WANDA-21,94-ST</t>
  </si>
  <si>
    <t>BRASILACA-PRETO CADILACK 900ML BRASILUX</t>
  </si>
  <si>
    <t>000000039760-NF-1</t>
  </si>
  <si>
    <t>DOC. ORI. 000000047425-PD</t>
  </si>
  <si>
    <t>000000039761-NF-1</t>
  </si>
  <si>
    <t>DOC. ORI. 000000047420-PD</t>
  </si>
  <si>
    <t>KIT PU BRANCO BANCHISA FIAT 1996 900ML WANDA-21,67-ST</t>
  </si>
  <si>
    <t>LAZZUDUR POLIESTER CINZA SCANDIUM MET 900ML</t>
  </si>
  <si>
    <t>RRA (RAPID REPAIR AGENT) 1LT</t>
  </si>
  <si>
    <t>000000039762-NF-1</t>
  </si>
  <si>
    <t>DOC. ORI. 000000047432-PD</t>
  </si>
  <si>
    <t>BP VERMELHO ALPINE FIAT 1995 900ML WANDA-21,94-ST</t>
  </si>
  <si>
    <t>HARDENER CLASSIC 1L SIKKENS</t>
  </si>
  <si>
    <t>PRIMER CLASSIC CINZA CLARO 3L SIKKENS-21,46-ST</t>
  </si>
  <si>
    <t>000000039877-NF-1</t>
  </si>
  <si>
    <t>DOC. ORI. 000000047523-PD</t>
  </si>
  <si>
    <t>LAZZUDUR POLIESTER PRETO NINJA LISA 900ML</t>
  </si>
  <si>
    <t>000000039878-NF-1</t>
  </si>
  <si>
    <t>DOC. ORI. 000000047526-PD</t>
  </si>
  <si>
    <t>REDUTOR DE IMPACTO INTERFACE 152X0X6MM NORTON</t>
  </si>
  <si>
    <t>000000039889-NF-1</t>
  </si>
  <si>
    <t>DOC. ORI. 000000047509-PD</t>
  </si>
  <si>
    <t>LAZZUDUR POLIESTER BRANCO GEADA LISA 900ML</t>
  </si>
  <si>
    <t>LAZZUDUR POLIESTER BRANCO POLAR LISA 900ML</t>
  </si>
  <si>
    <t>LIXA BLUE 320 225X275MM 338U 3M</t>
  </si>
  <si>
    <t>000000039953-NF-1</t>
  </si>
  <si>
    <t>DOC. ORI. 000000047587-PD</t>
  </si>
  <si>
    <t>LAZZUDUR POLIESTER VERMELHO BARROCO PEROL 900ML</t>
  </si>
  <si>
    <t>000000040079-NF-1</t>
  </si>
  <si>
    <t>DOC. ORI. 000000047684-PD</t>
  </si>
  <si>
    <t>000000040080-NF-1</t>
  </si>
  <si>
    <t>DOC. ORI. 000000047688-PD</t>
  </si>
  <si>
    <t>000000040092-NF-1</t>
  </si>
  <si>
    <t>DOC. ORI. 000000047726-PD</t>
  </si>
  <si>
    <t>000000040204-NF-1</t>
  </si>
  <si>
    <t>DOC. ORI. 000000047833-PD</t>
  </si>
  <si>
    <t>BRASICAR-PRIMER BRANCO 900ML BRASILUX</t>
  </si>
  <si>
    <t>FITA ISOLANTE PRETO 18MMX20M UNIPEGA</t>
  </si>
  <si>
    <t>LAZZUDUR PU VERMELHO ALPINE 675ML</t>
  </si>
  <si>
    <t>000000040267-NF-1</t>
  </si>
  <si>
    <t>DOC. ORI. 000000047907-PD</t>
  </si>
  <si>
    <t>BRASINIL BRANCO NEVE 3,6L BRASILUX</t>
  </si>
  <si>
    <t>DESENGRIPANTE UNILUB 300ML/150G UNIPEGA</t>
  </si>
  <si>
    <t>TINTA ACRILICA ECONOMICA NEVE BALDE 16KG INOVE</t>
  </si>
  <si>
    <t>000000040342-NF-1</t>
  </si>
  <si>
    <t>DOC. ORI. 000000047980-PD</t>
  </si>
  <si>
    <t>BRASIMOB-AMARELO OURO 3,6L BRASILUX</t>
  </si>
  <si>
    <t>000000040401-NF-1</t>
  </si>
  <si>
    <t>DISCO HOOKIT MULTIAIR SOFT TOUCH A975 Nº 400 NORTON</t>
  </si>
  <si>
    <t>DOC. DEV. 000000037225-NF</t>
  </si>
  <si>
    <t>INTERFACE REDUTOR DE IMPACTO 6  NEWPAD</t>
  </si>
  <si>
    <t>DOC. DEV. 000000037189-NF</t>
  </si>
  <si>
    <t>DOC. DEV. 000000038651-NF</t>
  </si>
  <si>
    <t>DOC. DEV. 000000038220-NF</t>
  </si>
  <si>
    <t>TINTA SPRAY USO GERAL AZUL CLARO LATA 350ML/210G UNIPEGA</t>
  </si>
  <si>
    <t>TINTA SPRAY USO GERAL AZUL ESCURO LATA 350ML/210G UNIPEGA</t>
  </si>
  <si>
    <t>DOC. DEV. 000000038897-NF</t>
  </si>
  <si>
    <t>TINTA SPRAY USO GERAL BRANCO FOSCO LATA 350ML/210G UNIPEGA</t>
  </si>
  <si>
    <t>000000040406-NF-1</t>
  </si>
  <si>
    <t>DOC. ORI. 000000048035-PD</t>
  </si>
  <si>
    <t>DISCO HOOKIT MULTIAIR SOFT TOUCH A975 Nº 320 NORTON</t>
  </si>
  <si>
    <t>000000040441-NF-1</t>
  </si>
  <si>
    <t>DOC. ORI. 000000048075-PD</t>
  </si>
  <si>
    <t>BP PRETO LIZST GM 1994 900ML WANDA-21,67-ST</t>
  </si>
  <si>
    <t>GRAFITE SPRAY LATA 300ML/150G UNIPEGA</t>
  </si>
  <si>
    <t>LIQUIDO LUSTRADOR 500ML 3M</t>
  </si>
  <si>
    <t>000000040443-NF-1</t>
  </si>
  <si>
    <t>DOC. ORI. 000000048076-PD</t>
  </si>
  <si>
    <t>000000040468-NF-1</t>
  </si>
  <si>
    <t>AUTOCLEAR PLUS HS 5LTS SIKKENS-21,46-ST</t>
  </si>
  <si>
    <t>DOC. DEV. 000000036978-NF</t>
  </si>
  <si>
    <t>HARDENER PLUS P25 1LT SIKKENS</t>
  </si>
  <si>
    <t>REDUCER MEDIUM 5LTS SIKKENS</t>
  </si>
  <si>
    <t>DOC. DEV. 000000039393-NF</t>
  </si>
  <si>
    <t>000000040486-NF-1</t>
  </si>
  <si>
    <t>DOC. ORI. 000000048121-PD</t>
  </si>
  <si>
    <t>HARDENER PLUS P25 500ML SIKKENS</t>
  </si>
  <si>
    <t>LAZZUDUR POLIESTER PRATA GLOBAL MET NH700M 900ML</t>
  </si>
  <si>
    <t>000000040514-NF-1</t>
  </si>
  <si>
    <t>DOC. ORI. 000000048160-PD</t>
  </si>
  <si>
    <t>CENTRAL TINTAS BARREIRAS LTDA</t>
  </si>
  <si>
    <t>000000039691-NF-1</t>
  </si>
  <si>
    <t>DOC. ORI. 000000047365-PD</t>
  </si>
  <si>
    <t>00399 - BARREIRAS-BA</t>
  </si>
  <si>
    <t>SÃO MIGUEL</t>
  </si>
  <si>
    <t>43.968.496/0001-02</t>
  </si>
  <si>
    <t>000000040126-NF-1</t>
  </si>
  <si>
    <t>DOC. ORI. 000000047754-PD</t>
  </si>
  <si>
    <t>PISTOLA AR DIRETO MODELO 90 USO GERAL ARPREX</t>
  </si>
  <si>
    <t>CINTIA DA SILVA CARLOS</t>
  </si>
  <si>
    <t>000000021569-FF-1</t>
  </si>
  <si>
    <t>DOC. ORI. 000000047451-PD</t>
  </si>
  <si>
    <t>020.321.696-22</t>
  </si>
  <si>
    <t>BRASINIL BRANCO GELO 3,6L BRASILUX</t>
  </si>
  <si>
    <t>TINTA SPRAY USO GERAL MARRON LATA 350ML/210G UNIPEGA</t>
  </si>
  <si>
    <t>COLORADO TINTAS LTDA</t>
  </si>
  <si>
    <t>000000039674-NF-1</t>
  </si>
  <si>
    <t>DOC. ORI. 000000047350-PD</t>
  </si>
  <si>
    <t>SETOR HABITACIONAL JARDIM BOTÂNICO</t>
  </si>
  <si>
    <t>52.803.967/0001-05</t>
  </si>
  <si>
    <t>KIT EPOXI CINZA N5 MEDIO 3,6L BRASILUX</t>
  </si>
  <si>
    <t>000000039701-NF-1</t>
  </si>
  <si>
    <t>DOC. ORI. 000000047376-PD</t>
  </si>
  <si>
    <t>000000040007-NF-1</t>
  </si>
  <si>
    <t>DOC. ORI. 000000047641-PD</t>
  </si>
  <si>
    <t>KIT EPOXI BRANCO PURO N9,5 3,6L BRASILUX</t>
  </si>
  <si>
    <t>REMOVEDOR PASTOSO 4KG BRASILUX</t>
  </si>
  <si>
    <t>000000040066-NF-1</t>
  </si>
  <si>
    <t>DOC. ORI. 000000047700-PD</t>
  </si>
  <si>
    <t>000000040170-NF-1</t>
  </si>
  <si>
    <t>DOC. ORI. 000000047792-PD</t>
  </si>
  <si>
    <t>000000040228-NF-1</t>
  </si>
  <si>
    <t>DOC. ORI. 000000047861-PD</t>
  </si>
  <si>
    <t>000000040312-NF-1</t>
  </si>
  <si>
    <t>DOC. ORI. 000000047946-PD</t>
  </si>
  <si>
    <t>COLORMIX TINTAS E ACESSORIOS LTDA</t>
  </si>
  <si>
    <t>000000040129-NF-1</t>
  </si>
  <si>
    <t>DOC. ORI. 000000047734-PD</t>
  </si>
  <si>
    <t>SETOR RESIDENCIAL LESTE (PLANALTINA)</t>
  </si>
  <si>
    <t>19.950.739/0001-92</t>
  </si>
  <si>
    <t>BRASIMOB-LARANJA 3,6L BRASILUX</t>
  </si>
  <si>
    <t>M1 MASSA SECA PAREDE BALDE 18KG</t>
  </si>
  <si>
    <t>MASSA DE POLIR N2 500G BRASILUX</t>
  </si>
  <si>
    <t>MASSA PLASTICA CINZA 400GR IBERÊ MAXI RUBBER</t>
  </si>
  <si>
    <t>MASSA PLASTICA PRETA 400GR IBERÊ MAXI RUBBER</t>
  </si>
  <si>
    <t>000000040173-NF-1</t>
  </si>
  <si>
    <t>DOC. DEV. 000000040129-NF</t>
  </si>
  <si>
    <t>COMERCIAL FERRAGENS BORGES FERREIRA LTDA</t>
  </si>
  <si>
    <t>000000040309-NF-1</t>
  </si>
  <si>
    <t>DOC. ORI. 000000047940-PD</t>
  </si>
  <si>
    <t>TAGUATINGA NORTE (TAGUATINGA)</t>
  </si>
  <si>
    <t>33.511.035/0001-44</t>
  </si>
  <si>
    <t>COMERCIAL G A DE TINTAS LTDA</t>
  </si>
  <si>
    <t>000000040205-NF-1</t>
  </si>
  <si>
    <t>DOC. ORI. 000000047839-PD</t>
  </si>
  <si>
    <t>CEILANDIA NORTE</t>
  </si>
  <si>
    <t>35.841.190/0001-54</t>
  </si>
  <si>
    <t>ADAPTADOR/ENGATE P/ BOINA 14MM OU 5/8 NEWPAD</t>
  </si>
  <si>
    <t>COMERCIO DE TINTAS BSB LTDA</t>
  </si>
  <si>
    <t>000000039718-NF-1</t>
  </si>
  <si>
    <t>DOC. ORI. 000000047391-PD</t>
  </si>
  <si>
    <t>40.822.098/0001-87</t>
  </si>
  <si>
    <t>000000039785-NF-1</t>
  </si>
  <si>
    <t>DOC. ORI. 000000047439-PD</t>
  </si>
  <si>
    <t>000000039835-NF-1</t>
  </si>
  <si>
    <t>DOC. ORI. 000000047485-PD</t>
  </si>
  <si>
    <t>000000039913-NF-1</t>
  </si>
  <si>
    <t>DOC. ORI. 000000047544-PD</t>
  </si>
  <si>
    <t>ENDURECEDOR 3093 1LT WANDA</t>
  </si>
  <si>
    <t>VERNIZ 9100 ALTO SOLIDOS 2:1 4L WANDA-21,46-ST</t>
  </si>
  <si>
    <t>000000040002-NF-1</t>
  </si>
  <si>
    <t>DOC. ORI. 000000047643-PD</t>
  </si>
  <si>
    <t>000000040003-NF-1</t>
  </si>
  <si>
    <t>DOC. ORI. 000000047649-PD</t>
  </si>
  <si>
    <t>KIT VERNIZ 5100 E END 3093 150ML WANDA-21,46-ST</t>
  </si>
  <si>
    <t>000000040033-NF-1</t>
  </si>
  <si>
    <t>DOC. ORI. 000000047671-PD</t>
  </si>
  <si>
    <t>AUTOCLEAR CLASSIC VERNIZ 5L SIKKENS-21,46-ST</t>
  </si>
  <si>
    <t>000000040096-NF-1</t>
  </si>
  <si>
    <t>DOC. ORI. 000000047718-PD</t>
  </si>
  <si>
    <t>LAZZUDUR POLIESTER BRANCO ARTICO LISA 900ML</t>
  </si>
  <si>
    <t>000000040236-NF-1</t>
  </si>
  <si>
    <t>DOC. ORI. 000000047876-PD</t>
  </si>
  <si>
    <t>ADITIVO ANTICRATERA 450ML LAZZURIL</t>
  </si>
  <si>
    <t>000000040296-NF-1</t>
  </si>
  <si>
    <t>DOC. ORI. 000000047934-PD</t>
  </si>
  <si>
    <t>BP PRATA SWITCHBLADE MET GM 2009 900ML WANDA-21,67-ST</t>
  </si>
  <si>
    <t>000000040303-NF-1</t>
  </si>
  <si>
    <t>DOC. ORI. 000000047941-PD</t>
  </si>
  <si>
    <t>000000040396-NF-1</t>
  </si>
  <si>
    <t>DOC. ORI. 000000048021-PD</t>
  </si>
  <si>
    <t>DISCO FLAP FIBRA ORIGINAL R822 P040 115X22,23MM NORTON</t>
  </si>
  <si>
    <t>000000040431-NF-1</t>
  </si>
  <si>
    <t>DOC. ORI. 000000048056-PD</t>
  </si>
  <si>
    <t>000000040466-NF-1</t>
  </si>
  <si>
    <t>DOC. ORI. 000000048117-PD</t>
  </si>
  <si>
    <t>000000040536-NF-1</t>
  </si>
  <si>
    <t>DOC. ORI. 000000048179-PD</t>
  </si>
  <si>
    <t>COADOR CONICO USO GERAL 190 MICRONS</t>
  </si>
  <si>
    <t>COMERCIO DE TINTAS D&amp; A LTDA</t>
  </si>
  <si>
    <t>000000039958-NF-1</t>
  </si>
  <si>
    <t>DOC. ORI. 000000047548-PD</t>
  </si>
  <si>
    <t>FORMOSA GO</t>
  </si>
  <si>
    <t>04.302.096/0001-01</t>
  </si>
  <si>
    <t>CATALISADOR P/ ESMALTE SINTETICO 150ML BRASILUX</t>
  </si>
  <si>
    <t>FITA DUPLA FACE 5369T 12MMX3M 3M</t>
  </si>
  <si>
    <t>LIXA SECO 230U MASSA/MADEIRA Nº 220 3M</t>
  </si>
  <si>
    <t>LIXA SECO A275 Nº 180 NORTON</t>
  </si>
  <si>
    <t>000000040194-NF-1</t>
  </si>
  <si>
    <t>DOC. ORI. 000000047795-PD</t>
  </si>
  <si>
    <t>BRASIFER-PRIMER OXIDO VERDE 18L BRASILUX</t>
  </si>
  <si>
    <t>COMETA DISTRIBUIDORA  DE PECAS AUTOMOTIVAS LTDA</t>
  </si>
  <si>
    <t>(61)03356-1300</t>
  </si>
  <si>
    <t>000000040203-NF-1</t>
  </si>
  <si>
    <t>DOC. ORI. 000000047828-PD</t>
  </si>
  <si>
    <t>07.850.768/0001-01</t>
  </si>
  <si>
    <t>CONSTRUASA E AGROPECUARIA COMERCIO DE MATERIAL DE CONST.LTDA</t>
  </si>
  <si>
    <t>000000039991-NF-1</t>
  </si>
  <si>
    <t>DOC. ORI. 000000047628-PD</t>
  </si>
  <si>
    <t>41.861.028/0001-09</t>
  </si>
  <si>
    <t>BRASPISO VERDE QUADRA ACETINADO BALDE 18L BRASILUX</t>
  </si>
  <si>
    <t>000000040327-NF-1</t>
  </si>
  <si>
    <t>DOC. ORI. 000000047961-PD</t>
  </si>
  <si>
    <t>BRASPISO AZUL PROFUNDO QUADRA ACETINADO BALDE 18L BRASILUX</t>
  </si>
  <si>
    <t>BRASPISO BRANCO ACETINADO BALDE 18L BRASILUX</t>
  </si>
  <si>
    <t>000000040412-NF-1</t>
  </si>
  <si>
    <t>DOC. ORI. 000000048033-PD</t>
  </si>
  <si>
    <t>MASSA PVA BALDE 18KG INOVE</t>
  </si>
  <si>
    <t>CONSTRUSOLLO CONSTRUCOES LTDA</t>
  </si>
  <si>
    <t>000000040256-NF-1</t>
  </si>
  <si>
    <t>DOC. ORI. 000000047894-PD</t>
  </si>
  <si>
    <t>SETOR DE MATERIAIS DE CONSTRUÇÃO (CEILÂNDIA)</t>
  </si>
  <si>
    <t>00.715.532/0001-05</t>
  </si>
  <si>
    <t>TINTA EM PO POLIESTER - BRANCO RAL 9003 25KG</t>
  </si>
  <si>
    <t>CONTARPP ENGENHARIA S.A.</t>
  </si>
  <si>
    <t>000000040143-NF-1</t>
  </si>
  <si>
    <t>DOC. ORI. 000000047766-PD</t>
  </si>
  <si>
    <t>26.412.148/0001-27</t>
  </si>
  <si>
    <t>BRASPISO CINZA ESCURO FOSCO BALDE 18L BRASILUX</t>
  </si>
  <si>
    <t>GARFO GAIOLA S/ ROSCA AÇO 400/23SR ATLAS</t>
  </si>
  <si>
    <t>TINTA TECNICA ESPECIAL KIT PU AMARELO 5Y8/12 SEG 3,6L BRASILUX</t>
  </si>
  <si>
    <t>TINTA TECNICA ESPECIAL KIT PU AZUL 2.5PB4/10 SEG 3,6L BRASILUX</t>
  </si>
  <si>
    <t>TINTA TECNICA ESPECIAL KIT PU BRANCO 3,6L BRASILUX</t>
  </si>
  <si>
    <t>TINTA TECNICA ESPECIAL KIT PU VERMELHO 5R4/14 3,6L BRASILUX</t>
  </si>
  <si>
    <t>000000040330-NF-1</t>
  </si>
  <si>
    <t>DOC. DEV. 000000040143-NF</t>
  </si>
  <si>
    <t>000000040336-NF-1</t>
  </si>
  <si>
    <t>DOC. ORI. 000000047972-PD</t>
  </si>
  <si>
    <t>BP PRATA POLARIS METALICO GM 2004 900ML WANDA-21,67-ST</t>
  </si>
  <si>
    <t>ESMALTE SINT AUTOMOTIVO-PRETO CARGO SEMI-FOSCO 3,6L BRASILUX</t>
  </si>
  <si>
    <t>LIXA SECO 230U MASSA/MADEIRA Nº 120 3M</t>
  </si>
  <si>
    <t>000000040337-NF-1</t>
  </si>
  <si>
    <t>DOC. ORI. 000000047976-PD</t>
  </si>
  <si>
    <t>LIXADEIRA ROTO ORBITAL 5  125MM 280W 220V DEWALT</t>
  </si>
  <si>
    <t>000000040517-NF-1</t>
  </si>
  <si>
    <t>DOC. ORI. 000000048161-PD</t>
  </si>
  <si>
    <t>D PRIMEIRA COMERCIO DE FERRAMENTAS E PARAFUSOS LTDA</t>
  </si>
  <si>
    <t>(61) 3595-1100</t>
  </si>
  <si>
    <t>000000039797-NF-1</t>
  </si>
  <si>
    <t>DOC. ORI. 000000047455-PD</t>
  </si>
  <si>
    <t>SETOR HABITACIONAL FERCAL (SOBRADINHO)</t>
  </si>
  <si>
    <t>28.077.991/0001-20</t>
  </si>
  <si>
    <t>000000039883-NF-1</t>
  </si>
  <si>
    <t>DOC. ORI. 000000047529-PD</t>
  </si>
  <si>
    <t>000000039940-NF-1</t>
  </si>
  <si>
    <t>DOC. ORI. 000000047590-PD</t>
  </si>
  <si>
    <t>BRASIFER-PRIMER OXIDO VERDE 3,6L BRASILUX</t>
  </si>
  <si>
    <t>BRASIFER-PRIMER PRETO 3,6L BRASILUX</t>
  </si>
  <si>
    <t>000000040105-NF-1</t>
  </si>
  <si>
    <t>DOC. ORI. 000000047742-PD</t>
  </si>
  <si>
    <t>BRASIFER-PRIMER CINZA 3,6L BRASILUX</t>
  </si>
  <si>
    <t>000000040168-NF-1</t>
  </si>
  <si>
    <t>DOC. ORI. 000000047788-PD</t>
  </si>
  <si>
    <t>KIT EPOXI PRETO N1 3,6L BRASILUX</t>
  </si>
  <si>
    <t>KIT EPOXI VERMELHO 5R4/14 3,6L BRASILUX</t>
  </si>
  <si>
    <t>000000040248-NF-1</t>
  </si>
  <si>
    <t>DOC. ORI. 000000047878-PD</t>
  </si>
  <si>
    <t>BRASIMAR-VERNIZ MARITIMO BRILHANTE 900ML BRASILUX</t>
  </si>
  <si>
    <t>MASSA ACRILICA 5,5KG BRASILUX</t>
  </si>
  <si>
    <t>000000040487-NF-1</t>
  </si>
  <si>
    <t>DOC. ORI. 000000048132-PD</t>
  </si>
  <si>
    <t>000000040525-NF-1</t>
  </si>
  <si>
    <t>DOC. ORI. 000000048175-PD</t>
  </si>
  <si>
    <t>BRASIMOB-CINZA MEDIO 3,6L BRASILUX</t>
  </si>
  <si>
    <t>DELTA LOCACOES DE EQUIPAMENTOS E CONTAINERS LTDA</t>
  </si>
  <si>
    <t>000000040450-NF-1</t>
  </si>
  <si>
    <t>DOC. ORI. 000000048082-PD</t>
  </si>
  <si>
    <t>01.420.277/0001-36</t>
  </si>
  <si>
    <t>AGUARRAS MINERAL 5L BRASILUX</t>
  </si>
  <si>
    <t>DELTA VIDROS E ESQUADRIAS LTDA</t>
  </si>
  <si>
    <t>000000039729-NF-1</t>
  </si>
  <si>
    <t>DOC. ORI. 000000047403-PD</t>
  </si>
  <si>
    <t>SETOR LESTE (VILA ESTRUTURAL)</t>
  </si>
  <si>
    <t>34.253.032/0001-10</t>
  </si>
  <si>
    <t>LONA PLASTICA PRETA 4X100 30KG 82MC MAXILONA</t>
  </si>
  <si>
    <t>000000039992-NF-1</t>
  </si>
  <si>
    <t>DOC. ORI. 000000047629-PD</t>
  </si>
  <si>
    <t>000000040091-NF-1</t>
  </si>
  <si>
    <t>DOC. ORI. 000000047725-PD</t>
  </si>
  <si>
    <t>COLA BRANCA ORIGINAL FRASCO 1KG UNIPEGA</t>
  </si>
  <si>
    <t>QUEROSENE 900ML ANJO-50,56-ST</t>
  </si>
  <si>
    <t>DIAMANTINA COMERCIO E SERVIÇOS</t>
  </si>
  <si>
    <t>(61) 3579-5588</t>
  </si>
  <si>
    <t>000000039824-NF-1</t>
  </si>
  <si>
    <t>DOC. ORI. 000000047476-PD</t>
  </si>
  <si>
    <t>SUDOESTE</t>
  </si>
  <si>
    <t>00.696.483/0001-00</t>
  </si>
  <si>
    <t>BRANCO GELO - RM LA BRANCO GELO - RM CORALAR ACRILICO + BRILHO E PROTE RM002 BRANCO GELO - RM CR COR</t>
  </si>
  <si>
    <t>000000040533-NF-1</t>
  </si>
  <si>
    <t>DOC. ORI. 000000048182-PD</t>
  </si>
  <si>
    <t>BRASINIL BRANCO NEVE BALDE 18L BRASILUX</t>
  </si>
  <si>
    <t>DIEGO CARNAUBA SANTOS</t>
  </si>
  <si>
    <t>000000039914-NF-1</t>
  </si>
  <si>
    <t>DOC. ORI. 000000047550-PD</t>
  </si>
  <si>
    <t>50.463.129/0001-04</t>
  </si>
  <si>
    <t>SUPORTE HOOKIT 6  NEWPAD</t>
  </si>
  <si>
    <t>000000040150-NF-1</t>
  </si>
  <si>
    <t>DOC. ORI. 000000047771-PD</t>
  </si>
  <si>
    <t>000000040272-NF-1</t>
  </si>
  <si>
    <t>DOC. ORI. 000000047911-PD</t>
  </si>
  <si>
    <t>000000040519-NF-1</t>
  </si>
  <si>
    <t>DOC. ORI. 000000048163-PD</t>
  </si>
  <si>
    <t>000000040544-NF-1</t>
  </si>
  <si>
    <t>DOC. ORI. 000000048186-PD</t>
  </si>
  <si>
    <t>BOINA P/ POLIMENTO DE VIDROS TIPO CARPETE 5P VONIXX</t>
  </si>
  <si>
    <t>BOINA P/ POLIMENTO DE VIDROS TIPO LONA 5P VONIXX</t>
  </si>
  <si>
    <t>DISTRITAL COMERCIO DE TINTAS LTDA ME</t>
  </si>
  <si>
    <t>000000040062-NF-1</t>
  </si>
  <si>
    <t>DOC. ORI. 000000047703-PD</t>
  </si>
  <si>
    <t>23.781.742/0001-05</t>
  </si>
  <si>
    <t>2,700 UN 037300 RALL  SIGNAL WHITE RAL 9003 RAL 9003 POLIURETANO FLEET 3X1  81CAAA93B2A0D49ABF7D31DC</t>
  </si>
  <si>
    <t>CATALISADOR 045 PU ALIFATICO 900ML BRASILUX</t>
  </si>
  <si>
    <t>KIT EPOXI PRIMER CINZA N6,5 P/ ADESAO 3,6L BRASILUX</t>
  </si>
  <si>
    <t>000000040104-NF-1</t>
  </si>
  <si>
    <t>DOC. ORI. 000000047724-PD</t>
  </si>
  <si>
    <t>000000040158-NF-1</t>
  </si>
  <si>
    <t>DOC. ORI. 000000047767-PD</t>
  </si>
  <si>
    <t>BRASCORTEN-LARANJA EFEITO 900ML BRASILUX</t>
  </si>
  <si>
    <t>BRASCORTEN-VERMELHO BASE 3,6L BRASILUX</t>
  </si>
  <si>
    <t>000000040532-NF-1</t>
  </si>
  <si>
    <t>DOC. ORI. 000000048164-PD</t>
  </si>
  <si>
    <t>DISTRITO FERRAGENS LTDA</t>
  </si>
  <si>
    <t>000000039746-NF-1</t>
  </si>
  <si>
    <t>DOC. ORI. 000000047402-PD</t>
  </si>
  <si>
    <t>50.575.932/0001-30</t>
  </si>
  <si>
    <t>LIXA FERRO Nº 180 3M</t>
  </si>
  <si>
    <t>000000039811-NF-1</t>
  </si>
  <si>
    <t>DOC. DEV. 000000039746-NF</t>
  </si>
  <si>
    <t>000000040072-NF-1</t>
  </si>
  <si>
    <t>DOC. ORI. 000000047696-PD</t>
  </si>
  <si>
    <t>BRASIFER-PRIMER VERMELHO 18L LATA BRASILUX</t>
  </si>
  <si>
    <t>DNR TINTAS AUTOMOTIVAS EIRELI</t>
  </si>
  <si>
    <t>(61)99308-0803</t>
  </si>
  <si>
    <t>000000039946-NF-1</t>
  </si>
  <si>
    <t>DOC. ORI. 000000047585-PD</t>
  </si>
  <si>
    <t>PARQUE DA BARRAGEM SETOR 01</t>
  </si>
  <si>
    <t>32.911.866/0001-40</t>
  </si>
  <si>
    <t>ADESIVO PU40 MULTIUSO BRANCO CARTUCHO 360G UNIPEGA</t>
  </si>
  <si>
    <t>MASSA PVA CAIXA 18KG INOVE</t>
  </si>
  <si>
    <t>TINTA SPRAY LUMINOSO AMARELO LATA 350ML/210G UNIPEGA</t>
  </si>
  <si>
    <t>TINTA SPRAY LUMINOSO PINK LATA 350ML/210G UNIPEGA</t>
  </si>
  <si>
    <t>TINTA SPRAY LUMINOSO VERDE LATA 350ML/210G UNIPEGA</t>
  </si>
  <si>
    <t>DOMUS COMERCIO DE TINTAS E COMPLEMENTOS LTDA</t>
  </si>
  <si>
    <t>000000039753-NF-1</t>
  </si>
  <si>
    <t>DOC. ORI. 000000047389-PD</t>
  </si>
  <si>
    <t>35.896.373/0001-77</t>
  </si>
  <si>
    <t>BOINA DUPLA FACE DE LA SUPER MACIA AMARELA 8P DT AUTOMOTIVE</t>
  </si>
  <si>
    <t>000000039794-NF-1</t>
  </si>
  <si>
    <t>DOC. ORI. 000000047457-PD</t>
  </si>
  <si>
    <t>ESPUMA EXPANSIVA DE PU USO GERAL LATA 500ML/320G UNIPEGA</t>
  </si>
  <si>
    <t>VEDA CALHA ALUMINIO CARTUCHO 280ML UNIPEGA</t>
  </si>
  <si>
    <t>000000039879-NF-1</t>
  </si>
  <si>
    <t>DOC. ORI. 000000047525-PD</t>
  </si>
  <si>
    <t>ADESIVO INST 100G 793 BICO ANTIENTUPIMENTO TEKBOND</t>
  </si>
  <si>
    <t>BRASILINE-PRETO FOSCO 3,6L BRASILUX</t>
  </si>
  <si>
    <t>PALHA DE AÇO Nº 0 AÇO BOM</t>
  </si>
  <si>
    <t>000000039944-NF-1</t>
  </si>
  <si>
    <t>DOC. ORI. 000000047565-PD</t>
  </si>
  <si>
    <t>BRASILINE ESMALTE AMARELO SEGURANÇA 5Y8/12 3,6L BRASILUX</t>
  </si>
  <si>
    <t>000000039945-NF-1</t>
  </si>
  <si>
    <t>DOC. ORI. 000000047564-PD</t>
  </si>
  <si>
    <t>000000040005-NF-1</t>
  </si>
  <si>
    <t>DOC. ORI. 000000047652-PD</t>
  </si>
  <si>
    <t>BRASILINE-PRETO CADILACK 3,6L BRASILUX</t>
  </si>
  <si>
    <t>BRASIMIX EMBALAGEM 3,6L BRASILUX</t>
  </si>
  <si>
    <t>000000040131-NF-1</t>
  </si>
  <si>
    <t>DOC. ORI. 000000047761-PD</t>
  </si>
  <si>
    <t>BRASI-BRILHO VERNIZ ACRILICO 3,6LT BRASILUX</t>
  </si>
  <si>
    <t>BRASIMOB-VERDE FOLHA 3,6L BRASILUX</t>
  </si>
  <si>
    <t>SELADOR ACRILICO 3,6L BRASILUX</t>
  </si>
  <si>
    <t>000000040217-NF-1</t>
  </si>
  <si>
    <t>DOC. ORI. 000000047860-PD</t>
  </si>
  <si>
    <t>BRASITELHA-INCOLOR 3,6L BRASILUX</t>
  </si>
  <si>
    <t>SELADOR ACRILICO BALDE 18L BRASILUX</t>
  </si>
  <si>
    <t>000000040343-NF-1</t>
  </si>
  <si>
    <t>DOC. ORI. 000000047981-PD</t>
  </si>
  <si>
    <t>000000040513-NF-1</t>
  </si>
  <si>
    <t>DOC. ORI. 000000048157-PD</t>
  </si>
  <si>
    <t>000000040526-NF-1</t>
  </si>
  <si>
    <t>DOC. ORI. 000000048176-PD</t>
  </si>
  <si>
    <t>000000040539-NF-1</t>
  </si>
  <si>
    <t>DOC. ORI. 000000048183-PD</t>
  </si>
  <si>
    <t>KIT EPOXI CINZA N3,5 3,6L BRASILUX</t>
  </si>
  <si>
    <t>EDIO DE OLIVEIRA NUNES</t>
  </si>
  <si>
    <t>000000040076-NF-1</t>
  </si>
  <si>
    <t>DOC. ORI. 000000047690-PD</t>
  </si>
  <si>
    <t>SANTA MARIA</t>
  </si>
  <si>
    <t>21.008.619/0001-12</t>
  </si>
  <si>
    <t>EDIVANIO CONCEICAO DA SILVA 00291474179</t>
  </si>
  <si>
    <t>000000039822-NF-1</t>
  </si>
  <si>
    <t>DOC. ORI. 000000047479-PD</t>
  </si>
  <si>
    <t>18.142.666/0001-40</t>
  </si>
  <si>
    <t>BRASIMOB-AREIA 3,6L BRASILUX</t>
  </si>
  <si>
    <t>BRASIMOB-CINZA ESCURO 3,6L BRASILUX</t>
  </si>
  <si>
    <t>MARTELADO-CINZA CLARO 3,6L BRASILUX</t>
  </si>
  <si>
    <t>000000039966-NF-1</t>
  </si>
  <si>
    <t>DOC. ORI. 000000047607-PD</t>
  </si>
  <si>
    <t>000000040432-NF-1</t>
  </si>
  <si>
    <t>DOC. ORI. 000000048065-PD</t>
  </si>
  <si>
    <t>EDMAR ALEXANDRE DA SILVA</t>
  </si>
  <si>
    <t>000000040164-NF-1</t>
  </si>
  <si>
    <t>DOC. ORI. 000000047786-PD</t>
  </si>
  <si>
    <t>SETOR DE CHÁCARAS ANHANGÜERA C</t>
  </si>
  <si>
    <t>23.946.420/0001-60</t>
  </si>
  <si>
    <t>BRASILACA-BRANCO N9,5 PURO 3,6L BRASILUX</t>
  </si>
  <si>
    <t>GALVBRAS-BRANCO 3,6L BRASILUX</t>
  </si>
  <si>
    <t>LIXA FERRO Nº 080 3M</t>
  </si>
  <si>
    <t>DOC. ORI. 000000047787-PD</t>
  </si>
  <si>
    <t>OLEO DESENGRIPANTE 300ML/200G WD-40</t>
  </si>
  <si>
    <t>ROLO LA SINTETICA ANTIRESPINGO 15CM AT773/15 ATLAS</t>
  </si>
  <si>
    <t>ROLO LA SINTETICA ANTIRESPINGO 9CM AT773/9 ATLAS</t>
  </si>
  <si>
    <t>TRINCHA 395 2 1/2  PINTURA LATEX E ACRILICA 395/6 ATLAS</t>
  </si>
  <si>
    <t>000000040165-NF-1</t>
  </si>
  <si>
    <t>DOC. ORI. 000000047790-PD</t>
  </si>
  <si>
    <t>000000040521-NF-1</t>
  </si>
  <si>
    <t>DOC. ORI. 000000048172-PD</t>
  </si>
  <si>
    <t>BRASICAR-PRIMER BRANCO 3,6L BRASILUX</t>
  </si>
  <si>
    <t>ESMALTE SINT AUTOMOTIVO-BRANCO N9,5 PURO 3,6L BRASILUX</t>
  </si>
  <si>
    <t>ESMALTE SINT AUTOMOTIVO-VERMELHO MASSEY FERGUSSON 3,6L BRASILUX</t>
  </si>
  <si>
    <t>EDMARIO SOUZA CHAGAS LTDA</t>
  </si>
  <si>
    <t>000000039803-NF-1</t>
  </si>
  <si>
    <t>DOC. ORI. 000000047458-PD</t>
  </si>
  <si>
    <t>SANTA CRUZ</t>
  </si>
  <si>
    <t>36.548.633/0001-86</t>
  </si>
  <si>
    <t>000000040460-NF-1</t>
  </si>
  <si>
    <t>DOC. ORI. 000000048110-PD</t>
  </si>
  <si>
    <t>ELECTRA MOVEIS LTDA</t>
  </si>
  <si>
    <t>000000040159-NF-1</t>
  </si>
  <si>
    <t>DOC. ORI. 000000047755-PD</t>
  </si>
  <si>
    <t>PARQUE DA BARRAGEM SETOR 04</t>
  </si>
  <si>
    <t>45.841.367/0001-76</t>
  </si>
  <si>
    <t>TINTA EM PO HIBRIDA - PRETO PRATA CRAQ. RUGA ALTA 25KG</t>
  </si>
  <si>
    <t>ELETRICA MONTEIRO LTDA</t>
  </si>
  <si>
    <t>000000039939-NF-1</t>
  </si>
  <si>
    <t>DOC. ORI. 000000047588-PD</t>
  </si>
  <si>
    <t>36.119.218/0001-07</t>
  </si>
  <si>
    <t>BLEND SPRAY BLACK 500ML VONIXX</t>
  </si>
  <si>
    <t>FOCUS 240ML VONIXX</t>
  </si>
  <si>
    <t>HIDRACOURO 500ML VONIXX</t>
  </si>
  <si>
    <t>HIGICOURO 500ML SPRAY VONIXX</t>
  </si>
  <si>
    <t>REMOVEX 1,5L VONIXX</t>
  </si>
  <si>
    <t>RESTAURAX VONIXX 500ML</t>
  </si>
  <si>
    <t>SANITIZANTE CARRO NOVO 5L VONIXX</t>
  </si>
  <si>
    <t>SHINY 500ML VONIXX</t>
  </si>
  <si>
    <t>SINTRA FAST 500ML SPRAY VONIXX</t>
  </si>
  <si>
    <t>SIO2 PRO 500ML SPRAY VONIXX</t>
  </si>
  <si>
    <t>TRYON 500ML VONIXX</t>
  </si>
  <si>
    <t>VEXUS 500ML SPRAY VONIXX</t>
  </si>
  <si>
    <t>ELITE ESTETICA  AUTOMOTIVA LTDA</t>
  </si>
  <si>
    <t>000000039690-NF-1</t>
  </si>
  <si>
    <t>DOC. ORI. 000000047361-PD</t>
  </si>
  <si>
    <t>RIO GRANDE</t>
  </si>
  <si>
    <t>50.280.719/0001-00</t>
  </si>
  <si>
    <t>ENDURECEDOR 065 P/ VERNIZ 8937 834ML LAZZURIL</t>
  </si>
  <si>
    <t>VERNIZ 8937 5L LAZZURIL-21,94-ST</t>
  </si>
  <si>
    <t>000000040417-NF-1</t>
  </si>
  <si>
    <t>DOC. ORI. 000000048034-PD</t>
  </si>
  <si>
    <t>LIXA DAGUA Nº 320 331Q 3M</t>
  </si>
  <si>
    <t>ENGETEC - TECNOLOGIA EM PREVENCAO E CONTROLE DE INCENDIO LTD</t>
  </si>
  <si>
    <t>000000039860-NF-1</t>
  </si>
  <si>
    <t>DOC. ORI. 000000047512-PD</t>
  </si>
  <si>
    <t>01.721.142/0001-00</t>
  </si>
  <si>
    <t>PALHA DE AÇO Nº 1 AÇO BOM</t>
  </si>
  <si>
    <t>ENGIX CONSTRUCOES E SERVICOS LTDA</t>
  </si>
  <si>
    <t>000000040314-NF-1</t>
  </si>
  <si>
    <t>DOC. ORI. 000000047935-PD</t>
  </si>
  <si>
    <t>09809 - PALMAS-TO</t>
  </si>
  <si>
    <t>GRACIOSA - ORLA 14</t>
  </si>
  <si>
    <t>03.422.281/0001-69</t>
  </si>
  <si>
    <t>TEXTURA ACRILICA PRATA FINA CAIXA 20KG INOVE</t>
  </si>
  <si>
    <t>TEXTURA ACRILICA TANGERINA BALDE 20KG INOVE</t>
  </si>
  <si>
    <t>TEXTURA ACRILICA TITANIO CAIXA 20KG INOVE</t>
  </si>
  <si>
    <t>EUGENIO DE MEDEIROS NUNES &amp; CIA LTDA</t>
  </si>
  <si>
    <t>000000040212-NF-1</t>
  </si>
  <si>
    <t>DOC. ORI. 000000047851-PD</t>
  </si>
  <si>
    <t>PARQUE ESPLANADA III</t>
  </si>
  <si>
    <t>17.117.050/0001-56</t>
  </si>
  <si>
    <t>DISCO ABRASIVO TELADO 225MM 150 AT14/150 ATLAS</t>
  </si>
  <si>
    <t>DC</t>
  </si>
  <si>
    <t>FUNDO PREPARADOR PAREDE BRANCO B'AGUA PRO 1000 BALDE 14LT BRASILUX</t>
  </si>
  <si>
    <t>F &amp; M TINTAS AUTOMOTIVAS LTDA</t>
  </si>
  <si>
    <t>000000039712-NF-1</t>
  </si>
  <si>
    <t>DOC. ORI. 000000047382-PD</t>
  </si>
  <si>
    <t>55.608.869/0001-05</t>
  </si>
  <si>
    <t>BRASILACA-CINZA ALEUTA VW 81 900ML BRASILUX</t>
  </si>
  <si>
    <t>DOC. ORI. 000000047392-PD</t>
  </si>
  <si>
    <t>000000039812-NF-1</t>
  </si>
  <si>
    <t>DOC. ORI. 000000047469-PD</t>
  </si>
  <si>
    <t>000000040130-NF-1</t>
  </si>
  <si>
    <t>DOC. ORI. 000000047760-PD</t>
  </si>
  <si>
    <t>000000040469-NF-1</t>
  </si>
  <si>
    <t>DOC. ORI. 000000048123-PD</t>
  </si>
  <si>
    <t>DOC. ORI. 000000048122-PD</t>
  </si>
  <si>
    <t>FABIANO NASCIMENTO CHMURZYNSKI</t>
  </si>
  <si>
    <t>000000040440-NF-1</t>
  </si>
  <si>
    <t>DOC. ORI. 000000048074-PD</t>
  </si>
  <si>
    <t>SETOR DE DESENVOLVIMENTO ECONÔMICO (TAGUATINGA)</t>
  </si>
  <si>
    <t>20.938.720/0001-00</t>
  </si>
  <si>
    <t>FABRICIO RODRIGUES SANTOS 01192878116</t>
  </si>
  <si>
    <t>000000039808-NF-1</t>
  </si>
  <si>
    <t>DOC. ORI. 000000047467-PD</t>
  </si>
  <si>
    <t>18.404.299/0001-05</t>
  </si>
  <si>
    <t>LAZZUDUR POLIESTER VERMELHO MONTECARLO L.VR978/A 900ML</t>
  </si>
  <si>
    <t>FANTASTICO PARK LTDA</t>
  </si>
  <si>
    <t>000000039681-NF-1</t>
  </si>
  <si>
    <t>DOC. ORI. 000000047347-PD</t>
  </si>
  <si>
    <t>04638 - MARABÁ-PA</t>
  </si>
  <si>
    <t>NOVA MARABÁ</t>
  </si>
  <si>
    <t>34.849.847/0001-67</t>
  </si>
  <si>
    <t>2,700 UN 036666 MUNSEL  BRANCO PURO N9,5 N9,5 POLIURETANO FLEET 3X1  CBA0A582EBD5C10CA3397E8CD53A07A</t>
  </si>
  <si>
    <t>ENDURECEDOR ACELERADO P/ VERNIZ 8937 450ML LAZZURIL</t>
  </si>
  <si>
    <t>ESMALTE SINT AUTOMOTIVO-PRETO BRILHANTE CADILACK 3,6L BRASILUX</t>
  </si>
  <si>
    <t>ESMALTE SINT AUTOMOTIVO-PRETO BRILHANTE N1 3,6L BRASILUX</t>
  </si>
  <si>
    <t>000000039682-NF-1</t>
  </si>
  <si>
    <t>DOC. ORI. 000000047369-PD</t>
  </si>
  <si>
    <t>000000040415-NF-1</t>
  </si>
  <si>
    <t>DOC. ORI. 000000048044-PD</t>
  </si>
  <si>
    <t>BRASIMOB-ROSA INDIA 3,6L BRASILUX</t>
  </si>
  <si>
    <t>BRASIMOB-VERMELHO 3,6L BRASILUX</t>
  </si>
  <si>
    <t>GALVFORT-CINZA N6,5 CLARO 3,6L BRASILUX</t>
  </si>
  <si>
    <t>LIXA FERRO Nº 100 3M</t>
  </si>
  <si>
    <t>000000040541-NF-1</t>
  </si>
  <si>
    <t>DOC. ORI. 000000048180-PD</t>
  </si>
  <si>
    <t>FAUSTO HENRIQUE SILVEIRA CARVALHO</t>
  </si>
  <si>
    <t>000000039779-NF-1</t>
  </si>
  <si>
    <t>DOC. ORI. 000000047444-PD</t>
  </si>
  <si>
    <t>35.949.851/0001-60</t>
  </si>
  <si>
    <t>THINNER 4016 USO GERAL 900ML BRASILUX</t>
  </si>
  <si>
    <t>000000040284-NF-1</t>
  </si>
  <si>
    <t>DOC. ORI. 000000047924-PD</t>
  </si>
  <si>
    <t>KIT PU PRETO NINJA VW 1995 900ML WANDA</t>
  </si>
  <si>
    <t>FIBER CLASS EIRELI</t>
  </si>
  <si>
    <t>(61)98205-0110</t>
  </si>
  <si>
    <t>000000039869-NF-1</t>
  </si>
  <si>
    <t>DOC. ORI. 000000047513-PD</t>
  </si>
  <si>
    <t>26.952.106/0001-89</t>
  </si>
  <si>
    <t>000000040387-NF-1</t>
  </si>
  <si>
    <t>DOC. ORI. 000000048016-PD</t>
  </si>
  <si>
    <t>FLASH TINTAS EIRELI</t>
  </si>
  <si>
    <t>000000039841-NF-1</t>
  </si>
  <si>
    <t>DOC. ORI. 000000047491-PD</t>
  </si>
  <si>
    <t>CEILANDIA NORTE (CEILANDIA)</t>
  </si>
  <si>
    <t>37.768.902/0001-82</t>
  </si>
  <si>
    <t>000000039981-NF-1</t>
  </si>
  <si>
    <t>DOC. ORI. 000000047616-PD</t>
  </si>
  <si>
    <t>FOX PINTURA ELETROSTATICA E CLIMATIZAÇAO LTDA</t>
  </si>
  <si>
    <t>000000039662-NF-1</t>
  </si>
  <si>
    <t>DOC. ORI. 000000047332-PD</t>
  </si>
  <si>
    <t>PARQUE DA BARRAGEM SETOR 10</t>
  </si>
  <si>
    <t>60.660.854/0001-26</t>
  </si>
  <si>
    <t>TINTA EM PO HIBRIDA - PRETO MICRO TEXTURA 25KG</t>
  </si>
  <si>
    <t>000000039874-NF-1</t>
  </si>
  <si>
    <t>DOC. ORI. 000000047520-PD</t>
  </si>
  <si>
    <t>FSC CONSTRUÇOES E INCORPORACOES LTDA</t>
  </si>
  <si>
    <t>000000040419-NF-1</t>
  </si>
  <si>
    <t>DOC. ORI. 000000048042-PD</t>
  </si>
  <si>
    <t>GAMA</t>
  </si>
  <si>
    <t>72.595.689/0001-55</t>
  </si>
  <si>
    <t>DESENGRAXANTE 900ML WANDA</t>
  </si>
  <si>
    <t>000000040430-NF-1</t>
  </si>
  <si>
    <t>DOC. ORI. 000000048062-PD</t>
  </si>
  <si>
    <t>G6 PARTICIPACOES S/A</t>
  </si>
  <si>
    <t>000000040527-NF-1</t>
  </si>
  <si>
    <t>DOC. ORI. 000000048177-PD</t>
  </si>
  <si>
    <t>16.575.237/0001-30</t>
  </si>
  <si>
    <t>KIT VERNIZ PU-ALIFATICO P/ PISO 3,6L BRASILUX</t>
  </si>
  <si>
    <t>ROLO LA SINTETICA RESIMAX 23CM 339/5A ATLAS</t>
  </si>
  <si>
    <t>GALPAO COMERCIO E CONSTRUCOES</t>
  </si>
  <si>
    <t>000000039684-NF-1</t>
  </si>
  <si>
    <t>DOC. ORI. 000000047339-PD</t>
  </si>
  <si>
    <t>35.826.428/0001-72</t>
  </si>
  <si>
    <t>000000039742-NF-1</t>
  </si>
  <si>
    <t>DOC. ORI. 000000047397-PD</t>
  </si>
  <si>
    <t>METALICO-PISTACHE 900ML BRASILUX</t>
  </si>
  <si>
    <t>000000039815-NF-1</t>
  </si>
  <si>
    <t>DOC. ORI. 000000047468-PD</t>
  </si>
  <si>
    <t>ESMALTE BASE AGUA ECOLOGICO-PRETO 3,6L</t>
  </si>
  <si>
    <t>000000039948-NF-1</t>
  </si>
  <si>
    <t>DOC. ORI. 000000047592-PD</t>
  </si>
  <si>
    <t>LIXA SECO OURO 080 326U 3M</t>
  </si>
  <si>
    <t>LIXA SECO OURO 220 326U 3M</t>
  </si>
  <si>
    <t>LIXA SECO OURO 320 326U 3M</t>
  </si>
  <si>
    <t>LIXA SECO OURO 400 326U 3M</t>
  </si>
  <si>
    <t>000000040089-NF-1</t>
  </si>
  <si>
    <t>DOC. ORI. 000000047721-PD</t>
  </si>
  <si>
    <t>000000040320-NF-1</t>
  </si>
  <si>
    <t>DOC. ORI. 000000047949-PD</t>
  </si>
  <si>
    <t>000000040322-NF-1</t>
  </si>
  <si>
    <t>DOC. ORI. 000000047960-PD</t>
  </si>
  <si>
    <t>DOC. ORI. 000000047955-PD</t>
  </si>
  <si>
    <t>GILSON CORREA LIMA</t>
  </si>
  <si>
    <t>000000021634-FF-1</t>
  </si>
  <si>
    <t>DOC. ORI. 000000047753-PD</t>
  </si>
  <si>
    <t>SOBRADINHO II</t>
  </si>
  <si>
    <t>211.698.103-49</t>
  </si>
  <si>
    <t>000000021673-FF-1</t>
  </si>
  <si>
    <t>DOC. ORI. 000000047947-PD</t>
  </si>
  <si>
    <t>000000021681-FF-1</t>
  </si>
  <si>
    <t>DOC. ORI. 000000047995-PD</t>
  </si>
  <si>
    <t>COLA PARA PARABRISA PRETO TUBO 280ML UNIPEGA</t>
  </si>
  <si>
    <t>GOLD TINTAS LTDA</t>
  </si>
  <si>
    <t>000000040020-NF-1</t>
  </si>
  <si>
    <t>DOC. ORI. 000000047658-PD</t>
  </si>
  <si>
    <t>SAMAMBAIA NORTE</t>
  </si>
  <si>
    <t>42.752.323/0001-81</t>
  </si>
  <si>
    <t>LIXA DAGUA Nº 3000 401Q 3M</t>
  </si>
  <si>
    <t>PISSETA POLIETILENO CAPACIDADE 1000ML</t>
  </si>
  <si>
    <t>000000040209-NF-1</t>
  </si>
  <si>
    <t>DOC. ORI. 000000047854-PD</t>
  </si>
  <si>
    <t>CERA DE CARNAUBA PLUS 500ML VONIXX</t>
  </si>
  <si>
    <t>DILUENTE 107 PU POLIESTER 18L BRASILUX</t>
  </si>
  <si>
    <t>HELOENE GRAFICA E PAPELARIA LTDA</t>
  </si>
  <si>
    <t>000000040114-NF-1</t>
  </si>
  <si>
    <t>DOC. ORI. 000000047723-PD</t>
  </si>
  <si>
    <t>39.616.111/0001-62</t>
  </si>
  <si>
    <t>FITA SCOTCH PAPEL 3557 45MMX50M 3M FL</t>
  </si>
  <si>
    <t>HEULISSE RODRIGUES DOS SANTOS</t>
  </si>
  <si>
    <t>(61) 9804-0278</t>
  </si>
  <si>
    <t>000000039740-NF-1</t>
  </si>
  <si>
    <t>DOC. ORI. 000000047401-PD</t>
  </si>
  <si>
    <t>SETOR INDUSTRIAL</t>
  </si>
  <si>
    <t>18.759.012/0001-60</t>
  </si>
  <si>
    <t>HOME CENTER CASTELO FORTE LTDA</t>
  </si>
  <si>
    <t>000000040115-NF-1</t>
  </si>
  <si>
    <t>DOC. ORI. 000000047750-PD</t>
  </si>
  <si>
    <t>VICENTE PIRES</t>
  </si>
  <si>
    <t>03.009.406/0006-38</t>
  </si>
  <si>
    <t>BRASICAR-PRIMER CINZA 3,6L BRASILUX</t>
  </si>
  <si>
    <t>THINNER 6028 DILUENTE 5L BRASILUX</t>
  </si>
  <si>
    <t>TINTA TECNICA ESPECIAL KIT PU CINZA MEDIO N5 3,6L BRASILUX</t>
  </si>
  <si>
    <t>HUMBERTO OLIVEIRA PROJETOS E CONSTRUCOES LTDA</t>
  </si>
  <si>
    <t>000000039776-NF-1</t>
  </si>
  <si>
    <t>DOC. ORI. 000000047441-PD</t>
  </si>
  <si>
    <t>AREAL</t>
  </si>
  <si>
    <t>38.028.677/0001-00</t>
  </si>
  <si>
    <t>IMPERIAL TINTAS COMERCIO AUTOMOTIVO</t>
  </si>
  <si>
    <t>000000021549-FF-1</t>
  </si>
  <si>
    <t>DOC. ORI. 000000047395-PD</t>
  </si>
  <si>
    <t>24.259.504/0001-99</t>
  </si>
  <si>
    <t>000000021605-FF-1</t>
  </si>
  <si>
    <t>DOC. ORI. 000000047627-PD</t>
  </si>
  <si>
    <t>000000021642-FF-1</t>
  </si>
  <si>
    <t>DOC. ORI. 000000047780-PD</t>
  </si>
  <si>
    <t>IMPERIO DAS CORES COMERCIO DE TINTAS LTDA</t>
  </si>
  <si>
    <t>000000039676-NF-1</t>
  </si>
  <si>
    <t>DOC. ORI. 000000047353-PD</t>
  </si>
  <si>
    <t>SETOR ECONÔMICO DE SOBRADINHO (SOBRADINHO)</t>
  </si>
  <si>
    <t>53.047.542/0001-86</t>
  </si>
  <si>
    <t>BRASILINE ESMALTE AMARELO CAT 81 3,6L BRASILUX</t>
  </si>
  <si>
    <t>000000039767-NF-1</t>
  </si>
  <si>
    <t>DOC. ORI. 000000047434-PD</t>
  </si>
  <si>
    <t>000000039920-NF-1</t>
  </si>
  <si>
    <t>DOC. ORI. 000000047556-PD</t>
  </si>
  <si>
    <t>000000040108-NF-1</t>
  </si>
  <si>
    <t>DOC. ORI. 000000047733-PD</t>
  </si>
  <si>
    <t>BRASIMOB-BRANCO FOSCO 3,6L BRASILUX</t>
  </si>
  <si>
    <t>TINTA TECNICA ESPECIAL KIT PU PRETO N1 3,6L BRASILUX</t>
  </si>
  <si>
    <t>000000040489-NF-1</t>
  </si>
  <si>
    <t>DOC. ORI. 000000048133-PD</t>
  </si>
  <si>
    <t>IMPERIO DAS TINTAS E CONSTRUTORA LTDA</t>
  </si>
  <si>
    <t>000000040193-NF-1</t>
  </si>
  <si>
    <t>DOC. ORI. 000000047772-PD</t>
  </si>
  <si>
    <t>FORMOSINHA</t>
  </si>
  <si>
    <t>35.502.010/0001-00</t>
  </si>
  <si>
    <t>M1 MACTRASET PROFISSIONAL 18KG</t>
  </si>
  <si>
    <t>INSPIRA COLOR LTDA</t>
  </si>
  <si>
    <t>000000039683-NF-1</t>
  </si>
  <si>
    <t>DOC. ORI. 000000047337-PD</t>
  </si>
  <si>
    <t>PARQUE RIO BRANCO</t>
  </si>
  <si>
    <t>55.601.081/0001-77</t>
  </si>
  <si>
    <t>J A R COMERCIO DE MATERIAIS PARA CONSTRUCAO E SERVICOS LTDA</t>
  </si>
  <si>
    <t>000000040506-NF-1</t>
  </si>
  <si>
    <t>DOC. ORI. 000000048148-PD</t>
  </si>
  <si>
    <t>55.953.550/0001-17</t>
  </si>
  <si>
    <t>ADESIVO PU40 MULTIUSO PRETO CARTUCHO 360G UNIPEGA</t>
  </si>
  <si>
    <t>AUTO BRILHO 500ML 3M</t>
  </si>
  <si>
    <t>BATIDA DE PEDRA 900ML MAXI RUBBER</t>
  </si>
  <si>
    <t>CERA BRILHO 200G 3M</t>
  </si>
  <si>
    <t>DISCO DE CORTE CLASSIC AR102 115X1.0X22.23MM NORTON</t>
  </si>
  <si>
    <t>KIT PU PRETO CADILLAC 900ML WANDA-21,46-ST</t>
  </si>
  <si>
    <t>VEDA-CHOQUE 150G 2 UNIDADES 75G MAXI RUBBER</t>
  </si>
  <si>
    <t>J.V. REZENDE COMERCIO DE FERRAGENS LTDA</t>
  </si>
  <si>
    <t>000000040504-NF-1</t>
  </si>
  <si>
    <t>DOC. ORI. 000000048125-PD</t>
  </si>
  <si>
    <t>11.885.752/0001-01</t>
  </si>
  <si>
    <t>ESCOVA LIMPEZA DE PNEUS VONIX</t>
  </si>
  <si>
    <t>V-FLOC 3L VONIXX</t>
  </si>
  <si>
    <t>JLSF MATERIAIS PARA CONSTRUCAO EIRELI-ME</t>
  </si>
  <si>
    <t>000000039702-NF-1</t>
  </si>
  <si>
    <t>DOC. ORI. 000000047378-PD</t>
  </si>
  <si>
    <t>29.010.644/0001-42</t>
  </si>
  <si>
    <t>ESMALTE BASE AGUA ECOLOGICO BRANCO BRILHANTE 900ML</t>
  </si>
  <si>
    <t>JOEL BALDOV NASCIMENTO</t>
  </si>
  <si>
    <t>000000039849-NF-1</t>
  </si>
  <si>
    <t>DOC. ORI. 000000047497-PD</t>
  </si>
  <si>
    <t>04014 - UNAÍ-MG</t>
  </si>
  <si>
    <t>CENTRO</t>
  </si>
  <si>
    <t>48.532.019/0001-05</t>
  </si>
  <si>
    <t>ENDURECEDOR 3093 100ML WANDA</t>
  </si>
  <si>
    <t>000000040306-NF-1</t>
  </si>
  <si>
    <t>DOC. ORI. 000000047943-PD</t>
  </si>
  <si>
    <t>FINESS IT 500ML 3M</t>
  </si>
  <si>
    <t>000000040542-NF-1</t>
  </si>
  <si>
    <t>DOC. ORI. 000000048184-PD</t>
  </si>
  <si>
    <t>DISCO BLUE 120 152MM 7F 321U 3M</t>
  </si>
  <si>
    <t>JONATHAN OGLIARI JUNQUEIRA (CABELIN)</t>
  </si>
  <si>
    <t>000000021574-FF-1</t>
  </si>
  <si>
    <t>DOC. ORI. 000000047490-PD</t>
  </si>
  <si>
    <t>CEILANDIA SUL (CEILANDIA)</t>
  </si>
  <si>
    <t>711.144.591-00</t>
  </si>
  <si>
    <t>LAZZUDUR POLIESTER PRATA POLARIS MET 900ML</t>
  </si>
  <si>
    <t>000000021629-FF-1</t>
  </si>
  <si>
    <t>DOC. ORI. 000000047708-PD</t>
  </si>
  <si>
    <t>000000021703-FF-1</t>
  </si>
  <si>
    <t>DOC. ORI. 000000048135-PD</t>
  </si>
  <si>
    <t>JOSE GUILHERME FERREIRA</t>
  </si>
  <si>
    <t>000000040110-NF-1</t>
  </si>
  <si>
    <t>DOC. ORI. 000000047748-PD</t>
  </si>
  <si>
    <t>CENTRO (SÃO SEBASTIÃO)</t>
  </si>
  <si>
    <t>057.624.436-80</t>
  </si>
  <si>
    <t>IMPERMEABILIZANTE VEDACIT BALDE 18LT VEDACIT</t>
  </si>
  <si>
    <t>JOSE J A DE OLIVEIRA COMERCIO DE TINTAS</t>
  </si>
  <si>
    <t>000000040507-NF-1</t>
  </si>
  <si>
    <t>DOC. ORI. 000000048146-PD</t>
  </si>
  <si>
    <t>ITAPOÃ 1</t>
  </si>
  <si>
    <t>33.504.368/0001-46</t>
  </si>
  <si>
    <t>DELET 500ML SPRAY VONIXX</t>
  </si>
  <si>
    <t>FITA ISOLANTE PRETO 18MMX5M UNIPEGA</t>
  </si>
  <si>
    <t>MAKKER 2.0 FINALIZADOR 500ML VONIXX</t>
  </si>
  <si>
    <t>JOSE ROBERTO FAGUNDES POPOLIN</t>
  </si>
  <si>
    <t>000000039880-NF-1</t>
  </si>
  <si>
    <t>DOC. ORI. 000000047527-PD</t>
  </si>
  <si>
    <t>14.014.921/0001-18</t>
  </si>
  <si>
    <t>BRASINIL PALHA BALDE 18L BRASILUX</t>
  </si>
  <si>
    <t>CORANTE LIQUIDO XADREZ AZUL 50ML</t>
  </si>
  <si>
    <t>CORANTE LIQUIDO XADREZ LARANJA 50ML</t>
  </si>
  <si>
    <t>CORANTE LIQUIDO XADREZ VERMELHO 50ML</t>
  </si>
  <si>
    <t>ROLO LA SINTETICA ANTIRESPINGO 23CM 773/10 ATLAS</t>
  </si>
  <si>
    <t>JOSE SERAFIM DE CARVALHO ME</t>
  </si>
  <si>
    <t>(61) 3335-0390</t>
  </si>
  <si>
    <t>000000040074-NF-1</t>
  </si>
  <si>
    <t>DOC. ORI. 000000047701-PD</t>
  </si>
  <si>
    <t>SETOR RESIDENCIAL OESTE (SÃO SEBASTIÃO)</t>
  </si>
  <si>
    <t>02.689.537/0001-36</t>
  </si>
  <si>
    <t>JOSE WELLINGTON DA SILVA GONÇALVES</t>
  </si>
  <si>
    <t>000000040243-NF-1</t>
  </si>
  <si>
    <t>DOC. ORI. 000000047890-PD</t>
  </si>
  <si>
    <t>CHÁCARAS ANHANGÜERA</t>
  </si>
  <si>
    <t>51.716.015/0001-91</t>
  </si>
  <si>
    <t>JR SERRALHERIA E PINTURA ELETROSTATICA LTDA</t>
  </si>
  <si>
    <t>000000040106-NF-1</t>
  </si>
  <si>
    <t>DOC. ORI. 000000047743-PD</t>
  </si>
  <si>
    <t>PACAEMBU</t>
  </si>
  <si>
    <t>63.170.599/0001-21</t>
  </si>
  <si>
    <t>000000040452-NF-1</t>
  </si>
  <si>
    <t>DOC. ORI. 000000048083-PD</t>
  </si>
  <si>
    <t>TINTA EM PO HIBRIDA - DOURADO 036 25KG</t>
  </si>
  <si>
    <t>JRS CONSTRUCOES E REFORMAS LTDA</t>
  </si>
  <si>
    <t>000000039648-NF-1</t>
  </si>
  <si>
    <t>DOC. ORI. 000000047317-PD</t>
  </si>
  <si>
    <t>19.794.359/0001-06</t>
  </si>
  <si>
    <t>KIT EPOXI CINZA CLARO N 6,5 3,6L BRASILUX</t>
  </si>
  <si>
    <t>000000039675-NF-1</t>
  </si>
  <si>
    <t>DOC. ORI. 000000047346-PD</t>
  </si>
  <si>
    <t>000000040039-NF-1</t>
  </si>
  <si>
    <t>DOC. ORI. 000000047682-PD</t>
  </si>
  <si>
    <t>ROLO ESPUMA POLYESTER CINZA 15CM 406/15 ATLAS</t>
  </si>
  <si>
    <t>ROLO ESPUMA POLYESTER CINZA 23CM 406/23 ATLAS</t>
  </si>
  <si>
    <t>000000040116-NF-1</t>
  </si>
  <si>
    <t>DOC. ORI. 000000047747-PD</t>
  </si>
  <si>
    <t>000000040153-NF-1</t>
  </si>
  <si>
    <t>DOC. ORI. 000000047778-PD</t>
  </si>
  <si>
    <t>JS CONSTRUCAO E INCORPORACAO LTDA</t>
  </si>
  <si>
    <t>000000039839-NF-1</t>
  </si>
  <si>
    <t>DOC. ORI. 000000047472-PD</t>
  </si>
  <si>
    <t>SETOR FERROVIÁRIO</t>
  </si>
  <si>
    <t>33.145.064/0001-30</t>
  </si>
  <si>
    <t>BRASIFLEX-LAJE BRANCO 18KG BRASILUX</t>
  </si>
  <si>
    <t>TEXTURA ACRILICA NEVE CAIXA 20KG INOVE</t>
  </si>
  <si>
    <t>JW PRIME LTDA</t>
  </si>
  <si>
    <t>000000040341-NF-1</t>
  </si>
  <si>
    <t>DOC. ORI. 000000047978-PD</t>
  </si>
  <si>
    <t>SETOR INDUSTRIAL (GAMA)</t>
  </si>
  <si>
    <t>55.234.252/0001-77</t>
  </si>
  <si>
    <t>BRASPISO MARROM ACETINADO BALDE 18L BRASILUX</t>
  </si>
  <si>
    <t>BRASPISO PRETO ACETINADO BALDE 18L BRASILUX</t>
  </si>
  <si>
    <t>CR CORALAR ACRILICO MAIS DESEMPENHO BRANCO GELO LATA 18L</t>
  </si>
  <si>
    <t>CR RENDE MUITO PALHA LATA 16L</t>
  </si>
  <si>
    <t>FITA MULTIUSO 30CM ROLO 10MT VEDACIT</t>
  </si>
  <si>
    <t>FITA POLIPROPILENO P/ CONTORNOS 6MMX55M FINA 3M</t>
  </si>
  <si>
    <t>PRIMER ASFALTICO BASE AGUA 3,6LT VEDACIT</t>
  </si>
  <si>
    <t>ROLO TEXTURA FINA 23CM 110/75 ATLAS</t>
  </si>
  <si>
    <t>L&amp;R COMERCIO DE TINTAS LTDA</t>
  </si>
  <si>
    <t>000000039660-NF-1</t>
  </si>
  <si>
    <t>DOC. ORI. 000000047333-PD</t>
  </si>
  <si>
    <t>ASA NORTE</t>
  </si>
  <si>
    <t>50.989.390/0001-42</t>
  </si>
  <si>
    <t>DIRETO NA FERRUGEM PRETO 3,6LT BRASILUX</t>
  </si>
  <si>
    <t>L. A. LOPES &amp; J. P. DE SOUSA LTDA</t>
  </si>
  <si>
    <t>000000039749-NF-1</t>
  </si>
  <si>
    <t>DOC. ORI. 000000047409-PD</t>
  </si>
  <si>
    <t>51.324.545/0001-94</t>
  </si>
  <si>
    <t>TINTA EM PO POLIESTER - CINZA N6.5 CLARO 25KG</t>
  </si>
  <si>
    <t>000000039777-NF-1</t>
  </si>
  <si>
    <t>DOC. ORI. 000000047440-PD</t>
  </si>
  <si>
    <t>TINTA EM PO POLIESTER - PRETO N1 SEMI BRILHO 25KG</t>
  </si>
  <si>
    <t>000000039906-NF-1</t>
  </si>
  <si>
    <t>DOC. ORI. 000000047537-PD</t>
  </si>
  <si>
    <t>000000040323-NF-1</t>
  </si>
  <si>
    <t>DOC. ORI. 000000047958-PD</t>
  </si>
  <si>
    <t>000000040523-NF-1</t>
  </si>
  <si>
    <t>DOC. ORI. 000000048165-PD</t>
  </si>
  <si>
    <t>LEONARDO BISPO DE CARVALHO</t>
  </si>
  <si>
    <t>000000039773-NF-1</t>
  </si>
  <si>
    <t>DOC. ORI. 000000047433-PD</t>
  </si>
  <si>
    <t>36.451.666/0001-03</t>
  </si>
  <si>
    <t>LIDER TAXI  AÉREO S/A-AIR BRASIL</t>
  </si>
  <si>
    <t>(61) 2104-1000</t>
  </si>
  <si>
    <t>000000040215-NF-1</t>
  </si>
  <si>
    <t>DOC. ORI. 000000047856-PD</t>
  </si>
  <si>
    <t>LAGO SUL</t>
  </si>
  <si>
    <t>17.162.579/0008-68</t>
  </si>
  <si>
    <t>FITA ADESIVA 425BR 50MMX30M ALUMINIO 3M</t>
  </si>
  <si>
    <t>000000040289-NF-1</t>
  </si>
  <si>
    <t>DOC. DEV. 000000040215-NF</t>
  </si>
  <si>
    <t>000000040302-NF-1</t>
  </si>
  <si>
    <t>DOC. ORI. 000000047931-PD</t>
  </si>
  <si>
    <t>MASSA DE POLIR 1KG 3M</t>
  </si>
  <si>
    <t>LIGTH METALURGICA LTDA</t>
  </si>
  <si>
    <t>000000039942-NF-1</t>
  </si>
  <si>
    <t>DOC. ORI. 000000047549-PD</t>
  </si>
  <si>
    <t>SAMAMBAIA SUL</t>
  </si>
  <si>
    <t>57.985.162/0001-43</t>
  </si>
  <si>
    <t>TINTA EM PO POLIESTER - PRETO 1502 MICRO TEXTURA 25KG</t>
  </si>
  <si>
    <t>000000040463-NF-1</t>
  </si>
  <si>
    <t>DOC. ORI. 000000048114-PD</t>
  </si>
  <si>
    <t>LINDEMBERG &amp; MELO COMERCIO  DE TINTAS AUT E IMOBI LTDA</t>
  </si>
  <si>
    <t>000000039943-NF-1</t>
  </si>
  <si>
    <t>DOC. ORI. 000000047586-PD</t>
  </si>
  <si>
    <t>38.351.625/0001-70</t>
  </si>
  <si>
    <t>000000040078-NF-1</t>
  </si>
  <si>
    <t>DOC. ORI. 000000047707-PD</t>
  </si>
  <si>
    <t>LACA ALUMINIO P/ RODAS 900ML LAZZURIL</t>
  </si>
  <si>
    <t>000000040373-NF-1</t>
  </si>
  <si>
    <t>DOC. ORI. 000000048004-PD</t>
  </si>
  <si>
    <t>000000040458-NF-1</t>
  </si>
  <si>
    <t>DOC. ORI. 000000048112-PD</t>
  </si>
  <si>
    <t>LOJA DAS MAQUINAS E FERRAMENTAS LTDA</t>
  </si>
  <si>
    <t>(61) 3399-2220</t>
  </si>
  <si>
    <t>000000040390-NF-1</t>
  </si>
  <si>
    <t>DOC. ORI. 000000048024-PD</t>
  </si>
  <si>
    <t>AGUAS CLARAS</t>
  </si>
  <si>
    <t>13.983.066/0001-90</t>
  </si>
  <si>
    <t>BRASIFER-PRIMER PRETO 18L LATA BRASILUX</t>
  </si>
  <si>
    <t>LOUZIVAN OLIVEIRA DE JESUS ME</t>
  </si>
  <si>
    <t>000000021541-FF-1</t>
  </si>
  <si>
    <t>DOC. ORI. 000000047371-PD</t>
  </si>
  <si>
    <t>02778 - BURITIS-MG</t>
  </si>
  <si>
    <t>TABOQUINHA</t>
  </si>
  <si>
    <t>33.439.675/0001-90</t>
  </si>
  <si>
    <t>SELADORA P/ PLASTICO 900ML WANDA-22,35-ST</t>
  </si>
  <si>
    <t>000000021585-FF-1</t>
  </si>
  <si>
    <t>DOC. ORI. 000000047552-PD</t>
  </si>
  <si>
    <t>WANDABASE MM 2670 AZUL PURPURA TRANSPARENTE 3,6L-21,46-ST</t>
  </si>
  <si>
    <t>000000021630-FF-1</t>
  </si>
  <si>
    <t>DOC. ORI. 000000047713-PD</t>
  </si>
  <si>
    <t>EMBALAGEM 3,6L AUTOCOAT BT WANDA</t>
  </si>
  <si>
    <t>WANDABASE MM 2203 VERMELHO VINHO TR. 3,6L-21,67-ST</t>
  </si>
  <si>
    <t>WANDABASE MM 2434 AMARELO OXIDO 0,9L-21,46-ST</t>
  </si>
  <si>
    <t>WANDABASE MM 2435 AMARELO ALARANJADO TRANSPARENTE  0,9L-21,46-ST</t>
  </si>
  <si>
    <t>WANDABASE MM 2655 AZUL INTENSO 0,9L-21,46-ST</t>
  </si>
  <si>
    <t>WANDABASE MM 2723 VIOLETA AVERMELHADO TR. II 3,6L-21,46-ST</t>
  </si>
  <si>
    <t>WANDABASE MM 2975 PEROLA LILAS 0,9L-21,46-ST</t>
  </si>
  <si>
    <t>000000021643-FF-1</t>
  </si>
  <si>
    <t>DOC. ORI. 000000047781-PD</t>
  </si>
  <si>
    <t>000000021644-FF-1</t>
  </si>
  <si>
    <t>DOC. ORI. 000000047768-PD</t>
  </si>
  <si>
    <t>COLA PARA PARABRISA PRETO TUBO 280ML SOLUFIX</t>
  </si>
  <si>
    <t>EMBALAGEM 900ML WANDA</t>
  </si>
  <si>
    <t>000000000026-DV-1</t>
  </si>
  <si>
    <t>DOC. DEV. 000000021518-FF</t>
  </si>
  <si>
    <t>000000021686-FF-1</t>
  </si>
  <si>
    <t>DOC. ORI. 000000048028-PD</t>
  </si>
  <si>
    <t>AUTOCOAT BT 100 MM 71 - ROSA 3,75L-21,94-ST</t>
  </si>
  <si>
    <t>LP COMERCIO DE TINTAS LTDA</t>
  </si>
  <si>
    <t>000000039988-NF-1</t>
  </si>
  <si>
    <t>DOC. ORI. 000000047623-PD</t>
  </si>
  <si>
    <t>36.949.823/0001-05</t>
  </si>
  <si>
    <t>DILUENTE P/ EPOXI 5L BRASILUX</t>
  </si>
  <si>
    <t>TINTA TECNICA ESPECIAL KIT PU LARANJA 2.5YR6/14 3,6L</t>
  </si>
  <si>
    <t>000000040310-NF-1</t>
  </si>
  <si>
    <t>DOC. ORI. 000000047944-PD</t>
  </si>
  <si>
    <t>LR COMERCIO DE TINTAS LTDA</t>
  </si>
  <si>
    <t>(61) 3354-7770</t>
  </si>
  <si>
    <t>000000039758-NF-1</t>
  </si>
  <si>
    <t>DOC. ORI. 000000047427-PD</t>
  </si>
  <si>
    <t>19.406.819/0001-81</t>
  </si>
  <si>
    <t>BRASPISO CINZA ESCURO ACETINADO BALDE 18L BRASILUX</t>
  </si>
  <si>
    <t>000000039895-NF-1</t>
  </si>
  <si>
    <t>DOC. ORI. 000000047532-PD</t>
  </si>
  <si>
    <t>DIRETO NA FERRUGEM BRANCO BRILHANTE 3,6LT BRASILUX</t>
  </si>
  <si>
    <t>MARTELADO-CINZA CLARO 900L BRASILUX</t>
  </si>
  <si>
    <t>000000039909-NF-1</t>
  </si>
  <si>
    <t>DOC. ORI. 000000047542-PD</t>
  </si>
  <si>
    <t>000000039959-NF-1</t>
  </si>
  <si>
    <t>DOC. ORI. 000000047600-PD</t>
  </si>
  <si>
    <t>BRASIMIX BU-BRANCO 900ML BRASILUX FL</t>
  </si>
  <si>
    <t>BRASIMIX BU-PRETO PROFUNDO 3,6L BRASILUX</t>
  </si>
  <si>
    <t>BRASIMIX BU-VERMELHO VIVO 3,6L BRASILUX</t>
  </si>
  <si>
    <t>000000039990-NF-1</t>
  </si>
  <si>
    <t>DOC. ORI. 000000047630-PD</t>
  </si>
  <si>
    <t>000000040009-NF-1</t>
  </si>
  <si>
    <t>DOC. ORI. 000000047655-PD</t>
  </si>
  <si>
    <t>SILICONE HIDROFUGANTE 18L BRASILUX</t>
  </si>
  <si>
    <t>000000040141-NF-1</t>
  </si>
  <si>
    <t>DOC. ORI. 000000047764-PD</t>
  </si>
  <si>
    <t>BRASIFER-PRIMER PRETO 900ML BRASILUX</t>
  </si>
  <si>
    <t>DIRETO NA FERRUGEM CINZA MEDIO 900ML BRASILUX</t>
  </si>
  <si>
    <t>DIRETO NA FERRUGEM CINZA PLATINA 3,6LT BRASILUX</t>
  </si>
  <si>
    <t>DIRETO NA FERRUGEM CINZA PLATINA 900ML BRASILUX</t>
  </si>
  <si>
    <t>TINTA TECNICA ESPECIAL KIT PU PISCINA AZUL 4,5L BRASILUX</t>
  </si>
  <si>
    <t>000000040332-NF-1</t>
  </si>
  <si>
    <t>DOC. ORI. 000000047973-PD</t>
  </si>
  <si>
    <t>000000040540-NF-1</t>
  </si>
  <si>
    <t>DOC. ORI. 000000048174-PD</t>
  </si>
  <si>
    <t>BRASIMAR-VERNIZ MARITIMO BRILHANTE 3,6LT BRASILUX</t>
  </si>
  <si>
    <t>BRASIMAR-VERNIZ MARITIMO IMBUIA 3,6L BRASILUX</t>
  </si>
  <si>
    <t>BRASIMAR-VERNIZ MARITIMO IMBUIA 900ML BRASILUX</t>
  </si>
  <si>
    <t>BRASITEC ESMALTE SINT SECAGEM EXTRA RAPIDA PRETO ACETINADO 3,6LT BRASILUX</t>
  </si>
  <si>
    <t>M M COMERCIO LTDA</t>
  </si>
  <si>
    <t>000000039730-NF-1</t>
  </si>
  <si>
    <t>DOC. ORI. 000000047398-PD</t>
  </si>
  <si>
    <t>NORTE (ÁGUAS CLARAS)</t>
  </si>
  <si>
    <t>35.559.938/0001-20</t>
  </si>
  <si>
    <t>BRASILAR-BRANCO NEVE FOSCO 18L BRASILUX</t>
  </si>
  <si>
    <t>000000039793-NF-1</t>
  </si>
  <si>
    <t>DOC. ORI. 000000047460-PD</t>
  </si>
  <si>
    <t>000000039888-NF-1</t>
  </si>
  <si>
    <t>DOC. ORI. 000000047521-PD</t>
  </si>
  <si>
    <t>000000039927-NF-1</t>
  </si>
  <si>
    <t>DOC. ORI. 000000047547-PD</t>
  </si>
  <si>
    <t>MASSA ACRILICA BALDE 25KG BRASILUX</t>
  </si>
  <si>
    <t>000000039928-NF-1</t>
  </si>
  <si>
    <t>DOC. ORI. 000000047554-PD</t>
  </si>
  <si>
    <t>CR RENDE MUITO BRANCO GELO BALDE 20L</t>
  </si>
  <si>
    <t>000000040017-NF-1</t>
  </si>
  <si>
    <t>DOC. ORI. 000000047654-PD</t>
  </si>
  <si>
    <t>000000040042-NF-1</t>
  </si>
  <si>
    <t>DOC. ORI. 000000047675-PD</t>
  </si>
  <si>
    <t>000000040093-NF-1</t>
  </si>
  <si>
    <t>DOC. ORI. 000000047729-PD</t>
  </si>
  <si>
    <t>000000040094-NF-1</t>
  </si>
  <si>
    <t>DOC. DEV. 000000040042-NF</t>
  </si>
  <si>
    <t>000000040167-NF-1</t>
  </si>
  <si>
    <t>DOC. ORI. 000000047785-PD</t>
  </si>
  <si>
    <t>000000040199-NF-1</t>
  </si>
  <si>
    <t>DOC. ORI. 000000047806-PD</t>
  </si>
  <si>
    <t>000000040221-NF-1</t>
  </si>
  <si>
    <t>DOC. ORI. 000000047858-PD</t>
  </si>
  <si>
    <t>ACRILAR-BRANCO NEVE ACETINADO 18L LATA BRASILUX</t>
  </si>
  <si>
    <t>000000040232-NF-1</t>
  </si>
  <si>
    <t>DOC. ORI. 000000047874-PD</t>
  </si>
  <si>
    <t>BRASIMOB-BRANCO ACETINADO 3,6L BRASILUX</t>
  </si>
  <si>
    <t>000000040280-NF-1</t>
  </si>
  <si>
    <t>DOC. ORI. 000000047919-PD</t>
  </si>
  <si>
    <t>ROLO MICROFIBRA RENDEPLUS 23CM 327/19 ATLAS</t>
  </si>
  <si>
    <t>000000040356-NF-1</t>
  </si>
  <si>
    <t>DOC. ORI. 000000047990-PD</t>
  </si>
  <si>
    <t>000000040434-NF-1</t>
  </si>
  <si>
    <t>DOC. ORI. 000000048064-PD</t>
  </si>
  <si>
    <t>M. D. DE SOUZA</t>
  </si>
  <si>
    <t>000000040154-NF-1</t>
  </si>
  <si>
    <t>DOC. ORI. 000000047776-PD</t>
  </si>
  <si>
    <t>42.449.222/0001-36</t>
  </si>
  <si>
    <t>MACCAN ATACADISTA DE TINTAS AUTOMOTIVAS LTDA</t>
  </si>
  <si>
    <t>000000039838-NF-1</t>
  </si>
  <si>
    <t>DOC. ORI. 000000047503-PD</t>
  </si>
  <si>
    <t>47.223.020/0001-95</t>
  </si>
  <si>
    <t>BRASIDUR PU ACRILICO AUTOM. VERNIZ BASE PU HS 2X1 18L BRASILUX</t>
  </si>
  <si>
    <t>BRASIMIX BU-AMARELO LIMAO 800ML BRASILUX</t>
  </si>
  <si>
    <t>BRASIMIX BU-AMARELO OURO 800ML BRASILUX</t>
  </si>
  <si>
    <t>BRASIMIX BU-AZUL ESCURO 800ML BRASILUX</t>
  </si>
  <si>
    <t>BRASIMIX BU-LARANJA 800ML BRASILUX</t>
  </si>
  <si>
    <t>BRASIMIX BU-VERDE ESCURO 800ML BRASILUX</t>
  </si>
  <si>
    <t>000000039868-NF-1</t>
  </si>
  <si>
    <t>DOC. ORI. 000000047510-PD</t>
  </si>
  <si>
    <t>000000040404-NF-1</t>
  </si>
  <si>
    <t>DOC. ORI. 000000048037-PD</t>
  </si>
  <si>
    <t>000000040488-NF-1</t>
  </si>
  <si>
    <t>DOC. ORI. 000000048129-PD</t>
  </si>
  <si>
    <t>BRASIMIX BU-ROSA 3,6L BRASILUX</t>
  </si>
  <si>
    <t>MAGICOLOR METALURGICA</t>
  </si>
  <si>
    <t>000000039747-NF-1</t>
  </si>
  <si>
    <t>DOC. ORI. 000000047408-PD</t>
  </si>
  <si>
    <t>38.038.543/0001-70</t>
  </si>
  <si>
    <t>TINTA EM PO POLIESTER - CINZA RAL 7024 25KG</t>
  </si>
  <si>
    <t>000000040405-NF-1</t>
  </si>
  <si>
    <t>DOC. ORI. 000000048031-PD</t>
  </si>
  <si>
    <t>MAIS SOLUCOES COMERCIO ATACADISTA DE TINTAS LTDA</t>
  </si>
  <si>
    <t>000000039673-NF-1</t>
  </si>
  <si>
    <t>DOC. ORI. 000000047338-PD</t>
  </si>
  <si>
    <t>50.433.993/0001-63</t>
  </si>
  <si>
    <t>000000039931-NF-1</t>
  </si>
  <si>
    <t>DOC. ORI. 000000047551-PD</t>
  </si>
  <si>
    <t>DESOXIDANTE 1L WANDA</t>
  </si>
  <si>
    <t>000000040177-NF-1</t>
  </si>
  <si>
    <t>DOC. ORI. 000000047796-PD</t>
  </si>
  <si>
    <t>LIXA DAGUA Nº 080 331Q 3M</t>
  </si>
  <si>
    <t>LIXA DAGUA Nº 220 331Q 3M</t>
  </si>
  <si>
    <t>000000040178-NF-1</t>
  </si>
  <si>
    <t>DOC. ORI. 000000047821-PD</t>
  </si>
  <si>
    <t>TINTA TECNICA ESPECIAL KIT PU CINZA N6,5 3,6L BRASILUX</t>
  </si>
  <si>
    <t>000000040195-NF-1</t>
  </si>
  <si>
    <t>DOC. ORI. 000000047834-PD</t>
  </si>
  <si>
    <t>000000040288-NF-1</t>
  </si>
  <si>
    <t>DOC. ORI. 000000047922-PD</t>
  </si>
  <si>
    <t>LIXA FERRO Nº 220 3M</t>
  </si>
  <si>
    <t>MAJU TINTAS EMPRESA INDIVIDUAL</t>
  </si>
  <si>
    <t>(61)03471-1048</t>
  </si>
  <si>
    <t>000000039984-NF-1</t>
  </si>
  <si>
    <t>DOC. ORI. 000000047619-PD</t>
  </si>
  <si>
    <t>TAGUATINGA</t>
  </si>
  <si>
    <t>27.904.046/0001-91</t>
  </si>
  <si>
    <t>FITA DUPLA FACE 4910 VHB 5MMX33M 3M</t>
  </si>
  <si>
    <t>FITA DUPLA FACE XT080 09MMX20M ADERE</t>
  </si>
  <si>
    <t>000000039996-NF-1</t>
  </si>
  <si>
    <t>DOC. ORI. 000000047631-PD</t>
  </si>
  <si>
    <t>KIT EPOXI LARANJA 2.5YR6/14 3,6L BRASILUX</t>
  </si>
  <si>
    <t>000000040051-NF-1</t>
  </si>
  <si>
    <t>DOC. ORI. 000000047686-PD</t>
  </si>
  <si>
    <t>KIT EPOXI MASSA BRANCA 3,6L BRASILUX</t>
  </si>
  <si>
    <t>000000040152-NF-1</t>
  </si>
  <si>
    <t>DOC. ORI. 000000047770-PD</t>
  </si>
  <si>
    <t>000000040176-NF-1</t>
  </si>
  <si>
    <t>DOC. ORI. 000000047797-PD</t>
  </si>
  <si>
    <t>000000040270-NF-1</t>
  </si>
  <si>
    <t>DOC. ORI. 000000047903-PD</t>
  </si>
  <si>
    <t>000000040484-NF-1</t>
  </si>
  <si>
    <t>DOC. ORI. 000000048127-PD</t>
  </si>
  <si>
    <t>MANOEL J. BEZERRA ALEXANDRE LTDA</t>
  </si>
  <si>
    <t>(61)99659-2162</t>
  </si>
  <si>
    <t>000000039969-NF-1</t>
  </si>
  <si>
    <t>DOC. ORI. 000000047610-PD</t>
  </si>
  <si>
    <t>28.162.034/0001-00</t>
  </si>
  <si>
    <t>MANOEL VIDAL DE SOUZA</t>
  </si>
  <si>
    <t>000000021597-FF-1</t>
  </si>
  <si>
    <t>DOC. ORI. 000000047604-PD</t>
  </si>
  <si>
    <t>057.659.001-00</t>
  </si>
  <si>
    <t>000000021698-FF-1</t>
  </si>
  <si>
    <t>DOC. ORI. 000000048080-PD</t>
  </si>
  <si>
    <t>MARCOS RIBEIRO DA SILVA</t>
  </si>
  <si>
    <t>000000039989-NF-1</t>
  </si>
  <si>
    <t>DOC. ORI. 000000047625-PD</t>
  </si>
  <si>
    <t>63.822.587/0001-34</t>
  </si>
  <si>
    <t>000000040427-NF-1</t>
  </si>
  <si>
    <t>DOC. ORI. 000000048054-PD</t>
  </si>
  <si>
    <t>MARCOS ROBERTO PEREIRA DE FARIA EIRELI</t>
  </si>
  <si>
    <t>000000039885-NF-1</t>
  </si>
  <si>
    <t>DOC. ORI. 000000047528-PD</t>
  </si>
  <si>
    <t>GUARA</t>
  </si>
  <si>
    <t>22.315.412/0001-53</t>
  </si>
  <si>
    <t>000000040230-NF-1</t>
  </si>
  <si>
    <t>DOC. ORI. 000000047870-PD</t>
  </si>
  <si>
    <t>BROXA PINTURA RETANGULAR 18X8CM 800/2 ATLAS</t>
  </si>
  <si>
    <t>000000040259-NF-1</t>
  </si>
  <si>
    <t>DOC. ORI. 000000047900-PD</t>
  </si>
  <si>
    <t>000000040502-NF-1</t>
  </si>
  <si>
    <t>DOC. ORI. 000000048145-PD</t>
  </si>
  <si>
    <t>V10 CORTE VERNIZ ASIATICO 500ML VONIXX</t>
  </si>
  <si>
    <t>MARI COMERCIO DE TINTAS LTDA</t>
  </si>
  <si>
    <t>000000039692-NF-1</t>
  </si>
  <si>
    <t>DOC. ORI. 000000047356-PD</t>
  </si>
  <si>
    <t>44.074.511/0001-23</t>
  </si>
  <si>
    <t>BRASIMOB-AZUL FRANCA 900ML BRASILUX</t>
  </si>
  <si>
    <t>BRASIMOB-BRANCO ACETINADO 900ML BRASILUX</t>
  </si>
  <si>
    <t>BRASIMOB-BRANCO FOSCO 900ML BRASILUX</t>
  </si>
  <si>
    <t>BRASIMOB-MARROM CAFE 900ML BRASILUX</t>
  </si>
  <si>
    <t>BRASIMOB-VERDE COLONIAL 900ML BRASILUX</t>
  </si>
  <si>
    <t>BRASIMOB-VERMELHO 900ML BRASILUX</t>
  </si>
  <si>
    <t>BRASIMOB-VERMELHO CHASSI GOYA 3,6L BRASILUX</t>
  </si>
  <si>
    <t>BRASIMOB-VERMELHO CHASSI GOYA 900ML BRASILUX</t>
  </si>
  <si>
    <t>000000039844-NF-1</t>
  </si>
  <si>
    <t>DOC. ORI. 000000047499-PD</t>
  </si>
  <si>
    <t>000000039938-NF-1</t>
  </si>
  <si>
    <t>DOC. ORI. 000000047589-PD</t>
  </si>
  <si>
    <t>BRASIMOB-PRETO FOSCO 900ML BRASILUX</t>
  </si>
  <si>
    <t>DIRETO NA FERRUGEM BRANCO BRILHANTE 900ML BRASILUX</t>
  </si>
  <si>
    <t>DIRETO NA FERRUGEM MARROM BRONZE 900ML BRASILUX</t>
  </si>
  <si>
    <t>000000040018-NF-1</t>
  </si>
  <si>
    <t>DOC. ORI. 000000047660-PD</t>
  </si>
  <si>
    <t>BRASIMOB-PLATINA 900ML BRASILUX</t>
  </si>
  <si>
    <t>000000040358-NF-1</t>
  </si>
  <si>
    <t>DOC. ORI. 000000047959-PD</t>
  </si>
  <si>
    <t>BRASIMOB-LARANJA 900ML BRASILUX</t>
  </si>
  <si>
    <t>IMPERMEABILIZANTE VEDAPREN PAREDE BRANCO BALDE 18KG VEDACIT</t>
  </si>
  <si>
    <t>MARIA CRISTINA SANTOS DA SILVA ME</t>
  </si>
  <si>
    <t>000000039850-NF-1</t>
  </si>
  <si>
    <t>DOC. ORI. 000000047502-PD</t>
  </si>
  <si>
    <t>10.242.528/0001-20</t>
  </si>
  <si>
    <t>THINNER 6028 DILUENTE 900ML BRASILUX</t>
  </si>
  <si>
    <t>000000040171-NF-1</t>
  </si>
  <si>
    <t>DOC. ORI. 000000047794-PD</t>
  </si>
  <si>
    <t>KIT VERNIZ FOSCO VF001 E END H0010 150ML LAZZURIL-21,46-ST</t>
  </si>
  <si>
    <t>MANTA DE FIBRA DE VIDRO MEDIDA 1,40MX0,33M CARPLAST MAXI RUBBER</t>
  </si>
  <si>
    <t>REMOVEDOR DE FERRUGEM 500ML BRASILUX</t>
  </si>
  <si>
    <t>000000040307-NF-1</t>
  </si>
  <si>
    <t>DOC. ORI. 000000047923-PD</t>
  </si>
  <si>
    <t>MARIA FERNANDA MORAIS DE ARAUJO</t>
  </si>
  <si>
    <t>000000039651-NF-1</t>
  </si>
  <si>
    <t>DOC. ORI. 000000047322-PD</t>
  </si>
  <si>
    <t>39.353.109/0001-48</t>
  </si>
  <si>
    <t>000000040019-NF-1</t>
  </si>
  <si>
    <t>DOC. ORI. 000000047648-PD</t>
  </si>
  <si>
    <t>000000040223-NF-1</t>
  </si>
  <si>
    <t>DOC. ORI. 000000047871-PD</t>
  </si>
  <si>
    <t>000000040437-NF-1</t>
  </si>
  <si>
    <t>DOC. ORI. 000000048069-PD</t>
  </si>
  <si>
    <t>000000040501-NF-1</t>
  </si>
  <si>
    <t>DOC. ORI. 000000048137-PD</t>
  </si>
  <si>
    <t>MAXIMA  ATACADISTA DE TINTAS E MATERIAIS DE CONSTRUCAO LTDA</t>
  </si>
  <si>
    <t>000000039700-NF-1</t>
  </si>
  <si>
    <t>DOC. ORI. 000000047370-PD</t>
  </si>
  <si>
    <t>61.116.812/0001-91</t>
  </si>
  <si>
    <t>000000040082-NF-1</t>
  </si>
  <si>
    <t>DOC. ORI. 000000047699-PD</t>
  </si>
  <si>
    <t>MD TINTAS LTDA</t>
  </si>
  <si>
    <t>(61) 3084-9999</t>
  </si>
  <si>
    <t>000000021696-FF-1</t>
  </si>
  <si>
    <t>DOC. ORI. 000000048066-PD</t>
  </si>
  <si>
    <t>02253 - PLANALTINA-GO</t>
  </si>
  <si>
    <t>SETOR NORTE</t>
  </si>
  <si>
    <t>09.170.935/0001-90</t>
  </si>
  <si>
    <t>VEDA-CHOQUE 290G 2 UNIDADES DE 145G MAXI RUBBER</t>
  </si>
  <si>
    <t>000000021697-FF-1</t>
  </si>
  <si>
    <t>MEGA DRIFT PRODUCOES LTDA</t>
  </si>
  <si>
    <t>000000039916-NF-1</t>
  </si>
  <si>
    <t>DOC. ORI. 000000047534-PD</t>
  </si>
  <si>
    <t>45.768.647/0001-04</t>
  </si>
  <si>
    <t>MEGAFIX COMERCIO E DIST DE FERRAMENTAS LTDA</t>
  </si>
  <si>
    <t>000000040208-NF-1</t>
  </si>
  <si>
    <t>DOC. ORI. 000000047852-PD</t>
  </si>
  <si>
    <t>04.580.229/0001-01</t>
  </si>
  <si>
    <t>MENDONCA E GONCALVES CONSTRUCOES E INCORPORACOES LTDA</t>
  </si>
  <si>
    <t>000000040088-NF-1</t>
  </si>
  <si>
    <t>DOC. ORI. 000000047719-PD</t>
  </si>
  <si>
    <t>13.798.155/0001-67</t>
  </si>
  <si>
    <t>LIXA FERRO Nº 150 3M</t>
  </si>
  <si>
    <t>METALICO-PRATA LUNAR MET VW 91 3,6L BRASILUX</t>
  </si>
  <si>
    <t>MIMO CHIC FESTAS &amp; LOCACOES LTDA</t>
  </si>
  <si>
    <t>000000039799-NF-1</t>
  </si>
  <si>
    <t>DOC. ORI. 000000047459-PD</t>
  </si>
  <si>
    <t>19.752.297/0001-70</t>
  </si>
  <si>
    <t>CR DECORA SEDA AC BRANCO BALDE 20L</t>
  </si>
  <si>
    <t>MK TINTAS LTDA ME</t>
  </si>
  <si>
    <t>000000040211-NF-1</t>
  </si>
  <si>
    <t>DOC. ORI. 000000047848-PD</t>
  </si>
  <si>
    <t>SAO SEBASTIAO</t>
  </si>
  <si>
    <t>18.493.434/0001-36</t>
  </si>
  <si>
    <t>MLM ELETRICA E HIDRAULICA LTDA</t>
  </si>
  <si>
    <t>000000039737-NF-1</t>
  </si>
  <si>
    <t>DOC. ORI. 000000047390-PD</t>
  </si>
  <si>
    <t>SETOR LESTE</t>
  </si>
  <si>
    <t>60.369.619/0001-08</t>
  </si>
  <si>
    <t>000000040064-NF-1</t>
  </si>
  <si>
    <t>DOC. ORI. 000000047666-PD</t>
  </si>
  <si>
    <t>000000040151-NF-1</t>
  </si>
  <si>
    <t>DOC. DEV. 000000040064-NF</t>
  </si>
  <si>
    <t>000000040367-NF-1</t>
  </si>
  <si>
    <t>DOC. ORI. 000000047977-PD</t>
  </si>
  <si>
    <t>IMPERMEABILIZANTE VEDAPREN PAREDE BRANCO 3,6KG VEDACIT</t>
  </si>
  <si>
    <t>MS ACESSIBILIDADE E  COMUNICACAO EIRELI</t>
  </si>
  <si>
    <t>(61)98183-1061</t>
  </si>
  <si>
    <t>000000040543-NF-1</t>
  </si>
  <si>
    <t>DOC. ORI. 000000048187-PD</t>
  </si>
  <si>
    <t>23.593.765/0001-88</t>
  </si>
  <si>
    <t>NACIONAL PINTURA ELETROSTATICA LTDA</t>
  </si>
  <si>
    <t>000000040235-NF-1</t>
  </si>
  <si>
    <t>DOC. ORI. 000000047875-PD</t>
  </si>
  <si>
    <t>61.967.686/0001-89</t>
  </si>
  <si>
    <t>000000040446-NF-1</t>
  </si>
  <si>
    <t>DOC. ORI. 000000048078-PD</t>
  </si>
  <si>
    <t>NB COMERCIAL DE TINTAS LTDA</t>
  </si>
  <si>
    <t>000000040375-NF-1</t>
  </si>
  <si>
    <t>DOC. ORI. 000000047998-PD</t>
  </si>
  <si>
    <t>NUCLEO BANDEIRANTE</t>
  </si>
  <si>
    <t>03.651.611/0001-98</t>
  </si>
  <si>
    <t>VERNIZ BASE SINTETICO 18L BRASILUX-21,94-ST</t>
  </si>
  <si>
    <t>NILSON CAETANO ROSA 221.928.911-72</t>
  </si>
  <si>
    <t>000000040075-NF-1</t>
  </si>
  <si>
    <t>DOC. ORI. 000000047679-PD</t>
  </si>
  <si>
    <t>44.851.622/0001-07</t>
  </si>
  <si>
    <t>ADESIVO INST 20G 793 BICO ANTIENTUPIMENTO TEKBOND</t>
  </si>
  <si>
    <t>NILTON JOSE DOS REIS ME</t>
  </si>
  <si>
    <t>(61) 3335-1032</t>
  </si>
  <si>
    <t>000000039687-NF-1</t>
  </si>
  <si>
    <t>DOC. ORI. 000000047351-PD</t>
  </si>
  <si>
    <t>03.009.830/0001-78</t>
  </si>
  <si>
    <t>THINNER 454 5L LAZZURIL</t>
  </si>
  <si>
    <t>000000040015-NF-1</t>
  </si>
  <si>
    <t>DOC. ORI. 000000047651-PD</t>
  </si>
  <si>
    <t>CATALISADOR P512 150ML ROBERLO</t>
  </si>
  <si>
    <t>PRIMER P512 PU 5:1 750ML ROBERLO</t>
  </si>
  <si>
    <t>000000040315-NF-1</t>
  </si>
  <si>
    <t>DOC. ORI. 000000047948-PD</t>
  </si>
  <si>
    <t>NOEMIA DE AGUIAR BRANDAO DOS SANTOS</t>
  </si>
  <si>
    <t>000000040046-NF-1</t>
  </si>
  <si>
    <t>DOC. ORI. 000000047691-PD</t>
  </si>
  <si>
    <t>51.508.532/0001-75</t>
  </si>
  <si>
    <t>METALICO-OURO ANTIGO MET FD 74 3,6L BRASILUX</t>
  </si>
  <si>
    <t>TRINCHA 319 1  PINTURA ESMALTE 319/3 ATLAS</t>
  </si>
  <si>
    <t>TRINCHA 319 3/4  PINTURA ESMALTE 319/2 ATLAS</t>
  </si>
  <si>
    <t>000000040048-NF-1</t>
  </si>
  <si>
    <t>DOC. ORI. 000000047689-PD</t>
  </si>
  <si>
    <t>TINTA EM PO POLIESTER - ALUMINIO CROMADO 25KG</t>
  </si>
  <si>
    <t>TINTA EM PO POLIESTER - PRETO N1 TEXTURIZADO 25KG</t>
  </si>
  <si>
    <t>NOVA FAST COMERCIO DE TINTAS LTDA</t>
  </si>
  <si>
    <t>(61) 3877-3408</t>
  </si>
  <si>
    <t>000000039634-NF-1</t>
  </si>
  <si>
    <t>DOC. ORI. 000000047316-PD</t>
  </si>
  <si>
    <t>43.973.583/0001-40</t>
  </si>
  <si>
    <t>000000039635-NF-1</t>
  </si>
  <si>
    <t>DOC. ORI. 000000047318-PD</t>
  </si>
  <si>
    <t>000000040350-NF-1</t>
  </si>
  <si>
    <t>DOC. ORI. 000000047971-PD</t>
  </si>
  <si>
    <t>REVELAX 500ML VONIXX</t>
  </si>
  <si>
    <t>000000040471-NF-1</t>
  </si>
  <si>
    <t>DOC. ORI. 000000048113-PD</t>
  </si>
  <si>
    <t>NOVA IMPERIO DF SOM E ACESSORIOS LTDA</t>
  </si>
  <si>
    <t>(61)98464-4988</t>
  </si>
  <si>
    <t>000000040422-NF-1</t>
  </si>
  <si>
    <t>DOC. ORI. 000000048043-PD</t>
  </si>
  <si>
    <t>23.615.737/0001-14</t>
  </si>
  <si>
    <t>THINNER 6028 DILUENTE 18L BRASILUX</t>
  </si>
  <si>
    <t>NYL FERRAGENS LTDA</t>
  </si>
  <si>
    <t>000000040333-NF-1</t>
  </si>
  <si>
    <t>DOC. ORI. 000000047970-PD</t>
  </si>
  <si>
    <t>RIACHO FUNDO II</t>
  </si>
  <si>
    <t>14.372.578/0001-83</t>
  </si>
  <si>
    <t>BRASICAR-EMBORRACHAMENTO BRANCO 900ML BRASILUX</t>
  </si>
  <si>
    <t>O.S COSTA COMERCIO E SERVICOS DE EQUIPAMENTOS CONTRA INC.</t>
  </si>
  <si>
    <t>000000039864-NF-1</t>
  </si>
  <si>
    <t>DOC. ORI. 000000047515-PD</t>
  </si>
  <si>
    <t>58.347.163/0001-25</t>
  </si>
  <si>
    <t>OCTAVIO A DE SOUZA ELETRICA E HIDRAULICA</t>
  </si>
  <si>
    <t>000000039689-NF-1</t>
  </si>
  <si>
    <t>DOC. ORI. 000000047360-PD</t>
  </si>
  <si>
    <t>SETOR HABITACIONAL SOL NASCENTE (CEILÂNDIA)</t>
  </si>
  <si>
    <t>51.957.667/0001-18</t>
  </si>
  <si>
    <t>OTTO IMPERMIABILIZACAO HIDRAUKICA ELETRICA FERRAGENS LTDA</t>
  </si>
  <si>
    <t>000000040041-NF-1</t>
  </si>
  <si>
    <t>DOC. ORI. 000000047669-PD</t>
  </si>
  <si>
    <t>35.049.868/0001-60</t>
  </si>
  <si>
    <t>ROLO TEXTURA MEDIA 23CM 110/65 ATLAS</t>
  </si>
  <si>
    <t>PAINT COMERCIO ATACADISTA DE TINTAS LTDA</t>
  </si>
  <si>
    <t>000000039827-NF-1</t>
  </si>
  <si>
    <t>DOC. ORI. 000000047477-PD</t>
  </si>
  <si>
    <t>60.275.431/0001-92</t>
  </si>
  <si>
    <t>LIXA FERRO Nº 36 3M</t>
  </si>
  <si>
    <t>PARANOA TINTAS LTDA</t>
  </si>
  <si>
    <t>(61) 3049-5095</t>
  </si>
  <si>
    <t>000000040022-NF-1</t>
  </si>
  <si>
    <t>DOC. ORI. 000000047664-PD</t>
  </si>
  <si>
    <t>PARANOA</t>
  </si>
  <si>
    <t>18.325.711/0001-00</t>
  </si>
  <si>
    <t>000000040023-NF-1</t>
  </si>
  <si>
    <t>DOC. ORI. 000000047659-PD</t>
  </si>
  <si>
    <t>BRASI-BRILHO VERNIZ ACRILICO 900 ML-BRASILUX</t>
  </si>
  <si>
    <t>BRASIMIX IMOBILIARIO-AMARELO RT 900ML BRASILUX</t>
  </si>
  <si>
    <t>BRASIMIX IMOBILIARIO-AZUL MS 900ML BRASILUX</t>
  </si>
  <si>
    <t>BRASIMIX IMOBILIARIO-PRETO TT 900ML BRASILUX</t>
  </si>
  <si>
    <t>BRASIMIX IMOBILIARIO-VERDE LS 900ML BRASILUX</t>
  </si>
  <si>
    <t>BRASIMIX IMOBILIARIO-VERMELHO VT 900ML BRASILUX</t>
  </si>
  <si>
    <t>TINTA TECNICA ESPECIAL KIT PU PISCINA BRANCO 4,5L BRASILUX</t>
  </si>
  <si>
    <t>PATRICIA CARLA CARLA MENDES</t>
  </si>
  <si>
    <t>000000040429-NF-1</t>
  </si>
  <si>
    <t>DOC. ORI. 000000048055-PD</t>
  </si>
  <si>
    <t>29.266.193/0001-09</t>
  </si>
  <si>
    <t>BRASIMOB-VERDE COLONIAL 3,6L BRASILUX</t>
  </si>
  <si>
    <t>PAULO ROBERTO FERNANDES RODRIGUES</t>
  </si>
  <si>
    <t>000000039821-NF-1</t>
  </si>
  <si>
    <t>DOC. ORI. 000000047478-PD</t>
  </si>
  <si>
    <t>29.917.045/0001-07</t>
  </si>
  <si>
    <t>CATALISADOR P/ ESMALTE SINTETICO 900ML BRASILUX</t>
  </si>
  <si>
    <t>000000040010-NF-1</t>
  </si>
  <si>
    <t>DOC. ORI. 000000047657-PD</t>
  </si>
  <si>
    <t>BRASILINE ESMALTE AZUL FRANÇA 3,6L BRASILUX</t>
  </si>
  <si>
    <t>PAULO VICTOR RODRIGUES FERNANDES ME</t>
  </si>
  <si>
    <t>000000040245-NF-1</t>
  </si>
  <si>
    <t>DOC. ORI. 000000047893-PD</t>
  </si>
  <si>
    <t>08.888.669/0001-73</t>
  </si>
  <si>
    <t>PERFIL FERRAGENS, FERRAMENTAS LTDA</t>
  </si>
  <si>
    <t>000000040052-NF-1</t>
  </si>
  <si>
    <t>DOC. ORI. 000000047692-PD</t>
  </si>
  <si>
    <t>43.407.532/0001-50</t>
  </si>
  <si>
    <t>PH SERVIÇOS AUTOMOTIVOS LTDA</t>
  </si>
  <si>
    <t>000000039686-NF-1</t>
  </si>
  <si>
    <t>DOC. ORI. 000000047349-PD</t>
  </si>
  <si>
    <t>44.302.134/0001-32</t>
  </si>
  <si>
    <t>POLO DAS TINTAS LTDA</t>
  </si>
  <si>
    <t>(61) 3242-6024</t>
  </si>
  <si>
    <t>000000040117-NF-1</t>
  </si>
  <si>
    <t>DOC. ORI. 000000047749-PD</t>
  </si>
  <si>
    <t>03.329.163/0001-00</t>
  </si>
  <si>
    <t>PREMIER VEICULOS LTDA</t>
  </si>
  <si>
    <t>(61) 3961-1033</t>
  </si>
  <si>
    <t>000000040161-NF-1</t>
  </si>
  <si>
    <t>DOC. ORI. 000000047777-PD</t>
  </si>
  <si>
    <t>SIA/SUL</t>
  </si>
  <si>
    <t>02.203.159/0001-39</t>
  </si>
  <si>
    <t>PRIMEIRO NIVEL ARQUITETURA E ENGENHARIA LTDA</t>
  </si>
  <si>
    <t>000000040257-NF-1</t>
  </si>
  <si>
    <t>DOC. ORI. 000000047885-PD</t>
  </si>
  <si>
    <t>31.565.821/0001-07</t>
  </si>
  <si>
    <t>LIXA SECO 230U MASSA/MADEIRA Nº 150 3M</t>
  </si>
  <si>
    <t>PAPELAO ONDULADO SEMIKRAFT 1,20X20KG</t>
  </si>
  <si>
    <t>R.A.J GESTAO DE NEGOCIOS LTDA</t>
  </si>
  <si>
    <t>(61)98509-3213</t>
  </si>
  <si>
    <t>000000039908-NF-1</t>
  </si>
  <si>
    <t>DOC. ORI. 000000047545-PD</t>
  </si>
  <si>
    <t>AREAL (ÁGUAS CLARAS)</t>
  </si>
  <si>
    <t>56.109.434/0001-89</t>
  </si>
  <si>
    <t>000000040265-NF-1</t>
  </si>
  <si>
    <t>DOC. ORI. 000000047901-PD</t>
  </si>
  <si>
    <t>BANDEJA P/ PINTURA DE PLASTICO PRETA 2,7L 1523P ATLAS</t>
  </si>
  <si>
    <t>ROLO DE LA MISTA 23CM 228/22 ATLAS</t>
  </si>
  <si>
    <t>ROLO ESPUMA POLYESTER CINZA 9CM 406/9 ATLAS</t>
  </si>
  <si>
    <t>000000040528-NF-1</t>
  </si>
  <si>
    <t>DOC. ORI. 000000048173-PD</t>
  </si>
  <si>
    <t>BRASILINE-PRETO BRILHANTE N1 3,6L BRASILUX</t>
  </si>
  <si>
    <t>R.P.A CONSTRUTORA E SERVIÇOS TERCEIRIZADOS LTDA</t>
  </si>
  <si>
    <t>000000039845-NF-1</t>
  </si>
  <si>
    <t>DOC. ORI. 000000047500-PD</t>
  </si>
  <si>
    <t>28.313.205/0001-46</t>
  </si>
  <si>
    <t>RAFAEL DA SILVA PEREIRA DIAS</t>
  </si>
  <si>
    <t>000000040347-NF-1</t>
  </si>
  <si>
    <t>DOC. ORI. 000000047945-PD</t>
  </si>
  <si>
    <t>54.422.908/0001-12</t>
  </si>
  <si>
    <t>RAMOS &amp; MARINHO FUNILARIA E PINTURA LTDA</t>
  </si>
  <si>
    <t>000000039699-NF-1</t>
  </si>
  <si>
    <t>DOC. ORI. 000000047348-PD</t>
  </si>
  <si>
    <t>VILA RICA</t>
  </si>
  <si>
    <t>45.546.064/0001-20</t>
  </si>
  <si>
    <t>000000040317-NF-1</t>
  </si>
  <si>
    <t>DOC. ORI. 000000047927-PD</t>
  </si>
  <si>
    <t>000000040379-NF-1</t>
  </si>
  <si>
    <t>DOC. ORI. 000000047950-PD</t>
  </si>
  <si>
    <t>KIT VERNIZ ALTO SOLIDO 13.000+130 900ML+450ML SKY-21,46-ST</t>
  </si>
  <si>
    <t>REAL COMERCIO E INSTALACOES INDUSTRIAL LTDAME</t>
  </si>
  <si>
    <t>000000040377-NF-1</t>
  </si>
  <si>
    <t>DOC. ORI. 000000048006-PD</t>
  </si>
  <si>
    <t>10.264.667/0001-55</t>
  </si>
  <si>
    <t>REFORMA  LOJA CEILÂNDIA</t>
  </si>
  <si>
    <t>000000021621-FF-1</t>
  </si>
  <si>
    <t>NA</t>
  </si>
  <si>
    <t>00.000.000/0000-00</t>
  </si>
  <si>
    <t>53BB 36/004 GL 53BB 36/004 NOVO DECORA EFEITO CIMENTO QUEIMADO CI ON.00.58 CULTURA GREGA CR DECORA E</t>
  </si>
  <si>
    <t>72RR 13/253 GL 72RR 13/253 DECORA EFEITO MARMORE MARMORE A7.25.32 VINHO SOFISTICADO CR DECORA EFEITO</t>
  </si>
  <si>
    <t>80GG 19/231 GL 80GG 19/231 DECORA EFEITO VELVET/NUAGE VELVET N7.31.40 JOIA DA COROA CR DECORA EFEITO</t>
  </si>
  <si>
    <t>BRASILAR-BRANCO GELO FOSCO 3,6L BRASILUX</t>
  </si>
  <si>
    <t>BRASIMAIS-BRANCO NEVE 3,6L BRASILUX</t>
  </si>
  <si>
    <t>CETOL DECK SEMIBRILHO NATURAL 900ML</t>
  </si>
  <si>
    <t>DESEMPENADEIRA ACO LISA 12X35 AT248/2 ATLAS FL</t>
  </si>
  <si>
    <t>DESEMPENADEIRA METAL TRAPEZIO EFEITOS AT111 ATLAS</t>
  </si>
  <si>
    <t>ESCADA DE ALUMINIO C/ 7 DEGRAUS BOTAFOGO</t>
  </si>
  <si>
    <t>RENATO FERREIRA DE SOUSA</t>
  </si>
  <si>
    <t>000000039876-NF-1</t>
  </si>
  <si>
    <t>DOC. ORI. 000000047522-PD</t>
  </si>
  <si>
    <t>30.724.024/0001-54</t>
  </si>
  <si>
    <t>LIXA SECO 230U MASSA/MADEIRA Nº 060 3M</t>
  </si>
  <si>
    <t>RIACHO TINTAS LTDA</t>
  </si>
  <si>
    <t>000000040070-NF-1</t>
  </si>
  <si>
    <t>DOC. ORI. 000000047694-PD</t>
  </si>
  <si>
    <t>03.073.454/0005-04</t>
  </si>
  <si>
    <t>000000040086-NF-1</t>
  </si>
  <si>
    <t>DOC. ORI. 000000047720-PD</t>
  </si>
  <si>
    <t>000000040246-NF-1</t>
  </si>
  <si>
    <t>DOC. ORI. 000000047896-PD</t>
  </si>
  <si>
    <t>03.073.454/0001-80</t>
  </si>
  <si>
    <t>000000040297-NF-1</t>
  </si>
  <si>
    <t>DOC. ORI. 000000047921-PD</t>
  </si>
  <si>
    <t>BRASPISO CINZA ACETINADO BALDE 18L BRASILUX</t>
  </si>
  <si>
    <t>BRASPISO VERMELHO QUADRA ACETINADO BALDE 18L BRASILUX</t>
  </si>
  <si>
    <t>000000040319-NF-1</t>
  </si>
  <si>
    <t>DOC. ORI. 000000047957-PD</t>
  </si>
  <si>
    <t>TINTA DEMARCACAO VIARIA DNIT AMARELO BALDE 18L BRASILUX</t>
  </si>
  <si>
    <t>000000040321-NF-1</t>
  </si>
  <si>
    <t>DOC. ORI. 000000047951-PD</t>
  </si>
  <si>
    <t>000000040363-NF-1</t>
  </si>
  <si>
    <t>DOC. DEV. 000000040297-NF</t>
  </si>
  <si>
    <t>000000040376-NF-1</t>
  </si>
  <si>
    <t>DOC. ORI. 000000048002-PD</t>
  </si>
  <si>
    <t>000000040447-NF-1</t>
  </si>
  <si>
    <t>DOC. ORI. 000000048081-PD</t>
  </si>
  <si>
    <t>RICARDO DE SOUZA O. MACARIO</t>
  </si>
  <si>
    <t>000000039661-NF-1</t>
  </si>
  <si>
    <t>DOC. ORI. 000000047331-PD</t>
  </si>
  <si>
    <t>30.461.163/0001-32</t>
  </si>
  <si>
    <t>FILME PLÁSTICO AUTO 4MX80M 3M-25,60-ST</t>
  </si>
  <si>
    <t>000000039932-NF-1</t>
  </si>
  <si>
    <t>DOC. ORI. 000000047563-PD</t>
  </si>
  <si>
    <t>HARDENER CLASSIC 500ML SIKKENS</t>
  </si>
  <si>
    <t>MASSA POLYKIT CLASSIC 2K SIKKENS</t>
  </si>
  <si>
    <t>000000040123-NF-1</t>
  </si>
  <si>
    <t>DOC. ORI. 000000047752-PD</t>
  </si>
  <si>
    <t>000000040370-NF-1</t>
  </si>
  <si>
    <t>DOC. ORI. 000000047966-PD</t>
  </si>
  <si>
    <t>AUTOCLEAR CLASSIC VERNIZ FAST 900ML SIKKENS-21,46-ST</t>
  </si>
  <si>
    <t>DOC. ORI. 000000047993-PD</t>
  </si>
  <si>
    <t>HARDENER CLASSIC VERNIZ FAST 300ML SIKKENS</t>
  </si>
  <si>
    <t>RIOCOR COMERCIAL DE TINTAS LTDA</t>
  </si>
  <si>
    <t>000000039971-NF-1</t>
  </si>
  <si>
    <t>DOC. ORI. 000000047615-PD</t>
  </si>
  <si>
    <t>03.706.713/0001-63</t>
  </si>
  <si>
    <t>TINTA DEMARCACAO VIARIA DNIT BRANCO BALDE 18L BRASILUX</t>
  </si>
  <si>
    <t>RS AUTO COMERCIO DE TINTAS AUTOMOTIVAS EIRELI</t>
  </si>
  <si>
    <t>000000039708-NF-1</t>
  </si>
  <si>
    <t>DOC. ORI. 000000047363-PD</t>
  </si>
  <si>
    <t>31.702.304/0001-24</t>
  </si>
  <si>
    <t>000000039982-NF-1</t>
  </si>
  <si>
    <t>DOC. ORI. 000000047612-PD</t>
  </si>
  <si>
    <t>LAZZUDUR POLIESTER VERMELHO FLASH IV LISA 900ML</t>
  </si>
  <si>
    <t>000000040418-NF-1</t>
  </si>
  <si>
    <t>DOC. ORI. 000000048036-PD</t>
  </si>
  <si>
    <t>BP BRANCO ARTICO FORD 1998 900ML WANDA-21,94-ST</t>
  </si>
  <si>
    <t>RS COMERCIO DE TINTAS E FERRAMENTAS LTDA</t>
  </si>
  <si>
    <t>000000040006-NF-1</t>
  </si>
  <si>
    <t>DOC. ORI. 000000047645-PD</t>
  </si>
  <si>
    <t>JARDIM OURO BRANCO</t>
  </si>
  <si>
    <t>35.145.250/0001-02</t>
  </si>
  <si>
    <t>SKYMIX PU AMARELO MEDIO 3,600ML 308-21,94-ST</t>
  </si>
  <si>
    <t>SKYMIX PU340 BRANCO PURO 3,600ML</t>
  </si>
  <si>
    <t>RUI ROCHA QUEIROZ</t>
  </si>
  <si>
    <t>000000040200-NF-1</t>
  </si>
  <si>
    <t>DOC. ORI. 000000047836-PD</t>
  </si>
  <si>
    <t>VEREDAS (BRAZLÂNDIA)</t>
  </si>
  <si>
    <t>62.049.569/0001-07</t>
  </si>
  <si>
    <t>CORANTE LIQUIDO XADREZ AMARELO 50ML</t>
  </si>
  <si>
    <t>CORANTE LIQUIDO XADREZ MARROM 50ML</t>
  </si>
  <si>
    <t>CORANTE LIQUIDO XADREZ OCRE 50ML</t>
  </si>
  <si>
    <t>CORANTE LIQUIDO XADREZ PRETO 50ML</t>
  </si>
  <si>
    <t>CORANTE LIQUIDO XADREZ VERDE 50ML</t>
  </si>
  <si>
    <t>RVA BRASILIA CONTRUÇOES  LTDA</t>
  </si>
  <si>
    <t>000000039873-NF-1</t>
  </si>
  <si>
    <t>DOC. ORI. 000000047480-PD</t>
  </si>
  <si>
    <t>26.392.234/0001-15</t>
  </si>
  <si>
    <t>ACRILAR-BRANCO NEVE ACETINADO 3,6L BRASILUX</t>
  </si>
  <si>
    <t>BRASPISO BRANCO ACETINADO 3,6L BRASILUX</t>
  </si>
  <si>
    <t>TINTA DEMARCACAO VIARIA DNIT AMARELO REFLETIVO 3,6L BRASILUX</t>
  </si>
  <si>
    <t>SANTISSIMO COMERCIO DE TINTAS LTDA</t>
  </si>
  <si>
    <t>(61) 3487-1442</t>
  </si>
  <si>
    <t>000000039798-NF-1</t>
  </si>
  <si>
    <t>DOC. ORI. 000000047456-PD</t>
  </si>
  <si>
    <t>28.029.101/0001-04</t>
  </si>
  <si>
    <t>000000040222-NF-1</t>
  </si>
  <si>
    <t>DOC. ORI. 000000047865-PD</t>
  </si>
  <si>
    <t>SAO JOSE MATERIAL ELETRICO, HIDRAULICO E SERVICOS LTDA</t>
  </si>
  <si>
    <t>000000039902-NF-1</t>
  </si>
  <si>
    <t>DOC. ORI. 000000047531-PD</t>
  </si>
  <si>
    <t>VILA SÃO JOSÉ (VICENTE PIRES)</t>
  </si>
  <si>
    <t>46.035.311/0001-97</t>
  </si>
  <si>
    <t>LAZZUDUR POLIESTER PRATA GEADA III MET 900ML</t>
  </si>
  <si>
    <t>000000040264-NF-1</t>
  </si>
  <si>
    <t>DOC. ORI. 000000047895-PD</t>
  </si>
  <si>
    <t>SD COMERCIO DE TINTAS LTDA</t>
  </si>
  <si>
    <t>000000040308-NF-1</t>
  </si>
  <si>
    <t>DOC. ORI. 000000047939-PD</t>
  </si>
  <si>
    <t>14.261.243/0001-98</t>
  </si>
  <si>
    <t>BRASIMIX BU-BRANCO PURO 3,6L BRASILUX</t>
  </si>
  <si>
    <t>SERTAO AUTO PECAS LTDA</t>
  </si>
  <si>
    <t>000000039752-NF-1</t>
  </si>
  <si>
    <t>DOC. ORI. 000000047414-PD</t>
  </si>
  <si>
    <t>11.232.499/0001-89</t>
  </si>
  <si>
    <t>KIT VERNIZ 6100 E END 610 150ML LAZZURIL-21,94-ST</t>
  </si>
  <si>
    <t>000000039941-NF-1</t>
  </si>
  <si>
    <t>DOC. ORI. 000000047584-PD</t>
  </si>
  <si>
    <t>DISCO TRIZACT P1500 152MM 3M</t>
  </si>
  <si>
    <t>000000040426-NF-1</t>
  </si>
  <si>
    <t>DOC. ORI. 000000048045-PD</t>
  </si>
  <si>
    <t>FITA DUPLA FACE 4910 VHB 9.5MMX33M 3M</t>
  </si>
  <si>
    <t>MASSA RAPIDA PLUS 1,25KG ANJO</t>
  </si>
  <si>
    <t>PANO PEGA POEIRA BRAZILIAN FL</t>
  </si>
  <si>
    <t>SIEL COMERCIO ELETRONICOS LTDA</t>
  </si>
  <si>
    <t>000000039952-NF-1</t>
  </si>
  <si>
    <t>DOC. ORI. 000000047596-PD</t>
  </si>
  <si>
    <t>41.331.196/0001-84</t>
  </si>
  <si>
    <t>SPRAY COLOR PRETO RAPIDO 300ML LAZZURIL</t>
  </si>
  <si>
    <t>000000039980-NF-1</t>
  </si>
  <si>
    <t>DOC. ORI. 000000047618-PD</t>
  </si>
  <si>
    <t>SOLAR MATRIZ COMERCIO DE TINTAS LTDA</t>
  </si>
  <si>
    <t>000000040499-NF-1</t>
  </si>
  <si>
    <t>DOC. ORI. 000000048128-PD</t>
  </si>
  <si>
    <t>39.642.197/0006-02</t>
  </si>
  <si>
    <t>SOLAR TINTAS MATERIAIS PARA CONSTRUCAO LTDA</t>
  </si>
  <si>
    <t>(61) 3485-0167</t>
  </si>
  <si>
    <t>000000040057-NF-1</t>
  </si>
  <si>
    <t>DOC. ORI. 000000047702-PD</t>
  </si>
  <si>
    <t>ITAPOÃ I</t>
  </si>
  <si>
    <t>35.472.591/0001-84</t>
  </si>
  <si>
    <t>2,770 UN 044180 RENAULT 1997 AZUL ROYAL 460 EPOXI  02E2E157B7506E73412CA9511A384570 15/09/2023 S 0 C</t>
  </si>
  <si>
    <t>SOLAR TINTAS UNAI</t>
  </si>
  <si>
    <t>000000039968-NF-1</t>
  </si>
  <si>
    <t>DOC. ORI. 000000047605-PD</t>
  </si>
  <si>
    <t>45.554.743/0001-41</t>
  </si>
  <si>
    <t>BRASICAR-WASHPRIMER AMARELO 3,6L BRASILUX</t>
  </si>
  <si>
    <t>SOLUCAO CONSERTO DE TENIS E CALCADOS EM GERAL LTDA ME</t>
  </si>
  <si>
    <t>000000040455-NF-1</t>
  </si>
  <si>
    <t>DOC. ORI. 000000048084-PD</t>
  </si>
  <si>
    <t>10.623.094/0001-09</t>
  </si>
  <si>
    <t>STATUS PRESTACAO DE SERVICOS ELETRICOS ,REFORMAS LTDA</t>
  </si>
  <si>
    <t>000000040380-NF-1</t>
  </si>
  <si>
    <t>DOC. ORI. 000000048007-PD</t>
  </si>
  <si>
    <t>51.999.567/0001-54</t>
  </si>
  <si>
    <t>000000040385-NF-1</t>
  </si>
  <si>
    <t>DOC. ORI. 000000048019-PD</t>
  </si>
  <si>
    <t>DOC. ORI. 000000048020-PD</t>
  </si>
  <si>
    <t>TELAS E TOLDOS - COMERCIO E INDUSTRIA LTDA</t>
  </si>
  <si>
    <t>000000039801-NF-1</t>
  </si>
  <si>
    <t>DOC. ORI. 000000047463-PD</t>
  </si>
  <si>
    <t>PARANOÁ</t>
  </si>
  <si>
    <t>16.758.395/0001-26</t>
  </si>
  <si>
    <t>BRASIMOB-AMARELO SEGURANCA 3,6L BRASILUX</t>
  </si>
  <si>
    <t>BRASIMOB-AZUL DEL REY 18L BRASILUX</t>
  </si>
  <si>
    <t>TINTA EM PO POLIESTER - PRETO SEMI BRILHO POLIESTER TEXTURIZADO 25KG</t>
  </si>
  <si>
    <t>TOK COMERCIO DE TINTAS LTDA</t>
  </si>
  <si>
    <t>000000040067-NF-1</t>
  </si>
  <si>
    <t>DOC. ORI. 000000047697-PD</t>
  </si>
  <si>
    <t>49.774.221/0001-06</t>
  </si>
  <si>
    <t>000000040311-NF-1</t>
  </si>
  <si>
    <t>DOC. ORI. 000000047930-PD</t>
  </si>
  <si>
    <t>000000040465-NF-1</t>
  </si>
  <si>
    <t>DOC. ORI. 000000048118-PD</t>
  </si>
  <si>
    <t>GALVFORT-BRANCO PURO N9,5 3,6L BRASILUX</t>
  </si>
  <si>
    <t>TOP SAUDE ACADEMIA LTDA</t>
  </si>
  <si>
    <t>000000040227-NF-1</t>
  </si>
  <si>
    <t>DOC. ORI. 000000047867-PD</t>
  </si>
  <si>
    <t>VILA SAO JOSE (BRAZLANDIA)</t>
  </si>
  <si>
    <t>11.085.266/0001-09</t>
  </si>
  <si>
    <t>000000040439-NF-1</t>
  </si>
  <si>
    <t>DOC. ORI. 000000048072-PD</t>
  </si>
  <si>
    <t>TRADO ENGENHARIA CONSTRUCOES LTDA</t>
  </si>
  <si>
    <t>000000039768-NF-1</t>
  </si>
  <si>
    <t>DOC. ORI. 000000047431-PD</t>
  </si>
  <si>
    <t>CEILANDIA SUL</t>
  </si>
  <si>
    <t>41.171.967/0001-13</t>
  </si>
  <si>
    <t>BRASICAR-PRETO FOSCO VINILICO 600ML BRASILUX</t>
  </si>
  <si>
    <t>LAZZUDUR POLIESTER CINZA TRANCOSO MET 900ML</t>
  </si>
  <si>
    <t>TACO LIXADOR MANUAL MACIO P/ LIXAS 1200 A 2500 70X130MM PURPLEX</t>
  </si>
  <si>
    <t>WASHPRIMER AMARELO 600ML BRASICAR</t>
  </si>
  <si>
    <t>000000040040-NF-1</t>
  </si>
  <si>
    <t>DOC. ORI. 000000047687-PD</t>
  </si>
  <si>
    <t>000000040102-NF-1</t>
  </si>
  <si>
    <t>DOC. ORI. 000000047736-PD</t>
  </si>
  <si>
    <t>000000040103-NF-1</t>
  </si>
  <si>
    <t>DOC. ORI. 000000047741-PD</t>
  </si>
  <si>
    <t>000000040196-NF-1</t>
  </si>
  <si>
    <t>DOC. ORI. 000000047835-PD</t>
  </si>
  <si>
    <t>MULTI USE FILLER HS CINZA CLARO 3LT -21,94-ST</t>
  </si>
  <si>
    <t>000000040197-NF-1</t>
  </si>
  <si>
    <t>DOC. ORI. 000000047837-PD</t>
  </si>
  <si>
    <t>MÁSCARA DE PROTEÇÃO RESPIRATÓRIA COM VÁLVULA 9822 PFF-2 3M</t>
  </si>
  <si>
    <t>000000040352-NF-1</t>
  </si>
  <si>
    <t>DOC. ORI. 000000047991-PD</t>
  </si>
  <si>
    <t>ALUMAX 5L VONIXX</t>
  </si>
  <si>
    <t>DOC. ORI. 000000047988-PD</t>
  </si>
  <si>
    <t>CHERRY WAX 1L ZACS</t>
  </si>
  <si>
    <t>DOC. ORI. 000000047989-PD</t>
  </si>
  <si>
    <t>COPO DE MISTURA 1,5L WANDA</t>
  </si>
  <si>
    <t>000000040353-NF-1</t>
  </si>
  <si>
    <t>DOC. ORI. 000000047987-PD</t>
  </si>
  <si>
    <t>LAZZUDUR PU PRETO VULCANO 675ML</t>
  </si>
  <si>
    <t>000000040438-NF-1</t>
  </si>
  <si>
    <t>DOC. ORI. 000000048073-PD</t>
  </si>
  <si>
    <t>000000040520-NF-1</t>
  </si>
  <si>
    <t>DOC. ORI. 000000048155-PD</t>
  </si>
  <si>
    <t>TRANSPORTADORA TRANS ELETRO LTDA</t>
  </si>
  <si>
    <t>000000039663-NF-1</t>
  </si>
  <si>
    <t>DOC. ORI. 000000047334-PD</t>
  </si>
  <si>
    <t>09096 - GUARULHOS-SP</t>
  </si>
  <si>
    <t>JARDIM IV CENTENÁRIO</t>
  </si>
  <si>
    <t>29.299.048/0004-77</t>
  </si>
  <si>
    <t>WANDABASE MM 2624 AZUL RUBIN TR. II 3,6L-21,45-ST</t>
  </si>
  <si>
    <t>TVA CONSTRUCAO EIRELI</t>
  </si>
  <si>
    <t>000000040225-NF-1</t>
  </si>
  <si>
    <t>DOC. ORI. 000000047869-PD</t>
  </si>
  <si>
    <t>09.366.582/0001-07</t>
  </si>
  <si>
    <t>000000040285-NF-1</t>
  </si>
  <si>
    <t>DOC. ORI. 000000047925-PD</t>
  </si>
  <si>
    <t>LA RENDE MUITO PM SUV D 383 BODAS DE PRATA - SUV CR RENDE MUITO LOC PM BASE PM 16L</t>
  </si>
  <si>
    <t>TRINCHA 315 2 1/2  PINTURA RECORTE E ACAB. PLUMATEK AT315/6 ATLAS</t>
  </si>
  <si>
    <t>UNIMAN CONSTRUCOES EIRELI.</t>
  </si>
  <si>
    <t>(61) 3968-5009</t>
  </si>
  <si>
    <t>000000039694-NF-1</t>
  </si>
  <si>
    <t>DOC. ORI. 000000047366-PD</t>
  </si>
  <si>
    <t>SETOR DE HABITACOES INDIVIDUAI</t>
  </si>
  <si>
    <t>11.866.924/0001-91</t>
  </si>
  <si>
    <t>000000039829-NF-1</t>
  </si>
  <si>
    <t>DOC. DEV. 000000039694-NF</t>
  </si>
  <si>
    <t>000000040035-NF-1</t>
  </si>
  <si>
    <t>DOC. DEV. 000000037645-NF</t>
  </si>
  <si>
    <t>UNIVERSO DOS EQUIPAMENTOS LTDA</t>
  </si>
  <si>
    <t>000000040531-NF-1</t>
  </si>
  <si>
    <t>DOC. ORI. 000000048181-PD</t>
  </si>
  <si>
    <t>48.534.765/0001-38</t>
  </si>
  <si>
    <t>GALVFORT-PRETO N1 3,6L BRASILUX</t>
  </si>
  <si>
    <t>VANDERLEIDE ECILDA DE CARVALHO PESSOA</t>
  </si>
  <si>
    <t>(61) 3536-2337</t>
  </si>
  <si>
    <t>000000040112-NF-1</t>
  </si>
  <si>
    <t>DOC. ORI. 000000047727-PD</t>
  </si>
  <si>
    <t>ST HABITAC VICENTE P</t>
  </si>
  <si>
    <t>31.289.467/0001-27</t>
  </si>
  <si>
    <t>LIXADOR MANUAL GRANDE C/ PRESILHA 243X105MM PURPLEX</t>
  </si>
  <si>
    <t>000000040374-NF-1</t>
  </si>
  <si>
    <t>DOC. ORI. 000000048005-PD</t>
  </si>
  <si>
    <t>HARDENER CLASSIC FAST 225ML SIKKENS (PRIMER)</t>
  </si>
  <si>
    <t>PRIMER CLASSIC FAST 900ML SIKKENS-21,46-ST</t>
  </si>
  <si>
    <t>000000040408-NF-1</t>
  </si>
  <si>
    <t>DOC. DEV. 000000040374-NF</t>
  </si>
  <si>
    <t>000000040413-NF-1</t>
  </si>
  <si>
    <t>DOC. ORI. 000000048039-PD</t>
  </si>
  <si>
    <t>VANESSA PEREIRA MATEUS COMERCIAL LTDA</t>
  </si>
  <si>
    <t>000000040359-NF-1</t>
  </si>
  <si>
    <t>DOC. ORI. 000000047965-PD</t>
  </si>
  <si>
    <t>33.631.983/0001-13</t>
  </si>
  <si>
    <t>DIRETO NA FERRUGEM PRETO 900ML BRASILUX</t>
  </si>
  <si>
    <t>SPRAY COLOR BRANCO ACABAMENTO 300ML LAZZURIL</t>
  </si>
  <si>
    <t>SPRAY COLOR PRETO FOSCO 300ML LAZZURIL</t>
  </si>
  <si>
    <t>SPRAY COLOR VERNIZ RAPIDO 300ML LAZZURIL</t>
  </si>
  <si>
    <t>VASCONCELOS PRODUTOS AUTOMOTIVOS LTDA</t>
  </si>
  <si>
    <t>(61)98282-9667</t>
  </si>
  <si>
    <t>000000039816-NF-1</t>
  </si>
  <si>
    <t>DOC. ORI. 000000047464-PD</t>
  </si>
  <si>
    <t>28.289.442/0001-19</t>
  </si>
  <si>
    <t>000000039912-NF-1</t>
  </si>
  <si>
    <t>DOC. ORI. 000000047540-PD</t>
  </si>
  <si>
    <t>FITA ISOLANTE PRETO 18MMX10M UNIPEGA</t>
  </si>
  <si>
    <t>000000040008-NF-1</t>
  </si>
  <si>
    <t>DOC. ORI. 000000047653-PD</t>
  </si>
  <si>
    <t>V-ECO 1,5L VONIXX</t>
  </si>
  <si>
    <t>000000040156-NF-1</t>
  </si>
  <si>
    <t>DOC. ORI. 000000047782-PD</t>
  </si>
  <si>
    <t>000000040512-NF-1</t>
  </si>
  <si>
    <t>DOC. ORI. 000000048151-PD</t>
  </si>
  <si>
    <t>VOOMA COMERCIO E IMPORTACAO LTDA</t>
  </si>
  <si>
    <t>000000021542-FF-1</t>
  </si>
  <si>
    <t>DOC. ORI. 000000047372-PD</t>
  </si>
  <si>
    <t>24.596.749/0001-01</t>
  </si>
  <si>
    <t>PRIMER MULTIFILL AUTOCOLOR PPG</t>
  </si>
  <si>
    <t>000000021555-FF-1</t>
  </si>
  <si>
    <t>DOC. ORI. 000000047413-PD</t>
  </si>
  <si>
    <t>BRASIMAIS-BRANCO GELO 18L BALDE BRASILUX</t>
  </si>
  <si>
    <t>BRASIMOB-AMARELO OURO 900ML BRASILUX</t>
  </si>
  <si>
    <t>BRASIMOB-CINZA MEDIO 900ML BRASILUX</t>
  </si>
  <si>
    <t>000000040145-NF-1</t>
  </si>
  <si>
    <t>DOC. ORI. 000000047759-PD</t>
  </si>
  <si>
    <t>000000021655-FF-1</t>
  </si>
  <si>
    <t>DOC. ORI. 000000047840-PD</t>
  </si>
  <si>
    <t>MASSA DE POLIR N2 BRANCA 990GR PPG</t>
  </si>
  <si>
    <t>W B DE JESUS MATERIAS ELÉTRICOS E HIDRAULICO</t>
  </si>
  <si>
    <t>000000039745-NF-1</t>
  </si>
  <si>
    <t>DOC. ORI. 000000047407-PD</t>
  </si>
  <si>
    <t>18.282.898/0001-01</t>
  </si>
  <si>
    <t>W E W QUEIROZ TINTAS LIMITADA</t>
  </si>
  <si>
    <t>000000039706-NF-1</t>
  </si>
  <si>
    <t>DOC. ORI. 000000047377-PD</t>
  </si>
  <si>
    <t>GRANDE COLORADO (SOBRADINHO)</t>
  </si>
  <si>
    <t>42.009.786/0002-39</t>
  </si>
  <si>
    <t>ACRILAR-BASE A ACETINADO 3,24L BRASILUX</t>
  </si>
  <si>
    <t>ACRILAR-BASE B ACETINADO 3,24L BRASILUX</t>
  </si>
  <si>
    <t>000000039756-NF-1</t>
  </si>
  <si>
    <t>DOC. DEV. 000000039706-NF</t>
  </si>
  <si>
    <t>000000040081-NF-1</t>
  </si>
  <si>
    <t>DOC. ORI. 000000047706-PD</t>
  </si>
  <si>
    <t>ACRILAR-BASE A ACETINADO 810ML BRASILUX</t>
  </si>
  <si>
    <t>BANDEJA P/ PINTURA DE PLASTICO PRETA 1,3L 1415 ATLAS</t>
  </si>
  <si>
    <t>W. PEREIRA DO AMARAL LTDA</t>
  </si>
  <si>
    <t>000000039710-NF-1</t>
  </si>
  <si>
    <t>DOC. ORI. 000000047388-PD</t>
  </si>
  <si>
    <t>SETOR TRADICIONAL (PLANALTINA)</t>
  </si>
  <si>
    <t>62.024.172/0001-52</t>
  </si>
  <si>
    <t>000000039915-NF-1</t>
  </si>
  <si>
    <t>DOC. ORI. 000000047555-PD</t>
  </si>
  <si>
    <t>000000039960-NF-1</t>
  </si>
  <si>
    <t>DOC. ORI. 000000047597-PD</t>
  </si>
  <si>
    <t>000000040449-NF-1</t>
  </si>
  <si>
    <t>DOC. ORI. 000000048071-PD</t>
  </si>
  <si>
    <t>ESMALTE SINTETICO-AMARELO VALMET 82 3,6L SKY-21,94-ST FL</t>
  </si>
  <si>
    <t>RESINA PARA TELHA-FOSCA INCOLOR 3,6L BRASILUX</t>
  </si>
  <si>
    <t>WA SALES BRASILIA LTDA</t>
  </si>
  <si>
    <t>000000040065-NF-1</t>
  </si>
  <si>
    <t>DOC. ORI. 000000047695-PD</t>
  </si>
  <si>
    <t>20.930.297/0001-00</t>
  </si>
  <si>
    <t>WILKER OLIVEIRA SAMPAIO</t>
  </si>
  <si>
    <t>000000040335-NF-1</t>
  </si>
  <si>
    <t>DOC. ORI. 000000047975-PD</t>
  </si>
  <si>
    <t>12.328.960/0001-64</t>
  </si>
  <si>
    <t>WLL TRANSPORTES LTDA</t>
  </si>
  <si>
    <t>000000040004-NF-1</t>
  </si>
  <si>
    <t>DOC. ORI. 000000047650-PD</t>
  </si>
  <si>
    <t>27.374.359/0001-85</t>
  </si>
  <si>
    <t>000000040344-NF-1</t>
  </si>
  <si>
    <t>DOC. ORI. 000000047979-PD</t>
  </si>
  <si>
    <t>WM COMERCIO DE TINTAS LTDA</t>
  </si>
  <si>
    <t>(61) 3622-2618</t>
  </si>
  <si>
    <t>000000039657-NF-1</t>
  </si>
  <si>
    <t>DOC. ORI. 000000047319-PD</t>
  </si>
  <si>
    <t>VILA ROSARIO</t>
  </si>
  <si>
    <t>01.683.858/0001-60</t>
  </si>
  <si>
    <t>ROLO TEXTURA RUSTICA 23CM 1155 ATLAS</t>
  </si>
  <si>
    <t>000000039851-NF-1</t>
  </si>
  <si>
    <t>DOC. ORI. 000000047481-PD</t>
  </si>
  <si>
    <t>BRASILACA-PRETO SEMI-FOSCO 900ML BRASILUX</t>
  </si>
  <si>
    <t>BRASIMIX BU- ALUMINIO BRILH 800ML BRASILUX</t>
  </si>
  <si>
    <t>LIXA SECO 230U MASSA/MADEIRA Nº 100 3M</t>
  </si>
  <si>
    <t>000000040012-NF-1</t>
  </si>
  <si>
    <t>DOC. DEV. 000000039851-NF</t>
  </si>
  <si>
    <t>000000040016-NF-1</t>
  </si>
  <si>
    <t>DOC. ORI. 000000047656-PD</t>
  </si>
  <si>
    <t>RETENTOR FILTRO 5N11 3M</t>
  </si>
  <si>
    <t>000000040135-NF-1</t>
  </si>
  <si>
    <t>DOC. DEV. 000000040016-NF</t>
  </si>
  <si>
    <t>000000040216-NF-1</t>
  </si>
  <si>
    <t>DOC. ORI. 000000047842-PD</t>
  </si>
  <si>
    <t>ROLO BRASILEIRINHO 23CM AT2014 ATLAS</t>
  </si>
  <si>
    <t>ROLO VELUDO 9CM 329/9 ATLAS</t>
  </si>
  <si>
    <t>TRINCHA 395 3  PINTURA LATEX E ACRILICA 395/7 ATLAS</t>
  </si>
  <si>
    <t>TRINCHA 395 4  PINTURA LATEX E ACRILICA 395/9 ATLAS</t>
  </si>
  <si>
    <t>000000040505-NF-1</t>
  </si>
  <si>
    <t>DOC. ORI. 000000048138-PD</t>
  </si>
  <si>
    <t>BRASILINE-VERNIZ BASE 18L BRASILUX</t>
  </si>
  <si>
    <t>VENDEDOR</t>
  </si>
  <si>
    <t>MARCA</t>
  </si>
  <si>
    <t>LINHA</t>
  </si>
  <si>
    <t>SEGMENTO</t>
  </si>
  <si>
    <t>DOC</t>
  </si>
  <si>
    <t>ESPAÇO VAZIO</t>
  </si>
  <si>
    <t>000000040551-NF-1</t>
  </si>
  <si>
    <t>DOC. ORI. 000000048195-PD</t>
  </si>
  <si>
    <t>000000040562-NF-1</t>
  </si>
  <si>
    <t>DOC. ORI. 000000048213-PD</t>
  </si>
  <si>
    <t>000000040578-NF-1</t>
  </si>
  <si>
    <t>DOC. ORI. 000000048217-PD</t>
  </si>
  <si>
    <t>000000040549-NF-1</t>
  </si>
  <si>
    <t>DOC. ORI. 000000048198-PD</t>
  </si>
  <si>
    <t>LAZZUDUR POLIESTER VERMELHO ALPINE LISA 900ML</t>
  </si>
  <si>
    <t>000000040579-NF-1</t>
  </si>
  <si>
    <t>DOC. ORI. 000000048223-PD</t>
  </si>
  <si>
    <t>000000040574-NF-1</t>
  </si>
  <si>
    <t>DOC. ORI. 000000047769-PD</t>
  </si>
  <si>
    <t>000000040581-NF-1</t>
  </si>
  <si>
    <t>DOC. ORI. 000000048225-PD</t>
  </si>
  <si>
    <t>000000040558-NF-1</t>
  </si>
  <si>
    <t>DOC. ORI. 000000048208-PD</t>
  </si>
  <si>
    <t>000000021719-FF-1</t>
  </si>
  <si>
    <t>DOC. ORI. 000000048222-PD</t>
  </si>
  <si>
    <t>000000040575-NF-1</t>
  </si>
  <si>
    <t>DOC. ORI. 000000048221-PD</t>
  </si>
  <si>
    <t>000000040556-NF-1</t>
  </si>
  <si>
    <t>DOC. ORI. 000000048203-PD</t>
  </si>
  <si>
    <t>000000040552-NF-1</t>
  </si>
  <si>
    <t>DOC. ORI. 000000048196-PD</t>
  </si>
  <si>
    <t>000000040580-NF-1</t>
  </si>
  <si>
    <t>DOC. ORI. 000000048220-PD</t>
  </si>
  <si>
    <t>000000040565-NF-1</t>
  </si>
  <si>
    <t>DOC. ORI. 000000048200-PD</t>
  </si>
  <si>
    <t>BRASILACA-BRANCO N9,5 PURO 900ML BRASILUX</t>
  </si>
  <si>
    <t>000000040563-NF-1</t>
  </si>
  <si>
    <t>DOC. ORI. 000000048212-PD</t>
  </si>
  <si>
    <t>000000021717-FF-1</t>
  </si>
  <si>
    <t>DOC. ORI. 000000048206-PD</t>
  </si>
  <si>
    <t>BRASIMAIS BRANCO GELO BALDE 18L BRASILUX</t>
  </si>
  <si>
    <t>000000021718-FF-1</t>
  </si>
  <si>
    <t>DOC. ORI. 000000048215-PD</t>
  </si>
  <si>
    <t>000000040573-NF-1</t>
  </si>
  <si>
    <t>DOC. ORI. 000000048218-PD</t>
  </si>
  <si>
    <t>000000040567-NF-1</t>
  </si>
  <si>
    <t>DOC. ORI. 000000048205-PD</t>
  </si>
  <si>
    <t>DISCO DE CORTE BNA12 115X1.0X22.23MM NORTON</t>
  </si>
  <si>
    <t>000000040566-NF-1</t>
  </si>
  <si>
    <t>DOC. ORI. 000000048211-PD</t>
  </si>
  <si>
    <t>000000040582-NF-1</t>
  </si>
  <si>
    <t>DOC. ORI. 000000048210-PD</t>
  </si>
  <si>
    <t>POLIDOR PREMIUM 1KG 3M</t>
  </si>
  <si>
    <t>000000040569-NF-1</t>
  </si>
  <si>
    <t>DOC. ORI. 000000048204-PD</t>
  </si>
  <si>
    <t>KIT EPOXI AMARELO SEGURANÇA 5Y8/12 3,6L BRASILUX</t>
  </si>
  <si>
    <t>KIT EPOXI VERDE 2,5G 5/10 3,6L BRASILUX</t>
  </si>
  <si>
    <t>000000040635-NF-1</t>
  </si>
  <si>
    <t>DOC. ORI. 000000048256-PD</t>
  </si>
  <si>
    <t>000000040613-NF-1</t>
  </si>
  <si>
    <t>DOC. ORI. 000000048251-PD</t>
  </si>
  <si>
    <t>000000040586-NF-1</t>
  </si>
  <si>
    <t>DOC. ORI. 000000048231-PD</t>
  </si>
  <si>
    <t>AGUARRAS MINERAL 18L BRASILUX</t>
  </si>
  <si>
    <t>000000040607-NF-1</t>
  </si>
  <si>
    <t>DOC. DEV. 000000040441-NF</t>
  </si>
  <si>
    <t>000000040633-NF-1</t>
  </si>
  <si>
    <t>DOC. ORI. 000000048257-PD</t>
  </si>
  <si>
    <t>000000040606-NF-1</t>
  </si>
  <si>
    <t>000000040632-NF-1</t>
  </si>
  <si>
    <t>DOC. ORI. 000000048258-PD</t>
  </si>
  <si>
    <t>TINTA TECNICA ESPECIAL KIT PU VERDE 2,5 G 5/10 3,6L BRASILUX</t>
  </si>
  <si>
    <t>000000040583-NF-1</t>
  </si>
  <si>
    <t>DOC. ORI. 000000048224-PD</t>
  </si>
  <si>
    <t>000000040585-NF-1</t>
  </si>
  <si>
    <t>DOC. ORI. 000000048228-PD</t>
  </si>
  <si>
    <t>000000040603-NF-1</t>
  </si>
  <si>
    <t>DOC. ORI. 000000048242-PD</t>
  </si>
  <si>
    <t>000000040630-NF-1</t>
  </si>
  <si>
    <t>DOC. ORI. 000000048246-PD</t>
  </si>
  <si>
    <t>000000040634-NF-1</t>
  </si>
  <si>
    <t>DOC. ORI. 000000048261-PD</t>
  </si>
  <si>
    <t>BRASILAR-VERNIZ MARITIMO BRILHANTE 225ML BRASILUX</t>
  </si>
  <si>
    <t>DILUENTE P/ EPOXI 900ML BRASILUX</t>
  </si>
  <si>
    <t>000000021723-FF-1</t>
  </si>
  <si>
    <t>DOC. ORI. 000000048230-PD</t>
  </si>
  <si>
    <t>000000040601-NF-1</t>
  </si>
  <si>
    <t>DOC. ORI. 000000048232-PD</t>
  </si>
  <si>
    <t>000000040618-NF-1</t>
  </si>
  <si>
    <t>DOC. ORI. 000000048249-PD</t>
  </si>
  <si>
    <t>000000040602-NF-1</t>
  </si>
  <si>
    <t>DOC. ORI. 000000048240-PD</t>
  </si>
  <si>
    <t>EMBORRACHADA-PRETO 18L BRASILUX</t>
  </si>
  <si>
    <t>000000040594-NF-1</t>
  </si>
  <si>
    <t>DOC. ORI. 000000048235-PD</t>
  </si>
  <si>
    <t>000000040612-NF-1</t>
  </si>
  <si>
    <t>DOC. ORI. 000000048250-PD</t>
  </si>
  <si>
    <t>000000040626-NF-1</t>
  </si>
  <si>
    <t>DOC. ORI. 000000048247-PD</t>
  </si>
  <si>
    <t>000000040587-NF-1</t>
  </si>
  <si>
    <t>DOC. ORI. 000000048233-PD</t>
  </si>
  <si>
    <t>000000040608-NF-1</t>
  </si>
  <si>
    <t>DOC. DEV. 000000040321-NF</t>
  </si>
  <si>
    <t>DOC. DEV. 000000040376-NF</t>
  </si>
  <si>
    <t>000000040631-NF-1</t>
  </si>
  <si>
    <t>DOC. ORI. 000000048248-PD</t>
  </si>
  <si>
    <t>000000040611-NF-1</t>
  </si>
  <si>
    <t>DOC. ORI. 000000048245-PD</t>
  </si>
  <si>
    <t>SHOPPING DAS CORES COMERCIO DE TINTAS E HIDROELETRICOS EIREL</t>
  </si>
  <si>
    <t>000000040595-NF-1</t>
  </si>
  <si>
    <t>DOC. ORI. 000000048238-PD</t>
  </si>
  <si>
    <t>36.395.442/0001-21</t>
  </si>
  <si>
    <t>000000040604-NF-1</t>
  </si>
  <si>
    <t>DOC. ORI. 000000048241-PD</t>
  </si>
  <si>
    <t>000000040679-NF-1</t>
  </si>
  <si>
    <t>DOC. ORI. 000000048302-PD</t>
  </si>
  <si>
    <t>36.513.289/0001-90</t>
  </si>
  <si>
    <t>000000040636-NF-1</t>
  </si>
  <si>
    <t>DOC. ORI. 000000048263-PD</t>
  </si>
  <si>
    <t>000000040654-NF-1</t>
  </si>
  <si>
    <t>DOC. ORI. 000000048275-PD</t>
  </si>
  <si>
    <t>000000040659-NF-1</t>
  </si>
  <si>
    <t>DOC. ORI. 000000048296-PD</t>
  </si>
  <si>
    <t>LIXA DAGUA Nº 100 331Q 3M</t>
  </si>
  <si>
    <t>LIXA DAGUA Nº 120 331Q 3M</t>
  </si>
  <si>
    <t>LIXA DAGUA Nº 180 331Q 3M</t>
  </si>
  <si>
    <t>THINNER SRA 1LT SIKKENS</t>
  </si>
  <si>
    <t>COMIN INDUSTRIA DE CARROCERIAS EIRELI</t>
  </si>
  <si>
    <t>(61) 3718-1514</t>
  </si>
  <si>
    <t>000000040671-NF-1</t>
  </si>
  <si>
    <t>DOC. ORI. 000000048259-PD</t>
  </si>
  <si>
    <t>PQ LAGUNA II</t>
  </si>
  <si>
    <t>13.246.041/0001-04</t>
  </si>
  <si>
    <t>2,700 UN 033517 FORD 1999 BRANCO DIAMANTE  POLIURETANO FLEET 3X1  F30A1F59009BF6B516365A9BCB24DE0E 1</t>
  </si>
  <si>
    <t>CONDE INDUSTRIA E COMERCIO DE MATERIAL DE CONSTRUCAO LTDA</t>
  </si>
  <si>
    <t>000000040643-NF-1</t>
  </si>
  <si>
    <t>DOC. ORI. 000000048279-PD</t>
  </si>
  <si>
    <t>BONSUCESSO (SÃO SEBASTIÃO)</t>
  </si>
  <si>
    <t>41.710.054/0001-28</t>
  </si>
  <si>
    <t>KIT PRIMER 5100 CINZA MEDIO E END 3093 150ML WANDA-21,46-ST</t>
  </si>
  <si>
    <t>DF COMERCIO DE UTENSILIOS PARA TRANSPORTE DE ALIMENTOS LTDA</t>
  </si>
  <si>
    <t>000000040657-NF-1</t>
  </si>
  <si>
    <t>DOC. ORI. 000000048280-PD</t>
  </si>
  <si>
    <t>10656 - GAMA-DF</t>
  </si>
  <si>
    <t>CIDADE NOVA( GAMA)</t>
  </si>
  <si>
    <t>32.878.818/0001-06</t>
  </si>
  <si>
    <t>000000040656-NF-1</t>
  </si>
  <si>
    <t>DOC. ORI. 000000048292-PD</t>
  </si>
  <si>
    <t>000000040674-NF-1</t>
  </si>
  <si>
    <t>DOC. ORI. 000000048308-PD</t>
  </si>
  <si>
    <t>000000040658-NF-1</t>
  </si>
  <si>
    <t>DOC. ORI. 000000048295-PD</t>
  </si>
  <si>
    <t>000000040665-NF-1</t>
  </si>
  <si>
    <t>DOC. ORI. 000000048289-PD</t>
  </si>
  <si>
    <t>FRANCISCO PEDRO DE ALENCAR LTDA</t>
  </si>
  <si>
    <t>000000040662-NF-1</t>
  </si>
  <si>
    <t>DOC. ORI. 000000048297-PD</t>
  </si>
  <si>
    <t>55.136.678/0001-98</t>
  </si>
  <si>
    <t>000000040653-NF-1</t>
  </si>
  <si>
    <t>DOC. ORI. 000000048274-PD</t>
  </si>
  <si>
    <t>000000040676-NF-1</t>
  </si>
  <si>
    <t>DOC. ORI. 000000048304-PD</t>
  </si>
  <si>
    <t>000000021738-FF-1</t>
  </si>
  <si>
    <t>DOC. ORI. 000000048282-PD</t>
  </si>
  <si>
    <t>ENDURECEDOR P/ ESMALTE PU 225ML SKY</t>
  </si>
  <si>
    <t>DOC. ORI. 000000048285-PD</t>
  </si>
  <si>
    <t>WANDABASE MM 2998 ATIV ALTA TEMP 18L WANDA</t>
  </si>
  <si>
    <t>000000021739-FF-1</t>
  </si>
  <si>
    <t>DOC. ORI. 000000048287-PD</t>
  </si>
  <si>
    <t>BRASPISO VERDE QUADRA ACETINADO 3,6L BRASILUX</t>
  </si>
  <si>
    <t>000000040655-NF-1</t>
  </si>
  <si>
    <t>DOC. ORI. 000000048290-PD</t>
  </si>
  <si>
    <t>000000040666-NF-1</t>
  </si>
  <si>
    <t>DOC. ORI. 000000048298-PD</t>
  </si>
  <si>
    <t>000000040675-NF-1</t>
  </si>
  <si>
    <t>DOC. ORI. 000000048307-PD</t>
  </si>
  <si>
    <t>000000021751-FF-1</t>
  </si>
  <si>
    <t>DOC. ORI. 000000048305-PD</t>
  </si>
  <si>
    <t>000000040637-NF-1</t>
  </si>
  <si>
    <t>DOC. ORI. 000000048262-PD</t>
  </si>
  <si>
    <t>CR CORALIT ULTRA RESISTÊNCIA AB PLATINA 3,6L</t>
  </si>
  <si>
    <t>000000040664-NF-1</t>
  </si>
  <si>
    <t>DOC. ORI. 000000048284-PD</t>
  </si>
  <si>
    <t>FLAP DISCO P40 EVOLUTION 115X22 NORTON</t>
  </si>
  <si>
    <t>000000040644-NF-1</t>
  </si>
  <si>
    <t>DOC. ORI. 000000048286-PD</t>
  </si>
  <si>
    <t>R&amp;L PUBLICIDADE E COM. DE MOVEIS EIRELI</t>
  </si>
  <si>
    <t>(61) 4141-8026</t>
  </si>
  <si>
    <t>000000040645-NF-1</t>
  </si>
  <si>
    <t>DOC. ORI. 000000048288-PD</t>
  </si>
  <si>
    <t>10666 - RIACHO FUNDO-DF</t>
  </si>
  <si>
    <t>RIACHO</t>
  </si>
  <si>
    <t>10.807.379/0001-08</t>
  </si>
  <si>
    <t>MARTELADO-CINZA TORNADO 3,6L BRASILUX</t>
  </si>
  <si>
    <t>000000040663-NF-1</t>
  </si>
  <si>
    <t>DOC. ORI. 000000048303-PD</t>
  </si>
  <si>
    <t>FILME STRETCH 50X0,025</t>
  </si>
  <si>
    <t>000000040668-NF-1</t>
  </si>
  <si>
    <t>DOC. ORI. 000000048299-PD</t>
  </si>
  <si>
    <t>SPRAY SPOTPRIMER CINZA 400ML SIKKENS-25,63-ST</t>
  </si>
  <si>
    <t>000000040669-NF-1</t>
  </si>
  <si>
    <t>DOC. ORI. 000000048291-PD</t>
  </si>
  <si>
    <t>000000040757-NF-1</t>
  </si>
  <si>
    <t>DOC. ORI. 000000048394-PD</t>
  </si>
  <si>
    <t>000000040761-NF-1</t>
  </si>
  <si>
    <t>DOC. ORI. 000000048395-PD</t>
  </si>
  <si>
    <t>000000040784-NF-1</t>
  </si>
  <si>
    <t>DOC. ORI. 000000048402-PD</t>
  </si>
  <si>
    <t>DOC. ORI. 000000048404-PD</t>
  </si>
  <si>
    <t>000000040773-NF-1</t>
  </si>
  <si>
    <t>DOC. ORI. 000000048380-PD</t>
  </si>
  <si>
    <t>000000040680-NF-1</t>
  </si>
  <si>
    <t>DOC. ORI. 000000048300-PD</t>
  </si>
  <si>
    <t>000000040758-NF-1</t>
  </si>
  <si>
    <t>DOC. ORI. 000000048387-PD</t>
  </si>
  <si>
    <t>BRASIMAR-VERNIZ MARITIMO MOGNO 3,6L BRASILUX</t>
  </si>
  <si>
    <t>DIRETO NA FERRUGEM AMARELO OURO 3,6LT BRASILUX</t>
  </si>
  <si>
    <t>000000040722-NF-1</t>
  </si>
  <si>
    <t>DOC. ORI. 000000048342-PD</t>
  </si>
  <si>
    <t>000000040721-NF-1</t>
  </si>
  <si>
    <t>DOC. ORI. 000000048349-PD</t>
  </si>
  <si>
    <t>TINTA EM PO POLIESTER - AZUL RAL 5002 25KG</t>
  </si>
  <si>
    <t>000000040786-NF-1</t>
  </si>
  <si>
    <t>DOC. ORI. 000000048401-PD</t>
  </si>
  <si>
    <t>000000040735-NF-1</t>
  </si>
  <si>
    <t>DOC. ORI. 000000048363-PD</t>
  </si>
  <si>
    <t>TRINCHA 395 1  PINTURA LATEX E ACRILICA 395/3 ATLAS</t>
  </si>
  <si>
    <t>000000040776-NF-1</t>
  </si>
  <si>
    <t>DOC. ORI. 000000048399-PD</t>
  </si>
  <si>
    <t>WANDABASE MM 2000 BINDER 18L-21,45-ST</t>
  </si>
  <si>
    <t>WANDABASE MM 3200 BRANCO HS 3,6L-21,46-ST</t>
  </si>
  <si>
    <t>000000021763-FF-1</t>
  </si>
  <si>
    <t>DOC. ORI. 000000048357-PD</t>
  </si>
  <si>
    <t>000000040740-NF-1</t>
  </si>
  <si>
    <t>DOC. ORI. 000000048368-PD</t>
  </si>
  <si>
    <t>000000040768-NF-1</t>
  </si>
  <si>
    <t>DOC. ORI. 000000048379-PD</t>
  </si>
  <si>
    <t>000000040783-NF-1</t>
  </si>
  <si>
    <t>DOC. ORI. 000000048397-PD</t>
  </si>
  <si>
    <t>REMOVEDOR DE FERRUGEM 1L BRASILUX</t>
  </si>
  <si>
    <t>RESINA PARA TELHA-BRANCO 3,6L BRASILUX</t>
  </si>
  <si>
    <t>000000040785-NF-1</t>
  </si>
  <si>
    <t>DOC. DEV. 000000040783-NF</t>
  </si>
  <si>
    <t>000000040711-NF-1</t>
  </si>
  <si>
    <t>DOC. ORI. 000000048343-PD</t>
  </si>
  <si>
    <t>000000040706-NF-1</t>
  </si>
  <si>
    <t>DOC. ORI. 000000048338-PD</t>
  </si>
  <si>
    <t>000000040727-NF-1</t>
  </si>
  <si>
    <t>DOC. ORI. 000000048353-PD</t>
  </si>
  <si>
    <t>CONSTRUTORA PORTO S.A.</t>
  </si>
  <si>
    <t>000000040681-NF-1</t>
  </si>
  <si>
    <t>DOC. ORI. 000000048301-PD</t>
  </si>
  <si>
    <t>37.243.599/0006-09</t>
  </si>
  <si>
    <t>000000040749-NF-1</t>
  </si>
  <si>
    <t>DOC. ORI. 000000048378-PD</t>
  </si>
  <si>
    <t>DIVINA IVONEIDE GUIMAROES SOARES</t>
  </si>
  <si>
    <t>000000021753-FF-1</t>
  </si>
  <si>
    <t>DOC. ORI. 000000048333-PD</t>
  </si>
  <si>
    <t>151.573.261-49</t>
  </si>
  <si>
    <t>000000021754-FF-1</t>
  </si>
  <si>
    <t>DOC. ORI. 000000048334-PD</t>
  </si>
  <si>
    <t>000000040742-NF-1</t>
  </si>
  <si>
    <t>DOC. ORI. 000000048375-PD</t>
  </si>
  <si>
    <t>MASSA RAPIDA CINZA 1,25KG MAXI RUBBER</t>
  </si>
  <si>
    <t>000000040690-NF-1</t>
  </si>
  <si>
    <t>DOC. ORI. 000000048323-PD</t>
  </si>
  <si>
    <t>000000040683-NF-1</t>
  </si>
  <si>
    <t>DOC. ORI. 000000048322-PD</t>
  </si>
  <si>
    <t>000000040745-NF-1</t>
  </si>
  <si>
    <t>DOC. ORI. 000000048376-PD</t>
  </si>
  <si>
    <t>FRANCISCO WILSON DA COSTA CAVALCANTE</t>
  </si>
  <si>
    <t>000000040782-NF-1</t>
  </si>
  <si>
    <t>DOC. ORI. 000000048385-PD</t>
  </si>
  <si>
    <t>SÃO PAULO</t>
  </si>
  <si>
    <t>37.926.369/0001-30</t>
  </si>
  <si>
    <t>000000021761-FF-1</t>
  </si>
  <si>
    <t>DOC. ORI. 000000048352-PD</t>
  </si>
  <si>
    <t>000000021762-FF-1</t>
  </si>
  <si>
    <t>DOC. ORI. 000000048362-PD</t>
  </si>
  <si>
    <t>GP CONSTRUCOES METALICAS LTDA EPP</t>
  </si>
  <si>
    <t>000000040748-NF-1</t>
  </si>
  <si>
    <t>DOC. ORI. 000000048374-PD</t>
  </si>
  <si>
    <t>12.940.435/0001-03</t>
  </si>
  <si>
    <t>TINTA EM PO POLIESTER - PRETO N1 SEMI BRILHO 25KG BRASILUX</t>
  </si>
  <si>
    <t>000000021757-FF-1</t>
  </si>
  <si>
    <t>DOC. ORI. 000000048337-PD</t>
  </si>
  <si>
    <t>000000040760-NF-1</t>
  </si>
  <si>
    <t>DOC. ORI. 000000048386-PD</t>
  </si>
  <si>
    <t>BRASIFLEX PAREDE BRANCO 18KG BRASILUX</t>
  </si>
  <si>
    <t>000000040687-NF-1</t>
  </si>
  <si>
    <t>DOC. ORI. 000000048324-PD</t>
  </si>
  <si>
    <t>000000040682-NF-1</t>
  </si>
  <si>
    <t>DOC. DEV. 000000040676-NF</t>
  </si>
  <si>
    <t>000000040689-NF-1</t>
  </si>
  <si>
    <t>DOC. ORI. 000000048321-PD</t>
  </si>
  <si>
    <t>FITA ANTIDERRAPANTE PRETA SHRINK 50MMX20M UNIPEGA</t>
  </si>
  <si>
    <t>ROLO LA SINTETICA ANTIRESPINGO 5CM AT773/5 ATLAS</t>
  </si>
  <si>
    <t>000000040686-NF-1</t>
  </si>
  <si>
    <t>DOC. ORI. 000000048328-PD</t>
  </si>
  <si>
    <t>000000040707-NF-1</t>
  </si>
  <si>
    <t>DOC. ORI. 000000048341-PD</t>
  </si>
  <si>
    <t>000000040726-NF-1</t>
  </si>
  <si>
    <t>DOC. ORI. 000000048354-PD</t>
  </si>
  <si>
    <t>000000040778-NF-1</t>
  </si>
  <si>
    <t>DOC. ORI. 000000048396-PD</t>
  </si>
  <si>
    <t>LINKCAR MULTIMARCAS COMERCIO DE VEICULOS LTDA</t>
  </si>
  <si>
    <t>000000040747-NF-1</t>
  </si>
  <si>
    <t>DOC. ORI. 000000048377-PD</t>
  </si>
  <si>
    <t>34.907.579/0001-92</t>
  </si>
  <si>
    <t>BLEND ALL IN ONE 500ML VONIXX</t>
  </si>
  <si>
    <t>DELET 5L VONIXX</t>
  </si>
  <si>
    <t>GLIZZ 500ML VONIXX</t>
  </si>
  <si>
    <t>KIT 5 PINCEIS DETALHAMENTO INTERNO VONIXX</t>
  </si>
  <si>
    <t>PRIZM 1,5L VONIXX</t>
  </si>
  <si>
    <t>TOALHA CLAY BAR ZACS</t>
  </si>
  <si>
    <t>000000040756-NF-1</t>
  </si>
  <si>
    <t>DOC. ORI. 000000048389-PD</t>
  </si>
  <si>
    <t>BOINA VOXER CORTE PESADO VERDE 5P VONIXX</t>
  </si>
  <si>
    <t>LUIZ MARCELO CARVALHO ALMEIDA</t>
  </si>
  <si>
    <t>000000040728-NF-1</t>
  </si>
  <si>
    <t>DOC. ORI. 000000048361-PD</t>
  </si>
  <si>
    <t>45.214.696/0001-97</t>
  </si>
  <si>
    <t>000000040685-NF-1</t>
  </si>
  <si>
    <t>DOC. ORI. 000000048319-PD</t>
  </si>
  <si>
    <t>000000040703-NF-1</t>
  </si>
  <si>
    <t>DOC. ORI. 000000048331-PD</t>
  </si>
  <si>
    <t>000000040752-NF-1</t>
  </si>
  <si>
    <t>DOC. ORI. 000000048388-PD</t>
  </si>
  <si>
    <t>000000040731-NF-1</t>
  </si>
  <si>
    <t>DOC. ORI. 000000048372-PD</t>
  </si>
  <si>
    <t>VERNIZ BASE PU FLEET 3X1 BRASIDUR 3,6L</t>
  </si>
  <si>
    <t>000000040774-NF-1</t>
  </si>
  <si>
    <t>DOC. ORI. 000000048392-PD</t>
  </si>
  <si>
    <t>000000040720-NF-1</t>
  </si>
  <si>
    <t>DOC. ORI. 000000048346-PD</t>
  </si>
  <si>
    <t>000000040688-NF-1</t>
  </si>
  <si>
    <t>DOC. ORI. 000000048318-PD</t>
  </si>
  <si>
    <t>BRASIMUITO-BRANCO NEVE FOSCO 3,6L BRASILUX FL</t>
  </si>
  <si>
    <t>MULLER MATHEUS MARQUES DE OLIVEIRA</t>
  </si>
  <si>
    <t>000000040716-NF-1</t>
  </si>
  <si>
    <t>DOC. ORI. 000000048339-PD</t>
  </si>
  <si>
    <t>000000040770-NF-1</t>
  </si>
  <si>
    <t>DOC. ORI. 000000048390-PD</t>
  </si>
  <si>
    <t>NOSSA EQUIPAMENTOS AGRICOLAS LTDA</t>
  </si>
  <si>
    <t>000000040779-NF-1</t>
  </si>
  <si>
    <t>DOC. ORI. 000000048400-PD</t>
  </si>
  <si>
    <t>44.296.949/0001-56</t>
  </si>
  <si>
    <t>000000040719-NF-1</t>
  </si>
  <si>
    <t>DOC. ORI. 000000048335-PD</t>
  </si>
  <si>
    <t>000000040750-NF-1</t>
  </si>
  <si>
    <t>DOC. ORI. 000000048382-PD</t>
  </si>
  <si>
    <t>000000040730-NF-1</t>
  </si>
  <si>
    <t>DOC. ORI. 000000048370-PD</t>
  </si>
  <si>
    <t>000000040762-NF-1</t>
  </si>
  <si>
    <t>DOC. DEV. 000000040377-NF</t>
  </si>
  <si>
    <t>000000040764-NF-1</t>
  </si>
  <si>
    <t>DOC. ORI. 000000048398-PD</t>
  </si>
  <si>
    <t>000000040753-NF-1</t>
  </si>
  <si>
    <t>DOC. ORI. 000000048369-PD</t>
  </si>
  <si>
    <t>MOVELARIA-VERNIZ COPAL 3,6L BRASILUX</t>
  </si>
  <si>
    <t>PROLONGADOR EXTENSOR DE ACO 3M 1700 ATLAS</t>
  </si>
  <si>
    <t>000000040739-NF-1</t>
  </si>
  <si>
    <t>DOC. ORI. 000000048373-PD</t>
  </si>
  <si>
    <t>SML MATERIAIS PARA CONSTRUCAO LTDA</t>
  </si>
  <si>
    <t>000000040775-NF-1</t>
  </si>
  <si>
    <t>DOC. ORI. 000000048393-PD</t>
  </si>
  <si>
    <t>29.917.583/0001-00</t>
  </si>
  <si>
    <t>000000040709-NF-1</t>
  </si>
  <si>
    <t>DOC. ORI. 000000048340-PD</t>
  </si>
  <si>
    <t>REDUCER MEDIUM 1LT SIKKENS</t>
  </si>
  <si>
    <t>000000040772-NF-1</t>
  </si>
  <si>
    <t>DOC. ORI. 000000048381-PD</t>
  </si>
  <si>
    <t>000000040700-NF-1</t>
  </si>
  <si>
    <t>DOC. ORI. 000000048332-PD</t>
  </si>
  <si>
    <t>ADESIVO P/ LAMINAÇÃO 880G CARPLAST MAXI RUBBER</t>
  </si>
  <si>
    <t>ULTRA LIGHT ADESIVO PLASTICO 495G MAXI RUBBER</t>
  </si>
  <si>
    <t>000000040701-NF-1</t>
  </si>
  <si>
    <t>DOC. ORI. 000000048336-PD</t>
  </si>
  <si>
    <t>39.597.087 MARLENE DE JESUS CARDOSO</t>
  </si>
  <si>
    <t>000000040806-NF-1</t>
  </si>
  <si>
    <t>DOC. ORI. 000000048403-PD</t>
  </si>
  <si>
    <t>LOTEAMENTO LUNABEL 3A</t>
  </si>
  <si>
    <t>39.597.087/0001-61</t>
  </si>
  <si>
    <t>000000040787-NF-1</t>
  </si>
  <si>
    <t>DOC. ORI. 000000048406-PD</t>
  </si>
  <si>
    <t>000000021778-FF-1</t>
  </si>
  <si>
    <t>DOC. ORI. 000000048430-PD</t>
  </si>
  <si>
    <t>MOTO-V 500ML VONIXX</t>
  </si>
  <si>
    <t>BRINKPARK</t>
  </si>
  <si>
    <t>000000040807-NF-1</t>
  </si>
  <si>
    <t>DOC. ORI. 000000048420-PD</t>
  </si>
  <si>
    <t>60.858.882/0001-52</t>
  </si>
  <si>
    <t>CLEIDIMAR MENEZES DE SOUZA</t>
  </si>
  <si>
    <t>000000040800-NF-1</t>
  </si>
  <si>
    <t>DOC. ORI. 000000048416-PD</t>
  </si>
  <si>
    <t>VILA ESTRUTURAL</t>
  </si>
  <si>
    <t>35.450.509/0001-10</t>
  </si>
  <si>
    <t>TINTA EM PO POLIESTER - CINZA CLARO N6.5 TEXTURIZADO 25KG</t>
  </si>
  <si>
    <t>CMA PINTURAS LTDA</t>
  </si>
  <si>
    <t>000000040795-NF-1</t>
  </si>
  <si>
    <t>DOC. ORI. 000000048412-PD</t>
  </si>
  <si>
    <t>54.093.420/0001-99</t>
  </si>
  <si>
    <t>CR MASSA ACRILICA LATA 25KG</t>
  </si>
  <si>
    <t>000000040827-NF-1</t>
  </si>
  <si>
    <t>DOC. ORI. 000000048431-PD</t>
  </si>
  <si>
    <t>ESMALTE SINT AUTOMOTIVO-ALUMINIO OPAL P/RODAS 900ML BRASILUX</t>
  </si>
  <si>
    <t>LAZZUDUR PU BRANCO PURO II 675ML</t>
  </si>
  <si>
    <t>000000040808-NF-1</t>
  </si>
  <si>
    <t>DOC. ORI. 000000048351-PD</t>
  </si>
  <si>
    <t>000000040809-NF-1</t>
  </si>
  <si>
    <t>DOC. ORI. 000000048355-PD</t>
  </si>
  <si>
    <t>000000040810-NF-1</t>
  </si>
  <si>
    <t>DOC. ORI. 000000048356-PD</t>
  </si>
  <si>
    <t>DF MOVEIS FABRICACAO E COMERCIO LTDA</t>
  </si>
  <si>
    <t>000000040813-NF-1</t>
  </si>
  <si>
    <t>DOC. ORI. 000000048424-PD</t>
  </si>
  <si>
    <t>63.391.051/0001-01</t>
  </si>
  <si>
    <t>000000040804-NF-1</t>
  </si>
  <si>
    <t>DOC. ORI. 000000048417-PD</t>
  </si>
  <si>
    <t>000000040789-NF-1</t>
  </si>
  <si>
    <t>DOC. ORI. 000000048407-PD</t>
  </si>
  <si>
    <t>BRASIMOB-AZUL DEL REY 900ML BRASILUX</t>
  </si>
  <si>
    <t>000000021769-FF-1</t>
  </si>
  <si>
    <t>DOC. ORI. 000000048405-PD</t>
  </si>
  <si>
    <t>LINNI INDUSTRIA DE ARTEFATOS LTDA</t>
  </si>
  <si>
    <t>(61)99923-0117</t>
  </si>
  <si>
    <t>000000040817-NF-1</t>
  </si>
  <si>
    <t>DOC. ORI. 000000048426-PD</t>
  </si>
  <si>
    <t>39.982.555/0001-11</t>
  </si>
  <si>
    <t>MOVI ELECTRIC COMERCIO DE VEICULOS LTDA</t>
  </si>
  <si>
    <t>000000040815-NF-1</t>
  </si>
  <si>
    <t>DOC. ORI. 000000048427-PD</t>
  </si>
  <si>
    <t>37.664.128/0001-60</t>
  </si>
  <si>
    <t>000000040816-NF-1</t>
  </si>
  <si>
    <t>DOC. ORI. 000000048425-PD</t>
  </si>
  <si>
    <t>PAULO ROBERTO VIANA BARBOSA FABRICACAO E COMERCIO DE MATERIA</t>
  </si>
  <si>
    <t>000000040801-NF-1</t>
  </si>
  <si>
    <t>DOC. ORI. 000000048418-PD</t>
  </si>
  <si>
    <t>35.162.420/0001-59</t>
  </si>
  <si>
    <t>000000040819-NF-1</t>
  </si>
  <si>
    <t>DOC. ORI. 000000048428-PD</t>
  </si>
  <si>
    <t>000000040796-NF-1</t>
  </si>
  <si>
    <t>DOC. ORI. 000000048408-PD</t>
  </si>
  <si>
    <t>000000021787-FF-1</t>
  </si>
  <si>
    <t>DOC. ORI. 000000048472-PD</t>
  </si>
  <si>
    <t>SPRAY COLOR CINZA PLACA 300ML LAZZURIL</t>
  </si>
  <si>
    <t>000000040859-NF-1</t>
  </si>
  <si>
    <t>DOC. ORI. 000000048459-PD</t>
  </si>
  <si>
    <t>000000040829-NF-1</t>
  </si>
  <si>
    <t>DOC. ORI. 000000048423-PD</t>
  </si>
  <si>
    <t>000000040850-NF-1</t>
  </si>
  <si>
    <t>DOC. ORI. 000000048466-PD</t>
  </si>
  <si>
    <t>000000040861-NF-1</t>
  </si>
  <si>
    <t>DOC. ORI. 000000048468-PD</t>
  </si>
  <si>
    <t>000000040830-NF-1</t>
  </si>
  <si>
    <t>DOC. ORI. 000000048442-PD</t>
  </si>
  <si>
    <t>FLANELA MICROFIBRA 40X60CM COM COSTURA AMARELA AUTOAMERICA</t>
  </si>
  <si>
    <t>RESTAURAX VONIXX 1,5 LITROS</t>
  </si>
  <si>
    <t>000000040864-NF-1</t>
  </si>
  <si>
    <t>DOC. ORI. 000000048470-PD</t>
  </si>
  <si>
    <t>000000040849-NF-1</t>
  </si>
  <si>
    <t>DOC. ORI. 000000048457-PD</t>
  </si>
  <si>
    <t>000000040846-NF-1</t>
  </si>
  <si>
    <t>DOC. ORI. 000000048455-PD</t>
  </si>
  <si>
    <t>GLP CONSTRUCOES LTDA</t>
  </si>
  <si>
    <t>000000040867-NF-1</t>
  </si>
  <si>
    <t>DOC. ORI. 000000048478-PD</t>
  </si>
  <si>
    <t>29.024.468/0001-06</t>
  </si>
  <si>
    <t>000000040835-NF-1</t>
  </si>
  <si>
    <t>DOC. ORI. 000000048441-PD</t>
  </si>
  <si>
    <t>000000040847-NF-1</t>
  </si>
  <si>
    <t>DOC. ORI. 000000048456-PD</t>
  </si>
  <si>
    <t>000000040848-NF-1</t>
  </si>
  <si>
    <t>DOC. ORI. 000000048437-PD</t>
  </si>
  <si>
    <t>L FORT INDUSTRIA E METALURGICA LTDA</t>
  </si>
  <si>
    <t>000000040844-NF-1</t>
  </si>
  <si>
    <t>DOC. ORI. 000000048453-PD</t>
  </si>
  <si>
    <t>05.604.487/0001-35</t>
  </si>
  <si>
    <t>000000040851-NF-1</t>
  </si>
  <si>
    <t>DOC. ORI. 000000048462-PD</t>
  </si>
  <si>
    <t>000000040841-NF-1</t>
  </si>
  <si>
    <t>DOC. ORI. 000000048452-PD</t>
  </si>
  <si>
    <t>OESTE TINTAS LTDA</t>
  </si>
  <si>
    <t>000000040862-NF-1</t>
  </si>
  <si>
    <t>DOC. ORI. 000000048461-PD</t>
  </si>
  <si>
    <t>52.848.505/0001-04</t>
  </si>
  <si>
    <t>SIKAFLEX VEDAÇÃO CINZA TUBO 400GR SIKA</t>
  </si>
  <si>
    <t>000000040870-NF-1</t>
  </si>
  <si>
    <t>DOC. ORI. 000000048473-PD</t>
  </si>
  <si>
    <t>000000040856-NF-1</t>
  </si>
  <si>
    <t>DOC. ORI. 000000048471-PD</t>
  </si>
  <si>
    <t>000000040869-NF-1</t>
  </si>
  <si>
    <t>DOC. ORI. 000000048480-PD</t>
  </si>
  <si>
    <t>02112 - CRISTALINA-GO</t>
  </si>
  <si>
    <t>OTAVIANO DE PAIVA</t>
  </si>
  <si>
    <t>39.642.197/0004-40</t>
  </si>
  <si>
    <t>SOLLAR ENGENHARIA LTDA</t>
  </si>
  <si>
    <t>000000040834-NF-1</t>
  </si>
  <si>
    <t>DOC. ORI. 000000048419-PD</t>
  </si>
  <si>
    <t>26.478.859/0001-02</t>
  </si>
  <si>
    <t>CR CORALAR ACRILICO MAIS DESEMPENHO BRANCO LATA 18L</t>
  </si>
  <si>
    <t>TEXTURA ACRILICA GELO CAIXA 20KG INOVE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</si>
</sst>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14" fontId="0" fillId="0" borderId="0" xfId="0" applyNumberFormat="1"/>
    <xf numFmtId="4" fontId="0" fillId="0" borderId="0" xfId="0" applyNumberFormat="1"/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1">
    <dxf>
      <numFmt numFmtId="19" formatCode="dd/mm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2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OPERADORES.xlsx" TargetMode="External"/><Relationship Id="rId1" Type="http://schemas.openxmlformats.org/officeDocument/2006/relationships/externalLinkPath" Target="/Users/Samuel/Desktop/ARQUIVOS%20PARA%20DASHBOARD/OPERADORES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amuel\Desktop\ARQUIVOS%20PARA%20DASHBOARD\TABELA%20PARA%20DASHBOARD.xlsx" TargetMode="External"/><Relationship Id="rId1" Type="http://schemas.openxmlformats.org/officeDocument/2006/relationships/externalLinkPath" Target="/Users/Samuel/Desktop/ARQUIVOS%20PARA%20DASHBOARD/TABELA%20PARA%20DASHBOAR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OPERADORES"/>
      <sheetName val="LOJA"/>
      <sheetName val="CLIENTE FILIAL"/>
      <sheetName val="LOJAS2"/>
    </sheetNames>
    <sheetDataSet>
      <sheetData sheetId="0">
        <row r="1">
          <cell r="A1" t="str">
            <v>CÓDIGO</v>
          </cell>
          <cell r="B1" t="str">
            <v>NOME DO OPERADOR</v>
          </cell>
        </row>
        <row r="2">
          <cell r="A2">
            <v>999</v>
          </cell>
          <cell r="B2" t="str">
            <v>ADMINISTRAÇÃO CITEL</v>
          </cell>
        </row>
        <row r="3">
          <cell r="A3">
            <v>182</v>
          </cell>
          <cell r="B3" t="str">
            <v>ADRIANA</v>
          </cell>
        </row>
        <row r="4">
          <cell r="A4">
            <v>91</v>
          </cell>
          <cell r="B4" t="str">
            <v>AILTON CAVALCANTE</v>
          </cell>
        </row>
        <row r="5">
          <cell r="A5">
            <v>47</v>
          </cell>
          <cell r="B5" t="str">
            <v>ALESSANDRA</v>
          </cell>
        </row>
        <row r="6">
          <cell r="A6">
            <v>60</v>
          </cell>
          <cell r="B6" t="str">
            <v>ALEXANDRA</v>
          </cell>
        </row>
        <row r="7">
          <cell r="A7">
            <v>52</v>
          </cell>
          <cell r="B7" t="str">
            <v>ALEXANDRE</v>
          </cell>
        </row>
        <row r="8">
          <cell r="A8">
            <v>86</v>
          </cell>
          <cell r="B8" t="str">
            <v>AMANDA</v>
          </cell>
        </row>
        <row r="9">
          <cell r="A9">
            <v>142</v>
          </cell>
          <cell r="B9" t="str">
            <v>ANA GABRIELA LIMA LINHARES</v>
          </cell>
        </row>
        <row r="10">
          <cell r="A10">
            <v>74</v>
          </cell>
          <cell r="B10" t="str">
            <v>ANA PAULA</v>
          </cell>
        </row>
        <row r="11">
          <cell r="A11">
            <v>80</v>
          </cell>
          <cell r="B11" t="str">
            <v>ANDERSON</v>
          </cell>
        </row>
        <row r="12">
          <cell r="A12">
            <v>187</v>
          </cell>
          <cell r="B12" t="str">
            <v>ANDERSON DOS REIS DE OLIVEIRA</v>
          </cell>
        </row>
        <row r="13">
          <cell r="A13">
            <v>103</v>
          </cell>
          <cell r="B13" t="str">
            <v>ANTONIO PEREIRA</v>
          </cell>
        </row>
        <row r="14">
          <cell r="A14">
            <v>98</v>
          </cell>
          <cell r="B14" t="str">
            <v xml:space="preserve">ARIGLEICE </v>
          </cell>
        </row>
        <row r="15">
          <cell r="A15">
            <v>997</v>
          </cell>
          <cell r="B15" t="str">
            <v>ATENDIMENTO</v>
          </cell>
        </row>
        <row r="16">
          <cell r="A16">
            <v>16</v>
          </cell>
          <cell r="B16" t="str">
            <v>AYSLAN</v>
          </cell>
        </row>
        <row r="17">
          <cell r="A17">
            <v>2</v>
          </cell>
          <cell r="B17" t="str">
            <v>BERNARDO</v>
          </cell>
        </row>
        <row r="18">
          <cell r="A18">
            <v>11</v>
          </cell>
          <cell r="B18" t="str">
            <v>BRUNO</v>
          </cell>
        </row>
        <row r="19">
          <cell r="A19">
            <v>179</v>
          </cell>
          <cell r="B19" t="str">
            <v>CAIO CRISTIANO</v>
          </cell>
        </row>
        <row r="20">
          <cell r="A20">
            <v>69</v>
          </cell>
          <cell r="B20" t="str">
            <v>CAIQUE</v>
          </cell>
        </row>
        <row r="21">
          <cell r="A21">
            <v>189</v>
          </cell>
          <cell r="B21" t="str">
            <v>CAMILA WILLIANE</v>
          </cell>
        </row>
        <row r="22">
          <cell r="A22">
            <v>36</v>
          </cell>
          <cell r="B22" t="str">
            <v>CARLOS</v>
          </cell>
        </row>
        <row r="23">
          <cell r="A23">
            <v>190</v>
          </cell>
          <cell r="B23" t="str">
            <v>CARLOS RODRIGUES DA SILVA</v>
          </cell>
        </row>
        <row r="24">
          <cell r="A24">
            <v>118</v>
          </cell>
          <cell r="B24" t="str">
            <v>CARNEIRINHO</v>
          </cell>
        </row>
        <row r="25">
          <cell r="A25">
            <v>126</v>
          </cell>
          <cell r="B25" t="str">
            <v>CESAR OLIVIEIRA DE ARAUJO</v>
          </cell>
        </row>
        <row r="26">
          <cell r="A26">
            <v>192</v>
          </cell>
          <cell r="B26" t="str">
            <v>CIDA</v>
          </cell>
        </row>
        <row r="27">
          <cell r="A27">
            <v>144</v>
          </cell>
          <cell r="B27" t="str">
            <v>CINTIA DA SILVA CARLOS</v>
          </cell>
        </row>
        <row r="28">
          <cell r="A28">
            <v>46</v>
          </cell>
          <cell r="B28" t="str">
            <v xml:space="preserve">CLAUDMIRO </v>
          </cell>
        </row>
        <row r="29">
          <cell r="A29">
            <v>122</v>
          </cell>
          <cell r="B29" t="str">
            <v>CLOVIS JUNIO</v>
          </cell>
        </row>
        <row r="30">
          <cell r="A30">
            <v>73</v>
          </cell>
          <cell r="B30" t="str">
            <v>COMPRADOR FORNECEDOR</v>
          </cell>
        </row>
        <row r="31">
          <cell r="A31">
            <v>72</v>
          </cell>
          <cell r="B31" t="str">
            <v>COMPRADOR LOJAS</v>
          </cell>
        </row>
        <row r="32">
          <cell r="A32">
            <v>130</v>
          </cell>
          <cell r="B32" t="str">
            <v>COMPRAS</v>
          </cell>
        </row>
        <row r="33">
          <cell r="A33">
            <v>70</v>
          </cell>
          <cell r="B33" t="str">
            <v>CONCESSIONARIAS</v>
          </cell>
        </row>
        <row r="34">
          <cell r="A34">
            <v>108</v>
          </cell>
          <cell r="B34" t="str">
            <v>CRISLANY DA SILVA</v>
          </cell>
        </row>
        <row r="35">
          <cell r="A35">
            <v>64</v>
          </cell>
          <cell r="B35" t="str">
            <v>CUSTODIO</v>
          </cell>
        </row>
        <row r="36">
          <cell r="A36">
            <v>107</v>
          </cell>
          <cell r="B36" t="str">
            <v>DAIANA PORTELA</v>
          </cell>
        </row>
        <row r="37">
          <cell r="A37">
            <v>43</v>
          </cell>
          <cell r="B37" t="str">
            <v>DAMIÃO</v>
          </cell>
        </row>
        <row r="38">
          <cell r="A38">
            <v>42</v>
          </cell>
          <cell r="B38" t="str">
            <v>DANIEL</v>
          </cell>
        </row>
        <row r="39">
          <cell r="A39">
            <v>17</v>
          </cell>
          <cell r="B39" t="str">
            <v>DAYANA</v>
          </cell>
        </row>
        <row r="40">
          <cell r="A40">
            <v>56</v>
          </cell>
          <cell r="B40" t="str">
            <v>DENIS</v>
          </cell>
        </row>
        <row r="41">
          <cell r="A41">
            <v>61</v>
          </cell>
          <cell r="B41" t="str">
            <v>DIEGO</v>
          </cell>
        </row>
        <row r="42">
          <cell r="A42">
            <v>114</v>
          </cell>
          <cell r="B42" t="str">
            <v>DIEGO CARNAUBA</v>
          </cell>
        </row>
        <row r="43">
          <cell r="A43">
            <v>137</v>
          </cell>
          <cell r="B43" t="str">
            <v>DIVINA ALVES DE OLIVEIRA</v>
          </cell>
        </row>
        <row r="44">
          <cell r="A44">
            <v>30</v>
          </cell>
          <cell r="B44" t="str">
            <v>DOUGLAS</v>
          </cell>
        </row>
        <row r="45">
          <cell r="A45">
            <v>50</v>
          </cell>
          <cell r="B45" t="str">
            <v>EDELSON</v>
          </cell>
        </row>
        <row r="46">
          <cell r="A46">
            <v>12</v>
          </cell>
          <cell r="B46" t="str">
            <v>EDSON</v>
          </cell>
        </row>
        <row r="47">
          <cell r="A47">
            <v>151</v>
          </cell>
          <cell r="B47" t="str">
            <v>EDSON PEREIRA DA SILVA</v>
          </cell>
        </row>
        <row r="48">
          <cell r="A48">
            <v>4</v>
          </cell>
          <cell r="B48" t="str">
            <v>EDUARDO</v>
          </cell>
        </row>
        <row r="49">
          <cell r="A49">
            <v>176</v>
          </cell>
          <cell r="B49" t="str">
            <v>EDUARDO DE JESUS BALDUINO</v>
          </cell>
        </row>
        <row r="50">
          <cell r="A50">
            <v>90</v>
          </cell>
          <cell r="B50" t="str">
            <v xml:space="preserve">ELEILTON </v>
          </cell>
        </row>
        <row r="51">
          <cell r="A51">
            <v>76</v>
          </cell>
          <cell r="B51" t="str">
            <v>ELIANA</v>
          </cell>
        </row>
        <row r="52">
          <cell r="A52">
            <v>82</v>
          </cell>
          <cell r="B52" t="str">
            <v>ELIAS</v>
          </cell>
        </row>
        <row r="53">
          <cell r="A53">
            <v>5</v>
          </cell>
          <cell r="B53" t="str">
            <v>ELINE</v>
          </cell>
        </row>
        <row r="54">
          <cell r="A54">
            <v>67</v>
          </cell>
          <cell r="B54" t="str">
            <v>ERIKA</v>
          </cell>
        </row>
        <row r="55">
          <cell r="A55">
            <v>225</v>
          </cell>
          <cell r="B55" t="str">
            <v>ERIKA ALVES DO NASCIMENTO</v>
          </cell>
        </row>
        <row r="56">
          <cell r="A56">
            <v>111</v>
          </cell>
          <cell r="B56" t="str">
            <v>ERLANE PANUCE</v>
          </cell>
        </row>
        <row r="57">
          <cell r="A57">
            <v>22</v>
          </cell>
          <cell r="B57" t="str">
            <v>ESTEFESON</v>
          </cell>
        </row>
        <row r="58">
          <cell r="A58">
            <v>45</v>
          </cell>
          <cell r="B58" t="str">
            <v>ESTERFFSON</v>
          </cell>
        </row>
        <row r="59">
          <cell r="A59">
            <v>96</v>
          </cell>
          <cell r="B59" t="str">
            <v xml:space="preserve">EVANDRO </v>
          </cell>
        </row>
        <row r="60">
          <cell r="A60">
            <v>23</v>
          </cell>
          <cell r="B60" t="str">
            <v>EXTERNO4</v>
          </cell>
        </row>
        <row r="61">
          <cell r="A61">
            <v>13</v>
          </cell>
          <cell r="B61" t="str">
            <v>EXTERNOADE</v>
          </cell>
        </row>
        <row r="62">
          <cell r="A62">
            <v>19</v>
          </cell>
          <cell r="B62" t="str">
            <v>FABIANA</v>
          </cell>
        </row>
        <row r="63">
          <cell r="A63">
            <v>99</v>
          </cell>
          <cell r="B63" t="str">
            <v>FABIO</v>
          </cell>
        </row>
        <row r="64">
          <cell r="A64">
            <v>145</v>
          </cell>
          <cell r="B64" t="str">
            <v xml:space="preserve">FABRICIA </v>
          </cell>
        </row>
        <row r="65">
          <cell r="A65">
            <v>185</v>
          </cell>
          <cell r="B65" t="str">
            <v>FELIPE OLIVEIRA PONTE</v>
          </cell>
        </row>
        <row r="66">
          <cell r="A66">
            <v>175</v>
          </cell>
          <cell r="B66" t="str">
            <v>FILIPE DE LIMA CASSIMIRO</v>
          </cell>
        </row>
        <row r="67">
          <cell r="A67">
            <v>200</v>
          </cell>
          <cell r="B67" t="str">
            <v>FLÁVIO REPRESENTANTE</v>
          </cell>
        </row>
        <row r="68">
          <cell r="A68">
            <v>102</v>
          </cell>
          <cell r="B68" t="str">
            <v>GABRIEL TEIXEIRA DA ROCHA</v>
          </cell>
        </row>
        <row r="69">
          <cell r="A69">
            <v>28</v>
          </cell>
          <cell r="B69" t="str">
            <v>GABRIELA</v>
          </cell>
        </row>
        <row r="70">
          <cell r="A70">
            <v>171</v>
          </cell>
          <cell r="B70" t="str">
            <v>GABRIELLY APARECIDA DE JESUS</v>
          </cell>
        </row>
        <row r="71">
          <cell r="A71">
            <v>31</v>
          </cell>
          <cell r="B71" t="str">
            <v>GEOVANE</v>
          </cell>
        </row>
        <row r="72">
          <cell r="A72">
            <v>59</v>
          </cell>
          <cell r="B72" t="str">
            <v>GIAN</v>
          </cell>
        </row>
        <row r="73">
          <cell r="A73">
            <v>68</v>
          </cell>
          <cell r="B73" t="str">
            <v>GIVANILDO</v>
          </cell>
        </row>
        <row r="74">
          <cell r="A74">
            <v>88</v>
          </cell>
          <cell r="B74" t="str">
            <v>GLEISON</v>
          </cell>
        </row>
        <row r="75">
          <cell r="A75">
            <v>104</v>
          </cell>
          <cell r="B75" t="str">
            <v>GUSTAVO</v>
          </cell>
        </row>
        <row r="76">
          <cell r="A76">
            <v>224</v>
          </cell>
          <cell r="B76" t="str">
            <v>GUSTAVO MOURA DE OLIVEIRA</v>
          </cell>
        </row>
        <row r="77">
          <cell r="A77">
            <v>29</v>
          </cell>
          <cell r="B77" t="str">
            <v>HELTON</v>
          </cell>
        </row>
        <row r="78">
          <cell r="A78">
            <v>149</v>
          </cell>
          <cell r="B78" t="str">
            <v>HERSON PEREIRA DA SILVA</v>
          </cell>
        </row>
        <row r="79">
          <cell r="A79">
            <v>18</v>
          </cell>
          <cell r="B79" t="str">
            <v>HUGO</v>
          </cell>
        </row>
        <row r="80">
          <cell r="A80">
            <v>100</v>
          </cell>
          <cell r="B80" t="str">
            <v>IDALICE</v>
          </cell>
        </row>
        <row r="81">
          <cell r="A81">
            <v>116</v>
          </cell>
          <cell r="B81" t="str">
            <v>IGOR PEIXOTO COSTA</v>
          </cell>
        </row>
        <row r="82">
          <cell r="A82">
            <v>95</v>
          </cell>
          <cell r="B82" t="str">
            <v>INGRIDY</v>
          </cell>
        </row>
        <row r="83">
          <cell r="A83">
            <v>41</v>
          </cell>
          <cell r="B83" t="str">
            <v>ISMAEL</v>
          </cell>
        </row>
        <row r="84">
          <cell r="A84">
            <v>27</v>
          </cell>
          <cell r="B84" t="str">
            <v>IVAN</v>
          </cell>
        </row>
        <row r="85">
          <cell r="A85">
            <v>37</v>
          </cell>
          <cell r="B85" t="str">
            <v>JANAINA</v>
          </cell>
        </row>
        <row r="86">
          <cell r="A86">
            <v>26</v>
          </cell>
          <cell r="B86" t="str">
            <v>JANUARIO</v>
          </cell>
        </row>
        <row r="87">
          <cell r="A87">
            <v>25</v>
          </cell>
          <cell r="B87" t="str">
            <v>JEFFERSON</v>
          </cell>
        </row>
        <row r="88">
          <cell r="A88">
            <v>84</v>
          </cell>
          <cell r="B88" t="str">
            <v>JEICY AZEVEDO</v>
          </cell>
        </row>
        <row r="89">
          <cell r="A89">
            <v>21</v>
          </cell>
          <cell r="B89" t="str">
            <v>JESSICA</v>
          </cell>
        </row>
        <row r="90">
          <cell r="A90">
            <v>53</v>
          </cell>
          <cell r="B90" t="str">
            <v xml:space="preserve">JOÃO FELIX MORAES SANTOS </v>
          </cell>
        </row>
        <row r="91">
          <cell r="A91">
            <v>1</v>
          </cell>
          <cell r="B91" t="str">
            <v>JOCELIA</v>
          </cell>
        </row>
        <row r="92">
          <cell r="A92">
            <v>51</v>
          </cell>
          <cell r="B92" t="str">
            <v>JOHN</v>
          </cell>
        </row>
        <row r="93">
          <cell r="A93">
            <v>186</v>
          </cell>
          <cell r="B93" t="str">
            <v>JOHN LENNON FERREIRA P BUENO</v>
          </cell>
        </row>
        <row r="94">
          <cell r="A94">
            <v>78</v>
          </cell>
          <cell r="B94" t="str">
            <v>JONAS</v>
          </cell>
        </row>
        <row r="95">
          <cell r="A95">
            <v>153</v>
          </cell>
          <cell r="B95" t="str">
            <v>JORGE LUIZ DE ALMEIDA</v>
          </cell>
        </row>
        <row r="96">
          <cell r="A96">
            <v>62</v>
          </cell>
          <cell r="B96" t="str">
            <v>JOSE ANTONIO</v>
          </cell>
        </row>
        <row r="97">
          <cell r="A97">
            <v>63</v>
          </cell>
          <cell r="B97" t="str">
            <v>JOSE SILVA</v>
          </cell>
        </row>
        <row r="98">
          <cell r="A98">
            <v>83</v>
          </cell>
          <cell r="B98" t="str">
            <v>JUCERLANDIO</v>
          </cell>
        </row>
        <row r="99">
          <cell r="A99">
            <v>152</v>
          </cell>
          <cell r="B99" t="str">
            <v>JUNIO ALVES DE ALMEIDA</v>
          </cell>
        </row>
        <row r="100">
          <cell r="A100">
            <v>38</v>
          </cell>
          <cell r="B100" t="str">
            <v>JUNIOR LIMA</v>
          </cell>
        </row>
        <row r="101">
          <cell r="A101">
            <v>140</v>
          </cell>
          <cell r="B101" t="str">
            <v>KAREN NAYARA BORGES</v>
          </cell>
        </row>
        <row r="102">
          <cell r="A102">
            <v>127</v>
          </cell>
          <cell r="B102" t="str">
            <v>KARLA CRISTYNA ALVES FIGUEIRED</v>
          </cell>
        </row>
        <row r="103">
          <cell r="A103">
            <v>210</v>
          </cell>
          <cell r="B103" t="str">
            <v>KAROL MARKETING</v>
          </cell>
        </row>
        <row r="104">
          <cell r="A104">
            <v>196</v>
          </cell>
          <cell r="B104" t="str">
            <v>KASSIANO MARCUS ALVES SILVA</v>
          </cell>
        </row>
        <row r="105">
          <cell r="A105">
            <v>207</v>
          </cell>
          <cell r="B105" t="str">
            <v>KETILE SABRINE</v>
          </cell>
        </row>
        <row r="106">
          <cell r="A106">
            <v>206</v>
          </cell>
          <cell r="B106" t="str">
            <v>LAURA LISBOA</v>
          </cell>
        </row>
        <row r="107">
          <cell r="A107">
            <v>199</v>
          </cell>
          <cell r="B107" t="str">
            <v>LEANDRO LUIZ NUNES</v>
          </cell>
        </row>
        <row r="108">
          <cell r="A108">
            <v>81</v>
          </cell>
          <cell r="B108" t="str">
            <v>LEONARDO</v>
          </cell>
        </row>
        <row r="109">
          <cell r="A109">
            <v>180</v>
          </cell>
          <cell r="B109" t="str">
            <v>LETICIA ALMEIDA</v>
          </cell>
        </row>
        <row r="110">
          <cell r="A110">
            <v>32</v>
          </cell>
          <cell r="B110" t="str">
            <v>LIDER ADE</v>
          </cell>
        </row>
        <row r="111">
          <cell r="A111">
            <v>0</v>
          </cell>
          <cell r="B111" t="str">
            <v>LIMPEZA DE ACESSO</v>
          </cell>
        </row>
        <row r="112">
          <cell r="A112">
            <v>109</v>
          </cell>
          <cell r="B112" t="str">
            <v>LIVIA DE SOUZA</v>
          </cell>
        </row>
        <row r="113">
          <cell r="A113">
            <v>173</v>
          </cell>
          <cell r="B113" t="str">
            <v>LÍVIA FRANÇA V. DO E. SANTO</v>
          </cell>
        </row>
        <row r="114">
          <cell r="A114">
            <v>113</v>
          </cell>
          <cell r="B114" t="str">
            <v>LORRANE DE BRITO</v>
          </cell>
        </row>
        <row r="115">
          <cell r="A115">
            <v>184</v>
          </cell>
          <cell r="B115" t="str">
            <v xml:space="preserve">LOUISE REGINA ALVES </v>
          </cell>
        </row>
        <row r="116">
          <cell r="A116">
            <v>35</v>
          </cell>
          <cell r="B116" t="str">
            <v>LUANA</v>
          </cell>
        </row>
        <row r="117">
          <cell r="A117">
            <v>66</v>
          </cell>
          <cell r="B117" t="str">
            <v>LUCIANA</v>
          </cell>
        </row>
        <row r="118">
          <cell r="A118">
            <v>89</v>
          </cell>
          <cell r="B118" t="str">
            <v>LUCIANO</v>
          </cell>
        </row>
        <row r="119">
          <cell r="A119">
            <v>146</v>
          </cell>
          <cell r="B119" t="str">
            <v>LUCIMEIRE ROSA RIBEIRO</v>
          </cell>
        </row>
        <row r="120">
          <cell r="A120">
            <v>8</v>
          </cell>
          <cell r="B120" t="str">
            <v>LUIS FERNANDO</v>
          </cell>
        </row>
        <row r="121">
          <cell r="A121">
            <v>44</v>
          </cell>
          <cell r="B121" t="str">
            <v>LUIS JUNIO</v>
          </cell>
        </row>
        <row r="122">
          <cell r="A122">
            <v>101</v>
          </cell>
          <cell r="B122" t="str">
            <v>LUIS PINHEIRO RODRIGUES</v>
          </cell>
        </row>
        <row r="123">
          <cell r="A123">
            <v>150</v>
          </cell>
          <cell r="B123" t="str">
            <v>LUZIBERTO GOMES DA SILVA</v>
          </cell>
        </row>
        <row r="124">
          <cell r="A124">
            <v>77</v>
          </cell>
          <cell r="B124" t="str">
            <v>MARCELO</v>
          </cell>
        </row>
        <row r="125">
          <cell r="A125">
            <v>156</v>
          </cell>
          <cell r="B125" t="str">
            <v>MARCELO DA CONCEIÇÃO FERREIRA</v>
          </cell>
        </row>
        <row r="126">
          <cell r="A126">
            <v>97</v>
          </cell>
          <cell r="B126" t="str">
            <v xml:space="preserve">MARCIA </v>
          </cell>
        </row>
        <row r="127">
          <cell r="A127">
            <v>181</v>
          </cell>
          <cell r="B127" t="str">
            <v>MARCIO KELER BITTENCORT VENIS</v>
          </cell>
        </row>
        <row r="128">
          <cell r="A128">
            <v>14</v>
          </cell>
          <cell r="B128" t="str">
            <v>MARCOS</v>
          </cell>
        </row>
        <row r="129">
          <cell r="A129">
            <v>155</v>
          </cell>
          <cell r="B129" t="str">
            <v>MARI</v>
          </cell>
        </row>
        <row r="130">
          <cell r="A130">
            <v>193</v>
          </cell>
          <cell r="B130" t="str">
            <v>MARIA ALICE</v>
          </cell>
        </row>
        <row r="131">
          <cell r="A131">
            <v>170</v>
          </cell>
          <cell r="B131" t="str">
            <v>MARIA LUISA</v>
          </cell>
        </row>
        <row r="132">
          <cell r="A132">
            <v>143</v>
          </cell>
          <cell r="B132" t="str">
            <v>MARIA THAINARA L. DA SILVA</v>
          </cell>
        </row>
        <row r="133">
          <cell r="A133">
            <v>209</v>
          </cell>
          <cell r="B133" t="str">
            <v>MARIA WITHALINA CUNHA DE SOUZA</v>
          </cell>
        </row>
        <row r="134">
          <cell r="A134">
            <v>208</v>
          </cell>
          <cell r="B134" t="str">
            <v>MARIO DE MOURA SANTANA</v>
          </cell>
        </row>
        <row r="135">
          <cell r="A135">
            <v>131</v>
          </cell>
          <cell r="B135" t="str">
            <v>MARTILIANA MERIAM LOPES CARDOS</v>
          </cell>
        </row>
        <row r="136">
          <cell r="A136">
            <v>178</v>
          </cell>
          <cell r="B136" t="str">
            <v xml:space="preserve">MATEUS </v>
          </cell>
        </row>
        <row r="137">
          <cell r="A137">
            <v>154</v>
          </cell>
          <cell r="B137" t="str">
            <v>MATHEUS</v>
          </cell>
        </row>
        <row r="138">
          <cell r="A138">
            <v>57</v>
          </cell>
          <cell r="B138" t="str">
            <v>MAURICIO</v>
          </cell>
        </row>
        <row r="139">
          <cell r="A139">
            <v>20</v>
          </cell>
          <cell r="B139" t="str">
            <v>MAYARA</v>
          </cell>
        </row>
        <row r="140">
          <cell r="A140">
            <v>79</v>
          </cell>
          <cell r="B140" t="str">
            <v>MESSIAS</v>
          </cell>
        </row>
        <row r="141">
          <cell r="A141">
            <v>147</v>
          </cell>
          <cell r="B141" t="str">
            <v>MICAELE DA CONCEIÇAO SILVA</v>
          </cell>
        </row>
        <row r="142">
          <cell r="A142">
            <v>65</v>
          </cell>
          <cell r="B142" t="str">
            <v>MICHAEL ALVES FERNANDES</v>
          </cell>
        </row>
        <row r="143">
          <cell r="A143">
            <v>198</v>
          </cell>
          <cell r="B143" t="str">
            <v>MICHELLY DIAS</v>
          </cell>
        </row>
        <row r="144">
          <cell r="A144">
            <v>174</v>
          </cell>
          <cell r="B144" t="str">
            <v>MIRIÃ LOBATO RODRIGUES</v>
          </cell>
        </row>
        <row r="145">
          <cell r="A145">
            <v>183</v>
          </cell>
          <cell r="B145" t="str">
            <v>NADINE DE OLIVEIRA MORAIS</v>
          </cell>
        </row>
        <row r="146">
          <cell r="A146">
            <v>117</v>
          </cell>
          <cell r="B146" t="str">
            <v>NAGILA DA SILVA</v>
          </cell>
        </row>
        <row r="147">
          <cell r="A147">
            <v>9</v>
          </cell>
          <cell r="B147" t="str">
            <v>NARA</v>
          </cell>
        </row>
        <row r="148">
          <cell r="A148">
            <v>55</v>
          </cell>
          <cell r="B148" t="str">
            <v>NARGILA</v>
          </cell>
        </row>
        <row r="149">
          <cell r="A149">
            <v>191</v>
          </cell>
          <cell r="B149" t="str">
            <v xml:space="preserve">NATHAN DE LIMA SOUSA </v>
          </cell>
        </row>
        <row r="150">
          <cell r="A150">
            <v>75</v>
          </cell>
          <cell r="B150" t="str">
            <v>NEUTON</v>
          </cell>
        </row>
        <row r="151">
          <cell r="A151">
            <v>128</v>
          </cell>
          <cell r="B151" t="str">
            <v>NURES GOMES BATISTA</v>
          </cell>
        </row>
        <row r="152">
          <cell r="A152">
            <v>71</v>
          </cell>
          <cell r="B152" t="str">
            <v>OFICINAS</v>
          </cell>
        </row>
        <row r="153">
          <cell r="A153">
            <v>132</v>
          </cell>
          <cell r="B153" t="str">
            <v>PAMELA GONÇALVES ROSA</v>
          </cell>
        </row>
        <row r="154">
          <cell r="A154">
            <v>93</v>
          </cell>
          <cell r="B154" t="str">
            <v>PATRICIA</v>
          </cell>
        </row>
        <row r="155">
          <cell r="A155">
            <v>33</v>
          </cell>
          <cell r="B155" t="str">
            <v>PAULINHO</v>
          </cell>
        </row>
        <row r="156">
          <cell r="A156">
            <v>115</v>
          </cell>
          <cell r="B156" t="str">
            <v>PAULO</v>
          </cell>
        </row>
        <row r="157">
          <cell r="A157">
            <v>7</v>
          </cell>
          <cell r="B157" t="str">
            <v>PEDRO</v>
          </cell>
        </row>
        <row r="158">
          <cell r="A158">
            <v>48</v>
          </cell>
          <cell r="B158" t="str">
            <v>PEDRO PAULO</v>
          </cell>
        </row>
        <row r="159">
          <cell r="A159">
            <v>197</v>
          </cell>
          <cell r="B159" t="str">
            <v xml:space="preserve">POLIANA LORRANE DE AMORIM </v>
          </cell>
        </row>
        <row r="160">
          <cell r="A160">
            <v>123</v>
          </cell>
          <cell r="B160" t="str">
            <v>PRICILA PAULA DOS SANTOS</v>
          </cell>
        </row>
        <row r="161">
          <cell r="A161">
            <v>998</v>
          </cell>
          <cell r="B161" t="str">
            <v>PROGRAMAÇÃO</v>
          </cell>
        </row>
        <row r="162">
          <cell r="A162">
            <v>129</v>
          </cell>
          <cell r="B162" t="str">
            <v>RAFAEL DA SILVA PEREIRA DIAS</v>
          </cell>
        </row>
        <row r="163">
          <cell r="A163">
            <v>120</v>
          </cell>
          <cell r="B163" t="str">
            <v>RAFAELLA DOS REIS DANTAS</v>
          </cell>
        </row>
        <row r="164">
          <cell r="A164">
            <v>172</v>
          </cell>
          <cell r="B164" t="str">
            <v>RAIMUNDO AFONSO VIEIRA</v>
          </cell>
        </row>
        <row r="165">
          <cell r="A165">
            <v>139</v>
          </cell>
          <cell r="B165" t="str">
            <v>RAMOM RODRIGUES DOS SANTOS</v>
          </cell>
        </row>
        <row r="166">
          <cell r="A166">
            <v>39</v>
          </cell>
          <cell r="B166" t="str">
            <v>RAONIREIS</v>
          </cell>
        </row>
        <row r="167">
          <cell r="A167">
            <v>136</v>
          </cell>
          <cell r="B167" t="str">
            <v>REGINALDO MARTINS DE ANDRADE</v>
          </cell>
        </row>
        <row r="168">
          <cell r="A168">
            <v>15</v>
          </cell>
          <cell r="B168" t="str">
            <v>REPRESENTANTE</v>
          </cell>
        </row>
        <row r="169">
          <cell r="A169">
            <v>106</v>
          </cell>
          <cell r="B169" t="str">
            <v>RICARDO</v>
          </cell>
        </row>
        <row r="170">
          <cell r="A170">
            <v>54</v>
          </cell>
          <cell r="B170" t="str">
            <v>ROBSON</v>
          </cell>
        </row>
        <row r="171">
          <cell r="A171">
            <v>58</v>
          </cell>
          <cell r="B171" t="str">
            <v>ROBSON SOARES</v>
          </cell>
        </row>
        <row r="172">
          <cell r="A172">
            <v>24</v>
          </cell>
          <cell r="B172" t="str">
            <v>ROGERIO</v>
          </cell>
        </row>
        <row r="173">
          <cell r="A173">
            <v>121</v>
          </cell>
          <cell r="B173" t="str">
            <v>ROMULO COSTA DE ARAUJO JUNIOR</v>
          </cell>
        </row>
        <row r="174">
          <cell r="A174">
            <v>205</v>
          </cell>
          <cell r="B174" t="str">
            <v>RONAN PARACATU</v>
          </cell>
        </row>
        <row r="175">
          <cell r="A175">
            <v>124</v>
          </cell>
          <cell r="B175" t="str">
            <v>SAMARA NERYS GUEDES NEVES</v>
          </cell>
        </row>
        <row r="176">
          <cell r="A176">
            <v>135</v>
          </cell>
          <cell r="B176" t="str">
            <v>SAMUEL DA COSTA F. CARVALHO</v>
          </cell>
        </row>
        <row r="177">
          <cell r="A177">
            <v>148</v>
          </cell>
          <cell r="B177" t="str">
            <v>SARA LUCIA DE SOUZA</v>
          </cell>
        </row>
        <row r="178">
          <cell r="A178">
            <v>211</v>
          </cell>
          <cell r="B178" t="str">
            <v>SHEILA MIRANDA</v>
          </cell>
        </row>
        <row r="179">
          <cell r="A179">
            <v>6</v>
          </cell>
          <cell r="B179" t="str">
            <v>SUZANA</v>
          </cell>
        </row>
        <row r="180">
          <cell r="A180">
            <v>112</v>
          </cell>
          <cell r="B180" t="str">
            <v>SUZANE DIAS</v>
          </cell>
        </row>
        <row r="181">
          <cell r="A181">
            <v>105</v>
          </cell>
          <cell r="B181" t="str">
            <v>TARCISIO</v>
          </cell>
        </row>
        <row r="182">
          <cell r="A182" t="str">
            <v>AUT</v>
          </cell>
          <cell r="B182" t="str">
            <v>TAREFA AUTOMÁTICA</v>
          </cell>
        </row>
        <row r="183">
          <cell r="A183">
            <v>195</v>
          </cell>
          <cell r="B183" t="str">
            <v xml:space="preserve">UILIAN ALMEIDA </v>
          </cell>
        </row>
        <row r="184">
          <cell r="A184">
            <v>194</v>
          </cell>
          <cell r="B184" t="str">
            <v>UILIAN VENDAS EXTERNAS</v>
          </cell>
        </row>
        <row r="185">
          <cell r="A185">
            <v>119</v>
          </cell>
          <cell r="B185" t="str">
            <v>VALDO RODRIGUES</v>
          </cell>
        </row>
        <row r="186">
          <cell r="A186">
            <v>141</v>
          </cell>
          <cell r="B186" t="str">
            <v>VANDERLEI RIBEIRO</v>
          </cell>
        </row>
        <row r="187">
          <cell r="A187">
            <v>94</v>
          </cell>
          <cell r="B187" t="str">
            <v>VANESSA KOBELUS</v>
          </cell>
        </row>
        <row r="188">
          <cell r="A188">
            <v>220</v>
          </cell>
          <cell r="B188" t="str">
            <v>VENDA DE PEÇAS</v>
          </cell>
        </row>
        <row r="189">
          <cell r="A189">
            <v>222</v>
          </cell>
          <cell r="B189" t="str">
            <v>VENDAS AGREGADAS</v>
          </cell>
        </row>
        <row r="190">
          <cell r="A190">
            <v>995</v>
          </cell>
          <cell r="B190" t="str">
            <v>VENDEDOR</v>
          </cell>
        </row>
        <row r="191">
          <cell r="A191">
            <v>3</v>
          </cell>
          <cell r="B191" t="str">
            <v>VICTOR DAMASCENO</v>
          </cell>
        </row>
        <row r="192">
          <cell r="A192">
            <v>40</v>
          </cell>
          <cell r="B192" t="str">
            <v>VITOR</v>
          </cell>
        </row>
        <row r="193">
          <cell r="A193">
            <v>92</v>
          </cell>
          <cell r="B193" t="str">
            <v>WAGNER</v>
          </cell>
        </row>
        <row r="194">
          <cell r="A194">
            <v>133</v>
          </cell>
          <cell r="B194" t="str">
            <v>WALBER</v>
          </cell>
        </row>
        <row r="195">
          <cell r="A195">
            <v>223</v>
          </cell>
          <cell r="B195" t="str">
            <v>WALBER TAVARES DA CONCEIÇÃO</v>
          </cell>
        </row>
        <row r="196">
          <cell r="A196">
            <v>49</v>
          </cell>
          <cell r="B196" t="str">
            <v>WASHINGTON</v>
          </cell>
        </row>
        <row r="197">
          <cell r="A197">
            <v>110</v>
          </cell>
          <cell r="B197" t="str">
            <v>WELBER NAYON</v>
          </cell>
        </row>
        <row r="198">
          <cell r="A198">
            <v>10</v>
          </cell>
          <cell r="B198" t="str">
            <v>WELLINGTON</v>
          </cell>
        </row>
        <row r="199">
          <cell r="A199">
            <v>85</v>
          </cell>
          <cell r="B199" t="str">
            <v>WEMERSON</v>
          </cell>
        </row>
        <row r="200">
          <cell r="A200">
            <v>125</v>
          </cell>
          <cell r="B200" t="str">
            <v>WENDERSON PEREIRA JESUS</v>
          </cell>
        </row>
        <row r="201">
          <cell r="A201">
            <v>34</v>
          </cell>
          <cell r="B201" t="str">
            <v>WESLEY</v>
          </cell>
        </row>
        <row r="202">
          <cell r="A202">
            <v>87</v>
          </cell>
          <cell r="B202" t="str">
            <v>WESLLEY</v>
          </cell>
        </row>
        <row r="203">
          <cell r="A203">
            <v>138</v>
          </cell>
          <cell r="B203" t="str">
            <v>WILLIAM ASSIS FERREIRA DA SILV</v>
          </cell>
        </row>
        <row r="204">
          <cell r="A204">
            <v>212</v>
          </cell>
          <cell r="B204" t="str">
            <v>YASMIN</v>
          </cell>
        </row>
        <row r="205">
          <cell r="A205">
            <v>134</v>
          </cell>
          <cell r="B205" t="str">
            <v>YSA ARAUJO</v>
          </cell>
        </row>
        <row r="206">
          <cell r="A206">
            <v>227</v>
          </cell>
          <cell r="B206" t="str">
            <v>WHALISSON</v>
          </cell>
        </row>
        <row r="207">
          <cell r="A207">
            <v>228</v>
          </cell>
          <cell r="B207" t="str">
            <v>LUCAS</v>
          </cell>
        </row>
        <row r="208">
          <cell r="A208">
            <v>229</v>
          </cell>
          <cell r="B208" t="str">
            <v>FRED</v>
          </cell>
        </row>
        <row r="209">
          <cell r="A209">
            <v>230</v>
          </cell>
          <cell r="B209" t="str">
            <v>SÔNIA</v>
          </cell>
        </row>
        <row r="210">
          <cell r="A210">
            <v>231</v>
          </cell>
          <cell r="B210" t="str">
            <v>EDIJANE</v>
          </cell>
        </row>
        <row r="211">
          <cell r="A211">
            <v>233</v>
          </cell>
          <cell r="B211" t="str">
            <v>MARCELO MENEZES</v>
          </cell>
        </row>
        <row r="212">
          <cell r="A212">
            <v>232</v>
          </cell>
          <cell r="B212" t="str">
            <v>JESSICA GUIMARÃES</v>
          </cell>
        </row>
        <row r="213">
          <cell r="A213">
            <v>234</v>
          </cell>
          <cell r="B213" t="str">
            <v>MARCOS AURÉLIO</v>
          </cell>
        </row>
        <row r="214">
          <cell r="A214">
            <v>236</v>
          </cell>
          <cell r="B214" t="str">
            <v>DANIEL</v>
          </cell>
        </row>
        <row r="215">
          <cell r="A215">
            <v>237</v>
          </cell>
          <cell r="B215" t="str">
            <v>ANTÔNIO</v>
          </cell>
        </row>
        <row r="216">
          <cell r="A216">
            <v>239</v>
          </cell>
          <cell r="B216" t="str">
            <v>BRUNO</v>
          </cell>
        </row>
        <row r="217">
          <cell r="A217">
            <v>240</v>
          </cell>
          <cell r="B217" t="str">
            <v>MICHEL</v>
          </cell>
        </row>
        <row r="218">
          <cell r="A218">
            <v>238</v>
          </cell>
          <cell r="B218" t="str">
            <v>BIANCA</v>
          </cell>
        </row>
        <row r="219">
          <cell r="A219">
            <v>510</v>
          </cell>
          <cell r="B219" t="str">
            <v>MARCELO FERREIRA</v>
          </cell>
        </row>
        <row r="220">
          <cell r="A220">
            <v>241</v>
          </cell>
          <cell r="B220" t="str">
            <v>PRISCILA</v>
          </cell>
        </row>
        <row r="221">
          <cell r="A221">
            <v>242</v>
          </cell>
          <cell r="B221" t="str">
            <v>CRISTIANO</v>
          </cell>
        </row>
        <row r="222">
          <cell r="A222">
            <v>510</v>
          </cell>
          <cell r="B222" t="str">
            <v>MARCELO</v>
          </cell>
        </row>
        <row r="223">
          <cell r="A223">
            <v>243</v>
          </cell>
          <cell r="B223" t="str">
            <v>HERICKA</v>
          </cell>
        </row>
        <row r="224">
          <cell r="A224">
            <v>245</v>
          </cell>
          <cell r="B224" t="str">
            <v>JOÃO PEDRO</v>
          </cell>
        </row>
        <row r="225">
          <cell r="A225">
            <v>226</v>
          </cell>
          <cell r="B225" t="str">
            <v>MARIA FÉLIX</v>
          </cell>
        </row>
      </sheetData>
      <sheetData sheetId="1"/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abela de preços"/>
      <sheetName val="Planilha5"/>
      <sheetName val="Planilha4"/>
      <sheetName val="Planilha1"/>
      <sheetName val="Planilha2"/>
      <sheetName val="Planilha3"/>
    </sheetNames>
    <sheetDataSet>
      <sheetData sheetId="0">
        <row r="1">
          <cell r="A1" t="str">
            <v>Cód.Item</v>
          </cell>
          <cell r="B1" t="str">
            <v>Descrição</v>
          </cell>
          <cell r="C1" t="str">
            <v>Novo Código de fábrica</v>
          </cell>
          <cell r="D1" t="str">
            <v>Desc. Marca</v>
          </cell>
          <cell r="E1" t="str">
            <v>Novo Linha/Grupo</v>
          </cell>
          <cell r="F1" t="str">
            <v>Desc. Linha/Grupo</v>
          </cell>
          <cell r="G1" t="str">
            <v>SEGMENTO</v>
          </cell>
        </row>
        <row r="2">
          <cell r="A2">
            <v>83910</v>
          </cell>
          <cell r="B2" t="str">
            <v>ACERTO DE COR - TRICOAT</v>
          </cell>
          <cell r="D2" t="str">
            <v>.</v>
          </cell>
          <cell r="E2">
            <v>999999</v>
          </cell>
          <cell r="F2" t="str">
            <v>GRUPO CONVERSAO</v>
          </cell>
          <cell r="G2" t="str">
            <v>NA</v>
          </cell>
        </row>
        <row r="3">
          <cell r="A3">
            <v>83901</v>
          </cell>
          <cell r="B3" t="str">
            <v>ACERTO DE COR AMARELO</v>
          </cell>
          <cell r="D3" t="str">
            <v>.</v>
          </cell>
          <cell r="E3">
            <v>999999</v>
          </cell>
          <cell r="F3" t="str">
            <v>GRUPO CONVERSAO</v>
          </cell>
          <cell r="G3" t="str">
            <v>NA</v>
          </cell>
        </row>
        <row r="4">
          <cell r="A4">
            <v>83900</v>
          </cell>
          <cell r="B4" t="str">
            <v>ACERTO DE COR AZUL</v>
          </cell>
          <cell r="D4" t="str">
            <v>.</v>
          </cell>
          <cell r="E4">
            <v>999999</v>
          </cell>
          <cell r="F4" t="str">
            <v>GRUPO CONVERSAO</v>
          </cell>
          <cell r="G4" t="str">
            <v>NA</v>
          </cell>
        </row>
        <row r="5">
          <cell r="A5">
            <v>83904</v>
          </cell>
          <cell r="B5" t="str">
            <v>ACERTO DE COR BEGE</v>
          </cell>
          <cell r="D5" t="str">
            <v>.</v>
          </cell>
          <cell r="E5">
            <v>999999</v>
          </cell>
          <cell r="F5" t="str">
            <v>GRUPO CONVERSAO</v>
          </cell>
          <cell r="G5" t="str">
            <v>NA</v>
          </cell>
        </row>
        <row r="6">
          <cell r="A6">
            <v>83902</v>
          </cell>
          <cell r="B6" t="str">
            <v>ACERTO DE COR BRANCO</v>
          </cell>
          <cell r="D6" t="str">
            <v>.</v>
          </cell>
          <cell r="E6">
            <v>999999</v>
          </cell>
          <cell r="F6" t="str">
            <v>GRUPO CONVERSAO</v>
          </cell>
          <cell r="G6" t="str">
            <v>NA</v>
          </cell>
        </row>
        <row r="7">
          <cell r="A7">
            <v>83903</v>
          </cell>
          <cell r="B7" t="str">
            <v>ACERTO DE COR CINZA</v>
          </cell>
          <cell r="D7" t="str">
            <v>.</v>
          </cell>
          <cell r="E7">
            <v>999999</v>
          </cell>
          <cell r="F7" t="str">
            <v>GRUPO CONVERSAO</v>
          </cell>
          <cell r="G7" t="str">
            <v>NA</v>
          </cell>
        </row>
        <row r="8">
          <cell r="A8">
            <v>83912</v>
          </cell>
          <cell r="B8" t="str">
            <v>ACERTO DE COR LARANJA</v>
          </cell>
          <cell r="D8" t="str">
            <v>.</v>
          </cell>
          <cell r="E8">
            <v>999999</v>
          </cell>
          <cell r="F8" t="str">
            <v>GRUPO CONVERSAO</v>
          </cell>
          <cell r="G8" t="str">
            <v>NA</v>
          </cell>
        </row>
        <row r="9">
          <cell r="A9">
            <v>83905</v>
          </cell>
          <cell r="B9" t="str">
            <v>ACERTO DE COR MARROM</v>
          </cell>
          <cell r="D9" t="str">
            <v>.</v>
          </cell>
          <cell r="E9">
            <v>999999</v>
          </cell>
          <cell r="F9" t="str">
            <v>GRUPO CONVERSAO</v>
          </cell>
          <cell r="G9" t="str">
            <v>NA</v>
          </cell>
        </row>
        <row r="10">
          <cell r="A10">
            <v>83906</v>
          </cell>
          <cell r="B10" t="str">
            <v>ACERTO DE COR PRATA</v>
          </cell>
          <cell r="D10" t="str">
            <v>.</v>
          </cell>
          <cell r="E10">
            <v>999999</v>
          </cell>
          <cell r="F10" t="str">
            <v>GRUPO CONVERSAO</v>
          </cell>
          <cell r="G10" t="str">
            <v>NA</v>
          </cell>
        </row>
        <row r="11">
          <cell r="A11">
            <v>83907</v>
          </cell>
          <cell r="B11" t="str">
            <v>ACERTO DE COR PRETO</v>
          </cell>
          <cell r="D11" t="str">
            <v>.</v>
          </cell>
          <cell r="E11">
            <v>999999</v>
          </cell>
          <cell r="F11" t="str">
            <v>GRUPO CONVERSAO</v>
          </cell>
          <cell r="G11" t="str">
            <v>NA</v>
          </cell>
        </row>
        <row r="12">
          <cell r="A12">
            <v>83911</v>
          </cell>
          <cell r="B12" t="str">
            <v>ACERTO DE COR ROXO</v>
          </cell>
          <cell r="D12" t="str">
            <v>.</v>
          </cell>
          <cell r="E12">
            <v>999999</v>
          </cell>
          <cell r="F12" t="str">
            <v>GRUPO CONVERSAO</v>
          </cell>
          <cell r="G12" t="str">
            <v>NA</v>
          </cell>
        </row>
        <row r="13">
          <cell r="A13">
            <v>83909</v>
          </cell>
          <cell r="B13" t="str">
            <v>ACERTO DE COR VERDE</v>
          </cell>
          <cell r="D13" t="str">
            <v>.</v>
          </cell>
          <cell r="E13">
            <v>999999</v>
          </cell>
          <cell r="F13" t="str">
            <v>GRUPO CONVERSAO</v>
          </cell>
          <cell r="G13" t="str">
            <v>NA</v>
          </cell>
        </row>
        <row r="14">
          <cell r="A14">
            <v>83908</v>
          </cell>
          <cell r="B14" t="str">
            <v>ACERTO DE COR VERMELHO</v>
          </cell>
          <cell r="D14" t="str">
            <v>.</v>
          </cell>
          <cell r="E14">
            <v>999999</v>
          </cell>
          <cell r="F14" t="str">
            <v>GRUPO CONVERSAO</v>
          </cell>
          <cell r="G14" t="str">
            <v>NA</v>
          </cell>
        </row>
        <row r="15">
          <cell r="A15">
            <v>24407</v>
          </cell>
          <cell r="B15" t="str">
            <v>ACTION COCO BRANCO 5L LAVA LOUÇA</v>
          </cell>
          <cell r="C15" t="str">
            <v>PC04</v>
          </cell>
          <cell r="D15" t="str">
            <v>SAFIRA</v>
          </cell>
          <cell r="E15">
            <v>999999</v>
          </cell>
          <cell r="F15" t="str">
            <v>GRUPO CONVERSAO</v>
          </cell>
          <cell r="G15" t="str">
            <v>NA</v>
          </cell>
        </row>
        <row r="16">
          <cell r="A16">
            <v>24255</v>
          </cell>
          <cell r="B16" t="str">
            <v>ACTION LIMÃO VERDE 2L SAFIRA</v>
          </cell>
          <cell r="C16" t="str">
            <v>PA134</v>
          </cell>
          <cell r="D16" t="str">
            <v>SAFIRA</v>
          </cell>
          <cell r="E16">
            <v>999999</v>
          </cell>
          <cell r="F16" t="str">
            <v>GRUPO CONVERSAO</v>
          </cell>
          <cell r="G16" t="str">
            <v>NA</v>
          </cell>
        </row>
        <row r="17">
          <cell r="A17">
            <v>22973</v>
          </cell>
          <cell r="B17" t="str">
            <v>ADESIVO CONTACT CRISTAL</v>
          </cell>
          <cell r="C17">
            <v>1158</v>
          </cell>
          <cell r="D17" t="str">
            <v>.</v>
          </cell>
          <cell r="E17">
            <v>999999</v>
          </cell>
          <cell r="F17" t="str">
            <v>GRUPO CONVERSAO</v>
          </cell>
          <cell r="G17" t="str">
            <v>NA</v>
          </cell>
        </row>
        <row r="18">
          <cell r="A18">
            <v>21672</v>
          </cell>
          <cell r="B18" t="str">
            <v>ADESIVO PLASTICO BRANCA 1KG CARPLAST</v>
          </cell>
          <cell r="C18" t="str">
            <v>CA145</v>
          </cell>
          <cell r="D18" t="str">
            <v>MAXI RUBBER</v>
          </cell>
          <cell r="E18">
            <v>999999</v>
          </cell>
          <cell r="F18" t="str">
            <v>GRUPO CONVERSAO</v>
          </cell>
          <cell r="G18" t="str">
            <v>NA</v>
          </cell>
        </row>
        <row r="19">
          <cell r="A19">
            <v>23537</v>
          </cell>
          <cell r="B19" t="str">
            <v>AGUA SANITARIA 5LTS-3,11-ST</v>
          </cell>
          <cell r="C19">
            <v>1063</v>
          </cell>
          <cell r="D19" t="str">
            <v>TUFF</v>
          </cell>
          <cell r="E19">
            <v>999999</v>
          </cell>
          <cell r="F19" t="str">
            <v>GRUPO CONVERSAO</v>
          </cell>
          <cell r="G19" t="str">
            <v>NA</v>
          </cell>
        </row>
        <row r="20">
          <cell r="A20">
            <v>24381</v>
          </cell>
          <cell r="B20" t="str">
            <v>ALCOOL 70 AEROSOL ORBI</v>
          </cell>
          <cell r="C20">
            <v>13601</v>
          </cell>
          <cell r="D20" t="str">
            <v>ORBI</v>
          </cell>
          <cell r="E20">
            <v>999999</v>
          </cell>
          <cell r="F20" t="str">
            <v>GRUPO CONVERSAO</v>
          </cell>
          <cell r="G20" t="str">
            <v>NA</v>
          </cell>
        </row>
        <row r="21">
          <cell r="A21">
            <v>23507</v>
          </cell>
          <cell r="B21" t="str">
            <v>ALCOOL GEL 500ML-5,13-ST</v>
          </cell>
          <cell r="C21">
            <v>3847</v>
          </cell>
          <cell r="D21" t="str">
            <v>BRILHOMAX</v>
          </cell>
          <cell r="E21">
            <v>999999</v>
          </cell>
          <cell r="F21" t="str">
            <v>GRUPO CONVERSAO</v>
          </cell>
          <cell r="G21" t="str">
            <v>NA</v>
          </cell>
        </row>
        <row r="22">
          <cell r="A22">
            <v>23706</v>
          </cell>
          <cell r="B22" t="str">
            <v>ALCOOL GEL 70% 500ML RESICOLOR</v>
          </cell>
          <cell r="C22">
            <v>4660</v>
          </cell>
          <cell r="D22" t="str">
            <v>ATUAIS</v>
          </cell>
          <cell r="E22">
            <v>999999</v>
          </cell>
          <cell r="F22" t="str">
            <v>GRUPO CONVERSAO</v>
          </cell>
          <cell r="G22" t="str">
            <v>NA</v>
          </cell>
        </row>
        <row r="23">
          <cell r="A23">
            <v>23707</v>
          </cell>
          <cell r="B23" t="str">
            <v>ALCOOL LIQUIDO 70%</v>
          </cell>
          <cell r="C23">
            <v>1340</v>
          </cell>
          <cell r="D23" t="str">
            <v>START</v>
          </cell>
          <cell r="E23">
            <v>999999</v>
          </cell>
          <cell r="F23" t="str">
            <v>GRUPO CONVERSAO</v>
          </cell>
          <cell r="G23" t="str">
            <v>NA</v>
          </cell>
        </row>
        <row r="24">
          <cell r="A24">
            <v>167</v>
          </cell>
          <cell r="B24" t="str">
            <v>ALCOOL LIQUIDO 70% 5L UZUCLEAN</v>
          </cell>
          <cell r="C24">
            <v>3415</v>
          </cell>
          <cell r="D24" t="str">
            <v>.</v>
          </cell>
          <cell r="E24">
            <v>999999</v>
          </cell>
          <cell r="F24" t="str">
            <v>GRUPO CONVERSAO</v>
          </cell>
          <cell r="G24" t="str">
            <v>NA</v>
          </cell>
        </row>
        <row r="25">
          <cell r="A25">
            <v>23548</v>
          </cell>
          <cell r="B25" t="str">
            <v>ALMOFADA P/ CARIMBO N.3</v>
          </cell>
          <cell r="C25">
            <v>51953</v>
          </cell>
          <cell r="D25" t="str">
            <v>UTILER</v>
          </cell>
          <cell r="E25">
            <v>999999</v>
          </cell>
          <cell r="F25" t="str">
            <v>GRUPO CONVERSAO</v>
          </cell>
          <cell r="G25" t="str">
            <v>NA</v>
          </cell>
        </row>
        <row r="26">
          <cell r="A26">
            <v>85237</v>
          </cell>
          <cell r="B26" t="str">
            <v>AMOSTRA</v>
          </cell>
          <cell r="C26" t="str">
            <v>AMOSTRA</v>
          </cell>
          <cell r="D26" t="str">
            <v>START</v>
          </cell>
          <cell r="E26">
            <v>999999</v>
          </cell>
          <cell r="F26" t="str">
            <v>GRUPO CONVERSAO</v>
          </cell>
          <cell r="G26" t="str">
            <v>NA</v>
          </cell>
        </row>
        <row r="27">
          <cell r="A27">
            <v>23969</v>
          </cell>
          <cell r="B27" t="str">
            <v>APARELHO TELEFONICO S/ FIO PRETO INTELBRAS</v>
          </cell>
          <cell r="C27">
            <v>3417</v>
          </cell>
          <cell r="D27" t="str">
            <v>.</v>
          </cell>
          <cell r="E27">
            <v>999999</v>
          </cell>
          <cell r="F27" t="str">
            <v>GRUPO CONVERSAO</v>
          </cell>
          <cell r="G27" t="str">
            <v>NA</v>
          </cell>
        </row>
        <row r="28">
          <cell r="A28">
            <v>23551</v>
          </cell>
          <cell r="B28" t="str">
            <v>APONTADOR</v>
          </cell>
          <cell r="C28">
            <v>24274</v>
          </cell>
          <cell r="D28" t="str">
            <v>UTILER</v>
          </cell>
          <cell r="E28">
            <v>999999</v>
          </cell>
          <cell r="F28" t="str">
            <v>GRUPO CONVERSAO</v>
          </cell>
          <cell r="G28" t="str">
            <v>NA</v>
          </cell>
        </row>
        <row r="29">
          <cell r="A29">
            <v>84880</v>
          </cell>
          <cell r="B29" t="str">
            <v>AREIA MÉDIA M³</v>
          </cell>
          <cell r="C29">
            <v>4</v>
          </cell>
          <cell r="D29" t="str">
            <v>.</v>
          </cell>
          <cell r="E29">
            <v>999999</v>
          </cell>
          <cell r="F29" t="str">
            <v>GRUPO CONVERSAO</v>
          </cell>
          <cell r="G29" t="str">
            <v>NA</v>
          </cell>
        </row>
        <row r="30">
          <cell r="A30">
            <v>23525</v>
          </cell>
          <cell r="B30" t="str">
            <v>ARQUIVO MORTO</v>
          </cell>
          <cell r="C30">
            <v>60260</v>
          </cell>
          <cell r="D30" t="str">
            <v>UTILER</v>
          </cell>
          <cell r="E30">
            <v>999999</v>
          </cell>
          <cell r="F30" t="str">
            <v>GRUPO CONVERSAO</v>
          </cell>
          <cell r="G30" t="str">
            <v>NA</v>
          </cell>
        </row>
        <row r="31">
          <cell r="A31">
            <v>249</v>
          </cell>
          <cell r="B31" t="str">
            <v>BALDE REFORÇADO</v>
          </cell>
          <cell r="C31">
            <v>51082</v>
          </cell>
          <cell r="D31" t="str">
            <v>START</v>
          </cell>
          <cell r="E31">
            <v>999999</v>
          </cell>
          <cell r="F31" t="str">
            <v>GRUPO CONVERSAO</v>
          </cell>
          <cell r="G31" t="str">
            <v>NA</v>
          </cell>
        </row>
        <row r="32">
          <cell r="A32">
            <v>24215</v>
          </cell>
          <cell r="B32" t="str">
            <v>BARBANTE NATURAL</v>
          </cell>
          <cell r="C32">
            <v>51035</v>
          </cell>
          <cell r="D32" t="str">
            <v>UTILER</v>
          </cell>
          <cell r="E32">
            <v>999999</v>
          </cell>
          <cell r="F32" t="str">
            <v>GRUPO CONVERSAO</v>
          </cell>
          <cell r="G32" t="str">
            <v>NA</v>
          </cell>
        </row>
        <row r="33">
          <cell r="A33">
            <v>23695</v>
          </cell>
          <cell r="B33" t="str">
            <v>BLOCO DE REQUISIÇÃO SAGA</v>
          </cell>
          <cell r="C33">
            <v>159753</v>
          </cell>
          <cell r="D33" t="str">
            <v>.</v>
          </cell>
          <cell r="E33">
            <v>999999</v>
          </cell>
          <cell r="F33" t="str">
            <v>GRUPO CONVERSAO</v>
          </cell>
          <cell r="G33" t="str">
            <v>NA</v>
          </cell>
        </row>
        <row r="34">
          <cell r="A34">
            <v>23534</v>
          </cell>
          <cell r="B34" t="str">
            <v>BOBINA TERMICA 80X40 P/ LOJAS 1,3,5,6</v>
          </cell>
          <cell r="C34">
            <v>784361</v>
          </cell>
          <cell r="D34" t="str">
            <v>ETITEC</v>
          </cell>
          <cell r="E34">
            <v>999999</v>
          </cell>
          <cell r="F34" t="str">
            <v>GRUPO CONVERSAO</v>
          </cell>
          <cell r="G34" t="str">
            <v>NA</v>
          </cell>
        </row>
        <row r="35">
          <cell r="A35">
            <v>23793</v>
          </cell>
          <cell r="B35" t="str">
            <v>BOBINA TERMICA 80X40 PERSONALIZADA</v>
          </cell>
          <cell r="C35">
            <v>862404</v>
          </cell>
          <cell r="D35" t="str">
            <v>ETITEC</v>
          </cell>
          <cell r="E35">
            <v>999999</v>
          </cell>
          <cell r="F35" t="str">
            <v>GRUPO CONVERSAO</v>
          </cell>
          <cell r="G35" t="str">
            <v>NA</v>
          </cell>
        </row>
        <row r="36">
          <cell r="A36">
            <v>23614</v>
          </cell>
          <cell r="B36" t="str">
            <v>BOBINA TERMICA 80X80 P/ AS LOJAS 002,004</v>
          </cell>
          <cell r="C36">
            <v>876854</v>
          </cell>
          <cell r="D36" t="str">
            <v>.</v>
          </cell>
          <cell r="E36">
            <v>999999</v>
          </cell>
          <cell r="F36" t="str">
            <v>GRUPO CONVERSAO</v>
          </cell>
          <cell r="G36" t="str">
            <v>NA</v>
          </cell>
        </row>
        <row r="37">
          <cell r="A37">
            <v>23792</v>
          </cell>
          <cell r="B37" t="str">
            <v>BOBINA TERMICA 80X80 PERSONALIZADA</v>
          </cell>
          <cell r="C37">
            <v>299192</v>
          </cell>
          <cell r="D37" t="str">
            <v>ETITEC</v>
          </cell>
          <cell r="E37">
            <v>999999</v>
          </cell>
          <cell r="F37" t="str">
            <v>GRUPO CONVERSAO</v>
          </cell>
          <cell r="G37" t="str">
            <v>NA</v>
          </cell>
        </row>
        <row r="38">
          <cell r="A38">
            <v>23545</v>
          </cell>
          <cell r="B38" t="str">
            <v>BOM AR</v>
          </cell>
          <cell r="C38">
            <v>27749</v>
          </cell>
          <cell r="D38" t="str">
            <v>BRILHOMAX</v>
          </cell>
          <cell r="E38">
            <v>999999</v>
          </cell>
          <cell r="F38" t="str">
            <v>GRUPO CONVERSAO</v>
          </cell>
          <cell r="G38" t="str">
            <v>NA</v>
          </cell>
        </row>
        <row r="39">
          <cell r="A39">
            <v>23553</v>
          </cell>
          <cell r="B39" t="str">
            <v>BORRACHA PLASTICA BRANCA</v>
          </cell>
          <cell r="C39">
            <v>4972</v>
          </cell>
          <cell r="D39" t="str">
            <v>UTILER</v>
          </cell>
          <cell r="E39">
            <v>999999</v>
          </cell>
          <cell r="F39" t="str">
            <v>GRUPO CONVERSAO</v>
          </cell>
          <cell r="G39" t="str">
            <v>NA</v>
          </cell>
        </row>
        <row r="40">
          <cell r="A40">
            <v>23928</v>
          </cell>
          <cell r="B40" t="str">
            <v>CABO CHAPA DE AÇO 1,20 MT BETANIN</v>
          </cell>
          <cell r="C40">
            <v>8709</v>
          </cell>
          <cell r="D40" t="str">
            <v>START</v>
          </cell>
          <cell r="E40">
            <v>999999</v>
          </cell>
          <cell r="F40" t="str">
            <v>GRUPO CONVERSAO</v>
          </cell>
          <cell r="G40" t="str">
            <v>NA</v>
          </cell>
        </row>
        <row r="41">
          <cell r="A41">
            <v>23508</v>
          </cell>
          <cell r="B41" t="str">
            <v>CABO MADEIRA 1.40 MT PLASTIFICADO</v>
          </cell>
          <cell r="C41">
            <v>2830</v>
          </cell>
          <cell r="D41" t="str">
            <v>BRILHOMAX</v>
          </cell>
          <cell r="E41">
            <v>999999</v>
          </cell>
          <cell r="F41" t="str">
            <v>GRUPO CONVERSAO</v>
          </cell>
          <cell r="G41" t="str">
            <v>NA</v>
          </cell>
        </row>
        <row r="42">
          <cell r="A42">
            <v>23867</v>
          </cell>
          <cell r="B42" t="str">
            <v>CADERNO BROCHURA 48 FLS</v>
          </cell>
          <cell r="C42">
            <v>57871</v>
          </cell>
          <cell r="D42" t="str">
            <v>UTILER</v>
          </cell>
          <cell r="E42">
            <v>999999</v>
          </cell>
          <cell r="F42" t="str">
            <v>GRUPO CONVERSAO</v>
          </cell>
          <cell r="G42" t="str">
            <v>NA</v>
          </cell>
        </row>
        <row r="43">
          <cell r="A43">
            <v>84770</v>
          </cell>
          <cell r="B43" t="str">
            <v>CAIXA DE LUZES KOMBI</v>
          </cell>
          <cell r="C43" t="str">
            <v>26010EB30A</v>
          </cell>
          <cell r="D43" t="str">
            <v>.</v>
          </cell>
          <cell r="E43">
            <v>999999</v>
          </cell>
          <cell r="F43" t="str">
            <v>GRUPO CONVERSAO</v>
          </cell>
          <cell r="G43" t="str">
            <v>NA</v>
          </cell>
        </row>
        <row r="44">
          <cell r="A44">
            <v>83999</v>
          </cell>
          <cell r="B44" t="str">
            <v>CAIXA ORGANIZADORA</v>
          </cell>
          <cell r="C44">
            <v>57863</v>
          </cell>
          <cell r="D44" t="str">
            <v>UTILER</v>
          </cell>
          <cell r="E44">
            <v>999999</v>
          </cell>
          <cell r="F44" t="str">
            <v>GRUPO CONVERSAO</v>
          </cell>
          <cell r="G44" t="str">
            <v>NA</v>
          </cell>
        </row>
        <row r="45">
          <cell r="A45">
            <v>84881</v>
          </cell>
          <cell r="B45" t="str">
            <v>CAL HIDRATADA KG</v>
          </cell>
          <cell r="C45">
            <v>5</v>
          </cell>
          <cell r="D45" t="str">
            <v>.</v>
          </cell>
          <cell r="E45">
            <v>999999</v>
          </cell>
          <cell r="F45" t="str">
            <v>GRUPO CONVERSAO</v>
          </cell>
          <cell r="G45" t="str">
            <v>NA</v>
          </cell>
        </row>
        <row r="46">
          <cell r="A46">
            <v>23547</v>
          </cell>
          <cell r="B46" t="str">
            <v>CALCULADORA</v>
          </cell>
          <cell r="C46">
            <v>2707</v>
          </cell>
          <cell r="D46" t="str">
            <v>UTILER</v>
          </cell>
          <cell r="E46">
            <v>999999</v>
          </cell>
          <cell r="F46" t="str">
            <v>GRUPO CONVERSAO</v>
          </cell>
          <cell r="G46" t="str">
            <v>NA</v>
          </cell>
        </row>
        <row r="47">
          <cell r="A47">
            <v>22967</v>
          </cell>
          <cell r="B47" t="str">
            <v>CANETA BIC CRISTAL - PRETA</v>
          </cell>
          <cell r="C47">
            <v>51913</v>
          </cell>
          <cell r="D47" t="str">
            <v>.</v>
          </cell>
          <cell r="E47">
            <v>999999</v>
          </cell>
          <cell r="F47" t="str">
            <v>GRUPO CONVERSAO</v>
          </cell>
          <cell r="G47" t="str">
            <v>NA</v>
          </cell>
        </row>
        <row r="48">
          <cell r="A48">
            <v>23524</v>
          </cell>
          <cell r="B48" t="str">
            <v>CANETA BIC CRISTAL AZUL</v>
          </cell>
          <cell r="C48">
            <v>51912</v>
          </cell>
          <cell r="D48" t="str">
            <v>UTILER</v>
          </cell>
          <cell r="E48">
            <v>999999</v>
          </cell>
          <cell r="F48" t="str">
            <v>GRUPO CONVERSAO</v>
          </cell>
          <cell r="G48" t="str">
            <v>NA</v>
          </cell>
        </row>
        <row r="49">
          <cell r="A49">
            <v>23554</v>
          </cell>
          <cell r="B49" t="str">
            <v>CANETA BIC CRISTAL VERMELHA</v>
          </cell>
          <cell r="C49">
            <v>398</v>
          </cell>
          <cell r="D49" t="str">
            <v>UTILER</v>
          </cell>
          <cell r="E49">
            <v>999999</v>
          </cell>
          <cell r="F49" t="str">
            <v>GRUPO CONVERSAO</v>
          </cell>
          <cell r="G49" t="str">
            <v>NA</v>
          </cell>
        </row>
        <row r="50">
          <cell r="A50">
            <v>83847</v>
          </cell>
          <cell r="B50" t="str">
            <v>CANETA FIXA CHAPEU ALUMINIO</v>
          </cell>
          <cell r="C50">
            <v>3238</v>
          </cell>
          <cell r="D50" t="str">
            <v>UTILER</v>
          </cell>
          <cell r="E50">
            <v>999999</v>
          </cell>
          <cell r="F50" t="str">
            <v>GRUPO CONVERSAO</v>
          </cell>
          <cell r="G50" t="str">
            <v>NA</v>
          </cell>
        </row>
        <row r="51">
          <cell r="A51">
            <v>21702</v>
          </cell>
          <cell r="B51" t="str">
            <v>CATALISADOR ROBLINER P6000 225ML ROBERLO</v>
          </cell>
          <cell r="C51">
            <v>64653</v>
          </cell>
          <cell r="D51" t="str">
            <v>ROBERLO</v>
          </cell>
          <cell r="E51">
            <v>999999</v>
          </cell>
          <cell r="F51" t="str">
            <v>CATALISADORES INDIVIDUAIS</v>
          </cell>
          <cell r="G51" t="str">
            <v>AUTOMOTIVO</v>
          </cell>
        </row>
        <row r="52">
          <cell r="A52">
            <v>84713</v>
          </cell>
          <cell r="B52" t="str">
            <v>CATALOGO IMOBILIARIO SANFONADO</v>
          </cell>
          <cell r="C52">
            <v>10402</v>
          </cell>
          <cell r="D52" t="str">
            <v>BRASILUX</v>
          </cell>
          <cell r="E52">
            <v>999999</v>
          </cell>
          <cell r="F52" t="str">
            <v>GRUPO CONVERSAO</v>
          </cell>
          <cell r="G52" t="str">
            <v>NA</v>
          </cell>
        </row>
        <row r="53">
          <cell r="A53">
            <v>84712</v>
          </cell>
          <cell r="B53" t="str">
            <v>CATALOGO IMOBILIARO CAPA PRETA</v>
          </cell>
          <cell r="C53">
            <v>9851</v>
          </cell>
          <cell r="D53" t="str">
            <v>BRASILUX</v>
          </cell>
          <cell r="E53">
            <v>999999</v>
          </cell>
          <cell r="F53" t="str">
            <v>GRUPO CONVERSAO</v>
          </cell>
          <cell r="G53" t="str">
            <v>NA</v>
          </cell>
        </row>
        <row r="54">
          <cell r="A54">
            <v>84710</v>
          </cell>
          <cell r="B54" t="str">
            <v>CATALOGO LINHA AUTOMOTIVA</v>
          </cell>
          <cell r="C54">
            <v>4653</v>
          </cell>
          <cell r="D54" t="str">
            <v>BRASILUX</v>
          </cell>
          <cell r="E54">
            <v>999999</v>
          </cell>
          <cell r="F54" t="str">
            <v>GRUPO CONVERSAO</v>
          </cell>
          <cell r="G54" t="str">
            <v>NA</v>
          </cell>
        </row>
        <row r="55">
          <cell r="A55">
            <v>84711</v>
          </cell>
          <cell r="B55" t="str">
            <v>CATALOGO LINHA MOVELEIRA</v>
          </cell>
          <cell r="C55">
            <v>4654</v>
          </cell>
          <cell r="D55" t="str">
            <v>BRASILUX</v>
          </cell>
          <cell r="E55">
            <v>999999</v>
          </cell>
          <cell r="F55" t="str">
            <v>GRUPO CONVERSAO</v>
          </cell>
          <cell r="G55" t="str">
            <v>NA</v>
          </cell>
        </row>
        <row r="56">
          <cell r="A56">
            <v>21466</v>
          </cell>
          <cell r="B56" t="str">
            <v>CHAVE ESTRELA 10 X 11MM</v>
          </cell>
          <cell r="C56">
            <v>2662</v>
          </cell>
          <cell r="D56" t="str">
            <v>.</v>
          </cell>
          <cell r="E56">
            <v>999999</v>
          </cell>
          <cell r="F56" t="str">
            <v>GRUPO CONVERSAO</v>
          </cell>
          <cell r="G56" t="str">
            <v>NA</v>
          </cell>
        </row>
        <row r="57">
          <cell r="A57">
            <v>85192</v>
          </cell>
          <cell r="B57" t="str">
            <v>CHAVE ESTRELA 12 X 13MM</v>
          </cell>
          <cell r="C57">
            <v>3729121300</v>
          </cell>
          <cell r="D57" t="str">
            <v>.</v>
          </cell>
          <cell r="E57">
            <v>999999</v>
          </cell>
          <cell r="F57" t="str">
            <v>GRUPO CONVERSAO</v>
          </cell>
          <cell r="G57" t="str">
            <v>NA</v>
          </cell>
        </row>
        <row r="58">
          <cell r="A58">
            <v>85193</v>
          </cell>
          <cell r="B58" t="str">
            <v>CHAVE ESTRELA 14 X 15MM</v>
          </cell>
          <cell r="C58">
            <v>3729141500</v>
          </cell>
          <cell r="D58" t="str">
            <v>.</v>
          </cell>
          <cell r="E58">
            <v>999999</v>
          </cell>
          <cell r="F58" t="str">
            <v>GRUPO CONVERSAO</v>
          </cell>
          <cell r="G58" t="str">
            <v>NA</v>
          </cell>
        </row>
        <row r="59">
          <cell r="A59">
            <v>85194</v>
          </cell>
          <cell r="B59" t="str">
            <v>CHAVE FIXA 10 X 11MM</v>
          </cell>
          <cell r="C59">
            <v>3759101100</v>
          </cell>
          <cell r="D59" t="str">
            <v>.</v>
          </cell>
          <cell r="E59">
            <v>999999</v>
          </cell>
          <cell r="F59" t="str">
            <v>GRUPO CONVERSAO</v>
          </cell>
          <cell r="G59" t="str">
            <v>NA</v>
          </cell>
        </row>
        <row r="60">
          <cell r="A60">
            <v>85195</v>
          </cell>
          <cell r="B60" t="str">
            <v>CHAVE FIXA 12 X 13MM</v>
          </cell>
          <cell r="C60">
            <v>3759121300</v>
          </cell>
          <cell r="D60" t="str">
            <v>.</v>
          </cell>
          <cell r="E60">
            <v>999999</v>
          </cell>
          <cell r="F60" t="str">
            <v>GRUPO CONVERSAO</v>
          </cell>
          <cell r="G60" t="str">
            <v>NA</v>
          </cell>
        </row>
        <row r="61">
          <cell r="A61">
            <v>85196</v>
          </cell>
          <cell r="B61" t="str">
            <v>CHAVE FIXA 14 X 15MM</v>
          </cell>
          <cell r="C61">
            <v>3759141500</v>
          </cell>
          <cell r="D61" t="str">
            <v>.</v>
          </cell>
          <cell r="E61">
            <v>999999</v>
          </cell>
          <cell r="F61" t="str">
            <v>GRUPO CONVERSAO</v>
          </cell>
          <cell r="G61" t="str">
            <v>NA</v>
          </cell>
        </row>
        <row r="62">
          <cell r="A62">
            <v>23532</v>
          </cell>
          <cell r="B62" t="str">
            <v>CLIPES MEDIO</v>
          </cell>
          <cell r="C62">
            <v>43552</v>
          </cell>
          <cell r="D62" t="str">
            <v>UTILER</v>
          </cell>
          <cell r="E62">
            <v>999999</v>
          </cell>
          <cell r="F62" t="str">
            <v>GRUPO CONVERSAO</v>
          </cell>
          <cell r="G62" t="str">
            <v>NA</v>
          </cell>
        </row>
        <row r="63">
          <cell r="A63">
            <v>23550</v>
          </cell>
          <cell r="B63" t="str">
            <v>CLIPS 2/0 C/ 100 UNIDADES</v>
          </cell>
          <cell r="C63">
            <v>50066</v>
          </cell>
          <cell r="D63" t="str">
            <v>UTILER</v>
          </cell>
          <cell r="E63">
            <v>999999</v>
          </cell>
          <cell r="F63" t="str">
            <v>GRUPO CONVERSAO</v>
          </cell>
          <cell r="G63" t="str">
            <v>NA</v>
          </cell>
        </row>
        <row r="64">
          <cell r="A64">
            <v>83877</v>
          </cell>
          <cell r="B64" t="str">
            <v>CLIPS N 6/0 C/ 50 UNIDADES</v>
          </cell>
          <cell r="C64">
            <v>50132</v>
          </cell>
          <cell r="D64" t="str">
            <v>UTILER</v>
          </cell>
          <cell r="E64">
            <v>999999</v>
          </cell>
          <cell r="F64" t="str">
            <v>GRUPO CONVERSAO</v>
          </cell>
          <cell r="G64" t="str">
            <v>NA</v>
          </cell>
        </row>
        <row r="65">
          <cell r="A65">
            <v>22970</v>
          </cell>
          <cell r="B65" t="str">
            <v>CLIPS N 8/0 C/ 25 UNIDADES</v>
          </cell>
          <cell r="C65">
            <v>28598</v>
          </cell>
          <cell r="D65" t="str">
            <v>UTILER</v>
          </cell>
          <cell r="E65">
            <v>999999</v>
          </cell>
          <cell r="F65" t="str">
            <v>GRUPO CONVERSAO</v>
          </cell>
          <cell r="G65" t="str">
            <v>NA</v>
          </cell>
        </row>
        <row r="66">
          <cell r="A66">
            <v>23889</v>
          </cell>
          <cell r="B66" t="str">
            <v>COLA BASTÃO</v>
          </cell>
          <cell r="C66">
            <v>40191</v>
          </cell>
          <cell r="D66" t="str">
            <v>UTILER</v>
          </cell>
          <cell r="E66">
            <v>999999</v>
          </cell>
          <cell r="F66" t="str">
            <v>GRUPO CONVERSAO</v>
          </cell>
          <cell r="G66" t="str">
            <v>NA</v>
          </cell>
        </row>
        <row r="67">
          <cell r="A67">
            <v>83943</v>
          </cell>
          <cell r="B67" t="str">
            <v>COLA QUENTE SILICONE BASTÃO</v>
          </cell>
          <cell r="C67">
            <v>26844</v>
          </cell>
          <cell r="D67" t="str">
            <v>UTILER</v>
          </cell>
          <cell r="E67">
            <v>999999</v>
          </cell>
          <cell r="F67" t="str">
            <v>GRUPO CONVERSAO</v>
          </cell>
          <cell r="G67" t="str">
            <v>NA</v>
          </cell>
        </row>
        <row r="68">
          <cell r="A68">
            <v>83942</v>
          </cell>
          <cell r="B68" t="str">
            <v>CONTEINER PLASTICO 240LT CINZA</v>
          </cell>
          <cell r="C68">
            <v>11587</v>
          </cell>
          <cell r="D68" t="str">
            <v>ATLAS</v>
          </cell>
          <cell r="E68">
            <v>999999</v>
          </cell>
          <cell r="F68" t="str">
            <v>GRUPO CONVERSAO</v>
          </cell>
          <cell r="G68" t="str">
            <v>NA</v>
          </cell>
        </row>
        <row r="69">
          <cell r="A69">
            <v>22978</v>
          </cell>
          <cell r="B69" t="str">
            <v>COPO DESC BCO 200ML</v>
          </cell>
          <cell r="C69">
            <v>10542</v>
          </cell>
          <cell r="D69" t="str">
            <v>.</v>
          </cell>
          <cell r="E69">
            <v>999999</v>
          </cell>
          <cell r="F69" t="str">
            <v>GRUPO CONVERSAO</v>
          </cell>
          <cell r="G69" t="str">
            <v>NA</v>
          </cell>
        </row>
        <row r="70">
          <cell r="A70">
            <v>23576</v>
          </cell>
          <cell r="B70" t="str">
            <v>CORRETIVO LIQUIDO 18ML</v>
          </cell>
          <cell r="C70">
            <v>17226</v>
          </cell>
          <cell r="D70" t="str">
            <v>UTILER</v>
          </cell>
          <cell r="E70">
            <v>999999</v>
          </cell>
          <cell r="F70" t="str">
            <v>GRUPO CONVERSAO</v>
          </cell>
          <cell r="G70" t="str">
            <v>NA</v>
          </cell>
        </row>
        <row r="71">
          <cell r="A71">
            <v>9755</v>
          </cell>
          <cell r="B71" t="str">
            <v>DESENTUPIDOR</v>
          </cell>
          <cell r="C71">
            <v>2043306436409</v>
          </cell>
          <cell r="D71" t="str">
            <v>.</v>
          </cell>
          <cell r="E71">
            <v>999999</v>
          </cell>
          <cell r="F71" t="str">
            <v>GRUPO CONVERSAO</v>
          </cell>
          <cell r="G71" t="str">
            <v>NA</v>
          </cell>
        </row>
        <row r="72">
          <cell r="A72">
            <v>23512</v>
          </cell>
          <cell r="B72" t="str">
            <v>DESINFETANTE 5LTS</v>
          </cell>
          <cell r="C72">
            <v>3909</v>
          </cell>
          <cell r="D72" t="str">
            <v>BRILHOMAX</v>
          </cell>
          <cell r="E72">
            <v>999999</v>
          </cell>
          <cell r="F72" t="str">
            <v>GRUPO CONVERSAO</v>
          </cell>
          <cell r="G72" t="str">
            <v>NA</v>
          </cell>
        </row>
        <row r="73">
          <cell r="A73">
            <v>23535</v>
          </cell>
          <cell r="B73" t="str">
            <v>DESINFETANTE FACILITA LAVANDA 5L</v>
          </cell>
          <cell r="C73">
            <v>248</v>
          </cell>
          <cell r="D73" t="str">
            <v>BRILHOMAX</v>
          </cell>
          <cell r="E73">
            <v>999999</v>
          </cell>
          <cell r="F73" t="str">
            <v>GRUPO CONVERSAO</v>
          </cell>
          <cell r="G73" t="str">
            <v>NA</v>
          </cell>
        </row>
        <row r="74">
          <cell r="A74">
            <v>23536</v>
          </cell>
          <cell r="B74" t="str">
            <v>DESINFETANTE LAVANDA 5 LTS</v>
          </cell>
          <cell r="C74">
            <v>2153</v>
          </cell>
          <cell r="D74" t="str">
            <v>BRILHOMAX</v>
          </cell>
          <cell r="E74">
            <v>999999</v>
          </cell>
          <cell r="F74" t="str">
            <v>GRUPO CONVERSAO</v>
          </cell>
          <cell r="G74" t="str">
            <v>NA</v>
          </cell>
        </row>
        <row r="75">
          <cell r="A75">
            <v>169</v>
          </cell>
          <cell r="B75" t="str">
            <v>DESINFETANTE SZULIM MARINER 5LT</v>
          </cell>
          <cell r="C75">
            <v>11565</v>
          </cell>
          <cell r="D75" t="str">
            <v>.</v>
          </cell>
          <cell r="E75">
            <v>999999</v>
          </cell>
          <cell r="F75" t="str">
            <v>GRUPO CONVERSAO</v>
          </cell>
          <cell r="G75" t="str">
            <v>NA</v>
          </cell>
        </row>
        <row r="76">
          <cell r="A76">
            <v>23513</v>
          </cell>
          <cell r="B76" t="str">
            <v>DETERGENTE 500ML-4,49-ST</v>
          </cell>
          <cell r="C76">
            <v>4250</v>
          </cell>
          <cell r="D76" t="str">
            <v>BRILHOMAX</v>
          </cell>
          <cell r="E76">
            <v>999999</v>
          </cell>
          <cell r="F76" t="str">
            <v>GRUPO CONVERSAO</v>
          </cell>
          <cell r="G76" t="str">
            <v>NA</v>
          </cell>
        </row>
        <row r="77">
          <cell r="A77">
            <v>84391</v>
          </cell>
          <cell r="B77" t="str">
            <v>DISPENSER PAPEL HIGIENICO</v>
          </cell>
          <cell r="C77">
            <v>5358</v>
          </cell>
          <cell r="D77" t="str">
            <v>START</v>
          </cell>
          <cell r="E77">
            <v>999999</v>
          </cell>
          <cell r="F77" t="str">
            <v>GRUPO CONVERSAO</v>
          </cell>
          <cell r="G77" t="str">
            <v>NA</v>
          </cell>
        </row>
        <row r="78">
          <cell r="A78">
            <v>23762</v>
          </cell>
          <cell r="B78" t="str">
            <v>ELASTICO P/ DINHEIRO 1200 UN.</v>
          </cell>
          <cell r="C78">
            <v>1852</v>
          </cell>
          <cell r="D78" t="str">
            <v>UTILER</v>
          </cell>
          <cell r="E78">
            <v>999999</v>
          </cell>
          <cell r="F78" t="str">
            <v>GRUPO CONVERSAO</v>
          </cell>
          <cell r="G78" t="str">
            <v>NA</v>
          </cell>
        </row>
        <row r="79">
          <cell r="A79">
            <v>23561</v>
          </cell>
          <cell r="B79" t="str">
            <v>ENVELOPE PARDO GRANDE</v>
          </cell>
          <cell r="C79" t="str">
            <v>FALTA COMPRAR</v>
          </cell>
          <cell r="D79" t="str">
            <v>UTILER</v>
          </cell>
          <cell r="E79">
            <v>999999</v>
          </cell>
          <cell r="F79" t="str">
            <v>GRUPO CONVERSAO</v>
          </cell>
          <cell r="G79" t="str">
            <v>NA</v>
          </cell>
        </row>
        <row r="80">
          <cell r="A80">
            <v>83917</v>
          </cell>
          <cell r="B80" t="str">
            <v>ENVELOPE PLASTICO 4 FUROS</v>
          </cell>
          <cell r="C80">
            <v>56041</v>
          </cell>
          <cell r="D80" t="str">
            <v>UTILER</v>
          </cell>
          <cell r="E80">
            <v>999999</v>
          </cell>
          <cell r="F80" t="str">
            <v>GRUPO CONVERSAO</v>
          </cell>
          <cell r="G80" t="str">
            <v>NA</v>
          </cell>
        </row>
        <row r="81">
          <cell r="A81">
            <v>23633</v>
          </cell>
          <cell r="B81" t="str">
            <v>ENVELOPE SACO KRAFT</v>
          </cell>
          <cell r="C81">
            <v>52069</v>
          </cell>
          <cell r="D81" t="str">
            <v>UTILER</v>
          </cell>
          <cell r="E81">
            <v>999999</v>
          </cell>
          <cell r="F81" t="str">
            <v>GRUPO CONVERSAO</v>
          </cell>
          <cell r="G81" t="str">
            <v>NA</v>
          </cell>
        </row>
        <row r="82">
          <cell r="A82">
            <v>85022</v>
          </cell>
          <cell r="B82" t="str">
            <v>EQUIPAMENTO PARA CONSERTO</v>
          </cell>
          <cell r="D82" t="str">
            <v>.</v>
          </cell>
          <cell r="E82">
            <v>999999</v>
          </cell>
          <cell r="F82" t="str">
            <v>GRUPO CONVERSAO</v>
          </cell>
          <cell r="G82" t="str">
            <v>NA</v>
          </cell>
        </row>
        <row r="83">
          <cell r="A83">
            <v>23897</v>
          </cell>
          <cell r="B83" t="str">
            <v>ESCOVA SANITARIA C/ SUPORTE</v>
          </cell>
          <cell r="C83">
            <v>9143</v>
          </cell>
          <cell r="D83" t="str">
            <v>START</v>
          </cell>
          <cell r="E83">
            <v>999999</v>
          </cell>
          <cell r="F83" t="str">
            <v>GRUPO CONVERSAO</v>
          </cell>
          <cell r="G83" t="str">
            <v>NA</v>
          </cell>
        </row>
        <row r="84">
          <cell r="A84">
            <v>83939</v>
          </cell>
          <cell r="B84" t="str">
            <v>ESPANADOR PENAS</v>
          </cell>
          <cell r="C84">
            <v>15602</v>
          </cell>
          <cell r="D84" t="str">
            <v>.</v>
          </cell>
          <cell r="E84">
            <v>999999</v>
          </cell>
          <cell r="F84" t="str">
            <v>GRUPO CONVERSAO</v>
          </cell>
          <cell r="G84" t="str">
            <v>NA</v>
          </cell>
        </row>
        <row r="85">
          <cell r="A85">
            <v>23514</v>
          </cell>
          <cell r="B85" t="str">
            <v>ESPONJA DUPLA FACE AZULIM-8,64-ST</v>
          </cell>
          <cell r="C85">
            <v>26256</v>
          </cell>
          <cell r="D85" t="str">
            <v>BRILHOMAX</v>
          </cell>
          <cell r="E85">
            <v>999999</v>
          </cell>
          <cell r="F85" t="str">
            <v>GRUPO CONVERSAO</v>
          </cell>
          <cell r="G85" t="str">
            <v>NA</v>
          </cell>
        </row>
        <row r="86">
          <cell r="A86">
            <v>23530</v>
          </cell>
          <cell r="B86" t="str">
            <v>ESTILETE LARGO</v>
          </cell>
          <cell r="C86">
            <v>9875</v>
          </cell>
          <cell r="D86" t="str">
            <v>UTILER</v>
          </cell>
          <cell r="E86">
            <v>999999</v>
          </cell>
          <cell r="F86" t="str">
            <v>GRUPO CONVERSAO</v>
          </cell>
          <cell r="G86" t="str">
            <v>NA</v>
          </cell>
        </row>
        <row r="87">
          <cell r="A87">
            <v>24174</v>
          </cell>
          <cell r="B87" t="str">
            <v>ET ER-019 90X40 COUCHE PER</v>
          </cell>
          <cell r="C87">
            <v>945336</v>
          </cell>
          <cell r="D87" t="str">
            <v>.</v>
          </cell>
          <cell r="E87">
            <v>999999</v>
          </cell>
          <cell r="F87" t="str">
            <v>GRUPO CONVERSAO</v>
          </cell>
          <cell r="G87" t="str">
            <v>NA</v>
          </cell>
        </row>
        <row r="88">
          <cell r="A88">
            <v>24172</v>
          </cell>
          <cell r="B88" t="str">
            <v>ET RT-019 90X40 COUCHE NEUTRA</v>
          </cell>
          <cell r="C88">
            <v>75854</v>
          </cell>
          <cell r="D88" t="str">
            <v>.</v>
          </cell>
          <cell r="E88">
            <v>999999</v>
          </cell>
          <cell r="F88" t="str">
            <v>GRUPO CONVERSAO</v>
          </cell>
          <cell r="G88" t="str">
            <v>NA</v>
          </cell>
        </row>
        <row r="89">
          <cell r="A89">
            <v>23523</v>
          </cell>
          <cell r="B89" t="str">
            <v>ETIQUETAS PARA COLORISTAS SAGA</v>
          </cell>
          <cell r="C89">
            <v>52259</v>
          </cell>
          <cell r="D89" t="str">
            <v>UTILER</v>
          </cell>
          <cell r="E89">
            <v>999999</v>
          </cell>
          <cell r="F89" t="str">
            <v>GRUPO CONVERSAO</v>
          </cell>
          <cell r="G89" t="str">
            <v>NA</v>
          </cell>
        </row>
        <row r="90">
          <cell r="A90">
            <v>85477</v>
          </cell>
          <cell r="B90" t="str">
            <v>EUCAFLOOR PISO MAX ELEGANCE C CARVALHO CHAMONIX (E) (9) 0,35</v>
          </cell>
          <cell r="C90">
            <v>7950708</v>
          </cell>
          <cell r="D90" t="str">
            <v>.</v>
          </cell>
          <cell r="E90">
            <v>999999</v>
          </cell>
          <cell r="F90" t="str">
            <v>GRUPO CONVERSAO</v>
          </cell>
          <cell r="G90" t="str">
            <v>NA</v>
          </cell>
        </row>
        <row r="91">
          <cell r="A91">
            <v>23560</v>
          </cell>
          <cell r="B91" t="str">
            <v>EXTRATOR DE GRAMPOS</v>
          </cell>
          <cell r="C91" t="str">
            <v>AINDA SEM CODIGO</v>
          </cell>
          <cell r="D91" t="str">
            <v>UTILER</v>
          </cell>
          <cell r="E91">
            <v>999999</v>
          </cell>
          <cell r="F91" t="str">
            <v>GRUPO CONVERSAO</v>
          </cell>
          <cell r="G91" t="str">
            <v>NA</v>
          </cell>
        </row>
        <row r="92">
          <cell r="A92">
            <v>23929</v>
          </cell>
          <cell r="B92" t="str">
            <v>FIBRA BETANIN 102X260MM GERAL VERDE</v>
          </cell>
          <cell r="C92">
            <v>11632</v>
          </cell>
          <cell r="D92" t="str">
            <v>START</v>
          </cell>
          <cell r="E92">
            <v>999999</v>
          </cell>
          <cell r="F92" t="str">
            <v>GRUPO CONVERSAO</v>
          </cell>
          <cell r="G92" t="str">
            <v>NA</v>
          </cell>
        </row>
        <row r="93">
          <cell r="A93">
            <v>23874</v>
          </cell>
          <cell r="B93" t="str">
            <v>FONTE MULTILASER GA114BU</v>
          </cell>
          <cell r="C93" t="str">
            <v>PRD00005</v>
          </cell>
          <cell r="D93" t="str">
            <v>.</v>
          </cell>
          <cell r="E93">
            <v>999999</v>
          </cell>
          <cell r="F93" t="str">
            <v>GRUPO CONVERSAO</v>
          </cell>
          <cell r="G93" t="str">
            <v>NA</v>
          </cell>
        </row>
        <row r="94">
          <cell r="A94">
            <v>23699</v>
          </cell>
          <cell r="B94" t="str">
            <v>FORMULARIO CONTINUO IMPRESSORA DEPOSITO</v>
          </cell>
          <cell r="C94">
            <v>61</v>
          </cell>
          <cell r="D94" t="str">
            <v>.</v>
          </cell>
          <cell r="E94">
            <v>999999</v>
          </cell>
          <cell r="F94" t="str">
            <v>GRUPO CONVERSAO</v>
          </cell>
          <cell r="G94" t="str">
            <v>NA</v>
          </cell>
        </row>
        <row r="95">
          <cell r="A95">
            <v>85700</v>
          </cell>
          <cell r="B95" t="str">
            <v>FUNIL PLASTICO SANREMO</v>
          </cell>
          <cell r="C95">
            <v>23717</v>
          </cell>
          <cell r="D95" t="str">
            <v>BRILHOMAX</v>
          </cell>
          <cell r="E95">
            <v>999999</v>
          </cell>
          <cell r="F95" t="str">
            <v>GRUPO CONVERSAO</v>
          </cell>
          <cell r="G95" t="str">
            <v>NA</v>
          </cell>
        </row>
        <row r="96">
          <cell r="A96">
            <v>24315</v>
          </cell>
          <cell r="B96" t="str">
            <v>GABINETE GM-53Y1 PRETO C/PX300</v>
          </cell>
          <cell r="C96" t="str">
            <v>GM53Y1XN0020B0X</v>
          </cell>
          <cell r="D96" t="str">
            <v>.</v>
          </cell>
          <cell r="E96">
            <v>999999</v>
          </cell>
          <cell r="F96" t="str">
            <v>GRUPO CONVERSAO</v>
          </cell>
          <cell r="G96" t="str">
            <v>NA</v>
          </cell>
        </row>
        <row r="97">
          <cell r="A97">
            <v>84701</v>
          </cell>
          <cell r="B97" t="str">
            <v>GEL ADESIVO SANITARIO</v>
          </cell>
          <cell r="C97">
            <v>15902</v>
          </cell>
          <cell r="D97" t="str">
            <v>.</v>
          </cell>
          <cell r="E97">
            <v>999999</v>
          </cell>
          <cell r="F97" t="str">
            <v>GRUPO CONVERSAO</v>
          </cell>
          <cell r="G97" t="str">
            <v>NA</v>
          </cell>
        </row>
        <row r="98">
          <cell r="A98">
            <v>84771</v>
          </cell>
          <cell r="B98" t="str">
            <v>GRADE FRONTAL CROMADA</v>
          </cell>
          <cell r="C98" t="str">
            <v>62310EB400</v>
          </cell>
          <cell r="D98" t="str">
            <v>.</v>
          </cell>
          <cell r="E98">
            <v>999999</v>
          </cell>
          <cell r="F98" t="str">
            <v>GRUPO CONVERSAO</v>
          </cell>
          <cell r="G98" t="str">
            <v>NA</v>
          </cell>
        </row>
        <row r="99">
          <cell r="A99">
            <v>23770</v>
          </cell>
          <cell r="B99" t="str">
            <v>GRAMPEADOR</v>
          </cell>
          <cell r="C99">
            <v>1399</v>
          </cell>
          <cell r="D99" t="str">
            <v>UTILER</v>
          </cell>
          <cell r="E99">
            <v>999999</v>
          </cell>
          <cell r="F99" t="str">
            <v>GRUPO CONVERSAO</v>
          </cell>
          <cell r="G99" t="str">
            <v>NA</v>
          </cell>
        </row>
        <row r="100">
          <cell r="A100">
            <v>22965</v>
          </cell>
          <cell r="B100" t="str">
            <v>GRAMPO 26/6 GALVANIZADO</v>
          </cell>
          <cell r="C100">
            <v>59082</v>
          </cell>
          <cell r="D100" t="str">
            <v>.</v>
          </cell>
          <cell r="E100">
            <v>999999</v>
          </cell>
          <cell r="F100" t="str">
            <v>GRUPO CONVERSAO</v>
          </cell>
          <cell r="G100" t="str">
            <v>NA</v>
          </cell>
        </row>
        <row r="101">
          <cell r="A101">
            <v>24314</v>
          </cell>
          <cell r="B101" t="str">
            <v>HD SSD 120GB MULTILASER 2,5 POL</v>
          </cell>
          <cell r="C101" t="str">
            <v>SS100</v>
          </cell>
          <cell r="D101" t="str">
            <v>.</v>
          </cell>
          <cell r="E101">
            <v>999999</v>
          </cell>
          <cell r="F101" t="str">
            <v>GRUPO CONVERSAO</v>
          </cell>
          <cell r="G101" t="str">
            <v>NA</v>
          </cell>
        </row>
        <row r="102">
          <cell r="A102">
            <v>23977</v>
          </cell>
          <cell r="B102" t="str">
            <v>IMP ELGIN L42PRO</v>
          </cell>
          <cell r="C102">
            <v>43628</v>
          </cell>
          <cell r="D102" t="str">
            <v>.</v>
          </cell>
          <cell r="E102">
            <v>999999</v>
          </cell>
          <cell r="F102" t="str">
            <v>GRUPO CONVERSAO</v>
          </cell>
          <cell r="G102" t="str">
            <v>NA</v>
          </cell>
        </row>
        <row r="103">
          <cell r="A103">
            <v>23628</v>
          </cell>
          <cell r="B103" t="str">
            <v>IMPRESSORA HONEYWELL PC42</v>
          </cell>
          <cell r="C103">
            <v>591980</v>
          </cell>
          <cell r="D103" t="str">
            <v>ETITEC</v>
          </cell>
          <cell r="E103">
            <v>999999</v>
          </cell>
          <cell r="F103" t="str">
            <v>GRUPO CONVERSAO</v>
          </cell>
          <cell r="G103" t="str">
            <v>NA</v>
          </cell>
        </row>
        <row r="104">
          <cell r="A104">
            <v>23766</v>
          </cell>
          <cell r="B104" t="str">
            <v>INSETICIDA</v>
          </cell>
          <cell r="C104">
            <v>27752</v>
          </cell>
          <cell r="D104" t="str">
            <v>START</v>
          </cell>
          <cell r="E104">
            <v>999999</v>
          </cell>
          <cell r="F104" t="str">
            <v>GRUPO CONVERSAO</v>
          </cell>
          <cell r="G104" t="str">
            <v>NA</v>
          </cell>
        </row>
        <row r="105">
          <cell r="A105">
            <v>99999</v>
          </cell>
          <cell r="B105" t="str">
            <v>ITEM ESPECIAL</v>
          </cell>
          <cell r="D105" t="str">
            <v>.</v>
          </cell>
          <cell r="E105">
            <v>999999</v>
          </cell>
          <cell r="F105" t="str">
            <v>GRUPO CONVERSAO</v>
          </cell>
          <cell r="G105" t="str">
            <v>NA</v>
          </cell>
        </row>
        <row r="106">
          <cell r="A106">
            <v>20103</v>
          </cell>
          <cell r="B106" t="str">
            <v>KIT G REPAROS GEO/HVLP/HA WALCON</v>
          </cell>
          <cell r="C106">
            <v>1011366</v>
          </cell>
          <cell r="D106" t="str">
            <v>.</v>
          </cell>
          <cell r="E106">
            <v>999999</v>
          </cell>
          <cell r="F106" t="str">
            <v>GRUPO CONVERSAO</v>
          </cell>
          <cell r="G106" t="str">
            <v>NA</v>
          </cell>
        </row>
        <row r="107">
          <cell r="A107">
            <v>23526</v>
          </cell>
          <cell r="B107" t="str">
            <v>LACRE P/ MALOTE</v>
          </cell>
          <cell r="C107">
            <v>52328</v>
          </cell>
          <cell r="D107" t="str">
            <v>UTILER</v>
          </cell>
          <cell r="E107">
            <v>999999</v>
          </cell>
          <cell r="F107" t="str">
            <v>GRUPO CONVERSAO</v>
          </cell>
          <cell r="G107" t="str">
            <v>NA</v>
          </cell>
        </row>
        <row r="108">
          <cell r="A108">
            <v>23971</v>
          </cell>
          <cell r="B108" t="str">
            <v>LAMINA P/ ESTILETE LARGO</v>
          </cell>
          <cell r="C108">
            <v>52209</v>
          </cell>
          <cell r="D108" t="str">
            <v>UTILER</v>
          </cell>
          <cell r="E108">
            <v>999999</v>
          </cell>
          <cell r="F108" t="str">
            <v>OUTRAS FERRAMENTAS / EQUIPAMENTOS</v>
          </cell>
          <cell r="G108" t="str">
            <v>AUTOMOTIVO</v>
          </cell>
        </row>
        <row r="109">
          <cell r="A109">
            <v>23531</v>
          </cell>
          <cell r="B109" t="str">
            <v>LAPIS PRETO N.2</v>
          </cell>
          <cell r="C109">
            <v>59308</v>
          </cell>
          <cell r="D109" t="str">
            <v>UTILER</v>
          </cell>
          <cell r="E109">
            <v>999999</v>
          </cell>
          <cell r="F109" t="str">
            <v>GRUPO CONVERSAO</v>
          </cell>
          <cell r="G109" t="str">
            <v>NA</v>
          </cell>
        </row>
        <row r="110">
          <cell r="A110">
            <v>22982</v>
          </cell>
          <cell r="B110" t="str">
            <v>LAVA LOUÇA 500ML-4,51-ST</v>
          </cell>
          <cell r="C110">
            <v>10012</v>
          </cell>
          <cell r="D110" t="str">
            <v>.</v>
          </cell>
          <cell r="E110">
            <v>999999</v>
          </cell>
          <cell r="F110" t="str">
            <v>GRUPO CONVERSAO</v>
          </cell>
          <cell r="G110" t="str">
            <v>NA</v>
          </cell>
        </row>
        <row r="111">
          <cell r="A111">
            <v>85408</v>
          </cell>
          <cell r="B111" t="str">
            <v>LAVA LOUÇA 5L-4,51-ST</v>
          </cell>
          <cell r="C111">
            <v>11676</v>
          </cell>
          <cell r="D111" t="str">
            <v>.</v>
          </cell>
          <cell r="E111">
            <v>999999</v>
          </cell>
          <cell r="F111" t="str">
            <v>GRUPO CONVERSAO</v>
          </cell>
          <cell r="G111" t="str">
            <v>NA</v>
          </cell>
        </row>
        <row r="112">
          <cell r="A112">
            <v>166</v>
          </cell>
          <cell r="B112" t="str">
            <v>LAVA LOUÇAS NEUTRO UZUCLEAN 5LTS-19,63-ST</v>
          </cell>
          <cell r="C112">
            <v>308</v>
          </cell>
          <cell r="D112" t="str">
            <v>.</v>
          </cell>
          <cell r="E112">
            <v>999999</v>
          </cell>
          <cell r="F112" t="str">
            <v>GRUPO CONVERSAO</v>
          </cell>
          <cell r="G112" t="str">
            <v>NA</v>
          </cell>
        </row>
        <row r="113">
          <cell r="A113">
            <v>23976</v>
          </cell>
          <cell r="B113" t="str">
            <v>LEITOR COD BARRAS C3 TECH LASE SEM FIO</v>
          </cell>
          <cell r="C113">
            <v>227225</v>
          </cell>
          <cell r="D113" t="str">
            <v>.</v>
          </cell>
          <cell r="E113">
            <v>999999</v>
          </cell>
          <cell r="F113" t="str">
            <v>GRUPO CONVERSAO</v>
          </cell>
          <cell r="G113" t="str">
            <v>NA</v>
          </cell>
        </row>
        <row r="114">
          <cell r="A114">
            <v>85104</v>
          </cell>
          <cell r="B114" t="str">
            <v>LIMA MANUAL FUNILEIRO 1/4X10" VONDER</v>
          </cell>
          <cell r="C114">
            <v>4391014010</v>
          </cell>
          <cell r="D114" t="str">
            <v>VONDER</v>
          </cell>
          <cell r="E114">
            <v>999999</v>
          </cell>
          <cell r="F114" t="str">
            <v>GRUPO CONVERSAO</v>
          </cell>
          <cell r="G114" t="str">
            <v>NA</v>
          </cell>
        </row>
        <row r="115">
          <cell r="A115">
            <v>24207</v>
          </cell>
          <cell r="B115" t="str">
            <v>LIMPA PEDRAS PEDREX 5L</v>
          </cell>
          <cell r="C115">
            <v>1172</v>
          </cell>
          <cell r="D115" t="str">
            <v>START</v>
          </cell>
          <cell r="E115">
            <v>999999</v>
          </cell>
          <cell r="F115" t="str">
            <v>GRUPO CONVERSAO</v>
          </cell>
          <cell r="G115" t="str">
            <v>NA</v>
          </cell>
        </row>
        <row r="116">
          <cell r="A116">
            <v>23538</v>
          </cell>
          <cell r="B116" t="str">
            <v>LIMPA VIDROS 500 ML MIX PLUS-4,87-ST</v>
          </cell>
          <cell r="C116">
            <v>2444</v>
          </cell>
          <cell r="D116" t="str">
            <v>BRILHOMAX</v>
          </cell>
          <cell r="E116">
            <v>999999</v>
          </cell>
          <cell r="F116" t="str">
            <v>GRUPO CONVERSAO</v>
          </cell>
          <cell r="G116" t="str">
            <v>NA</v>
          </cell>
        </row>
        <row r="117">
          <cell r="A117">
            <v>83808</v>
          </cell>
          <cell r="B117" t="str">
            <v>LIMPADOR GEL AZULIM 5KG-5,13-ST</v>
          </cell>
          <cell r="C117">
            <v>45455</v>
          </cell>
          <cell r="D117" t="str">
            <v>.</v>
          </cell>
          <cell r="E117">
            <v>999999</v>
          </cell>
          <cell r="F117" t="str">
            <v>GRUPO CONVERSAO</v>
          </cell>
          <cell r="G117" t="str">
            <v>NA</v>
          </cell>
        </row>
        <row r="118">
          <cell r="A118">
            <v>23541</v>
          </cell>
          <cell r="B118" t="str">
            <v>LIMPADOR GEL AZULIM LAVANDA 4 EM 1 5LT</v>
          </cell>
          <cell r="C118">
            <v>287</v>
          </cell>
          <cell r="D118" t="str">
            <v>BRILHOMAX</v>
          </cell>
          <cell r="E118">
            <v>999999</v>
          </cell>
          <cell r="F118" t="str">
            <v>GRUPO CONVERSAO</v>
          </cell>
          <cell r="G118" t="str">
            <v>NA</v>
          </cell>
        </row>
        <row r="119">
          <cell r="A119">
            <v>22961</v>
          </cell>
          <cell r="B119" t="str">
            <v>LIVRO PROTOCOLO DE CORRESPONDENCIA 104 FLS</v>
          </cell>
          <cell r="C119">
            <v>17065</v>
          </cell>
          <cell r="D119" t="str">
            <v>.</v>
          </cell>
          <cell r="E119">
            <v>999999</v>
          </cell>
          <cell r="F119" t="str">
            <v>GRUPO CONVERSAO</v>
          </cell>
          <cell r="G119" t="str">
            <v>NA</v>
          </cell>
        </row>
        <row r="120">
          <cell r="A120">
            <v>83941</v>
          </cell>
          <cell r="B120" t="str">
            <v>LIXEIRA</v>
          </cell>
          <cell r="C120">
            <v>10836</v>
          </cell>
          <cell r="D120" t="str">
            <v>ATLAS</v>
          </cell>
          <cell r="E120">
            <v>999999</v>
          </cell>
          <cell r="F120" t="str">
            <v>GRUPO CONVERSAO</v>
          </cell>
          <cell r="G120" t="str">
            <v>NA</v>
          </cell>
        </row>
        <row r="121">
          <cell r="A121">
            <v>24347</v>
          </cell>
          <cell r="B121" t="str">
            <v>LIXEIRA 100L</v>
          </cell>
          <cell r="C121" t="str">
            <v>AT2750</v>
          </cell>
          <cell r="D121" t="str">
            <v>START</v>
          </cell>
          <cell r="E121">
            <v>999999</v>
          </cell>
          <cell r="F121" t="str">
            <v>GRUPO CONVERSAO</v>
          </cell>
          <cell r="G121" t="str">
            <v>NA</v>
          </cell>
        </row>
        <row r="122">
          <cell r="A122">
            <v>24348</v>
          </cell>
          <cell r="B122" t="str">
            <v>LIXEIRA C/ PEDAL</v>
          </cell>
          <cell r="C122" t="str">
            <v>AT2730</v>
          </cell>
          <cell r="D122" t="str">
            <v>START</v>
          </cell>
          <cell r="E122">
            <v>999999</v>
          </cell>
          <cell r="F122" t="str">
            <v>GRUPO CONVERSAO</v>
          </cell>
          <cell r="G122" t="str">
            <v>NA</v>
          </cell>
        </row>
        <row r="123">
          <cell r="A123">
            <v>22944</v>
          </cell>
          <cell r="B123" t="str">
            <v>LUVA LATEX TAM P</v>
          </cell>
          <cell r="C123">
            <v>9009</v>
          </cell>
          <cell r="D123" t="str">
            <v>.</v>
          </cell>
          <cell r="E123">
            <v>999999</v>
          </cell>
          <cell r="F123" t="str">
            <v>GRUPO CONVERSAO</v>
          </cell>
          <cell r="G123" t="str">
            <v>NA</v>
          </cell>
        </row>
        <row r="124">
          <cell r="A124">
            <v>23586</v>
          </cell>
          <cell r="B124" t="str">
            <v>MALOTE CLASSIC</v>
          </cell>
          <cell r="C124">
            <v>52937</v>
          </cell>
          <cell r="D124" t="str">
            <v>UTILER</v>
          </cell>
          <cell r="E124">
            <v>999999</v>
          </cell>
          <cell r="F124" t="str">
            <v>GRUPO CONVERSAO</v>
          </cell>
          <cell r="G124" t="str">
            <v>NA</v>
          </cell>
        </row>
        <row r="125">
          <cell r="A125">
            <v>85481</v>
          </cell>
          <cell r="B125" t="str">
            <v>MANTA PEBD EUCAFLOOR 2,0MM X 1,20M X 50M</v>
          </cell>
          <cell r="C125">
            <v>7966002</v>
          </cell>
          <cell r="D125" t="str">
            <v>.</v>
          </cell>
          <cell r="E125">
            <v>999999</v>
          </cell>
          <cell r="F125" t="str">
            <v>GRUPO CONVERSAO</v>
          </cell>
          <cell r="G125" t="str">
            <v>NA</v>
          </cell>
        </row>
        <row r="126">
          <cell r="A126">
            <v>24179</v>
          </cell>
          <cell r="B126" t="str">
            <v>MARCADOR PERMANENTE FABER CASTELL VERMELHO</v>
          </cell>
          <cell r="C126">
            <v>58885</v>
          </cell>
          <cell r="D126" t="str">
            <v>UTILER</v>
          </cell>
          <cell r="E126">
            <v>999999</v>
          </cell>
          <cell r="F126" t="str">
            <v>GRUPO CONVERSAO</v>
          </cell>
          <cell r="G126" t="str">
            <v>NA</v>
          </cell>
        </row>
        <row r="127">
          <cell r="A127">
            <v>21962</v>
          </cell>
          <cell r="B127" t="str">
            <v>MASSA DE POLIESTER 750G MAXI RUBBER</v>
          </cell>
          <cell r="C127" t="str">
            <v>1MG039</v>
          </cell>
          <cell r="D127" t="str">
            <v>MAXI RUBBER</v>
          </cell>
          <cell r="E127">
            <v>999999</v>
          </cell>
          <cell r="F127" t="str">
            <v>MASSA POLIÉSTER</v>
          </cell>
          <cell r="G127" t="str">
            <v>AUTOMOTIVO</v>
          </cell>
        </row>
        <row r="128">
          <cell r="A128">
            <v>24313</v>
          </cell>
          <cell r="B128" t="str">
            <v>MB H61 SOCKET 1155MICRO-ATX AFOX</v>
          </cell>
          <cell r="C128">
            <v>514</v>
          </cell>
          <cell r="D128" t="str">
            <v>.</v>
          </cell>
          <cell r="E128">
            <v>999999</v>
          </cell>
          <cell r="F128" t="str">
            <v>GRUPO CONVERSAO</v>
          </cell>
          <cell r="G128" t="str">
            <v>NA</v>
          </cell>
        </row>
        <row r="129">
          <cell r="A129">
            <v>23890</v>
          </cell>
          <cell r="B129" t="str">
            <v>MEMORIA DDR3 4GB</v>
          </cell>
          <cell r="C129">
            <v>868</v>
          </cell>
          <cell r="D129" t="str">
            <v>.</v>
          </cell>
          <cell r="E129">
            <v>999999</v>
          </cell>
          <cell r="F129" t="str">
            <v>GRUPO CONVERSAO</v>
          </cell>
          <cell r="G129" t="str">
            <v>NA</v>
          </cell>
        </row>
        <row r="130">
          <cell r="A130">
            <v>24214</v>
          </cell>
          <cell r="B130" t="str">
            <v>MOLHA DEDO GLICERINADO</v>
          </cell>
          <cell r="C130">
            <v>41085</v>
          </cell>
          <cell r="D130" t="str">
            <v>UTILER</v>
          </cell>
          <cell r="E130">
            <v>999999</v>
          </cell>
          <cell r="F130" t="str">
            <v>GRUPO CONVERSAO</v>
          </cell>
          <cell r="G130" t="str">
            <v>NA</v>
          </cell>
        </row>
        <row r="131">
          <cell r="A131">
            <v>23872</v>
          </cell>
          <cell r="B131" t="str">
            <v>MOUSE COLOR BLACK</v>
          </cell>
          <cell r="C131">
            <v>3144</v>
          </cell>
          <cell r="D131" t="str">
            <v>.</v>
          </cell>
          <cell r="E131">
            <v>999999</v>
          </cell>
          <cell r="F131" t="str">
            <v>GRUPO CONVERSAO</v>
          </cell>
          <cell r="G131" t="str">
            <v>NA</v>
          </cell>
        </row>
        <row r="132">
          <cell r="A132">
            <v>83880</v>
          </cell>
          <cell r="B132" t="str">
            <v>MOUSE OPTICO S/ FIO</v>
          </cell>
          <cell r="C132">
            <v>55355</v>
          </cell>
          <cell r="D132" t="str">
            <v>.</v>
          </cell>
          <cell r="E132">
            <v>999999</v>
          </cell>
          <cell r="F132" t="str">
            <v>GRUPO CONVERSAO</v>
          </cell>
          <cell r="G132" t="str">
            <v>NA</v>
          </cell>
        </row>
        <row r="133">
          <cell r="A133">
            <v>23516</v>
          </cell>
          <cell r="B133" t="str">
            <v>MULTI USO INGLESA UAU 500ML LAVANDA</v>
          </cell>
          <cell r="C133">
            <v>389</v>
          </cell>
          <cell r="D133" t="str">
            <v>BRILHOMAX</v>
          </cell>
          <cell r="E133">
            <v>999999</v>
          </cell>
          <cell r="F133" t="str">
            <v>GRUPO CONVERSAO</v>
          </cell>
          <cell r="G133" t="str">
            <v>NA</v>
          </cell>
        </row>
        <row r="134">
          <cell r="A134">
            <v>24189</v>
          </cell>
          <cell r="B134" t="str">
            <v>MULTICLEAN - LIMPADOR MULTIUSO FLOTADOR</v>
          </cell>
          <cell r="C134" t="str">
            <v>PB11</v>
          </cell>
          <cell r="D134" t="str">
            <v>SAFIRA</v>
          </cell>
          <cell r="E134">
            <v>999999</v>
          </cell>
          <cell r="F134" t="str">
            <v>GRUPO CONVERSAO</v>
          </cell>
          <cell r="G134" t="str">
            <v>NA</v>
          </cell>
        </row>
        <row r="135">
          <cell r="A135">
            <v>84553</v>
          </cell>
          <cell r="B135" t="str">
            <v>MULTICLEAN - LIMPADOR MULTIUSO FLOTADOR 50L</v>
          </cell>
          <cell r="C135" t="str">
            <v>PA104</v>
          </cell>
          <cell r="D135" t="str">
            <v>SAFIRA</v>
          </cell>
          <cell r="E135">
            <v>999999</v>
          </cell>
          <cell r="F135" t="str">
            <v>GRUPO CONVERSAO</v>
          </cell>
          <cell r="G135" t="str">
            <v>NA</v>
          </cell>
        </row>
        <row r="136">
          <cell r="A136">
            <v>23542</v>
          </cell>
          <cell r="B136" t="str">
            <v>MULTIUSO 500ML-4,51-ST</v>
          </cell>
          <cell r="C136">
            <v>1891</v>
          </cell>
          <cell r="D136" t="str">
            <v>BRILHOMAX</v>
          </cell>
          <cell r="E136">
            <v>999999</v>
          </cell>
          <cell r="F136" t="str">
            <v>GRUPO CONVERSAO</v>
          </cell>
          <cell r="G136" t="str">
            <v>NA</v>
          </cell>
        </row>
        <row r="137">
          <cell r="A137">
            <v>21391</v>
          </cell>
          <cell r="B137" t="str">
            <v>NORCLEAN POWER ATIVADOR BRILHO 500ML NORTON</v>
          </cell>
          <cell r="C137">
            <v>66254482104</v>
          </cell>
          <cell r="D137" t="str">
            <v>.</v>
          </cell>
          <cell r="E137">
            <v>999999</v>
          </cell>
          <cell r="F137" t="str">
            <v>GRUPO CONVERSAO</v>
          </cell>
          <cell r="G137" t="str">
            <v>NA</v>
          </cell>
        </row>
        <row r="138">
          <cell r="A138">
            <v>22675</v>
          </cell>
          <cell r="B138" t="str">
            <v>ODORIZADOR AMBIENTE JASMIM 400ML</v>
          </cell>
          <cell r="C138" t="str">
            <v>SP18400</v>
          </cell>
          <cell r="D138" t="str">
            <v>.</v>
          </cell>
          <cell r="E138">
            <v>999999</v>
          </cell>
          <cell r="F138" t="str">
            <v>GRUPO CONVERSAO</v>
          </cell>
          <cell r="G138" t="str">
            <v>NA</v>
          </cell>
        </row>
        <row r="139">
          <cell r="A139">
            <v>83807</v>
          </cell>
          <cell r="B139" t="str">
            <v>ODORIZADOR AMBIENTE ONLY 360ML</v>
          </cell>
          <cell r="C139">
            <v>27749</v>
          </cell>
          <cell r="D139" t="str">
            <v>.</v>
          </cell>
          <cell r="E139">
            <v>999999</v>
          </cell>
          <cell r="F139" t="str">
            <v>GRUPO CONVERSAO</v>
          </cell>
          <cell r="G139" t="str">
            <v>NA</v>
          </cell>
        </row>
        <row r="140">
          <cell r="A140">
            <v>24245</v>
          </cell>
          <cell r="B140" t="str">
            <v>PA DE LIXO CABOLONGO</v>
          </cell>
          <cell r="C140">
            <v>10842</v>
          </cell>
          <cell r="D140" t="str">
            <v>START</v>
          </cell>
          <cell r="E140">
            <v>999999</v>
          </cell>
          <cell r="F140" t="str">
            <v>GRUPO CONVERSAO</v>
          </cell>
          <cell r="G140" t="str">
            <v>NA</v>
          </cell>
        </row>
        <row r="141">
          <cell r="A141">
            <v>23517</v>
          </cell>
          <cell r="B141" t="str">
            <v>PANO ALVEJADO</v>
          </cell>
          <cell r="C141">
            <v>13513</v>
          </cell>
          <cell r="D141" t="str">
            <v>BRILHOMAX</v>
          </cell>
          <cell r="E141">
            <v>999999</v>
          </cell>
          <cell r="F141" t="str">
            <v>GRUPO CONVERSAO</v>
          </cell>
          <cell r="G141" t="str">
            <v>NA</v>
          </cell>
        </row>
        <row r="142">
          <cell r="A142">
            <v>85420</v>
          </cell>
          <cell r="B142" t="str">
            <v>PANO MULTIUSO 28CMX240M BRANCO VABENNE</v>
          </cell>
          <cell r="C142">
            <v>16766</v>
          </cell>
          <cell r="D142" t="str">
            <v>VABENNE</v>
          </cell>
          <cell r="E142">
            <v>999999</v>
          </cell>
          <cell r="F142" t="str">
            <v>GRUPO CONVERSAO</v>
          </cell>
          <cell r="G142" t="str">
            <v>AUTOMOTIVO</v>
          </cell>
        </row>
        <row r="143">
          <cell r="A143">
            <v>20626</v>
          </cell>
          <cell r="B143" t="str">
            <v>PANO POLIMENTO DE MICRO FIBRA MAX RUBBER</v>
          </cell>
          <cell r="C143" t="str">
            <v>8MP062</v>
          </cell>
          <cell r="D143" t="str">
            <v>MAXI RUBBER</v>
          </cell>
          <cell r="E143">
            <v>999999</v>
          </cell>
          <cell r="F143" t="str">
            <v>GRUPO CONVERSAO</v>
          </cell>
          <cell r="G143" t="str">
            <v>AUTOMOTIVO</v>
          </cell>
        </row>
        <row r="144">
          <cell r="A144">
            <v>83879</v>
          </cell>
          <cell r="B144" t="str">
            <v>PAPEL CAMURÇA</v>
          </cell>
          <cell r="C144">
            <v>41181</v>
          </cell>
          <cell r="D144" t="str">
            <v>UTILER</v>
          </cell>
          <cell r="E144">
            <v>999999</v>
          </cell>
          <cell r="F144" t="str">
            <v>GRUPO CONVERSAO</v>
          </cell>
          <cell r="G144" t="str">
            <v>NA</v>
          </cell>
        </row>
        <row r="145">
          <cell r="A145">
            <v>24311</v>
          </cell>
          <cell r="B145" t="str">
            <v>PAPEL CASCA DE OVO TEXTURIZADO</v>
          </cell>
          <cell r="C145">
            <v>55158</v>
          </cell>
          <cell r="D145" t="str">
            <v>UTILER</v>
          </cell>
          <cell r="E145">
            <v>999999</v>
          </cell>
          <cell r="F145" t="str">
            <v>GRUPO CONVERSAO</v>
          </cell>
          <cell r="G145" t="str">
            <v>NA</v>
          </cell>
        </row>
        <row r="146">
          <cell r="A146">
            <v>22983</v>
          </cell>
          <cell r="B146" t="str">
            <v>PAPEL HIG FS PALOMA</v>
          </cell>
          <cell r="C146">
            <v>7834</v>
          </cell>
          <cell r="D146" t="str">
            <v>.</v>
          </cell>
          <cell r="E146">
            <v>999999</v>
          </cell>
          <cell r="F146" t="str">
            <v>GRUPO CONVERSAO</v>
          </cell>
          <cell r="G146" t="str">
            <v>NA</v>
          </cell>
        </row>
        <row r="147">
          <cell r="A147">
            <v>23543</v>
          </cell>
          <cell r="B147" t="str">
            <v>PAPEL HIGIENICO 8X300M GLOBO-2,98-ST</v>
          </cell>
          <cell r="C147">
            <v>14936</v>
          </cell>
          <cell r="D147" t="str">
            <v>BRILHOMAX</v>
          </cell>
          <cell r="E147">
            <v>999999</v>
          </cell>
          <cell r="F147" t="str">
            <v>GRUPO CONVERSAO</v>
          </cell>
          <cell r="G147" t="str">
            <v>NA</v>
          </cell>
        </row>
        <row r="148">
          <cell r="A148">
            <v>83937</v>
          </cell>
          <cell r="B148" t="str">
            <v>PAPEL HIGIENICO C/12 30MX10CM-5,67-ST</v>
          </cell>
          <cell r="C148">
            <v>16405</v>
          </cell>
          <cell r="D148" t="str">
            <v>BRILHOMAX</v>
          </cell>
          <cell r="E148">
            <v>999999</v>
          </cell>
          <cell r="F148" t="str">
            <v>GRUPO CONVERSAO</v>
          </cell>
          <cell r="G148" t="str">
            <v>NA</v>
          </cell>
        </row>
        <row r="149">
          <cell r="A149">
            <v>23518</v>
          </cell>
          <cell r="B149" t="str">
            <v>PAPEL HIGIENICO C/4 30MX10CM-5,67-ST</v>
          </cell>
          <cell r="C149">
            <v>12175</v>
          </cell>
          <cell r="D149" t="str">
            <v>BRILHOMAX</v>
          </cell>
          <cell r="E149">
            <v>999999</v>
          </cell>
          <cell r="F149" t="str">
            <v>GRUPO CONVERSAO</v>
          </cell>
          <cell r="G149" t="str">
            <v>NA</v>
          </cell>
        </row>
        <row r="150">
          <cell r="A150">
            <v>23539</v>
          </cell>
          <cell r="B150" t="str">
            <v>PAPEL T. STYLOS BRANCO 2 UND</v>
          </cell>
          <cell r="C150">
            <v>3308</v>
          </cell>
          <cell r="D150" t="str">
            <v>BRILHOMAX</v>
          </cell>
          <cell r="E150">
            <v>999999</v>
          </cell>
          <cell r="F150" t="str">
            <v>GRUPO CONVERSAO</v>
          </cell>
          <cell r="G150" t="str">
            <v>NA</v>
          </cell>
        </row>
        <row r="151">
          <cell r="A151">
            <v>22987</v>
          </cell>
          <cell r="B151" t="str">
            <v>PAPEL TOALHA BOBINA PROPAPER 6X200M-19,54-ST</v>
          </cell>
          <cell r="C151">
            <v>7898938481014</v>
          </cell>
          <cell r="D151" t="str">
            <v>.</v>
          </cell>
          <cell r="E151">
            <v>999999</v>
          </cell>
          <cell r="F151" t="str">
            <v>GRUPO CONVERSAO</v>
          </cell>
          <cell r="G151" t="str">
            <v>NA</v>
          </cell>
        </row>
        <row r="152">
          <cell r="A152">
            <v>23546</v>
          </cell>
          <cell r="B152" t="str">
            <v>PAPEL TOALHA PARA BANHEIRO-19,54-ST</v>
          </cell>
          <cell r="C152">
            <v>2291</v>
          </cell>
          <cell r="D152" t="str">
            <v>BRILHOMAX</v>
          </cell>
          <cell r="E152">
            <v>999999</v>
          </cell>
          <cell r="F152" t="str">
            <v>GRUPO CONVERSAO</v>
          </cell>
          <cell r="G152" t="str">
            <v>NA</v>
          </cell>
        </row>
        <row r="153">
          <cell r="A153">
            <v>22988</v>
          </cell>
          <cell r="B153" t="str">
            <v>PAPEL TOALHA ROLO</v>
          </cell>
          <cell r="C153">
            <v>3126</v>
          </cell>
          <cell r="D153" t="str">
            <v>.</v>
          </cell>
          <cell r="E153">
            <v>999999</v>
          </cell>
          <cell r="F153" t="str">
            <v>GRUPO CONVERSAO</v>
          </cell>
          <cell r="G153" t="str">
            <v>NA</v>
          </cell>
        </row>
        <row r="154">
          <cell r="A154">
            <v>84772</v>
          </cell>
          <cell r="B154" t="str">
            <v>PARA CHOQUE TRASEIRO</v>
          </cell>
          <cell r="C154" t="str">
            <v>866111S700BIJ</v>
          </cell>
          <cell r="D154" t="str">
            <v>.</v>
          </cell>
          <cell r="E154">
            <v>999999</v>
          </cell>
          <cell r="F154" t="str">
            <v>GRUPO CONVERSAO</v>
          </cell>
          <cell r="G154" t="str">
            <v>NA</v>
          </cell>
        </row>
        <row r="155">
          <cell r="A155">
            <v>85030</v>
          </cell>
          <cell r="B155" t="str">
            <v>PASTA CRISTAL ROSA</v>
          </cell>
          <cell r="C155">
            <v>46</v>
          </cell>
          <cell r="D155" t="str">
            <v>.</v>
          </cell>
          <cell r="E155">
            <v>999999</v>
          </cell>
          <cell r="F155" t="str">
            <v>GRUPO CONVERSAO</v>
          </cell>
          <cell r="G155" t="str">
            <v>NA</v>
          </cell>
        </row>
        <row r="156">
          <cell r="A156">
            <v>24218</v>
          </cell>
          <cell r="B156" t="str">
            <v>PASTA EM L TRANSPARENTE</v>
          </cell>
          <cell r="C156">
            <v>52398</v>
          </cell>
          <cell r="D156" t="str">
            <v>UTILER</v>
          </cell>
          <cell r="E156">
            <v>999999</v>
          </cell>
          <cell r="F156" t="str">
            <v>GRUPO CONVERSAO</v>
          </cell>
          <cell r="G156" t="str">
            <v>NA</v>
          </cell>
        </row>
        <row r="157">
          <cell r="A157">
            <v>23520</v>
          </cell>
          <cell r="B157" t="str">
            <v>PASTA PP C/ELASTICO TRANSPARENTE 40MM</v>
          </cell>
          <cell r="C157">
            <v>47998</v>
          </cell>
          <cell r="D157" t="str">
            <v>UTILER</v>
          </cell>
          <cell r="E157">
            <v>999999</v>
          </cell>
          <cell r="F157" t="str">
            <v>GRUPO CONVERSAO</v>
          </cell>
          <cell r="G157" t="str">
            <v>NA</v>
          </cell>
        </row>
        <row r="158">
          <cell r="A158">
            <v>22969</v>
          </cell>
          <cell r="B158" t="str">
            <v>PASTA PP TRANSP C/ ELASTICO FINA - CRISTAL</v>
          </cell>
          <cell r="C158">
            <v>25700</v>
          </cell>
          <cell r="D158" t="str">
            <v>.</v>
          </cell>
          <cell r="E158">
            <v>999999</v>
          </cell>
          <cell r="F158" t="str">
            <v>GRUPO CONVERSAO</v>
          </cell>
          <cell r="G158" t="str">
            <v>NA</v>
          </cell>
        </row>
        <row r="159">
          <cell r="A159">
            <v>23611</v>
          </cell>
          <cell r="B159" t="str">
            <v>PASTA PP VISION C/ ELASTICO 20MM - FUME</v>
          </cell>
          <cell r="C159">
            <v>56053</v>
          </cell>
          <cell r="D159" t="str">
            <v>UTILER</v>
          </cell>
          <cell r="E159">
            <v>999999</v>
          </cell>
          <cell r="F159" t="str">
            <v>GRUPO CONVERSAO</v>
          </cell>
          <cell r="G159" t="str">
            <v>NA</v>
          </cell>
        </row>
        <row r="160">
          <cell r="A160">
            <v>22962</v>
          </cell>
          <cell r="B160" t="str">
            <v>PASTA SANFONADA A-4 12 DIV - FUME</v>
          </cell>
          <cell r="C160">
            <v>52243</v>
          </cell>
          <cell r="D160" t="str">
            <v>.</v>
          </cell>
          <cell r="E160">
            <v>999999</v>
          </cell>
          <cell r="F160" t="str">
            <v>GRUPO CONVERSAO</v>
          </cell>
          <cell r="G160" t="str">
            <v>NA</v>
          </cell>
        </row>
        <row r="161">
          <cell r="A161">
            <v>23522</v>
          </cell>
          <cell r="B161" t="str">
            <v>PASTA SANFONADA TRANSPARENTE</v>
          </cell>
          <cell r="C161">
            <v>11880</v>
          </cell>
          <cell r="D161" t="str">
            <v>UTILER</v>
          </cell>
          <cell r="E161">
            <v>999999</v>
          </cell>
          <cell r="F161" t="str">
            <v>GRUPO CONVERSAO</v>
          </cell>
          <cell r="G161" t="str">
            <v>NA</v>
          </cell>
        </row>
        <row r="162">
          <cell r="A162">
            <v>22966</v>
          </cell>
          <cell r="B162" t="str">
            <v>PASTA SUSPENSA MARMORIZADA QUALITY</v>
          </cell>
          <cell r="C162">
            <v>55515</v>
          </cell>
          <cell r="D162" t="str">
            <v>.</v>
          </cell>
          <cell r="E162">
            <v>999999</v>
          </cell>
          <cell r="F162" t="str">
            <v>GRUPO CONVERSAO</v>
          </cell>
          <cell r="G162" t="str">
            <v>NA</v>
          </cell>
        </row>
        <row r="163">
          <cell r="A163">
            <v>22984</v>
          </cell>
          <cell r="B163" t="str">
            <v>PEDRA SANITARIA</v>
          </cell>
          <cell r="C163">
            <v>17896640502149</v>
          </cell>
          <cell r="D163" t="str">
            <v>.</v>
          </cell>
          <cell r="E163">
            <v>999999</v>
          </cell>
          <cell r="F163" t="str">
            <v>GRUPO CONVERSAO</v>
          </cell>
          <cell r="G163" t="str">
            <v>NA</v>
          </cell>
        </row>
        <row r="164">
          <cell r="A164">
            <v>23767</v>
          </cell>
          <cell r="B164" t="str">
            <v>PERCEVEJOS LATONADOS 100X1</v>
          </cell>
          <cell r="C164">
            <v>48973</v>
          </cell>
          <cell r="D164" t="str">
            <v>UTILER</v>
          </cell>
          <cell r="E164">
            <v>999999</v>
          </cell>
          <cell r="F164" t="str">
            <v>GRUPO CONVERSAO</v>
          </cell>
          <cell r="G164" t="str">
            <v>NA</v>
          </cell>
        </row>
        <row r="165">
          <cell r="A165">
            <v>85480</v>
          </cell>
          <cell r="B165" t="str">
            <v>PERFIL PISO-PAREDE TECNO 9 1,8 M CAIXA COM 6 PECAS</v>
          </cell>
          <cell r="C165">
            <v>7965644</v>
          </cell>
          <cell r="D165" t="str">
            <v>.</v>
          </cell>
          <cell r="E165">
            <v>999999</v>
          </cell>
          <cell r="F165" t="str">
            <v>GRUPO CONVERSAO</v>
          </cell>
          <cell r="G165" t="str">
            <v>NA</v>
          </cell>
        </row>
        <row r="166">
          <cell r="A166">
            <v>85479</v>
          </cell>
          <cell r="B166" t="str">
            <v>PERFIL T TECNO 9 1,8 M CAIXA COM 6 PECAS</v>
          </cell>
          <cell r="C166">
            <v>7965676</v>
          </cell>
          <cell r="D166" t="str">
            <v>.</v>
          </cell>
          <cell r="E166">
            <v>999999</v>
          </cell>
          <cell r="F166" t="str">
            <v>GRUPO CONVERSAO</v>
          </cell>
          <cell r="G166" t="str">
            <v>NA</v>
          </cell>
        </row>
        <row r="167">
          <cell r="A167">
            <v>23769</v>
          </cell>
          <cell r="B167" t="str">
            <v>PILHA ALCALINA C/ 4 UNIDADES</v>
          </cell>
          <cell r="C167">
            <v>55042</v>
          </cell>
          <cell r="D167" t="str">
            <v>UTILER</v>
          </cell>
          <cell r="E167">
            <v>999999</v>
          </cell>
          <cell r="F167" t="str">
            <v>GRUPO CONVERSAO</v>
          </cell>
          <cell r="G167" t="str">
            <v>NA</v>
          </cell>
        </row>
        <row r="168">
          <cell r="A168">
            <v>23768</v>
          </cell>
          <cell r="B168" t="str">
            <v>PILHA ALCALINA PALITO C/ 4 UNIDADES</v>
          </cell>
          <cell r="C168">
            <v>59552</v>
          </cell>
          <cell r="D168" t="str">
            <v>UTILER</v>
          </cell>
          <cell r="E168">
            <v>999999</v>
          </cell>
          <cell r="F168" t="str">
            <v>GRUPO CONVERSAO</v>
          </cell>
          <cell r="G168" t="str">
            <v>NA</v>
          </cell>
        </row>
        <row r="169">
          <cell r="A169">
            <v>23528</v>
          </cell>
          <cell r="B169" t="str">
            <v>PINCEL ATOMICO AZUL</v>
          </cell>
          <cell r="C169">
            <v>51989</v>
          </cell>
          <cell r="D169" t="str">
            <v>UTILER</v>
          </cell>
          <cell r="E169">
            <v>999999</v>
          </cell>
          <cell r="F169" t="str">
            <v>GRUPO CONVERSAO</v>
          </cell>
          <cell r="G169" t="str">
            <v>NA</v>
          </cell>
        </row>
        <row r="170">
          <cell r="A170">
            <v>23529</v>
          </cell>
          <cell r="B170" t="str">
            <v>PINCEL ATOMICO PRETO</v>
          </cell>
          <cell r="C170">
            <v>51987</v>
          </cell>
          <cell r="D170" t="str">
            <v>UTILER</v>
          </cell>
          <cell r="E170">
            <v>999999</v>
          </cell>
          <cell r="F170" t="str">
            <v>GRUPO CONVERSAO</v>
          </cell>
          <cell r="G170" t="str">
            <v>NA</v>
          </cell>
        </row>
        <row r="171">
          <cell r="A171">
            <v>83876</v>
          </cell>
          <cell r="B171" t="str">
            <v>PINCEL ATOMICO VERMELHO</v>
          </cell>
          <cell r="C171">
            <v>51988</v>
          </cell>
          <cell r="D171" t="str">
            <v>UTILER</v>
          </cell>
          <cell r="E171">
            <v>999999</v>
          </cell>
          <cell r="F171" t="str">
            <v>GRUPO CONVERSAO</v>
          </cell>
          <cell r="G171" t="str">
            <v>NA</v>
          </cell>
        </row>
        <row r="172">
          <cell r="A172">
            <v>23527</v>
          </cell>
          <cell r="B172" t="str">
            <v>PINCEL MARCA TEXTO</v>
          </cell>
          <cell r="C172">
            <v>57948</v>
          </cell>
          <cell r="D172" t="str">
            <v>UTILER</v>
          </cell>
          <cell r="E172">
            <v>999999</v>
          </cell>
          <cell r="F172" t="str">
            <v>GRUPO CONVERSAO</v>
          </cell>
          <cell r="G172" t="str">
            <v>NA</v>
          </cell>
        </row>
        <row r="173">
          <cell r="A173">
            <v>23571</v>
          </cell>
          <cell r="B173" t="str">
            <v>PINCEL MARCADOR P/ VIDRO - GIZ LIQUIDO NEWPEN ROSA</v>
          </cell>
          <cell r="C173">
            <v>24186</v>
          </cell>
          <cell r="D173" t="str">
            <v>UTILER</v>
          </cell>
          <cell r="E173">
            <v>999999</v>
          </cell>
          <cell r="F173" t="str">
            <v>GRUPO CONVERSAO</v>
          </cell>
          <cell r="G173" t="str">
            <v>NA</v>
          </cell>
        </row>
        <row r="174">
          <cell r="A174">
            <v>23572</v>
          </cell>
          <cell r="B174" t="str">
            <v>PINCEL MARCADOR P/ VIDRO WINDOW MARKER AMARELO</v>
          </cell>
          <cell r="C174">
            <v>57034</v>
          </cell>
          <cell r="D174" t="str">
            <v>UTILER</v>
          </cell>
          <cell r="E174">
            <v>999999</v>
          </cell>
          <cell r="F174" t="str">
            <v>GRUPO CONVERSAO</v>
          </cell>
          <cell r="G174" t="str">
            <v>NA</v>
          </cell>
        </row>
        <row r="175">
          <cell r="A175">
            <v>84878</v>
          </cell>
          <cell r="B175" t="str">
            <v>PISO CERÂMICO EXTRA 45X45 PEI - 3</v>
          </cell>
          <cell r="C175">
            <v>2</v>
          </cell>
          <cell r="D175" t="str">
            <v>.</v>
          </cell>
          <cell r="E175">
            <v>999999</v>
          </cell>
          <cell r="F175" t="str">
            <v>GRUPO CONVERSAO</v>
          </cell>
          <cell r="G175" t="str">
            <v>NA</v>
          </cell>
        </row>
        <row r="176">
          <cell r="A176">
            <v>20561</v>
          </cell>
          <cell r="B176" t="str">
            <v>PISTOLA SLIM HVLP 1.7 WALCOM</v>
          </cell>
          <cell r="C176" t="str">
            <v>10060.17</v>
          </cell>
          <cell r="D176" t="str">
            <v>.</v>
          </cell>
          <cell r="E176">
            <v>999999</v>
          </cell>
          <cell r="F176" t="str">
            <v>GRUPO CONVERSAO</v>
          </cell>
          <cell r="G176" t="str">
            <v>NA</v>
          </cell>
        </row>
        <row r="177">
          <cell r="A177">
            <v>83878</v>
          </cell>
          <cell r="B177" t="str">
            <v>PLACA DE ISOPOR BRANCO</v>
          </cell>
          <cell r="C177">
            <v>16826</v>
          </cell>
          <cell r="D177" t="str">
            <v>UTILER</v>
          </cell>
          <cell r="E177">
            <v>999999</v>
          </cell>
          <cell r="F177" t="str">
            <v>GRUPO CONVERSAO</v>
          </cell>
          <cell r="G177" t="str">
            <v>NA</v>
          </cell>
        </row>
        <row r="178">
          <cell r="A178">
            <v>83914</v>
          </cell>
          <cell r="B178" t="str">
            <v>PLACA SINALIZADORA PISO MOHADO</v>
          </cell>
          <cell r="C178">
            <v>2172</v>
          </cell>
          <cell r="D178" t="str">
            <v>UTILER</v>
          </cell>
          <cell r="E178">
            <v>999999</v>
          </cell>
          <cell r="F178" t="str">
            <v>GRUPO CONVERSAO</v>
          </cell>
          <cell r="G178" t="str">
            <v>NA</v>
          </cell>
        </row>
        <row r="179">
          <cell r="A179">
            <v>83848</v>
          </cell>
          <cell r="B179" t="str">
            <v>PORTA LAPIS SIMPLES</v>
          </cell>
          <cell r="C179">
            <v>59334</v>
          </cell>
          <cell r="D179" t="str">
            <v>UTILER</v>
          </cell>
          <cell r="E179">
            <v>999999</v>
          </cell>
          <cell r="F179" t="str">
            <v>GRUPO CONVERSAO</v>
          </cell>
          <cell r="G179" t="str">
            <v>NA</v>
          </cell>
        </row>
        <row r="180">
          <cell r="A180">
            <v>83998</v>
          </cell>
          <cell r="B180" t="str">
            <v>PORTA MOEDAS</v>
          </cell>
          <cell r="C180">
            <v>58860</v>
          </cell>
          <cell r="D180" t="str">
            <v>UTILER</v>
          </cell>
          <cell r="E180">
            <v>999999</v>
          </cell>
          <cell r="F180" t="str">
            <v>GRUPO CONVERSAO</v>
          </cell>
          <cell r="G180" t="str">
            <v>NA</v>
          </cell>
        </row>
        <row r="181">
          <cell r="A181">
            <v>24217</v>
          </cell>
          <cell r="B181" t="str">
            <v>PRANCHETA MDF</v>
          </cell>
          <cell r="C181">
            <v>50195</v>
          </cell>
          <cell r="D181" t="str">
            <v>UTILER</v>
          </cell>
          <cell r="E181">
            <v>999999</v>
          </cell>
          <cell r="F181" t="str">
            <v>GRUPO CONVERSAO</v>
          </cell>
          <cell r="G181" t="str">
            <v>NA</v>
          </cell>
        </row>
        <row r="182">
          <cell r="A182">
            <v>24312</v>
          </cell>
          <cell r="B182" t="str">
            <v>PROCESSADOR I3 3220 3.3GHZ 3MB 1155P</v>
          </cell>
          <cell r="C182">
            <v>3244</v>
          </cell>
          <cell r="D182" t="str">
            <v>.</v>
          </cell>
          <cell r="E182">
            <v>999999</v>
          </cell>
          <cell r="F182" t="str">
            <v>GRUPO CONVERSAO</v>
          </cell>
          <cell r="G182" t="str">
            <v>NA</v>
          </cell>
        </row>
        <row r="183">
          <cell r="A183">
            <v>84659</v>
          </cell>
          <cell r="B183" t="str">
            <v>PRODUTO STANDO 1</v>
          </cell>
          <cell r="C183" t="str">
            <v>703A</v>
          </cell>
          <cell r="D183" t="str">
            <v>AKOS</v>
          </cell>
          <cell r="E183">
            <v>999999</v>
          </cell>
          <cell r="F183" t="str">
            <v>GRUPO CONVERSAO</v>
          </cell>
          <cell r="G183" t="str">
            <v>NA</v>
          </cell>
        </row>
        <row r="184">
          <cell r="A184">
            <v>84668</v>
          </cell>
          <cell r="B184" t="str">
            <v>PRODUTO STANDO 10</v>
          </cell>
          <cell r="C184">
            <v>725</v>
          </cell>
          <cell r="D184" t="str">
            <v>AKOS</v>
          </cell>
          <cell r="E184">
            <v>999999</v>
          </cell>
          <cell r="F184" t="str">
            <v>GRUPO CONVERSAO</v>
          </cell>
          <cell r="G184" t="str">
            <v>NA</v>
          </cell>
        </row>
        <row r="185">
          <cell r="A185">
            <v>84669</v>
          </cell>
          <cell r="B185" t="str">
            <v>PRODUTO STANDO 11</v>
          </cell>
          <cell r="C185">
            <v>724</v>
          </cell>
          <cell r="D185" t="str">
            <v>AKOS</v>
          </cell>
          <cell r="E185">
            <v>999999</v>
          </cell>
          <cell r="F185" t="str">
            <v>GRUPO CONVERSAO</v>
          </cell>
          <cell r="G185" t="str">
            <v>NA</v>
          </cell>
        </row>
        <row r="186">
          <cell r="A186">
            <v>84670</v>
          </cell>
          <cell r="B186" t="str">
            <v>PRODUTO STANDO 12</v>
          </cell>
          <cell r="C186">
            <v>721</v>
          </cell>
          <cell r="D186" t="str">
            <v>AKOS</v>
          </cell>
          <cell r="E186">
            <v>999999</v>
          </cell>
          <cell r="F186" t="str">
            <v>GRUPO CONVERSAO</v>
          </cell>
          <cell r="G186" t="str">
            <v>NA</v>
          </cell>
        </row>
        <row r="187">
          <cell r="A187">
            <v>84671</v>
          </cell>
          <cell r="B187" t="str">
            <v>PRODUTO STANDO 13</v>
          </cell>
          <cell r="C187" t="str">
            <v>707B</v>
          </cell>
          <cell r="D187" t="str">
            <v>AKOS</v>
          </cell>
          <cell r="E187">
            <v>999999</v>
          </cell>
          <cell r="F187" t="str">
            <v>GRUPO CONVERSAO</v>
          </cell>
          <cell r="G187" t="str">
            <v>NA</v>
          </cell>
        </row>
        <row r="188">
          <cell r="A188">
            <v>84672</v>
          </cell>
          <cell r="B188" t="str">
            <v>PRODUTO STANDO 14</v>
          </cell>
          <cell r="C188" t="str">
            <v>707A</v>
          </cell>
          <cell r="D188" t="str">
            <v>AKOS</v>
          </cell>
          <cell r="E188">
            <v>999999</v>
          </cell>
          <cell r="F188" t="str">
            <v>GRUPO CONVERSAO</v>
          </cell>
          <cell r="G188" t="str">
            <v>NA</v>
          </cell>
        </row>
        <row r="189">
          <cell r="A189">
            <v>84673</v>
          </cell>
          <cell r="B189" t="str">
            <v>PRODUTO STANDO 15</v>
          </cell>
          <cell r="C189">
            <v>717</v>
          </cell>
          <cell r="D189" t="str">
            <v>AKOS</v>
          </cell>
          <cell r="E189">
            <v>999999</v>
          </cell>
          <cell r="F189" t="str">
            <v>GRUPO CONVERSAO</v>
          </cell>
          <cell r="G189" t="str">
            <v>NA</v>
          </cell>
        </row>
        <row r="190">
          <cell r="A190">
            <v>84674</v>
          </cell>
          <cell r="B190" t="str">
            <v>PRODUTO STANDO 16</v>
          </cell>
          <cell r="C190">
            <v>732</v>
          </cell>
          <cell r="D190" t="str">
            <v>AKOS</v>
          </cell>
          <cell r="E190">
            <v>999999</v>
          </cell>
          <cell r="F190" t="str">
            <v>GRUPO CONVERSAO</v>
          </cell>
          <cell r="G190" t="str">
            <v>NA</v>
          </cell>
        </row>
        <row r="191">
          <cell r="A191">
            <v>84675</v>
          </cell>
          <cell r="B191" t="str">
            <v>PRODUTO STANDO 17</v>
          </cell>
          <cell r="C191">
            <v>382</v>
          </cell>
          <cell r="D191" t="str">
            <v>AKOS</v>
          </cell>
          <cell r="E191">
            <v>999999</v>
          </cell>
          <cell r="F191" t="str">
            <v>GRUPO CONVERSAO</v>
          </cell>
          <cell r="G191" t="str">
            <v>NA</v>
          </cell>
        </row>
        <row r="192">
          <cell r="A192">
            <v>84676</v>
          </cell>
          <cell r="B192" t="str">
            <v>PRODUTO STANDO 18</v>
          </cell>
          <cell r="C192">
            <v>383</v>
          </cell>
          <cell r="D192" t="str">
            <v>AKOS</v>
          </cell>
          <cell r="E192">
            <v>999999</v>
          </cell>
          <cell r="F192" t="str">
            <v>GRUPO CONVERSAO</v>
          </cell>
          <cell r="G192" t="str">
            <v>NA</v>
          </cell>
        </row>
        <row r="193">
          <cell r="A193">
            <v>84677</v>
          </cell>
          <cell r="B193" t="str">
            <v>PRODUTO STANDO 19</v>
          </cell>
          <cell r="C193">
            <v>384</v>
          </cell>
          <cell r="D193" t="str">
            <v>AKOS</v>
          </cell>
          <cell r="E193">
            <v>999999</v>
          </cell>
          <cell r="F193" t="str">
            <v>GRUPO CONVERSAO</v>
          </cell>
          <cell r="G193" t="str">
            <v>NA</v>
          </cell>
        </row>
        <row r="194">
          <cell r="A194">
            <v>84660</v>
          </cell>
          <cell r="B194" t="str">
            <v>PRODUTO STANDO 2</v>
          </cell>
          <cell r="C194">
            <v>695</v>
          </cell>
          <cell r="D194" t="str">
            <v>AKOS</v>
          </cell>
          <cell r="E194">
            <v>999999</v>
          </cell>
          <cell r="F194" t="str">
            <v>GRUPO CONVERSAO</v>
          </cell>
          <cell r="G194" t="str">
            <v>NA</v>
          </cell>
        </row>
        <row r="195">
          <cell r="A195">
            <v>84789</v>
          </cell>
          <cell r="B195" t="str">
            <v>PRODUTO STANDO 20</v>
          </cell>
          <cell r="C195">
            <v>775</v>
          </cell>
          <cell r="D195" t="str">
            <v>AKOS</v>
          </cell>
          <cell r="E195">
            <v>999999</v>
          </cell>
          <cell r="F195" t="str">
            <v>GRUPO CONVERSAO</v>
          </cell>
          <cell r="G195" t="str">
            <v>NA</v>
          </cell>
        </row>
        <row r="196">
          <cell r="A196">
            <v>84790</v>
          </cell>
          <cell r="B196" t="str">
            <v>PRODUTO STANDO 21</v>
          </cell>
          <cell r="C196">
            <v>776</v>
          </cell>
          <cell r="D196" t="str">
            <v>AKOS</v>
          </cell>
          <cell r="E196">
            <v>999999</v>
          </cell>
          <cell r="F196" t="str">
            <v>GRUPO CONVERSAO</v>
          </cell>
          <cell r="G196" t="str">
            <v>NA</v>
          </cell>
        </row>
        <row r="197">
          <cell r="A197">
            <v>84791</v>
          </cell>
          <cell r="B197" t="str">
            <v>PRODUTO STANDO 22</v>
          </cell>
          <cell r="C197">
            <v>777</v>
          </cell>
          <cell r="D197" t="str">
            <v>AKOS</v>
          </cell>
          <cell r="E197">
            <v>999999</v>
          </cell>
          <cell r="F197" t="str">
            <v>GRUPO CONVERSAO</v>
          </cell>
          <cell r="G197" t="str">
            <v>NA</v>
          </cell>
        </row>
        <row r="198">
          <cell r="A198">
            <v>84661</v>
          </cell>
          <cell r="B198" t="str">
            <v>PRODUTO STANDO 3</v>
          </cell>
          <cell r="C198">
            <v>734</v>
          </cell>
          <cell r="D198" t="str">
            <v>AKOS</v>
          </cell>
          <cell r="E198">
            <v>999999</v>
          </cell>
          <cell r="F198" t="str">
            <v>GRUPO CONVERSAO</v>
          </cell>
          <cell r="G198" t="str">
            <v>NA</v>
          </cell>
        </row>
        <row r="199">
          <cell r="A199">
            <v>84662</v>
          </cell>
          <cell r="B199" t="str">
            <v>PRODUTO STANDO 4</v>
          </cell>
          <cell r="C199">
            <v>733</v>
          </cell>
          <cell r="D199" t="str">
            <v>AKOS</v>
          </cell>
          <cell r="E199">
            <v>999999</v>
          </cell>
          <cell r="F199" t="str">
            <v>GRUPO CONVERSAO</v>
          </cell>
          <cell r="G199" t="str">
            <v>NA</v>
          </cell>
        </row>
        <row r="200">
          <cell r="A200">
            <v>84663</v>
          </cell>
          <cell r="B200" t="str">
            <v>PRODUTO STANDO 5</v>
          </cell>
          <cell r="C200" t="str">
            <v>718B</v>
          </cell>
          <cell r="D200" t="str">
            <v>AKOS</v>
          </cell>
          <cell r="E200">
            <v>999999</v>
          </cell>
          <cell r="F200" t="str">
            <v>GRUPO CONVERSAO</v>
          </cell>
          <cell r="G200" t="str">
            <v>NA</v>
          </cell>
        </row>
        <row r="201">
          <cell r="A201">
            <v>84664</v>
          </cell>
          <cell r="B201" t="str">
            <v>PRODUTO STANDO 6</v>
          </cell>
          <cell r="C201" t="str">
            <v>718P</v>
          </cell>
          <cell r="D201" t="str">
            <v>AKOS</v>
          </cell>
          <cell r="E201">
            <v>999999</v>
          </cell>
          <cell r="F201" t="str">
            <v>GRUPO CONVERSAO</v>
          </cell>
          <cell r="G201" t="str">
            <v>NA</v>
          </cell>
        </row>
        <row r="202">
          <cell r="A202">
            <v>84665</v>
          </cell>
          <cell r="B202" t="str">
            <v>PRODUTO STANDO 7</v>
          </cell>
          <cell r="C202">
            <v>726</v>
          </cell>
          <cell r="D202" t="str">
            <v>AKOS</v>
          </cell>
          <cell r="E202">
            <v>999999</v>
          </cell>
          <cell r="F202" t="str">
            <v>GRUPO CONVERSAO</v>
          </cell>
          <cell r="G202" t="str">
            <v>NA</v>
          </cell>
        </row>
        <row r="203">
          <cell r="A203">
            <v>84666</v>
          </cell>
          <cell r="B203" t="str">
            <v>PRODUTO STANDO 8</v>
          </cell>
          <cell r="C203">
            <v>722</v>
          </cell>
          <cell r="D203" t="str">
            <v>AKOS</v>
          </cell>
          <cell r="E203">
            <v>999999</v>
          </cell>
          <cell r="F203" t="str">
            <v>GRUPO CONVERSAO</v>
          </cell>
          <cell r="G203" t="str">
            <v>NA</v>
          </cell>
        </row>
        <row r="204">
          <cell r="A204">
            <v>84667</v>
          </cell>
          <cell r="B204" t="str">
            <v>PRODUTO STANDO 9</v>
          </cell>
          <cell r="C204">
            <v>723</v>
          </cell>
          <cell r="D204" t="str">
            <v>AKOS</v>
          </cell>
          <cell r="E204">
            <v>999999</v>
          </cell>
          <cell r="F204" t="str">
            <v>GRUPO CONVERSAO</v>
          </cell>
          <cell r="G204" t="str">
            <v>NA</v>
          </cell>
        </row>
        <row r="205">
          <cell r="A205">
            <v>21615</v>
          </cell>
          <cell r="B205" t="str">
            <v>PROPELL PCT BR 50G 100 PANOS</v>
          </cell>
          <cell r="C205" t="str">
            <v>SP80100BR</v>
          </cell>
          <cell r="D205" t="str">
            <v>.</v>
          </cell>
          <cell r="E205">
            <v>999999</v>
          </cell>
          <cell r="F205" t="str">
            <v>GRUPO CONVERSAO</v>
          </cell>
          <cell r="G205" t="str">
            <v>NA</v>
          </cell>
        </row>
        <row r="206">
          <cell r="A206">
            <v>22985</v>
          </cell>
          <cell r="B206" t="str">
            <v>PURIFICADOR 360ML</v>
          </cell>
          <cell r="C206">
            <v>9741</v>
          </cell>
          <cell r="D206" t="str">
            <v>.</v>
          </cell>
          <cell r="E206">
            <v>999999</v>
          </cell>
          <cell r="F206" t="str">
            <v>GRUPO CONVERSAO</v>
          </cell>
          <cell r="G206" t="str">
            <v>NA</v>
          </cell>
        </row>
        <row r="207">
          <cell r="A207">
            <v>22976</v>
          </cell>
          <cell r="B207" t="str">
            <v>RECADO ADESIVO NOTE FIX 04 BLOCOS - AMARELO</v>
          </cell>
          <cell r="C207">
            <v>43394</v>
          </cell>
          <cell r="D207" t="str">
            <v>.</v>
          </cell>
          <cell r="E207">
            <v>999999</v>
          </cell>
          <cell r="F207" t="str">
            <v>GRUPO CONVERSAO</v>
          </cell>
          <cell r="G207" t="str">
            <v>NA</v>
          </cell>
        </row>
        <row r="208">
          <cell r="A208">
            <v>23521</v>
          </cell>
          <cell r="B208" t="str">
            <v>RECADO ADESIVO POST-IT</v>
          </cell>
          <cell r="C208">
            <v>52248</v>
          </cell>
          <cell r="D208" t="str">
            <v>UTILER</v>
          </cell>
          <cell r="E208">
            <v>999999</v>
          </cell>
          <cell r="F208" t="str">
            <v>GRUPO CONVERSAO</v>
          </cell>
          <cell r="G208" t="str">
            <v>NA</v>
          </cell>
        </row>
        <row r="209">
          <cell r="A209">
            <v>83946</v>
          </cell>
          <cell r="B209" t="str">
            <v>RECADO ADESIVO ROSA</v>
          </cell>
          <cell r="C209">
            <v>24511</v>
          </cell>
          <cell r="D209" t="str">
            <v>.</v>
          </cell>
          <cell r="E209">
            <v>999999</v>
          </cell>
          <cell r="F209" t="str">
            <v>GRUPO CONVERSAO</v>
          </cell>
          <cell r="G209" t="str">
            <v>NA</v>
          </cell>
        </row>
        <row r="210">
          <cell r="A210">
            <v>83945</v>
          </cell>
          <cell r="B210" t="str">
            <v>RECADO ADESIVO VERDE</v>
          </cell>
          <cell r="C210">
            <v>24774</v>
          </cell>
          <cell r="D210" t="str">
            <v>.</v>
          </cell>
          <cell r="E210">
            <v>999999</v>
          </cell>
          <cell r="F210" t="str">
            <v>GRUPO CONVERSAO</v>
          </cell>
          <cell r="G210" t="str">
            <v>NA</v>
          </cell>
        </row>
        <row r="211">
          <cell r="A211">
            <v>84783</v>
          </cell>
          <cell r="B211" t="str">
            <v>REFIL PATO GEL ADESIVO CITRUS</v>
          </cell>
          <cell r="C211">
            <v>8716</v>
          </cell>
          <cell r="D211" t="str">
            <v>.</v>
          </cell>
          <cell r="E211">
            <v>999999</v>
          </cell>
          <cell r="F211" t="str">
            <v>GRUPO CONVERSAO</v>
          </cell>
          <cell r="G211" t="str">
            <v>NA</v>
          </cell>
        </row>
        <row r="212">
          <cell r="A212">
            <v>84784</v>
          </cell>
          <cell r="B212" t="str">
            <v>REFIL PATO GEL ADESIVO LAVANDA</v>
          </cell>
          <cell r="C212">
            <v>20271</v>
          </cell>
          <cell r="D212" t="str">
            <v>.</v>
          </cell>
          <cell r="E212">
            <v>999999</v>
          </cell>
          <cell r="F212" t="str">
            <v>GRUPO CONVERSAO</v>
          </cell>
          <cell r="G212" t="str">
            <v>NA</v>
          </cell>
        </row>
        <row r="213">
          <cell r="A213">
            <v>84782</v>
          </cell>
          <cell r="B213" t="str">
            <v>REFIL PATO GEL ADESIVO MARINE</v>
          </cell>
          <cell r="C213">
            <v>5828</v>
          </cell>
          <cell r="D213" t="str">
            <v>.</v>
          </cell>
          <cell r="E213">
            <v>999999</v>
          </cell>
          <cell r="F213" t="str">
            <v>GRUPO CONVERSAO</v>
          </cell>
          <cell r="G213" t="str">
            <v>NA</v>
          </cell>
        </row>
        <row r="214">
          <cell r="A214">
            <v>22975</v>
          </cell>
          <cell r="B214" t="str">
            <v>REGUA ACRILICA 030 CM - CRISTAL</v>
          </cell>
          <cell r="C214">
            <v>42287</v>
          </cell>
          <cell r="D214" t="str">
            <v>.</v>
          </cell>
          <cell r="E214">
            <v>999999</v>
          </cell>
          <cell r="F214" t="str">
            <v>GRUPO CONVERSAO</v>
          </cell>
          <cell r="G214" t="str">
            <v>NA</v>
          </cell>
        </row>
        <row r="215">
          <cell r="A215">
            <v>23552</v>
          </cell>
          <cell r="B215" t="str">
            <v>REGUA ACRILICA 30 CM</v>
          </cell>
          <cell r="C215">
            <v>1473</v>
          </cell>
          <cell r="D215" t="str">
            <v>UTILER</v>
          </cell>
          <cell r="E215">
            <v>999999</v>
          </cell>
          <cell r="F215" t="str">
            <v>GRUPO CONVERSAO</v>
          </cell>
          <cell r="G215" t="str">
            <v>NA</v>
          </cell>
        </row>
        <row r="216">
          <cell r="A216">
            <v>85137</v>
          </cell>
          <cell r="B216" t="str">
            <v>REMOV. MAGICO 5LT START</v>
          </cell>
          <cell r="C216">
            <v>243</v>
          </cell>
          <cell r="D216" t="str">
            <v>START</v>
          </cell>
          <cell r="E216">
            <v>999999</v>
          </cell>
          <cell r="F216" t="str">
            <v>GRUPO CONVERSAO</v>
          </cell>
          <cell r="G216" t="str">
            <v>NA</v>
          </cell>
        </row>
        <row r="217">
          <cell r="A217">
            <v>83891</v>
          </cell>
          <cell r="B217" t="str">
            <v>REMOVEDOR CERAS 5LTS</v>
          </cell>
          <cell r="C217">
            <v>231</v>
          </cell>
          <cell r="D217" t="str">
            <v>BRILHOMAX</v>
          </cell>
          <cell r="E217">
            <v>999999</v>
          </cell>
          <cell r="F217" t="str">
            <v>GRUPO CONVERSAO</v>
          </cell>
          <cell r="G217" t="str">
            <v>NA</v>
          </cell>
        </row>
        <row r="218">
          <cell r="A218">
            <v>23533</v>
          </cell>
          <cell r="B218" t="str">
            <v>RESMA DE PAPEL A4 REPORT BRANCO 500FL</v>
          </cell>
          <cell r="C218">
            <v>7782</v>
          </cell>
          <cell r="D218" t="str">
            <v>ARCOM</v>
          </cell>
          <cell r="E218">
            <v>999999</v>
          </cell>
          <cell r="F218" t="str">
            <v>GRUPO CONVERSAO</v>
          </cell>
          <cell r="G218" t="str">
            <v>NA</v>
          </cell>
        </row>
        <row r="219">
          <cell r="A219">
            <v>85478</v>
          </cell>
          <cell r="B219" t="str">
            <v>RODAPE ACQUA NEW BRANCO MAX C/ FRISO 100X2400X15 CX/6</v>
          </cell>
          <cell r="C219">
            <v>7981000</v>
          </cell>
          <cell r="D219" t="str">
            <v>.</v>
          </cell>
          <cell r="E219">
            <v>999999</v>
          </cell>
          <cell r="F219" t="str">
            <v>GRUPO CONVERSAO</v>
          </cell>
          <cell r="G219" t="str">
            <v>NA</v>
          </cell>
        </row>
        <row r="220">
          <cell r="A220">
            <v>83805</v>
          </cell>
          <cell r="B220" t="str">
            <v>RODO ALUMINIO 60CM C/ CABO</v>
          </cell>
          <cell r="C220">
            <v>10846</v>
          </cell>
          <cell r="D220" t="str">
            <v>START</v>
          </cell>
          <cell r="E220">
            <v>999999</v>
          </cell>
          <cell r="F220" t="str">
            <v>GRUPO CONVERSAO</v>
          </cell>
          <cell r="G220" t="str">
            <v>NA</v>
          </cell>
        </row>
        <row r="221">
          <cell r="A221">
            <v>21593</v>
          </cell>
          <cell r="B221" t="str">
            <v>RODO ALUMINIO 80CM C/ CABO</v>
          </cell>
          <cell r="C221">
            <v>11384</v>
          </cell>
          <cell r="D221" t="str">
            <v>UTILER</v>
          </cell>
          <cell r="E221">
            <v>999999</v>
          </cell>
          <cell r="F221" t="str">
            <v>GRUPO CONVERSAO</v>
          </cell>
          <cell r="G221" t="str">
            <v>NA</v>
          </cell>
        </row>
        <row r="222">
          <cell r="A222">
            <v>23634</v>
          </cell>
          <cell r="B222" t="str">
            <v>RODO C/ CABO 60 CM</v>
          </cell>
          <cell r="C222">
            <v>10849</v>
          </cell>
          <cell r="D222" t="str">
            <v>BRILHO MAX</v>
          </cell>
          <cell r="E222">
            <v>999999</v>
          </cell>
          <cell r="F222" t="str">
            <v>GRUPO CONVERSAO</v>
          </cell>
          <cell r="G222" t="str">
            <v>NA</v>
          </cell>
        </row>
        <row r="223">
          <cell r="A223">
            <v>23765</v>
          </cell>
          <cell r="B223" t="str">
            <v>RODO METAL 40 CM</v>
          </cell>
          <cell r="C223">
            <v>16527</v>
          </cell>
          <cell r="D223" t="str">
            <v>START</v>
          </cell>
          <cell r="E223">
            <v>999999</v>
          </cell>
          <cell r="F223" t="str">
            <v>GRUPO CONVERSAO</v>
          </cell>
          <cell r="G223" t="str">
            <v>NA</v>
          </cell>
        </row>
        <row r="224">
          <cell r="A224">
            <v>84846</v>
          </cell>
          <cell r="B224" t="str">
            <v>SABAO EM BARRA</v>
          </cell>
          <cell r="C224">
            <v>16445</v>
          </cell>
          <cell r="D224" t="str">
            <v>START</v>
          </cell>
          <cell r="E224">
            <v>999999</v>
          </cell>
          <cell r="F224" t="str">
            <v>GRUPO CONVERSAO</v>
          </cell>
          <cell r="G224" t="str">
            <v>NA</v>
          </cell>
        </row>
        <row r="225">
          <cell r="A225">
            <v>84455</v>
          </cell>
          <cell r="B225" t="str">
            <v>SABAO EM PO</v>
          </cell>
          <cell r="C225">
            <v>16599</v>
          </cell>
          <cell r="D225" t="str">
            <v>START</v>
          </cell>
          <cell r="E225">
            <v>999999</v>
          </cell>
          <cell r="F225" t="str">
            <v>GRUPO CONVERSAO</v>
          </cell>
          <cell r="G225" t="str">
            <v>NA</v>
          </cell>
        </row>
        <row r="226">
          <cell r="A226">
            <v>23694</v>
          </cell>
          <cell r="B226" t="str">
            <v>SABONETE 5L PESSEGO -6,95-ST</v>
          </cell>
          <cell r="C226">
            <v>9087</v>
          </cell>
          <cell r="D226" t="str">
            <v>.</v>
          </cell>
          <cell r="E226">
            <v>999999</v>
          </cell>
          <cell r="F226" t="str">
            <v>GRUPO CONVERSAO</v>
          </cell>
          <cell r="G226" t="str">
            <v>NA</v>
          </cell>
        </row>
        <row r="227">
          <cell r="A227">
            <v>83961</v>
          </cell>
          <cell r="B227" t="str">
            <v>SABONETE LIQUIDO 1LT ERVA DOCE -6,16-ST</v>
          </cell>
          <cell r="C227">
            <v>16860</v>
          </cell>
          <cell r="D227" t="str">
            <v>TUFF</v>
          </cell>
          <cell r="E227">
            <v>999999</v>
          </cell>
          <cell r="F227" t="str">
            <v>GRUPO CONVERSAO</v>
          </cell>
          <cell r="G227" t="str">
            <v>NA</v>
          </cell>
        </row>
        <row r="228">
          <cell r="A228">
            <v>83960</v>
          </cell>
          <cell r="B228" t="str">
            <v>SABONETE LIQUIDO 5LT ACAI -6,16-ST</v>
          </cell>
          <cell r="C228">
            <v>5861</v>
          </cell>
          <cell r="D228" t="str">
            <v>TUFF</v>
          </cell>
          <cell r="E228">
            <v>999999</v>
          </cell>
          <cell r="F228" t="str">
            <v>GRUPO CONVERSAO</v>
          </cell>
          <cell r="G228" t="str">
            <v>NA</v>
          </cell>
        </row>
        <row r="229">
          <cell r="A229">
            <v>23540</v>
          </cell>
          <cell r="B229" t="str">
            <v>SABONETE LIQUIDO 5LT-6,16-ST</v>
          </cell>
          <cell r="C229">
            <v>1625</v>
          </cell>
          <cell r="D229" t="str">
            <v>TUFF</v>
          </cell>
          <cell r="E229">
            <v>999999</v>
          </cell>
          <cell r="F229" t="str">
            <v>GRUPO CONVERSAO</v>
          </cell>
          <cell r="G229" t="str">
            <v>NA</v>
          </cell>
        </row>
        <row r="230">
          <cell r="A230">
            <v>83963</v>
          </cell>
          <cell r="B230" t="str">
            <v>SABONETEIRA COM RESERVATORIO</v>
          </cell>
          <cell r="C230">
            <v>10764</v>
          </cell>
          <cell r="D230" t="str">
            <v>START</v>
          </cell>
          <cell r="E230">
            <v>999999</v>
          </cell>
          <cell r="F230" t="str">
            <v>GRUPO CONVERSAO</v>
          </cell>
          <cell r="G230" t="str">
            <v>NA</v>
          </cell>
        </row>
        <row r="231">
          <cell r="A231">
            <v>23544</v>
          </cell>
          <cell r="B231" t="str">
            <v>SACO DE LIXO 20 LTS</v>
          </cell>
          <cell r="C231">
            <v>4129</v>
          </cell>
          <cell r="D231" t="str">
            <v>BRILHOMAX</v>
          </cell>
          <cell r="E231">
            <v>999999</v>
          </cell>
          <cell r="F231" t="str">
            <v>GRUPO CONVERSAO</v>
          </cell>
          <cell r="G231" t="str">
            <v>NA</v>
          </cell>
        </row>
        <row r="232">
          <cell r="A232">
            <v>23884</v>
          </cell>
          <cell r="B232" t="str">
            <v>SACO DE LIXO 40LTS PRETO</v>
          </cell>
          <cell r="C232">
            <v>2061734156508</v>
          </cell>
          <cell r="D232" t="str">
            <v>.</v>
          </cell>
          <cell r="E232">
            <v>999999</v>
          </cell>
          <cell r="F232" t="str">
            <v>GRUPO CONVERSAO</v>
          </cell>
          <cell r="G232" t="str">
            <v>NA</v>
          </cell>
        </row>
        <row r="233">
          <cell r="A233">
            <v>85615</v>
          </cell>
          <cell r="B233" t="str">
            <v>SACO P/ LIXO PRETO GP 110LT</v>
          </cell>
          <cell r="C233">
            <v>12846</v>
          </cell>
          <cell r="D233" t="str">
            <v>START</v>
          </cell>
          <cell r="E233">
            <v>999999</v>
          </cell>
          <cell r="F233" t="str">
            <v>GRUPO CONVERSAO</v>
          </cell>
          <cell r="G233" t="str">
            <v>NA</v>
          </cell>
        </row>
        <row r="234">
          <cell r="A234">
            <v>23519</v>
          </cell>
          <cell r="B234" t="str">
            <v>SACO PARA LIXO 100LTS</v>
          </cell>
          <cell r="C234">
            <v>65</v>
          </cell>
          <cell r="D234" t="str">
            <v>BRASPLASTICOS</v>
          </cell>
          <cell r="E234">
            <v>999999</v>
          </cell>
          <cell r="F234" t="str">
            <v>GRUPO CONVERSAO</v>
          </cell>
          <cell r="G234" t="str">
            <v>NA</v>
          </cell>
        </row>
        <row r="235">
          <cell r="A235">
            <v>23632</v>
          </cell>
          <cell r="B235" t="str">
            <v>SACO PARA LIXO 200L</v>
          </cell>
          <cell r="C235">
            <v>12852</v>
          </cell>
          <cell r="D235" t="str">
            <v>BRASPLASTICOS</v>
          </cell>
          <cell r="E235">
            <v>999999</v>
          </cell>
          <cell r="F235" t="str">
            <v>GRUPO CONVERSAO</v>
          </cell>
          <cell r="G235" t="str">
            <v>NA</v>
          </cell>
        </row>
        <row r="236">
          <cell r="A236">
            <v>23945</v>
          </cell>
          <cell r="B236" t="str">
            <v>SACO PARA LIXO 60LTS PRETO</v>
          </cell>
          <cell r="C236">
            <v>31</v>
          </cell>
          <cell r="D236" t="str">
            <v>.</v>
          </cell>
          <cell r="E236">
            <v>999999</v>
          </cell>
          <cell r="F236" t="str">
            <v>GRUPO CONVERSAO</v>
          </cell>
          <cell r="G236" t="str">
            <v>NA</v>
          </cell>
        </row>
        <row r="237">
          <cell r="A237">
            <v>23951</v>
          </cell>
          <cell r="B237" t="str">
            <v>SACOLA IMPRESSA 30X40 DAUTO</v>
          </cell>
          <cell r="C237">
            <v>19</v>
          </cell>
          <cell r="D237" t="str">
            <v>PLASTINI</v>
          </cell>
          <cell r="E237">
            <v>999999</v>
          </cell>
          <cell r="F237" t="str">
            <v>GRUPO CONVERSAO</v>
          </cell>
          <cell r="G237" t="str">
            <v>NA</v>
          </cell>
        </row>
        <row r="238">
          <cell r="A238">
            <v>23797</v>
          </cell>
          <cell r="B238" t="str">
            <v>SACOLA IMPRESSAS 45X60 PC C/1000</v>
          </cell>
          <cell r="C238">
            <v>7</v>
          </cell>
          <cell r="D238" t="str">
            <v>PLASTINI</v>
          </cell>
          <cell r="E238">
            <v>999999</v>
          </cell>
          <cell r="F238" t="str">
            <v>GRUPO CONVERSAO</v>
          </cell>
          <cell r="G238" t="str">
            <v>NA</v>
          </cell>
        </row>
        <row r="239">
          <cell r="A239">
            <v>22952</v>
          </cell>
          <cell r="B239" t="str">
            <v>SACOLA RECICLADA LISA 40X50</v>
          </cell>
          <cell r="C239">
            <v>502</v>
          </cell>
          <cell r="D239" t="str">
            <v>BRASPLASTICOS</v>
          </cell>
          <cell r="E239">
            <v>999999</v>
          </cell>
          <cell r="F239" t="str">
            <v>GRUPO CONVERSAO</v>
          </cell>
          <cell r="G239" t="str">
            <v>NA</v>
          </cell>
        </row>
        <row r="240">
          <cell r="A240">
            <v>236</v>
          </cell>
          <cell r="B240" t="str">
            <v>SKYMIX PU VIOLETA AVERMELHADO 0,900ML 332</v>
          </cell>
          <cell r="C240" t="str">
            <v>610PU33201B4</v>
          </cell>
          <cell r="D240" t="str">
            <v>SKY</v>
          </cell>
          <cell r="E240">
            <v>999999</v>
          </cell>
          <cell r="F240" t="str">
            <v>BASES POLIÉSTER</v>
          </cell>
          <cell r="G240" t="str">
            <v>AUTOMOTIVO</v>
          </cell>
        </row>
        <row r="241">
          <cell r="A241">
            <v>23885</v>
          </cell>
          <cell r="B241" t="str">
            <v>SODA ESCAMA START</v>
          </cell>
          <cell r="C241">
            <v>54533</v>
          </cell>
          <cell r="D241" t="str">
            <v>START</v>
          </cell>
          <cell r="E241">
            <v>999999</v>
          </cell>
          <cell r="F241" t="str">
            <v>GRUPO CONVERSAO</v>
          </cell>
          <cell r="G241" t="str">
            <v>NA</v>
          </cell>
        </row>
        <row r="242">
          <cell r="A242">
            <v>23870</v>
          </cell>
          <cell r="B242" t="str">
            <v>SSD KINGSTON A400 120GB SATA</v>
          </cell>
          <cell r="C242">
            <v>85196</v>
          </cell>
          <cell r="D242" t="str">
            <v>.</v>
          </cell>
          <cell r="E242">
            <v>999999</v>
          </cell>
          <cell r="F242" t="str">
            <v>GRUPO CONVERSAO</v>
          </cell>
          <cell r="G242" t="str">
            <v>NA</v>
          </cell>
        </row>
        <row r="243">
          <cell r="A243">
            <v>23930</v>
          </cell>
          <cell r="B243" t="str">
            <v>SUPORTE LT COM ROSCA (SEM CABO)</v>
          </cell>
          <cell r="C243">
            <v>1226</v>
          </cell>
          <cell r="D243" t="str">
            <v>START</v>
          </cell>
          <cell r="E243">
            <v>999999</v>
          </cell>
          <cell r="F243" t="str">
            <v>GRUPO CONVERSAO</v>
          </cell>
          <cell r="G243" t="str">
            <v>NA</v>
          </cell>
        </row>
        <row r="244">
          <cell r="A244">
            <v>23056</v>
          </cell>
          <cell r="B244" t="str">
            <v>SUPORTE PLASTICO P/ SAB LIQ/ALCOOL GEL</v>
          </cell>
          <cell r="C244">
            <v>9702</v>
          </cell>
          <cell r="D244" t="str">
            <v>.</v>
          </cell>
          <cell r="E244">
            <v>999999</v>
          </cell>
          <cell r="F244" t="str">
            <v>GRUPO CONVERSAO</v>
          </cell>
          <cell r="G244" t="str">
            <v>NA</v>
          </cell>
        </row>
        <row r="245">
          <cell r="A245">
            <v>85106</v>
          </cell>
          <cell r="B245" t="str">
            <v>TASSO RECURVADO VONDER</v>
          </cell>
          <cell r="C245">
            <v>3599200001</v>
          </cell>
          <cell r="D245" t="str">
            <v>VONDER</v>
          </cell>
          <cell r="E245">
            <v>999999</v>
          </cell>
          <cell r="F245" t="str">
            <v>GRUPO CONVERSAO</v>
          </cell>
          <cell r="G245" t="str">
            <v>NA</v>
          </cell>
        </row>
        <row r="246">
          <cell r="A246">
            <v>85105</v>
          </cell>
          <cell r="B246" t="str">
            <v>TASSO TRILHO VONDER</v>
          </cell>
          <cell r="C246">
            <v>3599500001</v>
          </cell>
          <cell r="D246" t="str">
            <v>VONDER</v>
          </cell>
          <cell r="E246">
            <v>999999</v>
          </cell>
          <cell r="F246" t="str">
            <v>GRUPO CONVERSAO</v>
          </cell>
          <cell r="G246" t="str">
            <v>NA</v>
          </cell>
        </row>
        <row r="247">
          <cell r="A247">
            <v>23871</v>
          </cell>
          <cell r="B247" t="str">
            <v>TECLADO PADRAO USB</v>
          </cell>
          <cell r="C247">
            <v>3143</v>
          </cell>
          <cell r="D247" t="str">
            <v>.</v>
          </cell>
          <cell r="E247">
            <v>999999</v>
          </cell>
          <cell r="F247" t="str">
            <v>GRUPO CONVERSAO</v>
          </cell>
          <cell r="G247" t="str">
            <v>NA</v>
          </cell>
        </row>
        <row r="248">
          <cell r="A248">
            <v>22140</v>
          </cell>
          <cell r="B248" t="str">
            <v>TELA AROMATIZANTE PARA MICTORIO PV COTON-21,79-ST</v>
          </cell>
          <cell r="C248" t="str">
            <v>SP9102CR</v>
          </cell>
          <cell r="D248" t="str">
            <v>.</v>
          </cell>
          <cell r="E248">
            <v>999999</v>
          </cell>
          <cell r="F248" t="str">
            <v>GRUPO CONVERSAO</v>
          </cell>
          <cell r="G248" t="str">
            <v>NA</v>
          </cell>
        </row>
        <row r="249">
          <cell r="A249">
            <v>23555</v>
          </cell>
          <cell r="B249" t="str">
            <v>TESOURA ESCOLAR</v>
          </cell>
          <cell r="C249">
            <v>10612</v>
          </cell>
          <cell r="D249" t="str">
            <v>UTILER</v>
          </cell>
          <cell r="E249">
            <v>999999</v>
          </cell>
          <cell r="F249" t="str">
            <v>GRUPO CONVERSAO</v>
          </cell>
          <cell r="G249" t="str">
            <v>NA</v>
          </cell>
        </row>
        <row r="250">
          <cell r="A250">
            <v>83944</v>
          </cell>
          <cell r="B250" t="str">
            <v>TESOURA MULTIUSO</v>
          </cell>
          <cell r="C250">
            <v>59909</v>
          </cell>
          <cell r="D250" t="str">
            <v>UTILER</v>
          </cell>
          <cell r="E250">
            <v>999999</v>
          </cell>
          <cell r="F250" t="str">
            <v>GRUPO CONVERSAO</v>
          </cell>
          <cell r="G250" t="str">
            <v>NA</v>
          </cell>
        </row>
        <row r="251">
          <cell r="A251">
            <v>84877</v>
          </cell>
          <cell r="B251" t="str">
            <v>TINTA LÁTEX ACRÍLICA PREMIUM BRANCO FOSCO 18L</v>
          </cell>
          <cell r="C251">
            <v>1</v>
          </cell>
          <cell r="D251" t="str">
            <v>.</v>
          </cell>
          <cell r="E251">
            <v>999999</v>
          </cell>
          <cell r="F251" t="str">
            <v>GRUPO CONVERSAO</v>
          </cell>
          <cell r="G251" t="str">
            <v>NA</v>
          </cell>
        </row>
        <row r="252">
          <cell r="A252">
            <v>23549</v>
          </cell>
          <cell r="B252" t="str">
            <v>TINTA P/ CARIMBO</v>
          </cell>
          <cell r="C252">
            <v>51682</v>
          </cell>
          <cell r="D252" t="str">
            <v>UTILER</v>
          </cell>
          <cell r="E252">
            <v>999999</v>
          </cell>
          <cell r="F252" t="str">
            <v>GRUPO CONVERSAO</v>
          </cell>
          <cell r="G252" t="str">
            <v>NA</v>
          </cell>
        </row>
        <row r="253">
          <cell r="A253">
            <v>85740</v>
          </cell>
          <cell r="B253" t="str">
            <v>TINTA P/ PINCEL ATOMICO 40ML AZUL</v>
          </cell>
          <cell r="C253">
            <v>11094</v>
          </cell>
          <cell r="D253" t="str">
            <v>UTILER</v>
          </cell>
          <cell r="E253">
            <v>999999</v>
          </cell>
          <cell r="F253" t="str">
            <v>GRUPO CONVERSAO</v>
          </cell>
          <cell r="G253" t="str">
            <v>NA</v>
          </cell>
        </row>
        <row r="254">
          <cell r="A254">
            <v>85739</v>
          </cell>
          <cell r="B254" t="str">
            <v>TINTA P/ PINCEL ATOMICO 40ML PRETA</v>
          </cell>
          <cell r="C254">
            <v>16651</v>
          </cell>
          <cell r="D254" t="str">
            <v>UTILER</v>
          </cell>
          <cell r="E254">
            <v>999999</v>
          </cell>
          <cell r="F254" t="str">
            <v>GRUPO CONVERSAO</v>
          </cell>
          <cell r="G254" t="str">
            <v>NA</v>
          </cell>
        </row>
        <row r="255">
          <cell r="A255">
            <v>83964</v>
          </cell>
          <cell r="B255" t="str">
            <v>TOALHEIRO</v>
          </cell>
          <cell r="C255">
            <v>5345</v>
          </cell>
          <cell r="D255" t="str">
            <v>START</v>
          </cell>
          <cell r="E255">
            <v>999999</v>
          </cell>
          <cell r="F255" t="str">
            <v>GRUPO CONVERSAO</v>
          </cell>
          <cell r="G255" t="str">
            <v>NA</v>
          </cell>
        </row>
        <row r="256">
          <cell r="A256">
            <v>23692</v>
          </cell>
          <cell r="B256" t="str">
            <v>TONNER BROTHER 1060 DEPOSITO</v>
          </cell>
          <cell r="C256">
            <v>123</v>
          </cell>
          <cell r="D256" t="str">
            <v>.</v>
          </cell>
          <cell r="E256">
            <v>999999</v>
          </cell>
          <cell r="F256" t="str">
            <v>GRUPO CONVERSAO</v>
          </cell>
          <cell r="G256" t="str">
            <v>NA</v>
          </cell>
        </row>
        <row r="257">
          <cell r="A257">
            <v>23693</v>
          </cell>
          <cell r="B257" t="str">
            <v>TONNER HP 12A  E 85A LOJA</v>
          </cell>
          <cell r="C257">
            <v>234</v>
          </cell>
          <cell r="D257" t="str">
            <v>.</v>
          </cell>
          <cell r="E257">
            <v>999999</v>
          </cell>
          <cell r="F257" t="str">
            <v>GRUPO CONVERSAO</v>
          </cell>
          <cell r="G257" t="str">
            <v>NA</v>
          </cell>
        </row>
        <row r="258">
          <cell r="A258">
            <v>24269</v>
          </cell>
          <cell r="B258" t="str">
            <v>TOTEM ASSEPTGEL 1,20MT 420GR</v>
          </cell>
          <cell r="C258">
            <v>54752</v>
          </cell>
          <cell r="D258" t="str">
            <v>START</v>
          </cell>
          <cell r="E258">
            <v>999999</v>
          </cell>
          <cell r="F258" t="str">
            <v>GRUPO CONVERSAO</v>
          </cell>
          <cell r="G258" t="str">
            <v>NA</v>
          </cell>
        </row>
        <row r="259">
          <cell r="A259">
            <v>85542</v>
          </cell>
          <cell r="B259" t="str">
            <v>VAS. C/ROSCA PELO 40CM S/CB C/PINT PRIME</v>
          </cell>
          <cell r="C259">
            <v>11964</v>
          </cell>
          <cell r="D259" t="str">
            <v>.</v>
          </cell>
          <cell r="E259">
            <v>999999</v>
          </cell>
          <cell r="F259" t="str">
            <v>GRUPO CONVERSAO</v>
          </cell>
          <cell r="G259" t="str">
            <v>NA</v>
          </cell>
        </row>
        <row r="260">
          <cell r="A260">
            <v>85543</v>
          </cell>
          <cell r="B260" t="str">
            <v>VAS. C/ROSCA PELO 40CM S/CB C/PINT PRIME</v>
          </cell>
          <cell r="D260" t="str">
            <v>TUFF</v>
          </cell>
          <cell r="E260">
            <v>999999</v>
          </cell>
          <cell r="F260" t="str">
            <v>GRUPO CONVERSAO</v>
          </cell>
          <cell r="G260" t="str">
            <v>NA</v>
          </cell>
        </row>
        <row r="261">
          <cell r="A261">
            <v>85544</v>
          </cell>
          <cell r="B261" t="str">
            <v>VAS. C/ROSCA PELO 40CM S/CB C/PINT PRIME</v>
          </cell>
          <cell r="D261" t="str">
            <v>START</v>
          </cell>
          <cell r="E261">
            <v>999999</v>
          </cell>
          <cell r="F261" t="str">
            <v>GRUPO CONVERSAO</v>
          </cell>
          <cell r="G261" t="str">
            <v>NA</v>
          </cell>
        </row>
        <row r="262">
          <cell r="A262">
            <v>250</v>
          </cell>
          <cell r="B262" t="str">
            <v>VASSOURA</v>
          </cell>
          <cell r="C262">
            <v>2971</v>
          </cell>
          <cell r="D262" t="str">
            <v>START</v>
          </cell>
          <cell r="E262">
            <v>999999</v>
          </cell>
          <cell r="F262" t="str">
            <v>GRUPO CONVERSAO</v>
          </cell>
          <cell r="G262" t="str">
            <v>NA</v>
          </cell>
        </row>
        <row r="263">
          <cell r="A263">
            <v>23562</v>
          </cell>
          <cell r="B263" t="str">
            <v>VASSOURA DE PALHA</v>
          </cell>
          <cell r="C263" t="str">
            <v>BT4072</v>
          </cell>
          <cell r="D263" t="str">
            <v>TUFF</v>
          </cell>
          <cell r="E263">
            <v>999999</v>
          </cell>
          <cell r="F263" t="str">
            <v>GRUPO CONVERSAO</v>
          </cell>
          <cell r="G263" t="str">
            <v>NA</v>
          </cell>
        </row>
        <row r="264">
          <cell r="A264">
            <v>23748</v>
          </cell>
          <cell r="B264" t="str">
            <v>THINNER 12116 18L AUDI</v>
          </cell>
          <cell r="C264" t="str">
            <v>TH1211618A</v>
          </cell>
          <cell r="D264" t="str">
            <v>NATRIELLI</v>
          </cell>
          <cell r="E264">
            <v>60001</v>
          </cell>
          <cell r="F264" t="str">
            <v>THINNER DE LIMPEZA</v>
          </cell>
          <cell r="G264" t="str">
            <v>THINNER</v>
          </cell>
        </row>
        <row r="265">
          <cell r="A265">
            <v>23686</v>
          </cell>
          <cell r="B265" t="str">
            <v>THINNER 12116 5L AUDI</v>
          </cell>
          <cell r="C265" t="str">
            <v>TH12116050</v>
          </cell>
          <cell r="D265" t="str">
            <v>NATRIELLI</v>
          </cell>
          <cell r="E265">
            <v>60001</v>
          </cell>
          <cell r="F265" t="str">
            <v>THINNER DE LIMPEZA</v>
          </cell>
          <cell r="G265" t="str">
            <v>THINNER</v>
          </cell>
        </row>
        <row r="266">
          <cell r="A266">
            <v>23685</v>
          </cell>
          <cell r="B266" t="str">
            <v>THINNER 12116 900ML AUDI</v>
          </cell>
          <cell r="C266" t="str">
            <v>TH12116900</v>
          </cell>
          <cell r="D266" t="str">
            <v>NATRIELLI</v>
          </cell>
          <cell r="E266">
            <v>60001</v>
          </cell>
          <cell r="F266" t="str">
            <v>THINNER DE LIMPEZA</v>
          </cell>
          <cell r="G266" t="str">
            <v>THINNER</v>
          </cell>
        </row>
        <row r="267">
          <cell r="A267">
            <v>24212</v>
          </cell>
          <cell r="B267" t="str">
            <v>THINNER 12888 18L AUDI</v>
          </cell>
          <cell r="C267" t="str">
            <v>TH1288818</v>
          </cell>
          <cell r="D267" t="str">
            <v>NATRIELLI</v>
          </cell>
          <cell r="E267">
            <v>60001</v>
          </cell>
          <cell r="F267" t="str">
            <v>THINNER DE LIMPEZA</v>
          </cell>
          <cell r="G267" t="str">
            <v>THINNER</v>
          </cell>
        </row>
        <row r="268">
          <cell r="A268">
            <v>24211</v>
          </cell>
          <cell r="B268" t="str">
            <v>THINNER 12888 5L AUDI</v>
          </cell>
          <cell r="C268" t="str">
            <v>TH12888050</v>
          </cell>
          <cell r="D268" t="str">
            <v>NATRIELLI</v>
          </cell>
          <cell r="E268">
            <v>60001</v>
          </cell>
          <cell r="F268" t="str">
            <v>THINNER DE LIMPEZA</v>
          </cell>
          <cell r="G268" t="str">
            <v>THINNER</v>
          </cell>
        </row>
        <row r="269">
          <cell r="A269">
            <v>83997</v>
          </cell>
          <cell r="B269" t="str">
            <v>THINNER 1616 TAMBOR SMAX</v>
          </cell>
          <cell r="C269">
            <v>10013</v>
          </cell>
          <cell r="D269" t="str">
            <v>.</v>
          </cell>
          <cell r="E269">
            <v>60001</v>
          </cell>
          <cell r="F269" t="str">
            <v>THINNER DE LIMPEZA</v>
          </cell>
          <cell r="G269" t="str">
            <v>THINNER</v>
          </cell>
        </row>
        <row r="270">
          <cell r="A270">
            <v>10299</v>
          </cell>
          <cell r="B270" t="str">
            <v>THINNER 18L BRAZILIAN</v>
          </cell>
          <cell r="C270" t="str">
            <v>009285.29</v>
          </cell>
          <cell r="D270" t="str">
            <v>BRAZILIAN</v>
          </cell>
          <cell r="E270">
            <v>60001</v>
          </cell>
          <cell r="F270" t="str">
            <v>THINNER DE LIMPEZA</v>
          </cell>
          <cell r="G270" t="str">
            <v>THINNER</v>
          </cell>
        </row>
        <row r="271">
          <cell r="A271">
            <v>24283</v>
          </cell>
          <cell r="B271" t="str">
            <v>THINNER 216 18L THINSOL</v>
          </cell>
          <cell r="C271" t="str">
            <v>00002-003</v>
          </cell>
          <cell r="D271" t="str">
            <v>THINSOL</v>
          </cell>
          <cell r="E271">
            <v>60001</v>
          </cell>
          <cell r="F271" t="str">
            <v>THINNER DE LIMPEZA</v>
          </cell>
          <cell r="G271" t="str">
            <v>THINNER</v>
          </cell>
        </row>
        <row r="272">
          <cell r="A272">
            <v>24284</v>
          </cell>
          <cell r="B272" t="str">
            <v>THINNER 216 200L TAMBOR THINSOL</v>
          </cell>
          <cell r="C272" t="str">
            <v>00002-004</v>
          </cell>
          <cell r="D272" t="str">
            <v>THINSOL</v>
          </cell>
          <cell r="E272">
            <v>60001</v>
          </cell>
          <cell r="F272" t="str">
            <v>THINNER DE LIMPEZA</v>
          </cell>
          <cell r="G272" t="str">
            <v>THINNER</v>
          </cell>
        </row>
        <row r="273">
          <cell r="A273">
            <v>24282</v>
          </cell>
          <cell r="B273" t="str">
            <v>THINNER 216 5L THINSOL</v>
          </cell>
          <cell r="C273" t="str">
            <v>00002-002</v>
          </cell>
          <cell r="D273" t="str">
            <v>THINSOL</v>
          </cell>
          <cell r="E273">
            <v>60001</v>
          </cell>
          <cell r="F273" t="str">
            <v>THINNER DE LIMPEZA</v>
          </cell>
          <cell r="G273" t="str">
            <v>THINNER</v>
          </cell>
        </row>
        <row r="274">
          <cell r="A274">
            <v>24320</v>
          </cell>
          <cell r="B274" t="str">
            <v>THINNER 216 900ML THINSOL</v>
          </cell>
          <cell r="C274" t="str">
            <v>00002-026</v>
          </cell>
          <cell r="D274" t="str">
            <v>THINSOL</v>
          </cell>
          <cell r="E274">
            <v>60001</v>
          </cell>
          <cell r="F274" t="str">
            <v>THINNER DE LIMPEZA</v>
          </cell>
          <cell r="G274" t="str">
            <v>THINNER</v>
          </cell>
        </row>
        <row r="275">
          <cell r="A275">
            <v>10303</v>
          </cell>
          <cell r="B275" t="str">
            <v>THINNER 2750 18L ANJO</v>
          </cell>
          <cell r="C275" t="str">
            <v>000081-30</v>
          </cell>
          <cell r="D275" t="str">
            <v>ANJO</v>
          </cell>
          <cell r="E275">
            <v>60001</v>
          </cell>
          <cell r="F275" t="str">
            <v>THINNER DE LIMPEZA</v>
          </cell>
          <cell r="G275" t="str">
            <v>THINNER</v>
          </cell>
        </row>
        <row r="276">
          <cell r="A276">
            <v>23280</v>
          </cell>
          <cell r="B276" t="str">
            <v>THINNER 2750 190L TAMBOR ANJO</v>
          </cell>
          <cell r="C276" t="str">
            <v>000081-33</v>
          </cell>
          <cell r="D276" t="str">
            <v>ANJO</v>
          </cell>
          <cell r="E276">
            <v>60001</v>
          </cell>
          <cell r="F276" t="str">
            <v>THINNER DE LIMPEZA</v>
          </cell>
          <cell r="G276" t="str">
            <v>THINNER</v>
          </cell>
        </row>
        <row r="277">
          <cell r="A277">
            <v>10298</v>
          </cell>
          <cell r="B277" t="str">
            <v>THINNER 2750 5L ANJO</v>
          </cell>
          <cell r="C277" t="str">
            <v>000081-28</v>
          </cell>
          <cell r="D277" t="str">
            <v>ANJO</v>
          </cell>
          <cell r="E277">
            <v>60001</v>
          </cell>
          <cell r="F277" t="str">
            <v>THINNER DE LIMPEZA</v>
          </cell>
          <cell r="G277" t="str">
            <v>THINNER</v>
          </cell>
        </row>
        <row r="278">
          <cell r="A278">
            <v>10297</v>
          </cell>
          <cell r="B278" t="str">
            <v>THINNER 2750 900ML ANJO</v>
          </cell>
          <cell r="C278" t="str">
            <v>000081-23</v>
          </cell>
          <cell r="D278" t="str">
            <v>ANJO</v>
          </cell>
          <cell r="E278">
            <v>60001</v>
          </cell>
          <cell r="F278" t="str">
            <v>THINNER DE LIMPEZA</v>
          </cell>
          <cell r="G278" t="str">
            <v>THINNER</v>
          </cell>
        </row>
        <row r="279">
          <cell r="A279">
            <v>24285</v>
          </cell>
          <cell r="B279" t="str">
            <v>THINNER 280 5L THINSOL</v>
          </cell>
          <cell r="C279" t="str">
            <v>00005-002</v>
          </cell>
          <cell r="D279" t="str">
            <v>THINSOL</v>
          </cell>
          <cell r="E279">
            <v>60001</v>
          </cell>
          <cell r="F279" t="str">
            <v>THINNER DE LIMPEZA</v>
          </cell>
          <cell r="G279" t="str">
            <v>THINNER</v>
          </cell>
        </row>
        <row r="280">
          <cell r="A280">
            <v>24286</v>
          </cell>
          <cell r="B280" t="str">
            <v>THINNER 280 900ML THINSOL</v>
          </cell>
          <cell r="C280" t="str">
            <v>00005-026</v>
          </cell>
          <cell r="D280" t="str">
            <v>THINSOL</v>
          </cell>
          <cell r="E280">
            <v>60001</v>
          </cell>
          <cell r="F280" t="str">
            <v>THINNER DE LIMPEZA</v>
          </cell>
          <cell r="G280" t="str">
            <v>THINNER</v>
          </cell>
        </row>
        <row r="281">
          <cell r="A281">
            <v>20409</v>
          </cell>
          <cell r="B281" t="str">
            <v>THINNER 2900 5LTS ANJO</v>
          </cell>
          <cell r="C281" t="str">
            <v>000082-28</v>
          </cell>
          <cell r="D281" t="str">
            <v>ANJO</v>
          </cell>
          <cell r="E281">
            <v>60001</v>
          </cell>
          <cell r="F281" t="str">
            <v>THINNER DE LIMPEZA</v>
          </cell>
          <cell r="G281" t="str">
            <v>THINNER</v>
          </cell>
        </row>
        <row r="282">
          <cell r="A282">
            <v>84499</v>
          </cell>
          <cell r="B282" t="str">
            <v>THINNER 4016 USO GERAL 18L BRASILUX</v>
          </cell>
          <cell r="C282" t="str">
            <v>TN 710041603</v>
          </cell>
          <cell r="D282" t="str">
            <v>BRASILUX</v>
          </cell>
          <cell r="E282">
            <v>60001</v>
          </cell>
          <cell r="F282" t="str">
            <v>THINNER DE LIMPEZA</v>
          </cell>
          <cell r="G282" t="str">
            <v>THINNER</v>
          </cell>
        </row>
        <row r="283">
          <cell r="A283">
            <v>24350</v>
          </cell>
          <cell r="B283" t="str">
            <v>THINNER 4016 USO GERAL 200L TAMBOR BRASILUX</v>
          </cell>
          <cell r="C283" t="str">
            <v>TN 710041605</v>
          </cell>
          <cell r="D283" t="str">
            <v>BRASILUX</v>
          </cell>
          <cell r="E283">
            <v>60001</v>
          </cell>
          <cell r="F283" t="str">
            <v>THINNER DE LIMPEZA</v>
          </cell>
          <cell r="G283" t="str">
            <v>THINNER</v>
          </cell>
        </row>
        <row r="284">
          <cell r="A284">
            <v>84560</v>
          </cell>
          <cell r="B284" t="str">
            <v>THINNER 4016 USO GERAL 5L BRASILUX</v>
          </cell>
          <cell r="C284" t="str">
            <v>TN 710041608</v>
          </cell>
          <cell r="D284" t="str">
            <v>BRASILUX</v>
          </cell>
          <cell r="E284">
            <v>60001</v>
          </cell>
          <cell r="F284" t="str">
            <v>THINNER DE LIMPEZA</v>
          </cell>
          <cell r="G284" t="str">
            <v>THINNER</v>
          </cell>
        </row>
        <row r="285">
          <cell r="A285">
            <v>84497</v>
          </cell>
          <cell r="B285" t="str">
            <v>THINNER 4016 USO GERAL 900ML BRASILUX</v>
          </cell>
          <cell r="C285" t="str">
            <v>TN 710041601</v>
          </cell>
          <cell r="D285" t="str">
            <v>BRASILUX</v>
          </cell>
          <cell r="E285">
            <v>60001</v>
          </cell>
          <cell r="F285" t="str">
            <v>THINNER DE LIMPEZA</v>
          </cell>
          <cell r="G285" t="str">
            <v>THINNER</v>
          </cell>
        </row>
        <row r="286">
          <cell r="A286">
            <v>24384</v>
          </cell>
          <cell r="B286" t="str">
            <v>THINNER 8100 18L NATRIELLI</v>
          </cell>
          <cell r="C286" t="str">
            <v>TH810018</v>
          </cell>
          <cell r="D286" t="str">
            <v>NATRIELLI</v>
          </cell>
          <cell r="E286">
            <v>60001</v>
          </cell>
          <cell r="F286" t="str">
            <v>THINNER DE LIMPEZA</v>
          </cell>
          <cell r="G286" t="str">
            <v>THINNER</v>
          </cell>
        </row>
        <row r="287">
          <cell r="A287">
            <v>24383</v>
          </cell>
          <cell r="B287" t="str">
            <v>THINNER 8100 5L NATRIELLI</v>
          </cell>
          <cell r="C287" t="str">
            <v>TH81000504</v>
          </cell>
          <cell r="D287" t="str">
            <v>NATRIELLI</v>
          </cell>
          <cell r="E287">
            <v>60001</v>
          </cell>
          <cell r="F287" t="str">
            <v>THINNER DE LIMPEZA</v>
          </cell>
          <cell r="G287" t="str">
            <v>THINNER</v>
          </cell>
        </row>
        <row r="288">
          <cell r="A288">
            <v>24382</v>
          </cell>
          <cell r="B288" t="str">
            <v>THINNER 8100 900ML NATRIELLI</v>
          </cell>
          <cell r="C288" t="str">
            <v>TH81009001</v>
          </cell>
          <cell r="D288" t="str">
            <v>NATRIELLI</v>
          </cell>
          <cell r="E288">
            <v>60001</v>
          </cell>
          <cell r="F288" t="str">
            <v>THINNER DE LIMPEZA</v>
          </cell>
          <cell r="G288" t="str">
            <v>THINNER</v>
          </cell>
        </row>
        <row r="289">
          <cell r="A289">
            <v>23687</v>
          </cell>
          <cell r="B289" t="str">
            <v>THINNER 8116 200L TAMBOR NATRIELLI</v>
          </cell>
          <cell r="C289" t="str">
            <v>TH8116198</v>
          </cell>
          <cell r="D289" t="str">
            <v>NATRIELLI</v>
          </cell>
          <cell r="E289">
            <v>60001</v>
          </cell>
          <cell r="F289" t="str">
            <v>THINNER DE LIMPEZA</v>
          </cell>
          <cell r="G289" t="str">
            <v>THINNER</v>
          </cell>
        </row>
        <row r="290">
          <cell r="A290">
            <v>85071</v>
          </cell>
          <cell r="B290" t="str">
            <v>THINNER DE LIMPEZA 18L SKY</v>
          </cell>
          <cell r="C290" t="str">
            <v>150TH7040125</v>
          </cell>
          <cell r="D290" t="str">
            <v>SKY</v>
          </cell>
          <cell r="E290">
            <v>60001</v>
          </cell>
          <cell r="F290" t="str">
            <v>THINNER DE LIMPEZA</v>
          </cell>
          <cell r="G290" t="str">
            <v>THINNER</v>
          </cell>
        </row>
        <row r="291">
          <cell r="A291">
            <v>85070</v>
          </cell>
          <cell r="B291" t="str">
            <v>THINNER DE LIMPEZA 5L SKY</v>
          </cell>
          <cell r="C291" t="str">
            <v>150TH7040123</v>
          </cell>
          <cell r="D291" t="str">
            <v>SKY</v>
          </cell>
          <cell r="E291">
            <v>60001</v>
          </cell>
          <cell r="F291" t="str">
            <v>THINNER DE LIMPEZA</v>
          </cell>
          <cell r="G291" t="str">
            <v>THINNER</v>
          </cell>
        </row>
        <row r="292">
          <cell r="A292">
            <v>85072</v>
          </cell>
          <cell r="B292" t="str">
            <v>THINNER DE LIMPEZA 900ML SKY</v>
          </cell>
          <cell r="C292" t="str">
            <v>150TH7040122</v>
          </cell>
          <cell r="D292" t="str">
            <v>SKY</v>
          </cell>
          <cell r="E292">
            <v>60001</v>
          </cell>
          <cell r="F292" t="str">
            <v>THINNER DE LIMPEZA</v>
          </cell>
          <cell r="G292" t="str">
            <v>THINNER</v>
          </cell>
        </row>
        <row r="293">
          <cell r="A293">
            <v>84692</v>
          </cell>
          <cell r="B293" t="str">
            <v>BRASILAR-VERNIZ MARITIMO MOGNO 225ML BRASILUX</v>
          </cell>
          <cell r="C293" t="str">
            <v>VM 094521211</v>
          </cell>
          <cell r="D293" t="str">
            <v>BRASILUX</v>
          </cell>
          <cell r="E293">
            <v>50001</v>
          </cell>
          <cell r="F293" t="str">
            <v>LINHA MOVELEIRA</v>
          </cell>
          <cell r="G293" t="str">
            <v>MOVELEIRA</v>
          </cell>
        </row>
        <row r="294">
          <cell r="A294">
            <v>84188</v>
          </cell>
          <cell r="B294" t="str">
            <v>BRASIMAR-VERNIZ MARITIMO 3,6L BRASILUX</v>
          </cell>
          <cell r="C294" t="str">
            <v>VM 090003102</v>
          </cell>
          <cell r="D294" t="str">
            <v>BRASILUX</v>
          </cell>
          <cell r="E294">
            <v>50001</v>
          </cell>
          <cell r="F294" t="str">
            <v>LINHA MOVELEIRA</v>
          </cell>
          <cell r="G294" t="str">
            <v>MOVELEIRA</v>
          </cell>
        </row>
        <row r="295">
          <cell r="A295">
            <v>84077</v>
          </cell>
          <cell r="B295" t="str">
            <v>BRASIMAR-VERNIZ MARITIMO ACETINADO 3,6L BRASILUX</v>
          </cell>
          <cell r="C295" t="str">
            <v>VM 090011102</v>
          </cell>
          <cell r="D295" t="str">
            <v>BRASILUX</v>
          </cell>
          <cell r="E295">
            <v>50001</v>
          </cell>
          <cell r="F295" t="str">
            <v>LINHA MOVELEIRA</v>
          </cell>
          <cell r="G295" t="str">
            <v>MOVELEIRA</v>
          </cell>
        </row>
        <row r="296">
          <cell r="A296">
            <v>84078</v>
          </cell>
          <cell r="B296" t="str">
            <v>BRASIMAR-VERNIZ MARITIMO ACETINADO 900ML BRASILUX</v>
          </cell>
          <cell r="C296" t="str">
            <v>VM 090011101</v>
          </cell>
          <cell r="D296" t="str">
            <v>BRASILUX</v>
          </cell>
          <cell r="E296">
            <v>50001</v>
          </cell>
          <cell r="F296" t="str">
            <v>LINHA MOVELEIRA</v>
          </cell>
          <cell r="G296" t="str">
            <v>MOVELEIRA</v>
          </cell>
        </row>
        <row r="297">
          <cell r="A297">
            <v>84191</v>
          </cell>
          <cell r="B297" t="str">
            <v>BRASIMAR-VERNIZ MARITIMO BRILHANTE 900ML BRASILUX</v>
          </cell>
          <cell r="C297" t="str">
            <v>VM 090003101</v>
          </cell>
          <cell r="D297" t="str">
            <v>BRASILUX</v>
          </cell>
          <cell r="E297">
            <v>50001</v>
          </cell>
          <cell r="F297" t="str">
            <v>LINHA MOVELEIRA</v>
          </cell>
          <cell r="G297" t="str">
            <v>MOVELEIRA</v>
          </cell>
        </row>
        <row r="298">
          <cell r="A298">
            <v>84844</v>
          </cell>
          <cell r="B298" t="str">
            <v>BRASIMAR-VERNIZ MARITIMO CANELA 3,6L BRASILUX</v>
          </cell>
          <cell r="C298" t="str">
            <v>VM 097000102</v>
          </cell>
          <cell r="D298" t="str">
            <v>BRASILUX</v>
          </cell>
          <cell r="E298">
            <v>50001</v>
          </cell>
          <cell r="F298" t="str">
            <v>LINHA MOVELEIRA</v>
          </cell>
          <cell r="G298" t="str">
            <v>MOVELEIRA</v>
          </cell>
        </row>
        <row r="299">
          <cell r="A299">
            <v>84075</v>
          </cell>
          <cell r="B299" t="str">
            <v>BRASIMAR-VERNIZ MARITIMO FOSCO 3,6L BRASILUX</v>
          </cell>
          <cell r="C299" t="str">
            <v>VM 090000302</v>
          </cell>
          <cell r="D299" t="str">
            <v>BRASILUX</v>
          </cell>
          <cell r="E299">
            <v>50001</v>
          </cell>
          <cell r="F299" t="str">
            <v>LINHA MOVELEIRA</v>
          </cell>
          <cell r="G299" t="str">
            <v>MOVELEIRA</v>
          </cell>
        </row>
        <row r="300">
          <cell r="A300">
            <v>84076</v>
          </cell>
          <cell r="B300" t="str">
            <v>BRASIMAR-VERNIZ MARITIMO FOSCO 900ML BRASILUX</v>
          </cell>
          <cell r="C300" t="str">
            <v>VM 090000301</v>
          </cell>
          <cell r="D300" t="str">
            <v>BRASILUX</v>
          </cell>
          <cell r="E300">
            <v>50001</v>
          </cell>
          <cell r="F300" t="str">
            <v>LINHA MOVELEIRA</v>
          </cell>
          <cell r="G300" t="str">
            <v>MOVELEIRA</v>
          </cell>
        </row>
        <row r="301">
          <cell r="A301">
            <v>84693</v>
          </cell>
          <cell r="B301" t="str">
            <v>BRASIMAR-VERNIZ MARITIMO IMBUIA 225ML BRASILUX</v>
          </cell>
          <cell r="C301" t="str">
            <v>VM 094603611</v>
          </cell>
          <cell r="D301" t="str">
            <v>BRASILUX</v>
          </cell>
          <cell r="E301">
            <v>50001</v>
          </cell>
          <cell r="F301" t="str">
            <v>LINHA MOVELEIRA</v>
          </cell>
          <cell r="G301" t="str">
            <v>MOVELEIRA</v>
          </cell>
        </row>
        <row r="302">
          <cell r="A302">
            <v>84190</v>
          </cell>
          <cell r="B302" t="str">
            <v>BRASIMAR-VERNIZ MARITIMO IMBUIA 3,6L BRASILUX</v>
          </cell>
          <cell r="C302" t="str">
            <v>VM 094603602</v>
          </cell>
          <cell r="D302" t="str">
            <v>BRASILUX</v>
          </cell>
          <cell r="E302">
            <v>50001</v>
          </cell>
          <cell r="F302" t="str">
            <v>LINHA MOVELEIRA</v>
          </cell>
          <cell r="G302" t="str">
            <v>MOVELEIRA</v>
          </cell>
        </row>
        <row r="303">
          <cell r="A303">
            <v>84193</v>
          </cell>
          <cell r="B303" t="str">
            <v>BRASIMAR-VERNIZ MARITIMO IMBUIA 900ML BRASILUX</v>
          </cell>
          <cell r="C303" t="str">
            <v>VM 094603601</v>
          </cell>
          <cell r="D303" t="str">
            <v>BRASILUX</v>
          </cell>
          <cell r="E303">
            <v>50001</v>
          </cell>
          <cell r="F303" t="str">
            <v>LINHA MOVELEIRA</v>
          </cell>
          <cell r="G303" t="str">
            <v>MOVELEIRA</v>
          </cell>
        </row>
        <row r="304">
          <cell r="A304">
            <v>84189</v>
          </cell>
          <cell r="B304" t="str">
            <v>BRASIMAR-VERNIZ MARITIMO MOGNO 3,6L BRASILUX</v>
          </cell>
          <cell r="C304" t="str">
            <v>VM 094521202</v>
          </cell>
          <cell r="D304" t="str">
            <v>BRASILUX</v>
          </cell>
          <cell r="E304">
            <v>50001</v>
          </cell>
          <cell r="F304" t="str">
            <v>LINHA MOVELEIRA</v>
          </cell>
          <cell r="G304" t="str">
            <v>MOVELEIRA</v>
          </cell>
        </row>
        <row r="305">
          <cell r="A305">
            <v>84192</v>
          </cell>
          <cell r="B305" t="str">
            <v>BRASIMAR-VERNIZ MARITIMO MOGNO 900ML BRASILUX</v>
          </cell>
          <cell r="C305" t="str">
            <v>VM 094521201</v>
          </cell>
          <cell r="D305" t="str">
            <v>BRASILUX</v>
          </cell>
          <cell r="E305">
            <v>50001</v>
          </cell>
          <cell r="F305" t="str">
            <v>LINHA MOVELEIRA</v>
          </cell>
          <cell r="G305" t="str">
            <v>MOVELEIRA</v>
          </cell>
        </row>
        <row r="306">
          <cell r="A306">
            <v>84062</v>
          </cell>
          <cell r="B306" t="str">
            <v>BRASTOL-CANELA 3,6L BRASILUX</v>
          </cell>
          <cell r="C306" t="str">
            <v>BR 097000102</v>
          </cell>
          <cell r="D306" t="str">
            <v>BRASILUX</v>
          </cell>
          <cell r="E306">
            <v>50001</v>
          </cell>
          <cell r="F306" t="str">
            <v>LINHA MOVELEIRA</v>
          </cell>
          <cell r="G306" t="str">
            <v>MOVELEIRA</v>
          </cell>
        </row>
        <row r="307">
          <cell r="A307">
            <v>84069</v>
          </cell>
          <cell r="B307" t="str">
            <v>BRASTOL-CANELA 900ML BRASILUX</v>
          </cell>
          <cell r="C307" t="str">
            <v>BR 097000101</v>
          </cell>
          <cell r="D307" t="str">
            <v>BRASILUX</v>
          </cell>
          <cell r="E307">
            <v>50001</v>
          </cell>
          <cell r="F307" t="str">
            <v>LINHA MOVELEIRA</v>
          </cell>
          <cell r="G307" t="str">
            <v>MOVELEIRA</v>
          </cell>
        </row>
        <row r="308">
          <cell r="A308">
            <v>84058</v>
          </cell>
          <cell r="B308" t="str">
            <v>BRASTOL-DECK NATURAL 3,6L BRASILUX</v>
          </cell>
          <cell r="C308" t="str">
            <v>BR 090099002</v>
          </cell>
          <cell r="D308" t="str">
            <v>BRASILUX</v>
          </cell>
          <cell r="E308">
            <v>50001</v>
          </cell>
          <cell r="F308" t="str">
            <v>LINHA MOVELEIRA</v>
          </cell>
          <cell r="G308" t="str">
            <v>MOVELEIRA</v>
          </cell>
        </row>
        <row r="309">
          <cell r="A309">
            <v>84065</v>
          </cell>
          <cell r="B309" t="str">
            <v>BRASTOL-DECK NATURAL 900ML BRASILUX</v>
          </cell>
          <cell r="C309" t="str">
            <v>BR 090099001</v>
          </cell>
          <cell r="D309" t="str">
            <v>BRASILUX</v>
          </cell>
          <cell r="E309">
            <v>50001</v>
          </cell>
          <cell r="F309" t="str">
            <v>LINHA MOVELEIRA</v>
          </cell>
          <cell r="G309" t="str">
            <v>MOVELEIRA</v>
          </cell>
        </row>
        <row r="310">
          <cell r="A310">
            <v>84060</v>
          </cell>
          <cell r="B310" t="str">
            <v>BRASTOL-IMBUIA 3,6L BRASILUX</v>
          </cell>
          <cell r="C310" t="str">
            <v>BR 094607302</v>
          </cell>
          <cell r="D310" t="str">
            <v>BRASILUX</v>
          </cell>
          <cell r="E310">
            <v>50001</v>
          </cell>
          <cell r="F310" t="str">
            <v>LINHA MOVELEIRA</v>
          </cell>
          <cell r="G310" t="str">
            <v>MOVELEIRA</v>
          </cell>
        </row>
        <row r="311">
          <cell r="A311">
            <v>84067</v>
          </cell>
          <cell r="B311" t="str">
            <v>BRASTOL-IMBUIA 900ML BRASILUX</v>
          </cell>
          <cell r="C311" t="str">
            <v>BR 094607301</v>
          </cell>
          <cell r="D311" t="str">
            <v>BRASILUX</v>
          </cell>
          <cell r="E311">
            <v>50001</v>
          </cell>
          <cell r="F311" t="str">
            <v>LINHA MOVELEIRA</v>
          </cell>
          <cell r="G311" t="str">
            <v>MOVELEIRA</v>
          </cell>
        </row>
        <row r="312">
          <cell r="A312">
            <v>84057</v>
          </cell>
          <cell r="B312" t="str">
            <v>BRASTOL-INCOLOR 3,6L BRASILUX</v>
          </cell>
          <cell r="C312" t="str">
            <v>BR 090034102</v>
          </cell>
          <cell r="D312" t="str">
            <v>BRASILUX</v>
          </cell>
          <cell r="E312">
            <v>50001</v>
          </cell>
          <cell r="F312" t="str">
            <v>LINHA MOVELEIRA</v>
          </cell>
          <cell r="G312" t="str">
            <v>MOVELEIRA</v>
          </cell>
        </row>
        <row r="313">
          <cell r="A313">
            <v>84064</v>
          </cell>
          <cell r="B313" t="str">
            <v>BRASTOL-INCOLOR 900ML BRASILUX</v>
          </cell>
          <cell r="C313" t="str">
            <v>BR 090034101</v>
          </cell>
          <cell r="D313" t="str">
            <v>BRASILUX</v>
          </cell>
          <cell r="E313">
            <v>50001</v>
          </cell>
          <cell r="F313" t="str">
            <v>LINHA MOVELEIRA</v>
          </cell>
          <cell r="G313" t="str">
            <v>MOVELEIRA</v>
          </cell>
        </row>
        <row r="314">
          <cell r="A314">
            <v>84056</v>
          </cell>
          <cell r="B314" t="str">
            <v>BRASTOL-INCOLOR ACETINADO 3,6L BRASILUX</v>
          </cell>
          <cell r="C314" t="str">
            <v>AC 090034102</v>
          </cell>
          <cell r="D314" t="str">
            <v>BRASILUX</v>
          </cell>
          <cell r="E314">
            <v>50001</v>
          </cell>
          <cell r="F314" t="str">
            <v>LINHA MOVELEIRA</v>
          </cell>
          <cell r="G314" t="str">
            <v>MOVELEIRA</v>
          </cell>
        </row>
        <row r="315">
          <cell r="A315">
            <v>84063</v>
          </cell>
          <cell r="B315" t="str">
            <v>BRASTOL-INCOLOR ACETINADO 900ML BRASILUX</v>
          </cell>
          <cell r="C315" t="str">
            <v>AC 090034101</v>
          </cell>
          <cell r="D315" t="str">
            <v>BRASILUX</v>
          </cell>
          <cell r="E315">
            <v>50001</v>
          </cell>
          <cell r="F315" t="str">
            <v>LINHA MOVELEIRA</v>
          </cell>
          <cell r="G315" t="str">
            <v>MOVELEIRA</v>
          </cell>
        </row>
        <row r="316">
          <cell r="A316">
            <v>84061</v>
          </cell>
          <cell r="B316" t="str">
            <v>BRASTOL-IPE 3,6L BRASILUX</v>
          </cell>
          <cell r="C316" t="str">
            <v>BR 096200502</v>
          </cell>
          <cell r="D316" t="str">
            <v>BRASILUX</v>
          </cell>
          <cell r="E316">
            <v>50001</v>
          </cell>
          <cell r="F316" t="str">
            <v>LINHA MOVELEIRA</v>
          </cell>
          <cell r="G316" t="str">
            <v>MOVELEIRA</v>
          </cell>
        </row>
        <row r="317">
          <cell r="A317">
            <v>84068</v>
          </cell>
          <cell r="B317" t="str">
            <v>BRASTOL-IPE 900ML BRASILUX</v>
          </cell>
          <cell r="C317" t="str">
            <v>BR 096200501</v>
          </cell>
          <cell r="D317" t="str">
            <v>BRASILUX</v>
          </cell>
          <cell r="E317">
            <v>50001</v>
          </cell>
          <cell r="F317" t="str">
            <v>LINHA MOVELEIRA</v>
          </cell>
          <cell r="G317" t="str">
            <v>MOVELEIRA</v>
          </cell>
        </row>
        <row r="318">
          <cell r="A318">
            <v>84059</v>
          </cell>
          <cell r="B318" t="str">
            <v>BRASTOL-MOGNO CLARO 3,6L BRASILUX</v>
          </cell>
          <cell r="C318" t="str">
            <v>BR 094506802</v>
          </cell>
          <cell r="D318" t="str">
            <v>BRASILUX</v>
          </cell>
          <cell r="E318">
            <v>50001</v>
          </cell>
          <cell r="F318" t="str">
            <v>LINHA MOVELEIRA</v>
          </cell>
          <cell r="G318" t="str">
            <v>MOVELEIRA</v>
          </cell>
        </row>
        <row r="319">
          <cell r="A319">
            <v>84066</v>
          </cell>
          <cell r="B319" t="str">
            <v>BRASTOL-MOGNO CLARO 900ML BRASILUX</v>
          </cell>
          <cell r="C319" t="str">
            <v>BR 094506801</v>
          </cell>
          <cell r="D319" t="str">
            <v>BRASILUX</v>
          </cell>
          <cell r="E319">
            <v>50001</v>
          </cell>
          <cell r="F319" t="str">
            <v>LINHA MOVELEIRA</v>
          </cell>
          <cell r="G319" t="str">
            <v>MOVELEIRA</v>
          </cell>
        </row>
        <row r="320">
          <cell r="A320">
            <v>86095</v>
          </cell>
          <cell r="B320" t="str">
            <v>CR CORALIT MASSA MADEIRA 1.5KG</v>
          </cell>
          <cell r="C320">
            <v>5203065</v>
          </cell>
          <cell r="D320" t="str">
            <v>CORAL</v>
          </cell>
          <cell r="E320">
            <v>50001</v>
          </cell>
          <cell r="F320" t="str">
            <v>LINHA MOVELEIRA</v>
          </cell>
          <cell r="G320" t="str">
            <v>MOVELEIRA</v>
          </cell>
        </row>
        <row r="321">
          <cell r="A321">
            <v>86708</v>
          </cell>
          <cell r="B321" t="str">
            <v>CR CORALIT MASSA P MADEIRA GL PLAS 5,7KG</v>
          </cell>
          <cell r="C321">
            <v>5777540</v>
          </cell>
          <cell r="D321" t="str">
            <v>CORAL</v>
          </cell>
          <cell r="E321">
            <v>50001</v>
          </cell>
          <cell r="F321" t="str">
            <v>LINHA MOVELEIRA</v>
          </cell>
          <cell r="G321" t="str">
            <v>MOVELEIRA</v>
          </cell>
        </row>
        <row r="322">
          <cell r="A322">
            <v>84694</v>
          </cell>
          <cell r="B322" t="str">
            <v>MASSA BR12 BRANCA BASE AGUA 400G</v>
          </cell>
          <cell r="C322" t="str">
            <v>MS 080508229</v>
          </cell>
          <cell r="D322" t="str">
            <v>BRASILUX</v>
          </cell>
          <cell r="E322">
            <v>50001</v>
          </cell>
          <cell r="F322" t="str">
            <v>LINHA MOVELEIRA</v>
          </cell>
          <cell r="G322" t="str">
            <v>MOVELEIRA</v>
          </cell>
        </row>
        <row r="323">
          <cell r="A323">
            <v>84696</v>
          </cell>
          <cell r="B323" t="str">
            <v>MASSA BR12 IMBUIA BASE AGUA 400G</v>
          </cell>
          <cell r="C323" t="str">
            <v>MS 084606629</v>
          </cell>
          <cell r="D323" t="str">
            <v>BRASILUX</v>
          </cell>
          <cell r="E323">
            <v>50001</v>
          </cell>
          <cell r="F323" t="str">
            <v>LINHA MOVELEIRA</v>
          </cell>
          <cell r="G323" t="str">
            <v>MOVELEIRA</v>
          </cell>
        </row>
        <row r="324">
          <cell r="A324">
            <v>84695</v>
          </cell>
          <cell r="B324" t="str">
            <v>MASSA BR12 MOGNO BASE AGUA 400G</v>
          </cell>
          <cell r="C324" t="str">
            <v>MS 084500129</v>
          </cell>
          <cell r="D324" t="str">
            <v>BRASILUX</v>
          </cell>
          <cell r="E324">
            <v>50001</v>
          </cell>
          <cell r="F324" t="str">
            <v>LINHA MOVELEIRA</v>
          </cell>
          <cell r="G324" t="str">
            <v>MOVELEIRA</v>
          </cell>
        </row>
        <row r="325">
          <cell r="A325">
            <v>84186</v>
          </cell>
          <cell r="B325" t="str">
            <v>MOVELARIA-VERNIZ COPAL 3,6L BRASILUX</v>
          </cell>
          <cell r="C325" t="str">
            <v>VN 090003002</v>
          </cell>
          <cell r="D325" t="str">
            <v>BRASILUX</v>
          </cell>
          <cell r="E325">
            <v>50001</v>
          </cell>
          <cell r="F325" t="str">
            <v>LINHA MOVELEIRA</v>
          </cell>
          <cell r="G325" t="str">
            <v>MOVELEIRA</v>
          </cell>
        </row>
        <row r="326">
          <cell r="A326">
            <v>84187</v>
          </cell>
          <cell r="B326" t="str">
            <v>MOVELARIA-VERNIZ COPAL 900ML BRASILUX</v>
          </cell>
          <cell r="C326" t="str">
            <v>VN 090003001</v>
          </cell>
          <cell r="D326" t="str">
            <v>BRASILUX</v>
          </cell>
          <cell r="E326">
            <v>50001</v>
          </cell>
          <cell r="F326" t="str">
            <v>LINHA MOVELEIRA</v>
          </cell>
          <cell r="G326" t="str">
            <v>MOVELEIRA</v>
          </cell>
        </row>
        <row r="327">
          <cell r="A327">
            <v>84842</v>
          </cell>
          <cell r="B327" t="str">
            <v>SELADOR BRANCO P/ GESSO 18L BRASILUX</v>
          </cell>
          <cell r="C327" t="str">
            <v>SL 460000557</v>
          </cell>
          <cell r="D327" t="str">
            <v>BRASILUX</v>
          </cell>
          <cell r="E327">
            <v>50001</v>
          </cell>
          <cell r="F327" t="str">
            <v>LINHA MOVELEIRA</v>
          </cell>
          <cell r="G327" t="str">
            <v>MOVELEIRA</v>
          </cell>
        </row>
        <row r="328">
          <cell r="A328">
            <v>84227</v>
          </cell>
          <cell r="B328" t="str">
            <v>SELADORA P/ MADEIRA 18L BRASILUX</v>
          </cell>
          <cell r="C328" t="str">
            <v>SL 090000103</v>
          </cell>
          <cell r="D328" t="str">
            <v>BRASILUX</v>
          </cell>
          <cell r="E328">
            <v>50001</v>
          </cell>
          <cell r="F328" t="str">
            <v>LINHA MOVELEIRA</v>
          </cell>
          <cell r="G328" t="str">
            <v>MOVELEIRA</v>
          </cell>
        </row>
        <row r="329">
          <cell r="A329">
            <v>84225</v>
          </cell>
          <cell r="B329" t="str">
            <v>SELADORA P/ MADEIRA 3,6L BRASILUX</v>
          </cell>
          <cell r="C329" t="str">
            <v>SL 090000102</v>
          </cell>
          <cell r="D329" t="str">
            <v>BRASILUX</v>
          </cell>
          <cell r="E329">
            <v>50001</v>
          </cell>
          <cell r="F329" t="str">
            <v>LINHA MOVELEIRA</v>
          </cell>
          <cell r="G329" t="str">
            <v>MOVELEIRA</v>
          </cell>
        </row>
        <row r="330">
          <cell r="A330">
            <v>84226</v>
          </cell>
          <cell r="B330" t="str">
            <v>SELADORA P/ MADEIRA 900ML BRASILUX</v>
          </cell>
          <cell r="C330" t="str">
            <v>SL 090000101</v>
          </cell>
          <cell r="D330" t="str">
            <v>BRASILUX</v>
          </cell>
          <cell r="E330">
            <v>50001</v>
          </cell>
          <cell r="F330" t="str">
            <v>LINHA MOVELEIRA</v>
          </cell>
          <cell r="G330" t="str">
            <v>MOVELEIRA</v>
          </cell>
        </row>
        <row r="331">
          <cell r="A331">
            <v>86141</v>
          </cell>
          <cell r="B331" t="str">
            <v>SL CETOL AC CANELA 3.6 L</v>
          </cell>
          <cell r="C331">
            <v>5203155</v>
          </cell>
          <cell r="D331" t="str">
            <v>SPARLACK CETOL</v>
          </cell>
          <cell r="E331">
            <v>50001</v>
          </cell>
          <cell r="F331" t="str">
            <v>LINHA MOVELEIRA</v>
          </cell>
          <cell r="G331" t="str">
            <v>MOVELEIRA</v>
          </cell>
        </row>
        <row r="332">
          <cell r="A332">
            <v>86142</v>
          </cell>
          <cell r="B332" t="str">
            <v>SL CETOL AC CANELA 900ML</v>
          </cell>
          <cell r="C332">
            <v>5203156</v>
          </cell>
          <cell r="D332" t="str">
            <v>SPARLACK CETOL</v>
          </cell>
          <cell r="E332">
            <v>50001</v>
          </cell>
          <cell r="F332" t="str">
            <v>LINHA MOVELEIRA</v>
          </cell>
          <cell r="G332" t="str">
            <v>MOVELEIRA</v>
          </cell>
        </row>
        <row r="333">
          <cell r="A333">
            <v>86143</v>
          </cell>
          <cell r="B333" t="str">
            <v>SL CETOL AC CEDRO 3.6 L</v>
          </cell>
          <cell r="C333">
            <v>5203157</v>
          </cell>
          <cell r="D333" t="str">
            <v>SPARLACK CETOL</v>
          </cell>
          <cell r="E333">
            <v>50001</v>
          </cell>
          <cell r="F333" t="str">
            <v>LINHA MOVELEIRA</v>
          </cell>
          <cell r="G333" t="str">
            <v>MOVELEIRA</v>
          </cell>
        </row>
        <row r="334">
          <cell r="A334">
            <v>86144</v>
          </cell>
          <cell r="B334" t="str">
            <v>SL CETOL AC CEDRO 900ML</v>
          </cell>
          <cell r="C334">
            <v>5203158</v>
          </cell>
          <cell r="D334" t="str">
            <v>SPARLACK CETOL</v>
          </cell>
          <cell r="E334">
            <v>50001</v>
          </cell>
          <cell r="F334" t="str">
            <v>LINHA MOVELEIRA</v>
          </cell>
          <cell r="G334" t="str">
            <v>MOVELEIRA</v>
          </cell>
        </row>
        <row r="335">
          <cell r="A335">
            <v>86145</v>
          </cell>
          <cell r="B335" t="str">
            <v>SL CETOL AC IMBUIA 3.6 L</v>
          </cell>
          <cell r="C335">
            <v>5203159</v>
          </cell>
          <cell r="D335" t="str">
            <v>SPARLACK CETOL</v>
          </cell>
          <cell r="E335">
            <v>50001</v>
          </cell>
          <cell r="F335" t="str">
            <v>LINHA MOVELEIRA</v>
          </cell>
          <cell r="G335" t="str">
            <v>MOVELEIRA</v>
          </cell>
        </row>
        <row r="336">
          <cell r="A336">
            <v>86146</v>
          </cell>
          <cell r="B336" t="str">
            <v>SL CETOL AC IMBUIA 900ML</v>
          </cell>
          <cell r="C336">
            <v>5203160</v>
          </cell>
          <cell r="D336" t="str">
            <v>SPARLACK CETOL</v>
          </cell>
          <cell r="E336">
            <v>50001</v>
          </cell>
          <cell r="F336" t="str">
            <v>LINHA MOVELEIRA</v>
          </cell>
          <cell r="G336" t="str">
            <v>MOVELEIRA</v>
          </cell>
        </row>
        <row r="337">
          <cell r="A337">
            <v>86149</v>
          </cell>
          <cell r="B337" t="str">
            <v>SL CETOL AC IPE 3.6 L</v>
          </cell>
          <cell r="C337">
            <v>5203163</v>
          </cell>
          <cell r="D337" t="str">
            <v>SPARLACK CETOL</v>
          </cell>
          <cell r="E337">
            <v>50001</v>
          </cell>
          <cell r="F337" t="str">
            <v>LINHA MOVELEIRA</v>
          </cell>
          <cell r="G337" t="str">
            <v>MOVELEIRA</v>
          </cell>
        </row>
        <row r="338">
          <cell r="A338">
            <v>86150</v>
          </cell>
          <cell r="B338" t="str">
            <v>SL CETOL AC IPE 900ML</v>
          </cell>
          <cell r="C338">
            <v>5203164</v>
          </cell>
          <cell r="D338" t="str">
            <v>SPARLACK CETOL</v>
          </cell>
          <cell r="E338">
            <v>50001</v>
          </cell>
          <cell r="F338" t="str">
            <v>LINHA MOVELEIRA</v>
          </cell>
          <cell r="G338" t="str">
            <v>MOVELEIRA</v>
          </cell>
        </row>
        <row r="339">
          <cell r="A339">
            <v>86147</v>
          </cell>
          <cell r="B339" t="str">
            <v>SL CETOL AC MOGNO 3.6 L</v>
          </cell>
          <cell r="C339">
            <v>5203161</v>
          </cell>
          <cell r="D339" t="str">
            <v>SPARLACK CETOL</v>
          </cell>
          <cell r="E339">
            <v>50001</v>
          </cell>
          <cell r="F339" t="str">
            <v>LINHA MOVELEIRA</v>
          </cell>
          <cell r="G339" t="str">
            <v>MOVELEIRA</v>
          </cell>
        </row>
        <row r="340">
          <cell r="A340">
            <v>86148</v>
          </cell>
          <cell r="B340" t="str">
            <v>SL CETOL AC MOGNO 900ML</v>
          </cell>
          <cell r="C340">
            <v>5203162</v>
          </cell>
          <cell r="D340" t="str">
            <v>SPARLACK CETOL</v>
          </cell>
          <cell r="E340">
            <v>50001</v>
          </cell>
          <cell r="F340" t="str">
            <v>LINHA MOVELEIRA</v>
          </cell>
          <cell r="G340" t="str">
            <v>MOVELEIRA</v>
          </cell>
        </row>
        <row r="341">
          <cell r="A341">
            <v>86580</v>
          </cell>
          <cell r="B341" t="str">
            <v>SL CETOL BALANCE AC CANELA 3.6L</v>
          </cell>
          <cell r="C341">
            <v>5538545</v>
          </cell>
          <cell r="D341" t="str">
            <v>SPARLACK CETOL</v>
          </cell>
          <cell r="E341">
            <v>50001</v>
          </cell>
          <cell r="F341" t="str">
            <v>LINHA MOVELEIRA</v>
          </cell>
          <cell r="G341" t="str">
            <v>MOVELEIRA</v>
          </cell>
        </row>
        <row r="342">
          <cell r="A342">
            <v>86581</v>
          </cell>
          <cell r="B342" t="str">
            <v>SL CETOL BALANCE AC CANELA 900ML</v>
          </cell>
          <cell r="C342">
            <v>5538546</v>
          </cell>
          <cell r="D342" t="str">
            <v>SPARLACK CETOL</v>
          </cell>
          <cell r="E342">
            <v>50001</v>
          </cell>
          <cell r="F342" t="str">
            <v>LINHA MOVELEIRA</v>
          </cell>
          <cell r="G342" t="str">
            <v>MOVELEIRA</v>
          </cell>
        </row>
        <row r="343">
          <cell r="A343">
            <v>86579</v>
          </cell>
          <cell r="B343" t="str">
            <v>SL CETOL BALANCE BR CANELA 3.6L</v>
          </cell>
          <cell r="C343">
            <v>5538542</v>
          </cell>
          <cell r="D343" t="str">
            <v>SPARLACK CETOL</v>
          </cell>
          <cell r="E343">
            <v>50001</v>
          </cell>
          <cell r="F343" t="str">
            <v>LINHA MOVELEIRA</v>
          </cell>
          <cell r="G343" t="str">
            <v>MOVELEIRA</v>
          </cell>
        </row>
        <row r="344">
          <cell r="A344">
            <v>86583</v>
          </cell>
          <cell r="B344" t="str">
            <v>SL CETOL BALANCE BR CANELA 900ML</v>
          </cell>
          <cell r="C344">
            <v>5538550</v>
          </cell>
          <cell r="D344" t="str">
            <v>SPARLACK CETOL</v>
          </cell>
          <cell r="E344">
            <v>50001</v>
          </cell>
          <cell r="F344" t="str">
            <v>LINHA MOVELEIRA</v>
          </cell>
          <cell r="G344" t="str">
            <v>MOVELEIRA</v>
          </cell>
        </row>
        <row r="345">
          <cell r="A345">
            <v>86131</v>
          </cell>
          <cell r="B345" t="str">
            <v>SL CETOL BR CANELA 3.6 L</v>
          </cell>
          <cell r="C345">
            <v>5203145</v>
          </cell>
          <cell r="D345" t="str">
            <v>SPARLACK CETOL</v>
          </cell>
          <cell r="E345">
            <v>50001</v>
          </cell>
          <cell r="F345" t="str">
            <v>LINHA MOVELEIRA</v>
          </cell>
          <cell r="G345" t="str">
            <v>MOVELEIRA</v>
          </cell>
        </row>
        <row r="346">
          <cell r="A346">
            <v>86132</v>
          </cell>
          <cell r="B346" t="str">
            <v>SL CETOL BR CANELA 900ML</v>
          </cell>
          <cell r="C346">
            <v>5203146</v>
          </cell>
          <cell r="D346" t="str">
            <v>SPARLACK CETOL</v>
          </cell>
          <cell r="E346">
            <v>50001</v>
          </cell>
          <cell r="F346" t="str">
            <v>LINHA MOVELEIRA</v>
          </cell>
          <cell r="G346" t="str">
            <v>MOVELEIRA</v>
          </cell>
        </row>
        <row r="347">
          <cell r="A347">
            <v>86133</v>
          </cell>
          <cell r="B347" t="str">
            <v>SL CETOL BR CEDRO 3.6 L</v>
          </cell>
          <cell r="C347">
            <v>5203147</v>
          </cell>
          <cell r="D347" t="str">
            <v>SPARLACK CETOL</v>
          </cell>
          <cell r="E347">
            <v>50001</v>
          </cell>
          <cell r="F347" t="str">
            <v>LINHA MOVELEIRA</v>
          </cell>
          <cell r="G347" t="str">
            <v>MOVELEIRA</v>
          </cell>
        </row>
        <row r="348">
          <cell r="A348">
            <v>86134</v>
          </cell>
          <cell r="B348" t="str">
            <v>SL CETOL BR CEDRO 900ML</v>
          </cell>
          <cell r="C348">
            <v>5203148</v>
          </cell>
          <cell r="D348" t="str">
            <v>SPARLACK CETOL</v>
          </cell>
          <cell r="E348">
            <v>50001</v>
          </cell>
          <cell r="F348" t="str">
            <v>LINHA MOVELEIRA</v>
          </cell>
          <cell r="G348" t="str">
            <v>MOVELEIRA</v>
          </cell>
        </row>
        <row r="349">
          <cell r="A349">
            <v>86135</v>
          </cell>
          <cell r="B349" t="str">
            <v>SL CETOL BR IMBUIA 3.6 L</v>
          </cell>
          <cell r="C349">
            <v>5203149</v>
          </cell>
          <cell r="D349" t="str">
            <v>SPARLACK CETOL</v>
          </cell>
          <cell r="E349">
            <v>50001</v>
          </cell>
          <cell r="F349" t="str">
            <v>LINHA MOVELEIRA</v>
          </cell>
          <cell r="G349" t="str">
            <v>MOVELEIRA</v>
          </cell>
        </row>
        <row r="350">
          <cell r="A350">
            <v>86136</v>
          </cell>
          <cell r="B350" t="str">
            <v>SL CETOL BR IMBUIA 900ML</v>
          </cell>
          <cell r="C350">
            <v>5203150</v>
          </cell>
          <cell r="D350" t="str">
            <v>SPARLACK CETOL</v>
          </cell>
          <cell r="E350">
            <v>50001</v>
          </cell>
          <cell r="F350" t="str">
            <v>LINHA MOVELEIRA</v>
          </cell>
          <cell r="G350" t="str">
            <v>MOVELEIRA</v>
          </cell>
        </row>
        <row r="351">
          <cell r="A351">
            <v>86139</v>
          </cell>
          <cell r="B351" t="str">
            <v>SL CETOL BR IPE 3.6 L</v>
          </cell>
          <cell r="C351">
            <v>5203153</v>
          </cell>
          <cell r="D351" t="str">
            <v>SPARLACK CETOL</v>
          </cell>
          <cell r="E351">
            <v>50001</v>
          </cell>
          <cell r="F351" t="str">
            <v>LINHA MOVELEIRA</v>
          </cell>
          <cell r="G351" t="str">
            <v>MOVELEIRA</v>
          </cell>
        </row>
        <row r="352">
          <cell r="A352">
            <v>86140</v>
          </cell>
          <cell r="B352" t="str">
            <v>SL CETOL BR IPE 900ML</v>
          </cell>
          <cell r="C352">
            <v>5203154</v>
          </cell>
          <cell r="D352" t="str">
            <v>SPARLACK CETOL</v>
          </cell>
          <cell r="E352">
            <v>50001</v>
          </cell>
          <cell r="F352" t="str">
            <v>LINHA MOVELEIRA</v>
          </cell>
          <cell r="G352" t="str">
            <v>MOVELEIRA</v>
          </cell>
        </row>
        <row r="353">
          <cell r="A353">
            <v>86137</v>
          </cell>
          <cell r="B353" t="str">
            <v>SL CETOL BR MOGNO 3.6 L</v>
          </cell>
          <cell r="C353">
            <v>5203151</v>
          </cell>
          <cell r="D353" t="str">
            <v>SPARLACK CETOL</v>
          </cell>
          <cell r="E353">
            <v>50001</v>
          </cell>
          <cell r="F353" t="str">
            <v>LINHA MOVELEIRA</v>
          </cell>
          <cell r="G353" t="str">
            <v>MOVELEIRA</v>
          </cell>
        </row>
        <row r="354">
          <cell r="A354">
            <v>86138</v>
          </cell>
          <cell r="B354" t="str">
            <v>SL CETOL BR MOGNO 900ML</v>
          </cell>
          <cell r="C354">
            <v>5203152</v>
          </cell>
          <cell r="D354" t="str">
            <v>SPARLACK CETOL</v>
          </cell>
          <cell r="E354">
            <v>50001</v>
          </cell>
          <cell r="F354" t="str">
            <v>LINHA MOVELEIRA</v>
          </cell>
          <cell r="G354" t="str">
            <v>MOVELEIRA</v>
          </cell>
        </row>
        <row r="355">
          <cell r="A355">
            <v>86103</v>
          </cell>
          <cell r="B355" t="str">
            <v>SL CETOL DECK ANTIDE SB NATURAL 3.6 L</v>
          </cell>
          <cell r="C355">
            <v>5203086</v>
          </cell>
          <cell r="D355" t="str">
            <v>SPARLACK CETOL</v>
          </cell>
          <cell r="E355">
            <v>50001</v>
          </cell>
          <cell r="F355" t="str">
            <v>LINHA MOVELEIRA</v>
          </cell>
          <cell r="G355" t="str">
            <v>MOVELEIRA</v>
          </cell>
        </row>
        <row r="356">
          <cell r="A356">
            <v>86106</v>
          </cell>
          <cell r="B356" t="str">
            <v>SL CETOL DECK SB NATURAL 3.6 L</v>
          </cell>
          <cell r="C356">
            <v>5203095</v>
          </cell>
          <cell r="D356" t="str">
            <v>SPARLACK CETOL</v>
          </cell>
          <cell r="E356">
            <v>50001</v>
          </cell>
          <cell r="F356" t="str">
            <v>LINHA MOVELEIRA</v>
          </cell>
          <cell r="G356" t="str">
            <v>MOVELEIRA</v>
          </cell>
        </row>
        <row r="357">
          <cell r="A357">
            <v>86107</v>
          </cell>
          <cell r="B357" t="str">
            <v>SL CETOL DECK SB NATURAL 900ML</v>
          </cell>
          <cell r="C357">
            <v>5203096</v>
          </cell>
          <cell r="D357" t="str">
            <v>SPARLACK CETOL</v>
          </cell>
          <cell r="E357">
            <v>50001</v>
          </cell>
          <cell r="F357" t="str">
            <v>LINHA MOVELEIRA</v>
          </cell>
          <cell r="G357" t="str">
            <v>MOVELEIRA</v>
          </cell>
        </row>
        <row r="358">
          <cell r="A358">
            <v>86264</v>
          </cell>
          <cell r="B358" t="str">
            <v>SL COPAL BALANCE BR INCOLOR 225ML</v>
          </cell>
          <cell r="C358">
            <v>5280610</v>
          </cell>
          <cell r="D358" t="str">
            <v>SPARLACK CETOL</v>
          </cell>
          <cell r="E358">
            <v>50001</v>
          </cell>
          <cell r="F358" t="str">
            <v>LINHA MOVELEIRA</v>
          </cell>
          <cell r="G358" t="str">
            <v>MOVELEIRA</v>
          </cell>
        </row>
        <row r="359">
          <cell r="A359">
            <v>86262</v>
          </cell>
          <cell r="B359" t="str">
            <v>SL COPAL BALANCE BR INCOLOR 3.6L</v>
          </cell>
          <cell r="C359">
            <v>5280589</v>
          </cell>
          <cell r="D359" t="str">
            <v>SPARLACK CETOL</v>
          </cell>
          <cell r="E359">
            <v>50001</v>
          </cell>
          <cell r="F359" t="str">
            <v>LINHA MOVELEIRA</v>
          </cell>
          <cell r="G359" t="str">
            <v>MOVELEIRA</v>
          </cell>
        </row>
        <row r="360">
          <cell r="A360">
            <v>86263</v>
          </cell>
          <cell r="B360" t="str">
            <v>SL COPAL BALANCE BR INCOLOR 900ML</v>
          </cell>
          <cell r="C360">
            <v>5280590</v>
          </cell>
          <cell r="D360" t="str">
            <v>SPARLACK CETOL</v>
          </cell>
          <cell r="E360">
            <v>50001</v>
          </cell>
          <cell r="F360" t="str">
            <v>LINHA MOVELEIRA</v>
          </cell>
          <cell r="G360" t="str">
            <v>MOVELEIRA</v>
          </cell>
        </row>
        <row r="361">
          <cell r="A361">
            <v>86123</v>
          </cell>
          <cell r="B361" t="str">
            <v>SL EXTRA MARITIMO AC NATURAL 3.6L</v>
          </cell>
          <cell r="C361">
            <v>5203123</v>
          </cell>
          <cell r="D361" t="str">
            <v>SPARLACK CETOL</v>
          </cell>
          <cell r="E361">
            <v>50001</v>
          </cell>
          <cell r="F361" t="str">
            <v>LINHA MOVELEIRA</v>
          </cell>
          <cell r="G361" t="str">
            <v>MOVELEIRA</v>
          </cell>
        </row>
        <row r="362">
          <cell r="A362">
            <v>86124</v>
          </cell>
          <cell r="B362" t="str">
            <v>SL EXTRA MARITIMO AC NATURAL 900ML</v>
          </cell>
          <cell r="C362">
            <v>5203124</v>
          </cell>
          <cell r="D362" t="str">
            <v>SPARLACK CETOL</v>
          </cell>
          <cell r="E362">
            <v>50001</v>
          </cell>
          <cell r="F362" t="str">
            <v>LINHA MOVELEIRA</v>
          </cell>
          <cell r="G362" t="str">
            <v>MOVELEIRA</v>
          </cell>
        </row>
        <row r="363">
          <cell r="A363">
            <v>86157</v>
          </cell>
          <cell r="B363" t="str">
            <v>SL EXTRA MARITIMO BAL AC NATURAL 3.6 L</v>
          </cell>
          <cell r="C363">
            <v>5203179</v>
          </cell>
          <cell r="D363" t="str">
            <v>SPARLACK CETOL</v>
          </cell>
          <cell r="E363">
            <v>50001</v>
          </cell>
          <cell r="F363" t="str">
            <v>LINHA MOVELEIRA</v>
          </cell>
          <cell r="G363" t="str">
            <v>MOVELEIRA</v>
          </cell>
        </row>
        <row r="364">
          <cell r="A364">
            <v>86158</v>
          </cell>
          <cell r="B364" t="str">
            <v>SL EXTRA MARITIMO BAL AC NATURAL 900ML</v>
          </cell>
          <cell r="C364">
            <v>5203180</v>
          </cell>
          <cell r="D364" t="str">
            <v>SPARLACK CETOL</v>
          </cell>
          <cell r="E364">
            <v>50001</v>
          </cell>
          <cell r="F364" t="str">
            <v>LINHA MOVELEIRA</v>
          </cell>
          <cell r="G364" t="str">
            <v>MOVELEIRA</v>
          </cell>
        </row>
        <row r="365">
          <cell r="A365">
            <v>86151</v>
          </cell>
          <cell r="B365" t="str">
            <v>SL EXTRA MARITIMO BAL BR NATURAL 3.6 L</v>
          </cell>
          <cell r="C365">
            <v>5203165</v>
          </cell>
          <cell r="D365" t="str">
            <v>SPARLACK CETOL</v>
          </cell>
          <cell r="E365">
            <v>50001</v>
          </cell>
          <cell r="F365" t="str">
            <v>LINHA MOVELEIRA</v>
          </cell>
          <cell r="G365" t="str">
            <v>MOVELEIRA</v>
          </cell>
        </row>
        <row r="366">
          <cell r="A366">
            <v>86152</v>
          </cell>
          <cell r="B366" t="str">
            <v>SL EXTRA MARITIMO BAL BR NATURAL 900ML</v>
          </cell>
          <cell r="C366">
            <v>5203166</v>
          </cell>
          <cell r="D366" t="str">
            <v>SPARLACK CETOL</v>
          </cell>
          <cell r="E366">
            <v>50001</v>
          </cell>
          <cell r="F366" t="str">
            <v>LINHA MOVELEIRA</v>
          </cell>
          <cell r="G366" t="str">
            <v>MOVELEIRA</v>
          </cell>
        </row>
        <row r="367">
          <cell r="A367">
            <v>86116</v>
          </cell>
          <cell r="B367" t="str">
            <v>SL EXTRA MARITIMO BR NATURAL 18L</v>
          </cell>
          <cell r="C367">
            <v>5203106</v>
          </cell>
          <cell r="D367" t="str">
            <v>SPARLACK CETOL</v>
          </cell>
          <cell r="E367">
            <v>50001</v>
          </cell>
          <cell r="F367" t="str">
            <v>LINHA MOVELEIRA</v>
          </cell>
          <cell r="G367" t="str">
            <v>MOVELEIRA</v>
          </cell>
        </row>
        <row r="368">
          <cell r="A368">
            <v>86117</v>
          </cell>
          <cell r="B368" t="str">
            <v>SL EXTRA MARITIMO BR NATURAL 225ML</v>
          </cell>
          <cell r="C368">
            <v>5203107</v>
          </cell>
          <cell r="D368" t="str">
            <v>SPARLACK CETOL</v>
          </cell>
          <cell r="E368">
            <v>50001</v>
          </cell>
          <cell r="F368" t="str">
            <v>LINHA MOVELEIRA</v>
          </cell>
          <cell r="G368" t="str">
            <v>MOVELEIRA</v>
          </cell>
        </row>
        <row r="369">
          <cell r="A369">
            <v>86114</v>
          </cell>
          <cell r="B369" t="str">
            <v>SL EXTRA MARITIMO BR NATURAL 3.6L</v>
          </cell>
          <cell r="C369">
            <v>5203104</v>
          </cell>
          <cell r="D369" t="str">
            <v>SPARLACK CETOL</v>
          </cell>
          <cell r="E369">
            <v>50001</v>
          </cell>
          <cell r="F369" t="str">
            <v>LINHA MOVELEIRA</v>
          </cell>
          <cell r="G369" t="str">
            <v>MOVELEIRA</v>
          </cell>
        </row>
        <row r="370">
          <cell r="A370">
            <v>86115</v>
          </cell>
          <cell r="B370" t="str">
            <v>SL EXTRA MARITIMO BR NATURAL 900ML</v>
          </cell>
          <cell r="C370">
            <v>5203105</v>
          </cell>
          <cell r="D370" t="str">
            <v>SPARLACK CETOL</v>
          </cell>
          <cell r="E370">
            <v>50001</v>
          </cell>
          <cell r="F370" t="str">
            <v>LINHA MOVELEIRA</v>
          </cell>
          <cell r="G370" t="str">
            <v>MOVELEIRA</v>
          </cell>
        </row>
        <row r="371">
          <cell r="A371">
            <v>86112</v>
          </cell>
          <cell r="B371" t="str">
            <v>SL EXTRA MARITIMO FO NATURAL 3.6L</v>
          </cell>
          <cell r="C371">
            <v>5203101</v>
          </cell>
          <cell r="D371" t="str">
            <v>SPARLACK CETOL</v>
          </cell>
          <cell r="E371">
            <v>50001</v>
          </cell>
          <cell r="F371" t="str">
            <v>LINHA MOVELEIRA</v>
          </cell>
          <cell r="G371" t="str">
            <v>MOVELEIRA</v>
          </cell>
        </row>
        <row r="372">
          <cell r="A372">
            <v>86113</v>
          </cell>
          <cell r="B372" t="str">
            <v>SL EXTRA MARITIMO FO NATURAL 900ML</v>
          </cell>
          <cell r="C372">
            <v>5203102</v>
          </cell>
          <cell r="D372" t="str">
            <v>SPARLACK CETOL</v>
          </cell>
          <cell r="E372">
            <v>50001</v>
          </cell>
          <cell r="F372" t="str">
            <v>LINHA MOVELEIRA</v>
          </cell>
          <cell r="G372" t="str">
            <v>MOVELEIRA</v>
          </cell>
        </row>
        <row r="373">
          <cell r="A373">
            <v>86104</v>
          </cell>
          <cell r="B373" t="str">
            <v>SL FUNDO ISOLANTE TRANSP 3.6L</v>
          </cell>
          <cell r="C373">
            <v>5203093</v>
          </cell>
          <cell r="D373" t="str">
            <v>SPARLACK CETOL</v>
          </cell>
          <cell r="E373">
            <v>50001</v>
          </cell>
          <cell r="F373" t="str">
            <v>LINHA MOVELEIRA</v>
          </cell>
          <cell r="G373" t="str">
            <v>MOVELEIRA</v>
          </cell>
        </row>
        <row r="374">
          <cell r="A374">
            <v>86105</v>
          </cell>
          <cell r="B374" t="str">
            <v>SL FUNDO ISOLANTE TRANSP 900ML</v>
          </cell>
          <cell r="C374">
            <v>5203094</v>
          </cell>
          <cell r="D374" t="str">
            <v>SPARLACK CETOL</v>
          </cell>
          <cell r="E374">
            <v>50001</v>
          </cell>
          <cell r="F374" t="str">
            <v>LINHA MOVELEIRA</v>
          </cell>
          <cell r="G374" t="str">
            <v>MOVELEIRA</v>
          </cell>
        </row>
        <row r="375">
          <cell r="A375">
            <v>86098</v>
          </cell>
          <cell r="B375" t="str">
            <v>SL NEUTREX BR CAST AVERM 3.6 L</v>
          </cell>
          <cell r="C375">
            <v>5203070</v>
          </cell>
          <cell r="D375" t="str">
            <v>SPARLACK CETOL</v>
          </cell>
          <cell r="E375">
            <v>50001</v>
          </cell>
          <cell r="F375" t="str">
            <v>LINHA MOVELEIRA</v>
          </cell>
          <cell r="G375" t="str">
            <v>MOVELEIRA</v>
          </cell>
        </row>
        <row r="376">
          <cell r="A376">
            <v>86099</v>
          </cell>
          <cell r="B376" t="str">
            <v>SL NEUTREX BR CAST AVERM 900ML</v>
          </cell>
          <cell r="C376">
            <v>5203071</v>
          </cell>
          <cell r="D376" t="str">
            <v>SPARLACK CETOL</v>
          </cell>
          <cell r="E376">
            <v>50001</v>
          </cell>
          <cell r="F376" t="str">
            <v>LINHA MOVELEIRA</v>
          </cell>
          <cell r="G376" t="str">
            <v>MOVELEIRA</v>
          </cell>
        </row>
        <row r="377">
          <cell r="A377">
            <v>86096</v>
          </cell>
          <cell r="B377" t="str">
            <v>SL NEUTREX BR IMBUIA 3.6 L</v>
          </cell>
          <cell r="C377">
            <v>5203068</v>
          </cell>
          <cell r="D377" t="str">
            <v>SPARLACK CETOL</v>
          </cell>
          <cell r="E377">
            <v>50001</v>
          </cell>
          <cell r="F377" t="str">
            <v>LINHA MOVELEIRA</v>
          </cell>
          <cell r="G377" t="str">
            <v>MOVELEIRA</v>
          </cell>
        </row>
        <row r="378">
          <cell r="A378">
            <v>86097</v>
          </cell>
          <cell r="B378" t="str">
            <v>SL NEUTREX BR IMBUIA 900ML</v>
          </cell>
          <cell r="C378">
            <v>5203069</v>
          </cell>
          <cell r="D378" t="str">
            <v>SPARLACK CETOL</v>
          </cell>
          <cell r="E378">
            <v>50001</v>
          </cell>
          <cell r="F378" t="str">
            <v>LINHA MOVELEIRA</v>
          </cell>
          <cell r="G378" t="str">
            <v>MOVELEIRA</v>
          </cell>
        </row>
        <row r="379">
          <cell r="A379">
            <v>86100</v>
          </cell>
          <cell r="B379" t="str">
            <v>SL NEUTREX BR MOGNO 3.6 L</v>
          </cell>
          <cell r="C379">
            <v>5203075</v>
          </cell>
          <cell r="D379" t="str">
            <v>SPARLACK CETOL</v>
          </cell>
          <cell r="E379">
            <v>50001</v>
          </cell>
          <cell r="F379" t="str">
            <v>LINHA MOVELEIRA</v>
          </cell>
          <cell r="G379" t="str">
            <v>MOVELEIRA</v>
          </cell>
        </row>
        <row r="380">
          <cell r="A380">
            <v>86101</v>
          </cell>
          <cell r="B380" t="str">
            <v>SL NEUTREX BR MOGNO 900ML</v>
          </cell>
          <cell r="C380">
            <v>5203076</v>
          </cell>
          <cell r="D380" t="str">
            <v>SPARLACK CETOL</v>
          </cell>
          <cell r="E380">
            <v>50001</v>
          </cell>
          <cell r="F380" t="str">
            <v>LINHA MOVELEIRA</v>
          </cell>
          <cell r="G380" t="str">
            <v>MOVELEIRA</v>
          </cell>
        </row>
        <row r="381">
          <cell r="A381">
            <v>86102</v>
          </cell>
          <cell r="B381" t="str">
            <v>SL PINTOFF 1 L</v>
          </cell>
          <cell r="C381">
            <v>5203079</v>
          </cell>
          <cell r="D381" t="str">
            <v>SPARLACK CETOL</v>
          </cell>
          <cell r="E381">
            <v>50001</v>
          </cell>
          <cell r="F381" t="str">
            <v>LINHA MOVELEIRA</v>
          </cell>
          <cell r="G381" t="str">
            <v>MOVELEIRA</v>
          </cell>
        </row>
        <row r="382">
          <cell r="A382">
            <v>86198</v>
          </cell>
          <cell r="B382" t="str">
            <v>SL PINTOFF 5 L</v>
          </cell>
          <cell r="C382">
            <v>5233155</v>
          </cell>
          <cell r="D382" t="str">
            <v>SPARLACK CETOL</v>
          </cell>
          <cell r="E382">
            <v>50001</v>
          </cell>
          <cell r="F382" t="str">
            <v>LINHA MOVELEIRA</v>
          </cell>
          <cell r="G382" t="str">
            <v>MOVELEIRA</v>
          </cell>
        </row>
        <row r="383">
          <cell r="A383">
            <v>86159</v>
          </cell>
          <cell r="B383" t="str">
            <v>SL SELADORA BALANCE AC TRANSP 3.6 L</v>
          </cell>
          <cell r="C383">
            <v>5203191</v>
          </cell>
          <cell r="D383" t="str">
            <v>SPARLACK CETOL</v>
          </cell>
          <cell r="E383">
            <v>50001</v>
          </cell>
          <cell r="F383" t="str">
            <v>LINHA MOVELEIRA</v>
          </cell>
          <cell r="G383" t="str">
            <v>MOVELEIRA</v>
          </cell>
        </row>
        <row r="384">
          <cell r="A384">
            <v>86160</v>
          </cell>
          <cell r="B384" t="str">
            <v>SL SELADORA BALANCE AC TRANSP 900ML</v>
          </cell>
          <cell r="C384">
            <v>5203192</v>
          </cell>
          <cell r="D384" t="str">
            <v>SPARLACK CETOL</v>
          </cell>
          <cell r="E384">
            <v>50001</v>
          </cell>
          <cell r="F384" t="str">
            <v>LINHA MOVELEIRA</v>
          </cell>
          <cell r="G384" t="str">
            <v>MOVELEIRA</v>
          </cell>
        </row>
        <row r="385">
          <cell r="A385">
            <v>86129</v>
          </cell>
          <cell r="B385" t="str">
            <v>SL SELADORA CONCENTR AC TRANSP 3.6 L</v>
          </cell>
          <cell r="C385">
            <v>5203143</v>
          </cell>
          <cell r="D385" t="str">
            <v>SPARLACK CETOL</v>
          </cell>
          <cell r="E385">
            <v>50001</v>
          </cell>
          <cell r="F385" t="str">
            <v>LINHA MOVELEIRA</v>
          </cell>
          <cell r="G385" t="str">
            <v>MOVELEIRA</v>
          </cell>
        </row>
        <row r="386">
          <cell r="A386">
            <v>86130</v>
          </cell>
          <cell r="B386" t="str">
            <v>SL SELADORA CONCENTR AC TRANSP 900ML</v>
          </cell>
          <cell r="C386">
            <v>5203144</v>
          </cell>
          <cell r="D386" t="str">
            <v>SPARLACK CETOL</v>
          </cell>
          <cell r="E386">
            <v>50001</v>
          </cell>
          <cell r="F386" t="str">
            <v>LINHA MOVELEIRA</v>
          </cell>
          <cell r="G386" t="str">
            <v>MOVELEIRA</v>
          </cell>
        </row>
        <row r="387">
          <cell r="A387">
            <v>86127</v>
          </cell>
          <cell r="B387" t="str">
            <v>SL SOLGARD TFS AC MOGNO 3.6L</v>
          </cell>
          <cell r="C387">
            <v>5203139</v>
          </cell>
          <cell r="D387" t="str">
            <v>SPARLACK CETOL</v>
          </cell>
          <cell r="E387">
            <v>50001</v>
          </cell>
          <cell r="F387" t="str">
            <v>LINHA MOVELEIRA</v>
          </cell>
          <cell r="G387" t="str">
            <v>MOVELEIRA</v>
          </cell>
        </row>
        <row r="388">
          <cell r="A388">
            <v>86128</v>
          </cell>
          <cell r="B388" t="str">
            <v>SL SOLGARD TFS AC MOGNO 900ML</v>
          </cell>
          <cell r="C388">
            <v>5203140</v>
          </cell>
          <cell r="D388" t="str">
            <v>SPARLACK CETOL</v>
          </cell>
          <cell r="E388">
            <v>50001</v>
          </cell>
          <cell r="F388" t="str">
            <v>LINHA MOVELEIRA</v>
          </cell>
          <cell r="G388" t="str">
            <v>MOVELEIRA</v>
          </cell>
        </row>
        <row r="389">
          <cell r="A389">
            <v>86110</v>
          </cell>
          <cell r="B389" t="str">
            <v>SL SOLGARD TFS AC NATURAL 3.6L</v>
          </cell>
          <cell r="C389">
            <v>5203099</v>
          </cell>
          <cell r="D389" t="str">
            <v>SPARLACK CETOL</v>
          </cell>
          <cell r="E389">
            <v>50001</v>
          </cell>
          <cell r="F389" t="str">
            <v>LINHA MOVELEIRA</v>
          </cell>
          <cell r="G389" t="str">
            <v>MOVELEIRA</v>
          </cell>
        </row>
        <row r="390">
          <cell r="A390">
            <v>86111</v>
          </cell>
          <cell r="B390" t="str">
            <v>SL SOLGARD TFS AC NATURAL 900ML</v>
          </cell>
          <cell r="C390">
            <v>5203100</v>
          </cell>
          <cell r="D390" t="str">
            <v>SPARLACK CETOL</v>
          </cell>
          <cell r="E390">
            <v>50001</v>
          </cell>
          <cell r="F390" t="str">
            <v>LINHA MOVELEIRA</v>
          </cell>
          <cell r="G390" t="str">
            <v>MOVELEIRA</v>
          </cell>
        </row>
        <row r="391">
          <cell r="A391">
            <v>86125</v>
          </cell>
          <cell r="B391" t="str">
            <v>SL SOLGARD TFS BR MOGNO 3.6L</v>
          </cell>
          <cell r="C391">
            <v>5203135</v>
          </cell>
          <cell r="D391" t="str">
            <v>SPARLACK CETOL</v>
          </cell>
          <cell r="E391">
            <v>50001</v>
          </cell>
          <cell r="F391" t="str">
            <v>LINHA MOVELEIRA</v>
          </cell>
          <cell r="G391" t="str">
            <v>MOVELEIRA</v>
          </cell>
        </row>
        <row r="392">
          <cell r="A392">
            <v>86126</v>
          </cell>
          <cell r="B392" t="str">
            <v>SL SOLGARD TFS BR MOGNO 900ML</v>
          </cell>
          <cell r="C392">
            <v>5203136</v>
          </cell>
          <cell r="D392" t="str">
            <v>SPARLACK CETOL</v>
          </cell>
          <cell r="E392">
            <v>50001</v>
          </cell>
          <cell r="F392" t="str">
            <v>LINHA MOVELEIRA</v>
          </cell>
          <cell r="G392" t="str">
            <v>MOVELEIRA</v>
          </cell>
        </row>
        <row r="393">
          <cell r="A393">
            <v>86108</v>
          </cell>
          <cell r="B393" t="str">
            <v>SL SOLGARD TFS BR NATURAL 3.6L</v>
          </cell>
          <cell r="C393">
            <v>5203097</v>
          </cell>
          <cell r="D393" t="str">
            <v>SPARLACK CETOL</v>
          </cell>
          <cell r="E393">
            <v>50001</v>
          </cell>
          <cell r="F393" t="str">
            <v>LINHA MOVELEIRA</v>
          </cell>
          <cell r="G393" t="str">
            <v>MOVELEIRA</v>
          </cell>
        </row>
        <row r="394">
          <cell r="A394">
            <v>86109</v>
          </cell>
          <cell r="B394" t="str">
            <v>SL SOLGARD TFS BR NATURAL 900ML</v>
          </cell>
          <cell r="C394">
            <v>5203098</v>
          </cell>
          <cell r="D394" t="str">
            <v>SPARLACK CETOL</v>
          </cell>
          <cell r="E394">
            <v>50001</v>
          </cell>
          <cell r="F394" t="str">
            <v>LINHA MOVELEIRA</v>
          </cell>
          <cell r="G394" t="str">
            <v>MOVELEIRA</v>
          </cell>
        </row>
        <row r="395">
          <cell r="A395">
            <v>86662</v>
          </cell>
          <cell r="B395" t="str">
            <v>SL STAIN AC IMBUIA 18L</v>
          </cell>
          <cell r="C395">
            <v>5764558</v>
          </cell>
          <cell r="D395" t="str">
            <v>SPARLACK CETOL</v>
          </cell>
          <cell r="E395">
            <v>50001</v>
          </cell>
          <cell r="F395" t="str">
            <v>LINHA MOVELEIRA</v>
          </cell>
          <cell r="G395" t="str">
            <v>MOVELEIRA</v>
          </cell>
        </row>
        <row r="396">
          <cell r="A396">
            <v>86121</v>
          </cell>
          <cell r="B396" t="str">
            <v>SL STAIN AC IMBUIA 3.6 L</v>
          </cell>
          <cell r="C396">
            <v>5203115</v>
          </cell>
          <cell r="D396" t="str">
            <v>SPARLACK CETOL</v>
          </cell>
          <cell r="E396">
            <v>50001</v>
          </cell>
          <cell r="F396" t="str">
            <v>LINHA MOVELEIRA</v>
          </cell>
          <cell r="G396" t="str">
            <v>MOVELEIRA</v>
          </cell>
        </row>
        <row r="397">
          <cell r="A397">
            <v>86122</v>
          </cell>
          <cell r="B397" t="str">
            <v>SL STAIN AC MOGNO 3.6 L</v>
          </cell>
          <cell r="C397">
            <v>5203118</v>
          </cell>
          <cell r="D397" t="str">
            <v>SPARLACK CETOL</v>
          </cell>
          <cell r="E397">
            <v>50001</v>
          </cell>
          <cell r="F397" t="str">
            <v>LINHA MOVELEIRA</v>
          </cell>
          <cell r="G397" t="str">
            <v>MOVELEIRA</v>
          </cell>
        </row>
        <row r="398">
          <cell r="A398">
            <v>86120</v>
          </cell>
          <cell r="B398" t="str">
            <v>SL STAIN AC NATURAL 18L</v>
          </cell>
          <cell r="C398">
            <v>5203111</v>
          </cell>
          <cell r="D398" t="str">
            <v>SPARLACK CETOL</v>
          </cell>
          <cell r="E398">
            <v>50001</v>
          </cell>
          <cell r="F398" t="str">
            <v>LINHA MOVELEIRA</v>
          </cell>
          <cell r="G398" t="str">
            <v>MOVELEIRA</v>
          </cell>
        </row>
        <row r="399">
          <cell r="A399">
            <v>86118</v>
          </cell>
          <cell r="B399" t="str">
            <v>SL STAIN AC NATURAL 3.6L</v>
          </cell>
          <cell r="C399">
            <v>5203109</v>
          </cell>
          <cell r="D399" t="str">
            <v>SPARLACK CETOL</v>
          </cell>
          <cell r="E399">
            <v>50001</v>
          </cell>
          <cell r="F399" t="str">
            <v>LINHA MOVELEIRA</v>
          </cell>
          <cell r="G399" t="str">
            <v>MOVELEIRA</v>
          </cell>
        </row>
        <row r="400">
          <cell r="A400">
            <v>86119</v>
          </cell>
          <cell r="B400" t="str">
            <v>SL STAIN AC NATURAL 900ML</v>
          </cell>
          <cell r="C400">
            <v>5203110</v>
          </cell>
          <cell r="D400" t="str">
            <v>SPARLACK CETOL</v>
          </cell>
          <cell r="E400">
            <v>50001</v>
          </cell>
          <cell r="F400" t="str">
            <v>LINHA MOVELEIRA</v>
          </cell>
          <cell r="G400" t="str">
            <v>MOVELEIRA</v>
          </cell>
        </row>
        <row r="401">
          <cell r="A401">
            <v>86577</v>
          </cell>
          <cell r="B401" t="str">
            <v>SL STAIN AC UV GLASS 3.6L</v>
          </cell>
          <cell r="C401">
            <v>5511386</v>
          </cell>
          <cell r="D401" t="str">
            <v>SPARLACK CETOL</v>
          </cell>
          <cell r="E401">
            <v>50001</v>
          </cell>
          <cell r="F401" t="str">
            <v>LINHA MOVELEIRA</v>
          </cell>
          <cell r="G401" t="str">
            <v>MOVELEIRA</v>
          </cell>
        </row>
        <row r="402">
          <cell r="A402">
            <v>86578</v>
          </cell>
          <cell r="B402" t="str">
            <v>SL STAIN AC UV GLASS 900ML</v>
          </cell>
          <cell r="C402">
            <v>5511387</v>
          </cell>
          <cell r="D402" t="str">
            <v>SPARLACK CETOL</v>
          </cell>
          <cell r="E402">
            <v>50001</v>
          </cell>
          <cell r="F402" t="str">
            <v>LINHA MOVELEIRA</v>
          </cell>
          <cell r="G402" t="str">
            <v>MOVELEIRA</v>
          </cell>
        </row>
        <row r="403">
          <cell r="A403">
            <v>86155</v>
          </cell>
          <cell r="B403" t="str">
            <v>SL STAIN BALAN AC IMBUIA 3.6L</v>
          </cell>
          <cell r="C403">
            <v>5203173</v>
          </cell>
          <cell r="D403" t="str">
            <v>SPARLACK CETOL</v>
          </cell>
          <cell r="E403">
            <v>50001</v>
          </cell>
          <cell r="F403" t="str">
            <v>LINHA MOVELEIRA</v>
          </cell>
          <cell r="G403" t="str">
            <v>MOVELEIRA</v>
          </cell>
        </row>
        <row r="404">
          <cell r="A404">
            <v>86156</v>
          </cell>
          <cell r="B404" t="str">
            <v>SL STAIN BALAN AC MOGNO 3.6L</v>
          </cell>
          <cell r="C404">
            <v>5203175</v>
          </cell>
          <cell r="D404" t="str">
            <v>SPARLACK CETOL</v>
          </cell>
          <cell r="E404">
            <v>50001</v>
          </cell>
          <cell r="F404" t="str">
            <v>LINHA MOVELEIRA</v>
          </cell>
          <cell r="G404" t="str">
            <v>MOVELEIRA</v>
          </cell>
        </row>
        <row r="405">
          <cell r="A405">
            <v>86611</v>
          </cell>
          <cell r="B405" t="str">
            <v>SL STAIN BALAN AC NATURAL 16L</v>
          </cell>
          <cell r="C405">
            <v>5723206</v>
          </cell>
          <cell r="D405" t="str">
            <v>SPARLACK CETOL</v>
          </cell>
          <cell r="E405">
            <v>50001</v>
          </cell>
          <cell r="F405" t="str">
            <v>LINHA MOVELEIRA</v>
          </cell>
          <cell r="G405" t="str">
            <v>MOVELEIRA</v>
          </cell>
        </row>
        <row r="406">
          <cell r="A406">
            <v>86153</v>
          </cell>
          <cell r="B406" t="str">
            <v>SL STAIN BALAN AC NATURAL 3.6 L</v>
          </cell>
          <cell r="C406">
            <v>5203169</v>
          </cell>
          <cell r="D406" t="str">
            <v>SPARLACK CETOL</v>
          </cell>
          <cell r="E406">
            <v>50001</v>
          </cell>
          <cell r="F406" t="str">
            <v>LINHA MOVELEIRA</v>
          </cell>
          <cell r="G406" t="str">
            <v>MOVELEIRA</v>
          </cell>
        </row>
        <row r="407">
          <cell r="A407">
            <v>86154</v>
          </cell>
          <cell r="B407" t="str">
            <v>SL STAIN BALAN AC NATURAL 900ML</v>
          </cell>
          <cell r="C407">
            <v>5203170</v>
          </cell>
          <cell r="D407" t="str">
            <v>SPARLACK CETOL</v>
          </cell>
          <cell r="E407">
            <v>50001</v>
          </cell>
          <cell r="F407" t="str">
            <v>LINHA MOVELEIRA</v>
          </cell>
          <cell r="G407" t="str">
            <v>MOVELEIRA</v>
          </cell>
        </row>
        <row r="408">
          <cell r="A408">
            <v>86576</v>
          </cell>
          <cell r="B408" t="str">
            <v>SL STAIN BALAN AC UV GLASS 3.6L</v>
          </cell>
          <cell r="C408">
            <v>5511385</v>
          </cell>
          <cell r="D408" t="str">
            <v>SPARLACK CETOL</v>
          </cell>
          <cell r="E408">
            <v>50001</v>
          </cell>
          <cell r="F408" t="str">
            <v>LINHA MOVELEIRA</v>
          </cell>
          <cell r="G408" t="str">
            <v>MOVELEIRA</v>
          </cell>
        </row>
        <row r="409">
          <cell r="A409">
            <v>86582</v>
          </cell>
          <cell r="B409" t="str">
            <v>SL STAIN BALAN AC UV GLASS 900ML</v>
          </cell>
          <cell r="C409">
            <v>5538548</v>
          </cell>
          <cell r="D409" t="str">
            <v>SPARLACK CETOL</v>
          </cell>
          <cell r="E409">
            <v>50001</v>
          </cell>
          <cell r="F409" t="str">
            <v>LINHA MOVELEIRA</v>
          </cell>
          <cell r="G409" t="str">
            <v>MOVELEIRA</v>
          </cell>
        </row>
        <row r="410">
          <cell r="A410">
            <v>86753</v>
          </cell>
          <cell r="B410" t="str">
            <v>SL STAIN BELEZA NATURAL MAT 3.6L</v>
          </cell>
          <cell r="C410">
            <v>5859460</v>
          </cell>
          <cell r="D410" t="str">
            <v>SPARLACK CETOL</v>
          </cell>
          <cell r="E410">
            <v>50001</v>
          </cell>
          <cell r="F410" t="str">
            <v>LINHA MOVELEIRA</v>
          </cell>
          <cell r="G410" t="str">
            <v>MOVELEIRA</v>
          </cell>
        </row>
        <row r="411">
          <cell r="A411">
            <v>86752</v>
          </cell>
          <cell r="B411" t="str">
            <v>SL STAIN BELEZA NATURAL MAT 900ML</v>
          </cell>
          <cell r="C411">
            <v>5859458</v>
          </cell>
          <cell r="D411" t="str">
            <v>SPARLACK CETOL</v>
          </cell>
          <cell r="E411">
            <v>50001</v>
          </cell>
          <cell r="F411" t="str">
            <v>LINHA MOVELEIRA</v>
          </cell>
          <cell r="G411" t="str">
            <v>MOVELEIRA</v>
          </cell>
        </row>
        <row r="412">
          <cell r="A412">
            <v>84234</v>
          </cell>
          <cell r="B412" t="str">
            <v>TINGIDOR P/ MADEIRA-CEDRO 1L BRASILUX</v>
          </cell>
          <cell r="C412" t="str">
            <v>TG 451011307</v>
          </cell>
          <cell r="D412" t="str">
            <v>BRASILUX</v>
          </cell>
          <cell r="E412">
            <v>50001</v>
          </cell>
          <cell r="F412" t="str">
            <v>LINHA MOVELEIRA</v>
          </cell>
          <cell r="G412" t="str">
            <v>MOVELEIRA</v>
          </cell>
        </row>
        <row r="413">
          <cell r="A413">
            <v>84238</v>
          </cell>
          <cell r="B413" t="str">
            <v>TINGIDOR P/ MADEIRA-CEDRO 225ML BRASILUX</v>
          </cell>
          <cell r="C413" t="str">
            <v>TG 451011311</v>
          </cell>
          <cell r="D413" t="str">
            <v>BRASILUX</v>
          </cell>
          <cell r="E413">
            <v>50001</v>
          </cell>
          <cell r="F413" t="str">
            <v>LINHA MOVELEIRA</v>
          </cell>
          <cell r="G413" t="str">
            <v>MOVELEIRA</v>
          </cell>
        </row>
        <row r="414">
          <cell r="A414">
            <v>84230</v>
          </cell>
          <cell r="B414" t="str">
            <v>TINGIDOR P/ MADEIRA-CEREJEIRA 1L BRASILUX</v>
          </cell>
          <cell r="C414" t="str">
            <v>TG 454400107</v>
          </cell>
          <cell r="D414" t="str">
            <v>BRASILUX</v>
          </cell>
          <cell r="E414">
            <v>50001</v>
          </cell>
          <cell r="F414" t="str">
            <v>LINHA MOVELEIRA</v>
          </cell>
          <cell r="G414" t="str">
            <v>MOVELEIRA</v>
          </cell>
        </row>
        <row r="415">
          <cell r="A415">
            <v>84235</v>
          </cell>
          <cell r="B415" t="str">
            <v>TINGIDOR P/ MADEIRA-CEREJEIRA 225ML BRASILUX</v>
          </cell>
          <cell r="C415" t="str">
            <v>TG 454400111</v>
          </cell>
          <cell r="D415" t="str">
            <v>BRASILUX</v>
          </cell>
          <cell r="E415">
            <v>50001</v>
          </cell>
          <cell r="F415" t="str">
            <v>LINHA MOVELEIRA</v>
          </cell>
          <cell r="G415" t="str">
            <v>MOVELEIRA</v>
          </cell>
        </row>
        <row r="416">
          <cell r="A416">
            <v>84231</v>
          </cell>
          <cell r="B416" t="str">
            <v>TINGIDOR P/ MADEIRA-IMBUIA 1L BRASILUX</v>
          </cell>
          <cell r="C416" t="str">
            <v>TG 454600107</v>
          </cell>
          <cell r="D416" t="str">
            <v>BRASILUX</v>
          </cell>
          <cell r="E416">
            <v>50001</v>
          </cell>
          <cell r="F416" t="str">
            <v>LINHA MOVELEIRA</v>
          </cell>
          <cell r="G416" t="str">
            <v>MOVELEIRA</v>
          </cell>
        </row>
        <row r="417">
          <cell r="A417">
            <v>84233</v>
          </cell>
          <cell r="B417" t="str">
            <v>TINGIDOR P/ MADEIRA-MOGNO 1L BRASILUX</v>
          </cell>
          <cell r="C417" t="str">
            <v>TG 454502207</v>
          </cell>
          <cell r="D417" t="str">
            <v>BRASILUX</v>
          </cell>
          <cell r="E417">
            <v>50001</v>
          </cell>
          <cell r="F417" t="str">
            <v>LINHA MOVELEIRA</v>
          </cell>
          <cell r="G417" t="str">
            <v>MOVELEIRA</v>
          </cell>
        </row>
        <row r="418">
          <cell r="A418">
            <v>84232</v>
          </cell>
          <cell r="B418" t="str">
            <v>TINGIDOR P/ MADEIRA-MOGNO AVERMELHADO 1L BRASILUX</v>
          </cell>
          <cell r="C418" t="str">
            <v>TG 454500607</v>
          </cell>
          <cell r="D418" t="str">
            <v>BRASILUX</v>
          </cell>
          <cell r="E418">
            <v>50001</v>
          </cell>
          <cell r="F418" t="str">
            <v>LINHA MOVELEIRA</v>
          </cell>
          <cell r="G418" t="str">
            <v>MOVELEIRA</v>
          </cell>
        </row>
        <row r="419">
          <cell r="A419">
            <v>84236</v>
          </cell>
          <cell r="B419" t="str">
            <v>TINGIDOR UNIVERSAL-IMBUIA 225ML BRASILUX</v>
          </cell>
          <cell r="C419" t="str">
            <v>TG 454600111</v>
          </cell>
          <cell r="D419" t="str">
            <v>BRASILUX</v>
          </cell>
          <cell r="E419">
            <v>50001</v>
          </cell>
          <cell r="F419" t="str">
            <v>LINHA MOVELEIRA</v>
          </cell>
          <cell r="G419" t="str">
            <v>MOVELEIRA</v>
          </cell>
        </row>
        <row r="420">
          <cell r="A420">
            <v>84237</v>
          </cell>
          <cell r="B420" t="str">
            <v>TINGIDOR UNIVERSAL-MOGNO 225ML BRASILUX</v>
          </cell>
          <cell r="C420" t="str">
            <v>TG 454502211</v>
          </cell>
          <cell r="D420" t="str">
            <v>BRASILUX</v>
          </cell>
          <cell r="E420">
            <v>50001</v>
          </cell>
          <cell r="F420" t="str">
            <v>LINHA MOVELEIRA</v>
          </cell>
          <cell r="G420" t="str">
            <v>MOVELEIRA</v>
          </cell>
        </row>
        <row r="421">
          <cell r="A421">
            <v>84055</v>
          </cell>
          <cell r="B421" t="str">
            <v>VERNIZ EFEITO JATEADO 900ML-PU ALIF INDUS</v>
          </cell>
          <cell r="C421" t="str">
            <v>VN 190096001</v>
          </cell>
          <cell r="D421" t="str">
            <v>BRASILUX</v>
          </cell>
          <cell r="E421">
            <v>50001</v>
          </cell>
          <cell r="F421" t="str">
            <v>LINHA MOVELEIRA</v>
          </cell>
          <cell r="G421" t="str">
            <v>MOVELEIRA</v>
          </cell>
        </row>
        <row r="422">
          <cell r="A422">
            <v>84691</v>
          </cell>
          <cell r="B422" t="str">
            <v>VERNIZ MARITIMO BRILHANTE 225ML BRASILUX</v>
          </cell>
          <cell r="C422" t="str">
            <v>VM 090003111</v>
          </cell>
          <cell r="D422" t="str">
            <v>BRASILUX</v>
          </cell>
          <cell r="E422">
            <v>50001</v>
          </cell>
          <cell r="F422" t="str">
            <v>LINHA MOVELEIRA</v>
          </cell>
          <cell r="G422" t="str">
            <v>MOVELEIRA</v>
          </cell>
        </row>
        <row r="423">
          <cell r="A423">
            <v>85395</v>
          </cell>
          <cell r="B423" t="str">
            <v>VERNIZ PARA MADEIRA - VERNIZ MARITIMO NOGUEIRA 3,6 LT</v>
          </cell>
          <cell r="C423" t="str">
            <v>VM 094900802</v>
          </cell>
          <cell r="D423" t="str">
            <v>BRASILUX</v>
          </cell>
          <cell r="E423">
            <v>50001</v>
          </cell>
          <cell r="F423" t="str">
            <v>LINHA MOVELEIRA</v>
          </cell>
          <cell r="G423" t="str">
            <v>MOVELEIRA</v>
          </cell>
        </row>
        <row r="424">
          <cell r="A424">
            <v>85438</v>
          </cell>
          <cell r="B424" t="str">
            <v>BRASIMIX PREMIUM-AMARELO CROMO 900ML BRASILUX</v>
          </cell>
          <cell r="C424" t="str">
            <v>BM 000224201</v>
          </cell>
          <cell r="D424" t="str">
            <v>BRASILUX</v>
          </cell>
          <cell r="E424">
            <v>40005</v>
          </cell>
          <cell r="F424" t="str">
            <v>BASES NO MACHINE PREMIUM</v>
          </cell>
          <cell r="G424" t="str">
            <v>INDUSTRIAL</v>
          </cell>
        </row>
        <row r="425">
          <cell r="A425">
            <v>85427</v>
          </cell>
          <cell r="B425" t="str">
            <v>BRASIMIX PREMIUM-AMARELO LIMAO 900ML BRASILUX</v>
          </cell>
          <cell r="C425" t="str">
            <v>BM 000220501</v>
          </cell>
          <cell r="D425" t="str">
            <v>BRASILUX</v>
          </cell>
          <cell r="E425">
            <v>40005</v>
          </cell>
          <cell r="F425" t="str">
            <v>BASES NO MACHINE PREMIUM</v>
          </cell>
          <cell r="G425" t="str">
            <v>INDUSTRIAL</v>
          </cell>
        </row>
        <row r="426">
          <cell r="A426">
            <v>85426</v>
          </cell>
          <cell r="B426" t="str">
            <v>BRASIMIX PREMIUM-AMARELO OURO 800ML BRASILUX</v>
          </cell>
          <cell r="C426" t="str">
            <v>BM 000220488</v>
          </cell>
          <cell r="D426" t="str">
            <v>BRASILUX</v>
          </cell>
          <cell r="E426">
            <v>40005</v>
          </cell>
          <cell r="F426" t="str">
            <v>BASES NO MACHINE PREMIUM</v>
          </cell>
          <cell r="G426" t="str">
            <v>INDUSTRIAL</v>
          </cell>
        </row>
        <row r="427">
          <cell r="A427">
            <v>85439</v>
          </cell>
          <cell r="B427" t="str">
            <v>BRASIMIX PREMIUM-AMARELO OXIDO 900ML BRASILUX</v>
          </cell>
          <cell r="C427" t="str">
            <v>BM 000224301</v>
          </cell>
          <cell r="D427" t="str">
            <v>BRASILUX</v>
          </cell>
          <cell r="E427">
            <v>40005</v>
          </cell>
          <cell r="F427" t="str">
            <v>BASES NO MACHINE PREMIUM</v>
          </cell>
          <cell r="G427" t="str">
            <v>INDUSTRIAL</v>
          </cell>
        </row>
        <row r="428">
          <cell r="A428">
            <v>85428</v>
          </cell>
          <cell r="B428" t="str">
            <v>BRASIMIX PREMIUM-AZUL CLARO 800ML BRASILUX</v>
          </cell>
          <cell r="C428" t="str">
            <v>BM 000320688</v>
          </cell>
          <cell r="D428" t="str">
            <v>BRASILUX</v>
          </cell>
          <cell r="E428">
            <v>40005</v>
          </cell>
          <cell r="F428" t="str">
            <v>BASES NO MACHINE PREMIUM</v>
          </cell>
          <cell r="G428" t="str">
            <v>INDUSTRIAL</v>
          </cell>
        </row>
        <row r="429">
          <cell r="A429">
            <v>85429</v>
          </cell>
          <cell r="B429" t="str">
            <v>BRASIMIX PREMIUM-AZUL MEDIO 900ML BRASILUX</v>
          </cell>
          <cell r="C429" t="str">
            <v>BM 000320701</v>
          </cell>
          <cell r="D429" t="str">
            <v>BRASILUX</v>
          </cell>
          <cell r="E429">
            <v>40005</v>
          </cell>
          <cell r="F429" t="str">
            <v>BASES NO MACHINE PREMIUM</v>
          </cell>
          <cell r="G429" t="str">
            <v>INDUSTRIAL</v>
          </cell>
        </row>
        <row r="430">
          <cell r="A430">
            <v>85430</v>
          </cell>
          <cell r="B430" t="str">
            <v>BRASIMIX PREMIUM-BRANCO 3,6L BRASILUX</v>
          </cell>
          <cell r="C430" t="str">
            <v>BM 000520802</v>
          </cell>
          <cell r="D430" t="str">
            <v>BRASILUX</v>
          </cell>
          <cell r="E430">
            <v>40005</v>
          </cell>
          <cell r="F430" t="str">
            <v>BASES NO MACHINE PREMIUM</v>
          </cell>
          <cell r="G430" t="str">
            <v>INDUSTRIAL</v>
          </cell>
        </row>
        <row r="431">
          <cell r="A431">
            <v>85431</v>
          </cell>
          <cell r="B431" t="str">
            <v>BRASIMIX PREMIUM-LARANJA 900ML BRASILUX</v>
          </cell>
          <cell r="C431" t="str">
            <v>BM 000921301</v>
          </cell>
          <cell r="D431" t="str">
            <v>BRASILUX</v>
          </cell>
          <cell r="E431">
            <v>40005</v>
          </cell>
          <cell r="F431" t="str">
            <v>BASES NO MACHINE PREMIUM</v>
          </cell>
          <cell r="G431" t="str">
            <v>INDUSTRIAL</v>
          </cell>
        </row>
        <row r="432">
          <cell r="A432">
            <v>85442</v>
          </cell>
          <cell r="B432" t="str">
            <v>BRASIMIX PREMIUM-PRETO 3,6L BRASILUX</v>
          </cell>
          <cell r="C432" t="str">
            <v>BM 001525602</v>
          </cell>
          <cell r="D432" t="str">
            <v>BRASILUX</v>
          </cell>
          <cell r="E432">
            <v>40005</v>
          </cell>
          <cell r="F432" t="str">
            <v>BASES NO MACHINE PREMIUM</v>
          </cell>
          <cell r="G432" t="str">
            <v>INDUSTRIAL</v>
          </cell>
        </row>
        <row r="433">
          <cell r="A433">
            <v>85432</v>
          </cell>
          <cell r="B433" t="str">
            <v>BRASIMIX PREMIUM-PRETO PROFUNDO 3,6L BRASILUX</v>
          </cell>
          <cell r="C433" t="str">
            <v>BM 001522202</v>
          </cell>
          <cell r="D433" t="str">
            <v>BRASILUX</v>
          </cell>
          <cell r="E433">
            <v>40005</v>
          </cell>
          <cell r="F433" t="str">
            <v>BASES NO MACHINE PREMIUM</v>
          </cell>
          <cell r="G433" t="str">
            <v>INDUSTRIAL</v>
          </cell>
        </row>
        <row r="434">
          <cell r="A434">
            <v>85433</v>
          </cell>
          <cell r="B434" t="str">
            <v>BRASIMIX PREMIUM-ROSA 900ML BRASILUX</v>
          </cell>
          <cell r="C434" t="str">
            <v>BM 001822301</v>
          </cell>
          <cell r="D434" t="str">
            <v>BRASILUX</v>
          </cell>
          <cell r="E434">
            <v>40005</v>
          </cell>
          <cell r="F434" t="str">
            <v>BASES NO MACHINE PREMIUM</v>
          </cell>
          <cell r="G434" t="str">
            <v>INDUSTRIAL</v>
          </cell>
        </row>
        <row r="435">
          <cell r="A435">
            <v>85440</v>
          </cell>
          <cell r="B435" t="str">
            <v>BRASIMIX PREMIUM-VERDE AZULADO 900ML BRASILUX</v>
          </cell>
          <cell r="C435" t="str">
            <v>BM 002224801</v>
          </cell>
          <cell r="D435" t="str">
            <v>BRASILUX</v>
          </cell>
          <cell r="E435">
            <v>40005</v>
          </cell>
          <cell r="F435" t="str">
            <v>BASES NO MACHINE PREMIUM</v>
          </cell>
          <cell r="G435" t="str">
            <v>INDUSTRIAL</v>
          </cell>
        </row>
        <row r="436">
          <cell r="A436">
            <v>85434</v>
          </cell>
          <cell r="B436" t="str">
            <v>BRASIMIX PREMIUM-VERDE ESCURO 800ML BRASILUX</v>
          </cell>
          <cell r="C436" t="str">
            <v>BM 002222488</v>
          </cell>
          <cell r="D436" t="str">
            <v>BRASILUX</v>
          </cell>
          <cell r="E436">
            <v>40005</v>
          </cell>
          <cell r="F436" t="str">
            <v>BASES NO MACHINE PREMIUM</v>
          </cell>
          <cell r="G436" t="str">
            <v>INDUSTRIAL</v>
          </cell>
        </row>
        <row r="437">
          <cell r="A437">
            <v>85441</v>
          </cell>
          <cell r="B437" t="str">
            <v>BRASIMIX PREMIUM-VERMELHO OXIDO 900ML BRASILUX</v>
          </cell>
          <cell r="C437" t="str">
            <v>BM 002325301</v>
          </cell>
          <cell r="D437" t="str">
            <v>BRASILUX</v>
          </cell>
          <cell r="E437">
            <v>40005</v>
          </cell>
          <cell r="F437" t="str">
            <v>BASES NO MACHINE PREMIUM</v>
          </cell>
          <cell r="G437" t="str">
            <v>INDUSTRIAL</v>
          </cell>
        </row>
        <row r="438">
          <cell r="A438">
            <v>85436</v>
          </cell>
          <cell r="B438" t="str">
            <v>BRASIMIX PREMIUM-VERMELHO RUBI 900ML BRASILUX</v>
          </cell>
          <cell r="C438" t="str">
            <v>BM 002322601</v>
          </cell>
          <cell r="D438" t="str">
            <v>BRASILUX</v>
          </cell>
          <cell r="E438">
            <v>40005</v>
          </cell>
          <cell r="F438" t="str">
            <v>BASES NO MACHINE PREMIUM</v>
          </cell>
          <cell r="G438" t="str">
            <v>INDUSTRIAL</v>
          </cell>
        </row>
        <row r="439">
          <cell r="A439">
            <v>85435</v>
          </cell>
          <cell r="B439" t="str">
            <v>BRASIMIX PREMIUM-VERMELHO VIVO 900ML BRASILUX</v>
          </cell>
          <cell r="C439" t="str">
            <v>BM 002322501</v>
          </cell>
          <cell r="D439" t="str">
            <v>BRASILUX</v>
          </cell>
          <cell r="E439">
            <v>40005</v>
          </cell>
          <cell r="F439" t="str">
            <v>BASES NO MACHINE PREMIUM</v>
          </cell>
          <cell r="G439" t="str">
            <v>INDUSTRIAL</v>
          </cell>
        </row>
        <row r="440">
          <cell r="A440">
            <v>85437</v>
          </cell>
          <cell r="B440" t="str">
            <v>BRASIMIX PREMIUM-VIOLETA  AVERMELHADA 900ML BRASILUX</v>
          </cell>
          <cell r="C440" t="str">
            <v>BM 004322901</v>
          </cell>
          <cell r="D440" t="str">
            <v>BRASILUX</v>
          </cell>
          <cell r="E440">
            <v>40005</v>
          </cell>
          <cell r="F440" t="str">
            <v>BASES NO MACHINE PREMIUM</v>
          </cell>
          <cell r="G440" t="str">
            <v>INDUSTRIAL</v>
          </cell>
        </row>
        <row r="441">
          <cell r="A441">
            <v>85401</v>
          </cell>
          <cell r="B441" t="str">
            <v>BRASICOAT-BRANCO BRILHANTE POLIESTER 25KG BRASILUX</v>
          </cell>
          <cell r="C441" t="str">
            <v>BT 970500736</v>
          </cell>
          <cell r="D441" t="str">
            <v>BRASILUX</v>
          </cell>
          <cell r="E441">
            <v>40004</v>
          </cell>
          <cell r="F441" t="str">
            <v>TINTA EM PÓ</v>
          </cell>
          <cell r="G441" t="str">
            <v>INDUSTRIAL</v>
          </cell>
        </row>
        <row r="442">
          <cell r="A442">
            <v>85336</v>
          </cell>
          <cell r="B442" t="str">
            <v>BRASICOAT-PRETO SEMI BRILHO TX POLIESTER 25KG BRASILUX</v>
          </cell>
          <cell r="C442" t="str">
            <v>TX 971543936</v>
          </cell>
          <cell r="D442" t="str">
            <v>BRASILUX</v>
          </cell>
          <cell r="E442">
            <v>40004</v>
          </cell>
          <cell r="F442" t="str">
            <v>TINTA EM PÓ</v>
          </cell>
          <cell r="G442" t="str">
            <v>INDUSTRIAL</v>
          </cell>
        </row>
        <row r="443">
          <cell r="A443">
            <v>85318</v>
          </cell>
          <cell r="B443" t="str">
            <v>BRASICOAT-PRETO ULTRA FOSCO HIBRIDA 25KG BRASILUX</v>
          </cell>
          <cell r="C443" t="str">
            <v>FO 981500136</v>
          </cell>
          <cell r="D443" t="str">
            <v>BRASILUX</v>
          </cell>
          <cell r="E443">
            <v>40004</v>
          </cell>
          <cell r="F443" t="str">
            <v>TINTA EM PÓ</v>
          </cell>
          <cell r="G443" t="str">
            <v>INDUSTRIAL</v>
          </cell>
        </row>
        <row r="444">
          <cell r="A444">
            <v>85397</v>
          </cell>
          <cell r="B444" t="str">
            <v>BRASICOAT-VERDE RAL 6005 25KG BRASILUX</v>
          </cell>
          <cell r="C444" t="str">
            <v>BT 972238436</v>
          </cell>
          <cell r="D444" t="str">
            <v>BRASILUX</v>
          </cell>
          <cell r="E444">
            <v>40004</v>
          </cell>
          <cell r="F444" t="str">
            <v>TINTA EM PÓ</v>
          </cell>
          <cell r="G444" t="str">
            <v>INDUSTRIAL</v>
          </cell>
        </row>
        <row r="445">
          <cell r="A445">
            <v>85493</v>
          </cell>
          <cell r="B445" t="str">
            <v>TINTA EM PO - LARANJA JACTO 25KG</v>
          </cell>
          <cell r="C445" t="str">
            <v>BT 970936436</v>
          </cell>
          <cell r="D445" t="str">
            <v>BRASILUX</v>
          </cell>
          <cell r="E445">
            <v>40004</v>
          </cell>
          <cell r="F445" t="str">
            <v>TINTA EM PÓ</v>
          </cell>
          <cell r="G445" t="str">
            <v>INDUSTRIAL</v>
          </cell>
        </row>
        <row r="446">
          <cell r="A446">
            <v>85492</v>
          </cell>
          <cell r="B446" t="str">
            <v>TINTA EM PO - LARANJA RAL 2008 25KG</v>
          </cell>
          <cell r="C446" t="str">
            <v>BT 970907136</v>
          </cell>
          <cell r="D446" t="str">
            <v>BRASILUX</v>
          </cell>
          <cell r="E446">
            <v>40004</v>
          </cell>
          <cell r="F446" t="str">
            <v>TINTA EM PÓ</v>
          </cell>
          <cell r="G446" t="str">
            <v>INDUSTRIAL</v>
          </cell>
        </row>
        <row r="447">
          <cell r="A447">
            <v>85495</v>
          </cell>
          <cell r="B447" t="str">
            <v>TINTA EM PO - VERNIZ VERMELHO 005 20KG</v>
          </cell>
          <cell r="C447" t="str">
            <v>VN 982373043</v>
          </cell>
          <cell r="D447" t="str">
            <v>BRASILUX</v>
          </cell>
          <cell r="E447">
            <v>40004</v>
          </cell>
          <cell r="F447" t="str">
            <v>TINTA EM PÓ</v>
          </cell>
          <cell r="G447" t="str">
            <v>INDUSTRIAL</v>
          </cell>
        </row>
        <row r="448">
          <cell r="A448">
            <v>85494</v>
          </cell>
          <cell r="B448" t="str">
            <v>TINTA EM PO - VERNIZ VERMELHO RED FIRE 20KG</v>
          </cell>
          <cell r="C448" t="str">
            <v>VN 972372843</v>
          </cell>
          <cell r="D448" t="str">
            <v>BRASILUX</v>
          </cell>
          <cell r="E448">
            <v>40004</v>
          </cell>
          <cell r="F448" t="str">
            <v>TINTA EM PÓ</v>
          </cell>
          <cell r="G448" t="str">
            <v>INDUSTRIAL</v>
          </cell>
        </row>
        <row r="449">
          <cell r="A449">
            <v>85496</v>
          </cell>
          <cell r="B449" t="str">
            <v>TINTA EM PO - VERNIZ VIOLETA 20KG</v>
          </cell>
          <cell r="C449" t="str">
            <v>VN 984317743</v>
          </cell>
          <cell r="D449" t="str">
            <v>BRASILUX</v>
          </cell>
          <cell r="E449">
            <v>40004</v>
          </cell>
          <cell r="F449" t="str">
            <v>TINTA EM PÓ</v>
          </cell>
          <cell r="G449" t="str">
            <v>INDUSTRIAL</v>
          </cell>
        </row>
        <row r="450">
          <cell r="A450">
            <v>85332</v>
          </cell>
          <cell r="B450" t="str">
            <v>TINTA EM PO HIBRIDA - BRANCO 5013 AZULADO 25KG</v>
          </cell>
          <cell r="C450" t="str">
            <v>BT 980535336</v>
          </cell>
          <cell r="D450" t="str">
            <v>BRASILUX</v>
          </cell>
          <cell r="E450">
            <v>40004</v>
          </cell>
          <cell r="F450" t="str">
            <v>TINTA EM PÓ</v>
          </cell>
          <cell r="G450" t="str">
            <v>INDUSTRIAL</v>
          </cell>
        </row>
        <row r="451">
          <cell r="A451">
            <v>85319</v>
          </cell>
          <cell r="B451" t="str">
            <v>TINTA EM PO HIBRIDA - DOURADO 036 25KG</v>
          </cell>
          <cell r="C451" t="str">
            <v>BT 983203636</v>
          </cell>
          <cell r="D451" t="str">
            <v>BRASILUX</v>
          </cell>
          <cell r="E451">
            <v>40004</v>
          </cell>
          <cell r="F451" t="str">
            <v>TINTA EM PÓ</v>
          </cell>
          <cell r="G451" t="str">
            <v>INDUSTRIAL</v>
          </cell>
        </row>
        <row r="452">
          <cell r="A452">
            <v>85338</v>
          </cell>
          <cell r="B452" t="str">
            <v>TINTA EM PO HIBRIDA - PRETO MICRO TEXTURA 25KG</v>
          </cell>
          <cell r="C452" t="str">
            <v>MT 981512536</v>
          </cell>
          <cell r="D452" t="str">
            <v>BRASILUX</v>
          </cell>
          <cell r="E452">
            <v>40004</v>
          </cell>
          <cell r="F452" t="str">
            <v>TINTA EM PÓ</v>
          </cell>
          <cell r="G452" t="str">
            <v>INDUSTRIAL</v>
          </cell>
        </row>
        <row r="453">
          <cell r="A453">
            <v>85321</v>
          </cell>
          <cell r="B453" t="str">
            <v>TINTA EM PO HIBRIDA - PRETO PRATA CRAQ. RUGA  ALTA 25KG</v>
          </cell>
          <cell r="C453" t="str">
            <v>TX 981543736</v>
          </cell>
          <cell r="D453" t="str">
            <v>BRASILUX</v>
          </cell>
          <cell r="E453">
            <v>40004</v>
          </cell>
          <cell r="F453" t="str">
            <v>TINTA EM PÓ</v>
          </cell>
          <cell r="G453" t="str">
            <v>INDUSTRIAL</v>
          </cell>
        </row>
        <row r="454">
          <cell r="A454">
            <v>85399</v>
          </cell>
          <cell r="B454" t="str">
            <v>TINTA EM PO HIBRIDA - ROSA 18001 BEBE 25KG</v>
          </cell>
          <cell r="C454" t="str">
            <v>BT 981805036</v>
          </cell>
          <cell r="D454" t="str">
            <v>BRASILUX</v>
          </cell>
          <cell r="E454">
            <v>40004</v>
          </cell>
          <cell r="F454" t="str">
            <v>TINTA EM PÓ</v>
          </cell>
          <cell r="G454" t="str">
            <v>INDUSTRIAL</v>
          </cell>
        </row>
        <row r="455">
          <cell r="A455">
            <v>85376</v>
          </cell>
          <cell r="B455" t="str">
            <v>TINTA EM PO HIBRIDA - VERDE AGUA 25KG</v>
          </cell>
          <cell r="C455" t="str">
            <v>BT 982271036</v>
          </cell>
          <cell r="D455" t="str">
            <v>BRASILUX</v>
          </cell>
          <cell r="E455">
            <v>40004</v>
          </cell>
          <cell r="F455" t="str">
            <v>TINTA EM PÓ</v>
          </cell>
          <cell r="G455" t="str">
            <v>INDUSTRIAL</v>
          </cell>
        </row>
        <row r="456">
          <cell r="A456">
            <v>85398</v>
          </cell>
          <cell r="B456" t="str">
            <v>TINTA EM PO POLIESTER - ACO CORTEM 25KG BRASILUX</v>
          </cell>
          <cell r="C456" t="str">
            <v>MT 972378536</v>
          </cell>
          <cell r="D456" t="str">
            <v>BRASILUX</v>
          </cell>
          <cell r="E456">
            <v>40004</v>
          </cell>
          <cell r="F456" t="str">
            <v>TINTA EM PÓ</v>
          </cell>
          <cell r="G456" t="str">
            <v>INDUSTRIAL</v>
          </cell>
        </row>
        <row r="457">
          <cell r="A457">
            <v>85331</v>
          </cell>
          <cell r="B457" t="str">
            <v>TINTA EM PO POLIESTER - ACO CORTEM EFEITO LARANJA /BRA 25KG</v>
          </cell>
          <cell r="C457" t="str">
            <v>MT 971033336</v>
          </cell>
          <cell r="D457" t="str">
            <v>BRASILUX</v>
          </cell>
          <cell r="E457">
            <v>40004</v>
          </cell>
          <cell r="F457" t="str">
            <v>TINTA EM PÓ</v>
          </cell>
          <cell r="G457" t="str">
            <v>INDUSTRIAL</v>
          </cell>
        </row>
        <row r="458">
          <cell r="A458">
            <v>85380</v>
          </cell>
          <cell r="B458" t="str">
            <v>TINTA EM PO POLIESTER - ALUMINIO CROMADO 25KG</v>
          </cell>
          <cell r="C458" t="str">
            <v>BT 970103436</v>
          </cell>
          <cell r="D458" t="str">
            <v>BRASILUX</v>
          </cell>
          <cell r="E458">
            <v>40004</v>
          </cell>
          <cell r="F458" t="str">
            <v>TINTA EM PÓ</v>
          </cell>
          <cell r="G458" t="str">
            <v>INDUSTRIAL</v>
          </cell>
        </row>
        <row r="459">
          <cell r="A459">
            <v>85329</v>
          </cell>
          <cell r="B459" t="str">
            <v>TINTA EM PO POLIESTER - AMARELO 5Y8/12 SEGURANÇA 25KG</v>
          </cell>
          <cell r="C459" t="str">
            <v>BT 970205136</v>
          </cell>
          <cell r="D459" t="str">
            <v>BRASILUX</v>
          </cell>
          <cell r="E459">
            <v>40004</v>
          </cell>
          <cell r="F459" t="str">
            <v>TINTA EM PÓ</v>
          </cell>
          <cell r="G459" t="str">
            <v>INDUSTRIAL</v>
          </cell>
        </row>
        <row r="460">
          <cell r="A460">
            <v>85425</v>
          </cell>
          <cell r="B460" t="str">
            <v>TINTA EM PO POLIESTER - AMARELO RAL 1003 25KG</v>
          </cell>
          <cell r="C460" t="str">
            <v>BT 970229336</v>
          </cell>
          <cell r="D460" t="str">
            <v>BRASILUX</v>
          </cell>
          <cell r="E460">
            <v>40004</v>
          </cell>
          <cell r="F460" t="str">
            <v>TINTA EM PÓ</v>
          </cell>
          <cell r="G460" t="str">
            <v>INDUSTRIAL</v>
          </cell>
        </row>
        <row r="461">
          <cell r="A461">
            <v>85323</v>
          </cell>
          <cell r="B461" t="str">
            <v>TINTA EM PO POLIESTER - AZUL DEL REY 25KG</v>
          </cell>
          <cell r="C461" t="str">
            <v>BT 970358036</v>
          </cell>
          <cell r="D461" t="str">
            <v>BRASILUX</v>
          </cell>
          <cell r="E461">
            <v>40004</v>
          </cell>
          <cell r="F461" t="str">
            <v>TINTA EM PÓ</v>
          </cell>
          <cell r="G461" t="str">
            <v>INDUSTRIAL</v>
          </cell>
        </row>
        <row r="462">
          <cell r="A462">
            <v>85403</v>
          </cell>
          <cell r="B462" t="str">
            <v>TINTA EM PO POLIESTER - AZUL RAL 5002 25KG</v>
          </cell>
          <cell r="C462" t="str">
            <v>BT 970367336</v>
          </cell>
          <cell r="D462" t="str">
            <v>BRASILUX</v>
          </cell>
          <cell r="E462">
            <v>40004</v>
          </cell>
          <cell r="F462" t="str">
            <v>TINTA EM PÓ</v>
          </cell>
          <cell r="G462" t="str">
            <v>INDUSTRIAL</v>
          </cell>
        </row>
        <row r="463">
          <cell r="A463">
            <v>85396</v>
          </cell>
          <cell r="B463" t="str">
            <v>TINTA EM PO POLIESTER - BEGE RAL 1015 25KG</v>
          </cell>
          <cell r="C463" t="str">
            <v>BT 970416036</v>
          </cell>
          <cell r="D463" t="str">
            <v>BRASILUX</v>
          </cell>
          <cell r="E463">
            <v>40004</v>
          </cell>
          <cell r="F463" t="str">
            <v>TINTA EM PÓ</v>
          </cell>
          <cell r="G463" t="str">
            <v>INDUSTRIAL</v>
          </cell>
        </row>
        <row r="464">
          <cell r="A464">
            <v>85317</v>
          </cell>
          <cell r="B464" t="str">
            <v>TINTA EM PO POLIESTER - BRANCO N9,5 PURO 25KG</v>
          </cell>
          <cell r="C464" t="str">
            <v>BT 970504736</v>
          </cell>
          <cell r="D464" t="str">
            <v>BRASILUX</v>
          </cell>
          <cell r="E464">
            <v>40004</v>
          </cell>
          <cell r="F464" t="str">
            <v>TINTA EM PÓ</v>
          </cell>
          <cell r="G464" t="str">
            <v>INDUSTRIAL</v>
          </cell>
        </row>
        <row r="465">
          <cell r="A465">
            <v>85513</v>
          </cell>
          <cell r="B465" t="str">
            <v>TINTA EM PO POLIESTER - BRANCO RAL 9002 25KG</v>
          </cell>
          <cell r="C465" t="str">
            <v>FO 960506235</v>
          </cell>
          <cell r="D465" t="str">
            <v>BRASILUX</v>
          </cell>
          <cell r="E465">
            <v>40004</v>
          </cell>
          <cell r="F465" t="str">
            <v>TINTA EM PÓ</v>
          </cell>
          <cell r="G465" t="str">
            <v>INDUSTRIAL</v>
          </cell>
        </row>
        <row r="466">
          <cell r="A466">
            <v>85325</v>
          </cell>
          <cell r="B466" t="str">
            <v>TINTA EM PO POLIESTER - BRANCO RAL 9003 25KG</v>
          </cell>
          <cell r="C466" t="str">
            <v>BT 970506236</v>
          </cell>
          <cell r="D466" t="str">
            <v>BRASILUX</v>
          </cell>
          <cell r="E466">
            <v>40004</v>
          </cell>
          <cell r="F466" t="str">
            <v>TINTA EM PÓ</v>
          </cell>
          <cell r="G466" t="str">
            <v>INDUSTRIAL</v>
          </cell>
        </row>
        <row r="467">
          <cell r="A467">
            <v>85381</v>
          </cell>
          <cell r="B467" t="str">
            <v>TINTA EM PO POLIESTER - BRANCO RAL 9016 25KG</v>
          </cell>
          <cell r="C467" t="str">
            <v>BT 970507436</v>
          </cell>
          <cell r="D467" t="str">
            <v>BRASILUX</v>
          </cell>
          <cell r="E467">
            <v>40004</v>
          </cell>
          <cell r="F467" t="str">
            <v>TINTA EM PÓ</v>
          </cell>
          <cell r="G467" t="str">
            <v>INDUSTRIAL</v>
          </cell>
        </row>
        <row r="468">
          <cell r="A468">
            <v>85378</v>
          </cell>
          <cell r="B468" t="str">
            <v>TINTA EM PO POLIESTER - CINZA 6003 ESCURO TEXTURIZADO 25KG</v>
          </cell>
          <cell r="C468" t="str">
            <v>TX 970674736</v>
          </cell>
          <cell r="D468" t="str">
            <v>BRASILUX</v>
          </cell>
          <cell r="E468">
            <v>40004</v>
          </cell>
          <cell r="F468" t="str">
            <v>TINTA EM PÓ</v>
          </cell>
          <cell r="G468" t="str">
            <v>INDUSTRIAL</v>
          </cell>
        </row>
        <row r="469">
          <cell r="A469">
            <v>85355</v>
          </cell>
          <cell r="B469" t="str">
            <v>TINTA EM PO POLIESTER - CINZA N6.5 CLARO 25KG</v>
          </cell>
          <cell r="C469" t="str">
            <v>BT 970601736</v>
          </cell>
          <cell r="D469" t="str">
            <v>BRASILUX</v>
          </cell>
          <cell r="E469">
            <v>40004</v>
          </cell>
          <cell r="F469" t="str">
            <v>TINTA EM PÓ</v>
          </cell>
          <cell r="G469" t="str">
            <v>INDUSTRIAL</v>
          </cell>
        </row>
        <row r="470">
          <cell r="A470">
            <v>85320</v>
          </cell>
          <cell r="B470" t="str">
            <v>TINTA EM PO POLIESTER - CINZA N6.5 CLARO TEXTURIZADO 25KG</v>
          </cell>
          <cell r="C470" t="str">
            <v>TX 970601736</v>
          </cell>
          <cell r="D470" t="str">
            <v>BRASILUX</v>
          </cell>
          <cell r="E470">
            <v>40004</v>
          </cell>
          <cell r="F470" t="str">
            <v>TINTA EM PÓ</v>
          </cell>
          <cell r="G470" t="str">
            <v>INDUSTRIAL</v>
          </cell>
        </row>
        <row r="471">
          <cell r="A471">
            <v>85326</v>
          </cell>
          <cell r="B471" t="str">
            <v>TINTA EM PO POLIESTER - CINZA RAL 7024 25KG</v>
          </cell>
          <cell r="C471" t="str">
            <v>BT 970626636</v>
          </cell>
          <cell r="D471" t="str">
            <v>BRASILUX</v>
          </cell>
          <cell r="E471">
            <v>40004</v>
          </cell>
          <cell r="F471" t="str">
            <v>TINTA EM PÓ</v>
          </cell>
          <cell r="G471" t="str">
            <v>INDUSTRIAL</v>
          </cell>
        </row>
        <row r="472">
          <cell r="A472">
            <v>85377</v>
          </cell>
          <cell r="B472" t="str">
            <v>TINTA EM PO POLIESTER - CINZA RAL 7032 TEXTURIZADO 25KG</v>
          </cell>
          <cell r="C472" t="str">
            <v>TX 970607236</v>
          </cell>
          <cell r="D472" t="str">
            <v>BRASILUX</v>
          </cell>
          <cell r="E472">
            <v>40004</v>
          </cell>
          <cell r="F472" t="str">
            <v>TINTA EM PÓ</v>
          </cell>
          <cell r="G472" t="str">
            <v>INDUSTRIAL</v>
          </cell>
        </row>
        <row r="473">
          <cell r="A473">
            <v>85382</v>
          </cell>
          <cell r="B473" t="str">
            <v>TINTA EM PO POLIESTER - CINZA RAL 7035 TEXTURIZADO 25KG</v>
          </cell>
          <cell r="C473" t="str">
            <v>TX 970607436</v>
          </cell>
          <cell r="D473" t="str">
            <v>BRASILUX</v>
          </cell>
          <cell r="E473">
            <v>40004</v>
          </cell>
          <cell r="F473" t="str">
            <v>TINTA EM PÓ</v>
          </cell>
          <cell r="G473" t="str">
            <v>INDUSTRIAL</v>
          </cell>
        </row>
        <row r="474">
          <cell r="A474">
            <v>85404</v>
          </cell>
          <cell r="B474" t="str">
            <v>TINTA EM PO POLIESTER - COBRE BRASIL 25KG</v>
          </cell>
          <cell r="C474" t="str">
            <v>BT 975600636</v>
          </cell>
          <cell r="D474" t="str">
            <v>BRASILUX</v>
          </cell>
          <cell r="E474">
            <v>40004</v>
          </cell>
          <cell r="F474" t="str">
            <v>TINTA EM PÓ</v>
          </cell>
          <cell r="G474" t="str">
            <v>INDUSTRIAL</v>
          </cell>
        </row>
        <row r="475">
          <cell r="A475">
            <v>85405</v>
          </cell>
          <cell r="B475" t="str">
            <v>TINTA EM PO POLIESTER - PRATA REAL 20KG</v>
          </cell>
          <cell r="C475" t="str">
            <v>VN 973509943</v>
          </cell>
          <cell r="D475" t="str">
            <v>BRASILUX</v>
          </cell>
          <cell r="E475">
            <v>40004</v>
          </cell>
          <cell r="F475" t="str">
            <v>TINTA EM PÓ</v>
          </cell>
          <cell r="G475" t="str">
            <v>INDUSTRIAL</v>
          </cell>
        </row>
        <row r="476">
          <cell r="A476">
            <v>85354</v>
          </cell>
          <cell r="B476" t="str">
            <v>TINTA EM PO POLIESTER - PRETO 01 PINTADINHO 25KG</v>
          </cell>
          <cell r="C476" t="str">
            <v>BT 971520936</v>
          </cell>
          <cell r="D476" t="str">
            <v>BRASILUX</v>
          </cell>
          <cell r="E476">
            <v>40004</v>
          </cell>
          <cell r="F476" t="str">
            <v>TINTA EM PÓ</v>
          </cell>
          <cell r="G476" t="str">
            <v>INDUSTRIAL</v>
          </cell>
        </row>
        <row r="477">
          <cell r="A477">
            <v>85472</v>
          </cell>
          <cell r="B477" t="str">
            <v>TINTA EM PO POLIESTER - PRETO 1502 MICRO TEXTURA 25KG</v>
          </cell>
          <cell r="C477" t="str">
            <v>MT 971543336</v>
          </cell>
          <cell r="D477" t="str">
            <v>BRASILUX</v>
          </cell>
          <cell r="E477">
            <v>40004</v>
          </cell>
          <cell r="F477" t="str">
            <v>TINTA EM PÓ</v>
          </cell>
          <cell r="G477" t="str">
            <v>INDUSTRIAL</v>
          </cell>
        </row>
        <row r="478">
          <cell r="A478">
            <v>85315</v>
          </cell>
          <cell r="B478" t="str">
            <v>TINTA EM PO POLIESTER - PRETO BRILHANTE N1 25KG</v>
          </cell>
          <cell r="C478" t="str">
            <v>BT 971500136</v>
          </cell>
          <cell r="D478" t="str">
            <v>BRASILUX</v>
          </cell>
          <cell r="E478">
            <v>40004</v>
          </cell>
          <cell r="F478" t="str">
            <v>TINTA EM PÓ</v>
          </cell>
          <cell r="G478" t="str">
            <v>INDUSTRIAL</v>
          </cell>
        </row>
        <row r="479">
          <cell r="A479">
            <v>85402</v>
          </cell>
          <cell r="B479" t="str">
            <v>TINTA EM PO POLIESTER - PRETO MICROTEXTURA 25KG</v>
          </cell>
          <cell r="C479" t="str">
            <v>MT 971512536</v>
          </cell>
          <cell r="D479" t="str">
            <v>BRASILUX</v>
          </cell>
          <cell r="E479">
            <v>40004</v>
          </cell>
          <cell r="F479" t="str">
            <v>TINTA EM PÓ</v>
          </cell>
          <cell r="G479" t="str">
            <v>INDUSTRIAL</v>
          </cell>
        </row>
        <row r="480">
          <cell r="A480">
            <v>85424</v>
          </cell>
          <cell r="B480" t="str">
            <v>TINTA EM PO POLIESTER - PRETO N1 SEMI BRILHO 25KG</v>
          </cell>
          <cell r="C480" t="str">
            <v>SB 971500136</v>
          </cell>
          <cell r="D480" t="str">
            <v>BRASILUX</v>
          </cell>
          <cell r="E480">
            <v>40004</v>
          </cell>
          <cell r="F480" t="str">
            <v>TINTA EM PÓ</v>
          </cell>
          <cell r="G480" t="str">
            <v>INDUSTRIAL</v>
          </cell>
        </row>
        <row r="481">
          <cell r="A481">
            <v>85324</v>
          </cell>
          <cell r="B481" t="str">
            <v>TINTA EM PO POLIESTER - PRETO N1 TEXTURIZADO 25KG</v>
          </cell>
          <cell r="C481" t="str">
            <v>TX 971500136</v>
          </cell>
          <cell r="D481" t="str">
            <v>BRASILUX</v>
          </cell>
          <cell r="E481">
            <v>40004</v>
          </cell>
          <cell r="F481" t="str">
            <v>TINTA EM PÓ</v>
          </cell>
          <cell r="G481" t="str">
            <v>INDUSTRIAL</v>
          </cell>
        </row>
        <row r="482">
          <cell r="A482">
            <v>85328</v>
          </cell>
          <cell r="B482" t="str">
            <v>TINTA EM PO POLIESTER - PRETO SEMI FOSCO 25KG</v>
          </cell>
          <cell r="C482" t="str">
            <v>SF 971500136</v>
          </cell>
          <cell r="D482" t="str">
            <v>BRASILUX</v>
          </cell>
          <cell r="E482">
            <v>40004</v>
          </cell>
          <cell r="F482" t="str">
            <v>TINTA EM PÓ</v>
          </cell>
          <cell r="G482" t="str">
            <v>INDUSTRIAL</v>
          </cell>
        </row>
        <row r="483">
          <cell r="A483">
            <v>85423</v>
          </cell>
          <cell r="B483" t="str">
            <v>TINTA EM PO POLIESTER - ROSE GOLD 25KG</v>
          </cell>
          <cell r="C483" t="str">
            <v>BT 975601836</v>
          </cell>
          <cell r="D483" t="str">
            <v>BRASILUX</v>
          </cell>
          <cell r="E483">
            <v>40004</v>
          </cell>
          <cell r="F483" t="str">
            <v>TINTA EM PÓ</v>
          </cell>
          <cell r="G483" t="str">
            <v>INDUSTRIAL</v>
          </cell>
        </row>
        <row r="484">
          <cell r="A484">
            <v>85316</v>
          </cell>
          <cell r="B484" t="str">
            <v>TINTA EM PO POLIESTER - VERMELHO COCA COLA 25KG</v>
          </cell>
          <cell r="C484" t="str">
            <v>BT 972309736</v>
          </cell>
          <cell r="D484" t="str">
            <v>BRASILUX</v>
          </cell>
          <cell r="E484">
            <v>40004</v>
          </cell>
          <cell r="F484" t="str">
            <v>TINTA EM PÓ</v>
          </cell>
          <cell r="G484" t="str">
            <v>INDUSTRIAL</v>
          </cell>
        </row>
        <row r="485">
          <cell r="A485">
            <v>85379</v>
          </cell>
          <cell r="B485" t="str">
            <v>TINTA EM PO POLIESTER - VERMELHO COCA COLA TEXTURIZADO 25 KG</v>
          </cell>
          <cell r="C485" t="str">
            <v>TX 972309736</v>
          </cell>
          <cell r="D485" t="str">
            <v>BRASILUX</v>
          </cell>
          <cell r="E485">
            <v>40004</v>
          </cell>
          <cell r="F485" t="str">
            <v>TINTA EM PÓ</v>
          </cell>
          <cell r="G485" t="str">
            <v>INDUSTRIAL</v>
          </cell>
        </row>
        <row r="486">
          <cell r="A486">
            <v>85400</v>
          </cell>
          <cell r="B486" t="str">
            <v>TINTA EM PO POLIESTER - VERMELHO RAL 3002 25KG</v>
          </cell>
          <cell r="C486" t="str">
            <v>BT 972380136</v>
          </cell>
          <cell r="D486" t="str">
            <v>BRASILUX</v>
          </cell>
          <cell r="E486">
            <v>40004</v>
          </cell>
          <cell r="F486" t="str">
            <v>TINTA EM PÓ</v>
          </cell>
          <cell r="G486" t="str">
            <v>INDUSTRIAL</v>
          </cell>
        </row>
        <row r="487">
          <cell r="A487">
            <v>85322</v>
          </cell>
          <cell r="B487" t="str">
            <v>TINTA EM PO POLIESTER - VERNIZ SUPER BRILHANTE INCOL</v>
          </cell>
          <cell r="C487" t="str">
            <v>VN 970022143</v>
          </cell>
          <cell r="D487" t="str">
            <v>BRASILUX</v>
          </cell>
          <cell r="E487">
            <v>40004</v>
          </cell>
          <cell r="F487" t="str">
            <v>TINTA EM PÓ</v>
          </cell>
          <cell r="G487" t="str">
            <v>INDUSTRIAL</v>
          </cell>
        </row>
        <row r="488">
          <cell r="A488">
            <v>85561</v>
          </cell>
          <cell r="B488" t="str">
            <v>TINTA POLIESTER TGIC/BPA FREE - AMARELO MBB OURO 1900 76</v>
          </cell>
          <cell r="C488" t="str">
            <v>BT 970203736</v>
          </cell>
          <cell r="D488" t="str">
            <v>BRASILUX</v>
          </cell>
          <cell r="E488">
            <v>40004</v>
          </cell>
          <cell r="F488" t="str">
            <v>TINTA EM PÓ</v>
          </cell>
          <cell r="G488" t="str">
            <v>INDUSTRIAL</v>
          </cell>
        </row>
        <row r="489">
          <cell r="A489">
            <v>85562</v>
          </cell>
          <cell r="B489" t="str">
            <v>TINTA POLIESTER TGIC/BPA FREE - BRANCO RAL 9002</v>
          </cell>
          <cell r="C489" t="str">
            <v>BT 970553236</v>
          </cell>
          <cell r="D489" t="str">
            <v>BRASILUX</v>
          </cell>
          <cell r="E489">
            <v>40004</v>
          </cell>
          <cell r="F489" t="str">
            <v>TINTA EM PÓ</v>
          </cell>
          <cell r="G489" t="str">
            <v>INDUSTRIAL</v>
          </cell>
        </row>
        <row r="490">
          <cell r="A490">
            <v>85560</v>
          </cell>
          <cell r="B490" t="str">
            <v>TINTA POLIESTER TGIC/BPA FREE - CINZA N 3,5 ESCURO</v>
          </cell>
          <cell r="C490" t="str">
            <v>BT 970601436</v>
          </cell>
          <cell r="D490" t="str">
            <v>BRASILUX</v>
          </cell>
          <cell r="E490">
            <v>40004</v>
          </cell>
          <cell r="F490" t="str">
            <v>TINTA EM PÓ</v>
          </cell>
          <cell r="G490" t="str">
            <v>INDUSTRIAL</v>
          </cell>
        </row>
        <row r="491">
          <cell r="A491">
            <v>84488</v>
          </cell>
          <cell r="B491" t="str">
            <v>BRASIDUR-VERNIZ BASE PU HS 3,6L BRASILUX</v>
          </cell>
          <cell r="C491" t="str">
            <v>VN 240013602</v>
          </cell>
          <cell r="D491" t="str">
            <v>BRASILUX</v>
          </cell>
          <cell r="E491">
            <v>40003</v>
          </cell>
          <cell r="F491" t="str">
            <v xml:space="preserve">BASES SISTEMA NO MACHINE </v>
          </cell>
          <cell r="G491" t="str">
            <v>INDUSTRIAL</v>
          </cell>
        </row>
        <row r="492">
          <cell r="A492">
            <v>24356</v>
          </cell>
          <cell r="B492" t="str">
            <v>BRASILINE-VERNIZ BASE 18L BRASILUX</v>
          </cell>
          <cell r="C492" t="str">
            <v>VN090013703</v>
          </cell>
          <cell r="D492" t="str">
            <v>BRASILUX</v>
          </cell>
          <cell r="E492">
            <v>40003</v>
          </cell>
          <cell r="F492" t="str">
            <v xml:space="preserve">BASES SISTEMA NO MACHINE </v>
          </cell>
          <cell r="G492" t="str">
            <v>INDUSTRIAL</v>
          </cell>
        </row>
        <row r="493">
          <cell r="A493">
            <v>24353</v>
          </cell>
          <cell r="B493" t="str">
            <v>BRASIMIX BU-ALUMINIO BRILH PU 900ML BRASILUX</v>
          </cell>
          <cell r="C493" t="str">
            <v>BM 000116601</v>
          </cell>
          <cell r="D493" t="str">
            <v>BRASILUX</v>
          </cell>
          <cell r="E493">
            <v>40003</v>
          </cell>
          <cell r="F493" t="str">
            <v xml:space="preserve">BASES SISTEMA NO MACHINE </v>
          </cell>
          <cell r="G493" t="str">
            <v>INDUSTRIAL</v>
          </cell>
        </row>
        <row r="494">
          <cell r="A494">
            <v>84643</v>
          </cell>
          <cell r="B494" t="str">
            <v>BRASIMIX BU-ALUMINIO P/ SINTETICO 800ML BRASILUX</v>
          </cell>
          <cell r="C494" t="str">
            <v>BM 000116088</v>
          </cell>
          <cell r="D494" t="str">
            <v>BRASILUX</v>
          </cell>
          <cell r="E494">
            <v>40003</v>
          </cell>
          <cell r="F494" t="str">
            <v xml:space="preserve">BASES SISTEMA NO MACHINE </v>
          </cell>
          <cell r="G494" t="str">
            <v>INDUSTRIAL</v>
          </cell>
        </row>
        <row r="495">
          <cell r="A495">
            <v>24360</v>
          </cell>
          <cell r="B495" t="str">
            <v>BRASIMIX BU-ALUMINIO P/ SINTETICO 900ML BRASILUX</v>
          </cell>
          <cell r="C495" t="str">
            <v>BM 000116001</v>
          </cell>
          <cell r="D495" t="str">
            <v>BRASILUX</v>
          </cell>
          <cell r="E495">
            <v>40003</v>
          </cell>
          <cell r="F495" t="str">
            <v xml:space="preserve">BASES SISTEMA NO MACHINE </v>
          </cell>
          <cell r="G495" t="str">
            <v>INDUSTRIAL</v>
          </cell>
        </row>
        <row r="496">
          <cell r="A496">
            <v>24335</v>
          </cell>
          <cell r="B496" t="str">
            <v>BRASIMIX BU-AMARELO LIMÃO 3,6L BRASILUX</v>
          </cell>
          <cell r="C496" t="str">
            <v>BM 000214102</v>
          </cell>
          <cell r="D496" t="str">
            <v>BRASILUX</v>
          </cell>
          <cell r="E496">
            <v>40003</v>
          </cell>
          <cell r="F496" t="str">
            <v xml:space="preserve">BASES SISTEMA NO MACHINE </v>
          </cell>
          <cell r="G496" t="str">
            <v>INDUSTRIAL</v>
          </cell>
        </row>
        <row r="497">
          <cell r="A497">
            <v>84624</v>
          </cell>
          <cell r="B497" t="str">
            <v>BRASIMIX BU-AMARELO LIMAO 800ML BRASILUX</v>
          </cell>
          <cell r="C497" t="str">
            <v>BM 000214188</v>
          </cell>
          <cell r="D497" t="str">
            <v>BRASILUX</v>
          </cell>
          <cell r="E497">
            <v>40003</v>
          </cell>
          <cell r="F497" t="str">
            <v xml:space="preserve">BASES SISTEMA NO MACHINE </v>
          </cell>
          <cell r="G497" t="str">
            <v>INDUSTRIAL</v>
          </cell>
        </row>
        <row r="498">
          <cell r="A498">
            <v>24336</v>
          </cell>
          <cell r="B498" t="str">
            <v>BRASIMIX BU-AMARELO OURO 3,6L BRASILUX</v>
          </cell>
          <cell r="C498" t="str">
            <v>BM 000214202</v>
          </cell>
          <cell r="D498" t="str">
            <v>BRASILUX</v>
          </cell>
          <cell r="E498">
            <v>40003</v>
          </cell>
          <cell r="F498" t="str">
            <v xml:space="preserve">BASES SISTEMA NO MACHINE </v>
          </cell>
          <cell r="G498" t="str">
            <v>INDUSTRIAL</v>
          </cell>
        </row>
        <row r="499">
          <cell r="A499">
            <v>84625</v>
          </cell>
          <cell r="B499" t="str">
            <v>BRASIMIX BU-AMARELO OURO 800ML BRASILUX</v>
          </cell>
          <cell r="C499" t="str">
            <v>BM 000214288</v>
          </cell>
          <cell r="D499" t="str">
            <v>BRASILUX</v>
          </cell>
          <cell r="E499">
            <v>40003</v>
          </cell>
          <cell r="F499" t="str">
            <v xml:space="preserve">BASES SISTEMA NO MACHINE </v>
          </cell>
          <cell r="G499" t="str">
            <v>INDUSTRIAL</v>
          </cell>
        </row>
        <row r="500">
          <cell r="A500">
            <v>24337</v>
          </cell>
          <cell r="B500" t="str">
            <v>BRASIMIX BU-AMARELO OXIDO 3,6L BRASILUX</v>
          </cell>
          <cell r="C500" t="str">
            <v>BM 000214302</v>
          </cell>
          <cell r="D500" t="str">
            <v>BRASILUX</v>
          </cell>
          <cell r="E500">
            <v>40003</v>
          </cell>
          <cell r="F500" t="str">
            <v xml:space="preserve">BASES SISTEMA NO MACHINE </v>
          </cell>
          <cell r="G500" t="str">
            <v>INDUSTRIAL</v>
          </cell>
        </row>
        <row r="501">
          <cell r="A501">
            <v>84626</v>
          </cell>
          <cell r="B501" t="str">
            <v>BRASIMIX BU-AMARELO OXIDO 800ML BRASILUX</v>
          </cell>
          <cell r="C501" t="str">
            <v>BM 000214388</v>
          </cell>
          <cell r="D501" t="str">
            <v>BRASILUX</v>
          </cell>
          <cell r="E501">
            <v>40003</v>
          </cell>
          <cell r="F501" t="str">
            <v xml:space="preserve">BASES SISTEMA NO MACHINE </v>
          </cell>
          <cell r="G501" t="str">
            <v>INDUSTRIAL</v>
          </cell>
        </row>
        <row r="502">
          <cell r="A502">
            <v>84889</v>
          </cell>
          <cell r="B502" t="str">
            <v>BRASIMIX BU-AMARELO TRANSPARENTE 3,6L BRASILUX</v>
          </cell>
          <cell r="C502" t="str">
            <v>BM 000215202</v>
          </cell>
          <cell r="D502" t="str">
            <v>BRASILUX</v>
          </cell>
          <cell r="E502">
            <v>40003</v>
          </cell>
          <cell r="F502" t="str">
            <v xml:space="preserve">BASES SISTEMA NO MACHINE </v>
          </cell>
          <cell r="G502" t="str">
            <v>INDUSTRIAL</v>
          </cell>
        </row>
        <row r="503">
          <cell r="A503">
            <v>84682</v>
          </cell>
          <cell r="B503" t="str">
            <v>BRASIMIX BU-AMARELO TRANSPARENTE 800ML BRASILUX</v>
          </cell>
          <cell r="C503" t="str">
            <v>BM 000215288</v>
          </cell>
          <cell r="D503" t="str">
            <v>BRASILUX</v>
          </cell>
          <cell r="E503">
            <v>40003</v>
          </cell>
          <cell r="F503" t="str">
            <v xml:space="preserve">BASES SISTEMA NO MACHINE </v>
          </cell>
          <cell r="G503" t="str">
            <v>INDUSTRIAL</v>
          </cell>
        </row>
        <row r="504">
          <cell r="A504">
            <v>24363</v>
          </cell>
          <cell r="B504" t="str">
            <v>BRASIMIX BU-AMARELO TRANSPARENTE 900ML BRASILUX</v>
          </cell>
          <cell r="C504" t="str">
            <v>BM 000215201</v>
          </cell>
          <cell r="D504" t="str">
            <v>BRASILUX</v>
          </cell>
          <cell r="E504">
            <v>40003</v>
          </cell>
          <cell r="F504" t="str">
            <v xml:space="preserve">BASES SISTEMA NO MACHINE </v>
          </cell>
          <cell r="G504" t="str">
            <v>INDUSTRIAL</v>
          </cell>
        </row>
        <row r="505">
          <cell r="A505">
            <v>24339</v>
          </cell>
          <cell r="B505" t="str">
            <v>BRASIMIX BU-AZUL CLARO 3,6L BRASILUX</v>
          </cell>
          <cell r="C505" t="str">
            <v>BM 000314502</v>
          </cell>
          <cell r="D505" t="str">
            <v>BRASILUX</v>
          </cell>
          <cell r="E505">
            <v>40003</v>
          </cell>
          <cell r="F505" t="str">
            <v xml:space="preserve">BASES SISTEMA NO MACHINE </v>
          </cell>
          <cell r="G505" t="str">
            <v>INDUSTRIAL</v>
          </cell>
        </row>
        <row r="506">
          <cell r="A506">
            <v>84628</v>
          </cell>
          <cell r="B506" t="str">
            <v>BRASIMIX BU-AZUL CLARO 800ML BRASILUX</v>
          </cell>
          <cell r="C506" t="str">
            <v>BM 000314588</v>
          </cell>
          <cell r="D506" t="str">
            <v>BRASILUX</v>
          </cell>
          <cell r="E506">
            <v>40003</v>
          </cell>
          <cell r="F506" t="str">
            <v xml:space="preserve">BASES SISTEMA NO MACHINE </v>
          </cell>
          <cell r="G506" t="str">
            <v>INDUSTRIAL</v>
          </cell>
        </row>
        <row r="507">
          <cell r="A507">
            <v>24340</v>
          </cell>
          <cell r="B507" t="str">
            <v>BRASIMIX BU-AZUL ESCURO 3,6L BRASILUX</v>
          </cell>
          <cell r="C507" t="str">
            <v>BM 000314602</v>
          </cell>
          <cell r="D507" t="str">
            <v>BRASILUX</v>
          </cell>
          <cell r="E507">
            <v>40003</v>
          </cell>
          <cell r="F507" t="str">
            <v xml:space="preserve">BASES SISTEMA NO MACHINE </v>
          </cell>
          <cell r="G507" t="str">
            <v>INDUSTRIAL</v>
          </cell>
        </row>
        <row r="508">
          <cell r="A508">
            <v>84629</v>
          </cell>
          <cell r="B508" t="str">
            <v>BRASIMIX BU-AZUL ESCURO 800ML BRASILUX</v>
          </cell>
          <cell r="C508" t="str">
            <v>BM 000314688</v>
          </cell>
          <cell r="D508" t="str">
            <v>BRASILUX</v>
          </cell>
          <cell r="E508">
            <v>40003</v>
          </cell>
          <cell r="F508" t="str">
            <v xml:space="preserve">BASES SISTEMA NO MACHINE </v>
          </cell>
          <cell r="G508" t="str">
            <v>INDUSTRIAL</v>
          </cell>
        </row>
        <row r="509">
          <cell r="A509">
            <v>84627</v>
          </cell>
          <cell r="B509" t="str">
            <v>BRASIMIX BU-BRANCO 800ML BRASILUX</v>
          </cell>
          <cell r="C509" t="str">
            <v>BM 000514488</v>
          </cell>
          <cell r="D509" t="str">
            <v>BRASILUX</v>
          </cell>
          <cell r="E509">
            <v>40003</v>
          </cell>
          <cell r="F509" t="str">
            <v xml:space="preserve">BASES SISTEMA NO MACHINE </v>
          </cell>
          <cell r="G509" t="str">
            <v>INDUSTRIAL</v>
          </cell>
        </row>
        <row r="510">
          <cell r="A510">
            <v>84495</v>
          </cell>
          <cell r="B510" t="str">
            <v>BRASIMIX BU-BRANCO 900ML BRASILUX</v>
          </cell>
          <cell r="C510" t="str">
            <v>BM 000514401</v>
          </cell>
          <cell r="D510" t="str">
            <v>BRASILUX</v>
          </cell>
          <cell r="E510">
            <v>40003</v>
          </cell>
          <cell r="F510" t="str">
            <v xml:space="preserve">BASES SISTEMA NO MACHINE </v>
          </cell>
          <cell r="G510" t="str">
            <v>INDUSTRIAL</v>
          </cell>
        </row>
        <row r="511">
          <cell r="A511">
            <v>24338</v>
          </cell>
          <cell r="B511" t="str">
            <v>BRASIMIX BU-BRANCO PURO 3,6L BRASILUX</v>
          </cell>
          <cell r="C511" t="str">
            <v>BM 000514402</v>
          </cell>
          <cell r="D511" t="str">
            <v>BRASILUX</v>
          </cell>
          <cell r="E511">
            <v>40003</v>
          </cell>
          <cell r="F511" t="str">
            <v xml:space="preserve">BASES SISTEMA NO MACHINE </v>
          </cell>
          <cell r="G511" t="str">
            <v>INDUSTRIAL</v>
          </cell>
        </row>
        <row r="512">
          <cell r="A512">
            <v>84645</v>
          </cell>
          <cell r="B512" t="str">
            <v>BRASIMIX BU-CONC ALUMINIO BRILH 800ML BRASILUX</v>
          </cell>
          <cell r="C512" t="str">
            <v>BM 000116688</v>
          </cell>
          <cell r="D512" t="str">
            <v>BRASILUX</v>
          </cell>
          <cell r="E512">
            <v>40003</v>
          </cell>
          <cell r="F512" t="str">
            <v xml:space="preserve">BASES SISTEMA NO MACHINE </v>
          </cell>
          <cell r="G512" t="str">
            <v>INDUSTRIAL</v>
          </cell>
        </row>
        <row r="513">
          <cell r="A513">
            <v>84644</v>
          </cell>
          <cell r="B513" t="str">
            <v>BRASIMIX BU-FOSQUEANTE P/ PU 800ML BRASILUX</v>
          </cell>
          <cell r="C513" t="str">
            <v>BM 000016288</v>
          </cell>
          <cell r="D513" t="str">
            <v>BRASILUX</v>
          </cell>
          <cell r="E513">
            <v>40003</v>
          </cell>
          <cell r="F513" t="str">
            <v xml:space="preserve">BASES SISTEMA NO MACHINE </v>
          </cell>
          <cell r="G513" t="str">
            <v>INDUSTRIAL</v>
          </cell>
        </row>
        <row r="514">
          <cell r="A514">
            <v>24369</v>
          </cell>
          <cell r="B514" t="str">
            <v>BRASIMIX BU-FOSQUEANTE P/ PU 900ML BRASILUX</v>
          </cell>
          <cell r="C514" t="str">
            <v>BM 000016201</v>
          </cell>
          <cell r="D514" t="str">
            <v>BRASILUX</v>
          </cell>
          <cell r="E514">
            <v>40003</v>
          </cell>
          <cell r="F514" t="str">
            <v xml:space="preserve">BASES SISTEMA NO MACHINE </v>
          </cell>
          <cell r="G514" t="str">
            <v>INDUSTRIAL</v>
          </cell>
        </row>
        <row r="515">
          <cell r="A515">
            <v>84642</v>
          </cell>
          <cell r="B515" t="str">
            <v>BRASIMIX BU-FOSQUEANTE SINTETICO/LACA 800ML BRASILUX</v>
          </cell>
          <cell r="C515" t="str">
            <v>BM 000015988</v>
          </cell>
          <cell r="D515" t="str">
            <v>BRASILUX</v>
          </cell>
          <cell r="E515">
            <v>40003</v>
          </cell>
          <cell r="F515" t="str">
            <v xml:space="preserve">BASES SISTEMA NO MACHINE </v>
          </cell>
          <cell r="G515" t="str">
            <v>INDUSTRIAL</v>
          </cell>
        </row>
        <row r="516">
          <cell r="A516">
            <v>24370</v>
          </cell>
          <cell r="B516" t="str">
            <v>BRASIMIX BU-FOSQUEANTE SINTETICO/LACA 900ML BRASILUX</v>
          </cell>
          <cell r="C516" t="str">
            <v>BM 000015901</v>
          </cell>
          <cell r="D516" t="str">
            <v>BRASILUX</v>
          </cell>
          <cell r="E516">
            <v>40003</v>
          </cell>
          <cell r="F516" t="str">
            <v xml:space="preserve">BASES SISTEMA NO MACHINE </v>
          </cell>
          <cell r="G516" t="str">
            <v>INDUSTRIAL</v>
          </cell>
        </row>
        <row r="517">
          <cell r="A517">
            <v>24352</v>
          </cell>
          <cell r="B517" t="str">
            <v>BRASIMIX BU-LARANJA 3,6L BRASILUX</v>
          </cell>
          <cell r="C517" t="str">
            <v>BM 000914902</v>
          </cell>
          <cell r="D517" t="str">
            <v>BRASILUX</v>
          </cell>
          <cell r="E517">
            <v>40003</v>
          </cell>
          <cell r="F517" t="str">
            <v xml:space="preserve">BASES SISTEMA NO MACHINE </v>
          </cell>
          <cell r="G517" t="str">
            <v>INDUSTRIAL</v>
          </cell>
        </row>
        <row r="518">
          <cell r="A518">
            <v>84632</v>
          </cell>
          <cell r="B518" t="str">
            <v>BRASIMIX BU-LARANJA 800ML BRASILUX</v>
          </cell>
          <cell r="C518" t="str">
            <v>BM 000914988</v>
          </cell>
          <cell r="D518" t="str">
            <v>BRASILUX</v>
          </cell>
          <cell r="E518">
            <v>40003</v>
          </cell>
          <cell r="F518" t="str">
            <v xml:space="preserve">BASES SISTEMA NO MACHINE </v>
          </cell>
          <cell r="G518" t="str">
            <v>INDUSTRIAL</v>
          </cell>
        </row>
        <row r="519">
          <cell r="A519">
            <v>24376</v>
          </cell>
          <cell r="B519" t="str">
            <v>BRASIMIX BU-PRETO 3,6L BRASILUX</v>
          </cell>
          <cell r="C519" t="str">
            <v>BM 001515602</v>
          </cell>
          <cell r="D519" t="str">
            <v>BRASILUX</v>
          </cell>
          <cell r="E519">
            <v>40003</v>
          </cell>
          <cell r="F519" t="str">
            <v xml:space="preserve">BASES SISTEMA NO MACHINE </v>
          </cell>
          <cell r="G519" t="str">
            <v>INDUSTRIAL</v>
          </cell>
        </row>
        <row r="520">
          <cell r="A520">
            <v>84639</v>
          </cell>
          <cell r="B520" t="str">
            <v>BRASIMIX BU-PRETO 800ML BRASILUX</v>
          </cell>
          <cell r="C520" t="str">
            <v>BM 001515688</v>
          </cell>
          <cell r="D520" t="str">
            <v>BRASILUX</v>
          </cell>
          <cell r="E520">
            <v>40003</v>
          </cell>
          <cell r="F520" t="str">
            <v xml:space="preserve">BASES SISTEMA NO MACHINE </v>
          </cell>
          <cell r="G520" t="str">
            <v>INDUSTRIAL</v>
          </cell>
        </row>
        <row r="521">
          <cell r="A521">
            <v>84494</v>
          </cell>
          <cell r="B521" t="str">
            <v>BRASIMIX BU-PRETO PROFUNDO 3,6L BRASILUX</v>
          </cell>
          <cell r="C521" t="str">
            <v>BM 001514002</v>
          </cell>
          <cell r="D521" t="str">
            <v>BRASILUX</v>
          </cell>
          <cell r="E521">
            <v>40003</v>
          </cell>
          <cell r="F521" t="str">
            <v xml:space="preserve">BASES SISTEMA NO MACHINE </v>
          </cell>
          <cell r="G521" t="str">
            <v>INDUSTRIAL</v>
          </cell>
        </row>
        <row r="522">
          <cell r="A522">
            <v>84623</v>
          </cell>
          <cell r="B522" t="str">
            <v>BRASIMIX BU-PRETO PROFUNDO 800ML BRASILUX</v>
          </cell>
          <cell r="C522" t="str">
            <v>BM 001514088</v>
          </cell>
          <cell r="D522" t="str">
            <v>BRASILUX</v>
          </cell>
          <cell r="E522">
            <v>40003</v>
          </cell>
          <cell r="F522" t="str">
            <v xml:space="preserve">BASES SISTEMA NO MACHINE </v>
          </cell>
          <cell r="G522" t="str">
            <v>INDUSTRIAL</v>
          </cell>
        </row>
        <row r="523">
          <cell r="A523">
            <v>24358</v>
          </cell>
          <cell r="B523" t="str">
            <v>BRASIMIX BU-PRETO PROFUNDO 900ML BRASILUX</v>
          </cell>
          <cell r="C523" t="str">
            <v>BM 001514001</v>
          </cell>
          <cell r="D523" t="str">
            <v>BRASILUX</v>
          </cell>
          <cell r="E523">
            <v>40003</v>
          </cell>
          <cell r="F523" t="str">
            <v xml:space="preserve">BASES SISTEMA NO MACHINE </v>
          </cell>
          <cell r="G523" t="str">
            <v>INDUSTRIAL</v>
          </cell>
        </row>
        <row r="524">
          <cell r="A524">
            <v>84887</v>
          </cell>
          <cell r="B524" t="str">
            <v>BRASIMIX BU-ROSA 3,6L BRASILUX</v>
          </cell>
          <cell r="C524" t="str">
            <v>BM 001815002</v>
          </cell>
          <cell r="D524" t="str">
            <v>BRASILUX</v>
          </cell>
          <cell r="E524">
            <v>40003</v>
          </cell>
          <cell r="F524" t="str">
            <v xml:space="preserve">BASES SISTEMA NO MACHINE </v>
          </cell>
          <cell r="G524" t="str">
            <v>INDUSTRIAL</v>
          </cell>
        </row>
        <row r="525">
          <cell r="A525">
            <v>84633</v>
          </cell>
          <cell r="B525" t="str">
            <v>BRASIMIX BU-ROSA 800ML BRASILUX</v>
          </cell>
          <cell r="C525" t="str">
            <v>BM 001815088</v>
          </cell>
          <cell r="D525" t="str">
            <v>BRASILUX</v>
          </cell>
          <cell r="E525">
            <v>40003</v>
          </cell>
          <cell r="F525" t="str">
            <v xml:space="preserve">BASES SISTEMA NO MACHINE </v>
          </cell>
          <cell r="G525" t="str">
            <v>INDUSTRIAL</v>
          </cell>
        </row>
        <row r="526">
          <cell r="A526">
            <v>24361</v>
          </cell>
          <cell r="B526" t="str">
            <v>BRASIMIX BU-ROSA 900ML BRASILUX</v>
          </cell>
          <cell r="C526" t="str">
            <v>BM 001815001</v>
          </cell>
          <cell r="D526" t="str">
            <v>BRASILUX</v>
          </cell>
          <cell r="E526">
            <v>40003</v>
          </cell>
          <cell r="F526" t="str">
            <v xml:space="preserve">BASES SISTEMA NO MACHINE </v>
          </cell>
          <cell r="G526" t="str">
            <v>INDUSTRIAL</v>
          </cell>
        </row>
        <row r="527">
          <cell r="A527">
            <v>24351</v>
          </cell>
          <cell r="B527" t="str">
            <v>BRASIMIX BU-VERDE CLARO 3,6L BRASILUX</v>
          </cell>
          <cell r="C527" t="str">
            <v>BM 002214702</v>
          </cell>
          <cell r="D527" t="str">
            <v>BRASILUX</v>
          </cell>
          <cell r="E527">
            <v>40003</v>
          </cell>
          <cell r="F527" t="str">
            <v xml:space="preserve">BASES SISTEMA NO MACHINE </v>
          </cell>
          <cell r="G527" t="str">
            <v>INDUSTRIAL</v>
          </cell>
        </row>
        <row r="528">
          <cell r="A528">
            <v>84630</v>
          </cell>
          <cell r="B528" t="str">
            <v>BRASIMIX BU-VERDE CLARO 800ML BRASILUX</v>
          </cell>
          <cell r="C528" t="str">
            <v>BM 002214788</v>
          </cell>
          <cell r="D528" t="str">
            <v>BRASILUX</v>
          </cell>
          <cell r="E528">
            <v>40003</v>
          </cell>
          <cell r="F528" t="str">
            <v xml:space="preserve">BASES SISTEMA NO MACHINE </v>
          </cell>
          <cell r="G528" t="str">
            <v>INDUSTRIAL</v>
          </cell>
        </row>
        <row r="529">
          <cell r="A529">
            <v>84886</v>
          </cell>
          <cell r="B529" t="str">
            <v>BRASIMIX BU-VERDE ESCURO 3,6L BRASILUX</v>
          </cell>
          <cell r="C529" t="str">
            <v>BM 002214802</v>
          </cell>
          <cell r="D529" t="str">
            <v>BRASILUX</v>
          </cell>
          <cell r="E529">
            <v>40003</v>
          </cell>
          <cell r="F529" t="str">
            <v xml:space="preserve">BASES SISTEMA NO MACHINE </v>
          </cell>
          <cell r="G529" t="str">
            <v>INDUSTRIAL</v>
          </cell>
        </row>
        <row r="530">
          <cell r="A530">
            <v>84631</v>
          </cell>
          <cell r="B530" t="str">
            <v>BRASIMIX BU-VERDE ESCURO 800ML BRASILUX</v>
          </cell>
          <cell r="C530" t="str">
            <v>BM 002214888</v>
          </cell>
          <cell r="D530" t="str">
            <v>BRASILUX</v>
          </cell>
          <cell r="E530">
            <v>40003</v>
          </cell>
          <cell r="F530" t="str">
            <v xml:space="preserve">BASES SISTEMA NO MACHINE </v>
          </cell>
          <cell r="G530" t="str">
            <v>INDUSTRIAL</v>
          </cell>
        </row>
        <row r="531">
          <cell r="A531">
            <v>24359</v>
          </cell>
          <cell r="B531" t="str">
            <v>BRASIMIX BU-VERDE ESCURO 900ML BRASILUX</v>
          </cell>
          <cell r="C531" t="str">
            <v>BM 002214801</v>
          </cell>
          <cell r="D531" t="str">
            <v>BRASILUX</v>
          </cell>
          <cell r="E531">
            <v>40003</v>
          </cell>
          <cell r="F531" t="str">
            <v xml:space="preserve">BASES SISTEMA NO MACHINE </v>
          </cell>
          <cell r="G531" t="str">
            <v>INDUSTRIAL</v>
          </cell>
        </row>
        <row r="532">
          <cell r="A532">
            <v>84893</v>
          </cell>
          <cell r="B532" t="str">
            <v>BRASIMIX BU-VERMELHO 3,6L BRASILUX</v>
          </cell>
          <cell r="C532" t="str">
            <v>BM 002315802</v>
          </cell>
          <cell r="D532" t="str">
            <v>BRASILUX</v>
          </cell>
          <cell r="E532">
            <v>40003</v>
          </cell>
          <cell r="F532" t="str">
            <v xml:space="preserve">BASES SISTEMA NO MACHINE </v>
          </cell>
          <cell r="G532" t="str">
            <v>INDUSTRIAL</v>
          </cell>
        </row>
        <row r="533">
          <cell r="A533">
            <v>84641</v>
          </cell>
          <cell r="B533" t="str">
            <v>BRASIMIX BU-VERMELHO 800ML BRASILUX</v>
          </cell>
          <cell r="C533" t="str">
            <v>BM 002315888</v>
          </cell>
          <cell r="D533" t="str">
            <v>BRASILUX</v>
          </cell>
          <cell r="E533">
            <v>40003</v>
          </cell>
          <cell r="F533" t="str">
            <v xml:space="preserve">BASES SISTEMA NO MACHINE </v>
          </cell>
          <cell r="G533" t="str">
            <v>INDUSTRIAL</v>
          </cell>
        </row>
        <row r="534">
          <cell r="A534">
            <v>24368</v>
          </cell>
          <cell r="B534" t="str">
            <v>BRASIMIX BU-VERMELHO 900ML BRASILUX</v>
          </cell>
          <cell r="C534" t="str">
            <v>BM 002315801</v>
          </cell>
          <cell r="D534" t="str">
            <v>BRASILUX</v>
          </cell>
          <cell r="E534">
            <v>40003</v>
          </cell>
          <cell r="F534" t="str">
            <v xml:space="preserve">BASES SISTEMA NO MACHINE </v>
          </cell>
          <cell r="G534" t="str">
            <v>INDUSTRIAL</v>
          </cell>
        </row>
        <row r="535">
          <cell r="A535">
            <v>84892</v>
          </cell>
          <cell r="B535" t="str">
            <v>BRASIMIX BU-VERMELHO ESCURO 3,6L BRASILUX</v>
          </cell>
          <cell r="C535" t="str">
            <v>BM 002315702</v>
          </cell>
          <cell r="D535" t="str">
            <v>BRASILUX</v>
          </cell>
          <cell r="E535">
            <v>40003</v>
          </cell>
          <cell r="F535" t="str">
            <v xml:space="preserve">BASES SISTEMA NO MACHINE </v>
          </cell>
          <cell r="G535" t="str">
            <v>INDUSTRIAL</v>
          </cell>
        </row>
        <row r="536">
          <cell r="A536">
            <v>84640</v>
          </cell>
          <cell r="B536" t="str">
            <v>BRASIMIX BU-VERMELHO ESCURO 800ML BRASILUX</v>
          </cell>
          <cell r="C536" t="str">
            <v>BM 002315788</v>
          </cell>
          <cell r="D536" t="str">
            <v>BRASILUX</v>
          </cell>
          <cell r="E536">
            <v>40003</v>
          </cell>
          <cell r="F536" t="str">
            <v xml:space="preserve">BASES SISTEMA NO MACHINE </v>
          </cell>
          <cell r="G536" t="str">
            <v>INDUSTRIAL</v>
          </cell>
        </row>
        <row r="537">
          <cell r="A537">
            <v>24367</v>
          </cell>
          <cell r="B537" t="str">
            <v>BRASIMIX BU-VERMELHO ESCURO 900ML BRASILUX</v>
          </cell>
          <cell r="C537" t="str">
            <v>BM 002315701</v>
          </cell>
          <cell r="D537" t="str">
            <v>BRASILUX</v>
          </cell>
          <cell r="E537">
            <v>40003</v>
          </cell>
          <cell r="F537" t="str">
            <v xml:space="preserve">BASES SISTEMA NO MACHINE </v>
          </cell>
          <cell r="G537" t="str">
            <v>INDUSTRIAL</v>
          </cell>
        </row>
        <row r="538">
          <cell r="A538">
            <v>84636</v>
          </cell>
          <cell r="B538" t="str">
            <v>BRASIMIX BU-VERMELHO OXIDO 3,6L BRASILUX</v>
          </cell>
          <cell r="C538" t="str">
            <v>BM 002315302</v>
          </cell>
          <cell r="D538" t="str">
            <v>BRASILUX</v>
          </cell>
          <cell r="E538">
            <v>40003</v>
          </cell>
          <cell r="F538" t="str">
            <v xml:space="preserve">BASES SISTEMA NO MACHINE </v>
          </cell>
          <cell r="G538" t="str">
            <v>INDUSTRIAL</v>
          </cell>
        </row>
        <row r="539">
          <cell r="A539">
            <v>85272</v>
          </cell>
          <cell r="B539" t="str">
            <v>BRASIMIX BU-VERMELHO OXIDO 800ML BRASILUX</v>
          </cell>
          <cell r="C539" t="str">
            <v>BM 002315388</v>
          </cell>
          <cell r="D539" t="str">
            <v>BRASILUX</v>
          </cell>
          <cell r="E539">
            <v>40003</v>
          </cell>
          <cell r="F539" t="str">
            <v xml:space="preserve">BASES SISTEMA NO MACHINE </v>
          </cell>
          <cell r="G539" t="str">
            <v>INDUSTRIAL</v>
          </cell>
        </row>
        <row r="540">
          <cell r="A540">
            <v>24364</v>
          </cell>
          <cell r="B540" t="str">
            <v>BRASIMIX BU-VERMELHO OXIDO 900ML BRASILUX</v>
          </cell>
          <cell r="C540" t="str">
            <v>BM 002315301</v>
          </cell>
          <cell r="D540" t="str">
            <v>BRASILUX</v>
          </cell>
          <cell r="E540">
            <v>40003</v>
          </cell>
          <cell r="F540" t="str">
            <v xml:space="preserve">BASES SISTEMA NO MACHINE </v>
          </cell>
          <cell r="G540" t="str">
            <v>INDUSTRIAL</v>
          </cell>
        </row>
        <row r="541">
          <cell r="A541">
            <v>84888</v>
          </cell>
          <cell r="B541" t="str">
            <v>BRASIMIX BU-VERMELHO RUBI 3,6L BRASILUX</v>
          </cell>
          <cell r="C541" t="str">
            <v>BM 002315102</v>
          </cell>
          <cell r="D541" t="str">
            <v>BRASILUX</v>
          </cell>
          <cell r="E541">
            <v>40003</v>
          </cell>
          <cell r="F541" t="str">
            <v xml:space="preserve">BASES SISTEMA NO MACHINE </v>
          </cell>
          <cell r="G541" t="str">
            <v>INDUSTRIAL</v>
          </cell>
        </row>
        <row r="542">
          <cell r="A542">
            <v>84634</v>
          </cell>
          <cell r="B542" t="str">
            <v>BRASIMIX BU-VERMELHO RUBI 800ML BRASILUX</v>
          </cell>
          <cell r="C542" t="str">
            <v>BM 002315188</v>
          </cell>
          <cell r="D542" t="str">
            <v>BRASILUX</v>
          </cell>
          <cell r="E542">
            <v>40003</v>
          </cell>
          <cell r="F542" t="str">
            <v xml:space="preserve">BASES SISTEMA NO MACHINE </v>
          </cell>
          <cell r="G542" t="str">
            <v>INDUSTRIAL</v>
          </cell>
        </row>
        <row r="543">
          <cell r="A543">
            <v>24362</v>
          </cell>
          <cell r="B543" t="str">
            <v>BRASIMIX BU-VERMELHO RUBI 900ML BRASILUX</v>
          </cell>
          <cell r="C543" t="str">
            <v>BM 002315101</v>
          </cell>
          <cell r="D543" t="str">
            <v>BRASILUX</v>
          </cell>
          <cell r="E543">
            <v>40003</v>
          </cell>
          <cell r="F543" t="str">
            <v xml:space="preserve">BASES SISTEMA NO MACHINE </v>
          </cell>
          <cell r="G543" t="str">
            <v>INDUSTRIAL</v>
          </cell>
        </row>
        <row r="544">
          <cell r="A544">
            <v>84891</v>
          </cell>
          <cell r="B544" t="str">
            <v>BRASIMIX BU-VERMELHO VIVO 3,6L BRASILUX</v>
          </cell>
          <cell r="C544" t="str">
            <v>BM 002315502</v>
          </cell>
          <cell r="D544" t="str">
            <v>BRASILUX</v>
          </cell>
          <cell r="E544">
            <v>40003</v>
          </cell>
          <cell r="F544" t="str">
            <v xml:space="preserve">BASES SISTEMA NO MACHINE </v>
          </cell>
          <cell r="G544" t="str">
            <v>INDUSTRIAL</v>
          </cell>
        </row>
        <row r="545">
          <cell r="A545">
            <v>84638</v>
          </cell>
          <cell r="B545" t="str">
            <v>BRASIMIX BU-VERMELHO VIVO 800ML BRASILUX</v>
          </cell>
          <cell r="C545" t="str">
            <v>BM 002315588</v>
          </cell>
          <cell r="D545" t="str">
            <v>BRASILUX</v>
          </cell>
          <cell r="E545">
            <v>40003</v>
          </cell>
          <cell r="F545" t="str">
            <v xml:space="preserve">BASES SISTEMA NO MACHINE </v>
          </cell>
          <cell r="G545" t="str">
            <v>INDUSTRIAL</v>
          </cell>
        </row>
        <row r="546">
          <cell r="A546">
            <v>24366</v>
          </cell>
          <cell r="B546" t="str">
            <v>BRASIMIX BU-VERMELHO VIVO 900ML BRASILUX</v>
          </cell>
          <cell r="C546" t="str">
            <v>BM 002315501</v>
          </cell>
          <cell r="D546" t="str">
            <v>BRASILUX</v>
          </cell>
          <cell r="E546">
            <v>40003</v>
          </cell>
          <cell r="F546" t="str">
            <v xml:space="preserve">BASES SISTEMA NO MACHINE </v>
          </cell>
          <cell r="G546" t="str">
            <v>INDUSTRIAL</v>
          </cell>
        </row>
        <row r="547">
          <cell r="A547">
            <v>84890</v>
          </cell>
          <cell r="B547" t="str">
            <v>BRASIMIX BU-VIOLETA 3,6L BRASILUX</v>
          </cell>
          <cell r="C547" t="str">
            <v>BM 004315402</v>
          </cell>
          <cell r="D547" t="str">
            <v>BRASILUX</v>
          </cell>
          <cell r="E547">
            <v>40003</v>
          </cell>
          <cell r="F547" t="str">
            <v xml:space="preserve">BASES SISTEMA NO MACHINE </v>
          </cell>
          <cell r="G547" t="str">
            <v>INDUSTRIAL</v>
          </cell>
        </row>
        <row r="548">
          <cell r="A548">
            <v>84637</v>
          </cell>
          <cell r="B548" t="str">
            <v>BRASIMIX BU-VIOLETA 800ML BRASILUX</v>
          </cell>
          <cell r="C548" t="str">
            <v>BM 004315488</v>
          </cell>
          <cell r="D548" t="str">
            <v>BRASILUX</v>
          </cell>
          <cell r="E548">
            <v>40003</v>
          </cell>
          <cell r="F548" t="str">
            <v xml:space="preserve">BASES SISTEMA NO MACHINE </v>
          </cell>
          <cell r="G548" t="str">
            <v>INDUSTRIAL</v>
          </cell>
        </row>
        <row r="549">
          <cell r="A549">
            <v>24365</v>
          </cell>
          <cell r="B549" t="str">
            <v>BRASIMIX BU-VIOLETA 900ML BRASILUX</v>
          </cell>
          <cell r="C549" t="str">
            <v>BM 004315401</v>
          </cell>
          <cell r="D549" t="str">
            <v>BRASILUX</v>
          </cell>
          <cell r="E549">
            <v>40003</v>
          </cell>
          <cell r="F549" t="str">
            <v xml:space="preserve">BASES SISTEMA NO MACHINE </v>
          </cell>
          <cell r="G549" t="str">
            <v>INDUSTRIAL</v>
          </cell>
        </row>
        <row r="550">
          <cell r="A550">
            <v>84489</v>
          </cell>
          <cell r="B550" t="str">
            <v>BRASITEC-VERNIZ BASE PU HS 2X1 18L BRASILUX</v>
          </cell>
          <cell r="C550" t="str">
            <v>VN 240013603</v>
          </cell>
          <cell r="D550" t="str">
            <v>BRASILUX</v>
          </cell>
          <cell r="E550">
            <v>40003</v>
          </cell>
          <cell r="F550" t="str">
            <v xml:space="preserve">BASES SISTEMA NO MACHINE </v>
          </cell>
          <cell r="G550" t="str">
            <v>INDUSTRIAL</v>
          </cell>
        </row>
        <row r="551">
          <cell r="A551">
            <v>84646</v>
          </cell>
          <cell r="B551" t="str">
            <v>VERNIZ BASE EPOXI POLIAMIDA LINHA 03 18L BRASILUX</v>
          </cell>
          <cell r="C551" t="str">
            <v>VN 030013403</v>
          </cell>
          <cell r="D551" t="str">
            <v>BRASILUX</v>
          </cell>
          <cell r="E551">
            <v>40003</v>
          </cell>
          <cell r="F551" t="str">
            <v xml:space="preserve">BASES SISTEMA NO MACHINE </v>
          </cell>
          <cell r="G551" t="str">
            <v>INDUSTRIAL</v>
          </cell>
        </row>
        <row r="552">
          <cell r="A552">
            <v>84647</v>
          </cell>
          <cell r="B552" t="str">
            <v>VERNIZ BASE EPOXI POLIAMINA LINHA 16 - 18 LITROS</v>
          </cell>
          <cell r="C552" t="str">
            <v>VN 160016003</v>
          </cell>
          <cell r="D552" t="str">
            <v>BRASILUX</v>
          </cell>
          <cell r="E552">
            <v>40003</v>
          </cell>
          <cell r="F552" t="str">
            <v xml:space="preserve">BASES SISTEMA NO MACHINE </v>
          </cell>
          <cell r="G552" t="str">
            <v>INDUSTRIAL</v>
          </cell>
        </row>
        <row r="553">
          <cell r="A553">
            <v>24355</v>
          </cell>
          <cell r="B553" t="str">
            <v>VERNIZ BASE NITROCELULOSE 18L BRASILUX-21,94-ST</v>
          </cell>
          <cell r="C553" t="str">
            <v>VN 090002003</v>
          </cell>
          <cell r="D553" t="str">
            <v>BRASILUX</v>
          </cell>
          <cell r="E553">
            <v>40003</v>
          </cell>
          <cell r="F553" t="str">
            <v xml:space="preserve">BASES SISTEMA NO MACHINE </v>
          </cell>
          <cell r="G553" t="str">
            <v>INDUSTRIAL</v>
          </cell>
        </row>
        <row r="554">
          <cell r="A554">
            <v>84648</v>
          </cell>
          <cell r="B554" t="str">
            <v>VERNIZ BASE POLIAMIDA 18L BRASILUX</v>
          </cell>
          <cell r="C554" t="str">
            <v>VN 330013803</v>
          </cell>
          <cell r="D554" t="str">
            <v>BRASILUX</v>
          </cell>
          <cell r="E554">
            <v>40003</v>
          </cell>
          <cell r="F554" t="str">
            <v xml:space="preserve">BASES SISTEMA NO MACHINE </v>
          </cell>
          <cell r="G554" t="str">
            <v>INDUSTRIAL</v>
          </cell>
        </row>
        <row r="555">
          <cell r="A555">
            <v>24357</v>
          </cell>
          <cell r="B555" t="str">
            <v>VERNIZ BASE PU FLEET 3X1 18L BRASILUX-21,94-ST</v>
          </cell>
          <cell r="C555" t="str">
            <v>VN 260013003</v>
          </cell>
          <cell r="D555" t="str">
            <v>BRASILUX</v>
          </cell>
          <cell r="E555">
            <v>40003</v>
          </cell>
          <cell r="F555" t="str">
            <v xml:space="preserve">BASES SISTEMA NO MACHINE </v>
          </cell>
          <cell r="G555" t="str">
            <v>INDUSTRIAL</v>
          </cell>
        </row>
        <row r="556">
          <cell r="A556">
            <v>84490</v>
          </cell>
          <cell r="B556" t="str">
            <v>VERNIZ BASE PU FLEET 3X1 BRASIDUR 3,6L</v>
          </cell>
          <cell r="C556" t="str">
            <v>VN 260013002</v>
          </cell>
          <cell r="D556" t="str">
            <v>BRASILUX</v>
          </cell>
          <cell r="E556">
            <v>40003</v>
          </cell>
          <cell r="F556" t="str">
            <v xml:space="preserve">BASES SISTEMA NO MACHINE </v>
          </cell>
          <cell r="G556" t="str">
            <v>INDUSTRIAL</v>
          </cell>
        </row>
        <row r="557">
          <cell r="A557">
            <v>24354</v>
          </cell>
          <cell r="B557" t="str">
            <v>VERNIZ BASE SINTETICO 18L BRASILUX-21,94-ST</v>
          </cell>
          <cell r="C557" t="str">
            <v>VN 090013103</v>
          </cell>
          <cell r="D557" t="str">
            <v>BRASILUX</v>
          </cell>
          <cell r="E557">
            <v>40003</v>
          </cell>
          <cell r="F557" t="str">
            <v xml:space="preserve">BASES SISTEMA NO MACHINE </v>
          </cell>
          <cell r="G557" t="str">
            <v>INDUSTRIAL</v>
          </cell>
        </row>
        <row r="558">
          <cell r="A558">
            <v>84119</v>
          </cell>
          <cell r="B558" t="str">
            <v>BRASEPOXII-PRIMER CINZA UMIDO/UMIDO 2,88L BRASILUX</v>
          </cell>
          <cell r="C558" t="str">
            <v>PR 330686023</v>
          </cell>
          <cell r="D558" t="str">
            <v>BRASILUX</v>
          </cell>
          <cell r="E558">
            <v>40002</v>
          </cell>
          <cell r="F558" t="str">
            <v>EPOXI</v>
          </cell>
          <cell r="G558" t="str">
            <v>INDUSTRIAL</v>
          </cell>
        </row>
        <row r="559">
          <cell r="A559">
            <v>84841</v>
          </cell>
          <cell r="B559" t="str">
            <v>BRASIPLUS EPOXI HOSPITALAR - BRANCO N9,5 PURO SB 3,6L</v>
          </cell>
          <cell r="C559" t="str">
            <v>SB 890504702</v>
          </cell>
          <cell r="D559" t="str">
            <v>BRASILUX</v>
          </cell>
          <cell r="E559">
            <v>40002</v>
          </cell>
          <cell r="F559" t="str">
            <v>EPOXI</v>
          </cell>
          <cell r="G559" t="str">
            <v>INDUSTRIAL</v>
          </cell>
        </row>
        <row r="560">
          <cell r="A560">
            <v>84813</v>
          </cell>
          <cell r="B560" t="str">
            <v>BRASIPLUS EPOXI HOSPITALAR - BRANCO N9,5 PURO SB 900ML</v>
          </cell>
          <cell r="C560" t="str">
            <v>SB 890504701</v>
          </cell>
          <cell r="D560" t="str">
            <v>BRASILUX</v>
          </cell>
          <cell r="E560">
            <v>40002</v>
          </cell>
          <cell r="F560" t="str">
            <v>EPOXI</v>
          </cell>
          <cell r="G560" t="str">
            <v>INDUSTRIAL</v>
          </cell>
        </row>
        <row r="561">
          <cell r="A561">
            <v>85186</v>
          </cell>
          <cell r="B561" t="str">
            <v>CATALISADOR EPOXI POLIAMIDA 720ML ALCATRAO DE HULHA BRASILUX</v>
          </cell>
          <cell r="C561" t="str">
            <v>ED 630019324</v>
          </cell>
          <cell r="D561" t="str">
            <v>BRASILUX</v>
          </cell>
          <cell r="E561">
            <v>40002</v>
          </cell>
          <cell r="F561" t="str">
            <v>EPOXI</v>
          </cell>
          <cell r="G561" t="str">
            <v>INDUSTRIAL</v>
          </cell>
        </row>
        <row r="562">
          <cell r="A562">
            <v>84442</v>
          </cell>
          <cell r="B562" t="str">
            <v>CATALISADOR EPOXI POLIAMIDA 720ML BRASILUX</v>
          </cell>
          <cell r="C562" t="str">
            <v>ED 630013324</v>
          </cell>
          <cell r="D562" t="str">
            <v>BRASILUX</v>
          </cell>
          <cell r="E562">
            <v>40002</v>
          </cell>
          <cell r="F562" t="str">
            <v>EPOXI</v>
          </cell>
          <cell r="G562" t="str">
            <v>INDUSTRIAL</v>
          </cell>
        </row>
        <row r="563">
          <cell r="A563">
            <v>84950</v>
          </cell>
          <cell r="B563" t="str">
            <v>CATALISADOR EPOXI POLIAMIDA 720ML BRASILUX</v>
          </cell>
          <cell r="C563" t="str">
            <v>ED 630011224</v>
          </cell>
          <cell r="D563" t="str">
            <v>BRASILUX</v>
          </cell>
          <cell r="E563">
            <v>40002</v>
          </cell>
          <cell r="F563" t="str">
            <v>EPOXI</v>
          </cell>
          <cell r="G563" t="str">
            <v>INDUSTRIAL</v>
          </cell>
        </row>
        <row r="564">
          <cell r="A564">
            <v>85390</v>
          </cell>
          <cell r="B564" t="str">
            <v>CATALISADOR EPOXI POLIAMIDA COMP B ED POLIAMIDA HB 1X1 3,6 LT BRASILUX</v>
          </cell>
          <cell r="C564" t="str">
            <v>ED 630009502</v>
          </cell>
          <cell r="D564" t="str">
            <v>BRASILUX</v>
          </cell>
          <cell r="E564">
            <v>40002</v>
          </cell>
          <cell r="F564" t="str">
            <v>EPOXI</v>
          </cell>
          <cell r="G564" t="str">
            <v>INDUSTRIAL</v>
          </cell>
        </row>
        <row r="565">
          <cell r="A565">
            <v>23956</v>
          </cell>
          <cell r="B565" t="str">
            <v>CATALISADOR ESM EPOXI PDA CLASSICO 900ML ANJO</v>
          </cell>
          <cell r="C565" t="str">
            <v>038184-86</v>
          </cell>
          <cell r="D565" t="str">
            <v>ANJO</v>
          </cell>
          <cell r="E565">
            <v>40002</v>
          </cell>
          <cell r="F565" t="str">
            <v>EPOXI</v>
          </cell>
          <cell r="G565" t="str">
            <v>INDUSTRIAL</v>
          </cell>
        </row>
        <row r="566">
          <cell r="A566">
            <v>86706</v>
          </cell>
          <cell r="B566" t="str">
            <v>CR WANDEPOXY CAT AMIDA FUND 900ML</v>
          </cell>
          <cell r="C566">
            <v>5202560</v>
          </cell>
          <cell r="D566" t="str">
            <v>CORAL</v>
          </cell>
          <cell r="E566">
            <v>40002</v>
          </cell>
          <cell r="F566" t="str">
            <v>EPOXI</v>
          </cell>
          <cell r="G566" t="str">
            <v>INDUSTRIAL</v>
          </cell>
        </row>
        <row r="567">
          <cell r="A567">
            <v>23777</v>
          </cell>
          <cell r="B567" t="str">
            <v>CR WANDEPOXY CAT AMIDA MASSA 1.45KG</v>
          </cell>
          <cell r="C567">
            <v>5202562</v>
          </cell>
          <cell r="D567" t="str">
            <v>CORAL</v>
          </cell>
          <cell r="E567">
            <v>40002</v>
          </cell>
          <cell r="F567" t="str">
            <v>EPOXI</v>
          </cell>
          <cell r="G567" t="str">
            <v>INDUSTRIAL</v>
          </cell>
        </row>
        <row r="568">
          <cell r="A568">
            <v>86704</v>
          </cell>
          <cell r="B568" t="str">
            <v>CR WANDEPOXY CAT AMIDA RM VZ 900ML</v>
          </cell>
          <cell r="C568">
            <v>5202558</v>
          </cell>
          <cell r="D568" t="str">
            <v>CORAL</v>
          </cell>
          <cell r="E568">
            <v>40002</v>
          </cell>
          <cell r="F568" t="str">
            <v>EPOXI</v>
          </cell>
          <cell r="G568" t="str">
            <v>INDUSTRIAL</v>
          </cell>
        </row>
        <row r="569">
          <cell r="A569">
            <v>86705</v>
          </cell>
          <cell r="B569" t="str">
            <v>CR WANDEPOXY CAT AMINA FUND 900ML</v>
          </cell>
          <cell r="C569">
            <v>5202559</v>
          </cell>
          <cell r="D569" t="str">
            <v>CORAL</v>
          </cell>
          <cell r="E569">
            <v>40002</v>
          </cell>
          <cell r="F569" t="str">
            <v>EPOXI</v>
          </cell>
          <cell r="G569" t="str">
            <v>INDUSTRIAL</v>
          </cell>
        </row>
        <row r="570">
          <cell r="A570">
            <v>86703</v>
          </cell>
          <cell r="B570" t="str">
            <v>CR WANDEPOXY CAT AMINA RM VZ 900ML</v>
          </cell>
          <cell r="C570">
            <v>5202557</v>
          </cell>
          <cell r="D570" t="str">
            <v>CORAL</v>
          </cell>
          <cell r="E570">
            <v>40002</v>
          </cell>
          <cell r="F570" t="str">
            <v>EPOXI</v>
          </cell>
          <cell r="G570" t="str">
            <v>INDUSTRIAL</v>
          </cell>
        </row>
        <row r="571">
          <cell r="A571">
            <v>86707</v>
          </cell>
          <cell r="B571" t="str">
            <v>CR WANDEPOXY CAT LOC 640ML</v>
          </cell>
          <cell r="C571">
            <v>5202561</v>
          </cell>
          <cell r="D571" t="str">
            <v>CORAL</v>
          </cell>
          <cell r="E571">
            <v>40002</v>
          </cell>
          <cell r="F571" t="str">
            <v>EPOXI</v>
          </cell>
          <cell r="G571" t="str">
            <v>INDUSTRIAL</v>
          </cell>
        </row>
        <row r="572">
          <cell r="A572">
            <v>85867</v>
          </cell>
          <cell r="B572" t="str">
            <v>CR WANDEPOXY DILUENTE 5L</v>
          </cell>
          <cell r="C572">
            <v>5202567</v>
          </cell>
          <cell r="D572" t="str">
            <v>CORAL</v>
          </cell>
          <cell r="E572">
            <v>40002</v>
          </cell>
          <cell r="F572" t="str">
            <v>EPOXI</v>
          </cell>
          <cell r="G572" t="str">
            <v>INDUSTRIAL</v>
          </cell>
        </row>
        <row r="573">
          <cell r="A573">
            <v>85868</v>
          </cell>
          <cell r="B573" t="str">
            <v>CR WANDEPOXY DILUENTE 900ML</v>
          </cell>
          <cell r="C573">
            <v>5202568</v>
          </cell>
          <cell r="D573" t="str">
            <v>CORAL</v>
          </cell>
          <cell r="E573">
            <v>40002</v>
          </cell>
          <cell r="F573" t="str">
            <v>EPOXI</v>
          </cell>
          <cell r="G573" t="str">
            <v>INDUSTRIAL</v>
          </cell>
        </row>
        <row r="574">
          <cell r="A574">
            <v>85857</v>
          </cell>
          <cell r="B574" t="str">
            <v>CR WANDEPOXY ESM AMARELO 2.7L</v>
          </cell>
          <cell r="C574">
            <v>5202552</v>
          </cell>
          <cell r="D574" t="str">
            <v>CORAL</v>
          </cell>
          <cell r="E574">
            <v>40002</v>
          </cell>
          <cell r="F574" t="str">
            <v>EPOXI</v>
          </cell>
          <cell r="G574" t="str">
            <v>INDUSTRIAL</v>
          </cell>
        </row>
        <row r="575">
          <cell r="A575">
            <v>85858</v>
          </cell>
          <cell r="B575" t="str">
            <v>CR WANDEPOXY ESM AMARELO SEGURANCA 2.7L</v>
          </cell>
          <cell r="C575">
            <v>5202553</v>
          </cell>
          <cell r="D575" t="str">
            <v>CORAL</v>
          </cell>
          <cell r="E575">
            <v>40002</v>
          </cell>
          <cell r="F575" t="str">
            <v>EPOXI</v>
          </cell>
          <cell r="G575" t="str">
            <v>INDUSTRIAL</v>
          </cell>
        </row>
        <row r="576">
          <cell r="A576">
            <v>85856</v>
          </cell>
          <cell r="B576" t="str">
            <v>CR WANDEPOXY ESM AZUL SEGURANCA 2.7L</v>
          </cell>
          <cell r="C576">
            <v>5202549</v>
          </cell>
          <cell r="D576" t="str">
            <v>CORAL</v>
          </cell>
          <cell r="E576">
            <v>40002</v>
          </cell>
          <cell r="F576" t="str">
            <v>EPOXI</v>
          </cell>
          <cell r="G576" t="str">
            <v>INDUSTRIAL</v>
          </cell>
        </row>
        <row r="577">
          <cell r="A577">
            <v>85851</v>
          </cell>
          <cell r="B577" t="str">
            <v>CR WANDEPOXY ESM BRANCO 2.7L</v>
          </cell>
          <cell r="C577">
            <v>5202541</v>
          </cell>
          <cell r="D577" t="str">
            <v>CORAL</v>
          </cell>
          <cell r="E577">
            <v>40002</v>
          </cell>
          <cell r="F577" t="str">
            <v>EPOXI</v>
          </cell>
          <cell r="G577" t="str">
            <v>INDUSTRIAL</v>
          </cell>
        </row>
        <row r="578">
          <cell r="A578">
            <v>85853</v>
          </cell>
          <cell r="B578" t="str">
            <v>CR WANDEPOXY ESM CINZA 2.7L</v>
          </cell>
          <cell r="C578">
            <v>5202544</v>
          </cell>
          <cell r="D578" t="str">
            <v>CORAL</v>
          </cell>
          <cell r="E578">
            <v>40002</v>
          </cell>
          <cell r="F578" t="str">
            <v>EPOXI</v>
          </cell>
          <cell r="G578" t="str">
            <v>INDUSTRIAL</v>
          </cell>
        </row>
        <row r="579">
          <cell r="A579">
            <v>85855</v>
          </cell>
          <cell r="B579" t="str">
            <v>CR WANDEPOXY ESM CINZA MEDIO 2.7L</v>
          </cell>
          <cell r="C579">
            <v>5202547</v>
          </cell>
          <cell r="D579" t="str">
            <v>CORAL</v>
          </cell>
          <cell r="E579">
            <v>40002</v>
          </cell>
          <cell r="F579" t="str">
            <v>EPOXI</v>
          </cell>
          <cell r="G579" t="str">
            <v>INDUSTRIAL</v>
          </cell>
        </row>
        <row r="580">
          <cell r="A580">
            <v>85854</v>
          </cell>
          <cell r="B580" t="str">
            <v>CR WANDEPOXY ESM PLATINA 2.7L</v>
          </cell>
          <cell r="C580">
            <v>5202546</v>
          </cell>
          <cell r="D580" t="str">
            <v>CORAL</v>
          </cell>
          <cell r="E580">
            <v>40002</v>
          </cell>
          <cell r="F580" t="str">
            <v>EPOXI</v>
          </cell>
          <cell r="G580" t="str">
            <v>INDUSTRIAL</v>
          </cell>
        </row>
        <row r="581">
          <cell r="A581">
            <v>85852</v>
          </cell>
          <cell r="B581" t="str">
            <v>CR WANDEPOXY ESM PRETO 2.7L</v>
          </cell>
          <cell r="C581">
            <v>5202543</v>
          </cell>
          <cell r="D581" t="str">
            <v>CORAL</v>
          </cell>
          <cell r="E581">
            <v>40002</v>
          </cell>
          <cell r="F581" t="str">
            <v>EPOXI</v>
          </cell>
          <cell r="G581" t="str">
            <v>INDUSTRIAL</v>
          </cell>
        </row>
        <row r="582">
          <cell r="A582">
            <v>85848</v>
          </cell>
          <cell r="B582" t="str">
            <v>CR WANDEPOXY ESMALTE BASE F 2.56L</v>
          </cell>
          <cell r="C582">
            <v>5202538</v>
          </cell>
          <cell r="D582" t="str">
            <v>CORAL</v>
          </cell>
          <cell r="E582">
            <v>40002</v>
          </cell>
          <cell r="F582" t="str">
            <v>EPOXI</v>
          </cell>
          <cell r="G582" t="str">
            <v>INDUSTRIAL</v>
          </cell>
        </row>
        <row r="583">
          <cell r="A583">
            <v>85850</v>
          </cell>
          <cell r="B583" t="str">
            <v>CR WANDEPOXY ESMALTE BASE PM 2.56L</v>
          </cell>
          <cell r="C583">
            <v>5202540</v>
          </cell>
          <cell r="D583" t="str">
            <v>CORAL</v>
          </cell>
          <cell r="E583">
            <v>40002</v>
          </cell>
          <cell r="F583" t="str">
            <v>EPOXI</v>
          </cell>
          <cell r="G583" t="str">
            <v>INDUSTRIAL</v>
          </cell>
        </row>
        <row r="584">
          <cell r="A584">
            <v>85849</v>
          </cell>
          <cell r="B584" t="str">
            <v>CR WANDEPOXY ESMALTE BASE T 2.56L</v>
          </cell>
          <cell r="C584">
            <v>5202539</v>
          </cell>
          <cell r="D584" t="str">
            <v>CORAL</v>
          </cell>
          <cell r="E584">
            <v>40002</v>
          </cell>
          <cell r="F584" t="str">
            <v>EPOXI</v>
          </cell>
          <cell r="G584" t="str">
            <v>INDUSTRIAL</v>
          </cell>
        </row>
        <row r="585">
          <cell r="A585">
            <v>85865</v>
          </cell>
          <cell r="B585" t="str">
            <v>CR WANDEPOXY FUN BRANCO 2.7L</v>
          </cell>
          <cell r="C585">
            <v>5202564</v>
          </cell>
          <cell r="D585" t="str">
            <v>CORAL</v>
          </cell>
          <cell r="E585">
            <v>40002</v>
          </cell>
          <cell r="F585" t="str">
            <v>EPOXI</v>
          </cell>
          <cell r="G585" t="str">
            <v>INDUSTRIAL</v>
          </cell>
        </row>
        <row r="586">
          <cell r="A586">
            <v>85866</v>
          </cell>
          <cell r="B586" t="str">
            <v>CR WANDEPOXY FUN VERM OXIDO 2.7L</v>
          </cell>
          <cell r="C586">
            <v>5202565</v>
          </cell>
          <cell r="D586" t="str">
            <v>CORAL</v>
          </cell>
          <cell r="E586">
            <v>40002</v>
          </cell>
          <cell r="F586" t="str">
            <v>EPOXI</v>
          </cell>
          <cell r="G586" t="str">
            <v>INDUSTRIAL</v>
          </cell>
        </row>
        <row r="587">
          <cell r="A587">
            <v>84025</v>
          </cell>
          <cell r="B587" t="str">
            <v>DILUENTE P/ EPOXI 5L BRASILUX</v>
          </cell>
          <cell r="C587" t="str">
            <v>TN 060000708</v>
          </cell>
          <cell r="D587" t="str">
            <v>BRASILUX</v>
          </cell>
          <cell r="E587">
            <v>40002</v>
          </cell>
          <cell r="F587" t="str">
            <v>EPOXI</v>
          </cell>
          <cell r="G587" t="str">
            <v>INDUSTRIAL</v>
          </cell>
        </row>
        <row r="588">
          <cell r="A588">
            <v>84024</v>
          </cell>
          <cell r="B588" t="str">
            <v>DILUENTE P/ EPOXI 900ML</v>
          </cell>
          <cell r="C588" t="str">
            <v>TN 060000701</v>
          </cell>
          <cell r="D588" t="str">
            <v>BRASILUX</v>
          </cell>
          <cell r="E588">
            <v>40002</v>
          </cell>
          <cell r="F588" t="str">
            <v>EPOXI</v>
          </cell>
          <cell r="G588" t="str">
            <v>INDUSTRIAL</v>
          </cell>
        </row>
        <row r="589">
          <cell r="A589">
            <v>85004</v>
          </cell>
          <cell r="B589" t="str">
            <v>DILUENTE PARA EPOXI 18L</v>
          </cell>
          <cell r="C589" t="str">
            <v>TN 060000703</v>
          </cell>
          <cell r="D589" t="str">
            <v>BRASILUX</v>
          </cell>
          <cell r="E589">
            <v>40002</v>
          </cell>
          <cell r="F589" t="str">
            <v>EPOXI</v>
          </cell>
          <cell r="G589" t="str">
            <v>INDUSTRIAL</v>
          </cell>
        </row>
        <row r="590">
          <cell r="A590">
            <v>84809</v>
          </cell>
          <cell r="B590" t="str">
            <v>ECOLUX - EPOXI MONOCOMPONENTE - AZUL FRANCA (3,6 LITROS)</v>
          </cell>
          <cell r="C590" t="str">
            <v>BT 840302702</v>
          </cell>
          <cell r="D590" t="str">
            <v>BRASILUX</v>
          </cell>
          <cell r="E590">
            <v>40002</v>
          </cell>
          <cell r="F590" t="str">
            <v>EPOXI</v>
          </cell>
          <cell r="G590" t="str">
            <v>INDUSTRIAL</v>
          </cell>
        </row>
        <row r="591">
          <cell r="A591">
            <v>84806</v>
          </cell>
          <cell r="B591" t="str">
            <v>ECOLUX - EPOXI MONOCOMPONENTE - BRANCO NEVE 3,6LTS</v>
          </cell>
          <cell r="C591" t="str">
            <v>BT 840503002</v>
          </cell>
          <cell r="D591" t="str">
            <v>BRASILUX</v>
          </cell>
          <cell r="E591">
            <v>40002</v>
          </cell>
          <cell r="F591" t="str">
            <v>EPOXI</v>
          </cell>
          <cell r="G591" t="str">
            <v>INDUSTRIAL</v>
          </cell>
        </row>
        <row r="592">
          <cell r="A592">
            <v>84807</v>
          </cell>
          <cell r="B592" t="str">
            <v>ECOLUX - EPOXI MONOCOMPONENTE - BRANCO NEVE 900M)</v>
          </cell>
          <cell r="C592" t="str">
            <v>BT 840503001</v>
          </cell>
          <cell r="D592" t="str">
            <v>BRASILUX</v>
          </cell>
          <cell r="E592">
            <v>40002</v>
          </cell>
          <cell r="F592" t="str">
            <v>EPOXI</v>
          </cell>
          <cell r="G592" t="str">
            <v>INDUSTRIAL</v>
          </cell>
        </row>
        <row r="593">
          <cell r="A593">
            <v>84810</v>
          </cell>
          <cell r="B593" t="str">
            <v>ECOLUX - EPOXI MONOCOMPONENTE - CINZA N3,5 ESCURO 3,6LTS</v>
          </cell>
          <cell r="C593" t="str">
            <v>BT 840601402</v>
          </cell>
          <cell r="D593" t="str">
            <v>BRASILUX</v>
          </cell>
          <cell r="E593">
            <v>40002</v>
          </cell>
          <cell r="F593" t="str">
            <v>EPOXI</v>
          </cell>
          <cell r="G593" t="str">
            <v>INDUSTRIAL</v>
          </cell>
        </row>
        <row r="594">
          <cell r="A594">
            <v>85242</v>
          </cell>
          <cell r="B594" t="str">
            <v>ECOLUX - EPOXI MONOCOMPONENTE - CINZA N6,5 CLARO 3,6LTS</v>
          </cell>
          <cell r="C594" t="str">
            <v>BT 840601702</v>
          </cell>
          <cell r="D594" t="str">
            <v>BRASILUX</v>
          </cell>
          <cell r="E594">
            <v>40002</v>
          </cell>
          <cell r="F594" t="str">
            <v>EPOXI</v>
          </cell>
          <cell r="G594" t="str">
            <v>INDUSTRIAL</v>
          </cell>
        </row>
        <row r="595">
          <cell r="A595">
            <v>85393</v>
          </cell>
          <cell r="B595" t="str">
            <v>ECOLUX EPOXI 100% SOL(0V.O.C.) - BRANCO 2,7 LT</v>
          </cell>
          <cell r="C595" t="str">
            <v>HR 870500714</v>
          </cell>
          <cell r="D595" t="str">
            <v>BRASILUX</v>
          </cell>
          <cell r="E595">
            <v>40002</v>
          </cell>
          <cell r="F595" t="str">
            <v>EPOXI</v>
          </cell>
          <cell r="G595" t="str">
            <v>INDUSTRIAL</v>
          </cell>
        </row>
        <row r="596">
          <cell r="A596">
            <v>84229</v>
          </cell>
          <cell r="B596" t="str">
            <v>ECOLUX EPOXI 100% SOL(0V.O.C.) - BRASGLASS CRISTAL 675ML</v>
          </cell>
          <cell r="C596" t="str">
            <v>VN 870058512</v>
          </cell>
          <cell r="D596" t="str">
            <v>BRASILUX</v>
          </cell>
          <cell r="E596">
            <v>40002</v>
          </cell>
          <cell r="F596" t="str">
            <v>EPOXI</v>
          </cell>
          <cell r="G596" t="str">
            <v>INDUSTRIAL</v>
          </cell>
        </row>
        <row r="597">
          <cell r="A597">
            <v>84040</v>
          </cell>
          <cell r="B597" t="str">
            <v>ECOLUX EPOXI 100% SOL(0V.O.C.) - END. P/ BRASGLASS CRISTAL (225 ML (TI</v>
          </cell>
          <cell r="C597" t="str">
            <v>EN 870058611</v>
          </cell>
          <cell r="D597" t="str">
            <v>BRASILUX</v>
          </cell>
          <cell r="E597">
            <v>40002</v>
          </cell>
          <cell r="F597" t="str">
            <v>EPOXI</v>
          </cell>
          <cell r="G597" t="str">
            <v>INDUSTRIAL</v>
          </cell>
        </row>
        <row r="598">
          <cell r="A598">
            <v>84228</v>
          </cell>
          <cell r="B598" t="str">
            <v>ECOLUX EPOXI 100% SOL(0V.O.C.) - KIT BRASGLASS CRISTAL (KIT 3,6 LITROS</v>
          </cell>
          <cell r="C598" t="str">
            <v>KT 870058526</v>
          </cell>
          <cell r="D598" t="str">
            <v>BRASILUX</v>
          </cell>
          <cell r="E598">
            <v>40002</v>
          </cell>
          <cell r="F598" t="str">
            <v>EPOXI</v>
          </cell>
          <cell r="G598" t="str">
            <v>INDUSTRIAL</v>
          </cell>
        </row>
        <row r="599">
          <cell r="A599">
            <v>85277</v>
          </cell>
          <cell r="B599" t="str">
            <v>ECOLUX-ALCATRÃO DE HULHA PRETO 3,6L BRASILUX</v>
          </cell>
          <cell r="C599" t="str">
            <v>HD 861543502</v>
          </cell>
          <cell r="D599" t="str">
            <v>BRASILUX</v>
          </cell>
          <cell r="E599">
            <v>40002</v>
          </cell>
          <cell r="F599" t="str">
            <v>EPOXI</v>
          </cell>
          <cell r="G599" t="str">
            <v>INDUSTRIAL</v>
          </cell>
        </row>
        <row r="600">
          <cell r="A600">
            <v>84811</v>
          </cell>
          <cell r="B600" t="str">
            <v>ECOLUX-AMARELO 5Y8/12 SEG 3,6L BRASILUX</v>
          </cell>
          <cell r="C600" t="str">
            <v>BT 840205102</v>
          </cell>
          <cell r="D600" t="str">
            <v>BRASILUX</v>
          </cell>
          <cell r="E600">
            <v>40002</v>
          </cell>
          <cell r="F600" t="str">
            <v>EPOXI</v>
          </cell>
          <cell r="G600" t="str">
            <v>INDUSTRIAL</v>
          </cell>
        </row>
        <row r="601">
          <cell r="A601">
            <v>84805</v>
          </cell>
          <cell r="B601" t="str">
            <v>ECOLUX-AZUL DEL REY 3,6L BRASILUX</v>
          </cell>
          <cell r="C601" t="str">
            <v>BT 840320002</v>
          </cell>
          <cell r="D601" t="str">
            <v>BRASILUX</v>
          </cell>
          <cell r="E601">
            <v>40002</v>
          </cell>
          <cell r="F601" t="str">
            <v>EPOXI</v>
          </cell>
          <cell r="G601" t="str">
            <v>INDUSTRIAL</v>
          </cell>
        </row>
        <row r="602">
          <cell r="A602">
            <v>84948</v>
          </cell>
          <cell r="B602" t="str">
            <v>ECOLUX-CINZA N65 CLARO 2,7L BRASILUX</v>
          </cell>
          <cell r="C602" t="str">
            <v>HR 870601714</v>
          </cell>
          <cell r="D602" t="str">
            <v>BRASILUX</v>
          </cell>
          <cell r="E602">
            <v>40002</v>
          </cell>
          <cell r="F602" t="str">
            <v>EPOXI</v>
          </cell>
          <cell r="G602" t="str">
            <v>INDUSTRIAL</v>
          </cell>
        </row>
        <row r="603">
          <cell r="A603">
            <v>84808</v>
          </cell>
          <cell r="B603" t="str">
            <v>ECOLUX-PRETO 3,6L BRASILUX</v>
          </cell>
          <cell r="C603" t="str">
            <v>BT 841500102 -</v>
          </cell>
          <cell r="D603" t="str">
            <v>BRASILUX</v>
          </cell>
          <cell r="E603">
            <v>40002</v>
          </cell>
          <cell r="F603" t="str">
            <v>EPOXI</v>
          </cell>
          <cell r="G603" t="str">
            <v>INDUSTRIAL</v>
          </cell>
        </row>
        <row r="604">
          <cell r="A604">
            <v>85239</v>
          </cell>
          <cell r="B604" t="str">
            <v>END P/ MIX MAZAPOXI M298</v>
          </cell>
          <cell r="C604">
            <v>8130</v>
          </cell>
          <cell r="D604" t="str">
            <v>MAZA</v>
          </cell>
          <cell r="E604">
            <v>40002</v>
          </cell>
          <cell r="F604" t="str">
            <v>EPOXI</v>
          </cell>
          <cell r="G604" t="str">
            <v>INDUSTRIAL</v>
          </cell>
        </row>
        <row r="605">
          <cell r="A605">
            <v>84949</v>
          </cell>
          <cell r="B605" t="str">
            <v>ENDUR EPOXI POLIAMINA COMP B P/ VN 87 E HR 87 900ML</v>
          </cell>
          <cell r="C605" t="str">
            <v>EN 660028001</v>
          </cell>
          <cell r="D605" t="str">
            <v>BRASILUX</v>
          </cell>
          <cell r="E605">
            <v>40002</v>
          </cell>
          <cell r="F605" t="str">
            <v>EPOXI</v>
          </cell>
          <cell r="G605" t="str">
            <v>INDUSTRIAL</v>
          </cell>
        </row>
        <row r="606">
          <cell r="A606">
            <v>84921</v>
          </cell>
          <cell r="B606" t="str">
            <v>ENDURECEDOR EPOXI POLIAMIDA 720ML-UMIDO</v>
          </cell>
          <cell r="C606" t="str">
            <v>ED 630002924</v>
          </cell>
          <cell r="D606" t="str">
            <v>BRASILUX</v>
          </cell>
          <cell r="E606">
            <v>40002</v>
          </cell>
          <cell r="F606" t="str">
            <v>EPOXI</v>
          </cell>
          <cell r="G606" t="str">
            <v>INDUSTRIAL</v>
          </cell>
        </row>
        <row r="607">
          <cell r="A607">
            <v>84022</v>
          </cell>
          <cell r="B607" t="str">
            <v>ENDURECEDOR EPOXI POLIAMIDA PLUS 720ML BT33</v>
          </cell>
          <cell r="C607" t="str">
            <v>ED 330011224</v>
          </cell>
          <cell r="D607" t="str">
            <v>BRASILUX</v>
          </cell>
          <cell r="E607">
            <v>40002</v>
          </cell>
          <cell r="F607" t="str">
            <v>EPOXI</v>
          </cell>
          <cell r="G607" t="str">
            <v>INDUSTRIAL</v>
          </cell>
        </row>
        <row r="608">
          <cell r="A608">
            <v>84449</v>
          </cell>
          <cell r="B608" t="str">
            <v>ENDURECEDOR EPOXI POLIAMINA 900ML</v>
          </cell>
          <cell r="C608" t="str">
            <v>EN 660000101</v>
          </cell>
          <cell r="D608" t="str">
            <v>BRASILUX</v>
          </cell>
          <cell r="E608">
            <v>40002</v>
          </cell>
          <cell r="F608" t="str">
            <v>EPOXI</v>
          </cell>
          <cell r="G608" t="str">
            <v>INDUSTRIAL</v>
          </cell>
        </row>
        <row r="609">
          <cell r="A609">
            <v>85076</v>
          </cell>
          <cell r="B609" t="str">
            <v>ENDURECEDOR EPOXI POLIAMINA COMP B BRASGLASS CRISTAL 225ML</v>
          </cell>
          <cell r="C609" t="str">
            <v>EN 660058611</v>
          </cell>
          <cell r="D609" t="str">
            <v>BRASILUX</v>
          </cell>
          <cell r="E609">
            <v>40002</v>
          </cell>
          <cell r="F609" t="str">
            <v>EPOXI</v>
          </cell>
          <cell r="G609" t="str">
            <v>INDUSTRIAL</v>
          </cell>
        </row>
        <row r="610">
          <cell r="A610">
            <v>84028</v>
          </cell>
          <cell r="B610" t="str">
            <v>ENDURECEDOR EPOXI-UMIDO/UMIDO 720ML BRASILUX</v>
          </cell>
          <cell r="C610" t="str">
            <v>ED 330002924</v>
          </cell>
          <cell r="D610" t="str">
            <v>BRASILUX</v>
          </cell>
          <cell r="E610">
            <v>40002</v>
          </cell>
          <cell r="F610" t="str">
            <v>EPOXI</v>
          </cell>
          <cell r="G610" t="str">
            <v>INDUSTRIAL</v>
          </cell>
        </row>
        <row r="611">
          <cell r="A611">
            <v>23759</v>
          </cell>
          <cell r="B611" t="str">
            <v>ENDURECEDOR P/ EPOXI BRAZILIAN</v>
          </cell>
          <cell r="C611" t="str">
            <v>002733.02</v>
          </cell>
          <cell r="D611" t="str">
            <v>BRAZILIAN</v>
          </cell>
          <cell r="E611">
            <v>40002</v>
          </cell>
          <cell r="F611" t="str">
            <v>EPOXI</v>
          </cell>
          <cell r="G611" t="str">
            <v>INDUSTRIAL</v>
          </cell>
        </row>
        <row r="612">
          <cell r="A612">
            <v>24253</v>
          </cell>
          <cell r="B612" t="str">
            <v>EPOXI CINZA M N6 2,700ML BRAZILIAN-21,94-ST</v>
          </cell>
          <cell r="C612" t="str">
            <v>710633.60</v>
          </cell>
          <cell r="D612" t="str">
            <v>BRAZILIAN</v>
          </cell>
          <cell r="E612">
            <v>40002</v>
          </cell>
          <cell r="F612" t="str">
            <v>EPOXI</v>
          </cell>
          <cell r="G612" t="str">
            <v>INDUSTRIAL</v>
          </cell>
        </row>
        <row r="613">
          <cell r="A613">
            <v>85260</v>
          </cell>
          <cell r="B613" t="str">
            <v>EPOXI MONOCOMPONENTE - ECOLUX AZUL DEL REY (3,6 LT) SEMIBRILHO</v>
          </cell>
          <cell r="C613" t="str">
            <v>SB 840320002</v>
          </cell>
          <cell r="D613" t="str">
            <v>BRASILUX</v>
          </cell>
          <cell r="E613">
            <v>40002</v>
          </cell>
          <cell r="F613" t="str">
            <v>EPOXI</v>
          </cell>
          <cell r="G613" t="str">
            <v>INDUSTRIAL</v>
          </cell>
        </row>
        <row r="614">
          <cell r="A614">
            <v>85261</v>
          </cell>
          <cell r="B614" t="str">
            <v>EPOXI MONOCOMPONENTE - ECOLUX AZUL PROFUNDO (3,6 LT)</v>
          </cell>
          <cell r="C614" t="str">
            <v>SB 840332802</v>
          </cell>
          <cell r="D614" t="str">
            <v>BRASILUX</v>
          </cell>
          <cell r="E614">
            <v>40002</v>
          </cell>
          <cell r="F614" t="str">
            <v>EPOXI</v>
          </cell>
          <cell r="G614" t="str">
            <v>INDUSTRIAL</v>
          </cell>
        </row>
        <row r="615">
          <cell r="A615">
            <v>84930</v>
          </cell>
          <cell r="B615" t="str">
            <v>EPOXI POLIAMIDA COMP A  -  BRANCO BRILHANTE 2,88L</v>
          </cell>
          <cell r="C615" t="str">
            <v>BT 030500723</v>
          </cell>
          <cell r="D615" t="str">
            <v>BRASILUX</v>
          </cell>
          <cell r="E615">
            <v>40002</v>
          </cell>
          <cell r="F615" t="str">
            <v>EPOXI</v>
          </cell>
          <cell r="G615" t="str">
            <v>INDUSTRIAL</v>
          </cell>
        </row>
        <row r="616">
          <cell r="A616">
            <v>84441</v>
          </cell>
          <cell r="B616" t="str">
            <v>EPOXI POLIAMIDA COMP A  - AZUL PLUMBAGO PB 6/8 2,88L</v>
          </cell>
          <cell r="C616" t="str">
            <v>BT 030361423</v>
          </cell>
          <cell r="D616" t="str">
            <v>BRASILUX</v>
          </cell>
          <cell r="E616">
            <v>40002</v>
          </cell>
          <cell r="F616" t="str">
            <v>EPOXI</v>
          </cell>
          <cell r="G616" t="str">
            <v>INDUSTRIAL</v>
          </cell>
        </row>
        <row r="617">
          <cell r="A617">
            <v>85185</v>
          </cell>
          <cell r="B617" t="str">
            <v>EPOXI POLIAMIDA COMP A  ALCATRAO DE HULHA 2,88LT BRASILUX</v>
          </cell>
          <cell r="C617" t="str">
            <v>BT 031500223</v>
          </cell>
          <cell r="D617" t="str">
            <v>BRASILUX</v>
          </cell>
          <cell r="E617">
            <v>40002</v>
          </cell>
          <cell r="F617" t="str">
            <v>EPOXI</v>
          </cell>
          <cell r="G617" t="str">
            <v>INDUSTRIAL</v>
          </cell>
        </row>
        <row r="618">
          <cell r="A618">
            <v>84448</v>
          </cell>
          <cell r="B618" t="str">
            <v>EPOXI POLIAMIDA COMP A - PRETO N1 2,7L</v>
          </cell>
          <cell r="C618" t="str">
            <v>BT 161500114</v>
          </cell>
          <cell r="D618" t="str">
            <v>BRASILUX</v>
          </cell>
          <cell r="E618">
            <v>40002</v>
          </cell>
          <cell r="F618" t="str">
            <v>EPOXI</v>
          </cell>
          <cell r="G618" t="str">
            <v>INDUSTRIAL</v>
          </cell>
        </row>
        <row r="619">
          <cell r="A619">
            <v>84942</v>
          </cell>
          <cell r="B619" t="str">
            <v>EPOXI POLIAMIDA COMP A CINZA N5 MEDIO 2,88L BRASILUX</v>
          </cell>
          <cell r="C619" t="str">
            <v>BT 030605423</v>
          </cell>
          <cell r="D619" t="str">
            <v>BRASILUX</v>
          </cell>
          <cell r="E619">
            <v>40002</v>
          </cell>
          <cell r="F619" t="str">
            <v>EPOXI</v>
          </cell>
          <cell r="G619" t="str">
            <v>INDUSTRIAL</v>
          </cell>
        </row>
        <row r="620">
          <cell r="A620">
            <v>84507</v>
          </cell>
          <cell r="B620" t="str">
            <v>EPOXI POLIAMIDA PLUS - ED. EPOXI AMIDA PLUS HB1X1 3,6L</v>
          </cell>
          <cell r="C620" t="str">
            <v>ED 330050002</v>
          </cell>
          <cell r="D620" t="str">
            <v>BRASILUX</v>
          </cell>
          <cell r="E620">
            <v>40002</v>
          </cell>
          <cell r="F620" t="str">
            <v>EPOXI</v>
          </cell>
          <cell r="G620" t="str">
            <v>INDUSTRIAL</v>
          </cell>
        </row>
        <row r="621">
          <cell r="A621">
            <v>84006</v>
          </cell>
          <cell r="B621" t="str">
            <v>EPOXI POLIAMIDA PLUS - ED. EPOXI POLIAMIDA PLUS (720 ML)</v>
          </cell>
          <cell r="D621" t="str">
            <v>BRASILUX</v>
          </cell>
          <cell r="E621">
            <v>40002</v>
          </cell>
          <cell r="F621" t="str">
            <v>EPOXI</v>
          </cell>
          <cell r="G621" t="str">
            <v>INDUSTRIAL</v>
          </cell>
        </row>
        <row r="622">
          <cell r="A622">
            <v>84027</v>
          </cell>
          <cell r="B622" t="str">
            <v>EPOXI POLIAMIDA PLUS - ED. P/ PRIMER EPOXI PLUS (720 ML)</v>
          </cell>
          <cell r="C622" t="str">
            <v>ED 330000224</v>
          </cell>
          <cell r="D622" t="str">
            <v>BRASILUX</v>
          </cell>
          <cell r="E622">
            <v>40002</v>
          </cell>
          <cell r="F622" t="str">
            <v>EPOXI</v>
          </cell>
          <cell r="G622" t="str">
            <v>INDUSTRIAL</v>
          </cell>
        </row>
        <row r="623">
          <cell r="A623">
            <v>84392</v>
          </cell>
          <cell r="B623" t="str">
            <v>EPOXI POLIAMIDA PLUS - PRETO BRILHANTE N 1 (2,88 L)</v>
          </cell>
          <cell r="C623" t="str">
            <v>BT 331500823</v>
          </cell>
          <cell r="D623" t="str">
            <v>BRASILUX</v>
          </cell>
          <cell r="E623">
            <v>40002</v>
          </cell>
          <cell r="F623" t="str">
            <v>EPOXI</v>
          </cell>
          <cell r="G623" t="str">
            <v>INDUSTRIAL</v>
          </cell>
        </row>
        <row r="624">
          <cell r="A624">
            <v>84735</v>
          </cell>
          <cell r="B624" t="str">
            <v>EPOXI POLIAMIDA PLUS AMARELO PETROBRAS 2,5 Y 8/12 2,88L BRASILUX</v>
          </cell>
          <cell r="C624" t="str">
            <v>BT 330227223</v>
          </cell>
          <cell r="D624" t="str">
            <v>BRASILUX</v>
          </cell>
          <cell r="E624">
            <v>40002</v>
          </cell>
          <cell r="F624" t="str">
            <v>EPOXI</v>
          </cell>
          <cell r="G624" t="str">
            <v>INDUSTRIAL</v>
          </cell>
        </row>
        <row r="625">
          <cell r="A625">
            <v>84502</v>
          </cell>
          <cell r="B625" t="str">
            <v>EPOXI POLIAMIDA PLUS BRANCO N9,5 PURO 2,88L BRASILUX</v>
          </cell>
          <cell r="C625" t="str">
            <v>BT 330504723</v>
          </cell>
          <cell r="D625" t="str">
            <v>BRASILUX</v>
          </cell>
          <cell r="E625">
            <v>40002</v>
          </cell>
          <cell r="F625" t="str">
            <v>EPOXI</v>
          </cell>
          <cell r="G625" t="str">
            <v>INDUSTRIAL</v>
          </cell>
        </row>
        <row r="626">
          <cell r="A626">
            <v>84683</v>
          </cell>
          <cell r="B626" t="str">
            <v>EPOXI POLIAMIDA PLUS CINZA N3.5 ESCURO 2,88L BRASILUX</v>
          </cell>
          <cell r="C626" t="str">
            <v>BT 330601423</v>
          </cell>
          <cell r="D626" t="str">
            <v>BRASILUX</v>
          </cell>
          <cell r="E626">
            <v>40002</v>
          </cell>
          <cell r="F626" t="str">
            <v>EPOXI</v>
          </cell>
          <cell r="G626" t="str">
            <v>INDUSTRIAL</v>
          </cell>
        </row>
        <row r="627">
          <cell r="A627">
            <v>84005</v>
          </cell>
          <cell r="B627" t="str">
            <v>EPOXI POLIAMIDA PLUS PRETO 2,88L BRASILUX</v>
          </cell>
          <cell r="C627" t="str">
            <v>BT 331500123</v>
          </cell>
          <cell r="D627" t="str">
            <v>BRASILUX</v>
          </cell>
          <cell r="E627">
            <v>40002</v>
          </cell>
          <cell r="F627" t="str">
            <v>EPOXI</v>
          </cell>
          <cell r="G627" t="str">
            <v>INDUSTRIAL</v>
          </cell>
        </row>
        <row r="628">
          <cell r="A628">
            <v>84843</v>
          </cell>
          <cell r="B628" t="str">
            <v>EPOXI POLIAMIDA PLUS VERDE 2.5G4/8 PETROBRAS 2,88L BRASILUX</v>
          </cell>
          <cell r="C628" t="str">
            <v>BT 332200623</v>
          </cell>
          <cell r="D628" t="str">
            <v>BRASILUX</v>
          </cell>
          <cell r="E628">
            <v>40002</v>
          </cell>
          <cell r="F628" t="str">
            <v>EPOXI</v>
          </cell>
          <cell r="G628" t="str">
            <v>INDUSTRIAL</v>
          </cell>
        </row>
        <row r="629">
          <cell r="A629">
            <v>84505</v>
          </cell>
          <cell r="B629" t="str">
            <v>EPOXI POLIAMIDA-AMARELO 5Y8/12 SEG 2,88L BRASILUX</v>
          </cell>
          <cell r="C629" t="str">
            <v xml:space="preserve">BT 330205123 </v>
          </cell>
          <cell r="D629" t="str">
            <v>BRASILUX</v>
          </cell>
          <cell r="E629">
            <v>40002</v>
          </cell>
          <cell r="F629" t="str">
            <v>EPOXI</v>
          </cell>
          <cell r="G629" t="str">
            <v>INDUSTRIAL</v>
          </cell>
        </row>
        <row r="630">
          <cell r="A630">
            <v>84951</v>
          </cell>
          <cell r="B630" t="str">
            <v>EPOXI POLIAMIDA-AZUL 2.5PB4/10 SEG 2,88L BRASILUX</v>
          </cell>
          <cell r="C630" t="str">
            <v>BT 330309023</v>
          </cell>
          <cell r="D630" t="str">
            <v>BRASILUX</v>
          </cell>
          <cell r="E630">
            <v>40002</v>
          </cell>
          <cell r="F630" t="str">
            <v>EPOXI</v>
          </cell>
          <cell r="G630" t="str">
            <v>INDUSTRIAL</v>
          </cell>
        </row>
        <row r="631">
          <cell r="A631">
            <v>84697</v>
          </cell>
          <cell r="B631" t="str">
            <v>EPOXI POLIAMIDA-CINZA MEDIO 2,88L BRASILUX</v>
          </cell>
          <cell r="C631" t="str">
            <v>BT 330604823</v>
          </cell>
          <cell r="D631" t="str">
            <v>BRASILUX</v>
          </cell>
          <cell r="E631">
            <v>40002</v>
          </cell>
          <cell r="F631" t="str">
            <v>EPOXI</v>
          </cell>
          <cell r="G631" t="str">
            <v>INDUSTRIAL</v>
          </cell>
        </row>
        <row r="632">
          <cell r="A632">
            <v>84503</v>
          </cell>
          <cell r="B632" t="str">
            <v>EPOXI POLIAMIDA-CINZA N6,5 CLARO 2,88L BRASILUX</v>
          </cell>
          <cell r="C632" t="str">
            <v>BT 330601723</v>
          </cell>
          <cell r="D632" t="str">
            <v>BRASILUX</v>
          </cell>
          <cell r="E632">
            <v>40002</v>
          </cell>
          <cell r="F632" t="str">
            <v>EPOXI</v>
          </cell>
          <cell r="G632" t="str">
            <v>INDUSTRIAL</v>
          </cell>
        </row>
        <row r="633">
          <cell r="A633">
            <v>85447</v>
          </cell>
          <cell r="B633" t="str">
            <v>EPOXI POLIAMIDA-ENDURECEDOR 1X1 3,6L BRASILUX</v>
          </cell>
          <cell r="C633" t="str">
            <v>ED 630050002</v>
          </cell>
          <cell r="D633" t="str">
            <v>BRASILUX</v>
          </cell>
          <cell r="E633">
            <v>40002</v>
          </cell>
          <cell r="F633" t="str">
            <v>EPOXI</v>
          </cell>
          <cell r="G633" t="str">
            <v>INDUSTRIAL</v>
          </cell>
        </row>
        <row r="634">
          <cell r="A634">
            <v>85279</v>
          </cell>
          <cell r="B634" t="str">
            <v>EPOXI POLIAMIDA-ENDURECEDOR P/ PRIMER 720ML BRASILUX</v>
          </cell>
          <cell r="C634" t="str">
            <v>ED 630000224</v>
          </cell>
          <cell r="D634" t="str">
            <v>BRASILUX</v>
          </cell>
          <cell r="E634">
            <v>40002</v>
          </cell>
          <cell r="F634" t="str">
            <v>EPOXI</v>
          </cell>
          <cell r="G634" t="str">
            <v>INDUSTRIAL</v>
          </cell>
        </row>
        <row r="635">
          <cell r="A635">
            <v>85394</v>
          </cell>
          <cell r="B635" t="str">
            <v>EPOXI POLIAMIDA-PRIMER CINZA 2,88L BRASILUX</v>
          </cell>
          <cell r="C635" t="str">
            <v>PR 330600023</v>
          </cell>
          <cell r="D635" t="str">
            <v>BRASILUX</v>
          </cell>
          <cell r="E635">
            <v>40002</v>
          </cell>
          <cell r="F635" t="str">
            <v>EPOXI</v>
          </cell>
          <cell r="G635" t="str">
            <v>INDUSTRIAL</v>
          </cell>
        </row>
        <row r="636">
          <cell r="A636">
            <v>84506</v>
          </cell>
          <cell r="B636" t="str">
            <v>EPOXI POLIAMIDA-PRIMER CINZA ADESAO 3,6L BRASILUX</v>
          </cell>
          <cell r="C636" t="str">
            <v>HB 330688002</v>
          </cell>
          <cell r="D636" t="str">
            <v>BRASILUX</v>
          </cell>
          <cell r="E636">
            <v>40002</v>
          </cell>
          <cell r="F636" t="str">
            <v>EPOXI</v>
          </cell>
          <cell r="G636" t="str">
            <v>INDUSTRIAL</v>
          </cell>
        </row>
        <row r="637">
          <cell r="A637">
            <v>84504</v>
          </cell>
          <cell r="B637" t="str">
            <v>EPOXI POLIAMIDA-VERDE 10GY6/6 SEG 2,88L BRASILUX</v>
          </cell>
          <cell r="C637" t="str">
            <v>BT 332204023</v>
          </cell>
          <cell r="D637" t="str">
            <v>BRASILUX</v>
          </cell>
          <cell r="E637">
            <v>40002</v>
          </cell>
          <cell r="F637" t="str">
            <v>EPOXI</v>
          </cell>
          <cell r="G637" t="str">
            <v>INDUSTRIAL</v>
          </cell>
        </row>
        <row r="638">
          <cell r="A638">
            <v>84786</v>
          </cell>
          <cell r="B638" t="str">
            <v>EPOXI POLIAMINA COMP A  BRANCO N9,5 PURO</v>
          </cell>
          <cell r="C638" t="str">
            <v>BT 160504714</v>
          </cell>
          <cell r="D638" t="str">
            <v>BRASILUX</v>
          </cell>
          <cell r="E638">
            <v>40002</v>
          </cell>
          <cell r="F638" t="str">
            <v>EPOXI</v>
          </cell>
          <cell r="G638" t="str">
            <v>INDUSTRIAL</v>
          </cell>
        </row>
        <row r="639">
          <cell r="A639">
            <v>85003</v>
          </cell>
          <cell r="B639" t="str">
            <v>EPOXI POLIAMINA COMP A  PRETO MUNSELL N1 2,7L</v>
          </cell>
          <cell r="C639" t="str">
            <v>BT 161500814</v>
          </cell>
          <cell r="D639" t="str">
            <v>BRASILUX</v>
          </cell>
          <cell r="E639">
            <v>40002</v>
          </cell>
          <cell r="F639" t="str">
            <v>EPOXI</v>
          </cell>
          <cell r="G639" t="str">
            <v>INDUSTRIAL</v>
          </cell>
        </row>
        <row r="640">
          <cell r="A640">
            <v>85278</v>
          </cell>
          <cell r="B640" t="str">
            <v>EPOXI POLIAMINA-ENDURECEDOR P/ NORMA 3,6L BRASILUX</v>
          </cell>
          <cell r="C640" t="str">
            <v>EN 660055302</v>
          </cell>
          <cell r="D640" t="str">
            <v>BRASILUX</v>
          </cell>
          <cell r="E640">
            <v>40002</v>
          </cell>
          <cell r="F640" t="str">
            <v>EPOXI</v>
          </cell>
          <cell r="G640" t="str">
            <v>INDUSTRIAL</v>
          </cell>
        </row>
        <row r="641">
          <cell r="A641">
            <v>84118</v>
          </cell>
          <cell r="B641" t="str">
            <v>EPOXI-PRIMER VERMELHO OXIDO 2,88L BRASILUX</v>
          </cell>
          <cell r="C641" t="str">
            <v>PR 332314523</v>
          </cell>
          <cell r="D641" t="str">
            <v>BRASILUX</v>
          </cell>
          <cell r="E641">
            <v>40002</v>
          </cell>
          <cell r="F641" t="str">
            <v>EPOXI</v>
          </cell>
          <cell r="G641" t="str">
            <v>INDUSTRIAL</v>
          </cell>
        </row>
        <row r="642">
          <cell r="A642">
            <v>23954</v>
          </cell>
          <cell r="B642" t="str">
            <v>ESM EPOXI PDA CALSSICO AZUL SEGURANÇA 2,7L ANJO-21,94-ST</v>
          </cell>
          <cell r="C642" t="str">
            <v>038161-85</v>
          </cell>
          <cell r="D642" t="str">
            <v>ANJO</v>
          </cell>
          <cell r="E642">
            <v>40002</v>
          </cell>
          <cell r="F642" t="str">
            <v>EPOXI</v>
          </cell>
          <cell r="G642" t="str">
            <v>INDUSTRIAL</v>
          </cell>
        </row>
        <row r="643">
          <cell r="A643">
            <v>23953</v>
          </cell>
          <cell r="B643" t="str">
            <v>ESM EPOXI PDA CLASSICO CINZA BRILHANTE 2,7L ANJO-21,94-ST</v>
          </cell>
          <cell r="C643" t="str">
            <v>038167-85</v>
          </cell>
          <cell r="D643" t="str">
            <v>ANJO</v>
          </cell>
          <cell r="E643">
            <v>40002</v>
          </cell>
          <cell r="F643" t="str">
            <v>EPOXI</v>
          </cell>
          <cell r="G643" t="str">
            <v>INDUSTRIAL</v>
          </cell>
        </row>
        <row r="644">
          <cell r="A644">
            <v>85254</v>
          </cell>
          <cell r="B644" t="str">
            <v>ESM IND AMARELO SEG 5 Y 8/12 3,6L MAZA</v>
          </cell>
          <cell r="C644">
            <v>16043</v>
          </cell>
          <cell r="D644" t="str">
            <v>MAZA</v>
          </cell>
          <cell r="E644">
            <v>40002</v>
          </cell>
          <cell r="F644" t="str">
            <v>EPOXI</v>
          </cell>
          <cell r="G644" t="str">
            <v>INDUSTRIAL</v>
          </cell>
        </row>
        <row r="645">
          <cell r="A645">
            <v>85298</v>
          </cell>
          <cell r="B645" t="str">
            <v>ESM IND AZUL SEG 2,5 PB 4/10 3,6L MAZA</v>
          </cell>
          <cell r="C645">
            <v>16041</v>
          </cell>
          <cell r="D645" t="str">
            <v>MAZA</v>
          </cell>
          <cell r="E645">
            <v>40002</v>
          </cell>
          <cell r="F645" t="str">
            <v>EPOXI</v>
          </cell>
          <cell r="G645" t="str">
            <v>INDUSTRIAL</v>
          </cell>
        </row>
        <row r="646">
          <cell r="A646">
            <v>85255</v>
          </cell>
          <cell r="B646" t="str">
            <v>ESM IND BRANCO PURO N 9,5 3,6L MAZA</v>
          </cell>
          <cell r="C646">
            <v>16039</v>
          </cell>
          <cell r="D646" t="str">
            <v>MAZA</v>
          </cell>
          <cell r="E646">
            <v>40002</v>
          </cell>
          <cell r="F646" t="str">
            <v>EPOXI</v>
          </cell>
          <cell r="G646" t="str">
            <v>INDUSTRIAL</v>
          </cell>
        </row>
        <row r="647">
          <cell r="A647">
            <v>85299</v>
          </cell>
          <cell r="B647" t="str">
            <v>ESM IND VERMELHO MASSEY 3,6L MAZA</v>
          </cell>
          <cell r="C647">
            <v>15536</v>
          </cell>
          <cell r="D647" t="str">
            <v>MAZA</v>
          </cell>
          <cell r="E647">
            <v>40002</v>
          </cell>
          <cell r="F647" t="str">
            <v>EPOXI</v>
          </cell>
          <cell r="G647" t="str">
            <v>INDUSTRIAL</v>
          </cell>
        </row>
        <row r="648">
          <cell r="A648">
            <v>85290</v>
          </cell>
          <cell r="B648" t="str">
            <v>ESMALTE SINT AMARELO 3,6L MAZA</v>
          </cell>
          <cell r="C648">
            <v>26906</v>
          </cell>
          <cell r="D648" t="str">
            <v>MAZA</v>
          </cell>
          <cell r="E648">
            <v>40002</v>
          </cell>
          <cell r="F648" t="str">
            <v>EPOXI</v>
          </cell>
          <cell r="G648" t="str">
            <v>INDUSTRIAL</v>
          </cell>
        </row>
        <row r="649">
          <cell r="A649">
            <v>84110</v>
          </cell>
          <cell r="B649" t="str">
            <v>KIT EPOXI-AMARELO 5Y8/12 SEGURANCA 3,6L BRASILUX</v>
          </cell>
          <cell r="C649" t="str">
            <v>KT 030205126</v>
          </cell>
          <cell r="D649" t="str">
            <v>BRASILUX</v>
          </cell>
          <cell r="E649">
            <v>40002</v>
          </cell>
          <cell r="F649" t="str">
            <v>EPOXI</v>
          </cell>
          <cell r="G649" t="str">
            <v>INDUSTRIAL</v>
          </cell>
        </row>
        <row r="650">
          <cell r="A650">
            <v>84114</v>
          </cell>
          <cell r="B650" t="str">
            <v>KIT EPOXI-AZUL 2.5PB4/10 3,6L BRASILUX</v>
          </cell>
          <cell r="C650" t="str">
            <v>KT 030309026</v>
          </cell>
          <cell r="D650" t="str">
            <v>BRASILUX</v>
          </cell>
          <cell r="E650">
            <v>40002</v>
          </cell>
          <cell r="F650" t="str">
            <v>EPOXI</v>
          </cell>
          <cell r="G650" t="str">
            <v>INDUSTRIAL</v>
          </cell>
        </row>
        <row r="651">
          <cell r="A651">
            <v>84113</v>
          </cell>
          <cell r="B651" t="str">
            <v>KIT EPOXI-BRANCO N9,5 PURO 3,6L BRASILUX</v>
          </cell>
          <cell r="C651" t="str">
            <v>KT 030504726</v>
          </cell>
          <cell r="D651" t="str">
            <v>BRASILUX</v>
          </cell>
          <cell r="E651">
            <v>40002</v>
          </cell>
          <cell r="F651" t="str">
            <v>EPOXI</v>
          </cell>
          <cell r="G651" t="str">
            <v>INDUSTRIAL</v>
          </cell>
        </row>
        <row r="652">
          <cell r="A652">
            <v>84111</v>
          </cell>
          <cell r="B652" t="str">
            <v>KIT EPOXI-CINZA CLARO N 6,5 3,6L BRASILUX</v>
          </cell>
          <cell r="C652" t="str">
            <v>KT 030601726</v>
          </cell>
          <cell r="D652" t="str">
            <v>BRASILUX</v>
          </cell>
          <cell r="E652">
            <v>40002</v>
          </cell>
          <cell r="F652" t="str">
            <v>EPOXI</v>
          </cell>
          <cell r="G652" t="str">
            <v>INDUSTRIAL</v>
          </cell>
        </row>
        <row r="653">
          <cell r="A653">
            <v>84762</v>
          </cell>
          <cell r="B653" t="str">
            <v>KIT EPOXI-CINZA N3,5 3,6L BRASILUX</v>
          </cell>
          <cell r="C653" t="str">
            <v>KT 030601426</v>
          </cell>
          <cell r="D653" t="str">
            <v>BRASILUX</v>
          </cell>
          <cell r="E653">
            <v>40002</v>
          </cell>
          <cell r="F653" t="str">
            <v>EPOXI</v>
          </cell>
          <cell r="G653" t="str">
            <v>INDUSTRIAL</v>
          </cell>
        </row>
        <row r="654">
          <cell r="A654">
            <v>84767</v>
          </cell>
          <cell r="B654" t="str">
            <v>KIT EPOXI-CINZA N5 MEDIO 3,6L BRASILUX</v>
          </cell>
          <cell r="C654" t="str">
            <v>KT 030605426</v>
          </cell>
          <cell r="D654" t="str">
            <v>BRASILUX</v>
          </cell>
          <cell r="E654">
            <v>40002</v>
          </cell>
          <cell r="F654" t="str">
            <v>EPOXI</v>
          </cell>
          <cell r="G654" t="str">
            <v>INDUSTRIAL</v>
          </cell>
        </row>
        <row r="655">
          <cell r="A655">
            <v>84925</v>
          </cell>
          <cell r="B655" t="str">
            <v>KIT EPOXI-LARANJA 2.5YR6/14 3,6L BRASILUX</v>
          </cell>
          <cell r="C655" t="str">
            <v>KT 030901426</v>
          </cell>
          <cell r="D655" t="str">
            <v>BRASILUX</v>
          </cell>
          <cell r="E655">
            <v>40002</v>
          </cell>
          <cell r="F655" t="str">
            <v>EPOXI</v>
          </cell>
          <cell r="G655" t="str">
            <v>INDUSTRIAL</v>
          </cell>
        </row>
        <row r="656">
          <cell r="A656">
            <v>85188</v>
          </cell>
          <cell r="B656" t="str">
            <v>KIT EPOXI-MASSA BRANCA 3,6L BRASILUX</v>
          </cell>
          <cell r="C656" t="str">
            <v>KT 330500726</v>
          </cell>
          <cell r="D656" t="str">
            <v>BRASILUX</v>
          </cell>
          <cell r="E656">
            <v>40002</v>
          </cell>
          <cell r="F656" t="str">
            <v>EPOXI</v>
          </cell>
          <cell r="G656" t="str">
            <v>INDUSTRIAL</v>
          </cell>
        </row>
        <row r="657">
          <cell r="A657">
            <v>84112</v>
          </cell>
          <cell r="B657" t="str">
            <v>KIT EPOXI-PRETO N1 3,6L BRASILUX</v>
          </cell>
          <cell r="C657" t="str">
            <v>KT 031500126</v>
          </cell>
          <cell r="D657" t="str">
            <v>BRASILUX</v>
          </cell>
          <cell r="E657">
            <v>40002</v>
          </cell>
          <cell r="F657" t="str">
            <v>EPOXI</v>
          </cell>
          <cell r="G657" t="str">
            <v>INDUSTRIAL</v>
          </cell>
        </row>
        <row r="658">
          <cell r="A658">
            <v>84117</v>
          </cell>
          <cell r="B658" t="str">
            <v>KIT EPOXI-PRIMER CINZA CLARO 3,6L BRASILUX</v>
          </cell>
          <cell r="C658" t="str">
            <v>KT 030651526</v>
          </cell>
          <cell r="D658" t="str">
            <v>BRASILUX</v>
          </cell>
          <cell r="E658">
            <v>40002</v>
          </cell>
          <cell r="F658" t="str">
            <v>EPOXI</v>
          </cell>
          <cell r="G658" t="str">
            <v>INDUSTRIAL</v>
          </cell>
        </row>
        <row r="659">
          <cell r="A659">
            <v>84785</v>
          </cell>
          <cell r="B659" t="str">
            <v>KIT EPOXI-PRIMER CINZA N6,5 P/ ADESAO 3,6L BRASILUX</v>
          </cell>
          <cell r="C659" t="str">
            <v>KT 030688026</v>
          </cell>
          <cell r="D659" t="str">
            <v>BRASILUX</v>
          </cell>
          <cell r="E659">
            <v>40002</v>
          </cell>
          <cell r="F659" t="str">
            <v>EPOXI</v>
          </cell>
          <cell r="G659" t="str">
            <v>INDUSTRIAL</v>
          </cell>
        </row>
        <row r="660">
          <cell r="A660">
            <v>84817</v>
          </cell>
          <cell r="B660" t="str">
            <v>KIT EPOXI-PRIMER OXIDO P/ ADESAO 3,6L BRASILUX</v>
          </cell>
          <cell r="C660" t="str">
            <v>KT 032346626</v>
          </cell>
          <cell r="D660" t="str">
            <v>BRASILUX</v>
          </cell>
          <cell r="E660">
            <v>40002</v>
          </cell>
          <cell r="F660" t="str">
            <v>EPOXI</v>
          </cell>
          <cell r="G660" t="str">
            <v>INDUSTRIAL</v>
          </cell>
        </row>
        <row r="661">
          <cell r="A661">
            <v>84116</v>
          </cell>
          <cell r="B661" t="str">
            <v>KIT EPOXI-VERDE 2,5G 5/10 3,6L BRASILUX</v>
          </cell>
          <cell r="C661" t="str">
            <v>KT 032264126</v>
          </cell>
          <cell r="D661" t="str">
            <v>BRASILUX</v>
          </cell>
          <cell r="E661">
            <v>40002</v>
          </cell>
          <cell r="F661" t="str">
            <v>EPOXI</v>
          </cell>
          <cell r="G661" t="str">
            <v>INDUSTRIAL</v>
          </cell>
        </row>
        <row r="662">
          <cell r="A662">
            <v>84115</v>
          </cell>
          <cell r="B662" t="str">
            <v>KIT EPOXI-VERMELHO 5R4/14 3,6L BRASILUX</v>
          </cell>
          <cell r="C662" t="str">
            <v>KT 032304526</v>
          </cell>
          <cell r="D662" t="str">
            <v>BRASILUX</v>
          </cell>
          <cell r="E662">
            <v>40002</v>
          </cell>
          <cell r="F662" t="str">
            <v>EPOXI</v>
          </cell>
          <cell r="G662" t="str">
            <v>INDUSTRIAL</v>
          </cell>
        </row>
        <row r="663">
          <cell r="A663">
            <v>85187</v>
          </cell>
          <cell r="B663" t="str">
            <v>KIT EPOXI-VERNIZ 3,6L BRASILUX</v>
          </cell>
          <cell r="C663" t="str">
            <v>KT 030011526</v>
          </cell>
          <cell r="D663" t="str">
            <v>BRASILUX</v>
          </cell>
          <cell r="E663">
            <v>40002</v>
          </cell>
          <cell r="F663" t="str">
            <v>EPOXI</v>
          </cell>
          <cell r="G663" t="str">
            <v>INDUSTRIAL</v>
          </cell>
        </row>
        <row r="664">
          <cell r="A664">
            <v>84200</v>
          </cell>
          <cell r="B664" t="str">
            <v>KIT PISCINA PU-AZUL 4,5L BRASILUX</v>
          </cell>
          <cell r="C664" t="str">
            <v>KT 150343048</v>
          </cell>
          <cell r="D664" t="str">
            <v>BRASILUX</v>
          </cell>
          <cell r="E664">
            <v>40002</v>
          </cell>
          <cell r="F664" t="str">
            <v>EPOXI</v>
          </cell>
          <cell r="G664" t="str">
            <v>INDUSTRIAL</v>
          </cell>
        </row>
        <row r="665">
          <cell r="A665">
            <v>84922</v>
          </cell>
          <cell r="B665" t="str">
            <v>KIT PISCINA PU-BRANCO 4,5L BRASILUX</v>
          </cell>
          <cell r="C665" t="str">
            <v>KT 150506248</v>
          </cell>
          <cell r="D665" t="str">
            <v>BRASILUX</v>
          </cell>
          <cell r="E665">
            <v>40002</v>
          </cell>
          <cell r="F665" t="str">
            <v>EPOXI</v>
          </cell>
          <cell r="G665" t="str">
            <v>INDUSTRIAL</v>
          </cell>
        </row>
        <row r="666">
          <cell r="A666">
            <v>85558</v>
          </cell>
          <cell r="B666" t="str">
            <v>KIT PU-CINZA N6,5 3,6L BRASILUX</v>
          </cell>
          <cell r="C666" t="str">
            <v>KT 150601726</v>
          </cell>
          <cell r="D666" t="str">
            <v>BRASILUX</v>
          </cell>
          <cell r="E666">
            <v>40002</v>
          </cell>
          <cell r="F666" t="str">
            <v>EPOXI</v>
          </cell>
          <cell r="G666" t="str">
            <v>INDUSTRIAL</v>
          </cell>
        </row>
        <row r="667">
          <cell r="A667">
            <v>84895</v>
          </cell>
          <cell r="B667" t="str">
            <v>KIT VERNIZ PU-ALIFAT. FOSCO P/ PISO 3,6L BRASILUX</v>
          </cell>
          <cell r="C667" t="str">
            <v>KT 150010126</v>
          </cell>
          <cell r="D667" t="str">
            <v>BRASILUX</v>
          </cell>
          <cell r="E667">
            <v>40002</v>
          </cell>
          <cell r="F667" t="str">
            <v>EPOXI</v>
          </cell>
          <cell r="G667" t="str">
            <v>INDUSTRIAL</v>
          </cell>
        </row>
        <row r="668">
          <cell r="A668">
            <v>84896</v>
          </cell>
          <cell r="B668" t="str">
            <v>KIT VERNIZ PU-ALIFATICO P/ PISO 3,6L BRASILUX</v>
          </cell>
          <cell r="C668" t="str">
            <v>KT 150023126</v>
          </cell>
          <cell r="D668" t="str">
            <v>BRASILUX</v>
          </cell>
          <cell r="E668">
            <v>40002</v>
          </cell>
          <cell r="F668" t="str">
            <v>EPOXI</v>
          </cell>
          <cell r="G668" t="str">
            <v>INDUSTRIAL</v>
          </cell>
        </row>
        <row r="669">
          <cell r="A669">
            <v>85476</v>
          </cell>
          <cell r="B669" t="str">
            <v>LAMATO 20KG - BALDE</v>
          </cell>
          <cell r="C669">
            <v>113417</v>
          </cell>
          <cell r="D669" t="str">
            <v>MAZA</v>
          </cell>
          <cell r="E669">
            <v>40002</v>
          </cell>
          <cell r="F669" t="str">
            <v>EPOXI</v>
          </cell>
          <cell r="G669" t="str">
            <v>INDUSTRIAL</v>
          </cell>
        </row>
        <row r="670">
          <cell r="A670">
            <v>85475</v>
          </cell>
          <cell r="B670" t="str">
            <v>LAMATO SLIM 20KG - BALDE</v>
          </cell>
          <cell r="C670">
            <v>117649</v>
          </cell>
          <cell r="D670" t="str">
            <v>DÁVILA  INOVE</v>
          </cell>
          <cell r="E670">
            <v>40002</v>
          </cell>
          <cell r="F670" t="str">
            <v>EPOXI</v>
          </cell>
          <cell r="G670" t="str">
            <v>INDUSTRIAL</v>
          </cell>
        </row>
        <row r="671">
          <cell r="A671">
            <v>85256</v>
          </cell>
          <cell r="B671" t="str">
            <v>MAZA MIX SINT AZUL ESVERD 464 900ML</v>
          </cell>
          <cell r="C671">
            <v>12873</v>
          </cell>
          <cell r="D671" t="str">
            <v>MAZA</v>
          </cell>
          <cell r="E671">
            <v>40002</v>
          </cell>
          <cell r="F671" t="str">
            <v>EPOXI</v>
          </cell>
          <cell r="G671" t="str">
            <v>INDUSTRIAL</v>
          </cell>
        </row>
        <row r="672">
          <cell r="A672">
            <v>85257</v>
          </cell>
          <cell r="B672" t="str">
            <v>MAZA MIX SINT VERDE 465 900ML</v>
          </cell>
          <cell r="C672">
            <v>12877</v>
          </cell>
          <cell r="D672" t="str">
            <v>MAZA</v>
          </cell>
          <cell r="E672">
            <v>40002</v>
          </cell>
          <cell r="F672" t="str">
            <v>EPOXI</v>
          </cell>
          <cell r="G672" t="str">
            <v>INDUSTRIAL</v>
          </cell>
        </row>
        <row r="673">
          <cell r="A673">
            <v>85258</v>
          </cell>
          <cell r="B673" t="str">
            <v>MAZA MIX SINT VIOLETA 465 900ML</v>
          </cell>
          <cell r="C673">
            <v>12899</v>
          </cell>
          <cell r="D673" t="str">
            <v>MAZA</v>
          </cell>
          <cell r="E673">
            <v>40002</v>
          </cell>
          <cell r="F673" t="str">
            <v>EPOXI</v>
          </cell>
          <cell r="G673" t="str">
            <v>INDUSTRIAL</v>
          </cell>
        </row>
        <row r="674">
          <cell r="A674">
            <v>85024</v>
          </cell>
          <cell r="B674" t="str">
            <v>MAZAPOXI KIT M298 II AMARELO SEG 3,6L</v>
          </cell>
          <cell r="C674">
            <v>12750</v>
          </cell>
          <cell r="D674" t="str">
            <v>MAZA</v>
          </cell>
          <cell r="E674">
            <v>40002</v>
          </cell>
          <cell r="F674" t="str">
            <v>EPOXI</v>
          </cell>
          <cell r="G674" t="str">
            <v>INDUSTRIAL</v>
          </cell>
        </row>
        <row r="675">
          <cell r="A675">
            <v>85074</v>
          </cell>
          <cell r="B675" t="str">
            <v>MAZAPOXI KIT M298 II BRANCO N9,5 3,6L</v>
          </cell>
          <cell r="C675">
            <v>9849</v>
          </cell>
          <cell r="D675" t="str">
            <v>MAZA</v>
          </cell>
          <cell r="E675">
            <v>40002</v>
          </cell>
          <cell r="F675" t="str">
            <v>EPOXI</v>
          </cell>
          <cell r="G675" t="str">
            <v>INDUSTRIAL</v>
          </cell>
        </row>
        <row r="676">
          <cell r="A676">
            <v>84940</v>
          </cell>
          <cell r="B676" t="str">
            <v>MAZAPOXI KIT M298 II CINZA CLARO N 6,5 3,6L</v>
          </cell>
          <cell r="C676">
            <v>12003</v>
          </cell>
          <cell r="D676" t="str">
            <v>MAZA</v>
          </cell>
          <cell r="E676">
            <v>40002</v>
          </cell>
          <cell r="F676" t="str">
            <v>EPOXI</v>
          </cell>
          <cell r="G676" t="str">
            <v>INDUSTRIAL</v>
          </cell>
        </row>
        <row r="677">
          <cell r="A677">
            <v>85025</v>
          </cell>
          <cell r="B677" t="str">
            <v>MAZAPOXI KIT M298 II CINZA MEDIA N5 3,6L</v>
          </cell>
          <cell r="C677">
            <v>13480</v>
          </cell>
          <cell r="D677" t="str">
            <v>MAZA</v>
          </cell>
          <cell r="E677">
            <v>40002</v>
          </cell>
          <cell r="F677" t="str">
            <v>EPOXI</v>
          </cell>
          <cell r="G677" t="str">
            <v>INDUSTRIAL</v>
          </cell>
        </row>
        <row r="678">
          <cell r="A678">
            <v>84937</v>
          </cell>
          <cell r="B678" t="str">
            <v>MAZAPOXI KIT M298 II PRETO N1 3,6L</v>
          </cell>
          <cell r="C678">
            <v>12749</v>
          </cell>
          <cell r="D678" t="str">
            <v>MAZA</v>
          </cell>
          <cell r="E678">
            <v>40002</v>
          </cell>
          <cell r="F678" t="str">
            <v>EPOXI</v>
          </cell>
          <cell r="G678" t="str">
            <v>INDUSTRIAL</v>
          </cell>
        </row>
        <row r="679">
          <cell r="A679">
            <v>85023</v>
          </cell>
          <cell r="B679" t="str">
            <v>MAZAPOXI KIT M298 II VERDE EMBLEMA 3,6L</v>
          </cell>
          <cell r="C679">
            <v>12748</v>
          </cell>
          <cell r="D679" t="str">
            <v>MAZA</v>
          </cell>
          <cell r="E679">
            <v>40002</v>
          </cell>
          <cell r="F679" t="str">
            <v>EPOXI</v>
          </cell>
          <cell r="G679" t="str">
            <v>INDUSTRIAL</v>
          </cell>
        </row>
        <row r="680">
          <cell r="A680">
            <v>84944</v>
          </cell>
          <cell r="B680" t="str">
            <v>MAZAPOXI KIT M298 II VERDE SEG 3,6L</v>
          </cell>
          <cell r="C680">
            <v>13553</v>
          </cell>
          <cell r="D680" t="str">
            <v>MAZA</v>
          </cell>
          <cell r="E680">
            <v>40002</v>
          </cell>
          <cell r="F680" t="str">
            <v>EPOXI</v>
          </cell>
          <cell r="G680" t="str">
            <v>INDUSTRIAL</v>
          </cell>
        </row>
        <row r="681">
          <cell r="A681">
            <v>84927</v>
          </cell>
          <cell r="B681" t="str">
            <v>MAZAPOXI KIT M298 II VERMELHO SEG 3,6L</v>
          </cell>
          <cell r="C681">
            <v>12863</v>
          </cell>
          <cell r="D681" t="str">
            <v>MAZA</v>
          </cell>
          <cell r="E681">
            <v>40002</v>
          </cell>
          <cell r="F681" t="str">
            <v>EPOXI</v>
          </cell>
          <cell r="G681" t="str">
            <v>INDUSTRIAL</v>
          </cell>
        </row>
        <row r="682">
          <cell r="A682">
            <v>84941</v>
          </cell>
          <cell r="B682" t="str">
            <v>MAZAVED KIT M265 ALCATRÃO HULHA POL CAT 3X1 PRETO 3,6L</v>
          </cell>
          <cell r="C682">
            <v>15415</v>
          </cell>
          <cell r="D682" t="str">
            <v>MAZA</v>
          </cell>
          <cell r="E682">
            <v>40002</v>
          </cell>
          <cell r="F682" t="str">
            <v>EPOXI</v>
          </cell>
          <cell r="G682" t="str">
            <v>INDUSTRIAL</v>
          </cell>
        </row>
        <row r="683">
          <cell r="A683">
            <v>23955</v>
          </cell>
          <cell r="B683" t="str">
            <v>PRIMER EPOXI PDA CLASSICO CINZA CLARO FOSCO 2,7L ANJO-21,94-ST</v>
          </cell>
          <cell r="C683" t="str">
            <v>038185-85</v>
          </cell>
          <cell r="D683" t="str">
            <v>ANJO</v>
          </cell>
          <cell r="E683">
            <v>40002</v>
          </cell>
          <cell r="F683" t="str">
            <v>EPOXI</v>
          </cell>
          <cell r="G683" t="str">
            <v>INDUSTRIAL</v>
          </cell>
        </row>
        <row r="684">
          <cell r="A684">
            <v>85451</v>
          </cell>
          <cell r="B684" t="str">
            <v>RESINA ACRILICA PREMIUM 18L BRASILUX</v>
          </cell>
          <cell r="C684" t="str">
            <v>VN 150020503</v>
          </cell>
          <cell r="D684" t="str">
            <v>BRASILUX</v>
          </cell>
          <cell r="E684">
            <v>40002</v>
          </cell>
          <cell r="F684" t="str">
            <v>EPOXI</v>
          </cell>
          <cell r="G684" t="str">
            <v>INDUSTRIAL</v>
          </cell>
        </row>
        <row r="685">
          <cell r="A685">
            <v>85454</v>
          </cell>
          <cell r="B685" t="str">
            <v>TEXTURA LAMATO CRISTALLO BRANCO 23KG MAZA</v>
          </cell>
          <cell r="C685">
            <v>17035</v>
          </cell>
          <cell r="D685" t="str">
            <v>MAZA</v>
          </cell>
          <cell r="E685">
            <v>40002</v>
          </cell>
          <cell r="F685" t="str">
            <v>EPOXI</v>
          </cell>
          <cell r="G685" t="str">
            <v>INDUSTRIAL</v>
          </cell>
        </row>
        <row r="686">
          <cell r="A686">
            <v>84365</v>
          </cell>
          <cell r="B686" t="str">
            <v>TINTA TECNICA ESPECIAL - VERNIZ PU ACR. ALIFATICO (2,7 L)</v>
          </cell>
          <cell r="C686" t="str">
            <v>VN 150023114</v>
          </cell>
          <cell r="D686" t="str">
            <v>BRASILUX</v>
          </cell>
          <cell r="E686">
            <v>40002</v>
          </cell>
          <cell r="F686" t="str">
            <v>EPOXI</v>
          </cell>
          <cell r="G686" t="str">
            <v>INDUSTRIAL</v>
          </cell>
        </row>
        <row r="687">
          <cell r="A687">
            <v>85450</v>
          </cell>
          <cell r="B687" t="str">
            <v>VERNIZ BASE FOSCA P/ MAQUINAS 18L BRASILUX</v>
          </cell>
          <cell r="C687" t="str">
            <v>VN 010064403</v>
          </cell>
          <cell r="D687" t="str">
            <v>BRASILUX</v>
          </cell>
          <cell r="E687">
            <v>40002</v>
          </cell>
          <cell r="F687" t="str">
            <v>EPOXI</v>
          </cell>
          <cell r="G687" t="str">
            <v>INDUSTRIAL</v>
          </cell>
        </row>
        <row r="688">
          <cell r="A688">
            <v>22251</v>
          </cell>
          <cell r="B688" t="str">
            <v>WANDEPOXY CAT AMINA RM VNZ 900ML</v>
          </cell>
          <cell r="C688">
            <v>11931</v>
          </cell>
          <cell r="D688" t="str">
            <v>.</v>
          </cell>
          <cell r="E688">
            <v>40002</v>
          </cell>
          <cell r="F688" t="str">
            <v>EPOXI</v>
          </cell>
          <cell r="G688" t="str">
            <v>INDUSTRIAL</v>
          </cell>
        </row>
        <row r="689">
          <cell r="A689">
            <v>23937</v>
          </cell>
          <cell r="B689" t="str">
            <v>WANDEPOXY CATALIS LOC 640 ML</v>
          </cell>
          <cell r="C689">
            <v>11932</v>
          </cell>
          <cell r="D689" t="str">
            <v>.</v>
          </cell>
          <cell r="E689">
            <v>40002</v>
          </cell>
          <cell r="F689" t="str">
            <v>EPOXI</v>
          </cell>
          <cell r="G689" t="str">
            <v>INDUSTRIAL</v>
          </cell>
        </row>
        <row r="690">
          <cell r="A690">
            <v>23935</v>
          </cell>
          <cell r="B690" t="str">
            <v>WANDEPOXY LOC BASE T 2,56L VERDE</v>
          </cell>
          <cell r="C690">
            <v>11939</v>
          </cell>
          <cell r="D690" t="str">
            <v>.</v>
          </cell>
          <cell r="E690">
            <v>40002</v>
          </cell>
          <cell r="F690" t="str">
            <v>EPOXI</v>
          </cell>
          <cell r="G690" t="str">
            <v>INDUSTRIAL</v>
          </cell>
        </row>
        <row r="691">
          <cell r="A691">
            <v>23936</v>
          </cell>
          <cell r="B691" t="str">
            <v>WANDEPOXY LOC BASE T 2,56L VERMELHO</v>
          </cell>
          <cell r="C691" t="str">
            <v>11939.1</v>
          </cell>
          <cell r="D691" t="str">
            <v>.</v>
          </cell>
          <cell r="E691">
            <v>40002</v>
          </cell>
          <cell r="F691" t="str">
            <v>EPOXI</v>
          </cell>
          <cell r="G691" t="str">
            <v>INDUSTRIAL</v>
          </cell>
        </row>
        <row r="692">
          <cell r="A692">
            <v>23776</v>
          </cell>
          <cell r="B692" t="str">
            <v>WANDEPOXY MASSA BICOMP BRANCO 4,3KG CORAL</v>
          </cell>
          <cell r="C692">
            <v>11940</v>
          </cell>
          <cell r="D692" t="str">
            <v>.</v>
          </cell>
          <cell r="E692">
            <v>40002</v>
          </cell>
          <cell r="F692" t="str">
            <v>EPOXI</v>
          </cell>
          <cell r="G692" t="str">
            <v>INDUSTRIAL</v>
          </cell>
        </row>
        <row r="693">
          <cell r="A693">
            <v>84213</v>
          </cell>
          <cell r="B693" t="str">
            <v>BRASIFER-PRIMER CINZA 18L BRASILUX</v>
          </cell>
          <cell r="C693" t="str">
            <v>PM 170679903</v>
          </cell>
          <cell r="D693" t="str">
            <v>BRASILUX</v>
          </cell>
          <cell r="E693">
            <v>40001</v>
          </cell>
          <cell r="F693" t="str">
            <v>ESMALTES</v>
          </cell>
          <cell r="G693" t="str">
            <v>INDUSTRIAL</v>
          </cell>
        </row>
        <row r="694">
          <cell r="A694">
            <v>84217</v>
          </cell>
          <cell r="B694" t="str">
            <v>BRASIFER-PRIMER CINZA 3,6L BRASILUX</v>
          </cell>
          <cell r="C694" t="str">
            <v>PM 170679902</v>
          </cell>
          <cell r="D694" t="str">
            <v>BRASILUX</v>
          </cell>
          <cell r="E694">
            <v>40001</v>
          </cell>
          <cell r="F694" t="str">
            <v>ESMALTES</v>
          </cell>
          <cell r="G694" t="str">
            <v>INDUSTRIAL</v>
          </cell>
        </row>
        <row r="695">
          <cell r="A695">
            <v>85084</v>
          </cell>
          <cell r="B695" t="str">
            <v>BRASIFER-PRIMER CINZA 3,6L BRASILUX</v>
          </cell>
          <cell r="C695" t="str">
            <v>PM 170600002</v>
          </cell>
          <cell r="D695" t="str">
            <v>BRASILUX</v>
          </cell>
          <cell r="E695">
            <v>40001</v>
          </cell>
          <cell r="F695" t="str">
            <v>ESMALTES</v>
          </cell>
          <cell r="G695" t="str">
            <v>INDUSTRIAL</v>
          </cell>
        </row>
        <row r="696">
          <cell r="A696">
            <v>84801</v>
          </cell>
          <cell r="B696" t="str">
            <v>BRASIFER-PRIMER LARANJA ZARCAO 18L BRASILUX</v>
          </cell>
          <cell r="C696" t="str">
            <v>PM 170920203</v>
          </cell>
          <cell r="D696" t="str">
            <v>BRASILUX</v>
          </cell>
          <cell r="E696">
            <v>40001</v>
          </cell>
          <cell r="F696" t="str">
            <v>ESMALTES</v>
          </cell>
          <cell r="G696" t="str">
            <v>INDUSTRIAL</v>
          </cell>
        </row>
        <row r="697">
          <cell r="A697">
            <v>84221</v>
          </cell>
          <cell r="B697" t="str">
            <v>BRASIFER-PRIMER OXIDO CINZA 900ML BRASILUX</v>
          </cell>
          <cell r="C697" t="str">
            <v>PM 170679901</v>
          </cell>
          <cell r="D697" t="str">
            <v>BRASILUX</v>
          </cell>
          <cell r="E697">
            <v>40001</v>
          </cell>
          <cell r="F697" t="str">
            <v>ESMALTES</v>
          </cell>
          <cell r="G697" t="str">
            <v>INDUSTRIAL</v>
          </cell>
        </row>
        <row r="698">
          <cell r="A698">
            <v>84215</v>
          </cell>
          <cell r="B698" t="str">
            <v>BRASIFER-PRIMER OXIDO VERDE 18L BRASILUX</v>
          </cell>
          <cell r="C698" t="str">
            <v>PM 172236703</v>
          </cell>
          <cell r="D698" t="str">
            <v>BRASILUX</v>
          </cell>
          <cell r="E698">
            <v>40001</v>
          </cell>
          <cell r="F698" t="str">
            <v>ESMALTES</v>
          </cell>
          <cell r="G698" t="str">
            <v>INDUSTRIAL</v>
          </cell>
        </row>
        <row r="699">
          <cell r="A699">
            <v>84219</v>
          </cell>
          <cell r="B699" t="str">
            <v>BRASIFER-PRIMER OXIDO VERDE 3,6L BRASILUX</v>
          </cell>
          <cell r="C699" t="str">
            <v>PM 172236702</v>
          </cell>
          <cell r="D699" t="str">
            <v>BRASILUX</v>
          </cell>
          <cell r="E699">
            <v>40001</v>
          </cell>
          <cell r="F699" t="str">
            <v>ESMALTES</v>
          </cell>
          <cell r="G699" t="str">
            <v>INDUSTRIAL</v>
          </cell>
        </row>
        <row r="700">
          <cell r="A700">
            <v>84220</v>
          </cell>
          <cell r="B700" t="str">
            <v>BRASIFER-PRIMER OXIDO VERMELHO 3,6L BRASILUX</v>
          </cell>
          <cell r="C700" t="str">
            <v>PM 172338702</v>
          </cell>
          <cell r="D700" t="str">
            <v>BRASILUX</v>
          </cell>
          <cell r="E700">
            <v>40001</v>
          </cell>
          <cell r="F700" t="str">
            <v>ESMALTES</v>
          </cell>
          <cell r="G700" t="str">
            <v>INDUSTRIAL</v>
          </cell>
        </row>
        <row r="701">
          <cell r="A701">
            <v>84214</v>
          </cell>
          <cell r="B701" t="str">
            <v>BRASIFER-PRIMER PRETO 18L LATA BRASILUX</v>
          </cell>
          <cell r="C701" t="str">
            <v>PM 171518303</v>
          </cell>
          <cell r="D701" t="str">
            <v>BRASILUX</v>
          </cell>
          <cell r="E701">
            <v>40001</v>
          </cell>
          <cell r="F701" t="str">
            <v>ESMALTES</v>
          </cell>
          <cell r="G701" t="str">
            <v>INDUSTRIAL</v>
          </cell>
        </row>
        <row r="702">
          <cell r="A702">
            <v>84218</v>
          </cell>
          <cell r="B702" t="str">
            <v>BRASIFER-PRIMER PRETO 3,6L BRASILUX</v>
          </cell>
          <cell r="C702" t="str">
            <v>PM 171518302</v>
          </cell>
          <cell r="D702" t="str">
            <v>BRASILUX</v>
          </cell>
          <cell r="E702">
            <v>40001</v>
          </cell>
          <cell r="F702" t="str">
            <v>ESMALTES</v>
          </cell>
          <cell r="G702" t="str">
            <v>INDUSTRIAL</v>
          </cell>
        </row>
        <row r="703">
          <cell r="A703">
            <v>84222</v>
          </cell>
          <cell r="B703" t="str">
            <v>BRASIFER-PRIMER PRETO 900ML BRASILUX</v>
          </cell>
          <cell r="C703" t="str">
            <v>PM 171518301</v>
          </cell>
          <cell r="D703" t="str">
            <v>BRASILUX</v>
          </cell>
          <cell r="E703">
            <v>40001</v>
          </cell>
          <cell r="F703" t="str">
            <v>ESMALTES</v>
          </cell>
          <cell r="G703" t="str">
            <v>INDUSTRIAL</v>
          </cell>
        </row>
        <row r="704">
          <cell r="A704">
            <v>84223</v>
          </cell>
          <cell r="B704" t="str">
            <v>BRASIFER-PRIMER VERDE 900ML BRASILUX</v>
          </cell>
          <cell r="C704" t="str">
            <v>PM 172236701</v>
          </cell>
          <cell r="D704" t="str">
            <v>BRASILUX</v>
          </cell>
          <cell r="E704">
            <v>40001</v>
          </cell>
          <cell r="F704" t="str">
            <v>ESMALTES</v>
          </cell>
          <cell r="G704" t="str">
            <v>INDUSTRIAL</v>
          </cell>
        </row>
        <row r="705">
          <cell r="A705">
            <v>84216</v>
          </cell>
          <cell r="B705" t="str">
            <v>BRASIFER-PRIMER VERMELHO 18L LATA BRASILUX</v>
          </cell>
          <cell r="C705" t="str">
            <v>PM 172338703</v>
          </cell>
          <cell r="D705" t="str">
            <v>BRASILUX</v>
          </cell>
          <cell r="E705">
            <v>40001</v>
          </cell>
          <cell r="F705" t="str">
            <v>ESMALTES</v>
          </cell>
          <cell r="G705" t="str">
            <v>INDUSTRIAL</v>
          </cell>
        </row>
        <row r="706">
          <cell r="A706">
            <v>84224</v>
          </cell>
          <cell r="B706" t="str">
            <v>BRASIFER-PRIMER VERMELHO 900ML BRASILUX</v>
          </cell>
          <cell r="C706" t="str">
            <v>PM 172338701</v>
          </cell>
          <cell r="D706" t="str">
            <v>BRASILUX</v>
          </cell>
          <cell r="E706">
            <v>40001</v>
          </cell>
          <cell r="F706" t="str">
            <v>ESMALTES</v>
          </cell>
          <cell r="G706" t="str">
            <v>INDUSTRIAL</v>
          </cell>
        </row>
        <row r="707">
          <cell r="A707">
            <v>84159</v>
          </cell>
          <cell r="B707" t="str">
            <v>BRASILAR-AMARELO LUMINOSO 225ML BRASILUX</v>
          </cell>
          <cell r="C707" t="str">
            <v>BT 400280011</v>
          </cell>
          <cell r="D707" t="str">
            <v>BRASILUX</v>
          </cell>
          <cell r="E707">
            <v>40001</v>
          </cell>
          <cell r="F707" t="str">
            <v>ESMALTES</v>
          </cell>
          <cell r="G707" t="str">
            <v>INDUSTRIAL</v>
          </cell>
        </row>
        <row r="708">
          <cell r="A708">
            <v>84154</v>
          </cell>
          <cell r="B708" t="str">
            <v>BRASILAR-AMARELO LUMINOSO 900ML BRASILUX</v>
          </cell>
          <cell r="C708" t="str">
            <v>BT 400280001</v>
          </cell>
          <cell r="D708" t="str">
            <v>BRASILUX</v>
          </cell>
          <cell r="E708">
            <v>40001</v>
          </cell>
          <cell r="F708" t="str">
            <v>ESMALTES</v>
          </cell>
          <cell r="G708" t="str">
            <v>INDUSTRIAL</v>
          </cell>
        </row>
        <row r="709">
          <cell r="A709">
            <v>84160</v>
          </cell>
          <cell r="B709" t="str">
            <v>BRASILAR-AZUL LUMINOSO 225ML BRASILUX</v>
          </cell>
          <cell r="C709" t="str">
            <v>BT 400380011</v>
          </cell>
          <cell r="D709" t="str">
            <v>BRASILUX</v>
          </cell>
          <cell r="E709">
            <v>40001</v>
          </cell>
          <cell r="F709" t="str">
            <v>ESMALTES</v>
          </cell>
          <cell r="G709" t="str">
            <v>INDUSTRIAL</v>
          </cell>
        </row>
        <row r="710">
          <cell r="A710">
            <v>84148</v>
          </cell>
          <cell r="B710" t="str">
            <v>BRASILAR-BRANCO 3,6L BRASILUX</v>
          </cell>
          <cell r="C710" t="str">
            <v>BT 400500702</v>
          </cell>
          <cell r="D710" t="str">
            <v>BRASILUX</v>
          </cell>
          <cell r="E710">
            <v>40001</v>
          </cell>
          <cell r="F710" t="str">
            <v>ESMALTES</v>
          </cell>
          <cell r="G710" t="str">
            <v>INDUSTRIAL</v>
          </cell>
        </row>
        <row r="711">
          <cell r="A711">
            <v>84149</v>
          </cell>
          <cell r="B711" t="str">
            <v>BRASILAR-BRANCO 900ML BRASILUX</v>
          </cell>
          <cell r="C711" t="str">
            <v>BT 400500701</v>
          </cell>
          <cell r="D711" t="str">
            <v>BRASILUX</v>
          </cell>
          <cell r="E711">
            <v>40001</v>
          </cell>
          <cell r="F711" t="str">
            <v>ESMALTES</v>
          </cell>
          <cell r="G711" t="str">
            <v>INDUSTRIAL</v>
          </cell>
        </row>
        <row r="712">
          <cell r="A712">
            <v>84151</v>
          </cell>
          <cell r="B712" t="str">
            <v>BRASILAR-GRAFITE CINZA CLARO 3,6L BRASILUX</v>
          </cell>
          <cell r="C712" t="str">
            <v>GR 400613302</v>
          </cell>
          <cell r="D712" t="str">
            <v>BRASILUX</v>
          </cell>
          <cell r="E712">
            <v>40001</v>
          </cell>
          <cell r="F712" t="str">
            <v>ESMALTES</v>
          </cell>
          <cell r="G712" t="str">
            <v>INDUSTRIAL</v>
          </cell>
        </row>
        <row r="713">
          <cell r="A713">
            <v>84153</v>
          </cell>
          <cell r="B713" t="str">
            <v>BRASILAR-GRAFITE CINZA CLARO 900ML BRASILUX</v>
          </cell>
          <cell r="C713" t="str">
            <v>GR 400613301</v>
          </cell>
          <cell r="D713" t="str">
            <v>BRASILUX</v>
          </cell>
          <cell r="E713">
            <v>40001</v>
          </cell>
          <cell r="F713" t="str">
            <v>ESMALTES</v>
          </cell>
          <cell r="G713" t="str">
            <v>INDUSTRIAL</v>
          </cell>
        </row>
        <row r="714">
          <cell r="A714">
            <v>84150</v>
          </cell>
          <cell r="B714" t="str">
            <v>BRASILAR-GRAFITE CINZA ESCURO 3,6L BRASILUX</v>
          </cell>
          <cell r="C714" t="str">
            <v>GR 400614002</v>
          </cell>
          <cell r="D714" t="str">
            <v>BRASILUX</v>
          </cell>
          <cell r="E714">
            <v>40001</v>
          </cell>
          <cell r="F714" t="str">
            <v>ESMALTES</v>
          </cell>
          <cell r="G714" t="str">
            <v>INDUSTRIAL</v>
          </cell>
        </row>
        <row r="715">
          <cell r="A715">
            <v>84152</v>
          </cell>
          <cell r="B715" t="str">
            <v>BRASILAR-GRAFITE CINZA ESCURO 900ML BRASILUX</v>
          </cell>
          <cell r="C715" t="str">
            <v>GR 400614001</v>
          </cell>
          <cell r="D715" t="str">
            <v>BRASILUX</v>
          </cell>
          <cell r="E715">
            <v>40001</v>
          </cell>
          <cell r="F715" t="str">
            <v>ESMALTES</v>
          </cell>
          <cell r="G715" t="str">
            <v>INDUSTRIAL</v>
          </cell>
        </row>
        <row r="716">
          <cell r="A716">
            <v>84161</v>
          </cell>
          <cell r="B716" t="str">
            <v>BRASILAR-LARANJA LUMINOSO 225ML BRASILUX</v>
          </cell>
          <cell r="C716" t="str">
            <v>BT 400980011</v>
          </cell>
          <cell r="D716" t="str">
            <v>BRASILUX</v>
          </cell>
          <cell r="E716">
            <v>40001</v>
          </cell>
          <cell r="F716" t="str">
            <v>ESMALTES</v>
          </cell>
          <cell r="G716" t="str">
            <v>INDUSTRIAL</v>
          </cell>
        </row>
        <row r="717">
          <cell r="A717">
            <v>84155</v>
          </cell>
          <cell r="B717" t="str">
            <v>BRASILAR-LARANJA LUMINOSO 900ML BRASILUX</v>
          </cell>
          <cell r="C717" t="str">
            <v>BT 400980001</v>
          </cell>
          <cell r="D717" t="str">
            <v>BRASILUX</v>
          </cell>
          <cell r="E717">
            <v>40001</v>
          </cell>
          <cell r="F717" t="str">
            <v>ESMALTES</v>
          </cell>
          <cell r="G717" t="str">
            <v>INDUSTRIAL</v>
          </cell>
        </row>
        <row r="718">
          <cell r="A718">
            <v>84162</v>
          </cell>
          <cell r="B718" t="str">
            <v>BRASILAR-PINK LUMINOSO 225ML BRASILUX</v>
          </cell>
          <cell r="C718" t="str">
            <v>BT 401880011</v>
          </cell>
          <cell r="D718" t="str">
            <v>BRASILUX</v>
          </cell>
          <cell r="E718">
            <v>40001</v>
          </cell>
          <cell r="F718" t="str">
            <v>ESMALTES</v>
          </cell>
          <cell r="G718" t="str">
            <v>INDUSTRIAL</v>
          </cell>
        </row>
        <row r="719">
          <cell r="A719">
            <v>84156</v>
          </cell>
          <cell r="B719" t="str">
            <v>BRASILAR-PINK LUMINOSO 900ML BRASILUX</v>
          </cell>
          <cell r="C719" t="str">
            <v>BT 401880001</v>
          </cell>
          <cell r="D719" t="str">
            <v>BRASILUX</v>
          </cell>
          <cell r="E719">
            <v>40001</v>
          </cell>
          <cell r="F719" t="str">
            <v>ESMALTES</v>
          </cell>
          <cell r="G719" t="str">
            <v>INDUSTRIAL</v>
          </cell>
        </row>
        <row r="720">
          <cell r="A720">
            <v>84163</v>
          </cell>
          <cell r="B720" t="str">
            <v>BRASILAR-VERDE LUMINOSO 225ML BRASILUX</v>
          </cell>
          <cell r="C720" t="str">
            <v>BT 402280011</v>
          </cell>
          <cell r="D720" t="str">
            <v>BRASILUX</v>
          </cell>
          <cell r="E720">
            <v>40001</v>
          </cell>
          <cell r="F720" t="str">
            <v>ESMALTES</v>
          </cell>
          <cell r="G720" t="str">
            <v>INDUSTRIAL</v>
          </cell>
        </row>
        <row r="721">
          <cell r="A721">
            <v>84157</v>
          </cell>
          <cell r="B721" t="str">
            <v>BRASILAR-VERDE LUMINOSO 900ML BRASILUX</v>
          </cell>
          <cell r="C721" t="str">
            <v>BT 402280001</v>
          </cell>
          <cell r="D721" t="str">
            <v>BRASILUX</v>
          </cell>
          <cell r="E721">
            <v>40001</v>
          </cell>
          <cell r="F721" t="str">
            <v>ESMALTES</v>
          </cell>
          <cell r="G721" t="str">
            <v>INDUSTRIAL</v>
          </cell>
        </row>
        <row r="722">
          <cell r="A722">
            <v>84158</v>
          </cell>
          <cell r="B722" t="str">
            <v>BRASILAR-VERMELHO LUMINOSO 225ML BRASILUX</v>
          </cell>
          <cell r="C722" t="str">
            <v>BT 402380011</v>
          </cell>
          <cell r="D722" t="str">
            <v>BRASILUX</v>
          </cell>
          <cell r="E722">
            <v>40001</v>
          </cell>
          <cell r="F722" t="str">
            <v>ESMALTES</v>
          </cell>
          <cell r="G722" t="str">
            <v>INDUSTRIAL</v>
          </cell>
        </row>
        <row r="723">
          <cell r="A723">
            <v>85733</v>
          </cell>
          <cell r="B723" t="str">
            <v>BRASILINE ESMALTE SINT. AMARELO NEW HOLLAND 3,6L BRASILUX</v>
          </cell>
          <cell r="C723" t="str">
            <v>BT 170213402</v>
          </cell>
          <cell r="D723" t="str">
            <v>BRASILUX</v>
          </cell>
          <cell r="E723">
            <v>40001</v>
          </cell>
          <cell r="F723" t="str">
            <v>ESMALTES</v>
          </cell>
          <cell r="G723" t="str">
            <v>INDUSTRIAL</v>
          </cell>
        </row>
        <row r="724">
          <cell r="A724">
            <v>85734</v>
          </cell>
          <cell r="B724" t="str">
            <v>BRASILINE ESMALTE SINT. AMARELO NEW HOLLAND 900ML BRASILUX</v>
          </cell>
          <cell r="C724" t="str">
            <v>BT 170213401</v>
          </cell>
          <cell r="D724" t="str">
            <v>BRASILUX</v>
          </cell>
          <cell r="E724">
            <v>40001</v>
          </cell>
          <cell r="F724" t="str">
            <v>ESMALTES</v>
          </cell>
          <cell r="G724" t="str">
            <v>INDUSTRIAL</v>
          </cell>
        </row>
        <row r="725">
          <cell r="A725">
            <v>85629</v>
          </cell>
          <cell r="B725" t="str">
            <v>BRASILINE SINT SUPER RAPIDO - PRIMER ACAB BRANCO (18 LT)</v>
          </cell>
          <cell r="C725" t="str">
            <v>PA 170500703</v>
          </cell>
          <cell r="D725" t="str">
            <v>BRASILUX</v>
          </cell>
          <cell r="E725">
            <v>40001</v>
          </cell>
          <cell r="F725" t="str">
            <v>ESMALTES</v>
          </cell>
          <cell r="G725" t="str">
            <v>INDUSTRIAL</v>
          </cell>
        </row>
        <row r="726">
          <cell r="A726">
            <v>85630</v>
          </cell>
          <cell r="B726" t="str">
            <v>BRASILINE SINT SUPER RAPIDO - PRIMER ACAB CINZA ESCURO (18 LT)</v>
          </cell>
          <cell r="C726" t="str">
            <v>PA 170614003</v>
          </cell>
          <cell r="D726" t="str">
            <v>BRASILUX</v>
          </cell>
          <cell r="E726">
            <v>40001</v>
          </cell>
          <cell r="F726" t="str">
            <v>ESMALTES</v>
          </cell>
          <cell r="G726" t="str">
            <v>INDUSTRIAL</v>
          </cell>
        </row>
        <row r="727">
          <cell r="A727">
            <v>85735</v>
          </cell>
          <cell r="B727" t="str">
            <v>BRASILINE SINT SUPER RAPIDO PRIMER ACAB BRANCO 3,6LT BRASILUX</v>
          </cell>
          <cell r="C727" t="str">
            <v>PA 170500702</v>
          </cell>
          <cell r="D727" t="str">
            <v>BRASILUX</v>
          </cell>
          <cell r="E727">
            <v>40001</v>
          </cell>
          <cell r="F727" t="str">
            <v>ESMALTES</v>
          </cell>
          <cell r="G727" t="str">
            <v>INDUSTRIAL</v>
          </cell>
        </row>
        <row r="728">
          <cell r="A728">
            <v>84957</v>
          </cell>
          <cell r="B728" t="str">
            <v>BRASILINE-ALUMINIO 3,6L BRASILUX</v>
          </cell>
          <cell r="C728" t="str">
            <v>BT 170100102</v>
          </cell>
          <cell r="D728" t="str">
            <v>BRASILUX</v>
          </cell>
          <cell r="E728">
            <v>40001</v>
          </cell>
          <cell r="F728" t="str">
            <v>ESMALTES</v>
          </cell>
          <cell r="G728" t="str">
            <v>INDUSTRIAL</v>
          </cell>
        </row>
        <row r="729">
          <cell r="A729">
            <v>85576</v>
          </cell>
          <cell r="B729" t="str">
            <v>BRASILINE-ALUMINIO OPAL P/ RODAS 18L BRASILUX</v>
          </cell>
          <cell r="C729" t="str">
            <v>BT 170100303</v>
          </cell>
          <cell r="D729" t="str">
            <v>BRASILUX</v>
          </cell>
          <cell r="E729">
            <v>40001</v>
          </cell>
          <cell r="F729" t="str">
            <v>ESMALTES</v>
          </cell>
          <cell r="G729" t="str">
            <v>INDUSTRIAL</v>
          </cell>
        </row>
        <row r="730">
          <cell r="A730">
            <v>84559</v>
          </cell>
          <cell r="B730" t="str">
            <v>BRASILINE-ALUMINIO OPAL P/RODAS 3,6L BRASILUX</v>
          </cell>
          <cell r="C730" t="str">
            <v>BT 170100302</v>
          </cell>
          <cell r="D730" t="str">
            <v>BRASILUX</v>
          </cell>
          <cell r="E730">
            <v>40001</v>
          </cell>
          <cell r="F730" t="str">
            <v>ESMALTES</v>
          </cell>
          <cell r="G730" t="str">
            <v>INDUSTRIAL</v>
          </cell>
        </row>
        <row r="731">
          <cell r="A731">
            <v>84457</v>
          </cell>
          <cell r="B731" t="str">
            <v>BRASILINE-ALUMINIO OPAL P/RODAS 900ML BRASILUX</v>
          </cell>
          <cell r="C731" t="str">
            <v>BT 170100301</v>
          </cell>
          <cell r="D731" t="str">
            <v>BRASILUX</v>
          </cell>
          <cell r="E731">
            <v>40001</v>
          </cell>
          <cell r="F731" t="str">
            <v>ESMALTES</v>
          </cell>
          <cell r="G731" t="str">
            <v>INDUSTRIAL</v>
          </cell>
        </row>
        <row r="732">
          <cell r="A732">
            <v>85083</v>
          </cell>
          <cell r="B732" t="str">
            <v>BRASILINE-AMARELO 5Y8/12 SEGURANCA 18L BRASILUX</v>
          </cell>
          <cell r="C732" t="str">
            <v>BT 170205103</v>
          </cell>
          <cell r="D732" t="str">
            <v>BRASILUX</v>
          </cell>
          <cell r="E732">
            <v>40001</v>
          </cell>
          <cell r="F732" t="str">
            <v>ESMALTES</v>
          </cell>
          <cell r="G732" t="str">
            <v>INDUSTRIAL</v>
          </cell>
        </row>
        <row r="733">
          <cell r="A733">
            <v>84084</v>
          </cell>
          <cell r="B733" t="str">
            <v>BRASILINE-AMARELO 5Y8/12 SEGURANCA 3,6L BRASILUX</v>
          </cell>
          <cell r="C733" t="str">
            <v>BT 170205102</v>
          </cell>
          <cell r="D733" t="str">
            <v>BRASILUX</v>
          </cell>
          <cell r="E733">
            <v>40001</v>
          </cell>
          <cell r="F733" t="str">
            <v>ESMALTES</v>
          </cell>
          <cell r="G733" t="str">
            <v>INDUSTRIAL</v>
          </cell>
        </row>
        <row r="734">
          <cell r="A734">
            <v>84085</v>
          </cell>
          <cell r="B734" t="str">
            <v>BRASILINE-AMARELO 5Y8/12 SEGURANCA 900ML BRASILUX</v>
          </cell>
          <cell r="C734" t="str">
            <v>BT 170205101</v>
          </cell>
          <cell r="D734" t="str">
            <v>BRASILUX</v>
          </cell>
          <cell r="E734">
            <v>40001</v>
          </cell>
          <cell r="F734" t="str">
            <v>ESMALTES</v>
          </cell>
          <cell r="G734" t="str">
            <v>INDUSTRIAL</v>
          </cell>
        </row>
        <row r="735">
          <cell r="A735">
            <v>84094</v>
          </cell>
          <cell r="B735" t="str">
            <v>BRASILINE-AMARELO VALTRA 3,6L BRASILUX</v>
          </cell>
          <cell r="C735" t="str">
            <v>BT 170231002</v>
          </cell>
          <cell r="D735" t="str">
            <v>BRASILUX</v>
          </cell>
          <cell r="E735">
            <v>40001</v>
          </cell>
          <cell r="F735" t="str">
            <v>ESMALTES</v>
          </cell>
          <cell r="G735" t="str">
            <v>INDUSTRIAL</v>
          </cell>
        </row>
        <row r="736">
          <cell r="A736">
            <v>84086</v>
          </cell>
          <cell r="B736" t="str">
            <v>BRASILINE-AZUL 2.5PB4/10 SEGURANCA 3,6L BRASILUX</v>
          </cell>
          <cell r="C736" t="str">
            <v>BT 170309002</v>
          </cell>
          <cell r="D736" t="str">
            <v>BRASILUX</v>
          </cell>
          <cell r="E736">
            <v>40001</v>
          </cell>
          <cell r="F736" t="str">
            <v>ESMALTES</v>
          </cell>
          <cell r="G736" t="str">
            <v>INDUSTRIAL</v>
          </cell>
        </row>
        <row r="737">
          <cell r="A737">
            <v>84087</v>
          </cell>
          <cell r="B737" t="str">
            <v>BRASILINE-AZUL 2.5PB4/10 SEGURANCA 900ML BRASILUX</v>
          </cell>
          <cell r="C737" t="str">
            <v>BT 170309001</v>
          </cell>
          <cell r="D737" t="str">
            <v>BRASILUX</v>
          </cell>
          <cell r="E737">
            <v>40001</v>
          </cell>
          <cell r="F737" t="str">
            <v>ESMALTES</v>
          </cell>
          <cell r="G737" t="str">
            <v>INDUSTRIAL</v>
          </cell>
        </row>
        <row r="738">
          <cell r="A738">
            <v>84907</v>
          </cell>
          <cell r="B738" t="str">
            <v>BRASILINE-AZUL 5PB2/6 DELREY 3,6L BRASILUX</v>
          </cell>
          <cell r="C738" t="str">
            <v>BT 170310002</v>
          </cell>
          <cell r="D738" t="str">
            <v>BRASILUX</v>
          </cell>
          <cell r="E738">
            <v>40001</v>
          </cell>
          <cell r="F738" t="str">
            <v>ESMALTES</v>
          </cell>
          <cell r="G738" t="str">
            <v>INDUSTRIAL</v>
          </cell>
        </row>
        <row r="739">
          <cell r="A739">
            <v>84721</v>
          </cell>
          <cell r="B739" t="str">
            <v>BRASILINE-AZUL FRANCA 3,6L BRASILUX</v>
          </cell>
          <cell r="C739" t="str">
            <v>BT 170302702</v>
          </cell>
          <cell r="D739" t="str">
            <v>BRASILUX</v>
          </cell>
          <cell r="E739">
            <v>40001</v>
          </cell>
          <cell r="F739" t="str">
            <v>ESMALTES</v>
          </cell>
          <cell r="G739" t="str">
            <v>INDUSTRIAL</v>
          </cell>
        </row>
        <row r="740">
          <cell r="A740">
            <v>84722</v>
          </cell>
          <cell r="B740" t="str">
            <v>BRASILINE-AZUL FRANCA 900ML BRASILUX</v>
          </cell>
          <cell r="C740" t="str">
            <v>BT 170302701</v>
          </cell>
          <cell r="D740" t="str">
            <v>BRASILUX</v>
          </cell>
          <cell r="E740">
            <v>40001</v>
          </cell>
          <cell r="F740" t="str">
            <v>ESMALTES</v>
          </cell>
          <cell r="G740" t="str">
            <v>INDUSTRIAL</v>
          </cell>
        </row>
        <row r="741">
          <cell r="A741">
            <v>84440</v>
          </cell>
          <cell r="B741" t="str">
            <v>BRASILINE-AZUL PLUMBAGO 3,6L BRASILUX</v>
          </cell>
          <cell r="C741" t="str">
            <v>BT 170361402</v>
          </cell>
          <cell r="D741" t="str">
            <v>BRASILUX</v>
          </cell>
          <cell r="E741">
            <v>40001</v>
          </cell>
          <cell r="F741" t="str">
            <v>ESMALTES</v>
          </cell>
          <cell r="G741" t="str">
            <v>INDUSTRIAL</v>
          </cell>
        </row>
        <row r="742">
          <cell r="A742">
            <v>85029</v>
          </cell>
          <cell r="B742" t="str">
            <v>BRASILINE-BRANCO ACABAMENTO 18L BRASILUX</v>
          </cell>
          <cell r="C742" t="str">
            <v>BT 170500103</v>
          </cell>
          <cell r="D742" t="str">
            <v>BRASILUX</v>
          </cell>
          <cell r="E742">
            <v>40001</v>
          </cell>
          <cell r="F742" t="str">
            <v>ESMALTES</v>
          </cell>
          <cell r="G742" t="str">
            <v>INDUSTRIAL</v>
          </cell>
        </row>
        <row r="743">
          <cell r="A743">
            <v>84945</v>
          </cell>
          <cell r="B743" t="str">
            <v>BRASILINE-BRANCO BRILHANTE 18L BRASILUX</v>
          </cell>
          <cell r="C743" t="str">
            <v>BT 170500703</v>
          </cell>
          <cell r="D743" t="str">
            <v>BRASILUX</v>
          </cell>
          <cell r="E743">
            <v>40001</v>
          </cell>
          <cell r="F743" t="str">
            <v>ESMALTES</v>
          </cell>
          <cell r="G743" t="str">
            <v>INDUSTRIAL</v>
          </cell>
        </row>
        <row r="744">
          <cell r="A744">
            <v>84095</v>
          </cell>
          <cell r="B744" t="str">
            <v>BRASILINE-BRANCO BRILHANTE 3,6L BRASILUX</v>
          </cell>
          <cell r="C744" t="str">
            <v>BT 170500702</v>
          </cell>
          <cell r="D744" t="str">
            <v>BRASILUX</v>
          </cell>
          <cell r="E744">
            <v>40001</v>
          </cell>
          <cell r="F744" t="str">
            <v>ESMALTES</v>
          </cell>
          <cell r="G744" t="str">
            <v>INDUSTRIAL</v>
          </cell>
        </row>
        <row r="745">
          <cell r="A745">
            <v>84096</v>
          </cell>
          <cell r="B745" t="str">
            <v>BRASILINE-BRANCO BRILHANTE 900ML BRASILUX</v>
          </cell>
          <cell r="C745" t="str">
            <v>BT 170500701</v>
          </cell>
          <cell r="D745" t="str">
            <v>BRASILUX</v>
          </cell>
          <cell r="E745">
            <v>40001</v>
          </cell>
          <cell r="F745" t="str">
            <v>ESMALTES</v>
          </cell>
          <cell r="G745" t="str">
            <v>INDUSTRIAL</v>
          </cell>
        </row>
        <row r="746">
          <cell r="A746">
            <v>84097</v>
          </cell>
          <cell r="B746" t="str">
            <v>BRASILINE-BRANCO FOSCO 3,6L BRASILUX</v>
          </cell>
          <cell r="C746" t="str">
            <v>FO 170500702</v>
          </cell>
          <cell r="D746" t="str">
            <v>BRASILUX</v>
          </cell>
          <cell r="E746">
            <v>40001</v>
          </cell>
          <cell r="F746" t="str">
            <v>ESMALTES</v>
          </cell>
          <cell r="G746" t="str">
            <v>INDUSTRIAL</v>
          </cell>
        </row>
        <row r="747">
          <cell r="A747">
            <v>84098</v>
          </cell>
          <cell r="B747" t="str">
            <v>BRASILINE-BRANCO FOSCO 900ML BRASILUX</v>
          </cell>
          <cell r="C747" t="str">
            <v>FO 170500701</v>
          </cell>
          <cell r="D747" t="str">
            <v>BRASILUX</v>
          </cell>
          <cell r="E747">
            <v>40001</v>
          </cell>
          <cell r="F747" t="str">
            <v>ESMALTES</v>
          </cell>
          <cell r="G747" t="str">
            <v>INDUSTRIAL</v>
          </cell>
        </row>
        <row r="748">
          <cell r="A748">
            <v>84962</v>
          </cell>
          <cell r="B748" t="str">
            <v>BRASILINE-BRANCO N9,5 PURO 18L BRASILUX</v>
          </cell>
          <cell r="C748" t="str">
            <v>BT 170504703</v>
          </cell>
          <cell r="D748" t="str">
            <v>BRASILUX</v>
          </cell>
          <cell r="E748">
            <v>40001</v>
          </cell>
          <cell r="F748" t="str">
            <v>ESMALTES</v>
          </cell>
          <cell r="G748" t="str">
            <v>INDUSTRIAL</v>
          </cell>
        </row>
        <row r="749">
          <cell r="A749">
            <v>85182</v>
          </cell>
          <cell r="B749" t="str">
            <v>BRASILINE-CINZA CHASSI SUB GREY 98 3,6L BRASILUX</v>
          </cell>
          <cell r="C749" t="str">
            <v>BT 170601802</v>
          </cell>
          <cell r="D749" t="str">
            <v>BRASILUX</v>
          </cell>
          <cell r="E749">
            <v>40001</v>
          </cell>
          <cell r="F749" t="str">
            <v>ESMALTES</v>
          </cell>
          <cell r="G749" t="str">
            <v>INDUSTRIAL</v>
          </cell>
        </row>
        <row r="750">
          <cell r="A750">
            <v>85181</v>
          </cell>
          <cell r="B750" t="str">
            <v>BRASILINE-CINZA CHASSI SUB GREY 98 900ML BRASILUX</v>
          </cell>
          <cell r="C750" t="str">
            <v>BT 170601801</v>
          </cell>
          <cell r="D750" t="str">
            <v>BRASILUX</v>
          </cell>
          <cell r="E750">
            <v>40001</v>
          </cell>
          <cell r="F750" t="str">
            <v>ESMALTES</v>
          </cell>
          <cell r="G750" t="str">
            <v>INDUSTRIAL</v>
          </cell>
        </row>
        <row r="751">
          <cell r="A751">
            <v>85579</v>
          </cell>
          <cell r="B751" t="str">
            <v>BRASILINE-CINZA MEDIO 18L BRASILUX</v>
          </cell>
          <cell r="C751" t="str">
            <v>BT 170604803</v>
          </cell>
          <cell r="D751" t="str">
            <v>BRASILUX</v>
          </cell>
          <cell r="E751">
            <v>40001</v>
          </cell>
          <cell r="F751" t="str">
            <v>ESMALTES</v>
          </cell>
          <cell r="G751" t="str">
            <v>INDUSTRIAL</v>
          </cell>
        </row>
        <row r="752">
          <cell r="A752">
            <v>84681</v>
          </cell>
          <cell r="B752" t="str">
            <v>BRASILINE-CINZA MEDIO 3,6L BRASILUX</v>
          </cell>
          <cell r="C752" t="str">
            <v>BT 170604802</v>
          </cell>
          <cell r="D752" t="str">
            <v>BRASILUX</v>
          </cell>
          <cell r="E752">
            <v>40001</v>
          </cell>
          <cell r="F752" t="str">
            <v>ESMALTES</v>
          </cell>
          <cell r="G752" t="str">
            <v>INDUSTRIAL</v>
          </cell>
        </row>
        <row r="753">
          <cell r="A753">
            <v>84911</v>
          </cell>
          <cell r="B753" t="str">
            <v>BRASILINE-CINZA N3.5 ESCURO 3,6L BRASILUX</v>
          </cell>
          <cell r="C753" t="str">
            <v>BT 170601402</v>
          </cell>
          <cell r="D753" t="str">
            <v>BRASILUX</v>
          </cell>
          <cell r="E753">
            <v>40001</v>
          </cell>
          <cell r="F753" t="str">
            <v>ESMALTES</v>
          </cell>
          <cell r="G753" t="str">
            <v>INDUSTRIAL</v>
          </cell>
        </row>
        <row r="754">
          <cell r="A754">
            <v>84723</v>
          </cell>
          <cell r="B754" t="str">
            <v>BRASILINE-CINZA N6.5 CLARO 3,6L BRASILUX</v>
          </cell>
          <cell r="C754" t="str">
            <v>BT 170601702</v>
          </cell>
          <cell r="D754" t="str">
            <v>BRASILUX</v>
          </cell>
          <cell r="E754">
            <v>40001</v>
          </cell>
          <cell r="F754" t="str">
            <v>ESMALTES</v>
          </cell>
          <cell r="G754" t="str">
            <v>INDUSTRIAL</v>
          </cell>
        </row>
        <row r="755">
          <cell r="A755">
            <v>84724</v>
          </cell>
          <cell r="B755" t="str">
            <v>BRASILINE-CINZA N6.5 CLARO 900ML BRASILUX</v>
          </cell>
          <cell r="C755" t="str">
            <v>BT 170601701</v>
          </cell>
          <cell r="D755" t="str">
            <v>BRASILUX</v>
          </cell>
          <cell r="E755">
            <v>40001</v>
          </cell>
          <cell r="F755" t="str">
            <v>ESMALTES</v>
          </cell>
          <cell r="G755" t="str">
            <v>INDUSTRIAL</v>
          </cell>
        </row>
        <row r="756">
          <cell r="A756">
            <v>84952</v>
          </cell>
          <cell r="B756" t="str">
            <v>BRASILINE-LARANJA 2.5YR6/14 SEGURANCA 3,6L BRASILUX</v>
          </cell>
          <cell r="C756" t="str">
            <v>BT 170901402</v>
          </cell>
          <cell r="D756" t="str">
            <v>BRASILUX</v>
          </cell>
          <cell r="E756">
            <v>40001</v>
          </cell>
          <cell r="F756" t="str">
            <v>ESMALTES</v>
          </cell>
          <cell r="G756" t="str">
            <v>INDUSTRIAL</v>
          </cell>
        </row>
        <row r="757">
          <cell r="A757">
            <v>84090</v>
          </cell>
          <cell r="B757" t="str">
            <v>BRASILINE-LARANJA JACTO 3,6L BRASILUX</v>
          </cell>
          <cell r="C757" t="str">
            <v>BT 170905102</v>
          </cell>
          <cell r="D757" t="str">
            <v>BRASILUX</v>
          </cell>
          <cell r="E757">
            <v>40001</v>
          </cell>
          <cell r="F757" t="str">
            <v>ESMALTES</v>
          </cell>
          <cell r="G757" t="str">
            <v>INDUSTRIAL</v>
          </cell>
        </row>
        <row r="758">
          <cell r="A758">
            <v>84091</v>
          </cell>
          <cell r="B758" t="str">
            <v>BRASILINE-LARANJA JACTO 900ML BRASILUX</v>
          </cell>
          <cell r="C758" t="str">
            <v>BT 170905101</v>
          </cell>
          <cell r="D758" t="str">
            <v>BRASILUX</v>
          </cell>
          <cell r="E758">
            <v>40001</v>
          </cell>
          <cell r="F758" t="str">
            <v>ESMALTES</v>
          </cell>
          <cell r="G758" t="str">
            <v>INDUSTRIAL</v>
          </cell>
        </row>
        <row r="759">
          <cell r="A759">
            <v>84099</v>
          </cell>
          <cell r="B759" t="str">
            <v>BRASILINE-PRETO BRILHANTE N1 3,6L BRASILUX</v>
          </cell>
          <cell r="C759" t="str">
            <v>BT 171500802</v>
          </cell>
          <cell r="D759" t="str">
            <v>BRASILUX</v>
          </cell>
          <cell r="E759">
            <v>40001</v>
          </cell>
          <cell r="F759" t="str">
            <v>ESMALTES</v>
          </cell>
          <cell r="G759" t="str">
            <v>INDUSTRIAL</v>
          </cell>
        </row>
        <row r="760">
          <cell r="A760">
            <v>84100</v>
          </cell>
          <cell r="B760" t="str">
            <v>BRASILINE-PRETO BRILHANTE N1 900ML BRASILUX</v>
          </cell>
          <cell r="C760" t="str">
            <v>BT 171500801</v>
          </cell>
          <cell r="D760" t="str">
            <v>BRASILUX</v>
          </cell>
          <cell r="E760">
            <v>40001</v>
          </cell>
          <cell r="F760" t="str">
            <v>ESMALTES</v>
          </cell>
          <cell r="G760" t="str">
            <v>INDUSTRIAL</v>
          </cell>
        </row>
        <row r="761">
          <cell r="A761">
            <v>85575</v>
          </cell>
          <cell r="B761" t="str">
            <v>BRASILINE-PRETO CADILACK 18L BRASILUX</v>
          </cell>
          <cell r="C761" t="str">
            <v>BT 171500903</v>
          </cell>
          <cell r="D761" t="str">
            <v>BRASILUX</v>
          </cell>
          <cell r="E761">
            <v>40001</v>
          </cell>
          <cell r="F761" t="str">
            <v>ESMALTES</v>
          </cell>
          <cell r="G761" t="str">
            <v>INDUSTRIAL</v>
          </cell>
        </row>
        <row r="762">
          <cell r="A762">
            <v>84910</v>
          </cell>
          <cell r="B762" t="str">
            <v>BRASILINE-PRETO CADILACK 3,6L BRASILUX</v>
          </cell>
          <cell r="C762" t="str">
            <v>BT 171500902</v>
          </cell>
          <cell r="D762" t="str">
            <v>BRASILUX</v>
          </cell>
          <cell r="E762">
            <v>40001</v>
          </cell>
          <cell r="F762" t="str">
            <v>ESMALTES</v>
          </cell>
          <cell r="G762" t="str">
            <v>INDUSTRIAL</v>
          </cell>
        </row>
        <row r="763">
          <cell r="A763">
            <v>84101</v>
          </cell>
          <cell r="B763" t="str">
            <v>BRASILINE-PRETO FOSCO 3,6L BRASILUX</v>
          </cell>
          <cell r="C763" t="str">
            <v>FO 171500102</v>
          </cell>
          <cell r="D763" t="str">
            <v>BRASILUX</v>
          </cell>
          <cell r="E763">
            <v>40001</v>
          </cell>
          <cell r="F763" t="str">
            <v>ESMALTES</v>
          </cell>
          <cell r="G763" t="str">
            <v>INDUSTRIAL</v>
          </cell>
        </row>
        <row r="764">
          <cell r="A764">
            <v>84102</v>
          </cell>
          <cell r="B764" t="str">
            <v>BRASILINE-PRETO FOSCO 900ML BRASILUX</v>
          </cell>
          <cell r="C764" t="str">
            <v>FO 171500101</v>
          </cell>
          <cell r="D764" t="str">
            <v>BRASILUX</v>
          </cell>
          <cell r="E764">
            <v>40001</v>
          </cell>
          <cell r="F764" t="str">
            <v>ESMALTES</v>
          </cell>
          <cell r="G764" t="str">
            <v>INDUSTRIAL</v>
          </cell>
        </row>
        <row r="765">
          <cell r="A765">
            <v>84103</v>
          </cell>
          <cell r="B765" t="str">
            <v>BRASILINE-PRETO SEMI-FOSCO 3,6L BRASILUX</v>
          </cell>
          <cell r="C765" t="str">
            <v>SF 171500102</v>
          </cell>
          <cell r="D765" t="str">
            <v>BRASILUX</v>
          </cell>
          <cell r="E765">
            <v>40001</v>
          </cell>
          <cell r="F765" t="str">
            <v>ESMALTES</v>
          </cell>
          <cell r="G765" t="str">
            <v>INDUSTRIAL</v>
          </cell>
        </row>
        <row r="766">
          <cell r="A766">
            <v>84104</v>
          </cell>
          <cell r="B766" t="str">
            <v>BRASILINE-PRETO SEMI-FOSCO 900ML BRASILUX</v>
          </cell>
          <cell r="C766" t="str">
            <v>SF 171500101</v>
          </cell>
          <cell r="D766" t="str">
            <v>BRASILUX</v>
          </cell>
          <cell r="E766">
            <v>40001</v>
          </cell>
          <cell r="F766" t="str">
            <v>ESMALTES</v>
          </cell>
          <cell r="G766" t="str">
            <v>INDUSTRIAL</v>
          </cell>
        </row>
        <row r="767">
          <cell r="A767">
            <v>85349</v>
          </cell>
          <cell r="B767" t="str">
            <v>BRASILINE-PRIMER ACAB AZUL 5PB2/6 DELREY 18L BRASILUX</v>
          </cell>
          <cell r="C767" t="str">
            <v>PA 170310003</v>
          </cell>
          <cell r="D767" t="str">
            <v>BRASILUX</v>
          </cell>
          <cell r="E767">
            <v>40001</v>
          </cell>
          <cell r="F767" t="str">
            <v>ESMALTES</v>
          </cell>
          <cell r="G767" t="str">
            <v>INDUSTRIAL</v>
          </cell>
        </row>
        <row r="768">
          <cell r="A768">
            <v>85348</v>
          </cell>
          <cell r="B768" t="str">
            <v>BRASILINE-PRIMER ACAB AZUL 5PB2/6 DELREY 3,6L BRASILUX</v>
          </cell>
          <cell r="C768" t="str">
            <v>PA 170310002</v>
          </cell>
          <cell r="D768" t="str">
            <v>BRASILUX</v>
          </cell>
          <cell r="E768">
            <v>40001</v>
          </cell>
          <cell r="F768" t="str">
            <v>ESMALTES</v>
          </cell>
          <cell r="G768" t="str">
            <v>INDUSTRIAL</v>
          </cell>
        </row>
        <row r="769">
          <cell r="A769">
            <v>85347</v>
          </cell>
          <cell r="B769" t="str">
            <v>BRASILINE-PRIMER ACAB AZUL 5PB2/6 DELREY 900ML BRASILUX</v>
          </cell>
          <cell r="C769" t="str">
            <v>PA 170310001</v>
          </cell>
          <cell r="D769" t="str">
            <v>BRASILUX</v>
          </cell>
          <cell r="E769">
            <v>40001</v>
          </cell>
          <cell r="F769" t="str">
            <v>ESMALTES</v>
          </cell>
          <cell r="G769" t="str">
            <v>INDUSTRIAL</v>
          </cell>
        </row>
        <row r="770">
          <cell r="A770">
            <v>85453</v>
          </cell>
          <cell r="B770" t="str">
            <v>BRASILINE-PRIMER ACAB CINZA ESCURO 3,6L BRASILUX</v>
          </cell>
          <cell r="C770" t="str">
            <v>PA 170614002</v>
          </cell>
          <cell r="D770" t="str">
            <v>BRASILUX</v>
          </cell>
          <cell r="E770">
            <v>40001</v>
          </cell>
          <cell r="F770" t="str">
            <v>ESMALTES</v>
          </cell>
          <cell r="G770" t="str">
            <v>INDUSTRIAL</v>
          </cell>
        </row>
        <row r="771">
          <cell r="A771">
            <v>84908</v>
          </cell>
          <cell r="B771" t="str">
            <v>BRASILINE-VERDE 10GY3/6 FOLHA 3,6L BRASILUX</v>
          </cell>
          <cell r="C771" t="str">
            <v>BT 172202002</v>
          </cell>
          <cell r="D771" t="str">
            <v>BRASILUX</v>
          </cell>
          <cell r="E771">
            <v>40001</v>
          </cell>
          <cell r="F771" t="str">
            <v>ESMALTES</v>
          </cell>
          <cell r="G771" t="str">
            <v>INDUSTRIAL</v>
          </cell>
        </row>
        <row r="772">
          <cell r="A772">
            <v>84909</v>
          </cell>
          <cell r="B772" t="str">
            <v>BRASILINE-VERDE 2.5G4/8 PETROBRAS 3,6L BRASILUX</v>
          </cell>
          <cell r="C772" t="str">
            <v>BT 172200602</v>
          </cell>
          <cell r="D772" t="str">
            <v>BRASILUX</v>
          </cell>
          <cell r="E772">
            <v>40001</v>
          </cell>
          <cell r="F772" t="str">
            <v>ESMALTES</v>
          </cell>
          <cell r="G772" t="str">
            <v>INDUSTRIAL</v>
          </cell>
        </row>
        <row r="773">
          <cell r="A773">
            <v>84088</v>
          </cell>
          <cell r="B773" t="str">
            <v>BRASILINE-VERMELHO 5R4/14 SEGURANCA 3,6L BRASILUX</v>
          </cell>
          <cell r="C773" t="str">
            <v>BT 172304502</v>
          </cell>
          <cell r="D773" t="str">
            <v>BRASILUX</v>
          </cell>
          <cell r="E773">
            <v>40001</v>
          </cell>
          <cell r="F773" t="str">
            <v>ESMALTES</v>
          </cell>
          <cell r="G773" t="str">
            <v>INDUSTRIAL</v>
          </cell>
        </row>
        <row r="774">
          <cell r="A774">
            <v>84089</v>
          </cell>
          <cell r="B774" t="str">
            <v>BRASILINE-VERMELHO 5R4/14 SEGURANCA 900ML BRASILUX</v>
          </cell>
          <cell r="C774" t="str">
            <v>BT 172304501</v>
          </cell>
          <cell r="D774" t="str">
            <v>BRASILUX</v>
          </cell>
          <cell r="E774">
            <v>40001</v>
          </cell>
          <cell r="F774" t="str">
            <v>ESMALTES</v>
          </cell>
          <cell r="G774" t="str">
            <v>INDUSTRIAL</v>
          </cell>
        </row>
        <row r="775">
          <cell r="A775">
            <v>84092</v>
          </cell>
          <cell r="B775" t="str">
            <v>BRASILINE-VERMELHO MASSEY FERGUSSON 3,6L BRASILUX</v>
          </cell>
          <cell r="C775" t="str">
            <v>BT 172302302</v>
          </cell>
          <cell r="D775" t="str">
            <v>BRASILUX</v>
          </cell>
          <cell r="E775">
            <v>40001</v>
          </cell>
          <cell r="F775" t="str">
            <v>ESMALTES</v>
          </cell>
          <cell r="G775" t="str">
            <v>INDUSTRIAL</v>
          </cell>
        </row>
        <row r="776">
          <cell r="A776">
            <v>84093</v>
          </cell>
          <cell r="B776" t="str">
            <v>BRASILINE-VERMELHO MASSEY FERGUSSON 900ML BRASILUX</v>
          </cell>
          <cell r="C776" t="str">
            <v>BT 172302301</v>
          </cell>
          <cell r="D776" t="str">
            <v>BRASILUX</v>
          </cell>
          <cell r="E776">
            <v>40001</v>
          </cell>
          <cell r="F776" t="str">
            <v>ESMALTES</v>
          </cell>
          <cell r="G776" t="str">
            <v>INDUSTRIAL</v>
          </cell>
        </row>
        <row r="777">
          <cell r="A777">
            <v>84802</v>
          </cell>
          <cell r="B777" t="str">
            <v>BRASILINE-ZARCAO CINZA 18L BRASILUX</v>
          </cell>
          <cell r="D777" t="str">
            <v>BRASILUX</v>
          </cell>
          <cell r="E777">
            <v>40001</v>
          </cell>
          <cell r="F777" t="str">
            <v>ESMALTES</v>
          </cell>
          <cell r="G777" t="str">
            <v>INDUSTRIAL</v>
          </cell>
        </row>
        <row r="778">
          <cell r="A778">
            <v>84130</v>
          </cell>
          <cell r="B778" t="str">
            <v>BRASIMOB-ALUMINIO 225ML BRASILUX</v>
          </cell>
          <cell r="C778" t="str">
            <v>BT 390100111</v>
          </cell>
          <cell r="D778" t="str">
            <v>BRASILUX</v>
          </cell>
          <cell r="E778">
            <v>40001</v>
          </cell>
          <cell r="F778" t="str">
            <v>ESMALTES</v>
          </cell>
          <cell r="G778" t="str">
            <v>INDUSTRIAL</v>
          </cell>
        </row>
        <row r="779">
          <cell r="A779">
            <v>84324</v>
          </cell>
          <cell r="B779" t="str">
            <v>BRASIMOB-ALUMINIO 3,6L BRASILUX</v>
          </cell>
          <cell r="C779" t="str">
            <v>BT 390100102</v>
          </cell>
          <cell r="D779" t="str">
            <v>BRASILUX</v>
          </cell>
          <cell r="E779">
            <v>40001</v>
          </cell>
          <cell r="F779" t="str">
            <v>ESMALTES</v>
          </cell>
          <cell r="G779" t="str">
            <v>INDUSTRIAL</v>
          </cell>
        </row>
        <row r="780">
          <cell r="A780">
            <v>84349</v>
          </cell>
          <cell r="B780" t="str">
            <v>BRASIMOB-ALUMINIO 900ML BRASILUX</v>
          </cell>
          <cell r="C780" t="str">
            <v>BT 390100101</v>
          </cell>
          <cell r="D780" t="str">
            <v>BRASILUX</v>
          </cell>
          <cell r="E780">
            <v>40001</v>
          </cell>
          <cell r="F780" t="str">
            <v>ESMALTES</v>
          </cell>
          <cell r="G780" t="str">
            <v>INDUSTRIAL</v>
          </cell>
        </row>
        <row r="781">
          <cell r="A781">
            <v>84131</v>
          </cell>
          <cell r="B781" t="str">
            <v>BRASIMOB-AMARELO OURO 225ML BRASILUX</v>
          </cell>
          <cell r="C781" t="str">
            <v>BT 390200111</v>
          </cell>
          <cell r="D781" t="str">
            <v>BRASILUX</v>
          </cell>
          <cell r="E781">
            <v>40001</v>
          </cell>
          <cell r="F781" t="str">
            <v>ESMALTES</v>
          </cell>
          <cell r="G781" t="str">
            <v>INDUSTRIAL</v>
          </cell>
        </row>
        <row r="782">
          <cell r="A782">
            <v>84325</v>
          </cell>
          <cell r="B782" t="str">
            <v>BRASIMOB-AMARELO OURO 3,6L BRASILUX</v>
          </cell>
          <cell r="C782" t="str">
            <v>BT 390200102</v>
          </cell>
          <cell r="D782" t="str">
            <v>BRASILUX</v>
          </cell>
          <cell r="E782">
            <v>40001</v>
          </cell>
          <cell r="F782" t="str">
            <v>ESMALTES</v>
          </cell>
          <cell r="G782" t="str">
            <v>INDUSTRIAL</v>
          </cell>
        </row>
        <row r="783">
          <cell r="A783">
            <v>84350</v>
          </cell>
          <cell r="B783" t="str">
            <v>BRASIMOB-AMARELO OURO 900ML BRASILUX</v>
          </cell>
          <cell r="C783" t="str">
            <v>BT 390200101</v>
          </cell>
          <cell r="D783" t="str">
            <v>BRASILUX</v>
          </cell>
          <cell r="E783">
            <v>40001</v>
          </cell>
          <cell r="F783" t="str">
            <v>ESMALTES</v>
          </cell>
          <cell r="G783" t="str">
            <v>INDUSTRIAL</v>
          </cell>
        </row>
        <row r="784">
          <cell r="A784">
            <v>84800</v>
          </cell>
          <cell r="B784" t="str">
            <v>BRASIMOB-AMARELO SEGURANCA 18L BRASILUX</v>
          </cell>
          <cell r="C784" t="str">
            <v>BT 390205103 -</v>
          </cell>
          <cell r="D784" t="str">
            <v>BRASILUX</v>
          </cell>
          <cell r="E784">
            <v>40001</v>
          </cell>
          <cell r="F784" t="str">
            <v>ESMALTES</v>
          </cell>
          <cell r="G784" t="str">
            <v>INDUSTRIAL</v>
          </cell>
        </row>
        <row r="785">
          <cell r="A785">
            <v>84351</v>
          </cell>
          <cell r="B785" t="str">
            <v>BRASIMOB-AMARELO SEGURANCA 3,6L BRASILUX</v>
          </cell>
          <cell r="C785" t="str">
            <v>BT 390205102</v>
          </cell>
          <cell r="D785" t="str">
            <v>BRASILUX</v>
          </cell>
          <cell r="E785">
            <v>40001</v>
          </cell>
          <cell r="F785" t="str">
            <v>ESMALTES</v>
          </cell>
          <cell r="G785" t="str">
            <v>INDUSTRIAL</v>
          </cell>
        </row>
        <row r="786">
          <cell r="A786">
            <v>84326</v>
          </cell>
          <cell r="B786" t="str">
            <v>BRASIMOB-AREIA 3,6L BRASILUX</v>
          </cell>
          <cell r="C786" t="str">
            <v>BT 390700102</v>
          </cell>
          <cell r="D786" t="str">
            <v>BRASILUX</v>
          </cell>
          <cell r="E786">
            <v>40001</v>
          </cell>
          <cell r="F786" t="str">
            <v>ESMALTES</v>
          </cell>
          <cell r="G786" t="str">
            <v>INDUSTRIAL</v>
          </cell>
        </row>
        <row r="787">
          <cell r="A787">
            <v>84352</v>
          </cell>
          <cell r="B787" t="str">
            <v>BRASIMOB-AREIA 900ML BRASILUX</v>
          </cell>
          <cell r="C787" t="str">
            <v>BT 390700101</v>
          </cell>
          <cell r="D787" t="str">
            <v>BRASILUX</v>
          </cell>
          <cell r="E787">
            <v>40001</v>
          </cell>
          <cell r="F787" t="str">
            <v>ESMALTES</v>
          </cell>
          <cell r="G787" t="str">
            <v>INDUSTRIAL</v>
          </cell>
        </row>
        <row r="788">
          <cell r="A788">
            <v>84327</v>
          </cell>
          <cell r="B788" t="str">
            <v>BRASIMOB-AZUL CELESTE 3,6L BRASILUX</v>
          </cell>
          <cell r="C788" t="str">
            <v>BT 390316902</v>
          </cell>
          <cell r="D788" t="str">
            <v>BRASILUX</v>
          </cell>
          <cell r="E788">
            <v>40001</v>
          </cell>
          <cell r="F788" t="str">
            <v>ESMALTES</v>
          </cell>
          <cell r="G788" t="str">
            <v>INDUSTRIAL</v>
          </cell>
        </row>
        <row r="789">
          <cell r="A789">
            <v>84353</v>
          </cell>
          <cell r="B789" t="str">
            <v>BRASIMOB-AZUL CELESTE 900ML BRASILUX</v>
          </cell>
          <cell r="C789" t="str">
            <v>BT 390316901</v>
          </cell>
          <cell r="D789" t="str">
            <v>BRASILUX</v>
          </cell>
          <cell r="E789">
            <v>40001</v>
          </cell>
          <cell r="F789" t="str">
            <v>ESMALTES</v>
          </cell>
          <cell r="G789" t="str">
            <v>INDUSTRIAL</v>
          </cell>
        </row>
        <row r="790">
          <cell r="A790">
            <v>84799</v>
          </cell>
          <cell r="B790" t="str">
            <v>BRASIMOB-AZUL DEL REY 18L BRASILUX</v>
          </cell>
          <cell r="C790" t="str">
            <v>BT 390320003</v>
          </cell>
          <cell r="D790" t="str">
            <v>BRASILUX</v>
          </cell>
          <cell r="E790">
            <v>40001</v>
          </cell>
          <cell r="F790" t="str">
            <v>ESMALTES</v>
          </cell>
          <cell r="G790" t="str">
            <v>INDUSTRIAL</v>
          </cell>
        </row>
        <row r="791">
          <cell r="A791">
            <v>84132</v>
          </cell>
          <cell r="B791" t="str">
            <v>BRASIMOB-AZUL DEL REY 225ML BRASILUX</v>
          </cell>
          <cell r="C791" t="str">
            <v>BT 390320011</v>
          </cell>
          <cell r="D791" t="str">
            <v>BRASILUX</v>
          </cell>
          <cell r="E791">
            <v>40001</v>
          </cell>
          <cell r="F791" t="str">
            <v>ESMALTES</v>
          </cell>
          <cell r="G791" t="str">
            <v>INDUSTRIAL</v>
          </cell>
        </row>
        <row r="792">
          <cell r="A792">
            <v>84328</v>
          </cell>
          <cell r="B792" t="str">
            <v>BRASIMOB-AZUL DEL REY 3,6L BRASILUX</v>
          </cell>
          <cell r="C792" t="str">
            <v>BT 390320002</v>
          </cell>
          <cell r="D792" t="str">
            <v>BRASILUX</v>
          </cell>
          <cell r="E792">
            <v>40001</v>
          </cell>
          <cell r="F792" t="str">
            <v>ESMALTES</v>
          </cell>
          <cell r="G792" t="str">
            <v>INDUSTRIAL</v>
          </cell>
        </row>
        <row r="793">
          <cell r="A793">
            <v>84354</v>
          </cell>
          <cell r="B793" t="str">
            <v>BRASIMOB-AZUL DEL REY 900ML BRASILUX</v>
          </cell>
          <cell r="C793" t="str">
            <v>BT 390320001</v>
          </cell>
          <cell r="D793" t="str">
            <v>BRASILUX</v>
          </cell>
          <cell r="E793">
            <v>40001</v>
          </cell>
          <cell r="F793" t="str">
            <v>ESMALTES</v>
          </cell>
          <cell r="G793" t="str">
            <v>INDUSTRIAL</v>
          </cell>
        </row>
        <row r="794">
          <cell r="A794">
            <v>84795</v>
          </cell>
          <cell r="B794" t="str">
            <v>BRASIMOB-AZUL FRANCA 18L BRASILUX</v>
          </cell>
          <cell r="C794" t="str">
            <v>BT 390302703</v>
          </cell>
          <cell r="D794" t="str">
            <v>BRASILUX</v>
          </cell>
          <cell r="E794">
            <v>40001</v>
          </cell>
          <cell r="F794" t="str">
            <v>ESMALTES</v>
          </cell>
          <cell r="G794" t="str">
            <v>INDUSTRIAL</v>
          </cell>
        </row>
        <row r="795">
          <cell r="A795">
            <v>84133</v>
          </cell>
          <cell r="B795" t="str">
            <v>BRASIMOB-AZUL FRANCA 225ML BRASILUX</v>
          </cell>
          <cell r="C795" t="str">
            <v>BT 390302711</v>
          </cell>
          <cell r="D795" t="str">
            <v>BRASILUX</v>
          </cell>
          <cell r="E795">
            <v>40001</v>
          </cell>
          <cell r="F795" t="str">
            <v>ESMALTES</v>
          </cell>
          <cell r="G795" t="str">
            <v>INDUSTRIAL</v>
          </cell>
        </row>
        <row r="796">
          <cell r="A796">
            <v>84329</v>
          </cell>
          <cell r="B796" t="str">
            <v>BRASIMOB-AZUL FRANCA 3,6L BRASILUX</v>
          </cell>
          <cell r="C796" t="str">
            <v>BT 390302702</v>
          </cell>
          <cell r="D796" t="str">
            <v>BRASILUX</v>
          </cell>
          <cell r="E796">
            <v>40001</v>
          </cell>
          <cell r="F796" t="str">
            <v>ESMALTES</v>
          </cell>
          <cell r="G796" t="str">
            <v>INDUSTRIAL</v>
          </cell>
        </row>
        <row r="797">
          <cell r="A797">
            <v>84355</v>
          </cell>
          <cell r="B797" t="str">
            <v>BRASIMOB-AZUL FRANCA 900ML BRASILUX</v>
          </cell>
          <cell r="C797" t="str">
            <v>BT 390302701</v>
          </cell>
          <cell r="D797" t="str">
            <v>BRASILUX</v>
          </cell>
          <cell r="E797">
            <v>40001</v>
          </cell>
          <cell r="F797" t="str">
            <v>ESMALTES</v>
          </cell>
          <cell r="G797" t="str">
            <v>INDUSTRIAL</v>
          </cell>
        </row>
        <row r="798">
          <cell r="A798">
            <v>85009</v>
          </cell>
          <cell r="B798" t="str">
            <v>BRASIMOB-AZUL MAR 3,6L BRASILUX</v>
          </cell>
          <cell r="C798" t="str">
            <v>BT 390304202</v>
          </cell>
          <cell r="D798" t="str">
            <v>BRASILUX</v>
          </cell>
          <cell r="E798">
            <v>40001</v>
          </cell>
          <cell r="F798" t="str">
            <v>ESMALTES</v>
          </cell>
          <cell r="G798" t="str">
            <v>INDUSTRIAL</v>
          </cell>
        </row>
        <row r="799">
          <cell r="A799">
            <v>85080</v>
          </cell>
          <cell r="B799" t="str">
            <v>BRASIMOB-AZUL MAR 900ML BRASILUX</v>
          </cell>
          <cell r="C799" t="str">
            <v>BT 390304201</v>
          </cell>
          <cell r="D799" t="str">
            <v>BRASILUX</v>
          </cell>
          <cell r="E799">
            <v>40001</v>
          </cell>
          <cell r="F799" t="str">
            <v>ESMALTES</v>
          </cell>
          <cell r="G799" t="str">
            <v>INDUSTRIAL</v>
          </cell>
        </row>
        <row r="800">
          <cell r="A800">
            <v>84788</v>
          </cell>
          <cell r="B800" t="str">
            <v>BRASIMOB-AZUL ROYAL 3,6L BRASILUX</v>
          </cell>
          <cell r="C800" t="str">
            <v>BT 390327702</v>
          </cell>
          <cell r="D800" t="str">
            <v>BRASILUX</v>
          </cell>
          <cell r="E800">
            <v>40001</v>
          </cell>
          <cell r="F800" t="str">
            <v>ESMALTES</v>
          </cell>
          <cell r="G800" t="str">
            <v>INDUSTRIAL</v>
          </cell>
        </row>
        <row r="801">
          <cell r="A801">
            <v>84134</v>
          </cell>
          <cell r="B801" t="str">
            <v>BRASIMOB-BRANCO 225ML BRASILUX</v>
          </cell>
          <cell r="C801" t="str">
            <v>BT 390500711</v>
          </cell>
          <cell r="D801" t="str">
            <v>BRASILUX</v>
          </cell>
          <cell r="E801">
            <v>40001</v>
          </cell>
          <cell r="F801" t="str">
            <v>ESMALTES</v>
          </cell>
          <cell r="G801" t="str">
            <v>INDUSTRIAL</v>
          </cell>
        </row>
        <row r="802">
          <cell r="A802">
            <v>84142</v>
          </cell>
          <cell r="B802" t="str">
            <v>BRASIMOB-BRANCO ACETINADO 3,6L BRASILUX</v>
          </cell>
          <cell r="C802" t="str">
            <v>AC 390500702</v>
          </cell>
          <cell r="D802" t="str">
            <v>BRASILUX</v>
          </cell>
          <cell r="E802">
            <v>40001</v>
          </cell>
          <cell r="F802" t="str">
            <v>ESMALTES</v>
          </cell>
          <cell r="G802" t="str">
            <v>INDUSTRIAL</v>
          </cell>
        </row>
        <row r="803">
          <cell r="A803">
            <v>84143</v>
          </cell>
          <cell r="B803" t="str">
            <v>BRASIMOB-BRANCO ACETINADO 900ML BRASILUX</v>
          </cell>
          <cell r="C803" t="str">
            <v>AC 390500701</v>
          </cell>
          <cell r="D803" t="str">
            <v>BRASILUX</v>
          </cell>
          <cell r="E803">
            <v>40001</v>
          </cell>
          <cell r="F803" t="str">
            <v>ESMALTES</v>
          </cell>
          <cell r="G803" t="str">
            <v>INDUSTRIAL</v>
          </cell>
        </row>
        <row r="804">
          <cell r="A804">
            <v>84793</v>
          </cell>
          <cell r="B804" t="str">
            <v>BRASIMOB-BRANCO BRILHANTE 18L BRASILUX</v>
          </cell>
          <cell r="C804" t="str">
            <v>BT 390500703</v>
          </cell>
          <cell r="D804" t="str">
            <v>BRASILUX</v>
          </cell>
          <cell r="E804">
            <v>40001</v>
          </cell>
          <cell r="F804" t="str">
            <v>ESMALTES</v>
          </cell>
          <cell r="G804" t="str">
            <v>INDUSTRIAL</v>
          </cell>
        </row>
        <row r="805">
          <cell r="A805">
            <v>84331</v>
          </cell>
          <cell r="B805" t="str">
            <v>BRASIMOB-BRANCO BRILHANTE 3,6L BRASILUX</v>
          </cell>
          <cell r="C805" t="str">
            <v>BT 390500702</v>
          </cell>
          <cell r="D805" t="str">
            <v>BRASILUX</v>
          </cell>
          <cell r="E805">
            <v>40001</v>
          </cell>
          <cell r="F805" t="str">
            <v>ESMALTES</v>
          </cell>
          <cell r="G805" t="str">
            <v>INDUSTRIAL</v>
          </cell>
        </row>
        <row r="806">
          <cell r="A806">
            <v>84357</v>
          </cell>
          <cell r="B806" t="str">
            <v>BRASIMOB-BRANCO BRILHANTE 900ML BRASILUX</v>
          </cell>
          <cell r="C806" t="str">
            <v>BT 390500701</v>
          </cell>
          <cell r="D806" t="str">
            <v>BRASILUX</v>
          </cell>
          <cell r="E806">
            <v>40001</v>
          </cell>
          <cell r="F806" t="str">
            <v>ESMALTES</v>
          </cell>
          <cell r="G806" t="str">
            <v>INDUSTRIAL</v>
          </cell>
        </row>
        <row r="807">
          <cell r="A807">
            <v>84144</v>
          </cell>
          <cell r="B807" t="str">
            <v>BRASIMOB-BRANCO FOSCO 3,6L BRASILUX</v>
          </cell>
          <cell r="C807" t="str">
            <v>FO 390500702</v>
          </cell>
          <cell r="D807" t="str">
            <v>BRASILUX</v>
          </cell>
          <cell r="E807">
            <v>40001</v>
          </cell>
          <cell r="F807" t="str">
            <v>ESMALTES</v>
          </cell>
          <cell r="G807" t="str">
            <v>INDUSTRIAL</v>
          </cell>
        </row>
        <row r="808">
          <cell r="A808">
            <v>84146</v>
          </cell>
          <cell r="B808" t="str">
            <v>BRASIMOB-BRANCO FOSCO 900ML BRASILUX</v>
          </cell>
          <cell r="C808" t="str">
            <v>FO 390500701</v>
          </cell>
          <cell r="D808" t="str">
            <v>BRASILUX</v>
          </cell>
          <cell r="E808">
            <v>40001</v>
          </cell>
          <cell r="F808" t="str">
            <v>ESMALTES</v>
          </cell>
          <cell r="G808" t="str">
            <v>INDUSTRIAL</v>
          </cell>
        </row>
        <row r="809">
          <cell r="A809">
            <v>84330</v>
          </cell>
          <cell r="B809" t="str">
            <v>BRASIMOB-BRANCO GELO 3,6L BRASILUX</v>
          </cell>
          <cell r="C809" t="str">
            <v>BT 390501702</v>
          </cell>
          <cell r="D809" t="str">
            <v>BRASILUX</v>
          </cell>
          <cell r="E809">
            <v>40001</v>
          </cell>
          <cell r="F809" t="str">
            <v>ESMALTES</v>
          </cell>
          <cell r="G809" t="str">
            <v>INDUSTRIAL</v>
          </cell>
        </row>
        <row r="810">
          <cell r="A810">
            <v>84356</v>
          </cell>
          <cell r="B810" t="str">
            <v>BRASIMOB-BRANCO GELO 900ML BRASILUX</v>
          </cell>
          <cell r="C810" t="str">
            <v>BT 390501701</v>
          </cell>
          <cell r="D810" t="str">
            <v>BRASILUX</v>
          </cell>
          <cell r="E810">
            <v>40001</v>
          </cell>
          <cell r="F810" t="str">
            <v>ESMALTES</v>
          </cell>
          <cell r="G810" t="str">
            <v>INDUSTRIAL</v>
          </cell>
        </row>
        <row r="811">
          <cell r="A811">
            <v>84332</v>
          </cell>
          <cell r="B811" t="str">
            <v>BRASIMOB-CAMURCA 3,6L BRASILUX</v>
          </cell>
          <cell r="C811" t="str">
            <v>BT 392400102</v>
          </cell>
          <cell r="D811" t="str">
            <v>BRASILUX</v>
          </cell>
          <cell r="E811">
            <v>40001</v>
          </cell>
          <cell r="F811" t="str">
            <v>ESMALTES</v>
          </cell>
          <cell r="G811" t="str">
            <v>INDUSTRIAL</v>
          </cell>
        </row>
        <row r="812">
          <cell r="A812">
            <v>84361</v>
          </cell>
          <cell r="B812" t="str">
            <v>BRASIMOB-CAMURCA 900ML BRASILUX</v>
          </cell>
          <cell r="C812" t="str">
            <v>BT 392400101</v>
          </cell>
          <cell r="D812" t="str">
            <v>BRASILUX</v>
          </cell>
          <cell r="E812">
            <v>40001</v>
          </cell>
          <cell r="F812" t="str">
            <v>ESMALTES</v>
          </cell>
          <cell r="G812" t="str">
            <v>INDUSTRIAL</v>
          </cell>
        </row>
        <row r="813">
          <cell r="A813">
            <v>84776</v>
          </cell>
          <cell r="B813" t="str">
            <v>BRASIMOB-CERAMICA 3,6L BRASILUX</v>
          </cell>
          <cell r="C813" t="str">
            <v>BT 393000102</v>
          </cell>
          <cell r="D813" t="str">
            <v>BRASILUX</v>
          </cell>
          <cell r="E813">
            <v>40001</v>
          </cell>
          <cell r="F813" t="str">
            <v>ESMALTES</v>
          </cell>
          <cell r="G813" t="str">
            <v>INDUSTRIAL</v>
          </cell>
        </row>
        <row r="814">
          <cell r="A814">
            <v>84775</v>
          </cell>
          <cell r="B814" t="str">
            <v>BRASIMOB-CERAMICA 900ML BRASILUX</v>
          </cell>
          <cell r="C814" t="str">
            <v>BT 393000101</v>
          </cell>
          <cell r="D814" t="str">
            <v>BRASILUX</v>
          </cell>
          <cell r="E814">
            <v>40001</v>
          </cell>
          <cell r="F814" t="str">
            <v>ESMALTES</v>
          </cell>
          <cell r="G814" t="str">
            <v>INDUSTRIAL</v>
          </cell>
        </row>
        <row r="815">
          <cell r="A815">
            <v>84798</v>
          </cell>
          <cell r="B815" t="str">
            <v>BRASIMOB-CINZA ESCURO 18L BRASILUX</v>
          </cell>
          <cell r="C815" t="str">
            <v>BT 390614003</v>
          </cell>
          <cell r="D815" t="str">
            <v>BRASILUX</v>
          </cell>
          <cell r="E815">
            <v>40001</v>
          </cell>
          <cell r="F815" t="str">
            <v>ESMALTES</v>
          </cell>
          <cell r="G815" t="str">
            <v>INDUSTRIAL</v>
          </cell>
        </row>
        <row r="816">
          <cell r="A816">
            <v>84333</v>
          </cell>
          <cell r="B816" t="str">
            <v>BRASIMOB-CINZA ESCURO 3,6L BRASILUX</v>
          </cell>
          <cell r="C816" t="str">
            <v>BT 390614002</v>
          </cell>
          <cell r="D816" t="str">
            <v>BRASILUX</v>
          </cell>
          <cell r="E816">
            <v>40001</v>
          </cell>
          <cell r="F816" t="str">
            <v>ESMALTES</v>
          </cell>
          <cell r="G816" t="str">
            <v>INDUSTRIAL</v>
          </cell>
        </row>
        <row r="817">
          <cell r="A817">
            <v>84358</v>
          </cell>
          <cell r="B817" t="str">
            <v>BRASIMOB-CINZA ESCURO 900ML BRASILUX</v>
          </cell>
          <cell r="C817" t="str">
            <v>BT 390614001</v>
          </cell>
          <cell r="D817" t="str">
            <v>BRASILUX</v>
          </cell>
          <cell r="E817">
            <v>40001</v>
          </cell>
          <cell r="F817" t="str">
            <v>ESMALTES</v>
          </cell>
          <cell r="G817" t="str">
            <v>INDUSTRIAL</v>
          </cell>
        </row>
        <row r="818">
          <cell r="A818">
            <v>84796</v>
          </cell>
          <cell r="B818" t="str">
            <v>BRASIMOB-CINZA MEDIO 18L BRASILUX</v>
          </cell>
          <cell r="C818" t="str">
            <v>BT 390604803</v>
          </cell>
          <cell r="D818" t="str">
            <v>BRASILUX</v>
          </cell>
          <cell r="E818">
            <v>40001</v>
          </cell>
          <cell r="F818" t="str">
            <v>ESMALTES</v>
          </cell>
          <cell r="G818" t="str">
            <v>INDUSTRIAL</v>
          </cell>
        </row>
        <row r="819">
          <cell r="A819">
            <v>84135</v>
          </cell>
          <cell r="B819" t="str">
            <v>BRASIMOB-CINZA MEDIO 225ML BRASILUX</v>
          </cell>
          <cell r="C819" t="str">
            <v>BT 390604811</v>
          </cell>
          <cell r="D819" t="str">
            <v>BRASILUX</v>
          </cell>
          <cell r="E819">
            <v>40001</v>
          </cell>
          <cell r="F819" t="str">
            <v>ESMALTES</v>
          </cell>
          <cell r="G819" t="str">
            <v>INDUSTRIAL</v>
          </cell>
        </row>
        <row r="820">
          <cell r="A820">
            <v>84334</v>
          </cell>
          <cell r="B820" t="str">
            <v>BRASIMOB-CINZA MEDIO 3,6L BRASILUX</v>
          </cell>
          <cell r="C820" t="str">
            <v>BT 390604802</v>
          </cell>
          <cell r="D820" t="str">
            <v>BRASILUX</v>
          </cell>
          <cell r="E820">
            <v>40001</v>
          </cell>
          <cell r="F820" t="str">
            <v>ESMALTES</v>
          </cell>
          <cell r="G820" t="str">
            <v>INDUSTRIAL</v>
          </cell>
        </row>
        <row r="821">
          <cell r="A821">
            <v>84359</v>
          </cell>
          <cell r="B821" t="str">
            <v>BRASIMOB-CINZA MEDIO 900ML BRASILUX</v>
          </cell>
          <cell r="C821" t="str">
            <v>BT 390604801</v>
          </cell>
          <cell r="D821" t="str">
            <v>BRASILUX</v>
          </cell>
          <cell r="E821">
            <v>40001</v>
          </cell>
          <cell r="F821" t="str">
            <v>ESMALTES</v>
          </cell>
          <cell r="G821" t="str">
            <v>INDUSTRIAL</v>
          </cell>
        </row>
        <row r="822">
          <cell r="A822">
            <v>84336</v>
          </cell>
          <cell r="B822" t="str">
            <v>BRASIMOB-COLORADO 3,6L BRASILUX</v>
          </cell>
          <cell r="C822" t="str">
            <v>BT 392900102</v>
          </cell>
          <cell r="D822" t="str">
            <v>BRASILUX</v>
          </cell>
          <cell r="E822">
            <v>40001</v>
          </cell>
          <cell r="F822" t="str">
            <v>ESMALTES</v>
          </cell>
          <cell r="G822" t="str">
            <v>INDUSTRIAL</v>
          </cell>
        </row>
        <row r="823">
          <cell r="A823">
            <v>84362</v>
          </cell>
          <cell r="B823" t="str">
            <v>BRASIMOB-COLORADO 900ML BRASILUX</v>
          </cell>
          <cell r="C823" t="str">
            <v>BT 392900101</v>
          </cell>
          <cell r="D823" t="str">
            <v>BRASILUX</v>
          </cell>
          <cell r="E823">
            <v>40001</v>
          </cell>
          <cell r="F823" t="str">
            <v>ESMALTES</v>
          </cell>
          <cell r="G823" t="str">
            <v>INDUSTRIAL</v>
          </cell>
        </row>
        <row r="824">
          <cell r="A824">
            <v>84337</v>
          </cell>
          <cell r="B824" t="str">
            <v>BRASIMOB-CREME 3,6L BRASILUX</v>
          </cell>
          <cell r="C824" t="str">
            <v>BT 391100102</v>
          </cell>
          <cell r="D824" t="str">
            <v>BRASILUX</v>
          </cell>
          <cell r="E824">
            <v>40001</v>
          </cell>
          <cell r="F824" t="str">
            <v>ESMALTES</v>
          </cell>
          <cell r="G824" t="str">
            <v>INDUSTRIAL</v>
          </cell>
        </row>
        <row r="825">
          <cell r="A825">
            <v>84363</v>
          </cell>
          <cell r="B825" t="str">
            <v>BRASIMOB-CREME 900ML BRASILUX</v>
          </cell>
          <cell r="C825" t="str">
            <v>BT 391100101</v>
          </cell>
          <cell r="D825" t="str">
            <v>BRASILUX</v>
          </cell>
          <cell r="E825">
            <v>40001</v>
          </cell>
          <cell r="F825" t="str">
            <v>ESMALTES</v>
          </cell>
          <cell r="G825" t="str">
            <v>INDUSTRIAL</v>
          </cell>
        </row>
        <row r="826">
          <cell r="A826">
            <v>84792</v>
          </cell>
          <cell r="B826" t="str">
            <v>BRASIMOB-LARANJA 18L BRASILUX</v>
          </cell>
          <cell r="C826" t="str">
            <v xml:space="preserve">BT 390900103 </v>
          </cell>
          <cell r="D826" t="str">
            <v>BRASILUX</v>
          </cell>
          <cell r="E826">
            <v>40001</v>
          </cell>
          <cell r="F826" t="str">
            <v>ESMALTES</v>
          </cell>
          <cell r="G826" t="str">
            <v>INDUSTRIAL</v>
          </cell>
        </row>
        <row r="827">
          <cell r="A827">
            <v>84338</v>
          </cell>
          <cell r="B827" t="str">
            <v>BRASIMOB-LARANJA 3,6L BRASILUX</v>
          </cell>
          <cell r="C827" t="str">
            <v>BT 390900102</v>
          </cell>
          <cell r="D827" t="str">
            <v>BRASILUX</v>
          </cell>
          <cell r="E827">
            <v>40001</v>
          </cell>
          <cell r="F827" t="str">
            <v>ESMALTES</v>
          </cell>
          <cell r="G827" t="str">
            <v>INDUSTRIAL</v>
          </cell>
        </row>
        <row r="828">
          <cell r="A828">
            <v>84364</v>
          </cell>
          <cell r="B828" t="str">
            <v>BRASIMOB-LARANJA 900ML BRASILUX</v>
          </cell>
          <cell r="C828" t="str">
            <v>BT 390900101</v>
          </cell>
          <cell r="D828" t="str">
            <v>BRASILUX</v>
          </cell>
          <cell r="E828">
            <v>40001</v>
          </cell>
          <cell r="F828" t="str">
            <v>ESMALTES</v>
          </cell>
          <cell r="G828" t="str">
            <v>INDUSTRIAL</v>
          </cell>
        </row>
        <row r="829">
          <cell r="A829">
            <v>84136</v>
          </cell>
          <cell r="B829" t="str">
            <v>BRASIMOB-LARANJA BRILHANTE 225ML BRASILUX</v>
          </cell>
          <cell r="C829" t="str">
            <v>BT 390900111</v>
          </cell>
          <cell r="D829" t="str">
            <v>BRASILUX</v>
          </cell>
          <cell r="E829">
            <v>40001</v>
          </cell>
          <cell r="F829" t="str">
            <v>ESMALTES</v>
          </cell>
          <cell r="G829" t="str">
            <v>INDUSTRIAL</v>
          </cell>
        </row>
        <row r="830">
          <cell r="A830">
            <v>84339</v>
          </cell>
          <cell r="B830" t="str">
            <v>BRASIMOB-MARFIM 3,6L BRASILUX</v>
          </cell>
          <cell r="C830" t="str">
            <v>BT 390800102</v>
          </cell>
          <cell r="D830" t="str">
            <v>BRASILUX</v>
          </cell>
          <cell r="E830">
            <v>40001</v>
          </cell>
          <cell r="F830" t="str">
            <v>ESMALTES</v>
          </cell>
          <cell r="G830" t="str">
            <v>INDUSTRIAL</v>
          </cell>
        </row>
        <row r="831">
          <cell r="A831">
            <v>84120</v>
          </cell>
          <cell r="B831" t="str">
            <v>BRASIMOB-MARFIM 900ML BRASILUX</v>
          </cell>
          <cell r="C831" t="str">
            <v>BT 390800101</v>
          </cell>
          <cell r="D831" t="str">
            <v>BRASILUX</v>
          </cell>
          <cell r="E831">
            <v>40001</v>
          </cell>
          <cell r="F831" t="str">
            <v>ESMALTES</v>
          </cell>
          <cell r="G831" t="str">
            <v>INDUSTRIAL</v>
          </cell>
        </row>
        <row r="832">
          <cell r="A832">
            <v>84340</v>
          </cell>
          <cell r="B832" t="str">
            <v>BRASIMOB-MARROM CAFE 3,6L BRASILUX</v>
          </cell>
          <cell r="C832" t="str">
            <v>BT 391003502</v>
          </cell>
          <cell r="D832" t="str">
            <v>BRASILUX</v>
          </cell>
          <cell r="E832">
            <v>40001</v>
          </cell>
          <cell r="F832" t="str">
            <v>ESMALTES</v>
          </cell>
          <cell r="G832" t="str">
            <v>INDUSTRIAL</v>
          </cell>
        </row>
        <row r="833">
          <cell r="A833">
            <v>84121</v>
          </cell>
          <cell r="B833" t="str">
            <v>BRASIMOB-MARROM CAFE 900ML BRASILUX</v>
          </cell>
          <cell r="C833" t="str">
            <v>BT 391003501</v>
          </cell>
          <cell r="D833" t="str">
            <v>BRASILUX</v>
          </cell>
          <cell r="E833">
            <v>40001</v>
          </cell>
          <cell r="F833" t="str">
            <v>ESMALTES</v>
          </cell>
          <cell r="G833" t="str">
            <v>INDUSTRIAL</v>
          </cell>
        </row>
        <row r="834">
          <cell r="A834">
            <v>84137</v>
          </cell>
          <cell r="B834" t="str">
            <v>BRASIMOB-MARROM CONHAQUE 225ML BRASILUX</v>
          </cell>
          <cell r="C834" t="str">
            <v>BT 391001011</v>
          </cell>
          <cell r="D834" t="str">
            <v>BRASILUX</v>
          </cell>
          <cell r="E834">
            <v>40001</v>
          </cell>
          <cell r="F834" t="str">
            <v>ESMALTES</v>
          </cell>
          <cell r="G834" t="str">
            <v>INDUSTRIAL</v>
          </cell>
        </row>
        <row r="835">
          <cell r="A835">
            <v>84341</v>
          </cell>
          <cell r="B835" t="str">
            <v>BRASIMOB-MARROM CONHAQUE 3,6L BRASILUX</v>
          </cell>
          <cell r="C835" t="str">
            <v>BT 391001002</v>
          </cell>
          <cell r="D835" t="str">
            <v>BRASILUX</v>
          </cell>
          <cell r="E835">
            <v>40001</v>
          </cell>
          <cell r="F835" t="str">
            <v>ESMALTES</v>
          </cell>
          <cell r="G835" t="str">
            <v>INDUSTRIAL</v>
          </cell>
        </row>
        <row r="836">
          <cell r="A836">
            <v>84122</v>
          </cell>
          <cell r="B836" t="str">
            <v>BRASIMOB-MARROM CONHAQUE 900ML BRASILUX</v>
          </cell>
          <cell r="C836" t="str">
            <v>BT 391001001</v>
          </cell>
          <cell r="D836" t="str">
            <v>BRASILUX</v>
          </cell>
          <cell r="E836">
            <v>40001</v>
          </cell>
          <cell r="F836" t="str">
            <v>ESMALTES</v>
          </cell>
          <cell r="G836" t="str">
            <v>INDUSTRIAL</v>
          </cell>
        </row>
        <row r="837">
          <cell r="A837">
            <v>84138</v>
          </cell>
          <cell r="B837" t="str">
            <v>BRASIMOB-PLATINA 225ML BRASILUX</v>
          </cell>
          <cell r="C837" t="str">
            <v>BT 390603611</v>
          </cell>
          <cell r="D837" t="str">
            <v>BRASILUX</v>
          </cell>
          <cell r="E837">
            <v>40001</v>
          </cell>
          <cell r="F837" t="str">
            <v>ESMALTES</v>
          </cell>
          <cell r="G837" t="str">
            <v>INDUSTRIAL</v>
          </cell>
        </row>
        <row r="838">
          <cell r="A838">
            <v>84335</v>
          </cell>
          <cell r="B838" t="str">
            <v>BRASIMOB-PLATINA 3,6L BRASILUX</v>
          </cell>
          <cell r="C838" t="str">
            <v>BT 390603602</v>
          </cell>
          <cell r="D838" t="str">
            <v>BRASILUX</v>
          </cell>
          <cell r="E838">
            <v>40001</v>
          </cell>
          <cell r="F838" t="str">
            <v>ESMALTES</v>
          </cell>
          <cell r="G838" t="str">
            <v>INDUSTRIAL</v>
          </cell>
        </row>
        <row r="839">
          <cell r="A839">
            <v>84360</v>
          </cell>
          <cell r="B839" t="str">
            <v>BRASIMOB-PLATINA 900ML BRASILUX</v>
          </cell>
          <cell r="C839" t="str">
            <v>BT 390603601</v>
          </cell>
          <cell r="D839" t="str">
            <v>BRASILUX</v>
          </cell>
          <cell r="E839">
            <v>40001</v>
          </cell>
          <cell r="F839" t="str">
            <v>ESMALTES</v>
          </cell>
          <cell r="G839" t="str">
            <v>INDUSTRIAL</v>
          </cell>
        </row>
        <row r="840">
          <cell r="A840">
            <v>84794</v>
          </cell>
          <cell r="B840" t="str">
            <v>BRASIMOB-PRETO BRILHANTE 18L BRASILUX</v>
          </cell>
          <cell r="C840" t="str">
            <v>BT 391500103</v>
          </cell>
          <cell r="D840" t="str">
            <v>BRASILUX</v>
          </cell>
          <cell r="E840">
            <v>40001</v>
          </cell>
          <cell r="F840" t="str">
            <v>ESMALTES</v>
          </cell>
          <cell r="G840" t="str">
            <v>INDUSTRIAL</v>
          </cell>
        </row>
        <row r="841">
          <cell r="A841">
            <v>84139</v>
          </cell>
          <cell r="B841" t="str">
            <v>BRASIMOB-PRETO BRILHANTE 225ML BRASILUX</v>
          </cell>
          <cell r="C841" t="str">
            <v>BT 391500111</v>
          </cell>
          <cell r="D841" t="str">
            <v>BRASILUX</v>
          </cell>
          <cell r="E841">
            <v>40001</v>
          </cell>
          <cell r="F841" t="str">
            <v>ESMALTES</v>
          </cell>
          <cell r="G841" t="str">
            <v>INDUSTRIAL</v>
          </cell>
        </row>
        <row r="842">
          <cell r="A842">
            <v>84342</v>
          </cell>
          <cell r="B842" t="str">
            <v>BRASIMOB-PRETO BRILHANTE 3,6L BRASILUX</v>
          </cell>
          <cell r="C842" t="str">
            <v>BT 391500102</v>
          </cell>
          <cell r="D842" t="str">
            <v>BRASILUX</v>
          </cell>
          <cell r="E842">
            <v>40001</v>
          </cell>
          <cell r="F842" t="str">
            <v>ESMALTES</v>
          </cell>
          <cell r="G842" t="str">
            <v>INDUSTRIAL</v>
          </cell>
        </row>
        <row r="843">
          <cell r="A843">
            <v>84123</v>
          </cell>
          <cell r="B843" t="str">
            <v>BRASIMOB-PRETO BRILHANTE 900ML BRASILUX</v>
          </cell>
          <cell r="C843" t="str">
            <v>BT 391500101</v>
          </cell>
          <cell r="D843" t="str">
            <v>BRASILUX</v>
          </cell>
          <cell r="E843">
            <v>40001</v>
          </cell>
          <cell r="F843" t="str">
            <v>ESMALTES</v>
          </cell>
          <cell r="G843" t="str">
            <v>INDUSTRIAL</v>
          </cell>
        </row>
        <row r="844">
          <cell r="A844">
            <v>84145</v>
          </cell>
          <cell r="B844" t="str">
            <v>BRASIMOB-PRETO FOSCO 3,6L BRASILUX</v>
          </cell>
          <cell r="C844" t="str">
            <v>FO 391500102</v>
          </cell>
          <cell r="D844" t="str">
            <v>BRASILUX</v>
          </cell>
          <cell r="E844">
            <v>40001</v>
          </cell>
          <cell r="F844" t="str">
            <v>ESMALTES</v>
          </cell>
          <cell r="G844" t="str">
            <v>INDUSTRIAL</v>
          </cell>
        </row>
        <row r="845">
          <cell r="A845">
            <v>84147</v>
          </cell>
          <cell r="B845" t="str">
            <v>BRASIMOB-PRETO FOSCO 900ML BRASILUX</v>
          </cell>
          <cell r="C845" t="str">
            <v>FO 391500101</v>
          </cell>
          <cell r="D845" t="str">
            <v>BRASILUX</v>
          </cell>
          <cell r="E845">
            <v>40001</v>
          </cell>
          <cell r="F845" t="str">
            <v>ESMALTES</v>
          </cell>
          <cell r="G845" t="str">
            <v>INDUSTRIAL</v>
          </cell>
        </row>
        <row r="846">
          <cell r="A846">
            <v>85499</v>
          </cell>
          <cell r="B846" t="str">
            <v>BRASIMOB-ROSA INDIA 3,6L BRASILUX</v>
          </cell>
          <cell r="C846" t="str">
            <v>BT 391802102</v>
          </cell>
          <cell r="D846" t="str">
            <v>BRASILUX</v>
          </cell>
          <cell r="E846">
            <v>40001</v>
          </cell>
          <cell r="F846" t="str">
            <v>ESMALTES</v>
          </cell>
          <cell r="G846" t="str">
            <v>INDUSTRIAL</v>
          </cell>
        </row>
        <row r="847">
          <cell r="A847">
            <v>84343</v>
          </cell>
          <cell r="B847" t="str">
            <v>BRASIMOB-TABACO 3,6L BRASILUX</v>
          </cell>
          <cell r="C847" t="str">
            <v>BT 391000202</v>
          </cell>
          <cell r="D847" t="str">
            <v>BRASILUX</v>
          </cell>
          <cell r="E847">
            <v>40001</v>
          </cell>
          <cell r="F847" t="str">
            <v>ESMALTES</v>
          </cell>
          <cell r="G847" t="str">
            <v>INDUSTRIAL</v>
          </cell>
        </row>
        <row r="848">
          <cell r="A848">
            <v>84124</v>
          </cell>
          <cell r="B848" t="str">
            <v>BRASIMOB-TABACO 900ML BRASILUX</v>
          </cell>
          <cell r="C848" t="str">
            <v>BT 391000201</v>
          </cell>
          <cell r="D848" t="str">
            <v>BRASILUX</v>
          </cell>
          <cell r="E848">
            <v>40001</v>
          </cell>
          <cell r="F848" t="str">
            <v>ESMALTES</v>
          </cell>
          <cell r="G848" t="str">
            <v>INDUSTRIAL</v>
          </cell>
        </row>
        <row r="849">
          <cell r="A849">
            <v>84797</v>
          </cell>
          <cell r="B849" t="str">
            <v>BRASIMOB-VERDE COLONIAL 18L BRASILUX</v>
          </cell>
          <cell r="C849" t="str">
            <v>BT 392201403</v>
          </cell>
          <cell r="D849" t="str">
            <v>BRASILUX</v>
          </cell>
          <cell r="E849">
            <v>40001</v>
          </cell>
          <cell r="F849" t="str">
            <v>ESMALTES</v>
          </cell>
          <cell r="G849" t="str">
            <v>INDUSTRIAL</v>
          </cell>
        </row>
        <row r="850">
          <cell r="A850">
            <v>84346</v>
          </cell>
          <cell r="B850" t="str">
            <v>BRASIMOB-VERDE COLONIAL 3,6L BRASILUX</v>
          </cell>
          <cell r="C850" t="str">
            <v>BT 392201402</v>
          </cell>
          <cell r="D850" t="str">
            <v>BRASILUX</v>
          </cell>
          <cell r="E850">
            <v>40001</v>
          </cell>
          <cell r="F850" t="str">
            <v>ESMALTES</v>
          </cell>
          <cell r="G850" t="str">
            <v>INDUSTRIAL</v>
          </cell>
        </row>
        <row r="851">
          <cell r="A851">
            <v>84127</v>
          </cell>
          <cell r="B851" t="str">
            <v>BRASIMOB-VERDE COLONIAL 900ML BRASILUX</v>
          </cell>
          <cell r="C851" t="str">
            <v>BT 392201401</v>
          </cell>
          <cell r="D851" t="str">
            <v>BRASILUX</v>
          </cell>
          <cell r="E851">
            <v>40001</v>
          </cell>
          <cell r="F851" t="str">
            <v>ESMALTES</v>
          </cell>
          <cell r="G851" t="str">
            <v>INDUSTRIAL</v>
          </cell>
        </row>
        <row r="852">
          <cell r="A852">
            <v>84140</v>
          </cell>
          <cell r="B852" t="str">
            <v>BRASIMOB-VERDE FOLHA 225ML BRASILUX</v>
          </cell>
          <cell r="C852" t="str">
            <v>BT 392202011</v>
          </cell>
          <cell r="D852" t="str">
            <v>BRASILUX</v>
          </cell>
          <cell r="E852">
            <v>40001</v>
          </cell>
          <cell r="F852" t="str">
            <v>ESMALTES</v>
          </cell>
          <cell r="G852" t="str">
            <v>INDUSTRIAL</v>
          </cell>
        </row>
        <row r="853">
          <cell r="A853">
            <v>84344</v>
          </cell>
          <cell r="B853" t="str">
            <v>BRASIMOB-VERDE FOLHA 3,6L BRASILUX</v>
          </cell>
          <cell r="C853" t="str">
            <v>BT 392202002</v>
          </cell>
          <cell r="D853" t="str">
            <v>BRASILUX</v>
          </cell>
          <cell r="E853">
            <v>40001</v>
          </cell>
          <cell r="F853" t="str">
            <v>ESMALTES</v>
          </cell>
          <cell r="G853" t="str">
            <v>INDUSTRIAL</v>
          </cell>
        </row>
        <row r="854">
          <cell r="A854">
            <v>84125</v>
          </cell>
          <cell r="B854" t="str">
            <v>BRASIMOB-VERDE FOLHA 900ML BRASILUX</v>
          </cell>
          <cell r="C854" t="str">
            <v>BT 392202001</v>
          </cell>
          <cell r="D854" t="str">
            <v>BRASILUX</v>
          </cell>
          <cell r="E854">
            <v>40001</v>
          </cell>
          <cell r="F854" t="str">
            <v>ESMALTES</v>
          </cell>
          <cell r="G854" t="str">
            <v>INDUSTRIAL</v>
          </cell>
        </row>
        <row r="855">
          <cell r="A855">
            <v>85008</v>
          </cell>
          <cell r="B855" t="str">
            <v>BRASIMOB-VERDE LIMAO 3,6L BRASILUX</v>
          </cell>
          <cell r="C855" t="str">
            <v>BT 392245702</v>
          </cell>
          <cell r="D855" t="str">
            <v>BRASILUX</v>
          </cell>
          <cell r="E855">
            <v>40001</v>
          </cell>
          <cell r="F855" t="str">
            <v>ESMALTES</v>
          </cell>
          <cell r="G855" t="str">
            <v>INDUSTRIAL</v>
          </cell>
        </row>
        <row r="856">
          <cell r="A856">
            <v>85081</v>
          </cell>
          <cell r="B856" t="str">
            <v>BRASIMOB-VERDE LIMAO 900ML BRASILUX</v>
          </cell>
          <cell r="C856" t="str">
            <v>BT 392245701</v>
          </cell>
          <cell r="D856" t="str">
            <v>BRASILUX</v>
          </cell>
          <cell r="E856">
            <v>40001</v>
          </cell>
          <cell r="F856" t="str">
            <v>ESMALTES</v>
          </cell>
          <cell r="G856" t="str">
            <v>INDUSTRIAL</v>
          </cell>
        </row>
        <row r="857">
          <cell r="A857">
            <v>84345</v>
          </cell>
          <cell r="B857" t="str">
            <v>BRASIMOB-VERDE NILO 3,6L BRASILUX</v>
          </cell>
          <cell r="C857" t="str">
            <v>BT 392211302</v>
          </cell>
          <cell r="D857" t="str">
            <v>BRASILUX</v>
          </cell>
          <cell r="E857">
            <v>40001</v>
          </cell>
          <cell r="F857" t="str">
            <v>ESMALTES</v>
          </cell>
          <cell r="G857" t="str">
            <v>INDUSTRIAL</v>
          </cell>
        </row>
        <row r="858">
          <cell r="A858">
            <v>84126</v>
          </cell>
          <cell r="B858" t="str">
            <v>BRASIMOB-VERDE NILO 900ML BRASILUX</v>
          </cell>
          <cell r="C858" t="str">
            <v>BT 392211301</v>
          </cell>
          <cell r="D858" t="str">
            <v>BRASILUX</v>
          </cell>
          <cell r="E858">
            <v>40001</v>
          </cell>
          <cell r="F858" t="str">
            <v>ESMALTES</v>
          </cell>
          <cell r="G858" t="str">
            <v>INDUSTRIAL</v>
          </cell>
        </row>
        <row r="859">
          <cell r="A859">
            <v>84141</v>
          </cell>
          <cell r="B859" t="str">
            <v>BRASIMOB-VERMELHO 225ML BRASILUX</v>
          </cell>
          <cell r="C859" t="str">
            <v>BT 392300111</v>
          </cell>
          <cell r="D859" t="str">
            <v>BRASILUX</v>
          </cell>
          <cell r="E859">
            <v>40001</v>
          </cell>
          <cell r="F859" t="str">
            <v>ESMALTES</v>
          </cell>
          <cell r="G859" t="str">
            <v>INDUSTRIAL</v>
          </cell>
        </row>
        <row r="860">
          <cell r="A860">
            <v>84347</v>
          </cell>
          <cell r="B860" t="str">
            <v>BRASIMOB-VERMELHO 3,6L BRASILUX</v>
          </cell>
          <cell r="C860" t="str">
            <v>BT 392300102</v>
          </cell>
          <cell r="D860" t="str">
            <v>BRASILUX</v>
          </cell>
          <cell r="E860">
            <v>40001</v>
          </cell>
          <cell r="F860" t="str">
            <v>ESMALTES</v>
          </cell>
          <cell r="G860" t="str">
            <v>INDUSTRIAL</v>
          </cell>
        </row>
        <row r="861">
          <cell r="A861">
            <v>84128</v>
          </cell>
          <cell r="B861" t="str">
            <v>BRASIMOB-VERMELHO 900ML BRASILUX</v>
          </cell>
          <cell r="C861" t="str">
            <v>BT 392300101</v>
          </cell>
          <cell r="D861" t="str">
            <v>BRASILUX</v>
          </cell>
          <cell r="E861">
            <v>40001</v>
          </cell>
          <cell r="F861" t="str">
            <v>ESMALTES</v>
          </cell>
          <cell r="G861" t="str">
            <v>INDUSTRIAL</v>
          </cell>
        </row>
        <row r="862">
          <cell r="A862">
            <v>84348</v>
          </cell>
          <cell r="B862" t="str">
            <v>BRASIMOB-VERMELHO CHASSI GOYA 3,6L BRASILUX</v>
          </cell>
          <cell r="C862" t="str">
            <v>BT 392301002</v>
          </cell>
          <cell r="D862" t="str">
            <v>BRASILUX</v>
          </cell>
          <cell r="E862">
            <v>40001</v>
          </cell>
          <cell r="F862" t="str">
            <v>ESMALTES</v>
          </cell>
          <cell r="G862" t="str">
            <v>INDUSTRIAL</v>
          </cell>
        </row>
        <row r="863">
          <cell r="A863">
            <v>84129</v>
          </cell>
          <cell r="B863" t="str">
            <v>BRASIMOB-VERMELHO CHASSI GOYA 900ML BRASILUX</v>
          </cell>
          <cell r="C863" t="str">
            <v>BT 392301001</v>
          </cell>
          <cell r="D863" t="str">
            <v>BRASILUX</v>
          </cell>
          <cell r="E863">
            <v>40001</v>
          </cell>
          <cell r="F863" t="str">
            <v>ESMALTES</v>
          </cell>
          <cell r="G863" t="str">
            <v>INDUSTRIAL</v>
          </cell>
        </row>
        <row r="864">
          <cell r="A864">
            <v>84208</v>
          </cell>
          <cell r="B864" t="str">
            <v>BRASIMOB-ZARCAO LARANJA 225ML BRASILUX</v>
          </cell>
          <cell r="C864" t="str">
            <v>ZC 392600111</v>
          </cell>
          <cell r="D864" t="str">
            <v>BRASILUX</v>
          </cell>
          <cell r="E864">
            <v>40001</v>
          </cell>
          <cell r="F864" t="str">
            <v>ESMALTES</v>
          </cell>
          <cell r="G864" t="str">
            <v>INDUSTRIAL</v>
          </cell>
        </row>
        <row r="865">
          <cell r="A865">
            <v>84206</v>
          </cell>
          <cell r="B865" t="str">
            <v>BRASIMOB-ZARCAO LARANJA 3,6L BRASILUX</v>
          </cell>
          <cell r="C865" t="str">
            <v>ZC 392600102</v>
          </cell>
          <cell r="D865" t="str">
            <v>BRASILUX</v>
          </cell>
          <cell r="E865">
            <v>40001</v>
          </cell>
          <cell r="F865" t="str">
            <v>ESMALTES</v>
          </cell>
          <cell r="G865" t="str">
            <v>INDUSTRIAL</v>
          </cell>
        </row>
        <row r="866">
          <cell r="A866">
            <v>84207</v>
          </cell>
          <cell r="B866" t="str">
            <v>BRASIMOB-ZARCAO LARANJA 900ML BRASILUX</v>
          </cell>
          <cell r="C866" t="str">
            <v>ZC 392600101</v>
          </cell>
          <cell r="D866" t="str">
            <v>BRASILUX</v>
          </cell>
          <cell r="E866">
            <v>40001</v>
          </cell>
          <cell r="F866" t="str">
            <v>ESMALTES</v>
          </cell>
          <cell r="G866" t="str">
            <v>INDUSTRIAL</v>
          </cell>
        </row>
        <row r="867">
          <cell r="A867">
            <v>84498</v>
          </cell>
          <cell r="B867" t="str">
            <v>BRASITEC-VERMELHO EXTINTOR 18L BRASILUX</v>
          </cell>
          <cell r="C867" t="str">
            <v>BT 012307403</v>
          </cell>
          <cell r="D867" t="str">
            <v>BRASILUX</v>
          </cell>
          <cell r="E867">
            <v>40001</v>
          </cell>
          <cell r="F867" t="str">
            <v>ESMALTES</v>
          </cell>
          <cell r="G867" t="str">
            <v>INDUSTRIAL</v>
          </cell>
        </row>
        <row r="868">
          <cell r="A868">
            <v>86034</v>
          </cell>
          <cell r="B868" t="str">
            <v>CR CORALAR ESM AC BRANCO 3.6L</v>
          </cell>
          <cell r="C868">
            <v>5202851</v>
          </cell>
          <cell r="D868" t="str">
            <v>CORAL</v>
          </cell>
          <cell r="E868">
            <v>40001</v>
          </cell>
          <cell r="F868" t="str">
            <v>ESMALTES</v>
          </cell>
          <cell r="G868" t="str">
            <v>INDUSTRIAL</v>
          </cell>
        </row>
        <row r="869">
          <cell r="A869">
            <v>86035</v>
          </cell>
          <cell r="B869" t="str">
            <v>CR CORALAR ESM AC BRANCO 900ML</v>
          </cell>
          <cell r="C869">
            <v>5202852</v>
          </cell>
          <cell r="D869" t="str">
            <v>CORAL</v>
          </cell>
          <cell r="E869">
            <v>40001</v>
          </cell>
          <cell r="F869" t="str">
            <v>ESMALTES</v>
          </cell>
          <cell r="G869" t="str">
            <v>INDUSTRIAL</v>
          </cell>
        </row>
        <row r="870">
          <cell r="A870">
            <v>86020</v>
          </cell>
          <cell r="B870" t="str">
            <v>CR CORALAR ESM BR AMARELO 3.6L</v>
          </cell>
          <cell r="C870">
            <v>5202831</v>
          </cell>
          <cell r="D870" t="str">
            <v>CORAL</v>
          </cell>
          <cell r="E870">
            <v>40001</v>
          </cell>
          <cell r="F870" t="str">
            <v>ESMALTES</v>
          </cell>
          <cell r="G870" t="str">
            <v>INDUSTRIAL</v>
          </cell>
        </row>
        <row r="871">
          <cell r="A871">
            <v>86021</v>
          </cell>
          <cell r="B871" t="str">
            <v>CR CORALAR ESM BR AMARELO 900ML</v>
          </cell>
          <cell r="C871">
            <v>5202832</v>
          </cell>
          <cell r="D871" t="str">
            <v>CORAL</v>
          </cell>
          <cell r="E871">
            <v>40001</v>
          </cell>
          <cell r="F871" t="str">
            <v>ESMALTES</v>
          </cell>
          <cell r="G871" t="str">
            <v>INDUSTRIAL</v>
          </cell>
        </row>
        <row r="872">
          <cell r="A872">
            <v>86011</v>
          </cell>
          <cell r="B872" t="str">
            <v>CR CORALAR ESM BR AZUL DEL REY 3.6L</v>
          </cell>
          <cell r="C872">
            <v>5202819</v>
          </cell>
          <cell r="D872" t="str">
            <v>CORAL</v>
          </cell>
          <cell r="E872">
            <v>40001</v>
          </cell>
          <cell r="F872" t="str">
            <v>ESMALTES</v>
          </cell>
          <cell r="G872" t="str">
            <v>INDUSTRIAL</v>
          </cell>
        </row>
        <row r="873">
          <cell r="A873">
            <v>86012</v>
          </cell>
          <cell r="B873" t="str">
            <v>CR CORALAR ESM BR AZUL DEL REY 900ML</v>
          </cell>
          <cell r="C873">
            <v>5202820</v>
          </cell>
          <cell r="D873" t="str">
            <v>CORAL</v>
          </cell>
          <cell r="E873">
            <v>40001</v>
          </cell>
          <cell r="F873" t="str">
            <v>ESMALTES</v>
          </cell>
          <cell r="G873" t="str">
            <v>INDUSTRIAL</v>
          </cell>
        </row>
        <row r="874">
          <cell r="A874">
            <v>86013</v>
          </cell>
          <cell r="B874" t="str">
            <v>CR CORALAR ESM BR AZUL FRANCA 3.6L</v>
          </cell>
          <cell r="C874">
            <v>5202823</v>
          </cell>
          <cell r="D874" t="str">
            <v>CORAL</v>
          </cell>
          <cell r="E874">
            <v>40001</v>
          </cell>
          <cell r="F874" t="str">
            <v>ESMALTES</v>
          </cell>
          <cell r="G874" t="str">
            <v>INDUSTRIAL</v>
          </cell>
        </row>
        <row r="875">
          <cell r="A875">
            <v>86014</v>
          </cell>
          <cell r="B875" t="str">
            <v>CR CORALAR ESM BR AZUL FRANCA 900ML</v>
          </cell>
          <cell r="C875">
            <v>5202824</v>
          </cell>
          <cell r="D875" t="str">
            <v>CORAL</v>
          </cell>
          <cell r="E875">
            <v>40001</v>
          </cell>
          <cell r="F875" t="str">
            <v>ESMALTES</v>
          </cell>
          <cell r="G875" t="str">
            <v>INDUSTRIAL</v>
          </cell>
        </row>
        <row r="876">
          <cell r="A876">
            <v>86009</v>
          </cell>
          <cell r="B876" t="str">
            <v>CR CORALAR ESM BR AZUL MAR 3.6L</v>
          </cell>
          <cell r="C876">
            <v>5202817</v>
          </cell>
          <cell r="D876" t="str">
            <v>CORAL</v>
          </cell>
          <cell r="E876">
            <v>40001</v>
          </cell>
          <cell r="F876" t="str">
            <v>ESMALTES</v>
          </cell>
          <cell r="G876" t="str">
            <v>INDUSTRIAL</v>
          </cell>
        </row>
        <row r="877">
          <cell r="A877">
            <v>86010</v>
          </cell>
          <cell r="B877" t="str">
            <v>CR CORALAR ESM BR AZUL MAR 900ML</v>
          </cell>
          <cell r="C877">
            <v>5202818</v>
          </cell>
          <cell r="D877" t="str">
            <v>CORAL</v>
          </cell>
          <cell r="E877">
            <v>40001</v>
          </cell>
          <cell r="F877" t="str">
            <v>ESMALTES</v>
          </cell>
          <cell r="G877" t="str">
            <v>INDUSTRIAL</v>
          </cell>
        </row>
        <row r="878">
          <cell r="A878">
            <v>85997</v>
          </cell>
          <cell r="B878" t="str">
            <v>CR CORALAR ESM BR BRANCO 3.6L</v>
          </cell>
          <cell r="C878">
            <v>5202803</v>
          </cell>
          <cell r="D878" t="str">
            <v>CORAL</v>
          </cell>
          <cell r="E878">
            <v>40001</v>
          </cell>
          <cell r="F878" t="str">
            <v>ESMALTES</v>
          </cell>
          <cell r="G878" t="str">
            <v>INDUSTRIAL</v>
          </cell>
        </row>
        <row r="879">
          <cell r="A879">
            <v>85998</v>
          </cell>
          <cell r="B879" t="str">
            <v>CR CORALAR ESM BR BRANCO 900ML</v>
          </cell>
          <cell r="C879">
            <v>5202804</v>
          </cell>
          <cell r="D879" t="str">
            <v>CORAL</v>
          </cell>
          <cell r="E879">
            <v>40001</v>
          </cell>
          <cell r="F879" t="str">
            <v>ESMALTES</v>
          </cell>
          <cell r="G879" t="str">
            <v>INDUSTRIAL</v>
          </cell>
        </row>
        <row r="880">
          <cell r="A880">
            <v>85999</v>
          </cell>
          <cell r="B880" t="str">
            <v>CR CORALAR ESM BR BRANCO GELO 3.6L</v>
          </cell>
          <cell r="C880">
            <v>5202805</v>
          </cell>
          <cell r="D880" t="str">
            <v>CORAL</v>
          </cell>
          <cell r="E880">
            <v>40001</v>
          </cell>
          <cell r="F880" t="str">
            <v>ESMALTES</v>
          </cell>
          <cell r="G880" t="str">
            <v>INDUSTRIAL</v>
          </cell>
        </row>
        <row r="881">
          <cell r="A881">
            <v>86000</v>
          </cell>
          <cell r="B881" t="str">
            <v>CR CORALAR ESM BR BRANCO GELO 900ML</v>
          </cell>
          <cell r="C881">
            <v>5202806</v>
          </cell>
          <cell r="D881" t="str">
            <v>CORAL</v>
          </cell>
          <cell r="E881">
            <v>40001</v>
          </cell>
          <cell r="F881" t="str">
            <v>ESMALTES</v>
          </cell>
          <cell r="G881" t="str">
            <v>INDUSTRIAL</v>
          </cell>
        </row>
        <row r="882">
          <cell r="A882">
            <v>86007</v>
          </cell>
          <cell r="B882" t="str">
            <v>CR CORALAR ESM BR CINZA ESCURO 3.6L</v>
          </cell>
          <cell r="C882">
            <v>5202815</v>
          </cell>
          <cell r="D882" t="str">
            <v>CORAL</v>
          </cell>
          <cell r="E882">
            <v>40001</v>
          </cell>
          <cell r="F882" t="str">
            <v>ESMALTES</v>
          </cell>
          <cell r="G882" t="str">
            <v>INDUSTRIAL</v>
          </cell>
        </row>
        <row r="883">
          <cell r="A883">
            <v>86008</v>
          </cell>
          <cell r="B883" t="str">
            <v>CR CORALAR ESM BR CINZA ESCURO 900ML</v>
          </cell>
          <cell r="C883">
            <v>5202816</v>
          </cell>
          <cell r="D883" t="str">
            <v>CORAL</v>
          </cell>
          <cell r="E883">
            <v>40001</v>
          </cell>
          <cell r="F883" t="str">
            <v>ESMALTES</v>
          </cell>
          <cell r="G883" t="str">
            <v>INDUSTRIAL</v>
          </cell>
        </row>
        <row r="884">
          <cell r="A884">
            <v>86003</v>
          </cell>
          <cell r="B884" t="str">
            <v>CR CORALAR ESM BR CINZA MEDIO 3.6L</v>
          </cell>
          <cell r="C884">
            <v>5202809</v>
          </cell>
          <cell r="D884" t="str">
            <v>CORAL</v>
          </cell>
          <cell r="E884">
            <v>40001</v>
          </cell>
          <cell r="F884" t="str">
            <v>ESMALTES</v>
          </cell>
          <cell r="G884" t="str">
            <v>INDUSTRIAL</v>
          </cell>
        </row>
        <row r="885">
          <cell r="A885">
            <v>86004</v>
          </cell>
          <cell r="B885" t="str">
            <v>CR CORALAR ESM BR CINZA MEDIO 900ML</v>
          </cell>
          <cell r="C885">
            <v>5202810</v>
          </cell>
          <cell r="D885" t="str">
            <v>CORAL</v>
          </cell>
          <cell r="E885">
            <v>40001</v>
          </cell>
          <cell r="F885" t="str">
            <v>ESMALTES</v>
          </cell>
          <cell r="G885" t="str">
            <v>INDUSTRIAL</v>
          </cell>
        </row>
        <row r="886">
          <cell r="A886">
            <v>86028</v>
          </cell>
          <cell r="B886" t="str">
            <v>CR CORALAR ESM BR COLORADO 3.6L</v>
          </cell>
          <cell r="C886">
            <v>5202845</v>
          </cell>
          <cell r="D886" t="str">
            <v>CORAL</v>
          </cell>
          <cell r="E886">
            <v>40001</v>
          </cell>
          <cell r="F886" t="str">
            <v>ESMALTES</v>
          </cell>
          <cell r="G886" t="str">
            <v>INDUSTRIAL</v>
          </cell>
        </row>
        <row r="887">
          <cell r="A887">
            <v>86029</v>
          </cell>
          <cell r="B887" t="str">
            <v>CR CORALAR ESM BR COLORADO 900ML</v>
          </cell>
          <cell r="C887">
            <v>5202846</v>
          </cell>
          <cell r="D887" t="str">
            <v>CORAL</v>
          </cell>
          <cell r="E887">
            <v>40001</v>
          </cell>
          <cell r="F887" t="str">
            <v>ESMALTES</v>
          </cell>
          <cell r="G887" t="str">
            <v>INDUSTRIAL</v>
          </cell>
        </row>
        <row r="888">
          <cell r="A888">
            <v>86017</v>
          </cell>
          <cell r="B888" t="str">
            <v>CR CORALAR ESM BR LARANJA 3.6L</v>
          </cell>
          <cell r="C888">
            <v>5202827</v>
          </cell>
          <cell r="D888" t="str">
            <v>CORAL</v>
          </cell>
          <cell r="E888">
            <v>40001</v>
          </cell>
          <cell r="F888" t="str">
            <v>ESMALTES</v>
          </cell>
          <cell r="G888" t="str">
            <v>INDUSTRIAL</v>
          </cell>
        </row>
        <row r="889">
          <cell r="A889">
            <v>86026</v>
          </cell>
          <cell r="B889" t="str">
            <v>CR CORALAR ESM BR MARFIM 3.6L</v>
          </cell>
          <cell r="C889">
            <v>5202841</v>
          </cell>
          <cell r="D889" t="str">
            <v>CORAL</v>
          </cell>
          <cell r="E889">
            <v>40001</v>
          </cell>
          <cell r="F889" t="str">
            <v>ESMALTES</v>
          </cell>
          <cell r="G889" t="str">
            <v>INDUSTRIAL</v>
          </cell>
        </row>
        <row r="890">
          <cell r="A890">
            <v>86027</v>
          </cell>
          <cell r="B890" t="str">
            <v>CR CORALAR ESM BR MARFIM 900ML</v>
          </cell>
          <cell r="C890">
            <v>5202842</v>
          </cell>
          <cell r="D890" t="str">
            <v>CORAL</v>
          </cell>
          <cell r="E890">
            <v>40001</v>
          </cell>
          <cell r="F890" t="str">
            <v>ESMALTES</v>
          </cell>
          <cell r="G890" t="str">
            <v>INDUSTRIAL</v>
          </cell>
        </row>
        <row r="891">
          <cell r="A891">
            <v>86024</v>
          </cell>
          <cell r="B891" t="str">
            <v>CR CORALAR ESM BR MARROM 3.6L</v>
          </cell>
          <cell r="C891">
            <v>5202837</v>
          </cell>
          <cell r="D891" t="str">
            <v>CORAL</v>
          </cell>
          <cell r="E891">
            <v>40001</v>
          </cell>
          <cell r="F891" t="str">
            <v>ESMALTES</v>
          </cell>
          <cell r="G891" t="str">
            <v>INDUSTRIAL</v>
          </cell>
        </row>
        <row r="892">
          <cell r="A892">
            <v>86025</v>
          </cell>
          <cell r="B892" t="str">
            <v>CR CORALAR ESM BR MARROM 900ML</v>
          </cell>
          <cell r="C892">
            <v>5202838</v>
          </cell>
          <cell r="D892" t="str">
            <v>CORAL</v>
          </cell>
          <cell r="E892">
            <v>40001</v>
          </cell>
          <cell r="F892" t="str">
            <v>ESMALTES</v>
          </cell>
          <cell r="G892" t="str">
            <v>INDUSTRIAL</v>
          </cell>
        </row>
        <row r="893">
          <cell r="A893">
            <v>86032</v>
          </cell>
          <cell r="B893" t="str">
            <v>CR CORALAR ESM BR MARROM CONHAQ 3.6L</v>
          </cell>
          <cell r="C893">
            <v>5202849</v>
          </cell>
          <cell r="D893" t="str">
            <v>CORAL</v>
          </cell>
          <cell r="E893">
            <v>40001</v>
          </cell>
          <cell r="F893" t="str">
            <v>ESMALTES</v>
          </cell>
          <cell r="G893" t="str">
            <v>INDUSTRIAL</v>
          </cell>
        </row>
        <row r="894">
          <cell r="A894">
            <v>86033</v>
          </cell>
          <cell r="B894" t="str">
            <v>CR CORALAR ESM BR MARROM CONHAQ 900ML</v>
          </cell>
          <cell r="C894">
            <v>5202850</v>
          </cell>
          <cell r="D894" t="str">
            <v>CORAL</v>
          </cell>
          <cell r="E894">
            <v>40001</v>
          </cell>
          <cell r="F894" t="str">
            <v>ESMALTES</v>
          </cell>
          <cell r="G894" t="str">
            <v>INDUSTRIAL</v>
          </cell>
        </row>
        <row r="895">
          <cell r="A895">
            <v>86005</v>
          </cell>
          <cell r="B895" t="str">
            <v>CR CORALAR ESM BR PLATINA 3.6L</v>
          </cell>
          <cell r="C895">
            <v>5202811</v>
          </cell>
          <cell r="D895" t="str">
            <v>CORAL</v>
          </cell>
          <cell r="E895">
            <v>40001</v>
          </cell>
          <cell r="F895" t="str">
            <v>ESMALTES</v>
          </cell>
          <cell r="G895" t="str">
            <v>INDUSTRIAL</v>
          </cell>
        </row>
        <row r="896">
          <cell r="A896">
            <v>86006</v>
          </cell>
          <cell r="B896" t="str">
            <v>CR CORALAR ESM BR PLATINA 900ML</v>
          </cell>
          <cell r="C896">
            <v>5202812</v>
          </cell>
          <cell r="D896" t="str">
            <v>CORAL</v>
          </cell>
          <cell r="E896">
            <v>40001</v>
          </cell>
          <cell r="F896" t="str">
            <v>ESMALTES</v>
          </cell>
          <cell r="G896" t="str">
            <v>INDUSTRIAL</v>
          </cell>
        </row>
        <row r="897">
          <cell r="A897">
            <v>86001</v>
          </cell>
          <cell r="B897" t="str">
            <v>CR CORALAR ESM BR PRETO 3.6L</v>
          </cell>
          <cell r="C897">
            <v>5202807</v>
          </cell>
          <cell r="D897" t="str">
            <v>CORAL</v>
          </cell>
          <cell r="E897">
            <v>40001</v>
          </cell>
          <cell r="F897" t="str">
            <v>ESMALTES</v>
          </cell>
          <cell r="G897" t="str">
            <v>INDUSTRIAL</v>
          </cell>
        </row>
        <row r="898">
          <cell r="A898">
            <v>86002</v>
          </cell>
          <cell r="B898" t="str">
            <v>CR CORALAR ESM BR PRETO 900ML</v>
          </cell>
          <cell r="C898">
            <v>5202808</v>
          </cell>
          <cell r="D898" t="str">
            <v>CORAL</v>
          </cell>
          <cell r="E898">
            <v>40001</v>
          </cell>
          <cell r="F898" t="str">
            <v>ESMALTES</v>
          </cell>
          <cell r="G898" t="str">
            <v>INDUSTRIAL</v>
          </cell>
        </row>
        <row r="899">
          <cell r="A899">
            <v>86030</v>
          </cell>
          <cell r="B899" t="str">
            <v>CR CORALAR ESM BR TABACO 3.6L</v>
          </cell>
          <cell r="C899">
            <v>5202847</v>
          </cell>
          <cell r="D899" t="str">
            <v>CORAL</v>
          </cell>
          <cell r="E899">
            <v>40001</v>
          </cell>
          <cell r="F899" t="str">
            <v>ESMALTES</v>
          </cell>
          <cell r="G899" t="str">
            <v>INDUSTRIAL</v>
          </cell>
        </row>
        <row r="900">
          <cell r="A900">
            <v>86031</v>
          </cell>
          <cell r="B900" t="str">
            <v>CR CORALAR ESM BR TABACO 900ML</v>
          </cell>
          <cell r="C900">
            <v>5202848</v>
          </cell>
          <cell r="D900" t="str">
            <v>CORAL</v>
          </cell>
          <cell r="E900">
            <v>40001</v>
          </cell>
          <cell r="F900" t="str">
            <v>ESMALTES</v>
          </cell>
          <cell r="G900" t="str">
            <v>INDUSTRIAL</v>
          </cell>
        </row>
        <row r="901">
          <cell r="A901">
            <v>86022</v>
          </cell>
          <cell r="B901" t="str">
            <v>CR CORALAR ESM BR VERDE FOLHA 3.6L</v>
          </cell>
          <cell r="C901">
            <v>5202833</v>
          </cell>
          <cell r="D901" t="str">
            <v>CORAL</v>
          </cell>
          <cell r="E901">
            <v>40001</v>
          </cell>
          <cell r="F901" t="str">
            <v>ESMALTES</v>
          </cell>
          <cell r="G901" t="str">
            <v>INDUSTRIAL</v>
          </cell>
        </row>
        <row r="902">
          <cell r="A902">
            <v>86023</v>
          </cell>
          <cell r="B902" t="str">
            <v>CR CORALAR ESM BR VERDE FOLHA 900ML</v>
          </cell>
          <cell r="C902">
            <v>5202834</v>
          </cell>
          <cell r="D902" t="str">
            <v>CORAL</v>
          </cell>
          <cell r="E902">
            <v>40001</v>
          </cell>
          <cell r="F902" t="str">
            <v>ESMALTES</v>
          </cell>
          <cell r="G902" t="str">
            <v>INDUSTRIAL</v>
          </cell>
        </row>
        <row r="903">
          <cell r="A903">
            <v>86015</v>
          </cell>
          <cell r="B903" t="str">
            <v>CR CORALAR ESM BR VERMELHO 3.6L</v>
          </cell>
          <cell r="C903">
            <v>5202825</v>
          </cell>
          <cell r="D903" t="str">
            <v>CORAL</v>
          </cell>
          <cell r="E903">
            <v>40001</v>
          </cell>
          <cell r="F903" t="str">
            <v>ESMALTES</v>
          </cell>
          <cell r="G903" t="str">
            <v>INDUSTRIAL</v>
          </cell>
        </row>
        <row r="904">
          <cell r="A904">
            <v>86016</v>
          </cell>
          <cell r="B904" t="str">
            <v>CR CORALAR ESM BR VERMELHO 900ML</v>
          </cell>
          <cell r="C904">
            <v>5202826</v>
          </cell>
          <cell r="D904" t="str">
            <v>CORAL</v>
          </cell>
          <cell r="E904">
            <v>40001</v>
          </cell>
          <cell r="F904" t="str">
            <v>ESMALTES</v>
          </cell>
          <cell r="G904" t="str">
            <v>INDUSTRIAL</v>
          </cell>
        </row>
        <row r="905">
          <cell r="A905">
            <v>86018</v>
          </cell>
          <cell r="B905" t="str">
            <v>CR CORALAR ESM BR VERMELHO GOYA 3.6L</v>
          </cell>
          <cell r="C905">
            <v>5202829</v>
          </cell>
          <cell r="D905" t="str">
            <v>CORAL</v>
          </cell>
          <cell r="E905">
            <v>40001</v>
          </cell>
          <cell r="F905" t="str">
            <v>ESMALTES</v>
          </cell>
          <cell r="G905" t="str">
            <v>INDUSTRIAL</v>
          </cell>
        </row>
        <row r="906">
          <cell r="A906">
            <v>86019</v>
          </cell>
          <cell r="B906" t="str">
            <v>CR CORALAR ESM BR VERMELHO GOYA 900ML</v>
          </cell>
          <cell r="C906">
            <v>5202830</v>
          </cell>
          <cell r="D906" t="str">
            <v>CORAL</v>
          </cell>
          <cell r="E906">
            <v>40001</v>
          </cell>
          <cell r="F906" t="str">
            <v>ESMALTES</v>
          </cell>
          <cell r="G906" t="str">
            <v>INDUSTRIAL</v>
          </cell>
        </row>
        <row r="907">
          <cell r="A907">
            <v>86036</v>
          </cell>
          <cell r="B907" t="str">
            <v>CR CORALAR ESM FO PRETO 3.6L</v>
          </cell>
          <cell r="C907">
            <v>5202855</v>
          </cell>
          <cell r="D907" t="str">
            <v>CORAL</v>
          </cell>
          <cell r="E907">
            <v>40001</v>
          </cell>
          <cell r="F907" t="str">
            <v>ESMALTES</v>
          </cell>
          <cell r="G907" t="str">
            <v>INDUSTRIAL</v>
          </cell>
        </row>
        <row r="908">
          <cell r="A908">
            <v>86037</v>
          </cell>
          <cell r="B908" t="str">
            <v>CR CORALAR ESM FO PRETO 900ML</v>
          </cell>
          <cell r="C908">
            <v>5202856</v>
          </cell>
          <cell r="D908" t="str">
            <v>CORAL</v>
          </cell>
          <cell r="E908">
            <v>40001</v>
          </cell>
          <cell r="F908" t="str">
            <v>ESMALTES</v>
          </cell>
          <cell r="G908" t="str">
            <v>INDUSTRIAL</v>
          </cell>
        </row>
        <row r="909">
          <cell r="A909">
            <v>86091</v>
          </cell>
          <cell r="B909" t="str">
            <v>CR CORALIT ANTIFERRUGEM BR AZ REY 3.6L</v>
          </cell>
          <cell r="C909">
            <v>5203038</v>
          </cell>
          <cell r="D909" t="str">
            <v>CORAL</v>
          </cell>
          <cell r="E909">
            <v>40001</v>
          </cell>
          <cell r="F909" t="str">
            <v>ESMALTES</v>
          </cell>
          <cell r="G909" t="str">
            <v>INDUSTRIAL</v>
          </cell>
        </row>
        <row r="910">
          <cell r="A910">
            <v>86092</v>
          </cell>
          <cell r="B910" t="str">
            <v>CR CORALIT ANTIFERRUGEM BR AZ REY 900ML</v>
          </cell>
          <cell r="C910">
            <v>5203039</v>
          </cell>
          <cell r="D910" t="str">
            <v>CORAL</v>
          </cell>
          <cell r="E910">
            <v>40001</v>
          </cell>
          <cell r="F910" t="str">
            <v>ESMALTES</v>
          </cell>
          <cell r="G910" t="str">
            <v>INDUSTRIAL</v>
          </cell>
        </row>
        <row r="911">
          <cell r="A911">
            <v>86085</v>
          </cell>
          <cell r="B911" t="str">
            <v>CR CORALIT ANTIFERRUGEM BR BRANCO 3.6L</v>
          </cell>
          <cell r="C911">
            <v>5203029</v>
          </cell>
          <cell r="D911" t="str">
            <v>CORAL</v>
          </cell>
          <cell r="E911">
            <v>40001</v>
          </cell>
          <cell r="F911" t="str">
            <v>ESMALTES</v>
          </cell>
          <cell r="G911" t="str">
            <v>INDUSTRIAL</v>
          </cell>
        </row>
        <row r="912">
          <cell r="A912">
            <v>86086</v>
          </cell>
          <cell r="B912" t="str">
            <v>CR CORALIT ANTIFERRUGEM BR BRANCO 900ML</v>
          </cell>
          <cell r="C912">
            <v>5203030</v>
          </cell>
          <cell r="D912" t="str">
            <v>CORAL</v>
          </cell>
          <cell r="E912">
            <v>40001</v>
          </cell>
          <cell r="F912" t="str">
            <v>ESMALTES</v>
          </cell>
          <cell r="G912" t="str">
            <v>INDUSTRIAL</v>
          </cell>
        </row>
        <row r="913">
          <cell r="A913">
            <v>86089</v>
          </cell>
          <cell r="B913" t="str">
            <v>CR CORALIT ANTIFERRUGEM BR CINZA 3.6L</v>
          </cell>
          <cell r="C913">
            <v>5203035</v>
          </cell>
          <cell r="D913" t="str">
            <v>CORAL</v>
          </cell>
          <cell r="E913">
            <v>40001</v>
          </cell>
          <cell r="F913" t="str">
            <v>ESMALTES</v>
          </cell>
          <cell r="G913" t="str">
            <v>INDUSTRIAL</v>
          </cell>
        </row>
        <row r="914">
          <cell r="A914">
            <v>86090</v>
          </cell>
          <cell r="B914" t="str">
            <v>CR CORALIT ANTIFERRUGEM BR CINZA 900ML</v>
          </cell>
          <cell r="C914">
            <v>5203036</v>
          </cell>
          <cell r="D914" t="str">
            <v>CORAL</v>
          </cell>
          <cell r="E914">
            <v>40001</v>
          </cell>
          <cell r="F914" t="str">
            <v>ESMALTES</v>
          </cell>
          <cell r="G914" t="str">
            <v>INDUSTRIAL</v>
          </cell>
        </row>
        <row r="915">
          <cell r="A915">
            <v>86538</v>
          </cell>
          <cell r="B915" t="str">
            <v>CR CORALIT ANTIFERRUGEM BR PLATINA 3.6L</v>
          </cell>
          <cell r="C915">
            <v>5301120</v>
          </cell>
          <cell r="D915" t="str">
            <v>CORAL</v>
          </cell>
          <cell r="E915">
            <v>40001</v>
          </cell>
          <cell r="F915" t="str">
            <v>ESMALTES</v>
          </cell>
          <cell r="G915" t="str">
            <v>INDUSTRIAL</v>
          </cell>
        </row>
        <row r="916">
          <cell r="A916">
            <v>86539</v>
          </cell>
          <cell r="B916" t="str">
            <v>CR CORALIT ANTIFERRUGEM BR PLATINA 900ML</v>
          </cell>
          <cell r="C916">
            <v>5301122</v>
          </cell>
          <cell r="D916" t="str">
            <v>CORAL</v>
          </cell>
          <cell r="E916">
            <v>40001</v>
          </cell>
          <cell r="F916" t="str">
            <v>ESMALTES</v>
          </cell>
          <cell r="G916" t="str">
            <v>INDUSTRIAL</v>
          </cell>
        </row>
        <row r="917">
          <cell r="A917">
            <v>86087</v>
          </cell>
          <cell r="B917" t="str">
            <v>CR CORALIT ANTIFERRUGEM BR PRETO 3.6L</v>
          </cell>
          <cell r="C917">
            <v>5203032</v>
          </cell>
          <cell r="D917" t="str">
            <v>CORAL</v>
          </cell>
          <cell r="E917">
            <v>40001</v>
          </cell>
          <cell r="F917" t="str">
            <v>ESMALTES</v>
          </cell>
          <cell r="G917" t="str">
            <v>INDUSTRIAL</v>
          </cell>
        </row>
        <row r="918">
          <cell r="A918">
            <v>86088</v>
          </cell>
          <cell r="B918" t="str">
            <v>CR CORALIT ANTIFERRUGEM BR PRETO 900ML</v>
          </cell>
          <cell r="C918">
            <v>5203033</v>
          </cell>
          <cell r="D918" t="str">
            <v>CORAL</v>
          </cell>
          <cell r="E918">
            <v>40001</v>
          </cell>
          <cell r="F918" t="str">
            <v>ESMALTES</v>
          </cell>
          <cell r="G918" t="str">
            <v>INDUSTRIAL</v>
          </cell>
        </row>
        <row r="919">
          <cell r="A919">
            <v>86536</v>
          </cell>
          <cell r="B919" t="str">
            <v>CR CORALIT ANTIFERRUGEM BR TABACO 3.6L</v>
          </cell>
          <cell r="C919">
            <v>5301118</v>
          </cell>
          <cell r="D919" t="str">
            <v>CORAL</v>
          </cell>
          <cell r="E919">
            <v>40001</v>
          </cell>
          <cell r="F919" t="str">
            <v>ESMALTES</v>
          </cell>
          <cell r="G919" t="str">
            <v>INDUSTRIAL</v>
          </cell>
        </row>
        <row r="920">
          <cell r="A920">
            <v>86537</v>
          </cell>
          <cell r="B920" t="str">
            <v>CR CORALIT ANTIFERRUGEM BR TABACO 900ML</v>
          </cell>
          <cell r="C920">
            <v>5301119</v>
          </cell>
          <cell r="D920" t="str">
            <v>CORAL</v>
          </cell>
          <cell r="E920">
            <v>40001</v>
          </cell>
          <cell r="F920" t="str">
            <v>ESMALTES</v>
          </cell>
          <cell r="G920" t="str">
            <v>INDUSTRIAL</v>
          </cell>
        </row>
        <row r="921">
          <cell r="A921">
            <v>85902</v>
          </cell>
          <cell r="B921" t="str">
            <v>CR CORALIT FUN GALVANIZADO BRANCO 3.6L</v>
          </cell>
          <cell r="C921">
            <v>5202670</v>
          </cell>
          <cell r="D921" t="str">
            <v>CORAL</v>
          </cell>
          <cell r="E921">
            <v>40001</v>
          </cell>
          <cell r="F921" t="str">
            <v>ESMALTES</v>
          </cell>
          <cell r="G921" t="str">
            <v>INDUSTRIAL</v>
          </cell>
        </row>
        <row r="922">
          <cell r="A922">
            <v>85903</v>
          </cell>
          <cell r="B922" t="str">
            <v>CR CORALIT FUN GALVANIZADO BRANCO 900ML</v>
          </cell>
          <cell r="C922">
            <v>5202671</v>
          </cell>
          <cell r="D922" t="str">
            <v>CORAL</v>
          </cell>
          <cell r="E922">
            <v>40001</v>
          </cell>
          <cell r="F922" t="str">
            <v>ESMALTES</v>
          </cell>
          <cell r="G922" t="str">
            <v>INDUSTRIAL</v>
          </cell>
        </row>
        <row r="923">
          <cell r="A923">
            <v>86093</v>
          </cell>
          <cell r="B923" t="str">
            <v>CR CORALIT FUN NIVELADOR BRANCO 3.6L</v>
          </cell>
          <cell r="C923">
            <v>5203062</v>
          </cell>
          <cell r="D923" t="str">
            <v>CORAL</v>
          </cell>
          <cell r="E923">
            <v>40001</v>
          </cell>
          <cell r="F923" t="str">
            <v>ESMALTES</v>
          </cell>
          <cell r="G923" t="str">
            <v>INDUSTRIAL</v>
          </cell>
        </row>
        <row r="924">
          <cell r="A924">
            <v>86094</v>
          </cell>
          <cell r="B924" t="str">
            <v>CR CORALIT FUN NIVELADOR BRANCO 900ML</v>
          </cell>
          <cell r="C924">
            <v>5203063</v>
          </cell>
          <cell r="D924" t="str">
            <v>CORAL</v>
          </cell>
          <cell r="E924">
            <v>40001</v>
          </cell>
          <cell r="F924" t="str">
            <v>ESMALTES</v>
          </cell>
          <cell r="G924" t="str">
            <v>INDUSTRIAL</v>
          </cell>
        </row>
        <row r="925">
          <cell r="A925">
            <v>86163</v>
          </cell>
          <cell r="B925" t="str">
            <v>CR CORALIT FUN PREPARADOR BAL 3.6L</v>
          </cell>
          <cell r="C925">
            <v>5203224</v>
          </cell>
          <cell r="D925" t="str">
            <v>CORAL</v>
          </cell>
          <cell r="E925">
            <v>40001</v>
          </cell>
          <cell r="F925" t="str">
            <v>ESMALTES</v>
          </cell>
          <cell r="G925" t="str">
            <v>INDUSTRIAL</v>
          </cell>
        </row>
        <row r="926">
          <cell r="A926">
            <v>86164</v>
          </cell>
          <cell r="B926" t="str">
            <v>CR CORALIT FUN PREPARADOR BAL 900ML</v>
          </cell>
          <cell r="C926">
            <v>5203225</v>
          </cell>
          <cell r="D926" t="str">
            <v>CORAL</v>
          </cell>
          <cell r="E926">
            <v>40001</v>
          </cell>
          <cell r="F926" t="str">
            <v>ESMALTES</v>
          </cell>
          <cell r="G926" t="str">
            <v>INDUSTRIAL</v>
          </cell>
        </row>
        <row r="927">
          <cell r="A927">
            <v>85900</v>
          </cell>
          <cell r="B927" t="str">
            <v>CR CORALIT FUN ZARCAO PROFERRO 3.6L</v>
          </cell>
          <cell r="C927">
            <v>5202667</v>
          </cell>
          <cell r="D927" t="str">
            <v>CORAL</v>
          </cell>
          <cell r="E927">
            <v>40001</v>
          </cell>
          <cell r="F927" t="str">
            <v>ESMALTES</v>
          </cell>
          <cell r="G927" t="str">
            <v>INDUSTRIAL</v>
          </cell>
        </row>
        <row r="928">
          <cell r="A928">
            <v>85901</v>
          </cell>
          <cell r="B928" t="str">
            <v>CR CORALIT FUN ZARCAO PROFERRO 900ML</v>
          </cell>
          <cell r="C928">
            <v>5202668</v>
          </cell>
          <cell r="D928" t="str">
            <v>CORAL</v>
          </cell>
          <cell r="E928">
            <v>40001</v>
          </cell>
          <cell r="F928" t="str">
            <v>ESMALTES</v>
          </cell>
          <cell r="G928" t="str">
            <v>INDUSTRIAL</v>
          </cell>
        </row>
        <row r="929">
          <cell r="A929">
            <v>86161</v>
          </cell>
          <cell r="B929" t="str">
            <v>CR CORALIT SEC RAPIDA AC BRANCO 3.0L</v>
          </cell>
          <cell r="C929">
            <v>5771410</v>
          </cell>
          <cell r="D929" t="str">
            <v>CORAL</v>
          </cell>
          <cell r="E929">
            <v>40001</v>
          </cell>
          <cell r="F929" t="str">
            <v>ESMALTES</v>
          </cell>
          <cell r="G929" t="str">
            <v>INDUSTRIAL</v>
          </cell>
        </row>
        <row r="930">
          <cell r="A930">
            <v>85862</v>
          </cell>
          <cell r="B930" t="str">
            <v>CR CORALIT SEC RAPIDA AC BRANCO 750ML</v>
          </cell>
          <cell r="C930">
            <v>5771207</v>
          </cell>
          <cell r="D930" t="str">
            <v>CORAL</v>
          </cell>
          <cell r="E930">
            <v>40001</v>
          </cell>
          <cell r="F930" t="str">
            <v>ESMALTES</v>
          </cell>
          <cell r="G930" t="str">
            <v>INDUSTRIAL</v>
          </cell>
        </row>
        <row r="931">
          <cell r="A931">
            <v>86162</v>
          </cell>
          <cell r="B931" t="str">
            <v>CR CORALIT SEC RAPIDA AC BRANCO GELO 3.0L</v>
          </cell>
          <cell r="C931">
            <v>5771411</v>
          </cell>
          <cell r="D931" t="str">
            <v>CORAL</v>
          </cell>
          <cell r="E931">
            <v>40001</v>
          </cell>
          <cell r="F931" t="str">
            <v>ESMALTES</v>
          </cell>
          <cell r="G931" t="str">
            <v>INDUSTRIAL</v>
          </cell>
        </row>
        <row r="932">
          <cell r="A932">
            <v>86701</v>
          </cell>
          <cell r="B932" t="str">
            <v>CR CORALIT SEC RAPIDA AC BRANCO GELO 750ML</v>
          </cell>
          <cell r="C932">
            <v>5771738</v>
          </cell>
          <cell r="D932" t="str">
            <v>CORAL</v>
          </cell>
          <cell r="E932">
            <v>40001</v>
          </cell>
          <cell r="F932" t="str">
            <v>ESMALTES</v>
          </cell>
          <cell r="G932" t="str">
            <v>INDUSTRIAL</v>
          </cell>
        </row>
        <row r="933">
          <cell r="A933">
            <v>86666</v>
          </cell>
          <cell r="B933" t="str">
            <v>CR CORALIT SEC RAPIDA BR ALUMÍNIO 3.0L</v>
          </cell>
          <cell r="C933">
            <v>5771413</v>
          </cell>
          <cell r="D933" t="str">
            <v>CORAL</v>
          </cell>
          <cell r="E933">
            <v>40001</v>
          </cell>
          <cell r="F933" t="str">
            <v>ESMALTES</v>
          </cell>
          <cell r="G933" t="str">
            <v>INDUSTRIAL</v>
          </cell>
        </row>
        <row r="934">
          <cell r="A934">
            <v>86665</v>
          </cell>
          <cell r="B934" t="str">
            <v>CR CORALIT SEC RAPIDA BR ALUMÍNIO 750ML</v>
          </cell>
          <cell r="C934">
            <v>5771412</v>
          </cell>
          <cell r="D934" t="str">
            <v>CORAL</v>
          </cell>
          <cell r="E934">
            <v>40001</v>
          </cell>
          <cell r="F934" t="str">
            <v>ESMALTES</v>
          </cell>
          <cell r="G934" t="str">
            <v>INDUSTRIAL</v>
          </cell>
        </row>
        <row r="935">
          <cell r="A935">
            <v>86673</v>
          </cell>
          <cell r="B935" t="str">
            <v>CR CORALIT SEC RAPIDA BR AMAR TRATOR 3.0L</v>
          </cell>
          <cell r="C935">
            <v>5771515</v>
          </cell>
          <cell r="D935" t="str">
            <v>CORAL</v>
          </cell>
          <cell r="E935">
            <v>40001</v>
          </cell>
          <cell r="F935" t="str">
            <v>ESMALTES</v>
          </cell>
          <cell r="G935" t="str">
            <v>INDUSTRIAL</v>
          </cell>
        </row>
        <row r="936">
          <cell r="A936">
            <v>85864</v>
          </cell>
          <cell r="B936" t="str">
            <v>CR CORALIT SEC RAPIDA BR AMAR TRATOR 750ML</v>
          </cell>
          <cell r="C936">
            <v>5771409</v>
          </cell>
          <cell r="D936" t="str">
            <v>CORAL</v>
          </cell>
          <cell r="E936">
            <v>40001</v>
          </cell>
          <cell r="F936" t="str">
            <v>ESMALTES</v>
          </cell>
          <cell r="G936" t="str">
            <v>INDUSTRIAL</v>
          </cell>
        </row>
        <row r="937">
          <cell r="A937">
            <v>86698</v>
          </cell>
          <cell r="B937" t="str">
            <v>CR CORALIT SEC RAPIDA BR AMARELO 3.0L</v>
          </cell>
          <cell r="C937">
            <v>5771735</v>
          </cell>
          <cell r="D937" t="str">
            <v>CORAL</v>
          </cell>
          <cell r="E937">
            <v>40001</v>
          </cell>
          <cell r="F937" t="str">
            <v>ESMALTES</v>
          </cell>
          <cell r="G937" t="str">
            <v>INDUSTRIAL</v>
          </cell>
        </row>
        <row r="938">
          <cell r="A938">
            <v>86699</v>
          </cell>
          <cell r="B938" t="str">
            <v>CR CORALIT SEC RAPIDA BR AMARELO 750ML</v>
          </cell>
          <cell r="C938">
            <v>5771736</v>
          </cell>
          <cell r="D938" t="str">
            <v>CORAL</v>
          </cell>
          <cell r="E938">
            <v>40001</v>
          </cell>
          <cell r="F938" t="str">
            <v>ESMALTES</v>
          </cell>
          <cell r="G938" t="str">
            <v>INDUSTRIAL</v>
          </cell>
        </row>
        <row r="939">
          <cell r="A939">
            <v>86669</v>
          </cell>
          <cell r="B939" t="str">
            <v>CR CORALIT SEC RAPIDA BR AZUL DEL REY 3.0L</v>
          </cell>
          <cell r="C939">
            <v>5771511</v>
          </cell>
          <cell r="D939" t="str">
            <v>CORAL</v>
          </cell>
          <cell r="E939">
            <v>40001</v>
          </cell>
          <cell r="F939" t="str">
            <v>ESMALTES</v>
          </cell>
          <cell r="G939" t="str">
            <v>INDUSTRIAL</v>
          </cell>
        </row>
        <row r="940">
          <cell r="A940">
            <v>86683</v>
          </cell>
          <cell r="B940" t="str">
            <v>CR CORALIT SEC RAPIDA BR AZUL DEL REY 750ML</v>
          </cell>
          <cell r="C940">
            <v>5771525</v>
          </cell>
          <cell r="D940" t="str">
            <v>CORAL</v>
          </cell>
          <cell r="E940">
            <v>40001</v>
          </cell>
          <cell r="F940" t="str">
            <v>ESMALTES</v>
          </cell>
          <cell r="G940" t="str">
            <v>INDUSTRIAL</v>
          </cell>
        </row>
        <row r="941">
          <cell r="A941">
            <v>86670</v>
          </cell>
          <cell r="B941" t="str">
            <v>CR CORALIT SEC RAPIDA BR AZUL FRANÇA 3.0L</v>
          </cell>
          <cell r="C941">
            <v>5771512</v>
          </cell>
          <cell r="D941" t="str">
            <v>CORAL</v>
          </cell>
          <cell r="E941">
            <v>40001</v>
          </cell>
          <cell r="F941" t="str">
            <v>ESMALTES</v>
          </cell>
          <cell r="G941" t="str">
            <v>INDUSTRIAL</v>
          </cell>
        </row>
        <row r="942">
          <cell r="A942">
            <v>86684</v>
          </cell>
          <cell r="B942" t="str">
            <v>CR CORALIT SEC RAPIDA BR AZUL FRANÇA 750ML</v>
          </cell>
          <cell r="C942">
            <v>5771526</v>
          </cell>
          <cell r="D942" t="str">
            <v>CORAL</v>
          </cell>
          <cell r="E942">
            <v>40001</v>
          </cell>
          <cell r="F942" t="str">
            <v>ESMALTES</v>
          </cell>
          <cell r="G942" t="str">
            <v>INDUSTRIAL</v>
          </cell>
        </row>
        <row r="943">
          <cell r="A943">
            <v>86685</v>
          </cell>
          <cell r="B943" t="str">
            <v>CR CORALIT SEC RAPIDA BR AZUL MAR 3.0L</v>
          </cell>
          <cell r="C943">
            <v>5771527</v>
          </cell>
          <cell r="D943" t="str">
            <v>CORAL</v>
          </cell>
          <cell r="E943">
            <v>40001</v>
          </cell>
          <cell r="F943" t="str">
            <v>ESMALTES</v>
          </cell>
          <cell r="G943" t="str">
            <v>INDUSTRIAL</v>
          </cell>
        </row>
        <row r="944">
          <cell r="A944">
            <v>86668</v>
          </cell>
          <cell r="B944" t="str">
            <v>CR CORALIT SEC RAPIDA BR AZUL MAR 750ML</v>
          </cell>
          <cell r="C944">
            <v>5771510</v>
          </cell>
          <cell r="D944" t="str">
            <v>CORAL</v>
          </cell>
          <cell r="E944">
            <v>40001</v>
          </cell>
          <cell r="F944" t="str">
            <v>ESMALTES</v>
          </cell>
          <cell r="G944" t="str">
            <v>INDUSTRIAL</v>
          </cell>
        </row>
        <row r="945">
          <cell r="A945">
            <v>85863</v>
          </cell>
          <cell r="B945" t="str">
            <v>CR CORALIT SEC RAPIDA BR BRANCO 3.0L</v>
          </cell>
          <cell r="C945">
            <v>5771288</v>
          </cell>
          <cell r="D945" t="str">
            <v>CORAL</v>
          </cell>
          <cell r="E945">
            <v>40001</v>
          </cell>
          <cell r="F945" t="str">
            <v>ESMALTES</v>
          </cell>
          <cell r="G945" t="str">
            <v>INDUSTRIAL</v>
          </cell>
        </row>
        <row r="946">
          <cell r="A946">
            <v>86693</v>
          </cell>
          <cell r="B946" t="str">
            <v>CR CORALIT SEC RAPIDA BR BRANCO 750ML</v>
          </cell>
          <cell r="C946">
            <v>5771730</v>
          </cell>
          <cell r="D946" t="str">
            <v>CORAL</v>
          </cell>
          <cell r="E946">
            <v>40001</v>
          </cell>
          <cell r="F946" t="str">
            <v>ESMALTES</v>
          </cell>
          <cell r="G946" t="str">
            <v>INDUSTRIAL</v>
          </cell>
        </row>
        <row r="947">
          <cell r="A947">
            <v>86689</v>
          </cell>
          <cell r="B947" t="str">
            <v>CR CORALIT SEC RAPIDA BR BRANCO GELO 3.0L</v>
          </cell>
          <cell r="C947">
            <v>5771538</v>
          </cell>
          <cell r="D947" t="str">
            <v>CORAL</v>
          </cell>
          <cell r="E947">
            <v>40001</v>
          </cell>
          <cell r="F947" t="str">
            <v>ESMALTES</v>
          </cell>
          <cell r="G947" t="str">
            <v>INDUSTRIAL</v>
          </cell>
        </row>
        <row r="948">
          <cell r="A948">
            <v>86692</v>
          </cell>
          <cell r="B948" t="str">
            <v>CR CORALIT SEC RAPIDA BR BRANCO GELO 750ML</v>
          </cell>
          <cell r="C948">
            <v>5771541</v>
          </cell>
          <cell r="D948" t="str">
            <v>CORAL</v>
          </cell>
          <cell r="E948">
            <v>40001</v>
          </cell>
          <cell r="F948" t="str">
            <v>ESMALTES</v>
          </cell>
          <cell r="G948" t="str">
            <v>INDUSTRIAL</v>
          </cell>
        </row>
        <row r="949">
          <cell r="A949">
            <v>86694</v>
          </cell>
          <cell r="B949" t="str">
            <v>CR CORALIT SEC RAPIDA BR CINZA ESCURO 3.0L</v>
          </cell>
          <cell r="C949">
            <v>5771731</v>
          </cell>
          <cell r="D949" t="str">
            <v>CORAL</v>
          </cell>
          <cell r="E949">
            <v>40001</v>
          </cell>
          <cell r="F949" t="str">
            <v>ESMALTES</v>
          </cell>
          <cell r="G949" t="str">
            <v>INDUSTRIAL</v>
          </cell>
        </row>
        <row r="950">
          <cell r="A950">
            <v>86696</v>
          </cell>
          <cell r="B950" t="str">
            <v>CR CORALIT SEC RAPIDA BR CINZA ESCURO 750ML</v>
          </cell>
          <cell r="C950">
            <v>5771733</v>
          </cell>
          <cell r="D950" t="str">
            <v>CORAL</v>
          </cell>
          <cell r="E950">
            <v>40001</v>
          </cell>
          <cell r="F950" t="str">
            <v>ESMALTES</v>
          </cell>
          <cell r="G950" t="str">
            <v>INDUSTRIAL</v>
          </cell>
        </row>
        <row r="951">
          <cell r="A951">
            <v>86687</v>
          </cell>
          <cell r="B951" t="str">
            <v>CR CORALIT SEC RAPIDA BR CINZA MÉDIO 3.0L</v>
          </cell>
          <cell r="C951">
            <v>5771529</v>
          </cell>
          <cell r="D951" t="str">
            <v>CORAL</v>
          </cell>
          <cell r="E951">
            <v>40001</v>
          </cell>
          <cell r="F951" t="str">
            <v>ESMALTES</v>
          </cell>
          <cell r="G951" t="str">
            <v>INDUSTRIAL</v>
          </cell>
        </row>
        <row r="952">
          <cell r="A952">
            <v>86691</v>
          </cell>
          <cell r="B952" t="str">
            <v>CR CORALIT SEC RAPIDA BR CINZA MÉDIO 750ML</v>
          </cell>
          <cell r="C952">
            <v>5771540</v>
          </cell>
          <cell r="D952" t="str">
            <v>CORAL</v>
          </cell>
          <cell r="E952">
            <v>40001</v>
          </cell>
          <cell r="F952" t="str">
            <v>ESMALTES</v>
          </cell>
          <cell r="G952" t="str">
            <v>INDUSTRIAL</v>
          </cell>
        </row>
        <row r="953">
          <cell r="A953">
            <v>86676</v>
          </cell>
          <cell r="B953" t="str">
            <v>CR CORALIT SEC RAPIDA BR COLORADO 3.0L</v>
          </cell>
          <cell r="C953">
            <v>5771518</v>
          </cell>
          <cell r="D953" t="str">
            <v>CORAL</v>
          </cell>
          <cell r="E953">
            <v>40001</v>
          </cell>
          <cell r="F953" t="str">
            <v>ESMALTES</v>
          </cell>
          <cell r="G953" t="str">
            <v>INDUSTRIAL</v>
          </cell>
        </row>
        <row r="954">
          <cell r="A954">
            <v>86675</v>
          </cell>
          <cell r="B954" t="str">
            <v>CR CORALIT SEC RAPIDA BR COLORADO 750ML</v>
          </cell>
          <cell r="C954">
            <v>5771517</v>
          </cell>
          <cell r="D954" t="str">
            <v>CORAL</v>
          </cell>
          <cell r="E954">
            <v>40001</v>
          </cell>
          <cell r="F954" t="str">
            <v>ESMALTES</v>
          </cell>
          <cell r="G954" t="str">
            <v>INDUSTRIAL</v>
          </cell>
        </row>
        <row r="955">
          <cell r="A955">
            <v>86682</v>
          </cell>
          <cell r="B955" t="str">
            <v>CR CORALIT SEC RAPIDA BR LARANJA 3.0L</v>
          </cell>
          <cell r="C955">
            <v>5771524</v>
          </cell>
          <cell r="D955" t="str">
            <v>CORAL</v>
          </cell>
          <cell r="E955">
            <v>40001</v>
          </cell>
          <cell r="F955" t="str">
            <v>ESMALTES</v>
          </cell>
          <cell r="G955" t="str">
            <v>INDUSTRIAL</v>
          </cell>
        </row>
        <row r="956">
          <cell r="A956">
            <v>86702</v>
          </cell>
          <cell r="B956" t="str">
            <v>CR CORALIT SEC RAPIDA BR LARANJA 750ML</v>
          </cell>
          <cell r="C956">
            <v>5771760</v>
          </cell>
          <cell r="D956" t="str">
            <v>CORAL</v>
          </cell>
          <cell r="E956">
            <v>40001</v>
          </cell>
          <cell r="F956" t="str">
            <v>ESMALTES</v>
          </cell>
          <cell r="G956" t="str">
            <v>INDUSTRIAL</v>
          </cell>
        </row>
        <row r="957">
          <cell r="A957">
            <v>86678</v>
          </cell>
          <cell r="B957" t="str">
            <v>CR CORALIT SEC RAPIDA BR MARFIM 3.0L</v>
          </cell>
          <cell r="C957">
            <v>5771520</v>
          </cell>
          <cell r="D957" t="str">
            <v>CORAL</v>
          </cell>
          <cell r="E957">
            <v>40001</v>
          </cell>
          <cell r="F957" t="str">
            <v>ESMALTES</v>
          </cell>
          <cell r="G957" t="str">
            <v>INDUSTRIAL</v>
          </cell>
        </row>
        <row r="958">
          <cell r="A958">
            <v>86677</v>
          </cell>
          <cell r="B958" t="str">
            <v>CR CORALIT SEC RAPIDA BR MARFIM 750ML</v>
          </cell>
          <cell r="C958">
            <v>5771519</v>
          </cell>
          <cell r="D958" t="str">
            <v>CORAL</v>
          </cell>
          <cell r="E958">
            <v>40001</v>
          </cell>
          <cell r="F958" t="str">
            <v>ESMALTES</v>
          </cell>
          <cell r="G958" t="str">
            <v>INDUSTRIAL</v>
          </cell>
        </row>
        <row r="959">
          <cell r="A959">
            <v>85861</v>
          </cell>
          <cell r="B959" t="str">
            <v>CR CORALIT SEC RAPIDA BR MARROM CONHAQUE 3.0L</v>
          </cell>
          <cell r="C959">
            <v>5771202</v>
          </cell>
          <cell r="D959" t="str">
            <v>CORAL</v>
          </cell>
          <cell r="E959">
            <v>40001</v>
          </cell>
          <cell r="F959" t="str">
            <v>ESMALTES</v>
          </cell>
          <cell r="G959" t="str">
            <v>INDUSTRIAL</v>
          </cell>
        </row>
        <row r="960">
          <cell r="A960">
            <v>86667</v>
          </cell>
          <cell r="B960" t="str">
            <v>CR CORALIT SEC RAPIDA BR MARROM CONHAQUE 750ML</v>
          </cell>
          <cell r="C960">
            <v>5771414</v>
          </cell>
          <cell r="D960" t="str">
            <v>CORAL</v>
          </cell>
          <cell r="E960">
            <v>40001</v>
          </cell>
          <cell r="F960" t="str">
            <v>ESMALTES</v>
          </cell>
          <cell r="G960" t="str">
            <v>INDUSTRIAL</v>
          </cell>
        </row>
        <row r="961">
          <cell r="A961">
            <v>86695</v>
          </cell>
          <cell r="B961" t="str">
            <v>CR CORALIT SEC RAPIDA BR PLATINA 3.0L</v>
          </cell>
          <cell r="C961">
            <v>5771732</v>
          </cell>
          <cell r="D961" t="str">
            <v>CORAL</v>
          </cell>
          <cell r="E961">
            <v>40001</v>
          </cell>
          <cell r="F961" t="str">
            <v>ESMALTES</v>
          </cell>
          <cell r="G961" t="str">
            <v>INDUSTRIAL</v>
          </cell>
        </row>
        <row r="962">
          <cell r="A962">
            <v>86690</v>
          </cell>
          <cell r="B962" t="str">
            <v>CR CORALIT SEC RAPIDA BR PLATINA 750ML</v>
          </cell>
          <cell r="C962">
            <v>5771539</v>
          </cell>
          <cell r="D962" t="str">
            <v>CORAL</v>
          </cell>
          <cell r="E962">
            <v>40001</v>
          </cell>
          <cell r="F962" t="str">
            <v>ESMALTES</v>
          </cell>
          <cell r="G962" t="str">
            <v>INDUSTRIAL</v>
          </cell>
        </row>
        <row r="963">
          <cell r="A963">
            <v>86686</v>
          </cell>
          <cell r="B963" t="str">
            <v>CR CORALIT SEC RAPIDA BR PRETO 3.0L</v>
          </cell>
          <cell r="C963">
            <v>5771528</v>
          </cell>
          <cell r="D963" t="str">
            <v>CORAL</v>
          </cell>
          <cell r="E963">
            <v>40001</v>
          </cell>
          <cell r="F963" t="str">
            <v>ESMALTES</v>
          </cell>
          <cell r="G963" t="str">
            <v>INDUSTRIAL</v>
          </cell>
        </row>
        <row r="964">
          <cell r="A964">
            <v>86688</v>
          </cell>
          <cell r="B964" t="str">
            <v>CR CORALIT SEC RAPIDA BR PRETO 750ML</v>
          </cell>
          <cell r="C964">
            <v>5771530</v>
          </cell>
          <cell r="D964" t="str">
            <v>CORAL</v>
          </cell>
          <cell r="E964">
            <v>40001</v>
          </cell>
          <cell r="F964" t="str">
            <v>ESMALTES</v>
          </cell>
          <cell r="G964" t="str">
            <v>INDUSTRIAL</v>
          </cell>
        </row>
        <row r="965">
          <cell r="A965">
            <v>86674</v>
          </cell>
          <cell r="B965" t="str">
            <v>CR CORALIT SEC RAPIDA BR TABACO 3.0L</v>
          </cell>
          <cell r="C965">
            <v>5771516</v>
          </cell>
          <cell r="D965" t="str">
            <v>CORAL</v>
          </cell>
          <cell r="E965">
            <v>40001</v>
          </cell>
          <cell r="F965" t="str">
            <v>ESMALTES</v>
          </cell>
          <cell r="G965" t="str">
            <v>INDUSTRIAL</v>
          </cell>
        </row>
        <row r="966">
          <cell r="A966">
            <v>86700</v>
          </cell>
          <cell r="B966" t="str">
            <v>CR CORALIT SEC RAPIDA BR TABACO 750ML</v>
          </cell>
          <cell r="C966">
            <v>5771737</v>
          </cell>
          <cell r="D966" t="str">
            <v>CORAL</v>
          </cell>
          <cell r="E966">
            <v>40001</v>
          </cell>
          <cell r="F966" t="str">
            <v>ESMALTES</v>
          </cell>
          <cell r="G966" t="str">
            <v>INDUSTRIAL</v>
          </cell>
        </row>
        <row r="967">
          <cell r="A967">
            <v>86680</v>
          </cell>
          <cell r="B967" t="str">
            <v>CR CORALIT SEC RAPIDA BR VERDE FOLHA 3.0L</v>
          </cell>
          <cell r="C967">
            <v>5771522</v>
          </cell>
          <cell r="D967" t="str">
            <v>CORAL</v>
          </cell>
          <cell r="E967">
            <v>40001</v>
          </cell>
          <cell r="F967" t="str">
            <v>ESMALTES</v>
          </cell>
          <cell r="G967" t="str">
            <v>INDUSTRIAL</v>
          </cell>
        </row>
        <row r="968">
          <cell r="A968">
            <v>86679</v>
          </cell>
          <cell r="B968" t="str">
            <v>CR CORALIT SEC RAPIDA BR VERDE FOLHA 750ML</v>
          </cell>
          <cell r="C968">
            <v>5771521</v>
          </cell>
          <cell r="D968" t="str">
            <v>CORAL</v>
          </cell>
          <cell r="E968">
            <v>40001</v>
          </cell>
          <cell r="F968" t="str">
            <v>ESMALTES</v>
          </cell>
          <cell r="G968" t="str">
            <v>INDUSTRIAL</v>
          </cell>
        </row>
        <row r="969">
          <cell r="A969">
            <v>86671</v>
          </cell>
          <cell r="B969" t="str">
            <v>CR CORALIT SEC RAPIDA BR VERMELHO 3.0L</v>
          </cell>
          <cell r="C969">
            <v>5771513</v>
          </cell>
          <cell r="D969" t="str">
            <v>CORAL</v>
          </cell>
          <cell r="E969">
            <v>40001</v>
          </cell>
          <cell r="F969" t="str">
            <v>ESMALTES</v>
          </cell>
          <cell r="G969" t="str">
            <v>INDUSTRIAL</v>
          </cell>
        </row>
        <row r="970">
          <cell r="A970">
            <v>86672</v>
          </cell>
          <cell r="B970" t="str">
            <v>CR CORALIT SEC RAPIDA BR VERMELHO 750ML</v>
          </cell>
          <cell r="C970">
            <v>5771514</v>
          </cell>
          <cell r="D970" t="str">
            <v>CORAL</v>
          </cell>
          <cell r="E970">
            <v>40001</v>
          </cell>
          <cell r="F970" t="str">
            <v>ESMALTES</v>
          </cell>
          <cell r="G970" t="str">
            <v>INDUSTRIAL</v>
          </cell>
        </row>
        <row r="971">
          <cell r="A971">
            <v>86681</v>
          </cell>
          <cell r="B971" t="str">
            <v>CR CORALIT SEC RAPIDA BR VERMELHO GOYA 3.0L</v>
          </cell>
          <cell r="C971">
            <v>5771523</v>
          </cell>
          <cell r="D971" t="str">
            <v>CORAL</v>
          </cell>
          <cell r="E971">
            <v>40001</v>
          </cell>
          <cell r="F971" t="str">
            <v>ESMALTES</v>
          </cell>
          <cell r="G971" t="str">
            <v>INDUSTRIAL</v>
          </cell>
        </row>
        <row r="972">
          <cell r="A972">
            <v>86697</v>
          </cell>
          <cell r="B972" t="str">
            <v>CR CORALIT SEC RAPIDA BR VERMELHO GOYA 750ML</v>
          </cell>
          <cell r="C972">
            <v>5771734</v>
          </cell>
          <cell r="D972" t="str">
            <v>CORAL</v>
          </cell>
          <cell r="E972">
            <v>40001</v>
          </cell>
          <cell r="F972" t="str">
            <v>ESMALTES</v>
          </cell>
          <cell r="G972" t="str">
            <v>INDUSTRIAL</v>
          </cell>
        </row>
        <row r="973">
          <cell r="A973">
            <v>86232</v>
          </cell>
          <cell r="B973" t="str">
            <v>CR CORALIT TOTAL AC BASE MF 3.2L</v>
          </cell>
          <cell r="C973">
            <v>5267032</v>
          </cell>
          <cell r="D973" t="str">
            <v>CORAL</v>
          </cell>
          <cell r="E973">
            <v>40001</v>
          </cell>
          <cell r="F973" t="str">
            <v>ESMALTES</v>
          </cell>
          <cell r="G973" t="str">
            <v>INDUSTRIAL</v>
          </cell>
        </row>
        <row r="974">
          <cell r="A974">
            <v>86233</v>
          </cell>
          <cell r="B974" t="str">
            <v>CR CORALIT TOTAL AC BASE MF 800ML</v>
          </cell>
          <cell r="C974">
            <v>5267033</v>
          </cell>
          <cell r="D974" t="str">
            <v>CORAL</v>
          </cell>
          <cell r="E974">
            <v>40001</v>
          </cell>
          <cell r="F974" t="str">
            <v>ESMALTES</v>
          </cell>
          <cell r="G974" t="str">
            <v>INDUSTRIAL</v>
          </cell>
        </row>
        <row r="975">
          <cell r="A975">
            <v>86237</v>
          </cell>
          <cell r="B975" t="str">
            <v>CR CORALIT TOTAL AC BASE P 3.2L</v>
          </cell>
          <cell r="C975">
            <v>5267278</v>
          </cell>
          <cell r="D975" t="str">
            <v>CORAL</v>
          </cell>
          <cell r="E975">
            <v>40001</v>
          </cell>
          <cell r="F975" t="str">
            <v>ESMALTES</v>
          </cell>
          <cell r="G975" t="str">
            <v>INDUSTRIAL</v>
          </cell>
        </row>
        <row r="976">
          <cell r="A976">
            <v>86238</v>
          </cell>
          <cell r="B976" t="str">
            <v>CR CORALIT TOTAL AC BASE P 800ML</v>
          </cell>
          <cell r="C976">
            <v>5267279</v>
          </cell>
          <cell r="D976" t="str">
            <v>CORAL</v>
          </cell>
          <cell r="E976">
            <v>40001</v>
          </cell>
          <cell r="F976" t="str">
            <v>ESMALTES</v>
          </cell>
          <cell r="G976" t="str">
            <v>INDUSTRIAL</v>
          </cell>
        </row>
        <row r="977">
          <cell r="A977">
            <v>86235</v>
          </cell>
          <cell r="B977" t="str">
            <v>CR CORALIT TOTAL AC BASE T 3.2L</v>
          </cell>
          <cell r="C977">
            <v>5267052</v>
          </cell>
          <cell r="D977" t="str">
            <v>CORAL</v>
          </cell>
          <cell r="E977">
            <v>40001</v>
          </cell>
          <cell r="F977" t="str">
            <v>ESMALTES</v>
          </cell>
          <cell r="G977" t="str">
            <v>INDUSTRIAL</v>
          </cell>
        </row>
        <row r="978">
          <cell r="A978">
            <v>86236</v>
          </cell>
          <cell r="B978" t="str">
            <v>CR CORALIT TOTAL AC BASE T 800ML</v>
          </cell>
          <cell r="C978">
            <v>5267053</v>
          </cell>
          <cell r="D978" t="str">
            <v>CORAL</v>
          </cell>
          <cell r="E978">
            <v>40001</v>
          </cell>
          <cell r="F978" t="str">
            <v>ESMALTES</v>
          </cell>
          <cell r="G978" t="str">
            <v>INDUSTRIAL</v>
          </cell>
        </row>
        <row r="979">
          <cell r="A979">
            <v>86075</v>
          </cell>
          <cell r="B979" t="str">
            <v>CR CORALIT TOTAL AC BRANCO  3.6L</v>
          </cell>
          <cell r="C979">
            <v>5202907</v>
          </cell>
          <cell r="D979" t="str">
            <v>CORAL</v>
          </cell>
          <cell r="E979">
            <v>40001</v>
          </cell>
          <cell r="F979" t="str">
            <v>ESMALTES</v>
          </cell>
          <cell r="G979" t="str">
            <v>INDUSTRIAL</v>
          </cell>
        </row>
        <row r="980">
          <cell r="A980">
            <v>86076</v>
          </cell>
          <cell r="B980" t="str">
            <v>CR CORALIT TOTAL AC BRANCO  900ML</v>
          </cell>
          <cell r="C980">
            <v>5202908</v>
          </cell>
          <cell r="D980" t="str">
            <v>CORAL</v>
          </cell>
          <cell r="E980">
            <v>40001</v>
          </cell>
          <cell r="F980" t="str">
            <v>ESMALTES</v>
          </cell>
          <cell r="G980" t="str">
            <v>INDUSTRIAL</v>
          </cell>
        </row>
        <row r="981">
          <cell r="A981">
            <v>86077</v>
          </cell>
          <cell r="B981" t="str">
            <v>CR CORALIT TOTAL AC BRANCO GELO 3.6L</v>
          </cell>
          <cell r="C981">
            <v>5202909</v>
          </cell>
          <cell r="D981" t="str">
            <v>CORAL</v>
          </cell>
          <cell r="E981">
            <v>40001</v>
          </cell>
          <cell r="F981" t="str">
            <v>ESMALTES</v>
          </cell>
          <cell r="G981" t="str">
            <v>INDUSTRIAL</v>
          </cell>
        </row>
        <row r="982">
          <cell r="A982">
            <v>86078</v>
          </cell>
          <cell r="B982" t="str">
            <v>CR CORALIT TOTAL AC BRANCO GELO 900ML</v>
          </cell>
          <cell r="C982">
            <v>5202910</v>
          </cell>
          <cell r="D982" t="str">
            <v>CORAL</v>
          </cell>
          <cell r="E982">
            <v>40001</v>
          </cell>
          <cell r="F982" t="str">
            <v>ESMALTES</v>
          </cell>
          <cell r="G982" t="str">
            <v>INDUSTRIAL</v>
          </cell>
        </row>
        <row r="983">
          <cell r="A983">
            <v>86069</v>
          </cell>
          <cell r="B983" t="str">
            <v>CR CORALIT TOTAL BR AMARELO 3.6L</v>
          </cell>
          <cell r="C983">
            <v>5202899</v>
          </cell>
          <cell r="D983" t="str">
            <v>CORAL</v>
          </cell>
          <cell r="E983">
            <v>40001</v>
          </cell>
          <cell r="F983" t="str">
            <v>ESMALTES</v>
          </cell>
          <cell r="G983" t="str">
            <v>INDUSTRIAL</v>
          </cell>
        </row>
        <row r="984">
          <cell r="A984">
            <v>86070</v>
          </cell>
          <cell r="B984" t="str">
            <v>CR CORALIT TOTAL BR AMARELO 900ML</v>
          </cell>
          <cell r="C984">
            <v>5202900</v>
          </cell>
          <cell r="D984" t="str">
            <v>CORAL</v>
          </cell>
          <cell r="E984">
            <v>40001</v>
          </cell>
          <cell r="F984" t="str">
            <v>ESMALTES</v>
          </cell>
          <cell r="G984" t="str">
            <v>INDUSTRIAL</v>
          </cell>
        </row>
        <row r="985">
          <cell r="A985">
            <v>86066</v>
          </cell>
          <cell r="B985" t="str">
            <v>CR CORALIT TOTAL BR AZUL DEL REY 3.6L</v>
          </cell>
          <cell r="C985">
            <v>5202895</v>
          </cell>
          <cell r="D985" t="str">
            <v>CORAL</v>
          </cell>
          <cell r="E985">
            <v>40001</v>
          </cell>
          <cell r="F985" t="str">
            <v>ESMALTES</v>
          </cell>
          <cell r="G985" t="str">
            <v>INDUSTRIAL</v>
          </cell>
        </row>
        <row r="986">
          <cell r="A986">
            <v>86231</v>
          </cell>
          <cell r="B986" t="str">
            <v>CR CORALIT TOTAL BR BASE MF 3.2L</v>
          </cell>
          <cell r="C986">
            <v>5267030</v>
          </cell>
          <cell r="D986" t="str">
            <v>CORAL</v>
          </cell>
          <cell r="E986">
            <v>40001</v>
          </cell>
          <cell r="F986" t="str">
            <v>ESMALTES</v>
          </cell>
          <cell r="G986" t="str">
            <v>INDUSTRIAL</v>
          </cell>
        </row>
        <row r="987">
          <cell r="A987">
            <v>86234</v>
          </cell>
          <cell r="B987" t="str">
            <v>CR CORALIT TOTAL BR BASE MF 800ML</v>
          </cell>
          <cell r="C987">
            <v>5267051</v>
          </cell>
          <cell r="D987" t="str">
            <v>CORAL</v>
          </cell>
          <cell r="E987">
            <v>40001</v>
          </cell>
          <cell r="F987" t="str">
            <v>ESMALTES</v>
          </cell>
          <cell r="G987" t="str">
            <v>INDUSTRIAL</v>
          </cell>
        </row>
        <row r="988">
          <cell r="A988">
            <v>86079</v>
          </cell>
          <cell r="B988" t="str">
            <v>CR CORALIT TOTAL BR BASE P 3.2L</v>
          </cell>
          <cell r="C988">
            <v>5202981</v>
          </cell>
          <cell r="D988" t="str">
            <v>CORAL</v>
          </cell>
          <cell r="E988">
            <v>40001</v>
          </cell>
          <cell r="F988" t="str">
            <v>ESMALTES</v>
          </cell>
          <cell r="G988" t="str">
            <v>INDUSTRIAL</v>
          </cell>
        </row>
        <row r="989">
          <cell r="A989">
            <v>86080</v>
          </cell>
          <cell r="B989" t="str">
            <v>CR CORALIT TOTAL BR BASE P 800ML</v>
          </cell>
          <cell r="C989">
            <v>5202982</v>
          </cell>
          <cell r="D989" t="str">
            <v>CORAL</v>
          </cell>
          <cell r="E989">
            <v>40001</v>
          </cell>
          <cell r="F989" t="str">
            <v>ESMALTES</v>
          </cell>
          <cell r="G989" t="str">
            <v>INDUSTRIAL</v>
          </cell>
        </row>
        <row r="990">
          <cell r="A990">
            <v>86081</v>
          </cell>
          <cell r="B990" t="str">
            <v>CR CORALIT TOTAL BR BASE T 3.2L</v>
          </cell>
          <cell r="C990">
            <v>5202987</v>
          </cell>
          <cell r="D990" t="str">
            <v>CORAL</v>
          </cell>
          <cell r="E990">
            <v>40001</v>
          </cell>
          <cell r="F990" t="str">
            <v>ESMALTES</v>
          </cell>
          <cell r="G990" t="str">
            <v>INDUSTRIAL</v>
          </cell>
        </row>
        <row r="991">
          <cell r="A991">
            <v>86082</v>
          </cell>
          <cell r="B991" t="str">
            <v>CR CORALIT TOTAL BR BASE T 800ML</v>
          </cell>
          <cell r="C991">
            <v>5202988</v>
          </cell>
          <cell r="D991" t="str">
            <v>CORAL</v>
          </cell>
          <cell r="E991">
            <v>40001</v>
          </cell>
          <cell r="F991" t="str">
            <v>ESMALTES</v>
          </cell>
          <cell r="G991" t="str">
            <v>INDUSTRIAL</v>
          </cell>
        </row>
        <row r="992">
          <cell r="A992">
            <v>86058</v>
          </cell>
          <cell r="B992" t="str">
            <v>CR CORALIT TOTAL BR BRANCO 3.6L</v>
          </cell>
          <cell r="C992">
            <v>5202887</v>
          </cell>
          <cell r="D992" t="str">
            <v>CORAL</v>
          </cell>
          <cell r="E992">
            <v>40001</v>
          </cell>
          <cell r="F992" t="str">
            <v>ESMALTES</v>
          </cell>
          <cell r="G992" t="str">
            <v>INDUSTRIAL</v>
          </cell>
        </row>
        <row r="993">
          <cell r="A993">
            <v>86059</v>
          </cell>
          <cell r="B993" t="str">
            <v>CR CORALIT TOTAL BR BRANCO 900ML</v>
          </cell>
          <cell r="C993">
            <v>5202888</v>
          </cell>
          <cell r="D993" t="str">
            <v>CORAL</v>
          </cell>
          <cell r="E993">
            <v>40001</v>
          </cell>
          <cell r="F993" t="str">
            <v>ESMALTES</v>
          </cell>
          <cell r="G993" t="str">
            <v>INDUSTRIAL</v>
          </cell>
        </row>
        <row r="994">
          <cell r="A994">
            <v>86060</v>
          </cell>
          <cell r="B994" t="str">
            <v>CR CORALIT TOTAL BR BRANCO GELO 3.6L</v>
          </cell>
          <cell r="C994">
            <v>5202889</v>
          </cell>
          <cell r="D994" t="str">
            <v>CORAL</v>
          </cell>
          <cell r="E994">
            <v>40001</v>
          </cell>
          <cell r="F994" t="str">
            <v>ESMALTES</v>
          </cell>
          <cell r="G994" t="str">
            <v>INDUSTRIAL</v>
          </cell>
        </row>
        <row r="995">
          <cell r="A995">
            <v>86061</v>
          </cell>
          <cell r="B995" t="str">
            <v>CR CORALIT TOTAL BR BRANCO GELO 900ML</v>
          </cell>
          <cell r="C995">
            <v>5202890</v>
          </cell>
          <cell r="D995" t="str">
            <v>CORAL</v>
          </cell>
          <cell r="E995">
            <v>40001</v>
          </cell>
          <cell r="F995" t="str">
            <v>ESMALTES</v>
          </cell>
          <cell r="G995" t="str">
            <v>INDUSTRIAL</v>
          </cell>
        </row>
        <row r="996">
          <cell r="A996">
            <v>86072</v>
          </cell>
          <cell r="B996" t="str">
            <v>CR CORALIT TOTAL BR MARFIM 3.6L</v>
          </cell>
          <cell r="C996">
            <v>5202903</v>
          </cell>
          <cell r="D996" t="str">
            <v>CORAL</v>
          </cell>
          <cell r="E996">
            <v>40001</v>
          </cell>
          <cell r="F996" t="str">
            <v>ESMALTES</v>
          </cell>
          <cell r="G996" t="str">
            <v>INDUSTRIAL</v>
          </cell>
        </row>
        <row r="997">
          <cell r="A997">
            <v>86064</v>
          </cell>
          <cell r="B997" t="str">
            <v>CR CORALIT TOTAL BR PLATINA 3.6L</v>
          </cell>
          <cell r="C997">
            <v>5202893</v>
          </cell>
          <cell r="D997" t="str">
            <v>CORAL</v>
          </cell>
          <cell r="E997">
            <v>40001</v>
          </cell>
          <cell r="F997" t="str">
            <v>ESMALTES</v>
          </cell>
          <cell r="G997" t="str">
            <v>INDUSTRIAL</v>
          </cell>
        </row>
        <row r="998">
          <cell r="A998">
            <v>86065</v>
          </cell>
          <cell r="B998" t="str">
            <v>CR CORALIT TOTAL BR PLATINA 900ML</v>
          </cell>
          <cell r="C998">
            <v>5202894</v>
          </cell>
          <cell r="D998" t="str">
            <v>CORAL</v>
          </cell>
          <cell r="E998">
            <v>40001</v>
          </cell>
          <cell r="F998" t="str">
            <v>ESMALTES</v>
          </cell>
          <cell r="G998" t="str">
            <v>INDUSTRIAL</v>
          </cell>
        </row>
        <row r="999">
          <cell r="A999">
            <v>86062</v>
          </cell>
          <cell r="B999" t="str">
            <v>CR CORALIT TOTAL BR PRETO 3.6L</v>
          </cell>
          <cell r="C999">
            <v>5202891</v>
          </cell>
          <cell r="D999" t="str">
            <v>CORAL</v>
          </cell>
          <cell r="E999">
            <v>40001</v>
          </cell>
          <cell r="F999" t="str">
            <v>ESMALTES</v>
          </cell>
          <cell r="G999" t="str">
            <v>INDUSTRIAL</v>
          </cell>
        </row>
        <row r="1000">
          <cell r="A1000">
            <v>86063</v>
          </cell>
          <cell r="B1000" t="str">
            <v>CR CORALIT TOTAL BR PRETO 900ML</v>
          </cell>
          <cell r="C1000">
            <v>5202892</v>
          </cell>
          <cell r="D1000" t="str">
            <v>CORAL</v>
          </cell>
          <cell r="E1000">
            <v>40001</v>
          </cell>
          <cell r="F1000" t="str">
            <v>ESMALTES</v>
          </cell>
          <cell r="G1000" t="str">
            <v>INDUSTRIAL</v>
          </cell>
        </row>
        <row r="1001">
          <cell r="A1001">
            <v>86073</v>
          </cell>
          <cell r="B1001" t="str">
            <v>CR CORALIT TOTAL BR TABACO 3.6L</v>
          </cell>
          <cell r="C1001">
            <v>5202905</v>
          </cell>
          <cell r="D1001" t="str">
            <v>CORAL</v>
          </cell>
          <cell r="E1001">
            <v>40001</v>
          </cell>
          <cell r="F1001" t="str">
            <v>ESMALTES</v>
          </cell>
          <cell r="G1001" t="str">
            <v>INDUSTRIAL</v>
          </cell>
        </row>
        <row r="1002">
          <cell r="A1002">
            <v>86074</v>
          </cell>
          <cell r="B1002" t="str">
            <v>CR CORALIT TOTAL BR TABACO 900ML</v>
          </cell>
          <cell r="C1002">
            <v>5202906</v>
          </cell>
          <cell r="D1002" t="str">
            <v>CORAL</v>
          </cell>
          <cell r="E1002">
            <v>40001</v>
          </cell>
          <cell r="F1002" t="str">
            <v>ESMALTES</v>
          </cell>
          <cell r="G1002" t="str">
            <v>INDUSTRIAL</v>
          </cell>
        </row>
        <row r="1003">
          <cell r="A1003">
            <v>86071</v>
          </cell>
          <cell r="B1003" t="str">
            <v>CR CORALIT TOTAL BR VERDE FOLHA 3.6L</v>
          </cell>
          <cell r="C1003">
            <v>5202901</v>
          </cell>
          <cell r="D1003" t="str">
            <v>CORAL</v>
          </cell>
          <cell r="E1003">
            <v>40001</v>
          </cell>
          <cell r="F1003" t="str">
            <v>ESMALTES</v>
          </cell>
          <cell r="G1003" t="str">
            <v>INDUSTRIAL</v>
          </cell>
        </row>
        <row r="1004">
          <cell r="A1004">
            <v>86067</v>
          </cell>
          <cell r="B1004" t="str">
            <v>CR CORALIT TOTAL BR VERMELHO 3.6L</v>
          </cell>
          <cell r="C1004">
            <v>5202897</v>
          </cell>
          <cell r="D1004" t="str">
            <v>CORAL</v>
          </cell>
          <cell r="E1004">
            <v>40001</v>
          </cell>
          <cell r="F1004" t="str">
            <v>ESMALTES</v>
          </cell>
          <cell r="G1004" t="str">
            <v>INDUSTRIAL</v>
          </cell>
        </row>
        <row r="1005">
          <cell r="A1005">
            <v>86068</v>
          </cell>
          <cell r="B1005" t="str">
            <v>CR CORALIT TOTAL BR VERMELHO 900ML</v>
          </cell>
          <cell r="C1005">
            <v>5202898</v>
          </cell>
          <cell r="D1005" t="str">
            <v>CORAL</v>
          </cell>
          <cell r="E1005">
            <v>40001</v>
          </cell>
          <cell r="F1005" t="str">
            <v>ESMALTES</v>
          </cell>
          <cell r="G1005" t="str">
            <v>INDUSTRIAL</v>
          </cell>
        </row>
        <row r="1006">
          <cell r="A1006">
            <v>86735</v>
          </cell>
          <cell r="B1006" t="str">
            <v>CR CORALIT TOTAL FO BRANCO 3.6L</v>
          </cell>
          <cell r="C1006">
            <v>5831842</v>
          </cell>
          <cell r="D1006" t="str">
            <v>CORAL</v>
          </cell>
          <cell r="E1006">
            <v>40001</v>
          </cell>
          <cell r="F1006" t="str">
            <v>ESMALTES</v>
          </cell>
          <cell r="G1006" t="str">
            <v>INDUSTRIAL</v>
          </cell>
        </row>
        <row r="1007">
          <cell r="A1007">
            <v>86736</v>
          </cell>
          <cell r="B1007" t="str">
            <v>CR CORALIT TOTAL FO BRANCO 900ML</v>
          </cell>
          <cell r="C1007">
            <v>5831843</v>
          </cell>
          <cell r="D1007" t="str">
            <v>CORAL</v>
          </cell>
          <cell r="E1007">
            <v>40001</v>
          </cell>
          <cell r="F1007" t="str">
            <v>ESMALTES</v>
          </cell>
          <cell r="G1007" t="str">
            <v>INDUSTRIAL</v>
          </cell>
        </row>
        <row r="1008">
          <cell r="A1008">
            <v>86739</v>
          </cell>
          <cell r="B1008" t="str">
            <v>CR CORALIT TOTAL FO PRETO 0.9L</v>
          </cell>
          <cell r="C1008">
            <v>5832859</v>
          </cell>
          <cell r="D1008" t="str">
            <v>CORAL</v>
          </cell>
          <cell r="E1008">
            <v>40001</v>
          </cell>
          <cell r="F1008" t="str">
            <v>ESMALTES</v>
          </cell>
          <cell r="G1008" t="str">
            <v>INDUSTRIAL</v>
          </cell>
        </row>
        <row r="1009">
          <cell r="A1009">
            <v>86738</v>
          </cell>
          <cell r="B1009" t="str">
            <v>CR CORALIT TOTAL FO PRETO 3.6L</v>
          </cell>
          <cell r="C1009">
            <v>5832857</v>
          </cell>
          <cell r="D1009" t="str">
            <v>CORAL</v>
          </cell>
          <cell r="E1009">
            <v>40001</v>
          </cell>
          <cell r="F1009" t="str">
            <v>ESMALTES</v>
          </cell>
          <cell r="G1009" t="str">
            <v>INDUSTRIAL</v>
          </cell>
        </row>
        <row r="1010">
          <cell r="A1010">
            <v>85921</v>
          </cell>
          <cell r="B1010" t="str">
            <v>CR CORALIT ULTRA RES AB ALUMINIO 225ML</v>
          </cell>
          <cell r="C1010">
            <v>5202695</v>
          </cell>
          <cell r="D1010" t="str">
            <v>CORAL</v>
          </cell>
          <cell r="E1010">
            <v>40001</v>
          </cell>
          <cell r="F1010" t="str">
            <v>ESMALTES</v>
          </cell>
          <cell r="G1010" t="str">
            <v>INDUSTRIAL</v>
          </cell>
        </row>
        <row r="1011">
          <cell r="A1011">
            <v>85919</v>
          </cell>
          <cell r="B1011" t="str">
            <v>CR CORALIT ULTRA RES AB ALUMINIO 3.6L</v>
          </cell>
          <cell r="C1011">
            <v>5202693</v>
          </cell>
          <cell r="D1011" t="str">
            <v>CORAL</v>
          </cell>
          <cell r="E1011">
            <v>40001</v>
          </cell>
          <cell r="F1011" t="str">
            <v>ESMALTES</v>
          </cell>
          <cell r="G1011" t="str">
            <v>INDUSTRIAL</v>
          </cell>
        </row>
        <row r="1012">
          <cell r="A1012">
            <v>85920</v>
          </cell>
          <cell r="B1012" t="str">
            <v>CR CORALIT ULTRA RES AB ALUMINIO 900ML</v>
          </cell>
          <cell r="C1012">
            <v>5202694</v>
          </cell>
          <cell r="D1012" t="str">
            <v>CORAL</v>
          </cell>
          <cell r="E1012">
            <v>40001</v>
          </cell>
          <cell r="F1012" t="str">
            <v>ESMALTES</v>
          </cell>
          <cell r="G1012" t="str">
            <v>INDUSTRIAL</v>
          </cell>
        </row>
        <row r="1013">
          <cell r="A1013">
            <v>85946</v>
          </cell>
          <cell r="B1013" t="str">
            <v>CR CORALIT ULTRA RES AB AM TRATOR 3.6L</v>
          </cell>
          <cell r="C1013">
            <v>5202733</v>
          </cell>
          <cell r="D1013" t="str">
            <v>CORAL</v>
          </cell>
          <cell r="E1013">
            <v>40001</v>
          </cell>
          <cell r="F1013" t="str">
            <v>ESMALTES</v>
          </cell>
          <cell r="G1013" t="str">
            <v>INDUSTRIAL</v>
          </cell>
        </row>
        <row r="1014">
          <cell r="A1014">
            <v>85942</v>
          </cell>
          <cell r="B1014" t="str">
            <v>CR CORALIT ULTRA RES AB AMARELO 225ML</v>
          </cell>
          <cell r="C1014">
            <v>5202726</v>
          </cell>
          <cell r="D1014" t="str">
            <v>CORAL</v>
          </cell>
          <cell r="E1014">
            <v>40001</v>
          </cell>
          <cell r="F1014" t="str">
            <v>ESMALTES</v>
          </cell>
          <cell r="G1014" t="str">
            <v>INDUSTRIAL</v>
          </cell>
        </row>
        <row r="1015">
          <cell r="A1015">
            <v>85940</v>
          </cell>
          <cell r="B1015" t="str">
            <v>CR CORALIT ULTRA RES AB AMARELO 3.6L</v>
          </cell>
          <cell r="C1015">
            <v>5202724</v>
          </cell>
          <cell r="D1015" t="str">
            <v>CORAL</v>
          </cell>
          <cell r="E1015">
            <v>40001</v>
          </cell>
          <cell r="F1015" t="str">
            <v>ESMALTES</v>
          </cell>
          <cell r="G1015" t="str">
            <v>INDUSTRIAL</v>
          </cell>
        </row>
        <row r="1016">
          <cell r="A1016">
            <v>85941</v>
          </cell>
          <cell r="B1016" t="str">
            <v>CR CORALIT ULTRA RES AB AMARELO 900ML</v>
          </cell>
          <cell r="C1016">
            <v>5202725</v>
          </cell>
          <cell r="D1016" t="str">
            <v>CORAL</v>
          </cell>
          <cell r="E1016">
            <v>40001</v>
          </cell>
          <cell r="F1016" t="str">
            <v>ESMALTES</v>
          </cell>
          <cell r="G1016" t="str">
            <v>INDUSTRIAL</v>
          </cell>
        </row>
        <row r="1017">
          <cell r="A1017">
            <v>85963</v>
          </cell>
          <cell r="B1017" t="str">
            <v>CR CORALIT ULTRA RES AB AREIA 3.6L</v>
          </cell>
          <cell r="C1017">
            <v>5202753</v>
          </cell>
          <cell r="D1017" t="str">
            <v>CORAL</v>
          </cell>
          <cell r="E1017">
            <v>40001</v>
          </cell>
          <cell r="F1017" t="str">
            <v>ESMALTES</v>
          </cell>
          <cell r="G1017" t="str">
            <v>INDUSTRIAL</v>
          </cell>
        </row>
        <row r="1018">
          <cell r="A1018">
            <v>85964</v>
          </cell>
          <cell r="B1018" t="str">
            <v>CR CORALIT ULTRA RES AB AREIA 900ML</v>
          </cell>
          <cell r="C1018">
            <v>5202754</v>
          </cell>
          <cell r="D1018" t="str">
            <v>CORAL</v>
          </cell>
          <cell r="E1018">
            <v>40001</v>
          </cell>
          <cell r="F1018" t="str">
            <v>ESMALTES</v>
          </cell>
          <cell r="G1018" t="str">
            <v>INDUSTRIAL</v>
          </cell>
        </row>
        <row r="1019">
          <cell r="A1019">
            <v>85932</v>
          </cell>
          <cell r="B1019" t="str">
            <v>CR CORALIT ULTRA RES AB AZ FRANCA 225ML</v>
          </cell>
          <cell r="C1019">
            <v>5202710</v>
          </cell>
          <cell r="D1019" t="str">
            <v>CORAL</v>
          </cell>
          <cell r="E1019">
            <v>40001</v>
          </cell>
          <cell r="F1019" t="str">
            <v>ESMALTES</v>
          </cell>
          <cell r="G1019" t="str">
            <v>INDUSTRIAL</v>
          </cell>
        </row>
        <row r="1020">
          <cell r="A1020">
            <v>85930</v>
          </cell>
          <cell r="B1020" t="str">
            <v>CR CORALIT ULTRA RES AB AZ FRANCA 3.6L</v>
          </cell>
          <cell r="C1020">
            <v>5202708</v>
          </cell>
          <cell r="D1020" t="str">
            <v>CORAL</v>
          </cell>
          <cell r="E1020">
            <v>40001</v>
          </cell>
          <cell r="F1020" t="str">
            <v>ESMALTES</v>
          </cell>
          <cell r="G1020" t="str">
            <v>INDUSTRIAL</v>
          </cell>
        </row>
        <row r="1021">
          <cell r="A1021">
            <v>85931</v>
          </cell>
          <cell r="B1021" t="str">
            <v>CR CORALIT ULTRA RES AB AZ FRANCA 900ML</v>
          </cell>
          <cell r="C1021">
            <v>5202709</v>
          </cell>
          <cell r="D1021" t="str">
            <v>CORAL</v>
          </cell>
          <cell r="E1021">
            <v>40001</v>
          </cell>
          <cell r="F1021" t="str">
            <v>ESMALTES</v>
          </cell>
          <cell r="G1021" t="str">
            <v>INDUSTRIAL</v>
          </cell>
        </row>
        <row r="1022">
          <cell r="A1022">
            <v>85926</v>
          </cell>
          <cell r="B1022" t="str">
            <v>CR CORALIT ULTRA RES AB AZUL MAR 225ML</v>
          </cell>
          <cell r="C1022">
            <v>5202702</v>
          </cell>
          <cell r="D1022" t="str">
            <v>CORAL</v>
          </cell>
          <cell r="E1022">
            <v>40001</v>
          </cell>
          <cell r="F1022" t="str">
            <v>ESMALTES</v>
          </cell>
          <cell r="G1022" t="str">
            <v>INDUSTRIAL</v>
          </cell>
        </row>
        <row r="1023">
          <cell r="A1023">
            <v>85924</v>
          </cell>
          <cell r="B1023" t="str">
            <v>CR CORALIT ULTRA RES AB AZUL MAR 3.6L</v>
          </cell>
          <cell r="C1023">
            <v>5202700</v>
          </cell>
          <cell r="D1023" t="str">
            <v>CORAL</v>
          </cell>
          <cell r="E1023">
            <v>40001</v>
          </cell>
          <cell r="F1023" t="str">
            <v>ESMALTES</v>
          </cell>
          <cell r="G1023" t="str">
            <v>INDUSTRIAL</v>
          </cell>
        </row>
        <row r="1024">
          <cell r="A1024">
            <v>85925</v>
          </cell>
          <cell r="B1024" t="str">
            <v>CR CORALIT ULTRA RES AB AZUL MAR 900ML</v>
          </cell>
          <cell r="C1024">
            <v>5202701</v>
          </cell>
          <cell r="D1024" t="str">
            <v>CORAL</v>
          </cell>
          <cell r="E1024">
            <v>40001</v>
          </cell>
          <cell r="F1024" t="str">
            <v>ESMALTES</v>
          </cell>
          <cell r="G1024" t="str">
            <v>INDUSTRIAL</v>
          </cell>
        </row>
        <row r="1025">
          <cell r="A1025">
            <v>85929</v>
          </cell>
          <cell r="B1025" t="str">
            <v>CR CORALIT ULTRA RES AB AZUL REY 225ML</v>
          </cell>
          <cell r="C1025">
            <v>5202705</v>
          </cell>
          <cell r="D1025" t="str">
            <v>CORAL</v>
          </cell>
          <cell r="E1025">
            <v>40001</v>
          </cell>
          <cell r="F1025" t="str">
            <v>ESMALTES</v>
          </cell>
          <cell r="G1025" t="str">
            <v>INDUSTRIAL</v>
          </cell>
        </row>
        <row r="1026">
          <cell r="A1026">
            <v>85927</v>
          </cell>
          <cell r="B1026" t="str">
            <v>CR CORALIT ULTRA RES AB AZUL REY 3.6L</v>
          </cell>
          <cell r="C1026">
            <v>5202703</v>
          </cell>
          <cell r="D1026" t="str">
            <v>CORAL</v>
          </cell>
          <cell r="E1026">
            <v>40001</v>
          </cell>
          <cell r="F1026" t="str">
            <v>ESMALTES</v>
          </cell>
          <cell r="G1026" t="str">
            <v>INDUSTRIAL</v>
          </cell>
        </row>
        <row r="1027">
          <cell r="A1027">
            <v>85928</v>
          </cell>
          <cell r="B1027" t="str">
            <v>CR CORALIT ULTRA RES AB AZUL REY 900ML</v>
          </cell>
          <cell r="C1027">
            <v>5202704</v>
          </cell>
          <cell r="D1027" t="str">
            <v>CORAL</v>
          </cell>
          <cell r="E1027">
            <v>40001</v>
          </cell>
          <cell r="F1027" t="str">
            <v>ESMALTES</v>
          </cell>
          <cell r="G1027" t="str">
            <v>INDUSTRIAL</v>
          </cell>
        </row>
        <row r="1028">
          <cell r="A1028">
            <v>85994</v>
          </cell>
          <cell r="B1028" t="str">
            <v>CR CORALIT ULTRA RES AB BASE MF 800ML</v>
          </cell>
          <cell r="C1028">
            <v>5202800</v>
          </cell>
          <cell r="D1028" t="str">
            <v>CORAL</v>
          </cell>
          <cell r="E1028">
            <v>40001</v>
          </cell>
          <cell r="F1028" t="str">
            <v>ESMALTES</v>
          </cell>
          <cell r="G1028" t="str">
            <v>INDUSTRIAL</v>
          </cell>
        </row>
        <row r="1029">
          <cell r="A1029">
            <v>85991</v>
          </cell>
          <cell r="B1029" t="str">
            <v>CR CORALIT ULTRA RES AB BASE P 3.2L</v>
          </cell>
          <cell r="C1029">
            <v>5202795</v>
          </cell>
          <cell r="D1029" t="str">
            <v>CORAL</v>
          </cell>
          <cell r="E1029">
            <v>40001</v>
          </cell>
          <cell r="F1029" t="str">
            <v>ESMALTES</v>
          </cell>
          <cell r="G1029" t="str">
            <v>INDUSTRIAL</v>
          </cell>
        </row>
        <row r="1030">
          <cell r="A1030">
            <v>85992</v>
          </cell>
          <cell r="B1030" t="str">
            <v>CR CORALIT ULTRA RES AB BASE P 800ML</v>
          </cell>
          <cell r="C1030">
            <v>5202796</v>
          </cell>
          <cell r="D1030" t="str">
            <v>CORAL</v>
          </cell>
          <cell r="E1030">
            <v>40001</v>
          </cell>
          <cell r="F1030" t="str">
            <v>ESMALTES</v>
          </cell>
          <cell r="G1030" t="str">
            <v>INDUSTRIAL</v>
          </cell>
        </row>
        <row r="1031">
          <cell r="A1031">
            <v>85995</v>
          </cell>
          <cell r="B1031" t="str">
            <v>CR CORALIT ULTRA RES AB BASE T 3.2L</v>
          </cell>
          <cell r="C1031">
            <v>5202801</v>
          </cell>
          <cell r="D1031" t="str">
            <v>CORAL</v>
          </cell>
          <cell r="E1031">
            <v>40001</v>
          </cell>
          <cell r="F1031" t="str">
            <v>ESMALTES</v>
          </cell>
          <cell r="G1031" t="str">
            <v>INDUSTRIAL</v>
          </cell>
        </row>
        <row r="1032">
          <cell r="A1032">
            <v>85996</v>
          </cell>
          <cell r="B1032" t="str">
            <v>CR CORALIT ULTRA RES AB BASE T 800ML</v>
          </cell>
          <cell r="C1032">
            <v>5202802</v>
          </cell>
          <cell r="D1032" t="str">
            <v>CORAL</v>
          </cell>
          <cell r="E1032">
            <v>40001</v>
          </cell>
          <cell r="F1032" t="str">
            <v>ESMALTES</v>
          </cell>
          <cell r="G1032" t="str">
            <v>INDUSTRIAL</v>
          </cell>
        </row>
        <row r="1033">
          <cell r="A1033">
            <v>85909</v>
          </cell>
          <cell r="B1033" t="str">
            <v>CR CORALIT ULTRA RES AB BCO GELO 225ML</v>
          </cell>
          <cell r="C1033">
            <v>5202680</v>
          </cell>
          <cell r="D1033" t="str">
            <v>CORAL</v>
          </cell>
          <cell r="E1033">
            <v>40001</v>
          </cell>
          <cell r="F1033" t="str">
            <v>ESMALTES</v>
          </cell>
          <cell r="G1033" t="str">
            <v>INDUSTRIAL</v>
          </cell>
        </row>
        <row r="1034">
          <cell r="A1034">
            <v>85907</v>
          </cell>
          <cell r="B1034" t="str">
            <v>CR CORALIT ULTRA RES AB BCO GELO 3.6L</v>
          </cell>
          <cell r="C1034">
            <v>5202678</v>
          </cell>
          <cell r="D1034" t="str">
            <v>CORAL</v>
          </cell>
          <cell r="E1034">
            <v>40001</v>
          </cell>
          <cell r="F1034" t="str">
            <v>ESMALTES</v>
          </cell>
          <cell r="G1034" t="str">
            <v>INDUSTRIAL</v>
          </cell>
        </row>
        <row r="1035">
          <cell r="A1035">
            <v>85908</v>
          </cell>
          <cell r="B1035" t="str">
            <v>CR CORALIT ULTRA RES AB BCO GELO 900ML</v>
          </cell>
          <cell r="C1035">
            <v>5202679</v>
          </cell>
          <cell r="D1035" t="str">
            <v>CORAL</v>
          </cell>
          <cell r="E1035">
            <v>40001</v>
          </cell>
          <cell r="F1035" t="str">
            <v>ESMALTES</v>
          </cell>
          <cell r="G1035" t="str">
            <v>INDUSTRIAL</v>
          </cell>
        </row>
        <row r="1036">
          <cell r="A1036">
            <v>85906</v>
          </cell>
          <cell r="B1036" t="str">
            <v>CR CORALIT ULTRA RES AB BRANC 225ML</v>
          </cell>
          <cell r="C1036">
            <v>5202674</v>
          </cell>
          <cell r="D1036" t="str">
            <v>CORAL</v>
          </cell>
          <cell r="E1036">
            <v>40001</v>
          </cell>
          <cell r="F1036" t="str">
            <v>ESMALTES</v>
          </cell>
          <cell r="G1036" t="str">
            <v>INDUSTRIAL</v>
          </cell>
        </row>
        <row r="1037">
          <cell r="A1037">
            <v>85904</v>
          </cell>
          <cell r="B1037" t="str">
            <v>CR CORALIT ULTRA RES AB BRANCO 3.6L</v>
          </cell>
          <cell r="C1037">
            <v>5202672</v>
          </cell>
          <cell r="D1037" t="str">
            <v>CORAL</v>
          </cell>
          <cell r="E1037">
            <v>40001</v>
          </cell>
          <cell r="F1037" t="str">
            <v>ESMALTES</v>
          </cell>
          <cell r="G1037" t="str">
            <v>INDUSTRIAL</v>
          </cell>
        </row>
        <row r="1038">
          <cell r="A1038">
            <v>85905</v>
          </cell>
          <cell r="B1038" t="str">
            <v>CR CORALIT ULTRA RES AB BRANCO 900ML</v>
          </cell>
          <cell r="C1038">
            <v>5202673</v>
          </cell>
          <cell r="D1038" t="str">
            <v>CORAL</v>
          </cell>
          <cell r="E1038">
            <v>40001</v>
          </cell>
          <cell r="F1038" t="str">
            <v>ESMALTES</v>
          </cell>
          <cell r="G1038" t="str">
            <v>INDUSTRIAL</v>
          </cell>
        </row>
        <row r="1039">
          <cell r="A1039">
            <v>85957</v>
          </cell>
          <cell r="B1039" t="str">
            <v>CR CORALIT ULTRA RES AB CAMURCA 3.6L</v>
          </cell>
          <cell r="C1039">
            <v>5202746</v>
          </cell>
          <cell r="D1039" t="str">
            <v>CORAL</v>
          </cell>
          <cell r="E1039">
            <v>40001</v>
          </cell>
          <cell r="F1039" t="str">
            <v>ESMALTES</v>
          </cell>
          <cell r="G1039" t="str">
            <v>INDUSTRIAL</v>
          </cell>
        </row>
        <row r="1040">
          <cell r="A1040">
            <v>85958</v>
          </cell>
          <cell r="B1040" t="str">
            <v>CR CORALIT ULTRA RES AB CAMURCA 900ML</v>
          </cell>
          <cell r="C1040">
            <v>5202747</v>
          </cell>
          <cell r="D1040" t="str">
            <v>CORAL</v>
          </cell>
          <cell r="E1040">
            <v>40001</v>
          </cell>
          <cell r="F1040" t="str">
            <v>ESMALTES</v>
          </cell>
          <cell r="G1040" t="str">
            <v>INDUSTRIAL</v>
          </cell>
        </row>
        <row r="1041">
          <cell r="A1041">
            <v>85922</v>
          </cell>
          <cell r="B1041" t="str">
            <v>CR CORALIT ULTRA RES AB CINZA ESC 3.6L</v>
          </cell>
          <cell r="C1041">
            <v>5202698</v>
          </cell>
          <cell r="D1041" t="str">
            <v>CORAL</v>
          </cell>
          <cell r="E1041">
            <v>40001</v>
          </cell>
          <cell r="F1041" t="str">
            <v>ESMALTES</v>
          </cell>
          <cell r="G1041" t="str">
            <v>INDUSTRIAL</v>
          </cell>
        </row>
        <row r="1042">
          <cell r="A1042">
            <v>85923</v>
          </cell>
          <cell r="B1042" t="str">
            <v>CR CORALIT ULTRA RES AB CINZA ESC 900ML</v>
          </cell>
          <cell r="C1042">
            <v>5202699</v>
          </cell>
          <cell r="D1042" t="str">
            <v>CORAL</v>
          </cell>
          <cell r="E1042">
            <v>40001</v>
          </cell>
          <cell r="F1042" t="str">
            <v>ESMALTES</v>
          </cell>
          <cell r="G1042" t="str">
            <v>INDUSTRIAL</v>
          </cell>
        </row>
        <row r="1043">
          <cell r="A1043">
            <v>85915</v>
          </cell>
          <cell r="B1043" t="str">
            <v>CR CORALIT ULTRA RES AB CINZA MED 225ML</v>
          </cell>
          <cell r="C1043">
            <v>5202689</v>
          </cell>
          <cell r="D1043" t="str">
            <v>CORAL</v>
          </cell>
          <cell r="E1043">
            <v>40001</v>
          </cell>
          <cell r="F1043" t="str">
            <v>ESMALTES</v>
          </cell>
          <cell r="G1043" t="str">
            <v>INDUSTRIAL</v>
          </cell>
        </row>
        <row r="1044">
          <cell r="A1044">
            <v>85913</v>
          </cell>
          <cell r="B1044" t="str">
            <v>CR CORALIT ULTRA RES AB CINZA MED 3.6L</v>
          </cell>
          <cell r="C1044">
            <v>5202687</v>
          </cell>
          <cell r="D1044" t="str">
            <v>CORAL</v>
          </cell>
          <cell r="E1044">
            <v>40001</v>
          </cell>
          <cell r="F1044" t="str">
            <v>ESMALTES</v>
          </cell>
          <cell r="G1044" t="str">
            <v>INDUSTRIAL</v>
          </cell>
        </row>
        <row r="1045">
          <cell r="A1045">
            <v>85914</v>
          </cell>
          <cell r="B1045" t="str">
            <v>CR CORALIT ULTRA RES AB CINZA MED 900ML</v>
          </cell>
          <cell r="C1045">
            <v>5202688</v>
          </cell>
          <cell r="D1045" t="str">
            <v>CORAL</v>
          </cell>
          <cell r="E1045">
            <v>40001</v>
          </cell>
          <cell r="F1045" t="str">
            <v>ESMALTES</v>
          </cell>
          <cell r="G1045" t="str">
            <v>INDUSTRIAL</v>
          </cell>
        </row>
        <row r="1046">
          <cell r="A1046">
            <v>85965</v>
          </cell>
          <cell r="B1046" t="str">
            <v>CR CORALIT ULTRA RES AB COLORADO 3.6L</v>
          </cell>
          <cell r="C1046">
            <v>5202755</v>
          </cell>
          <cell r="D1046" t="str">
            <v>CORAL</v>
          </cell>
          <cell r="E1046">
            <v>40001</v>
          </cell>
          <cell r="F1046" t="str">
            <v>ESMALTES</v>
          </cell>
          <cell r="G1046" t="str">
            <v>INDUSTRIAL</v>
          </cell>
        </row>
        <row r="1047">
          <cell r="A1047">
            <v>85966</v>
          </cell>
          <cell r="B1047" t="str">
            <v>CR CORALIT ULTRA RES AB COLORADO 900ML</v>
          </cell>
          <cell r="C1047">
            <v>5202756</v>
          </cell>
          <cell r="D1047" t="str">
            <v>CORAL</v>
          </cell>
          <cell r="E1047">
            <v>40001</v>
          </cell>
          <cell r="F1047" t="str">
            <v>ESMALTES</v>
          </cell>
          <cell r="G1047" t="str">
            <v>INDUSTRIAL</v>
          </cell>
        </row>
        <row r="1048">
          <cell r="A1048">
            <v>85959</v>
          </cell>
          <cell r="B1048" t="str">
            <v>CR CORALIT ULTRA RES AB CREME 3.6L</v>
          </cell>
          <cell r="C1048">
            <v>5202748</v>
          </cell>
          <cell r="D1048" t="str">
            <v>CORAL</v>
          </cell>
          <cell r="E1048">
            <v>40001</v>
          </cell>
          <cell r="F1048" t="str">
            <v>ESMALTES</v>
          </cell>
          <cell r="G1048" t="str">
            <v>INDUSTRIAL</v>
          </cell>
        </row>
        <row r="1049">
          <cell r="A1049">
            <v>85960</v>
          </cell>
          <cell r="B1049" t="str">
            <v>CR CORALIT ULTRA RES AB CREME 900ML</v>
          </cell>
          <cell r="C1049">
            <v>5202749</v>
          </cell>
          <cell r="D1049" t="str">
            <v>CORAL</v>
          </cell>
          <cell r="E1049">
            <v>40001</v>
          </cell>
          <cell r="F1049" t="str">
            <v>ESMALTES</v>
          </cell>
          <cell r="G1049" t="str">
            <v>INDUSTRIAL</v>
          </cell>
        </row>
        <row r="1050">
          <cell r="A1050">
            <v>85936</v>
          </cell>
          <cell r="B1050" t="str">
            <v>CR CORALIT ULTRA RES AB LARANJA 3.6L</v>
          </cell>
          <cell r="C1050">
            <v>5202719</v>
          </cell>
          <cell r="D1050" t="str">
            <v>CORAL</v>
          </cell>
          <cell r="E1050">
            <v>40001</v>
          </cell>
          <cell r="F1050" t="str">
            <v>ESMALTES</v>
          </cell>
          <cell r="G1050" t="str">
            <v>INDUSTRIAL</v>
          </cell>
        </row>
        <row r="1051">
          <cell r="A1051">
            <v>85937</v>
          </cell>
          <cell r="B1051" t="str">
            <v>CR CORALIT ULTRA RES AB LARANJA 900ML</v>
          </cell>
          <cell r="C1051">
            <v>5202720</v>
          </cell>
          <cell r="D1051" t="str">
            <v>CORAL</v>
          </cell>
          <cell r="E1051">
            <v>40001</v>
          </cell>
          <cell r="F1051" t="str">
            <v>ESMALTES</v>
          </cell>
          <cell r="G1051" t="str">
            <v>INDUSTRIAL</v>
          </cell>
        </row>
        <row r="1052">
          <cell r="A1052">
            <v>85961</v>
          </cell>
          <cell r="B1052" t="str">
            <v>CR CORALIT ULTRA RES AB MARFIM 3.6L</v>
          </cell>
          <cell r="C1052">
            <v>5202750</v>
          </cell>
          <cell r="D1052" t="str">
            <v>CORAL</v>
          </cell>
          <cell r="E1052">
            <v>40001</v>
          </cell>
          <cell r="F1052" t="str">
            <v>ESMALTES</v>
          </cell>
          <cell r="G1052" t="str">
            <v>INDUSTRIAL</v>
          </cell>
        </row>
        <row r="1053">
          <cell r="A1053">
            <v>85962</v>
          </cell>
          <cell r="B1053" t="str">
            <v>CR CORALIT ULTRA RES AB MARFIM 900ML</v>
          </cell>
          <cell r="C1053">
            <v>5202751</v>
          </cell>
          <cell r="D1053" t="str">
            <v>CORAL</v>
          </cell>
          <cell r="E1053">
            <v>40001</v>
          </cell>
          <cell r="F1053" t="str">
            <v>ESMALTES</v>
          </cell>
          <cell r="G1053" t="str">
            <v>INDUSTRIAL</v>
          </cell>
        </row>
        <row r="1054">
          <cell r="A1054">
            <v>85956</v>
          </cell>
          <cell r="B1054" t="str">
            <v>CR CORALIT ULTRA RES AB MARROM 225ML</v>
          </cell>
          <cell r="C1054">
            <v>5202744</v>
          </cell>
          <cell r="D1054" t="str">
            <v>CORAL</v>
          </cell>
          <cell r="E1054">
            <v>40001</v>
          </cell>
          <cell r="F1054" t="str">
            <v>ESMALTES</v>
          </cell>
          <cell r="G1054" t="str">
            <v>INDUSTRIAL</v>
          </cell>
        </row>
        <row r="1055">
          <cell r="A1055">
            <v>85954</v>
          </cell>
          <cell r="B1055" t="str">
            <v>CR CORALIT ULTRA RES AB MARROM 3.6L</v>
          </cell>
          <cell r="C1055">
            <v>5202742</v>
          </cell>
          <cell r="D1055" t="str">
            <v>CORAL</v>
          </cell>
          <cell r="E1055">
            <v>40001</v>
          </cell>
          <cell r="F1055" t="str">
            <v>ESMALTES</v>
          </cell>
          <cell r="G1055" t="str">
            <v>INDUSTRIAL</v>
          </cell>
        </row>
        <row r="1056">
          <cell r="A1056">
            <v>85955</v>
          </cell>
          <cell r="B1056" t="str">
            <v>CR CORALIT ULTRA RES AB MARROM 900ML</v>
          </cell>
          <cell r="C1056">
            <v>5202743</v>
          </cell>
          <cell r="D1056" t="str">
            <v>CORAL</v>
          </cell>
          <cell r="E1056">
            <v>40001</v>
          </cell>
          <cell r="F1056" t="str">
            <v>ESMALTES</v>
          </cell>
          <cell r="G1056" t="str">
            <v>INDUSTRIAL</v>
          </cell>
        </row>
        <row r="1057">
          <cell r="A1057">
            <v>85972</v>
          </cell>
          <cell r="B1057" t="str">
            <v>CR CORALIT ULTRA RES AB MRM CONH 225ML</v>
          </cell>
          <cell r="C1057">
            <v>5202762</v>
          </cell>
          <cell r="D1057" t="str">
            <v>CORAL</v>
          </cell>
          <cell r="E1057">
            <v>40001</v>
          </cell>
          <cell r="F1057" t="str">
            <v>ESMALTES</v>
          </cell>
          <cell r="G1057" t="str">
            <v>INDUSTRIAL</v>
          </cell>
        </row>
        <row r="1058">
          <cell r="A1058">
            <v>85970</v>
          </cell>
          <cell r="B1058" t="str">
            <v>CR CORALIT ULTRA RES AB MRM CONH 3.6L</v>
          </cell>
          <cell r="C1058">
            <v>5202760</v>
          </cell>
          <cell r="D1058" t="str">
            <v>CORAL</v>
          </cell>
          <cell r="E1058">
            <v>40001</v>
          </cell>
          <cell r="F1058" t="str">
            <v>ESMALTES</v>
          </cell>
          <cell r="G1058" t="str">
            <v>INDUSTRIAL</v>
          </cell>
        </row>
        <row r="1059">
          <cell r="A1059">
            <v>85971</v>
          </cell>
          <cell r="B1059" t="str">
            <v>CR CORALIT ULTRA RES AB MRM CONH 900ML</v>
          </cell>
          <cell r="C1059">
            <v>5202761</v>
          </cell>
          <cell r="D1059" t="str">
            <v>CORAL</v>
          </cell>
          <cell r="E1059">
            <v>40001</v>
          </cell>
          <cell r="F1059" t="str">
            <v>ESMALTES</v>
          </cell>
          <cell r="G1059" t="str">
            <v>INDUSTRIAL</v>
          </cell>
        </row>
        <row r="1060">
          <cell r="A1060">
            <v>85945</v>
          </cell>
          <cell r="B1060" t="str">
            <v>CR CORALIT ULTRA RES AB OURO 225ML</v>
          </cell>
          <cell r="C1060">
            <v>5202732</v>
          </cell>
          <cell r="D1060" t="str">
            <v>CORAL</v>
          </cell>
          <cell r="E1060">
            <v>40001</v>
          </cell>
          <cell r="F1060" t="str">
            <v>ESMALTES</v>
          </cell>
          <cell r="G1060" t="str">
            <v>INDUSTRIAL</v>
          </cell>
        </row>
        <row r="1061">
          <cell r="A1061">
            <v>85943</v>
          </cell>
          <cell r="B1061" t="str">
            <v>CR CORALIT ULTRA RES AB OURO 3.6L</v>
          </cell>
          <cell r="C1061">
            <v>5202730</v>
          </cell>
          <cell r="D1061" t="str">
            <v>CORAL</v>
          </cell>
          <cell r="E1061">
            <v>40001</v>
          </cell>
          <cell r="F1061" t="str">
            <v>ESMALTES</v>
          </cell>
          <cell r="G1061" t="str">
            <v>INDUSTRIAL</v>
          </cell>
        </row>
        <row r="1062">
          <cell r="A1062">
            <v>85944</v>
          </cell>
          <cell r="B1062" t="str">
            <v>CR CORALIT ULTRA RES AB OURO 900ML</v>
          </cell>
          <cell r="C1062">
            <v>5202731</v>
          </cell>
          <cell r="D1062" t="str">
            <v>CORAL</v>
          </cell>
          <cell r="E1062">
            <v>40001</v>
          </cell>
          <cell r="F1062" t="str">
            <v>ESMALTES</v>
          </cell>
          <cell r="G1062" t="str">
            <v>INDUSTRIAL</v>
          </cell>
        </row>
        <row r="1063">
          <cell r="A1063">
            <v>85918</v>
          </cell>
          <cell r="B1063" t="str">
            <v>CR CORALIT ULTRA RES AB PLATINA 225ML</v>
          </cell>
          <cell r="C1063">
            <v>5202692</v>
          </cell>
          <cell r="D1063" t="str">
            <v>CORAL</v>
          </cell>
          <cell r="E1063">
            <v>40001</v>
          </cell>
          <cell r="F1063" t="str">
            <v>ESMALTES</v>
          </cell>
          <cell r="G1063" t="str">
            <v>INDUSTRIAL</v>
          </cell>
        </row>
        <row r="1064">
          <cell r="A1064">
            <v>85916</v>
          </cell>
          <cell r="B1064" t="str">
            <v>CR CORALIT ULTRA RES AB PLATINA 3.6L</v>
          </cell>
          <cell r="C1064">
            <v>5202690</v>
          </cell>
          <cell r="D1064" t="str">
            <v>CORAL</v>
          </cell>
          <cell r="E1064">
            <v>40001</v>
          </cell>
          <cell r="F1064" t="str">
            <v>ESMALTES</v>
          </cell>
          <cell r="G1064" t="str">
            <v>INDUSTRIAL</v>
          </cell>
        </row>
        <row r="1065">
          <cell r="A1065">
            <v>85917</v>
          </cell>
          <cell r="B1065" t="str">
            <v>CR CORALIT ULTRA RES AB PLATINA 900ML</v>
          </cell>
          <cell r="C1065">
            <v>5202691</v>
          </cell>
          <cell r="D1065" t="str">
            <v>CORAL</v>
          </cell>
          <cell r="E1065">
            <v>40001</v>
          </cell>
          <cell r="F1065" t="str">
            <v>ESMALTES</v>
          </cell>
          <cell r="G1065" t="str">
            <v>INDUSTRIAL</v>
          </cell>
        </row>
        <row r="1066">
          <cell r="A1066">
            <v>85912</v>
          </cell>
          <cell r="B1066" t="str">
            <v>CR CORALIT ULTRA RES AB PRETO 225ML</v>
          </cell>
          <cell r="C1066">
            <v>5202683</v>
          </cell>
          <cell r="D1066" t="str">
            <v>CORAL</v>
          </cell>
          <cell r="E1066">
            <v>40001</v>
          </cell>
          <cell r="F1066" t="str">
            <v>ESMALTES</v>
          </cell>
          <cell r="G1066" t="str">
            <v>INDUSTRIAL</v>
          </cell>
        </row>
        <row r="1067">
          <cell r="A1067">
            <v>85910</v>
          </cell>
          <cell r="B1067" t="str">
            <v>CR CORALIT ULTRA RES AB PRETO 3.6L</v>
          </cell>
          <cell r="C1067">
            <v>5202681</v>
          </cell>
          <cell r="D1067" t="str">
            <v>CORAL</v>
          </cell>
          <cell r="E1067">
            <v>40001</v>
          </cell>
          <cell r="F1067" t="str">
            <v>ESMALTES</v>
          </cell>
          <cell r="G1067" t="str">
            <v>INDUSTRIAL</v>
          </cell>
        </row>
        <row r="1068">
          <cell r="A1068">
            <v>85911</v>
          </cell>
          <cell r="B1068" t="str">
            <v>CR CORALIT ULTRA RES AB PRETO 900ML</v>
          </cell>
          <cell r="C1068">
            <v>5202682</v>
          </cell>
          <cell r="D1068" t="str">
            <v>CORAL</v>
          </cell>
          <cell r="E1068">
            <v>40001</v>
          </cell>
          <cell r="F1068" t="str">
            <v>ESMALTES</v>
          </cell>
          <cell r="G1068" t="str">
            <v>INDUSTRIAL</v>
          </cell>
        </row>
        <row r="1069">
          <cell r="A1069">
            <v>85969</v>
          </cell>
          <cell r="B1069" t="str">
            <v>CR CORALIT ULTRA RES AB TABACO 225ML</v>
          </cell>
          <cell r="C1069">
            <v>5202759</v>
          </cell>
          <cell r="D1069" t="str">
            <v>CORAL</v>
          </cell>
          <cell r="E1069">
            <v>40001</v>
          </cell>
          <cell r="F1069" t="str">
            <v>ESMALTES</v>
          </cell>
          <cell r="G1069" t="str">
            <v>INDUSTRIAL</v>
          </cell>
        </row>
        <row r="1070">
          <cell r="A1070">
            <v>85967</v>
          </cell>
          <cell r="B1070" t="str">
            <v>CR CORALIT ULTRA RES AB TABACO 3.6L</v>
          </cell>
          <cell r="C1070">
            <v>5202757</v>
          </cell>
          <cell r="D1070" t="str">
            <v>CORAL</v>
          </cell>
          <cell r="E1070">
            <v>40001</v>
          </cell>
          <cell r="F1070" t="str">
            <v>ESMALTES</v>
          </cell>
          <cell r="G1070" t="str">
            <v>INDUSTRIAL</v>
          </cell>
        </row>
        <row r="1071">
          <cell r="A1071">
            <v>85968</v>
          </cell>
          <cell r="B1071" t="str">
            <v>CR CORALIT ULTRA RES AB TABACO 900ML</v>
          </cell>
          <cell r="C1071">
            <v>5202758</v>
          </cell>
          <cell r="D1071" t="str">
            <v>CORAL</v>
          </cell>
          <cell r="E1071">
            <v>40001</v>
          </cell>
          <cell r="F1071" t="str">
            <v>ESMALTES</v>
          </cell>
          <cell r="G1071" t="str">
            <v>INDUSTRIAL</v>
          </cell>
        </row>
        <row r="1072">
          <cell r="A1072">
            <v>85973</v>
          </cell>
          <cell r="B1072" t="str">
            <v>CR CORALIT ULTRA RES AB TRANSP 3.6L</v>
          </cell>
          <cell r="C1072">
            <v>5202765</v>
          </cell>
          <cell r="D1072" t="str">
            <v>CORAL</v>
          </cell>
          <cell r="E1072">
            <v>40001</v>
          </cell>
          <cell r="F1072" t="str">
            <v>ESMALTES</v>
          </cell>
          <cell r="G1072" t="str">
            <v>INDUSTRIAL</v>
          </cell>
        </row>
        <row r="1073">
          <cell r="A1073">
            <v>85974</v>
          </cell>
          <cell r="B1073" t="str">
            <v>CR CORALIT ULTRA RES AB TRANSP 900ML</v>
          </cell>
          <cell r="C1073">
            <v>5202766</v>
          </cell>
          <cell r="D1073" t="str">
            <v>CORAL</v>
          </cell>
          <cell r="E1073">
            <v>40001</v>
          </cell>
          <cell r="F1073" t="str">
            <v>ESMALTES</v>
          </cell>
          <cell r="G1073" t="str">
            <v>INDUSTRIAL</v>
          </cell>
        </row>
        <row r="1074">
          <cell r="A1074">
            <v>85952</v>
          </cell>
          <cell r="B1074" t="str">
            <v>CR CORALIT ULTRA RES AB VD COLON 3.6L</v>
          </cell>
          <cell r="C1074">
            <v>5202740</v>
          </cell>
          <cell r="D1074" t="str">
            <v>CORAL</v>
          </cell>
          <cell r="E1074">
            <v>40001</v>
          </cell>
          <cell r="F1074" t="str">
            <v>ESMALTES</v>
          </cell>
          <cell r="G1074" t="str">
            <v>INDUSTRIAL</v>
          </cell>
        </row>
        <row r="1075">
          <cell r="A1075">
            <v>85953</v>
          </cell>
          <cell r="B1075" t="str">
            <v>CR CORALIT ULTRA RES AB VD COLON 900ML</v>
          </cell>
          <cell r="C1075">
            <v>5202741</v>
          </cell>
          <cell r="D1075" t="str">
            <v>CORAL</v>
          </cell>
          <cell r="E1075">
            <v>40001</v>
          </cell>
          <cell r="F1075" t="str">
            <v>ESMALTES</v>
          </cell>
          <cell r="G1075" t="str">
            <v>INDUSTRIAL</v>
          </cell>
        </row>
        <row r="1076">
          <cell r="A1076">
            <v>85949</v>
          </cell>
          <cell r="B1076" t="str">
            <v>CR CORALIT ULTRA RES AB VD FOLHA 225ML</v>
          </cell>
          <cell r="C1076">
            <v>5202737</v>
          </cell>
          <cell r="D1076" t="str">
            <v>CORAL</v>
          </cell>
          <cell r="E1076">
            <v>40001</v>
          </cell>
          <cell r="F1076" t="str">
            <v>ESMALTES</v>
          </cell>
          <cell r="G1076" t="str">
            <v>INDUSTRIAL</v>
          </cell>
        </row>
        <row r="1077">
          <cell r="A1077">
            <v>85947</v>
          </cell>
          <cell r="B1077" t="str">
            <v>CR CORALIT ULTRA RES AB VD FOLHA 3.6L</v>
          </cell>
          <cell r="C1077">
            <v>5202735</v>
          </cell>
          <cell r="D1077" t="str">
            <v>CORAL</v>
          </cell>
          <cell r="E1077">
            <v>40001</v>
          </cell>
          <cell r="F1077" t="str">
            <v>ESMALTES</v>
          </cell>
          <cell r="G1077" t="str">
            <v>INDUSTRIAL</v>
          </cell>
        </row>
        <row r="1078">
          <cell r="A1078">
            <v>85948</v>
          </cell>
          <cell r="B1078" t="str">
            <v>CR CORALIT ULTRA RES AB VD FOLHA 900ML</v>
          </cell>
          <cell r="C1078">
            <v>5202736</v>
          </cell>
          <cell r="D1078" t="str">
            <v>CORAL</v>
          </cell>
          <cell r="E1078">
            <v>40001</v>
          </cell>
          <cell r="F1078" t="str">
            <v>ESMALTES</v>
          </cell>
          <cell r="G1078" t="str">
            <v>INDUSTRIAL</v>
          </cell>
        </row>
        <row r="1079">
          <cell r="A1079">
            <v>85950</v>
          </cell>
          <cell r="B1079" t="str">
            <v>CR CORALIT ULTRA RES AB VERDE NILO 3.6L</v>
          </cell>
          <cell r="C1079">
            <v>5202738</v>
          </cell>
          <cell r="D1079" t="str">
            <v>CORAL</v>
          </cell>
          <cell r="E1079">
            <v>40001</v>
          </cell>
          <cell r="F1079" t="str">
            <v>ESMALTES</v>
          </cell>
          <cell r="G1079" t="str">
            <v>INDUSTRIAL</v>
          </cell>
        </row>
        <row r="1080">
          <cell r="A1080">
            <v>85951</v>
          </cell>
          <cell r="B1080" t="str">
            <v>CR CORALIT ULTRA RES AB VERDE NILO 900ML</v>
          </cell>
          <cell r="C1080">
            <v>5202739</v>
          </cell>
          <cell r="D1080" t="str">
            <v>CORAL</v>
          </cell>
          <cell r="E1080">
            <v>40001</v>
          </cell>
          <cell r="F1080" t="str">
            <v>ESMALTES</v>
          </cell>
          <cell r="G1080" t="str">
            <v>INDUSTRIAL</v>
          </cell>
        </row>
        <row r="1081">
          <cell r="A1081">
            <v>85938</v>
          </cell>
          <cell r="B1081" t="str">
            <v>CR CORALIT ULTRA RES AB VERM GOYA 3.6L</v>
          </cell>
          <cell r="C1081">
            <v>5202721</v>
          </cell>
          <cell r="D1081" t="str">
            <v>CORAL</v>
          </cell>
          <cell r="E1081">
            <v>40001</v>
          </cell>
          <cell r="F1081" t="str">
            <v>ESMALTES</v>
          </cell>
          <cell r="G1081" t="str">
            <v>INDUSTRIAL</v>
          </cell>
        </row>
        <row r="1082">
          <cell r="A1082">
            <v>85939</v>
          </cell>
          <cell r="B1082" t="str">
            <v>CR CORALIT ULTRA RES AB VERM GOYA 900ML</v>
          </cell>
          <cell r="C1082">
            <v>5202722</v>
          </cell>
          <cell r="D1082" t="str">
            <v>CORAL</v>
          </cell>
          <cell r="E1082">
            <v>40001</v>
          </cell>
          <cell r="F1082" t="str">
            <v>ESMALTES</v>
          </cell>
          <cell r="G1082" t="str">
            <v>INDUSTRIAL</v>
          </cell>
        </row>
        <row r="1083">
          <cell r="A1083">
            <v>85935</v>
          </cell>
          <cell r="B1083" t="str">
            <v>CR CORALIT ULTRA RES AB VERMELHO 225ML</v>
          </cell>
          <cell r="C1083">
            <v>5202715</v>
          </cell>
          <cell r="D1083" t="str">
            <v>CORAL</v>
          </cell>
          <cell r="E1083">
            <v>40001</v>
          </cell>
          <cell r="F1083" t="str">
            <v>ESMALTES</v>
          </cell>
          <cell r="G1083" t="str">
            <v>INDUSTRIAL</v>
          </cell>
        </row>
        <row r="1084">
          <cell r="A1084">
            <v>85933</v>
          </cell>
          <cell r="B1084" t="str">
            <v>CR CORALIT ULTRA RES AB VERMELHO 3.6L</v>
          </cell>
          <cell r="C1084">
            <v>5202713</v>
          </cell>
          <cell r="D1084" t="str">
            <v>CORAL</v>
          </cell>
          <cell r="E1084">
            <v>40001</v>
          </cell>
          <cell r="F1084" t="str">
            <v>ESMALTES</v>
          </cell>
          <cell r="G1084" t="str">
            <v>INDUSTRIAL</v>
          </cell>
        </row>
        <row r="1085">
          <cell r="A1085">
            <v>85934</v>
          </cell>
          <cell r="B1085" t="str">
            <v>CR CORALIT ULTRA RES AB VERMELHO 900ML</v>
          </cell>
          <cell r="C1085">
            <v>5202714</v>
          </cell>
          <cell r="D1085" t="str">
            <v>CORAL</v>
          </cell>
          <cell r="E1085">
            <v>40001</v>
          </cell>
          <cell r="F1085" t="str">
            <v>ESMALTES</v>
          </cell>
          <cell r="G1085" t="str">
            <v>INDUSTRIAL</v>
          </cell>
        </row>
        <row r="1086">
          <cell r="A1086">
            <v>86040</v>
          </cell>
          <cell r="B1086" t="str">
            <v>CR CORALIT ULTRA RES AC BASE MF 3.2L</v>
          </cell>
          <cell r="C1086">
            <v>5202867</v>
          </cell>
          <cell r="D1086" t="str">
            <v>CORAL</v>
          </cell>
          <cell r="E1086">
            <v>40001</v>
          </cell>
          <cell r="F1086" t="str">
            <v>ESMALTES</v>
          </cell>
          <cell r="G1086" t="str">
            <v>INDUSTRIAL</v>
          </cell>
        </row>
        <row r="1087">
          <cell r="A1087">
            <v>86041</v>
          </cell>
          <cell r="B1087" t="str">
            <v>CR CORALIT ULTRA RES AC BASE MF 800ML</v>
          </cell>
          <cell r="C1087">
            <v>5202868</v>
          </cell>
          <cell r="D1087" t="str">
            <v>CORAL</v>
          </cell>
          <cell r="E1087">
            <v>40001</v>
          </cell>
          <cell r="F1087" t="str">
            <v>ESMALTES</v>
          </cell>
          <cell r="G1087" t="str">
            <v>INDUSTRIAL</v>
          </cell>
        </row>
        <row r="1088">
          <cell r="A1088">
            <v>86038</v>
          </cell>
          <cell r="B1088" t="str">
            <v>CR CORALIT ULTRA RES AC BASE P 3.2L</v>
          </cell>
          <cell r="C1088">
            <v>5202863</v>
          </cell>
          <cell r="D1088" t="str">
            <v>CORAL</v>
          </cell>
          <cell r="E1088">
            <v>40001</v>
          </cell>
          <cell r="F1088" t="str">
            <v>ESMALTES</v>
          </cell>
          <cell r="G1088" t="str">
            <v>INDUSTRIAL</v>
          </cell>
        </row>
        <row r="1089">
          <cell r="A1089">
            <v>86039</v>
          </cell>
          <cell r="B1089" t="str">
            <v>CR CORALIT ULTRA RES AC BASE P 800ML</v>
          </cell>
          <cell r="C1089">
            <v>5202864</v>
          </cell>
          <cell r="D1089" t="str">
            <v>CORAL</v>
          </cell>
          <cell r="E1089">
            <v>40001</v>
          </cell>
          <cell r="F1089" t="str">
            <v>ESMALTES</v>
          </cell>
          <cell r="G1089" t="str">
            <v>INDUSTRIAL</v>
          </cell>
        </row>
        <row r="1090">
          <cell r="A1090">
            <v>86042</v>
          </cell>
          <cell r="B1090" t="str">
            <v>CR CORALIT ULTRA RES AC BASE T 3.2L</v>
          </cell>
          <cell r="C1090">
            <v>5202869</v>
          </cell>
          <cell r="D1090" t="str">
            <v>CORAL</v>
          </cell>
          <cell r="E1090">
            <v>40001</v>
          </cell>
          <cell r="F1090" t="str">
            <v>ESMALTES</v>
          </cell>
          <cell r="G1090" t="str">
            <v>INDUSTRIAL</v>
          </cell>
        </row>
        <row r="1091">
          <cell r="A1091">
            <v>86043</v>
          </cell>
          <cell r="B1091" t="str">
            <v>CR CORALIT ULTRA RES AC BASE T 800ML</v>
          </cell>
          <cell r="C1091">
            <v>5202870</v>
          </cell>
          <cell r="D1091" t="str">
            <v>CORAL</v>
          </cell>
          <cell r="E1091">
            <v>40001</v>
          </cell>
          <cell r="F1091" t="str">
            <v>ESMALTES</v>
          </cell>
          <cell r="G1091" t="str">
            <v>INDUSTRIAL</v>
          </cell>
        </row>
        <row r="1092">
          <cell r="A1092">
            <v>85977</v>
          </cell>
          <cell r="B1092" t="str">
            <v>CR CORALIT ULTRA RES AC BCO GELO 3.6L</v>
          </cell>
          <cell r="C1092">
            <v>5202769</v>
          </cell>
          <cell r="D1092" t="str">
            <v>CORAL</v>
          </cell>
          <cell r="E1092">
            <v>40001</v>
          </cell>
          <cell r="F1092" t="str">
            <v>ESMALTES</v>
          </cell>
          <cell r="G1092" t="str">
            <v>INDUSTRIAL</v>
          </cell>
        </row>
        <row r="1093">
          <cell r="A1093">
            <v>85978</v>
          </cell>
          <cell r="B1093" t="str">
            <v>CR CORALIT ULTRA RES AC BCO GELO 900ML</v>
          </cell>
          <cell r="C1093">
            <v>5202770</v>
          </cell>
          <cell r="D1093" t="str">
            <v>CORAL</v>
          </cell>
          <cell r="E1093">
            <v>40001</v>
          </cell>
          <cell r="F1093" t="str">
            <v>ESMALTES</v>
          </cell>
          <cell r="G1093" t="str">
            <v>INDUSTRIAL</v>
          </cell>
        </row>
        <row r="1094">
          <cell r="A1094">
            <v>85975</v>
          </cell>
          <cell r="B1094" t="str">
            <v>CR CORALIT ULTRA RES AC BRANCO 3.6L</v>
          </cell>
          <cell r="C1094">
            <v>5202767</v>
          </cell>
          <cell r="D1094" t="str">
            <v>CORAL</v>
          </cell>
          <cell r="E1094">
            <v>40001</v>
          </cell>
          <cell r="F1094" t="str">
            <v>ESMALTES</v>
          </cell>
          <cell r="G1094" t="str">
            <v>INDUSTRIAL</v>
          </cell>
        </row>
        <row r="1095">
          <cell r="A1095">
            <v>85976</v>
          </cell>
          <cell r="B1095" t="str">
            <v>CR CORALIT ULTRA RES AC BRANCO 900ML</v>
          </cell>
          <cell r="C1095">
            <v>5202768</v>
          </cell>
          <cell r="D1095" t="str">
            <v>CORAL</v>
          </cell>
          <cell r="E1095">
            <v>40001</v>
          </cell>
          <cell r="F1095" t="str">
            <v>ESMALTES</v>
          </cell>
          <cell r="G1095" t="str">
            <v>INDUSTRIAL</v>
          </cell>
        </row>
        <row r="1096">
          <cell r="A1096">
            <v>85982</v>
          </cell>
          <cell r="B1096" t="str">
            <v>CR CORALIT ULTRA RES AC MARROM 3.6L</v>
          </cell>
          <cell r="C1096">
            <v>5202777</v>
          </cell>
          <cell r="D1096" t="str">
            <v>CORAL</v>
          </cell>
          <cell r="E1096">
            <v>40001</v>
          </cell>
          <cell r="F1096" t="str">
            <v>ESMALTES</v>
          </cell>
          <cell r="G1096" t="str">
            <v>INDUSTRIAL</v>
          </cell>
        </row>
        <row r="1097">
          <cell r="A1097">
            <v>85983</v>
          </cell>
          <cell r="B1097" t="str">
            <v>CR CORALIT ULTRA RES AC MARROM 900ML</v>
          </cell>
          <cell r="C1097">
            <v>5202778</v>
          </cell>
          <cell r="D1097" t="str">
            <v>CORAL</v>
          </cell>
          <cell r="E1097">
            <v>40001</v>
          </cell>
          <cell r="F1097" t="str">
            <v>ESMALTES</v>
          </cell>
          <cell r="G1097" t="str">
            <v>INDUSTRIAL</v>
          </cell>
        </row>
        <row r="1098">
          <cell r="A1098">
            <v>85979</v>
          </cell>
          <cell r="B1098" t="str">
            <v>CR CORALIT ULTRA RES AC PLATINA 3.6L</v>
          </cell>
          <cell r="C1098">
            <v>5202771</v>
          </cell>
          <cell r="D1098" t="str">
            <v>CORAL</v>
          </cell>
          <cell r="E1098">
            <v>40001</v>
          </cell>
          <cell r="F1098" t="str">
            <v>ESMALTES</v>
          </cell>
          <cell r="G1098" t="str">
            <v>INDUSTRIAL</v>
          </cell>
        </row>
        <row r="1099">
          <cell r="A1099">
            <v>85980</v>
          </cell>
          <cell r="B1099" t="str">
            <v>CR CORALIT ULTRA RES AC PLATINA 900ML</v>
          </cell>
          <cell r="C1099">
            <v>5202772</v>
          </cell>
          <cell r="D1099" t="str">
            <v>CORAL</v>
          </cell>
          <cell r="E1099">
            <v>40001</v>
          </cell>
          <cell r="F1099" t="str">
            <v>ESMALTES</v>
          </cell>
          <cell r="G1099" t="str">
            <v>INDUSTRIAL</v>
          </cell>
        </row>
        <row r="1100">
          <cell r="A1100">
            <v>85981</v>
          </cell>
          <cell r="B1100" t="str">
            <v>CR CORALIT ULTRA RES AC VERDE COLON 3.6L</v>
          </cell>
          <cell r="C1100">
            <v>5202775</v>
          </cell>
          <cell r="D1100" t="str">
            <v>CORAL</v>
          </cell>
          <cell r="E1100">
            <v>40001</v>
          </cell>
          <cell r="F1100" t="str">
            <v>ESMALTES</v>
          </cell>
          <cell r="G1100" t="str">
            <v>INDUSTRIAL</v>
          </cell>
        </row>
        <row r="1101">
          <cell r="A1101">
            <v>85984</v>
          </cell>
          <cell r="B1101" t="str">
            <v>CR CORALIT ULTRA RES FO BRANCO 3.6L</v>
          </cell>
          <cell r="C1101">
            <v>5202783</v>
          </cell>
          <cell r="D1101" t="str">
            <v>CORAL</v>
          </cell>
          <cell r="E1101">
            <v>40001</v>
          </cell>
          <cell r="F1101" t="str">
            <v>ESMALTES</v>
          </cell>
          <cell r="G1101" t="str">
            <v>INDUSTRIAL</v>
          </cell>
        </row>
        <row r="1102">
          <cell r="A1102">
            <v>85985</v>
          </cell>
          <cell r="B1102" t="str">
            <v>CR CORALIT ULTRA RES FO BRANCO 900ML</v>
          </cell>
          <cell r="C1102">
            <v>5202784</v>
          </cell>
          <cell r="D1102" t="str">
            <v>CORAL</v>
          </cell>
          <cell r="E1102">
            <v>40001</v>
          </cell>
          <cell r="F1102" t="str">
            <v>ESMALTES</v>
          </cell>
          <cell r="G1102" t="str">
            <v>INDUSTRIAL</v>
          </cell>
        </row>
        <row r="1103">
          <cell r="A1103">
            <v>85988</v>
          </cell>
          <cell r="B1103" t="str">
            <v>CR CORALIT ULTRA RES FO PRETO 225ML</v>
          </cell>
          <cell r="C1103">
            <v>5202788</v>
          </cell>
          <cell r="D1103" t="str">
            <v>CORAL</v>
          </cell>
          <cell r="E1103">
            <v>40001</v>
          </cell>
          <cell r="F1103" t="str">
            <v>ESMALTES</v>
          </cell>
          <cell r="G1103" t="str">
            <v>INDUSTRIAL</v>
          </cell>
        </row>
        <row r="1104">
          <cell r="A1104">
            <v>85986</v>
          </cell>
          <cell r="B1104" t="str">
            <v>CR CORALIT ULTRA RES FO PRETO 3.6L</v>
          </cell>
          <cell r="C1104">
            <v>5202786</v>
          </cell>
          <cell r="D1104" t="str">
            <v>CORAL</v>
          </cell>
          <cell r="E1104">
            <v>40001</v>
          </cell>
          <cell r="F1104" t="str">
            <v>ESMALTES</v>
          </cell>
          <cell r="G1104" t="str">
            <v>INDUSTRIAL</v>
          </cell>
        </row>
        <row r="1105">
          <cell r="A1105">
            <v>85987</v>
          </cell>
          <cell r="B1105" t="str">
            <v>CR CORALIT ULTRA RES FO PRETO 900ML</v>
          </cell>
          <cell r="C1105">
            <v>5202787</v>
          </cell>
          <cell r="D1105" t="str">
            <v>CORAL</v>
          </cell>
          <cell r="E1105">
            <v>40001</v>
          </cell>
          <cell r="F1105" t="str">
            <v>ESMALTES</v>
          </cell>
          <cell r="G1105" t="str">
            <v>INDUSTRIAL</v>
          </cell>
        </row>
        <row r="1106">
          <cell r="A1106">
            <v>85989</v>
          </cell>
          <cell r="B1106" t="str">
            <v>CR CORALIT ULTRA RES FO VD ESCOLAR 3.6L</v>
          </cell>
          <cell r="C1106">
            <v>5202791</v>
          </cell>
          <cell r="D1106" t="str">
            <v>CORAL</v>
          </cell>
          <cell r="E1106">
            <v>40001</v>
          </cell>
          <cell r="F1106" t="str">
            <v>ESMALTES</v>
          </cell>
          <cell r="G1106" t="str">
            <v>INDUSTRIAL</v>
          </cell>
        </row>
        <row r="1107">
          <cell r="A1107">
            <v>85990</v>
          </cell>
          <cell r="B1107" t="str">
            <v>CR CORALIT ULTRA RES FO VD ESCOLAR 900ML</v>
          </cell>
          <cell r="C1107">
            <v>5202792</v>
          </cell>
          <cell r="D1107" t="str">
            <v>CORAL</v>
          </cell>
          <cell r="E1107">
            <v>40001</v>
          </cell>
          <cell r="F1107" t="str">
            <v>ESMALTES</v>
          </cell>
          <cell r="G1107" t="str">
            <v>INDUSTRIAL</v>
          </cell>
        </row>
        <row r="1108">
          <cell r="A1108">
            <v>85993</v>
          </cell>
          <cell r="B1108" t="str">
            <v>CR CORALIT ULTRA REST AB BASE MF 3.2L</v>
          </cell>
          <cell r="C1108">
            <v>5202799</v>
          </cell>
          <cell r="D1108" t="str">
            <v>CORAL</v>
          </cell>
          <cell r="E1108">
            <v>40001</v>
          </cell>
          <cell r="F1108" t="str">
            <v>ESMALTES</v>
          </cell>
          <cell r="G1108" t="str">
            <v>INDUSTRIAL</v>
          </cell>
        </row>
        <row r="1109">
          <cell r="A1109">
            <v>85895</v>
          </cell>
          <cell r="B1109" t="str">
            <v>CR EMBELEZA CERAM  900ML</v>
          </cell>
          <cell r="C1109">
            <v>5202662</v>
          </cell>
          <cell r="D1109" t="str">
            <v>CORAL</v>
          </cell>
          <cell r="E1109">
            <v>40001</v>
          </cell>
          <cell r="F1109" t="str">
            <v>ESMALTES</v>
          </cell>
          <cell r="G1109" t="str">
            <v>INDUSTRIAL</v>
          </cell>
        </row>
        <row r="1110">
          <cell r="A1110">
            <v>85894</v>
          </cell>
          <cell r="B1110" t="str">
            <v>CR EMBELEZA CERAM 3.6L</v>
          </cell>
          <cell r="C1110">
            <v>5202661</v>
          </cell>
          <cell r="D1110" t="str">
            <v>CORAL</v>
          </cell>
          <cell r="E1110">
            <v>40001</v>
          </cell>
          <cell r="F1110" t="str">
            <v>ESMALTES</v>
          </cell>
          <cell r="G1110" t="str">
            <v>INDUSTRIAL</v>
          </cell>
        </row>
        <row r="1111">
          <cell r="A1111">
            <v>85896</v>
          </cell>
          <cell r="B1111" t="str">
            <v>CR TINTA GRAFITE CINZA CLARO 3.6L</v>
          </cell>
          <cell r="C1111">
            <v>5202663</v>
          </cell>
          <cell r="D1111" t="str">
            <v>CORAL</v>
          </cell>
          <cell r="E1111">
            <v>40001</v>
          </cell>
          <cell r="F1111" t="str">
            <v>ESMALTES</v>
          </cell>
          <cell r="G1111" t="str">
            <v>INDUSTRIAL</v>
          </cell>
        </row>
        <row r="1112">
          <cell r="A1112">
            <v>85897</v>
          </cell>
          <cell r="B1112" t="str">
            <v>CR TINTA GRAFITE CINZA CLARO 900ML</v>
          </cell>
          <cell r="C1112">
            <v>5202664</v>
          </cell>
          <cell r="D1112" t="str">
            <v>CORAL</v>
          </cell>
          <cell r="E1112">
            <v>40001</v>
          </cell>
          <cell r="F1112" t="str">
            <v>ESMALTES</v>
          </cell>
          <cell r="G1112" t="str">
            <v>INDUSTRIAL</v>
          </cell>
        </row>
        <row r="1113">
          <cell r="A1113">
            <v>85898</v>
          </cell>
          <cell r="B1113" t="str">
            <v>CR TINTA GRAFITE CINZA ESCURO 3.6L</v>
          </cell>
          <cell r="C1113">
            <v>5202665</v>
          </cell>
          <cell r="D1113" t="str">
            <v>CORAL</v>
          </cell>
          <cell r="E1113">
            <v>40001</v>
          </cell>
          <cell r="F1113" t="str">
            <v>ESMALTES</v>
          </cell>
          <cell r="G1113" t="str">
            <v>INDUSTRIAL</v>
          </cell>
        </row>
        <row r="1114">
          <cell r="A1114">
            <v>85899</v>
          </cell>
          <cell r="B1114" t="str">
            <v>CR TINTA GRAFITE CINZA ESCURO 900ML</v>
          </cell>
          <cell r="C1114">
            <v>5202666</v>
          </cell>
          <cell r="D1114" t="str">
            <v>CORAL</v>
          </cell>
          <cell r="E1114">
            <v>40001</v>
          </cell>
          <cell r="F1114" t="str">
            <v>ESMALTES</v>
          </cell>
          <cell r="G1114" t="str">
            <v>INDUSTRIAL</v>
          </cell>
        </row>
        <row r="1115">
          <cell r="A1115">
            <v>85578</v>
          </cell>
          <cell r="B1115" t="str">
            <v>CROMATO DE ZINCO-BRANCO 18L BRASILUX</v>
          </cell>
          <cell r="C1115" t="str">
            <v>CR 010500703</v>
          </cell>
          <cell r="D1115" t="str">
            <v>BRASILUX</v>
          </cell>
          <cell r="E1115">
            <v>40001</v>
          </cell>
          <cell r="F1115" t="str">
            <v>ESMALTES</v>
          </cell>
          <cell r="G1115" t="str">
            <v>INDUSTRIAL</v>
          </cell>
        </row>
        <row r="1116">
          <cell r="A1116">
            <v>85577</v>
          </cell>
          <cell r="B1116" t="str">
            <v>CROMATO DE ZINCO-CINZA 18L BRASILUX</v>
          </cell>
          <cell r="C1116" t="str">
            <v>CR 010600003</v>
          </cell>
          <cell r="D1116" t="str">
            <v>BRASILUX</v>
          </cell>
          <cell r="E1116">
            <v>40001</v>
          </cell>
          <cell r="F1116" t="str">
            <v>ESMALTES</v>
          </cell>
          <cell r="G1116" t="str">
            <v>INDUSTRIAL</v>
          </cell>
        </row>
        <row r="1117">
          <cell r="A1117">
            <v>85736</v>
          </cell>
          <cell r="B1117" t="str">
            <v>DIRETO NA FERRUGEM CINZA ESCURO 3,6LT BRASILUX</v>
          </cell>
          <cell r="D1117" t="str">
            <v>BRASILUX</v>
          </cell>
          <cell r="E1117">
            <v>40001</v>
          </cell>
          <cell r="F1117" t="str">
            <v>ESMALTES</v>
          </cell>
          <cell r="G1117" t="str">
            <v>INDUSTRIAL</v>
          </cell>
        </row>
        <row r="1118">
          <cell r="A1118">
            <v>85266</v>
          </cell>
          <cell r="B1118" t="str">
            <v>DIRETO NA FERRUGEM-AMARELO OURO 3,6L BRASILUX</v>
          </cell>
          <cell r="C1118" t="str">
            <v>DF 400200102</v>
          </cell>
          <cell r="D1118" t="str">
            <v>BRASILUX</v>
          </cell>
          <cell r="E1118">
            <v>40001</v>
          </cell>
          <cell r="F1118" t="str">
            <v>ESMALTES</v>
          </cell>
          <cell r="G1118" t="str">
            <v>INDUSTRIAL</v>
          </cell>
        </row>
        <row r="1119">
          <cell r="A1119">
            <v>85267</v>
          </cell>
          <cell r="B1119" t="str">
            <v>DIRETO NA FERRUGEM-AMARELO OURO 900ML BRASILUX</v>
          </cell>
          <cell r="C1119" t="str">
            <v>DF 400200101</v>
          </cell>
          <cell r="D1119" t="str">
            <v>BRASILUX</v>
          </cell>
          <cell r="E1119">
            <v>40001</v>
          </cell>
          <cell r="F1119" t="str">
            <v>ESMALTES</v>
          </cell>
          <cell r="G1119" t="str">
            <v>INDUSTRIAL</v>
          </cell>
        </row>
        <row r="1120">
          <cell r="A1120">
            <v>84174</v>
          </cell>
          <cell r="B1120" t="str">
            <v>DIRETO NA FERRUGEM-BRANCO BRILHANTE 3,6LT BRASILUX</v>
          </cell>
          <cell r="C1120" t="str">
            <v>DF 400500702</v>
          </cell>
          <cell r="D1120" t="str">
            <v>BRASILUX</v>
          </cell>
          <cell r="E1120">
            <v>40001</v>
          </cell>
          <cell r="F1120" t="str">
            <v>ESMALTES</v>
          </cell>
          <cell r="G1120" t="str">
            <v>INDUSTRIAL</v>
          </cell>
        </row>
        <row r="1121">
          <cell r="A1121">
            <v>84177</v>
          </cell>
          <cell r="B1121" t="str">
            <v>DIRETO NA FERRUGEM-BRANCO BRILHANTE 900ML BRASILUX</v>
          </cell>
          <cell r="C1121" t="str">
            <v>DF 400500701</v>
          </cell>
          <cell r="D1121" t="str">
            <v>BRASILUX</v>
          </cell>
          <cell r="E1121">
            <v>40001</v>
          </cell>
          <cell r="F1121" t="str">
            <v>ESMALTES</v>
          </cell>
          <cell r="G1121" t="str">
            <v>INDUSTRIAL</v>
          </cell>
        </row>
        <row r="1122">
          <cell r="A1122">
            <v>85268</v>
          </cell>
          <cell r="B1122" t="str">
            <v>DIRETO NA FERRUGEM-CINZA MEDIO 3,6LT BRASILUX</v>
          </cell>
          <cell r="C1122" t="str">
            <v>DF 400604802</v>
          </cell>
          <cell r="D1122" t="str">
            <v>BRASILUX</v>
          </cell>
          <cell r="E1122">
            <v>40001</v>
          </cell>
          <cell r="F1122" t="str">
            <v>ESMALTES</v>
          </cell>
          <cell r="G1122" t="str">
            <v>INDUSTRIAL</v>
          </cell>
        </row>
        <row r="1123">
          <cell r="A1123">
            <v>85269</v>
          </cell>
          <cell r="B1123" t="str">
            <v>DIRETO NA FERRUGEM-CINZA MEDIO 900ML BRASILUX</v>
          </cell>
          <cell r="C1123" t="str">
            <v>DF 400604801</v>
          </cell>
          <cell r="D1123" t="str">
            <v>BRASILUX</v>
          </cell>
          <cell r="E1123">
            <v>40001</v>
          </cell>
          <cell r="F1123" t="str">
            <v>ESMALTES</v>
          </cell>
          <cell r="G1123" t="str">
            <v>INDUSTRIAL</v>
          </cell>
        </row>
        <row r="1124">
          <cell r="A1124">
            <v>84176</v>
          </cell>
          <cell r="B1124" t="str">
            <v>DIRETO NA FERRUGEM-CINZA PLATINA 3,6LT BRASILUX</v>
          </cell>
          <cell r="C1124" t="str">
            <v>DF 400603602</v>
          </cell>
          <cell r="D1124" t="str">
            <v>BRASILUX</v>
          </cell>
          <cell r="E1124">
            <v>40001</v>
          </cell>
          <cell r="F1124" t="str">
            <v>ESMALTES</v>
          </cell>
          <cell r="G1124" t="str">
            <v>INDUSTRIAL</v>
          </cell>
        </row>
        <row r="1125">
          <cell r="A1125">
            <v>84179</v>
          </cell>
          <cell r="B1125" t="str">
            <v>DIRETO NA FERRUGEM-CINZA PLATINA 900ML BRASILUX</v>
          </cell>
          <cell r="C1125" t="str">
            <v>DF 400603601</v>
          </cell>
          <cell r="D1125" t="str">
            <v>BRASILUX</v>
          </cell>
          <cell r="E1125">
            <v>40001</v>
          </cell>
          <cell r="F1125" t="str">
            <v>ESMALTES</v>
          </cell>
          <cell r="G1125" t="str">
            <v>INDUSTRIAL</v>
          </cell>
        </row>
        <row r="1126">
          <cell r="A1126">
            <v>85307</v>
          </cell>
          <cell r="B1126" t="str">
            <v>DIRETO NA FERRUGEM-LARANJA 3,6 LT BRASILUX</v>
          </cell>
          <cell r="C1126" t="str">
            <v>DF 400900102</v>
          </cell>
          <cell r="D1126" t="str">
            <v>BRASILUX</v>
          </cell>
          <cell r="E1126">
            <v>40001</v>
          </cell>
          <cell r="F1126" t="str">
            <v>ESMALTES</v>
          </cell>
          <cell r="G1126" t="str">
            <v>INDUSTRIAL</v>
          </cell>
        </row>
        <row r="1127">
          <cell r="A1127">
            <v>84072</v>
          </cell>
          <cell r="B1127" t="str">
            <v>DIRETO NA FERRUGEM-MARROM BRONZE 3,6LT BRASILUX</v>
          </cell>
          <cell r="C1127" t="str">
            <v>DF 401002802</v>
          </cell>
          <cell r="D1127" t="str">
            <v>BRASILUX</v>
          </cell>
          <cell r="E1127">
            <v>40001</v>
          </cell>
          <cell r="F1127" t="str">
            <v>ESMALTES</v>
          </cell>
          <cell r="G1127" t="str">
            <v>INDUSTRIAL</v>
          </cell>
        </row>
        <row r="1128">
          <cell r="A1128">
            <v>84073</v>
          </cell>
          <cell r="B1128" t="str">
            <v>DIRETO NA FERRUGEM-MARROM BRONZE 900ML BRASILUX</v>
          </cell>
          <cell r="C1128" t="str">
            <v>DF 401002801</v>
          </cell>
          <cell r="D1128" t="str">
            <v>BRASILUX</v>
          </cell>
          <cell r="E1128">
            <v>40001</v>
          </cell>
          <cell r="F1128" t="str">
            <v>ESMALTES</v>
          </cell>
          <cell r="G1128" t="str">
            <v>INDUSTRIAL</v>
          </cell>
        </row>
        <row r="1129">
          <cell r="A1129">
            <v>84074</v>
          </cell>
          <cell r="B1129" t="str">
            <v>DIRETO NA FERRUGEM-OURO (3,6 LITROS) BRASILUX</v>
          </cell>
          <cell r="C1129" t="str">
            <v>DF 403301002</v>
          </cell>
          <cell r="D1129" t="str">
            <v>BRASILUX</v>
          </cell>
          <cell r="E1129">
            <v>40001</v>
          </cell>
          <cell r="F1129" t="str">
            <v>ESMALTES</v>
          </cell>
          <cell r="G1129" t="str">
            <v>INDUSTRIAL</v>
          </cell>
        </row>
        <row r="1130">
          <cell r="A1130">
            <v>84070</v>
          </cell>
          <cell r="B1130" t="str">
            <v>DIRETO NA FERRUGEM-OURO ANTIGO 3,6L BRASILUX</v>
          </cell>
          <cell r="C1130" t="str">
            <v>DF 403300302</v>
          </cell>
          <cell r="D1130" t="str">
            <v>BRASILUX</v>
          </cell>
          <cell r="E1130">
            <v>40001</v>
          </cell>
          <cell r="F1130" t="str">
            <v>ESMALTES</v>
          </cell>
          <cell r="G1130" t="str">
            <v>INDUSTRIAL</v>
          </cell>
        </row>
        <row r="1131">
          <cell r="A1131">
            <v>84071</v>
          </cell>
          <cell r="B1131" t="str">
            <v>DIRETO NA FERRUGEM-OURO ANTIGO 900ML BRASILUX</v>
          </cell>
          <cell r="C1131" t="str">
            <v>DF 403300301</v>
          </cell>
          <cell r="D1131" t="str">
            <v>BRASILUX</v>
          </cell>
          <cell r="E1131">
            <v>40001</v>
          </cell>
          <cell r="F1131" t="str">
            <v>ESMALTES</v>
          </cell>
          <cell r="G1131" t="str">
            <v>INDUSTRIAL</v>
          </cell>
        </row>
        <row r="1132">
          <cell r="A1132">
            <v>84175</v>
          </cell>
          <cell r="B1132" t="str">
            <v>DIRETO NA FERRUGEM-PRETO  3,6LT BRASILUX</v>
          </cell>
          <cell r="C1132" t="str">
            <v>DF 401500102</v>
          </cell>
          <cell r="D1132" t="str">
            <v>BRASILUX</v>
          </cell>
          <cell r="E1132">
            <v>40001</v>
          </cell>
          <cell r="F1132" t="str">
            <v>ESMALTES</v>
          </cell>
          <cell r="G1132" t="str">
            <v>INDUSTRIAL</v>
          </cell>
        </row>
        <row r="1133">
          <cell r="A1133">
            <v>84178</v>
          </cell>
          <cell r="B1133" t="str">
            <v>DIRETO NA FERRUGEM-PRETO 900ML BRASILUX</v>
          </cell>
          <cell r="C1133" t="str">
            <v>DF 401500101</v>
          </cell>
          <cell r="D1133" t="str">
            <v>BRASILUX</v>
          </cell>
          <cell r="E1133">
            <v>40001</v>
          </cell>
          <cell r="F1133" t="str">
            <v>ESMALTES</v>
          </cell>
          <cell r="G1133" t="str">
            <v>INDUSTRIAL</v>
          </cell>
        </row>
        <row r="1134">
          <cell r="A1134">
            <v>24288</v>
          </cell>
          <cell r="B1134" t="str">
            <v>ESM. SINT. AMARELO CATERPILLAR 80.81 BRAZILIAN</v>
          </cell>
          <cell r="C1134" t="str">
            <v>200184.24</v>
          </cell>
          <cell r="D1134" t="str">
            <v>BRAZILIAN</v>
          </cell>
          <cell r="E1134">
            <v>40001</v>
          </cell>
          <cell r="F1134" t="str">
            <v>ESMALTES</v>
          </cell>
          <cell r="G1134" t="str">
            <v>INDUSTRIAL</v>
          </cell>
        </row>
        <row r="1135">
          <cell r="A1135">
            <v>24271</v>
          </cell>
          <cell r="B1135" t="str">
            <v>ESM. SINT. CINZA SUB GRAY 3,600ML BRAZILIAN-21,94-ST</v>
          </cell>
          <cell r="C1135" t="str">
            <v>700184.24</v>
          </cell>
          <cell r="D1135" t="str">
            <v>BRAZILIAN</v>
          </cell>
          <cell r="E1135">
            <v>40001</v>
          </cell>
          <cell r="F1135" t="str">
            <v>ESMALTES</v>
          </cell>
          <cell r="G1135" t="str">
            <v>INDUSTRIAL</v>
          </cell>
        </row>
        <row r="1136">
          <cell r="A1136">
            <v>85306</v>
          </cell>
          <cell r="B1136" t="str">
            <v>ESMALTE BASE AGUA ECOLOGICO - BASE C ESM. ECOLOGICO 3,24 LT</v>
          </cell>
          <cell r="C1136" t="str">
            <v>BA 570521932</v>
          </cell>
          <cell r="D1136" t="str">
            <v>BRASILUX</v>
          </cell>
          <cell r="E1136">
            <v>40001</v>
          </cell>
          <cell r="F1136" t="str">
            <v>ESMALTES</v>
          </cell>
          <cell r="G1136" t="str">
            <v>INDUSTRIAL</v>
          </cell>
        </row>
        <row r="1137">
          <cell r="A1137">
            <v>84194</v>
          </cell>
          <cell r="B1137" t="str">
            <v>ESMALTE BASE AGUA ECOLOGICO - BRANCO BRILHANTE (3,6 LITROS)</v>
          </cell>
          <cell r="C1137" t="str">
            <v>BT 570500702</v>
          </cell>
          <cell r="D1137" t="str">
            <v>BRASILUX</v>
          </cell>
          <cell r="E1137">
            <v>40001</v>
          </cell>
          <cell r="F1137" t="str">
            <v>ESMALTES</v>
          </cell>
          <cell r="G1137" t="str">
            <v>INDUSTRIAL</v>
          </cell>
        </row>
        <row r="1138">
          <cell r="A1138">
            <v>85183</v>
          </cell>
          <cell r="B1138" t="str">
            <v>ESMALTE BASE AGUA ECOLOGICO - LARANJA 2.5YR6/14 SEGURANCA 3,6LT</v>
          </cell>
          <cell r="C1138" t="str">
            <v>BT 570901402</v>
          </cell>
          <cell r="D1138" t="str">
            <v>BRASILUX</v>
          </cell>
          <cell r="E1138">
            <v>40001</v>
          </cell>
          <cell r="F1138" t="str">
            <v>ESMALTES</v>
          </cell>
          <cell r="G1138" t="str">
            <v>INDUSTRIAL</v>
          </cell>
        </row>
        <row r="1139">
          <cell r="A1139">
            <v>85446</v>
          </cell>
          <cell r="B1139" t="str">
            <v>ESMALTE BASE AGUA ECOLOGICO - PRETO FOSCO 3,6 LT</v>
          </cell>
          <cell r="C1139" t="str">
            <v>FO 571500102</v>
          </cell>
          <cell r="D1139" t="str">
            <v>BRASILUX</v>
          </cell>
          <cell r="E1139">
            <v>40001</v>
          </cell>
          <cell r="F1139" t="str">
            <v>ESMALTES</v>
          </cell>
          <cell r="G1139" t="str">
            <v>INDUSTRIAL</v>
          </cell>
        </row>
        <row r="1140">
          <cell r="A1140">
            <v>84904</v>
          </cell>
          <cell r="B1140" t="str">
            <v>ESMALTE BASE AGUA ECOLOGICO - VERMELHO 3,6L</v>
          </cell>
          <cell r="C1140" t="str">
            <v>BT 572300102</v>
          </cell>
          <cell r="D1140" t="str">
            <v>BRASILUX</v>
          </cell>
          <cell r="E1140">
            <v>40001</v>
          </cell>
          <cell r="F1140" t="str">
            <v>ESMALTES</v>
          </cell>
          <cell r="G1140" t="str">
            <v>INDUSTRIAL</v>
          </cell>
        </row>
        <row r="1141">
          <cell r="A1141">
            <v>85301</v>
          </cell>
          <cell r="B1141" t="str">
            <v>ESMALTE BASE AGUA ECOLOGICO-BASE A 810ML</v>
          </cell>
          <cell r="C1141" t="str">
            <v>BA 570521731</v>
          </cell>
          <cell r="D1141" t="str">
            <v>BRASILUX</v>
          </cell>
          <cell r="E1141">
            <v>40001</v>
          </cell>
          <cell r="F1141" t="str">
            <v>ESMALTES</v>
          </cell>
          <cell r="G1141" t="str">
            <v>INDUSTRIAL</v>
          </cell>
        </row>
        <row r="1142">
          <cell r="A1142">
            <v>85303</v>
          </cell>
          <cell r="B1142" t="str">
            <v>ESMALTE BASE AGUA ECOLOGICO-BASE B 810ML</v>
          </cell>
          <cell r="C1142" t="str">
            <v>BA 57.05.218-31</v>
          </cell>
          <cell r="D1142" t="str">
            <v>BRASILUX</v>
          </cell>
          <cell r="E1142">
            <v>40001</v>
          </cell>
          <cell r="F1142" t="str">
            <v>ESMALTES</v>
          </cell>
          <cell r="G1142" t="str">
            <v>INDUSTRIAL</v>
          </cell>
        </row>
        <row r="1143">
          <cell r="A1143">
            <v>85305</v>
          </cell>
          <cell r="B1143" t="str">
            <v>ESMALTE BASE AGUA ECOLOGICO-BASE C 810ML</v>
          </cell>
          <cell r="C1143" t="str">
            <v>BA 570521931</v>
          </cell>
          <cell r="D1143" t="str">
            <v>BRASILUX</v>
          </cell>
          <cell r="E1143">
            <v>40001</v>
          </cell>
          <cell r="F1143" t="str">
            <v>ESMALTES</v>
          </cell>
          <cell r="G1143" t="str">
            <v>INDUSTRIAL</v>
          </cell>
        </row>
        <row r="1144">
          <cell r="A1144">
            <v>84197</v>
          </cell>
          <cell r="B1144" t="str">
            <v>ESMALTE BASE AGUA ECOLOGICO-BRANCO BRILHANTE 900ML</v>
          </cell>
          <cell r="C1144" t="str">
            <v>BT 57.05.007--01</v>
          </cell>
          <cell r="D1144" t="str">
            <v>BRASILUX</v>
          </cell>
          <cell r="E1144">
            <v>40001</v>
          </cell>
          <cell r="F1144" t="str">
            <v>ESMALTES</v>
          </cell>
          <cell r="G1144" t="str">
            <v>INDUSTRIAL</v>
          </cell>
        </row>
        <row r="1145">
          <cell r="A1145">
            <v>84199</v>
          </cell>
          <cell r="B1145" t="str">
            <v>ESMALTE BASE AGUA ECOLOGICO-PLATINA900 ML</v>
          </cell>
          <cell r="C1145" t="str">
            <v>BT 57.06.036-01</v>
          </cell>
          <cell r="D1145" t="str">
            <v>BRASILUX</v>
          </cell>
          <cell r="E1145">
            <v>40001</v>
          </cell>
          <cell r="F1145" t="str">
            <v>ESMALTES</v>
          </cell>
          <cell r="G1145" t="str">
            <v>INDUSTRIAL</v>
          </cell>
        </row>
        <row r="1146">
          <cell r="A1146">
            <v>84195</v>
          </cell>
          <cell r="B1146" t="str">
            <v>ESMALTE BASE AGUA ECOLOGICO-PRETO 3,6L</v>
          </cell>
          <cell r="C1146" t="str">
            <v>BT 571500102</v>
          </cell>
          <cell r="D1146" t="str">
            <v>BRASILUX</v>
          </cell>
          <cell r="E1146">
            <v>40001</v>
          </cell>
          <cell r="F1146" t="str">
            <v>ESMALTES</v>
          </cell>
          <cell r="G1146" t="str">
            <v>INDUSTRIAL</v>
          </cell>
        </row>
        <row r="1147">
          <cell r="A1147">
            <v>84198</v>
          </cell>
          <cell r="B1147" t="str">
            <v>ESMALTE BASE AGUA ECOLOGICO-PRETO 900ML</v>
          </cell>
          <cell r="C1147" t="str">
            <v>BT 57.15.001-01</v>
          </cell>
          <cell r="D1147" t="str">
            <v>BRASILUX</v>
          </cell>
          <cell r="E1147">
            <v>40001</v>
          </cell>
          <cell r="F1147" t="str">
            <v>ESMALTES</v>
          </cell>
          <cell r="G1147" t="str">
            <v>INDUSTRIAL</v>
          </cell>
        </row>
        <row r="1148">
          <cell r="A1148">
            <v>84903</v>
          </cell>
          <cell r="B1148" t="str">
            <v>ESMALTE BASE AGUA ECOLOGICO-VERMELHO 900ML</v>
          </cell>
          <cell r="C1148" t="str">
            <v>BT 572300101</v>
          </cell>
          <cell r="D1148" t="str">
            <v>BRASILUX</v>
          </cell>
          <cell r="E1148">
            <v>40001</v>
          </cell>
          <cell r="F1148" t="str">
            <v>ESMALTES</v>
          </cell>
          <cell r="G1148" t="str">
            <v>INDUSTRIAL</v>
          </cell>
        </row>
        <row r="1149">
          <cell r="A1149">
            <v>85302</v>
          </cell>
          <cell r="B1149" t="str">
            <v>ESMALTE ECOLOGICO-BASE A 3,24L BRASILUX</v>
          </cell>
          <cell r="C1149" t="str">
            <v>BA 570521732</v>
          </cell>
          <cell r="D1149" t="str">
            <v>BRASILUX</v>
          </cell>
          <cell r="E1149">
            <v>40001</v>
          </cell>
          <cell r="F1149" t="str">
            <v>ESMALTES</v>
          </cell>
          <cell r="G1149" t="str">
            <v>INDUSTRIAL</v>
          </cell>
        </row>
        <row r="1150">
          <cell r="A1150">
            <v>85304</v>
          </cell>
          <cell r="B1150" t="str">
            <v>ESMALTE ECOLOGICO-BASE B 3,24L BRASILUX</v>
          </cell>
          <cell r="C1150" t="str">
            <v>BA 570521832</v>
          </cell>
          <cell r="D1150" t="str">
            <v>BRASILUX</v>
          </cell>
          <cell r="E1150">
            <v>40001</v>
          </cell>
          <cell r="F1150" t="str">
            <v>ESMALTES</v>
          </cell>
          <cell r="G1150" t="str">
            <v>INDUSTRIAL</v>
          </cell>
        </row>
        <row r="1151">
          <cell r="A1151">
            <v>84196</v>
          </cell>
          <cell r="B1151" t="str">
            <v>ESMALTE ECOLOGICO-PLATINA 3,6L BRASILUX</v>
          </cell>
          <cell r="C1151" t="str">
            <v>BT 570603602</v>
          </cell>
          <cell r="D1151" t="str">
            <v>BRASILUX</v>
          </cell>
          <cell r="E1151">
            <v>40001</v>
          </cell>
          <cell r="F1151" t="str">
            <v>ESMALTES</v>
          </cell>
          <cell r="G1151" t="str">
            <v>INDUSTRIAL</v>
          </cell>
        </row>
        <row r="1152">
          <cell r="A1152">
            <v>85702</v>
          </cell>
          <cell r="B1152" t="str">
            <v>ESMALTE SECAGEM RAPIDA - VERDE FOLHA 3,6LT</v>
          </cell>
          <cell r="C1152" t="str">
            <v>BT402202002</v>
          </cell>
          <cell r="D1152" t="str">
            <v>BRASILUX</v>
          </cell>
          <cell r="E1152">
            <v>40001</v>
          </cell>
          <cell r="F1152" t="str">
            <v>ESMALTES</v>
          </cell>
          <cell r="G1152" t="str">
            <v>INDUSTRIAL</v>
          </cell>
        </row>
        <row r="1153">
          <cell r="A1153">
            <v>84864</v>
          </cell>
          <cell r="B1153" t="str">
            <v>ESMALTE SINT AUTOMOTIVO-ALUMINIO OPAL P/RODAS 900ML BRASILUX</v>
          </cell>
          <cell r="C1153" t="str">
            <v>BT 010100301</v>
          </cell>
          <cell r="D1153" t="str">
            <v>BRASILUX</v>
          </cell>
          <cell r="E1153">
            <v>40001</v>
          </cell>
          <cell r="F1153" t="str">
            <v>ESMALTES</v>
          </cell>
          <cell r="G1153" t="str">
            <v>INDUSTRIAL</v>
          </cell>
        </row>
        <row r="1154">
          <cell r="A1154">
            <v>84863</v>
          </cell>
          <cell r="B1154" t="str">
            <v>ESMALTE SINT AUTOMOTIVO-BRANCO N9,5 PURO 3,6L BRASILUX</v>
          </cell>
          <cell r="C1154" t="str">
            <v>BT 010504702</v>
          </cell>
          <cell r="D1154" t="str">
            <v>BRASILUX</v>
          </cell>
          <cell r="E1154">
            <v>40001</v>
          </cell>
          <cell r="F1154" t="str">
            <v>ESMALTES</v>
          </cell>
          <cell r="G1154" t="str">
            <v>INDUSTRIAL</v>
          </cell>
        </row>
        <row r="1155">
          <cell r="A1155">
            <v>84953</v>
          </cell>
          <cell r="B1155" t="str">
            <v>ESMALTE SINT AUTOMOTIVO-MARROM BRONZE MET GM 81 3,6L BRASILUX</v>
          </cell>
          <cell r="C1155" t="str">
            <v>BT 011004402</v>
          </cell>
          <cell r="D1155" t="str">
            <v>BRASILUX</v>
          </cell>
          <cell r="E1155">
            <v>40001</v>
          </cell>
          <cell r="F1155" t="str">
            <v>ESMALTES</v>
          </cell>
          <cell r="G1155" t="str">
            <v>INDUSTRIAL</v>
          </cell>
        </row>
        <row r="1156">
          <cell r="A1156">
            <v>85281</v>
          </cell>
          <cell r="B1156" t="str">
            <v>ESMALTE SINT AUTOMOTIVO-PRETO BRILHANTE N1 3,6L BRASILUX</v>
          </cell>
          <cell r="C1156" t="str">
            <v>BT 011500802</v>
          </cell>
          <cell r="D1156" t="str">
            <v>BRASILUX</v>
          </cell>
          <cell r="E1156">
            <v>40001</v>
          </cell>
          <cell r="F1156" t="str">
            <v>ESMALTES</v>
          </cell>
          <cell r="G1156" t="str">
            <v>INDUSTRIAL</v>
          </cell>
        </row>
        <row r="1157">
          <cell r="A1157">
            <v>85178</v>
          </cell>
          <cell r="B1157" t="str">
            <v>ESMALTE SINT AUTOMOTIVO-PRETO CADILACK 3,6L BRASILUX</v>
          </cell>
          <cell r="C1157" t="str">
            <v>BT 011500902</v>
          </cell>
          <cell r="D1157" t="str">
            <v>BRASILUX</v>
          </cell>
          <cell r="E1157">
            <v>40001</v>
          </cell>
          <cell r="F1157" t="str">
            <v>ESMALTES</v>
          </cell>
          <cell r="G1157" t="str">
            <v>INDUSTRIAL</v>
          </cell>
        </row>
        <row r="1158">
          <cell r="A1158">
            <v>84756</v>
          </cell>
          <cell r="B1158" t="str">
            <v>ESMALTE SINT AUTOMOTIVO-PRETO CARGO SEMI-FOSCO 3,6L BRASILUX</v>
          </cell>
          <cell r="C1158" t="str">
            <v>SF 011500702</v>
          </cell>
          <cell r="D1158" t="str">
            <v>BRASILUX</v>
          </cell>
          <cell r="E1158">
            <v>40001</v>
          </cell>
          <cell r="F1158" t="str">
            <v>ESMALTES</v>
          </cell>
          <cell r="G1158" t="str">
            <v>INDUSTRIAL</v>
          </cell>
        </row>
        <row r="1159">
          <cell r="A1159">
            <v>84755</v>
          </cell>
          <cell r="B1159" t="str">
            <v>ESMALTE SINT AUTOMOTIVO-PRETO CARGO SEMI-FOSCO 900ML BRASILUX</v>
          </cell>
          <cell r="C1159" t="str">
            <v>SF 011500701</v>
          </cell>
          <cell r="D1159" t="str">
            <v>BRASILUX</v>
          </cell>
          <cell r="E1159">
            <v>40001</v>
          </cell>
          <cell r="F1159" t="str">
            <v>ESMALTES</v>
          </cell>
          <cell r="G1159" t="str">
            <v>INDUSTRIAL</v>
          </cell>
        </row>
        <row r="1160">
          <cell r="A1160">
            <v>84934</v>
          </cell>
          <cell r="B1160" t="str">
            <v>ESMALTE SINT AUTOMOTIVO-PRETO FOSCO 3,6L BRASILUX</v>
          </cell>
          <cell r="C1160" t="str">
            <v>FO 011500102</v>
          </cell>
          <cell r="D1160" t="str">
            <v>BRASILUX</v>
          </cell>
          <cell r="E1160">
            <v>40001</v>
          </cell>
          <cell r="F1160" t="str">
            <v>ESMALTES</v>
          </cell>
          <cell r="G1160" t="str">
            <v>INDUSTRIAL</v>
          </cell>
        </row>
        <row r="1161">
          <cell r="A1161">
            <v>85310</v>
          </cell>
          <cell r="B1161" t="str">
            <v>ESMALTE SINT AUTOMOTIVO-VERMELHO MASSEY FERGUSSON 3,6L BRASILUX</v>
          </cell>
          <cell r="C1161" t="str">
            <v>BT 012302302</v>
          </cell>
          <cell r="D1161" t="str">
            <v>BRASILUX</v>
          </cell>
          <cell r="E1161">
            <v>40001</v>
          </cell>
          <cell r="F1161" t="str">
            <v>ESMALTES</v>
          </cell>
          <cell r="G1161" t="str">
            <v>INDUSTRIAL</v>
          </cell>
        </row>
        <row r="1162">
          <cell r="A1162">
            <v>21887</v>
          </cell>
          <cell r="B1162" t="str">
            <v>ESMALTE SINTETICO ALUMINIO OPALESCENTE P/ RODAS BRAZILIAN-21,94-ST</v>
          </cell>
          <cell r="C1162">
            <v>64790</v>
          </cell>
          <cell r="D1162" t="str">
            <v>BRAZILIAN</v>
          </cell>
          <cell r="E1162">
            <v>40001</v>
          </cell>
          <cell r="F1162" t="str">
            <v>ESMALTES</v>
          </cell>
          <cell r="G1162" t="str">
            <v>INDUSTRIAL</v>
          </cell>
        </row>
        <row r="1163">
          <cell r="A1163">
            <v>20267</v>
          </cell>
          <cell r="B1163" t="str">
            <v>ESMALTE SINTETICO-ALUMINIO OPALESCENTE 900ML ANJO-21,46-ST</v>
          </cell>
          <cell r="C1163" t="str">
            <v>001667-23</v>
          </cell>
          <cell r="D1163" t="str">
            <v>ANJO</v>
          </cell>
          <cell r="E1163">
            <v>40001</v>
          </cell>
          <cell r="F1163" t="str">
            <v>ESMALTES</v>
          </cell>
          <cell r="G1163" t="str">
            <v>INDUSTRIAL</v>
          </cell>
        </row>
        <row r="1164">
          <cell r="A1164">
            <v>83784</v>
          </cell>
          <cell r="B1164" t="str">
            <v>ESMALTE SINTETICO-ALUMINIO OPALESCENTE P/ RODAS 900ML SKY-21,94-ST</v>
          </cell>
          <cell r="C1164">
            <v>411009300101</v>
          </cell>
          <cell r="D1164" t="str">
            <v>SKY</v>
          </cell>
          <cell r="E1164">
            <v>40001</v>
          </cell>
          <cell r="F1164" t="str">
            <v>ESMALTES</v>
          </cell>
          <cell r="G1164" t="str">
            <v>INDUSTRIAL</v>
          </cell>
        </row>
        <row r="1165">
          <cell r="A1165">
            <v>23850</v>
          </cell>
          <cell r="B1165" t="str">
            <v>ESMALTE SINTETICO-AMARELO CATERPILLAR 81 BRILHANTE 900ML ANJO-21,94-ST</v>
          </cell>
          <cell r="C1165" t="str">
            <v>000515-23</v>
          </cell>
          <cell r="D1165" t="str">
            <v>ANJO</v>
          </cell>
          <cell r="E1165">
            <v>40001</v>
          </cell>
          <cell r="F1165" t="str">
            <v>ESMALTES</v>
          </cell>
          <cell r="G1165" t="str">
            <v>INDUSTRIAL</v>
          </cell>
        </row>
        <row r="1166">
          <cell r="A1166">
            <v>23858</v>
          </cell>
          <cell r="B1166" t="str">
            <v>ESMALTE SINTETICO-AMARELO NEW HOLLAND 3,6L ANJO-21,46-ST</v>
          </cell>
          <cell r="C1166" t="str">
            <v>000739-27</v>
          </cell>
          <cell r="D1166" t="str">
            <v>ANJO</v>
          </cell>
          <cell r="E1166">
            <v>40001</v>
          </cell>
          <cell r="F1166" t="str">
            <v>ESMALTES</v>
          </cell>
          <cell r="G1166" t="str">
            <v>INDUSTRIAL</v>
          </cell>
        </row>
        <row r="1167">
          <cell r="A1167">
            <v>23857</v>
          </cell>
          <cell r="B1167" t="str">
            <v>ESMALTE SINTETICO-AMARELO NEW HOLLAND 900ML ANJO-21,46-ST</v>
          </cell>
          <cell r="C1167" t="str">
            <v>000739-23</v>
          </cell>
          <cell r="D1167" t="str">
            <v>ANJO</v>
          </cell>
          <cell r="E1167">
            <v>40001</v>
          </cell>
          <cell r="F1167" t="str">
            <v>ESMALTES</v>
          </cell>
          <cell r="G1167" t="str">
            <v>INDUSTRIAL</v>
          </cell>
        </row>
        <row r="1168">
          <cell r="A1168">
            <v>23912</v>
          </cell>
          <cell r="B1168" t="str">
            <v>ESMALTE SINTETICO-AMARELO VALMET 82 3,6L SKY-21,94-ST</v>
          </cell>
          <cell r="C1168">
            <v>710901430113</v>
          </cell>
          <cell r="D1168" t="str">
            <v>SKY</v>
          </cell>
          <cell r="E1168">
            <v>40001</v>
          </cell>
          <cell r="F1168" t="str">
            <v>ESMALTES</v>
          </cell>
          <cell r="G1168" t="str">
            <v>INDUSTRIAL</v>
          </cell>
        </row>
        <row r="1169">
          <cell r="A1169">
            <v>23856</v>
          </cell>
          <cell r="B1169" t="str">
            <v>ESMALTE SINTETICO-AZUL MBB 5497/97 3,6L ANJO-21,46-ST</v>
          </cell>
          <cell r="C1169" t="str">
            <v>000722-27</v>
          </cell>
          <cell r="D1169" t="str">
            <v>ANJO</v>
          </cell>
          <cell r="E1169">
            <v>40001</v>
          </cell>
          <cell r="F1169" t="str">
            <v>ESMALTES</v>
          </cell>
          <cell r="G1169" t="str">
            <v>INDUSTRIAL</v>
          </cell>
        </row>
        <row r="1170">
          <cell r="A1170">
            <v>23855</v>
          </cell>
          <cell r="B1170" t="str">
            <v>ESMALTE SINTETICO-AZUL MBB 5497/97 900ML ANJO-21,46-ST</v>
          </cell>
          <cell r="C1170" t="str">
            <v>000722-23</v>
          </cell>
          <cell r="D1170" t="str">
            <v>ANJO</v>
          </cell>
          <cell r="E1170">
            <v>40001</v>
          </cell>
          <cell r="F1170" t="str">
            <v>ESMALTES</v>
          </cell>
          <cell r="G1170" t="str">
            <v>INDUSTRIAL</v>
          </cell>
        </row>
        <row r="1171">
          <cell r="A1171">
            <v>23852</v>
          </cell>
          <cell r="B1171" t="str">
            <v>ESMALTE SINTETICO-AZUL MBB 5500 3,6L ANJO-21,94-ST</v>
          </cell>
          <cell r="C1171" t="str">
            <v>000516-27</v>
          </cell>
          <cell r="D1171" t="str">
            <v>ANJO</v>
          </cell>
          <cell r="E1171">
            <v>40001</v>
          </cell>
          <cell r="F1171" t="str">
            <v>ESMALTES</v>
          </cell>
          <cell r="G1171" t="str">
            <v>INDUSTRIAL</v>
          </cell>
        </row>
        <row r="1172">
          <cell r="A1172">
            <v>23860</v>
          </cell>
          <cell r="B1172" t="str">
            <v>ESMALTE SINTETICO-AZUL TRATOR FORD 3,6L ANJO-21,94-ST</v>
          </cell>
          <cell r="C1172" t="str">
            <v>000873-27</v>
          </cell>
          <cell r="D1172" t="str">
            <v>ANJO</v>
          </cell>
          <cell r="E1172">
            <v>40001</v>
          </cell>
          <cell r="F1172" t="str">
            <v>ESMALTES</v>
          </cell>
          <cell r="G1172" t="str">
            <v>INDUSTRIAL</v>
          </cell>
        </row>
        <row r="1173">
          <cell r="A1173">
            <v>23859</v>
          </cell>
          <cell r="B1173" t="str">
            <v>ESMALTE SINTETICO-AZUL TRATOR FORD 900ML ANJO-21,46-ST</v>
          </cell>
          <cell r="C1173" t="str">
            <v>000873-23</v>
          </cell>
          <cell r="D1173" t="str">
            <v>ANJO</v>
          </cell>
          <cell r="E1173">
            <v>40001</v>
          </cell>
          <cell r="F1173" t="str">
            <v>ESMALTES</v>
          </cell>
          <cell r="G1173" t="str">
            <v>INDUSTRIAL</v>
          </cell>
        </row>
        <row r="1174">
          <cell r="A1174">
            <v>23854</v>
          </cell>
          <cell r="B1174" t="str">
            <v>ESMALTE SINTETICO-BRANCO PURO 3,6L ANJO-21,45-ST</v>
          </cell>
          <cell r="C1174" t="str">
            <v>000543-27</v>
          </cell>
          <cell r="D1174" t="str">
            <v>ANJO</v>
          </cell>
          <cell r="E1174">
            <v>40001</v>
          </cell>
          <cell r="F1174" t="str">
            <v>ESMALTES</v>
          </cell>
          <cell r="G1174" t="str">
            <v>INDUSTRIAL</v>
          </cell>
        </row>
        <row r="1175">
          <cell r="A1175">
            <v>24236</v>
          </cell>
          <cell r="B1175" t="str">
            <v>ESMALTE SINTETICO-BRANCO PURO 3,6L SKY-21,94-ST</v>
          </cell>
          <cell r="C1175">
            <v>410009500113</v>
          </cell>
          <cell r="D1175" t="str">
            <v>SKY</v>
          </cell>
          <cell r="E1175">
            <v>40001</v>
          </cell>
          <cell r="F1175" t="str">
            <v>ESMALTES</v>
          </cell>
          <cell r="G1175" t="str">
            <v>INDUSTRIAL</v>
          </cell>
        </row>
        <row r="1176">
          <cell r="A1176">
            <v>21414</v>
          </cell>
          <cell r="B1176" t="str">
            <v>ESMALTE SINTETICO-BRANCO PURO 900ML ANJO-21,94-ST</v>
          </cell>
          <cell r="C1176" t="str">
            <v>000851-23</v>
          </cell>
          <cell r="D1176" t="str">
            <v>.</v>
          </cell>
          <cell r="E1176">
            <v>40001</v>
          </cell>
          <cell r="F1176" t="str">
            <v>ESMALTES</v>
          </cell>
          <cell r="G1176" t="str">
            <v>INDUSTRIAL</v>
          </cell>
        </row>
        <row r="1177">
          <cell r="A1177">
            <v>23853</v>
          </cell>
          <cell r="B1177" t="str">
            <v>ESMALTE SINTETICO-BRANCO PURO 900ML ANJO-21,94-ST</v>
          </cell>
          <cell r="C1177" t="str">
            <v>000543-23</v>
          </cell>
          <cell r="D1177" t="str">
            <v>ANJO</v>
          </cell>
          <cell r="E1177">
            <v>40001</v>
          </cell>
          <cell r="F1177" t="str">
            <v>ESMALTES</v>
          </cell>
          <cell r="G1177" t="str">
            <v>INDUSTRIAL</v>
          </cell>
        </row>
        <row r="1178">
          <cell r="A1178">
            <v>24237</v>
          </cell>
          <cell r="B1178" t="str">
            <v>ESMALTE SINTETICO-BRANCO PURO 900ML SKY-21,94-ST</v>
          </cell>
          <cell r="C1178">
            <v>410009500101</v>
          </cell>
          <cell r="D1178" t="str">
            <v>SKY</v>
          </cell>
          <cell r="E1178">
            <v>40001</v>
          </cell>
          <cell r="F1178" t="str">
            <v>ESMALTES</v>
          </cell>
          <cell r="G1178" t="str">
            <v>INDUSTRIAL</v>
          </cell>
        </row>
        <row r="1179">
          <cell r="A1179">
            <v>85027</v>
          </cell>
          <cell r="B1179" t="str">
            <v>ESMALTE SINTETICO-CINZA MASSEY FERGUSON 900ML ANJO-21,46-ST</v>
          </cell>
          <cell r="C1179" t="str">
            <v>000872-23</v>
          </cell>
          <cell r="D1179" t="str">
            <v>ANJO</v>
          </cell>
          <cell r="E1179">
            <v>40001</v>
          </cell>
          <cell r="F1179" t="str">
            <v>ESMALTES</v>
          </cell>
          <cell r="G1179" t="str">
            <v>INDUSTRIAL</v>
          </cell>
        </row>
        <row r="1180">
          <cell r="A1180">
            <v>85026</v>
          </cell>
          <cell r="B1180" t="str">
            <v>ESMALTE SINTETICO-CINZA SCANIA 94 3,6L ANJO-21,94-ST</v>
          </cell>
          <cell r="C1180" t="str">
            <v>001658-27</v>
          </cell>
          <cell r="D1180" t="str">
            <v>ANJO</v>
          </cell>
          <cell r="E1180">
            <v>40001</v>
          </cell>
          <cell r="F1180" t="str">
            <v>ESMALTES</v>
          </cell>
          <cell r="G1180" t="str">
            <v>INDUSTRIAL</v>
          </cell>
        </row>
        <row r="1181">
          <cell r="A1181">
            <v>84938</v>
          </cell>
          <cell r="B1181" t="str">
            <v>ESMALTE SINTETICO-CINZA SCANIA 94 900ML ANJO-21,94-ST</v>
          </cell>
          <cell r="C1181" t="str">
            <v>001658-23</v>
          </cell>
          <cell r="D1181" t="str">
            <v>ANJO</v>
          </cell>
          <cell r="E1181">
            <v>40001</v>
          </cell>
          <cell r="F1181" t="str">
            <v>ESMALTES</v>
          </cell>
          <cell r="G1181" t="str">
            <v>INDUSTRIAL</v>
          </cell>
        </row>
        <row r="1182">
          <cell r="A1182">
            <v>21236</v>
          </cell>
          <cell r="B1182" t="str">
            <v>ESMALTE SINTETICO-CINZA SUB GRAY 3,6L ANJO-21,46-ST</v>
          </cell>
          <cell r="C1182" t="str">
            <v>000968-27</v>
          </cell>
          <cell r="D1182" t="str">
            <v>ANJO</v>
          </cell>
          <cell r="E1182">
            <v>40001</v>
          </cell>
          <cell r="F1182" t="str">
            <v>ESMALTES</v>
          </cell>
          <cell r="G1182" t="str">
            <v>INDUSTRIAL</v>
          </cell>
        </row>
        <row r="1183">
          <cell r="A1183">
            <v>23861</v>
          </cell>
          <cell r="B1183" t="str">
            <v>ESMALTE SINTETICO-CINZA SUB GRAY 900ML ANJO-21,93-ST</v>
          </cell>
          <cell r="C1183" t="str">
            <v>000968-23</v>
          </cell>
          <cell r="D1183" t="str">
            <v>ANJO</v>
          </cell>
          <cell r="E1183">
            <v>40001</v>
          </cell>
          <cell r="F1183" t="str">
            <v>ESMALTES</v>
          </cell>
          <cell r="G1183" t="str">
            <v>INDUSTRIAL</v>
          </cell>
        </row>
        <row r="1184">
          <cell r="A1184">
            <v>23844</v>
          </cell>
          <cell r="B1184" t="str">
            <v>ESMALTE SINTETICO-CINZA TRATOR FORD 3,6L ANJO-21,46-ST</v>
          </cell>
          <cell r="C1184" t="str">
            <v>015348-27</v>
          </cell>
          <cell r="D1184" t="str">
            <v>ANJO</v>
          </cell>
          <cell r="E1184">
            <v>40001</v>
          </cell>
          <cell r="F1184" t="str">
            <v>ESMALTES</v>
          </cell>
          <cell r="G1184" t="str">
            <v>INDUSTRIAL</v>
          </cell>
        </row>
        <row r="1185">
          <cell r="A1185">
            <v>23843</v>
          </cell>
          <cell r="B1185" t="str">
            <v>ESMALTE SINTETICO-CINZA TRATOR FORD 900ML ANJO-21,92-ST</v>
          </cell>
          <cell r="C1185" t="str">
            <v>015348-23</v>
          </cell>
          <cell r="D1185" t="str">
            <v>ANJO</v>
          </cell>
          <cell r="E1185">
            <v>40001</v>
          </cell>
          <cell r="F1185" t="str">
            <v>ESMALTES</v>
          </cell>
          <cell r="G1185" t="str">
            <v>INDUSTRIAL</v>
          </cell>
        </row>
        <row r="1186">
          <cell r="A1186">
            <v>83812</v>
          </cell>
          <cell r="B1186" t="str">
            <v>ESMALTE SINTETICO-LARANJA JACTO 3,6L ANJO-21,46-ST</v>
          </cell>
          <cell r="C1186" t="str">
            <v>000957-27</v>
          </cell>
          <cell r="D1186" t="str">
            <v>ANJO</v>
          </cell>
          <cell r="E1186">
            <v>40001</v>
          </cell>
          <cell r="F1186" t="str">
            <v>ESMALTES</v>
          </cell>
          <cell r="G1186" t="str">
            <v>INDUSTRIAL</v>
          </cell>
        </row>
        <row r="1187">
          <cell r="A1187">
            <v>83813</v>
          </cell>
          <cell r="B1187" t="str">
            <v>ESMALTE SINTETICO-LARANJA JACTO 900ML ANJO-21,94-ST</v>
          </cell>
          <cell r="C1187" t="str">
            <v>000957-23</v>
          </cell>
          <cell r="D1187" t="str">
            <v>ANJO</v>
          </cell>
          <cell r="E1187">
            <v>40001</v>
          </cell>
          <cell r="F1187" t="str">
            <v>ESMALTES</v>
          </cell>
          <cell r="G1187" t="str">
            <v>INDUSTRIAL</v>
          </cell>
        </row>
        <row r="1188">
          <cell r="A1188">
            <v>85092</v>
          </cell>
          <cell r="B1188" t="str">
            <v>ESMALTE SINTETICO-LARANJA SCANIA 81 900ML SKY-21,94-ST</v>
          </cell>
          <cell r="C1188">
            <v>41000981</v>
          </cell>
          <cell r="D1188" t="str">
            <v>SKY</v>
          </cell>
          <cell r="E1188">
            <v>40001</v>
          </cell>
          <cell r="F1188" t="str">
            <v>ESMALTES</v>
          </cell>
          <cell r="G1188" t="str">
            <v>INDUSTRIAL</v>
          </cell>
        </row>
        <row r="1189">
          <cell r="A1189">
            <v>23864</v>
          </cell>
          <cell r="B1189" t="str">
            <v>ESMALTE SINTETICO-MUNSELL 5Y 8/12 AMARELO SEGURANÇA 3,6L ANJO</v>
          </cell>
          <cell r="C1189" t="str">
            <v>001041-27</v>
          </cell>
          <cell r="D1189" t="str">
            <v>ANJO</v>
          </cell>
          <cell r="E1189">
            <v>40001</v>
          </cell>
          <cell r="F1189" t="str">
            <v>ESMALTES</v>
          </cell>
          <cell r="G1189" t="str">
            <v>INDUSTRIAL</v>
          </cell>
        </row>
        <row r="1190">
          <cell r="A1190">
            <v>23863</v>
          </cell>
          <cell r="B1190" t="str">
            <v>ESMALTE SINTETICO-MUNSELL 5Y 8/12 AMARELO SEGURANÇA 900ML ANJO-2</v>
          </cell>
          <cell r="C1190" t="str">
            <v>001041-23</v>
          </cell>
          <cell r="D1190" t="str">
            <v>ANJO</v>
          </cell>
          <cell r="E1190">
            <v>40001</v>
          </cell>
          <cell r="F1190" t="str">
            <v>ESMALTES</v>
          </cell>
          <cell r="G1190" t="str">
            <v>INDUSTRIAL</v>
          </cell>
        </row>
        <row r="1191">
          <cell r="A1191">
            <v>23849</v>
          </cell>
          <cell r="B1191" t="str">
            <v>ESMALTE SINTETICO-PRETO CADILAC 3,6L-21,94-ST</v>
          </cell>
          <cell r="C1191" t="str">
            <v>000350-27</v>
          </cell>
          <cell r="D1191" t="str">
            <v>ANJO</v>
          </cell>
          <cell r="E1191">
            <v>40001</v>
          </cell>
          <cell r="F1191" t="str">
            <v>ESMALTES</v>
          </cell>
          <cell r="G1191" t="str">
            <v>INDUSTRIAL</v>
          </cell>
        </row>
        <row r="1192">
          <cell r="A1192">
            <v>23841</v>
          </cell>
          <cell r="B1192" t="str">
            <v>ESMALTE SINTETICO-PRETO CHASSIS SEMI-BRILHO 3,6L ANJO-21,46-ST</v>
          </cell>
          <cell r="C1192" t="str">
            <v>001657-27</v>
          </cell>
          <cell r="D1192" t="str">
            <v>ANJO</v>
          </cell>
          <cell r="E1192">
            <v>40001</v>
          </cell>
          <cell r="F1192" t="str">
            <v>ESMALTES</v>
          </cell>
          <cell r="G1192" t="str">
            <v>INDUSTRIAL</v>
          </cell>
        </row>
        <row r="1193">
          <cell r="A1193">
            <v>23840</v>
          </cell>
          <cell r="B1193" t="str">
            <v>ESMALTE SINTETICO-PRETO CHASSIS SEMI-BRILHO 900ML ANJO-21,45-ST</v>
          </cell>
          <cell r="C1193" t="str">
            <v>001657-23</v>
          </cell>
          <cell r="D1193" t="str">
            <v>ANJO</v>
          </cell>
          <cell r="E1193">
            <v>40001</v>
          </cell>
          <cell r="F1193" t="str">
            <v>ESMALTES</v>
          </cell>
          <cell r="G1193" t="str">
            <v>INDUSTRIAL</v>
          </cell>
        </row>
        <row r="1194">
          <cell r="A1194">
            <v>10322</v>
          </cell>
          <cell r="B1194" t="str">
            <v>ESMALTE SINTETICO-PRETO FOSCO 900ML ANJO-21,94-ST</v>
          </cell>
          <cell r="C1194" t="str">
            <v>893-23</v>
          </cell>
          <cell r="D1194" t="str">
            <v>ANJO</v>
          </cell>
          <cell r="E1194">
            <v>40001</v>
          </cell>
          <cell r="F1194" t="str">
            <v>ESMALTES</v>
          </cell>
          <cell r="G1194" t="str">
            <v>INDUSTRIAL</v>
          </cell>
        </row>
        <row r="1195">
          <cell r="A1195">
            <v>23846</v>
          </cell>
          <cell r="B1195" t="str">
            <v>ESMALTE SINTETICO-VERDE JOHN DEERE 2000 3,6L ANJO-21,46-ST</v>
          </cell>
          <cell r="C1195" t="str">
            <v>021937-27</v>
          </cell>
          <cell r="D1195" t="str">
            <v>ANJO</v>
          </cell>
          <cell r="E1195">
            <v>40001</v>
          </cell>
          <cell r="F1195" t="str">
            <v>ESMALTES</v>
          </cell>
          <cell r="G1195" t="str">
            <v>INDUSTRIAL</v>
          </cell>
        </row>
        <row r="1196">
          <cell r="A1196">
            <v>23845</v>
          </cell>
          <cell r="B1196" t="str">
            <v>ESMALTE SINTETICO-VERDE JOHN DEERE 2000 900ML ANJO-21,94-ST</v>
          </cell>
          <cell r="C1196" t="str">
            <v>021937-23</v>
          </cell>
          <cell r="D1196" t="str">
            <v>ANJO</v>
          </cell>
          <cell r="E1196">
            <v>40001</v>
          </cell>
          <cell r="F1196" t="str">
            <v>ESMALTES</v>
          </cell>
          <cell r="G1196" t="str">
            <v>INDUSTRIAL</v>
          </cell>
        </row>
        <row r="1197">
          <cell r="A1197">
            <v>23848</v>
          </cell>
          <cell r="B1197" t="str">
            <v>ESMALTE SINTETICO-VERDE SLC 3,6L ANJO-21,94-ST</v>
          </cell>
          <cell r="C1197" t="str">
            <v>000349-27</v>
          </cell>
          <cell r="D1197" t="str">
            <v>ANJO</v>
          </cell>
          <cell r="E1197">
            <v>40001</v>
          </cell>
          <cell r="F1197" t="str">
            <v>ESMALTES</v>
          </cell>
          <cell r="G1197" t="str">
            <v>INDUSTRIAL</v>
          </cell>
        </row>
        <row r="1198">
          <cell r="A1198">
            <v>23847</v>
          </cell>
          <cell r="B1198" t="str">
            <v>ESMALTE SINTETICO-VERDE SLC 900ML ANJO-21,94-ST</v>
          </cell>
          <cell r="C1198" t="str">
            <v>000349-23</v>
          </cell>
          <cell r="D1198" t="str">
            <v>ANJO</v>
          </cell>
          <cell r="E1198">
            <v>40001</v>
          </cell>
          <cell r="F1198" t="str">
            <v>ESMALTES</v>
          </cell>
          <cell r="G1198" t="str">
            <v>INDUSTRIAL</v>
          </cell>
        </row>
        <row r="1199">
          <cell r="A1199">
            <v>23839</v>
          </cell>
          <cell r="B1199" t="str">
            <v>ESMALTE SINTETICO-VERMELHO MASSEY FERGUSON 3,6L ANJO-21,45-S</v>
          </cell>
          <cell r="C1199" t="str">
            <v>001649-27</v>
          </cell>
          <cell r="D1199" t="str">
            <v>ANJO</v>
          </cell>
          <cell r="E1199">
            <v>40001</v>
          </cell>
          <cell r="F1199" t="str">
            <v>ESMALTES</v>
          </cell>
          <cell r="G1199" t="str">
            <v>INDUSTRIAL</v>
          </cell>
        </row>
        <row r="1200">
          <cell r="A1200">
            <v>23838</v>
          </cell>
          <cell r="B1200" t="str">
            <v>ESMALTE SINTETICO-VERMELHO MASSEY FERGUSON 900ML ANJO-21,46-ST</v>
          </cell>
          <cell r="C1200" t="str">
            <v>001649-23</v>
          </cell>
          <cell r="D1200" t="str">
            <v>ANJO</v>
          </cell>
          <cell r="E1200">
            <v>40001</v>
          </cell>
          <cell r="F1200" t="str">
            <v>ESMALTES</v>
          </cell>
          <cell r="G1200" t="str">
            <v>INDUSTRIAL</v>
          </cell>
        </row>
        <row r="1201">
          <cell r="A1201">
            <v>84079</v>
          </cell>
          <cell r="B1201" t="str">
            <v>GALVALUMI-BRANCO 3,6L BRASILUX</v>
          </cell>
          <cell r="C1201" t="str">
            <v>GL 010500702</v>
          </cell>
          <cell r="D1201" t="str">
            <v>BRASILUX</v>
          </cell>
          <cell r="E1201">
            <v>40001</v>
          </cell>
          <cell r="F1201" t="str">
            <v>ESMALTES</v>
          </cell>
          <cell r="G1201" t="str">
            <v>INDUSTRIAL</v>
          </cell>
        </row>
        <row r="1202">
          <cell r="A1202">
            <v>84080</v>
          </cell>
          <cell r="B1202" t="str">
            <v>GALVALUMI-BRANCO 900ML BRASILUX</v>
          </cell>
          <cell r="C1202" t="str">
            <v>GL 010500701</v>
          </cell>
          <cell r="D1202" t="str">
            <v>BRASILUX</v>
          </cell>
          <cell r="E1202">
            <v>40001</v>
          </cell>
          <cell r="F1202" t="str">
            <v>ESMALTES</v>
          </cell>
          <cell r="G1202" t="str">
            <v>INDUSTRIAL</v>
          </cell>
        </row>
        <row r="1203">
          <cell r="A1203">
            <v>84081</v>
          </cell>
          <cell r="B1203" t="str">
            <v>GALVALUMI-CINZA N6.5 CLARO 3,6L BRASILUX</v>
          </cell>
          <cell r="C1203" t="str">
            <v>GL 010601702</v>
          </cell>
          <cell r="D1203" t="str">
            <v>BRASILUX</v>
          </cell>
          <cell r="E1203">
            <v>40001</v>
          </cell>
          <cell r="F1203" t="str">
            <v>ESMALTES</v>
          </cell>
          <cell r="G1203" t="str">
            <v>INDUSTRIAL</v>
          </cell>
        </row>
        <row r="1204">
          <cell r="A1204">
            <v>84082</v>
          </cell>
          <cell r="B1204" t="str">
            <v>GALVALUMI-CINZA N6.5 CLARO 900ML BRASILUX</v>
          </cell>
          <cell r="C1204" t="str">
            <v>GL 010601701</v>
          </cell>
          <cell r="D1204" t="str">
            <v>BRASILUX</v>
          </cell>
          <cell r="E1204">
            <v>40001</v>
          </cell>
          <cell r="F1204" t="str">
            <v>ESMALTES</v>
          </cell>
          <cell r="G1204" t="str">
            <v>INDUSTRIAL</v>
          </cell>
        </row>
        <row r="1205">
          <cell r="A1205">
            <v>85077</v>
          </cell>
          <cell r="B1205" t="str">
            <v>GALVBRAS-BRANCO 18L BRASILUX</v>
          </cell>
          <cell r="C1205" t="str">
            <v>GB 010500703</v>
          </cell>
          <cell r="D1205" t="str">
            <v>BRASILUX</v>
          </cell>
          <cell r="E1205">
            <v>40001</v>
          </cell>
          <cell r="F1205" t="str">
            <v>ESMALTES</v>
          </cell>
          <cell r="G1205" t="str">
            <v>INDUSTRIAL</v>
          </cell>
        </row>
        <row r="1206">
          <cell r="A1206">
            <v>84209</v>
          </cell>
          <cell r="B1206" t="str">
            <v>GALVBRAS-BRANCO 3,6L BRASILUX</v>
          </cell>
          <cell r="C1206" t="str">
            <v>GB 010500702</v>
          </cell>
          <cell r="D1206" t="str">
            <v>BRASILUX</v>
          </cell>
          <cell r="E1206">
            <v>40001</v>
          </cell>
          <cell r="F1206" t="str">
            <v>ESMALTES</v>
          </cell>
          <cell r="G1206" t="str">
            <v>INDUSTRIAL</v>
          </cell>
        </row>
        <row r="1207">
          <cell r="A1207">
            <v>84211</v>
          </cell>
          <cell r="B1207" t="str">
            <v>GALVBRAS-BRANCO 900ML BRASILUX</v>
          </cell>
          <cell r="C1207" t="str">
            <v>GB 010500701</v>
          </cell>
          <cell r="D1207" t="str">
            <v>BRASILUX</v>
          </cell>
          <cell r="E1207">
            <v>40001</v>
          </cell>
          <cell r="F1207" t="str">
            <v>ESMALTES</v>
          </cell>
          <cell r="G1207" t="str">
            <v>INDUSTRIAL</v>
          </cell>
        </row>
        <row r="1208">
          <cell r="A1208">
            <v>84210</v>
          </cell>
          <cell r="B1208" t="str">
            <v>GALVBRAS-CINZA N6 3,6L BRASILUX</v>
          </cell>
          <cell r="C1208" t="str">
            <v>GB 010617602</v>
          </cell>
          <cell r="D1208" t="str">
            <v>BRASILUX</v>
          </cell>
          <cell r="E1208">
            <v>40001</v>
          </cell>
          <cell r="F1208" t="str">
            <v>ESMALTES</v>
          </cell>
          <cell r="G1208" t="str">
            <v>INDUSTRIAL</v>
          </cell>
        </row>
        <row r="1209">
          <cell r="A1209">
            <v>84212</v>
          </cell>
          <cell r="B1209" t="str">
            <v>GALVBRAS-CINZA N6 900ML BRASILUX</v>
          </cell>
          <cell r="C1209" t="str">
            <v>GB 010617601</v>
          </cell>
          <cell r="D1209" t="str">
            <v>BRASILUX</v>
          </cell>
          <cell r="E1209">
            <v>40001</v>
          </cell>
          <cell r="F1209" t="str">
            <v>ESMALTES</v>
          </cell>
          <cell r="G1209" t="str">
            <v>INDUSTRIAL</v>
          </cell>
        </row>
        <row r="1210">
          <cell r="A1210">
            <v>85737</v>
          </cell>
          <cell r="B1210" t="str">
            <v>GALVFORT CINZA TRATOR 3,6L BRASILUX</v>
          </cell>
          <cell r="D1210" t="str">
            <v>BRASILUX</v>
          </cell>
          <cell r="E1210">
            <v>40001</v>
          </cell>
          <cell r="F1210" t="str">
            <v>ESMALTES</v>
          </cell>
          <cell r="G1210" t="str">
            <v>INDUSTRIAL</v>
          </cell>
        </row>
        <row r="1211">
          <cell r="A1211">
            <v>85300</v>
          </cell>
          <cell r="B1211" t="str">
            <v>GALVFORT-BRANCO PURO N9,5 3,6L BRASILUX</v>
          </cell>
          <cell r="C1211" t="str">
            <v>GL 720504702</v>
          </cell>
          <cell r="D1211" t="str">
            <v>BRASILUX</v>
          </cell>
          <cell r="E1211">
            <v>40001</v>
          </cell>
          <cell r="F1211" t="str">
            <v>ESMALTES</v>
          </cell>
          <cell r="G1211" t="str">
            <v>INDUSTRIAL</v>
          </cell>
        </row>
        <row r="1212">
          <cell r="A1212">
            <v>85243</v>
          </cell>
          <cell r="B1212" t="str">
            <v>GALVFORT-CINZA N6,5 CLARO 3,6L BRASILUX</v>
          </cell>
          <cell r="C1212" t="str">
            <v>GL 720601702</v>
          </cell>
          <cell r="D1212" t="str">
            <v>BRASILUX</v>
          </cell>
          <cell r="E1212">
            <v>40001</v>
          </cell>
          <cell r="F1212" t="str">
            <v>ESMALTES</v>
          </cell>
          <cell r="G1212" t="str">
            <v>INDUSTRIAL</v>
          </cell>
        </row>
        <row r="1213">
          <cell r="A1213">
            <v>85288</v>
          </cell>
          <cell r="B1213" t="str">
            <v>GALVFORT-PRETO N1 18L BRASILUX</v>
          </cell>
          <cell r="C1213" t="str">
            <v>GL 721500003</v>
          </cell>
          <cell r="D1213" t="str">
            <v>BRASILUX</v>
          </cell>
          <cell r="E1213">
            <v>40001</v>
          </cell>
          <cell r="F1213" t="str">
            <v>ESMALTES</v>
          </cell>
          <cell r="G1213" t="str">
            <v>INDUSTRIAL</v>
          </cell>
        </row>
        <row r="1214">
          <cell r="A1214">
            <v>85287</v>
          </cell>
          <cell r="B1214" t="str">
            <v>GALVFORT-PRETO N1 3,6L BRASILUX</v>
          </cell>
          <cell r="C1214" t="str">
            <v>GL 721500102</v>
          </cell>
          <cell r="D1214" t="str">
            <v>BRASILUX</v>
          </cell>
          <cell r="E1214">
            <v>40001</v>
          </cell>
          <cell r="F1214" t="str">
            <v>ESMALTES</v>
          </cell>
          <cell r="G1214" t="str">
            <v>INDUSTRIAL</v>
          </cell>
        </row>
        <row r="1215">
          <cell r="A1215">
            <v>84003</v>
          </cell>
          <cell r="B1215" t="str">
            <v>GARRAFA PET 250 ML</v>
          </cell>
          <cell r="C1215">
            <v>123</v>
          </cell>
          <cell r="D1215" t="str">
            <v>.</v>
          </cell>
          <cell r="E1215">
            <v>40001</v>
          </cell>
          <cell r="F1215" t="str">
            <v>ESMALTES</v>
          </cell>
          <cell r="G1215" t="str">
            <v>INDUSTRIAL</v>
          </cell>
        </row>
        <row r="1216">
          <cell r="A1216">
            <v>84004</v>
          </cell>
          <cell r="B1216" t="str">
            <v>GARRAFA PET 500 ML</v>
          </cell>
          <cell r="C1216">
            <v>204</v>
          </cell>
          <cell r="D1216" t="str">
            <v>.</v>
          </cell>
          <cell r="E1216">
            <v>40001</v>
          </cell>
          <cell r="F1216" t="str">
            <v>ESMALTES</v>
          </cell>
          <cell r="G1216" t="str">
            <v>INDUSTRIAL</v>
          </cell>
        </row>
        <row r="1217">
          <cell r="A1217">
            <v>86053</v>
          </cell>
          <cell r="B1217" t="str">
            <v>HY HAMMERITE BR AMARELO 2.4 L</v>
          </cell>
          <cell r="C1217">
            <v>5202882</v>
          </cell>
          <cell r="D1217" t="str">
            <v>HAMMERITE</v>
          </cell>
          <cell r="E1217">
            <v>40001</v>
          </cell>
          <cell r="F1217" t="str">
            <v>ESMALTES</v>
          </cell>
          <cell r="G1217" t="str">
            <v>INDUSTRIAL</v>
          </cell>
        </row>
        <row r="1218">
          <cell r="A1218">
            <v>86052</v>
          </cell>
          <cell r="B1218" t="str">
            <v>HY HAMMERITE BR AZUL 2.4 L</v>
          </cell>
          <cell r="C1218">
            <v>5202880</v>
          </cell>
          <cell r="D1218" t="str">
            <v>HAMMERITE</v>
          </cell>
          <cell r="E1218">
            <v>40001</v>
          </cell>
          <cell r="F1218" t="str">
            <v>ESMALTES</v>
          </cell>
          <cell r="G1218" t="str">
            <v>INDUSTRIAL</v>
          </cell>
        </row>
        <row r="1219">
          <cell r="A1219">
            <v>86045</v>
          </cell>
          <cell r="B1219" t="str">
            <v>HY HAMMERITE BR BRANCO 2.4 L</v>
          </cell>
          <cell r="C1219">
            <v>5202872</v>
          </cell>
          <cell r="D1219" t="str">
            <v>HAMMERITE</v>
          </cell>
          <cell r="E1219">
            <v>40001</v>
          </cell>
          <cell r="F1219" t="str">
            <v>ESMALTES</v>
          </cell>
          <cell r="G1219" t="str">
            <v>INDUSTRIAL</v>
          </cell>
        </row>
        <row r="1220">
          <cell r="A1220">
            <v>86044</v>
          </cell>
          <cell r="B1220" t="str">
            <v>HY HAMMERITE BR BRANCO 800ML</v>
          </cell>
          <cell r="C1220">
            <v>5202871</v>
          </cell>
          <cell r="D1220" t="str">
            <v>HAMMERITE</v>
          </cell>
          <cell r="E1220">
            <v>40001</v>
          </cell>
          <cell r="F1220" t="str">
            <v>ESMALTES</v>
          </cell>
          <cell r="G1220" t="str">
            <v>INDUSTRIAL</v>
          </cell>
        </row>
        <row r="1221">
          <cell r="A1221">
            <v>86049</v>
          </cell>
          <cell r="B1221" t="str">
            <v>HY HAMMERITE BR CINZA 2.4 L</v>
          </cell>
          <cell r="C1221">
            <v>5202876</v>
          </cell>
          <cell r="D1221" t="str">
            <v>HAMMERITE</v>
          </cell>
          <cell r="E1221">
            <v>40001</v>
          </cell>
          <cell r="F1221" t="str">
            <v>ESMALTES</v>
          </cell>
          <cell r="G1221" t="str">
            <v>INDUSTRIAL</v>
          </cell>
        </row>
        <row r="1222">
          <cell r="A1222">
            <v>86048</v>
          </cell>
          <cell r="B1222" t="str">
            <v>HY HAMMERITE BR CINZA 800ML</v>
          </cell>
          <cell r="C1222">
            <v>5202875</v>
          </cell>
          <cell r="D1222" t="str">
            <v>HAMMERITE</v>
          </cell>
          <cell r="E1222">
            <v>40001</v>
          </cell>
          <cell r="F1222" t="str">
            <v>ESMALTES</v>
          </cell>
          <cell r="G1222" t="str">
            <v>INDUSTRIAL</v>
          </cell>
        </row>
        <row r="1223">
          <cell r="A1223">
            <v>86057</v>
          </cell>
          <cell r="B1223" t="str">
            <v>HY HAMMERITE BR MARROM 2.4 L</v>
          </cell>
          <cell r="C1223">
            <v>5202886</v>
          </cell>
          <cell r="D1223" t="str">
            <v>HAMMERITE</v>
          </cell>
          <cell r="E1223">
            <v>40001</v>
          </cell>
          <cell r="F1223" t="str">
            <v>ESMALTES</v>
          </cell>
          <cell r="G1223" t="str">
            <v>INDUSTRIAL</v>
          </cell>
        </row>
        <row r="1224">
          <cell r="A1224">
            <v>86056</v>
          </cell>
          <cell r="B1224" t="str">
            <v>HY HAMMERITE BR MARROM 800ML</v>
          </cell>
          <cell r="C1224">
            <v>5202885</v>
          </cell>
          <cell r="D1224" t="str">
            <v>HAMMERITE</v>
          </cell>
          <cell r="E1224">
            <v>40001</v>
          </cell>
          <cell r="F1224" t="str">
            <v>ESMALTES</v>
          </cell>
          <cell r="G1224" t="str">
            <v>INDUSTRIAL</v>
          </cell>
        </row>
        <row r="1225">
          <cell r="A1225">
            <v>86182</v>
          </cell>
          <cell r="B1225" t="str">
            <v>HY HAMMERITE BR OURO 2.4 L</v>
          </cell>
          <cell r="C1225">
            <v>5209166</v>
          </cell>
          <cell r="D1225" t="str">
            <v>HAMMERITE</v>
          </cell>
          <cell r="E1225">
            <v>40001</v>
          </cell>
          <cell r="F1225" t="str">
            <v>ESMALTES</v>
          </cell>
          <cell r="G1225" t="str">
            <v>INDUSTRIAL</v>
          </cell>
        </row>
        <row r="1226">
          <cell r="A1226">
            <v>86183</v>
          </cell>
          <cell r="B1226" t="str">
            <v>HY HAMMERITE BR OURO 800ML</v>
          </cell>
          <cell r="C1226">
            <v>5209167</v>
          </cell>
          <cell r="D1226" t="str">
            <v>HAMMERITE</v>
          </cell>
          <cell r="E1226">
            <v>40001</v>
          </cell>
          <cell r="F1226" t="str">
            <v>ESMALTES</v>
          </cell>
          <cell r="G1226" t="str">
            <v>INDUSTRIAL</v>
          </cell>
        </row>
        <row r="1227">
          <cell r="A1227">
            <v>86051</v>
          </cell>
          <cell r="B1227" t="str">
            <v>HY HAMMERITE BR PRATA 2.4 L</v>
          </cell>
          <cell r="C1227">
            <v>5202878</v>
          </cell>
          <cell r="D1227" t="str">
            <v>HAMMERITE</v>
          </cell>
          <cell r="E1227">
            <v>40001</v>
          </cell>
          <cell r="F1227" t="str">
            <v>ESMALTES</v>
          </cell>
          <cell r="G1227" t="str">
            <v>INDUSTRIAL</v>
          </cell>
        </row>
        <row r="1228">
          <cell r="A1228">
            <v>86050</v>
          </cell>
          <cell r="B1228" t="str">
            <v>HY HAMMERITE BR PRATA 800ML</v>
          </cell>
          <cell r="C1228">
            <v>5202877</v>
          </cell>
          <cell r="D1228" t="str">
            <v>HAMMERITE</v>
          </cell>
          <cell r="E1228">
            <v>40001</v>
          </cell>
          <cell r="F1228" t="str">
            <v>ESMALTES</v>
          </cell>
          <cell r="G1228" t="str">
            <v>INDUSTRIAL</v>
          </cell>
        </row>
        <row r="1229">
          <cell r="A1229">
            <v>86047</v>
          </cell>
          <cell r="B1229" t="str">
            <v>HY HAMMERITE BR PRETO 2.4 L</v>
          </cell>
          <cell r="C1229">
            <v>5202874</v>
          </cell>
          <cell r="D1229" t="str">
            <v>HAMMERITE</v>
          </cell>
          <cell r="E1229">
            <v>40001</v>
          </cell>
          <cell r="F1229" t="str">
            <v>ESMALTES</v>
          </cell>
          <cell r="G1229" t="str">
            <v>INDUSTRIAL</v>
          </cell>
        </row>
        <row r="1230">
          <cell r="A1230">
            <v>86046</v>
          </cell>
          <cell r="B1230" t="str">
            <v>HY HAMMERITE BR PRETO 800ML</v>
          </cell>
          <cell r="C1230">
            <v>5202873</v>
          </cell>
          <cell r="D1230" t="str">
            <v>HAMMERITE</v>
          </cell>
          <cell r="E1230">
            <v>40001</v>
          </cell>
          <cell r="F1230" t="str">
            <v>ESMALTES</v>
          </cell>
          <cell r="G1230" t="str">
            <v>INDUSTRIAL</v>
          </cell>
        </row>
        <row r="1231">
          <cell r="A1231">
            <v>86055</v>
          </cell>
          <cell r="B1231" t="str">
            <v>HY HAMMERITE BR VERDE 2.4 L</v>
          </cell>
          <cell r="C1231">
            <v>5202884</v>
          </cell>
          <cell r="D1231" t="str">
            <v>HAMMERITE</v>
          </cell>
          <cell r="E1231">
            <v>40001</v>
          </cell>
          <cell r="F1231" t="str">
            <v>ESMALTES</v>
          </cell>
          <cell r="G1231" t="str">
            <v>INDUSTRIAL</v>
          </cell>
        </row>
        <row r="1232">
          <cell r="A1232">
            <v>86054</v>
          </cell>
          <cell r="B1232" t="str">
            <v>HY HAMMERITE BR VERDE 800ML</v>
          </cell>
          <cell r="C1232">
            <v>5202883</v>
          </cell>
          <cell r="D1232" t="str">
            <v>HAMMERITE</v>
          </cell>
          <cell r="E1232">
            <v>40001</v>
          </cell>
          <cell r="F1232" t="str">
            <v>ESMALTES</v>
          </cell>
          <cell r="G1232" t="str">
            <v>INDUSTRIAL</v>
          </cell>
        </row>
        <row r="1233">
          <cell r="A1233">
            <v>86181</v>
          </cell>
          <cell r="B1233" t="str">
            <v>HY HAMMERITE BR VERMELHO 2.4L</v>
          </cell>
          <cell r="C1233">
            <v>5209163</v>
          </cell>
          <cell r="D1233" t="str">
            <v>HAMMERITE</v>
          </cell>
          <cell r="E1233">
            <v>40001</v>
          </cell>
          <cell r="F1233" t="str">
            <v>ESMALTES</v>
          </cell>
          <cell r="G1233" t="str">
            <v>INDUSTRIAL</v>
          </cell>
        </row>
        <row r="1234">
          <cell r="A1234">
            <v>23910</v>
          </cell>
          <cell r="B1234" t="str">
            <v>IND SINT. AMARELO CATERPILLAR 80 3,600L SKY-21,93-ST</v>
          </cell>
          <cell r="C1234">
            <v>10009820113</v>
          </cell>
          <cell r="D1234" t="str">
            <v>SKY</v>
          </cell>
          <cell r="E1234">
            <v>40001</v>
          </cell>
          <cell r="F1234" t="str">
            <v>ESMALTES</v>
          </cell>
          <cell r="G1234" t="str">
            <v>INDUSTRIAL</v>
          </cell>
        </row>
        <row r="1235">
          <cell r="A1235">
            <v>23909</v>
          </cell>
          <cell r="B1235" t="str">
            <v>IND SINT. AZUL 5497 MBB 97 3,600L SKY-21,94-ST</v>
          </cell>
          <cell r="C1235" t="str">
            <v>I10050760113</v>
          </cell>
          <cell r="D1235" t="str">
            <v>SKY</v>
          </cell>
          <cell r="E1235">
            <v>40001</v>
          </cell>
          <cell r="F1235" t="str">
            <v>ESMALTES</v>
          </cell>
          <cell r="G1235" t="str">
            <v>INDUSTRIAL</v>
          </cell>
        </row>
        <row r="1236">
          <cell r="A1236">
            <v>23908</v>
          </cell>
          <cell r="B1236" t="str">
            <v>IND SINT. BRANCO PURO 3,600L SKY-21,94-ST</v>
          </cell>
          <cell r="C1236">
            <v>10009500113</v>
          </cell>
          <cell r="D1236" t="str">
            <v>SKY</v>
          </cell>
          <cell r="E1236">
            <v>40001</v>
          </cell>
          <cell r="F1236" t="str">
            <v>ESMALTES</v>
          </cell>
          <cell r="G1236" t="str">
            <v>INDUSTRIAL</v>
          </cell>
        </row>
        <row r="1237">
          <cell r="A1237">
            <v>23904</v>
          </cell>
          <cell r="B1237" t="str">
            <v>IND SINT. PRETO CHASSIS SEMI FOSCO 3,600L SKY-21,94-ST</v>
          </cell>
          <cell r="C1237">
            <v>12009010113</v>
          </cell>
          <cell r="D1237" t="str">
            <v>SKY</v>
          </cell>
          <cell r="E1237">
            <v>40001</v>
          </cell>
          <cell r="F1237" t="str">
            <v>ESMALTES</v>
          </cell>
          <cell r="G1237" t="str">
            <v>INDUSTRIAL</v>
          </cell>
        </row>
        <row r="1238">
          <cell r="A1238">
            <v>23903</v>
          </cell>
          <cell r="B1238" t="str">
            <v>IND SINT. PRETO FOSCO 0,900ML SKY-21,46-ST</v>
          </cell>
          <cell r="C1238">
            <v>12009000101</v>
          </cell>
          <cell r="D1238" t="str">
            <v>SKY</v>
          </cell>
          <cell r="E1238">
            <v>40001</v>
          </cell>
          <cell r="F1238" t="str">
            <v>ESMALTES</v>
          </cell>
          <cell r="G1238" t="str">
            <v>INDUSTRIAL</v>
          </cell>
        </row>
        <row r="1239">
          <cell r="A1239">
            <v>23902</v>
          </cell>
          <cell r="B1239" t="str">
            <v>IND SINT. PRETO FOSCO 3,600L SKY-21,94-ST</v>
          </cell>
          <cell r="C1239">
            <v>12009000113</v>
          </cell>
          <cell r="D1239" t="str">
            <v>SKY</v>
          </cell>
          <cell r="E1239">
            <v>40001</v>
          </cell>
          <cell r="F1239" t="str">
            <v>ESMALTES</v>
          </cell>
          <cell r="G1239" t="str">
            <v>INDUSTRIAL</v>
          </cell>
        </row>
        <row r="1240">
          <cell r="A1240">
            <v>23901</v>
          </cell>
          <cell r="B1240" t="str">
            <v>IND SINT. VERMELHO MASSEY FERGUSON 3,600L SKY-21,94-ST</v>
          </cell>
          <cell r="C1240">
            <v>10009520113</v>
          </cell>
          <cell r="D1240" t="str">
            <v>SKY</v>
          </cell>
          <cell r="E1240">
            <v>40001</v>
          </cell>
          <cell r="F1240" t="str">
            <v>ESMALTES</v>
          </cell>
          <cell r="G1240" t="str">
            <v>INDUSTRIAL</v>
          </cell>
        </row>
        <row r="1241">
          <cell r="A1241">
            <v>85184</v>
          </cell>
          <cell r="B1241" t="str">
            <v>KIT ANTI PICHACAO KIT 3,6LT BRASILUX</v>
          </cell>
          <cell r="C1241" t="str">
            <v>KT 150060926</v>
          </cell>
          <cell r="D1241" t="str">
            <v>BRASILUX</v>
          </cell>
          <cell r="E1241">
            <v>40001</v>
          </cell>
          <cell r="F1241" t="str">
            <v>ESMALTES</v>
          </cell>
          <cell r="G1241" t="str">
            <v>INDUSTRIAL</v>
          </cell>
        </row>
        <row r="1242">
          <cell r="A1242">
            <v>85180</v>
          </cell>
          <cell r="B1242" t="str">
            <v>MARTELADO-AZUL DEL REY 3,6L BRASILUX</v>
          </cell>
          <cell r="C1242" t="str">
            <v>BT 110320002</v>
          </cell>
          <cell r="D1242" t="str">
            <v>BRASILUX</v>
          </cell>
          <cell r="E1242">
            <v>40001</v>
          </cell>
          <cell r="F1242" t="str">
            <v>ESMALTES</v>
          </cell>
          <cell r="G1242" t="str">
            <v>INDUSTRIAL</v>
          </cell>
        </row>
        <row r="1243">
          <cell r="A1243">
            <v>85179</v>
          </cell>
          <cell r="B1243" t="str">
            <v>MARTELADO-AZUL DEL REY 900ML BRASILUX</v>
          </cell>
          <cell r="C1243" t="str">
            <v>BT 110320001</v>
          </cell>
          <cell r="D1243" t="str">
            <v>BRASILUX</v>
          </cell>
          <cell r="E1243">
            <v>40001</v>
          </cell>
          <cell r="F1243" t="str">
            <v>ESMALTES</v>
          </cell>
          <cell r="G1243" t="str">
            <v>INDUSTRIAL</v>
          </cell>
        </row>
        <row r="1244">
          <cell r="A1244">
            <v>84180</v>
          </cell>
          <cell r="B1244" t="str">
            <v>MARTELADO-AZUL REAL 3,6L BRASILUX</v>
          </cell>
          <cell r="C1244" t="str">
            <v>BT 110311902</v>
          </cell>
          <cell r="D1244" t="str">
            <v>BRASILUX</v>
          </cell>
          <cell r="E1244">
            <v>40001</v>
          </cell>
          <cell r="F1244" t="str">
            <v>ESMALTES</v>
          </cell>
          <cell r="G1244" t="str">
            <v>INDUSTRIAL</v>
          </cell>
        </row>
        <row r="1245">
          <cell r="A1245">
            <v>84183</v>
          </cell>
          <cell r="B1245" t="str">
            <v>MARTELADO-AZUL REAL 900ML BRASILUX</v>
          </cell>
          <cell r="C1245" t="str">
            <v>BT 110311901</v>
          </cell>
          <cell r="D1245" t="str">
            <v>BRASILUX</v>
          </cell>
          <cell r="E1245">
            <v>40001</v>
          </cell>
          <cell r="F1245" t="str">
            <v>ESMALTES</v>
          </cell>
          <cell r="G1245" t="str">
            <v>INDUSTRIAL</v>
          </cell>
        </row>
        <row r="1246">
          <cell r="A1246">
            <v>84462</v>
          </cell>
          <cell r="B1246" t="str">
            <v>MARTELADO-CINZA CLARO 3,6L BRASILUX</v>
          </cell>
          <cell r="C1246" t="str">
            <v>BT 110613302</v>
          </cell>
          <cell r="D1246" t="str">
            <v>BRASILUX</v>
          </cell>
          <cell r="E1246">
            <v>40001</v>
          </cell>
          <cell r="F1246" t="str">
            <v>ESMALTES</v>
          </cell>
          <cell r="G1246" t="str">
            <v>INDUSTRIAL</v>
          </cell>
        </row>
        <row r="1247">
          <cell r="A1247">
            <v>84181</v>
          </cell>
          <cell r="B1247" t="str">
            <v>MARTELADO-CINZA TORNADO 3,6L BRASILUX</v>
          </cell>
          <cell r="C1247" t="str">
            <v>BT 110617302</v>
          </cell>
          <cell r="D1247" t="str">
            <v>BRASILUX</v>
          </cell>
          <cell r="E1247">
            <v>40001</v>
          </cell>
          <cell r="F1247" t="str">
            <v>ESMALTES</v>
          </cell>
          <cell r="G1247" t="str">
            <v>INDUSTRIAL</v>
          </cell>
        </row>
        <row r="1248">
          <cell r="A1248">
            <v>84184</v>
          </cell>
          <cell r="B1248" t="str">
            <v>MARTELADO-CINZA TORNADO 900ML BRASILUX</v>
          </cell>
          <cell r="C1248" t="str">
            <v>BT 110617301</v>
          </cell>
          <cell r="D1248" t="str">
            <v>BRASILUX</v>
          </cell>
          <cell r="E1248">
            <v>40001</v>
          </cell>
          <cell r="F1248" t="str">
            <v>ESMALTES</v>
          </cell>
          <cell r="G1248" t="str">
            <v>INDUSTRIAL</v>
          </cell>
        </row>
        <row r="1249">
          <cell r="A1249">
            <v>84931</v>
          </cell>
          <cell r="B1249" t="str">
            <v>MARTELADO-PRETO 3,6L BRASILUX</v>
          </cell>
          <cell r="C1249" t="str">
            <v>BT 111500102</v>
          </cell>
          <cell r="D1249" t="str">
            <v>BRASILUX</v>
          </cell>
          <cell r="E1249">
            <v>40001</v>
          </cell>
          <cell r="F1249" t="str">
            <v>ESMALTES</v>
          </cell>
          <cell r="G1249" t="str">
            <v>INDUSTRIAL</v>
          </cell>
        </row>
        <row r="1250">
          <cell r="A1250">
            <v>84182</v>
          </cell>
          <cell r="B1250" t="str">
            <v>MARTELADO-VERDE BRASIL 3,6L BRASILUX</v>
          </cell>
          <cell r="C1250" t="str">
            <v>BT 112206302</v>
          </cell>
          <cell r="D1250" t="str">
            <v>BRASILUX</v>
          </cell>
          <cell r="E1250">
            <v>40001</v>
          </cell>
          <cell r="F1250" t="str">
            <v>ESMALTES</v>
          </cell>
          <cell r="G1250" t="str">
            <v>INDUSTRIAL</v>
          </cell>
        </row>
        <row r="1251">
          <cell r="A1251">
            <v>84185</v>
          </cell>
          <cell r="B1251" t="str">
            <v>MARTELADO-VERDE BRASIL 900ML BRASILUX</v>
          </cell>
          <cell r="C1251" t="str">
            <v>BT 112206301</v>
          </cell>
          <cell r="D1251" t="str">
            <v>BRASILUX</v>
          </cell>
          <cell r="E1251">
            <v>40001</v>
          </cell>
          <cell r="F1251" t="str">
            <v>ESMALTES</v>
          </cell>
          <cell r="G1251" t="str">
            <v>INDUSTRIAL</v>
          </cell>
        </row>
        <row r="1252">
          <cell r="A1252">
            <v>85265</v>
          </cell>
          <cell r="B1252" t="str">
            <v>MARTELADO-VERDE ESMERALDA 3,6L BRASILUX</v>
          </cell>
          <cell r="C1252" t="str">
            <v>BT 112215602</v>
          </cell>
          <cell r="D1252" t="str">
            <v>BRASILUX</v>
          </cell>
          <cell r="E1252">
            <v>40001</v>
          </cell>
          <cell r="F1252" t="str">
            <v>ESMALTES</v>
          </cell>
          <cell r="G1252" t="str">
            <v>INDUSTRIAL</v>
          </cell>
        </row>
        <row r="1253">
          <cell r="A1253">
            <v>85264</v>
          </cell>
          <cell r="B1253" t="str">
            <v>MARTELADO-VERDE ESMERALDA 900ML BRASILUX</v>
          </cell>
          <cell r="C1253" t="str">
            <v>BT 112215601</v>
          </cell>
          <cell r="D1253" t="str">
            <v>BRASILUX</v>
          </cell>
          <cell r="E1253">
            <v>40001</v>
          </cell>
          <cell r="F1253" t="str">
            <v>ESMALTES</v>
          </cell>
          <cell r="G1253" t="str">
            <v>INDUSTRIAL</v>
          </cell>
        </row>
        <row r="1254">
          <cell r="A1254">
            <v>84698</v>
          </cell>
          <cell r="B1254" t="str">
            <v>METALICO-CINZA GRAFITE METALICO 3,6L BRASILUX</v>
          </cell>
          <cell r="C1254" t="str">
            <v>BT 010639402</v>
          </cell>
          <cell r="D1254" t="str">
            <v>BRASILUX</v>
          </cell>
          <cell r="E1254">
            <v>40001</v>
          </cell>
          <cell r="F1254" t="str">
            <v>ESMALTES</v>
          </cell>
          <cell r="G1254" t="str">
            <v>INDUSTRIAL</v>
          </cell>
        </row>
        <row r="1255">
          <cell r="A1255">
            <v>84167</v>
          </cell>
          <cell r="B1255" t="str">
            <v>METALICO-DOURADO 3,6L BRASILUX</v>
          </cell>
          <cell r="C1255" t="str">
            <v>BT 013200102</v>
          </cell>
          <cell r="D1255" t="str">
            <v>BRASILUX</v>
          </cell>
          <cell r="E1255">
            <v>40001</v>
          </cell>
          <cell r="F1255" t="str">
            <v>ESMALTES</v>
          </cell>
          <cell r="G1255" t="str">
            <v>INDUSTRIAL</v>
          </cell>
        </row>
        <row r="1256">
          <cell r="A1256">
            <v>84172</v>
          </cell>
          <cell r="B1256" t="str">
            <v>METALICO-DOURADO 900ML BRASILUX</v>
          </cell>
          <cell r="C1256" t="str">
            <v>BT 013200101</v>
          </cell>
          <cell r="D1256" t="str">
            <v>BRASILUX</v>
          </cell>
          <cell r="E1256">
            <v>40001</v>
          </cell>
          <cell r="F1256" t="str">
            <v>ESMALTES</v>
          </cell>
          <cell r="G1256" t="str">
            <v>INDUSTRIAL</v>
          </cell>
        </row>
        <row r="1257">
          <cell r="A1257">
            <v>85308</v>
          </cell>
          <cell r="B1257" t="str">
            <v>METALICO-MARROM AVELA VW80 3,6L BRASILUX</v>
          </cell>
          <cell r="C1257" t="str">
            <v>BT 011001502</v>
          </cell>
          <cell r="D1257" t="str">
            <v>BRASILUX</v>
          </cell>
          <cell r="E1257">
            <v>40001</v>
          </cell>
          <cell r="F1257" t="str">
            <v>ESMALTES</v>
          </cell>
          <cell r="G1257" t="str">
            <v>INDUSTRIAL</v>
          </cell>
        </row>
        <row r="1258">
          <cell r="A1258">
            <v>84956</v>
          </cell>
          <cell r="B1258" t="str">
            <v>METALICO-MARROM BRONZE GM81 900ML BRASILUX</v>
          </cell>
          <cell r="C1258" t="str">
            <v>BT 011004401</v>
          </cell>
          <cell r="D1258" t="str">
            <v>BRASILUX</v>
          </cell>
          <cell r="E1258">
            <v>40001</v>
          </cell>
          <cell r="F1258" t="str">
            <v>ESMALTES</v>
          </cell>
          <cell r="G1258" t="str">
            <v>INDUSTRIAL</v>
          </cell>
        </row>
        <row r="1259">
          <cell r="A1259">
            <v>84171</v>
          </cell>
          <cell r="B1259" t="str">
            <v>METALICO-MARROM BRONZE II GM82 900ML BRASILUX</v>
          </cell>
          <cell r="C1259" t="str">
            <v>BT 011002801</v>
          </cell>
          <cell r="D1259" t="str">
            <v>BRASILUX</v>
          </cell>
          <cell r="E1259">
            <v>40001</v>
          </cell>
          <cell r="F1259" t="str">
            <v>ESMALTES</v>
          </cell>
          <cell r="G1259" t="str">
            <v>INDUSTRIAL</v>
          </cell>
        </row>
        <row r="1260">
          <cell r="A1260">
            <v>84166</v>
          </cell>
          <cell r="B1260" t="str">
            <v>METALICO-MARROM BRONZE II MET GM 82 3,6L BRASILUX</v>
          </cell>
          <cell r="C1260" t="str">
            <v>BT 011002802</v>
          </cell>
          <cell r="D1260" t="str">
            <v>BRASILUX</v>
          </cell>
          <cell r="E1260">
            <v>40001</v>
          </cell>
          <cell r="F1260" t="str">
            <v>ESMALTES</v>
          </cell>
          <cell r="G1260" t="str">
            <v>INDUSTRIAL</v>
          </cell>
        </row>
        <row r="1261">
          <cell r="A1261">
            <v>85177</v>
          </cell>
          <cell r="B1261" t="str">
            <v>METALICO-MARROM CASTANHO MET FD 85 3,6L BRASILUX</v>
          </cell>
          <cell r="C1261" t="str">
            <v>BT 011001102</v>
          </cell>
          <cell r="D1261" t="str">
            <v>BRASILUX</v>
          </cell>
          <cell r="E1261">
            <v>40001</v>
          </cell>
          <cell r="F1261" t="str">
            <v>ESMALTES</v>
          </cell>
          <cell r="G1261" t="str">
            <v>INDUSTRIAL</v>
          </cell>
        </row>
        <row r="1262">
          <cell r="A1262">
            <v>84169</v>
          </cell>
          <cell r="B1262" t="str">
            <v>METALICO-OURO ANTIGO FD74 900ML BRASILUX</v>
          </cell>
          <cell r="C1262" t="str">
            <v>BT 013300301</v>
          </cell>
          <cell r="D1262" t="str">
            <v>BRASILUX</v>
          </cell>
          <cell r="E1262">
            <v>40001</v>
          </cell>
          <cell r="F1262" t="str">
            <v>ESMALTES</v>
          </cell>
          <cell r="G1262" t="str">
            <v>INDUSTRIAL</v>
          </cell>
        </row>
        <row r="1263">
          <cell r="A1263">
            <v>84164</v>
          </cell>
          <cell r="B1263" t="str">
            <v>METALICO-OURO ANTIGO MET FD 74 3,6L BRASILUX</v>
          </cell>
          <cell r="C1263" t="str">
            <v>BT 013300302</v>
          </cell>
          <cell r="D1263" t="str">
            <v>BRASILUX</v>
          </cell>
          <cell r="E1263">
            <v>40001</v>
          </cell>
          <cell r="F1263" t="str">
            <v>ESMALTES</v>
          </cell>
          <cell r="G1263" t="str">
            <v>INDUSTRIAL</v>
          </cell>
        </row>
        <row r="1264">
          <cell r="A1264">
            <v>84165</v>
          </cell>
          <cell r="B1264" t="str">
            <v>METALICO-OURO SAVOIA MET FD83 3,6L BRASILUX</v>
          </cell>
          <cell r="C1264" t="str">
            <v>BT 013300502</v>
          </cell>
          <cell r="D1264" t="str">
            <v>BRASILUX</v>
          </cell>
          <cell r="E1264">
            <v>40001</v>
          </cell>
          <cell r="F1264" t="str">
            <v>ESMALTES</v>
          </cell>
          <cell r="G1264" t="str">
            <v>INDUSTRIAL</v>
          </cell>
        </row>
        <row r="1265">
          <cell r="A1265">
            <v>84170</v>
          </cell>
          <cell r="B1265" t="str">
            <v>METALICO-OURO SAVOIA MET FD83 900ML BRASILUX</v>
          </cell>
          <cell r="C1265" t="str">
            <v>BT 013300501</v>
          </cell>
          <cell r="D1265" t="str">
            <v>BRASILUX</v>
          </cell>
          <cell r="E1265">
            <v>40001</v>
          </cell>
          <cell r="F1265" t="str">
            <v>ESMALTES</v>
          </cell>
          <cell r="G1265" t="str">
            <v>INDUSTRIAL</v>
          </cell>
        </row>
        <row r="1266">
          <cell r="A1266">
            <v>84168</v>
          </cell>
          <cell r="B1266" t="str">
            <v>METALICO-OURO VILA RICA MET VW 75 3,6L BRASILUX</v>
          </cell>
          <cell r="C1266" t="str">
            <v>BT 013300402</v>
          </cell>
          <cell r="D1266" t="str">
            <v>BRASILUX</v>
          </cell>
          <cell r="E1266">
            <v>40001</v>
          </cell>
          <cell r="F1266" t="str">
            <v>ESMALTES</v>
          </cell>
          <cell r="G1266" t="str">
            <v>INDUSTRIAL</v>
          </cell>
        </row>
        <row r="1267">
          <cell r="A1267">
            <v>84173</v>
          </cell>
          <cell r="B1267" t="str">
            <v>METALICO-OURO VILA RICA VW75 900ML BRASILUX</v>
          </cell>
          <cell r="C1267" t="str">
            <v>BT 013300401</v>
          </cell>
          <cell r="D1267" t="str">
            <v>BRASILUX</v>
          </cell>
          <cell r="E1267">
            <v>40001</v>
          </cell>
          <cell r="F1267" t="str">
            <v>ESMALTES</v>
          </cell>
          <cell r="G1267" t="str">
            <v>INDUSTRIAL</v>
          </cell>
        </row>
        <row r="1268">
          <cell r="A1268">
            <v>84868</v>
          </cell>
          <cell r="B1268" t="str">
            <v>METALICO-PISTACHE 900ML BRASILUX</v>
          </cell>
          <cell r="C1268" t="str">
            <v>BT 012245801</v>
          </cell>
          <cell r="D1268" t="str">
            <v>BRASILUX</v>
          </cell>
          <cell r="E1268">
            <v>40001</v>
          </cell>
          <cell r="F1268" t="str">
            <v>ESMALTES</v>
          </cell>
          <cell r="G1268" t="str">
            <v>INDUSTRIAL</v>
          </cell>
        </row>
        <row r="1269">
          <cell r="A1269">
            <v>84954</v>
          </cell>
          <cell r="B1269" t="str">
            <v>METALICO-PRATA LUNAR MET VW 91 3,6L BRASILUX</v>
          </cell>
          <cell r="C1269" t="str">
            <v>BT 013500302</v>
          </cell>
          <cell r="D1269" t="str">
            <v>BRASILUX</v>
          </cell>
          <cell r="E1269">
            <v>40001</v>
          </cell>
          <cell r="F1269" t="str">
            <v>ESMALTES</v>
          </cell>
          <cell r="G1269" t="str">
            <v>INDUSTRIAL</v>
          </cell>
        </row>
        <row r="1270">
          <cell r="A1270">
            <v>84955</v>
          </cell>
          <cell r="B1270" t="str">
            <v>METALICO-PRATA LUNAR MET VW 91 900ML BRASILUX</v>
          </cell>
          <cell r="C1270" t="str">
            <v>BT 013500301</v>
          </cell>
          <cell r="D1270" t="str">
            <v>BRASILUX</v>
          </cell>
          <cell r="E1270">
            <v>40001</v>
          </cell>
          <cell r="F1270" t="str">
            <v>ESMALTES</v>
          </cell>
          <cell r="G1270" t="str">
            <v>INDUSTRIAL</v>
          </cell>
        </row>
        <row r="1271">
          <cell r="A1271">
            <v>162</v>
          </cell>
          <cell r="B1271" t="str">
            <v>TINTA SINT VERMELHO II MASSEY FERGUSON 0,900ML SKY-21,94-ST</v>
          </cell>
          <cell r="C1271">
            <v>410902910101</v>
          </cell>
          <cell r="D1271" t="str">
            <v>SKY</v>
          </cell>
          <cell r="E1271">
            <v>40001</v>
          </cell>
          <cell r="F1271" t="str">
            <v>ESMALTES</v>
          </cell>
          <cell r="G1271" t="str">
            <v>INDUSTRIAL</v>
          </cell>
        </row>
        <row r="1272">
          <cell r="A1272">
            <v>23911</v>
          </cell>
          <cell r="B1272" t="str">
            <v>TINTA SINT. AMARELO VALMET 82 0,900ML SKY-21,94-ST</v>
          </cell>
          <cell r="C1272">
            <v>710901430101</v>
          </cell>
          <cell r="D1272" t="str">
            <v>SKY</v>
          </cell>
          <cell r="E1272">
            <v>40001</v>
          </cell>
          <cell r="F1272" t="str">
            <v>ESMALTES</v>
          </cell>
          <cell r="G1272" t="str">
            <v>INDUSTRIAL</v>
          </cell>
        </row>
        <row r="1273">
          <cell r="A1273">
            <v>23907</v>
          </cell>
          <cell r="B1273" t="str">
            <v>TINTA SINT. BRANCO PURO 0,900ML SKY-21,94-ST</v>
          </cell>
          <cell r="C1273">
            <v>10009500101</v>
          </cell>
          <cell r="D1273" t="str">
            <v>SKY</v>
          </cell>
          <cell r="E1273">
            <v>40001</v>
          </cell>
          <cell r="F1273" t="str">
            <v>ESMALTES</v>
          </cell>
          <cell r="G1273" t="str">
            <v>INDUSTRIAL</v>
          </cell>
        </row>
        <row r="1274">
          <cell r="A1274">
            <v>23906</v>
          </cell>
          <cell r="B1274" t="str">
            <v>TINTA SINT. PRETO CADILLAC 3,600L SKY-21,94-ST</v>
          </cell>
          <cell r="C1274">
            <v>10009100113</v>
          </cell>
          <cell r="D1274" t="str">
            <v>SKY</v>
          </cell>
          <cell r="E1274">
            <v>40001</v>
          </cell>
          <cell r="F1274" t="str">
            <v>ESMALTES</v>
          </cell>
          <cell r="G1274" t="str">
            <v>INDUSTRIAL</v>
          </cell>
        </row>
        <row r="1275">
          <cell r="A1275">
            <v>23900</v>
          </cell>
          <cell r="B1275" t="str">
            <v>TINTA SINT. VERMELHO MASSEY FERGUSON 0,900ML SKY-21,94-ST</v>
          </cell>
          <cell r="C1275">
            <v>10009520101</v>
          </cell>
          <cell r="D1275" t="str">
            <v>SKY</v>
          </cell>
          <cell r="E1275">
            <v>40001</v>
          </cell>
          <cell r="F1275" t="str">
            <v>ESMALTES</v>
          </cell>
          <cell r="G1275" t="str">
            <v>INDUSTRIAL</v>
          </cell>
        </row>
        <row r="1276">
          <cell r="A1276">
            <v>84870</v>
          </cell>
          <cell r="B1276" t="str">
            <v>TINTA TECNICA ESPECIAL - BRANCO N 9,5 PURO 2,7L</v>
          </cell>
          <cell r="C1276" t="str">
            <v>BT 150523814</v>
          </cell>
          <cell r="D1276" t="str">
            <v>BRASILUX</v>
          </cell>
          <cell r="E1276">
            <v>40001</v>
          </cell>
          <cell r="F1276" t="str">
            <v>ESMALTES</v>
          </cell>
          <cell r="G1276" t="str">
            <v>INDUSTRIAL</v>
          </cell>
        </row>
        <row r="1277">
          <cell r="A1277">
            <v>85313</v>
          </cell>
          <cell r="B1277" t="str">
            <v>TINTA TECNICA ESPECIAL - KIT POWER PISO INCOLOR KIT 3,6 LT</v>
          </cell>
          <cell r="C1277" t="str">
            <v>KT 150065326</v>
          </cell>
          <cell r="D1277" t="str">
            <v>BRASILUX</v>
          </cell>
          <cell r="E1277">
            <v>40001</v>
          </cell>
          <cell r="F1277" t="str">
            <v>ESMALTES</v>
          </cell>
          <cell r="G1277" t="str">
            <v>INDUSTRIAL</v>
          </cell>
        </row>
        <row r="1278">
          <cell r="A1278">
            <v>84917</v>
          </cell>
          <cell r="B1278" t="str">
            <v>ZARCAO CINZA CLARO 5LT SOLVENLUX</v>
          </cell>
          <cell r="C1278">
            <v>68794</v>
          </cell>
          <cell r="D1278" t="str">
            <v>.</v>
          </cell>
          <cell r="E1278">
            <v>40001</v>
          </cell>
          <cell r="F1278" t="str">
            <v>ESMALTES</v>
          </cell>
          <cell r="G1278" t="str">
            <v>INDUSTRIAL</v>
          </cell>
        </row>
        <row r="1279">
          <cell r="A1279">
            <v>86573</v>
          </cell>
          <cell r="B1279" t="str">
            <v>AB GEL REMOVEDOR 3KG</v>
          </cell>
          <cell r="C1279">
            <v>5359441</v>
          </cell>
          <cell r="D1279" t="str">
            <v>ALABASTINE</v>
          </cell>
          <cell r="E1279">
            <v>30040</v>
          </cell>
          <cell r="F1279" t="str">
            <v>REPAROS ALABASTINE</v>
          </cell>
          <cell r="G1279" t="str">
            <v>IMOBILIÁRIO</v>
          </cell>
        </row>
        <row r="1280">
          <cell r="A1280">
            <v>86574</v>
          </cell>
          <cell r="B1280" t="str">
            <v>AB GEL REMOVEDOR 750G</v>
          </cell>
          <cell r="C1280">
            <v>5360589</v>
          </cell>
          <cell r="D1280" t="str">
            <v>ALABASTINE</v>
          </cell>
          <cell r="E1280">
            <v>30040</v>
          </cell>
          <cell r="F1280" t="str">
            <v>REPAROS ALABASTINE</v>
          </cell>
          <cell r="G1280" t="str">
            <v>IMOBILIÁRIO</v>
          </cell>
        </row>
        <row r="1281">
          <cell r="A1281">
            <v>86560</v>
          </cell>
          <cell r="B1281" t="str">
            <v>AB LIXA LÍQUIDA 500ML</v>
          </cell>
          <cell r="C1281">
            <v>5323543</v>
          </cell>
          <cell r="D1281" t="str">
            <v>ALABASTINE</v>
          </cell>
          <cell r="E1281">
            <v>30040</v>
          </cell>
          <cell r="F1281" t="str">
            <v>REPAROS ALABASTINE</v>
          </cell>
          <cell r="G1281" t="str">
            <v>IMOBILIÁRIO</v>
          </cell>
        </row>
        <row r="1282">
          <cell r="A1282">
            <v>86565</v>
          </cell>
          <cell r="B1282" t="str">
            <v>AB REPARA PAREDES 1KG</v>
          </cell>
          <cell r="C1282">
            <v>5323559</v>
          </cell>
          <cell r="D1282" t="str">
            <v>ALABASTINE</v>
          </cell>
          <cell r="E1282">
            <v>30040</v>
          </cell>
          <cell r="F1282" t="str">
            <v>REPAROS ALABASTINE</v>
          </cell>
          <cell r="G1282" t="str">
            <v>IMOBILIÁRIO</v>
          </cell>
        </row>
        <row r="1283">
          <cell r="A1283">
            <v>86561</v>
          </cell>
          <cell r="B1283" t="str">
            <v>AB REPARA PAREDES 330G</v>
          </cell>
          <cell r="C1283">
            <v>5323555</v>
          </cell>
          <cell r="D1283" t="str">
            <v>ALABASTINE</v>
          </cell>
          <cell r="E1283">
            <v>30040</v>
          </cell>
          <cell r="F1283" t="str">
            <v>REPAROS ALABASTINE</v>
          </cell>
          <cell r="G1283" t="str">
            <v>IMOBILIÁRIO</v>
          </cell>
        </row>
        <row r="1284">
          <cell r="A1284">
            <v>86562</v>
          </cell>
          <cell r="B1284" t="str">
            <v>AB REPARA PAREDES ACAO RAPIDA 330G</v>
          </cell>
          <cell r="C1284">
            <v>5323556</v>
          </cell>
          <cell r="D1284" t="str">
            <v>ALABASTINE</v>
          </cell>
          <cell r="E1284">
            <v>30040</v>
          </cell>
          <cell r="F1284" t="str">
            <v>REPAROS ALABASTINE</v>
          </cell>
          <cell r="G1284" t="str">
            <v>IMOBILIÁRIO</v>
          </cell>
        </row>
        <row r="1285">
          <cell r="A1285">
            <v>86564</v>
          </cell>
          <cell r="B1285" t="str">
            <v>AB REPARA PAREDES PRO 340G</v>
          </cell>
          <cell r="C1285">
            <v>5323558</v>
          </cell>
          <cell r="D1285" t="str">
            <v>ALABASTINE</v>
          </cell>
          <cell r="E1285">
            <v>30040</v>
          </cell>
          <cell r="F1285" t="str">
            <v>REPAROS ALABASTINE</v>
          </cell>
          <cell r="G1285" t="str">
            <v>IMOBILIÁRIO</v>
          </cell>
        </row>
        <row r="1286">
          <cell r="A1286">
            <v>86566</v>
          </cell>
          <cell r="B1286" t="str">
            <v>AB REPARADOR FLEXIVEL 530G</v>
          </cell>
          <cell r="C1286">
            <v>5323561</v>
          </cell>
          <cell r="D1286" t="str">
            <v>ALABASTINE</v>
          </cell>
          <cell r="E1286">
            <v>30040</v>
          </cell>
          <cell r="F1286" t="str">
            <v>REPAROS ALABASTINE</v>
          </cell>
          <cell r="G1286" t="str">
            <v>IMOBILIÁRIO</v>
          </cell>
        </row>
        <row r="1287">
          <cell r="A1287">
            <v>86563</v>
          </cell>
          <cell r="B1287" t="str">
            <v>AB SOS REPARA PAREDES 2X 8G</v>
          </cell>
          <cell r="C1287">
            <v>5323557</v>
          </cell>
          <cell r="D1287" t="str">
            <v>ALABASTINE</v>
          </cell>
          <cell r="E1287">
            <v>30040</v>
          </cell>
          <cell r="F1287" t="str">
            <v>REPAROS ALABASTINE</v>
          </cell>
          <cell r="G1287" t="str">
            <v>IMOBILIÁRIO</v>
          </cell>
        </row>
        <row r="1288">
          <cell r="A1288">
            <v>86302</v>
          </cell>
          <cell r="B1288" t="str">
            <v>CR T FACIL ADORNO RUPESTRE 30ML</v>
          </cell>
          <cell r="C1288">
            <v>5298744</v>
          </cell>
          <cell r="D1288" t="str">
            <v>CORAL</v>
          </cell>
          <cell r="E1288">
            <v>30039</v>
          </cell>
          <cell r="F1288" t="str">
            <v>TESTE FÁCIL CORAL</v>
          </cell>
          <cell r="G1288" t="str">
            <v>IMOBILIÁRIO</v>
          </cell>
        </row>
        <row r="1289">
          <cell r="A1289">
            <v>86416</v>
          </cell>
          <cell r="B1289" t="str">
            <v>CR T FACIL ALGAS PROFUNDAS 30ML</v>
          </cell>
          <cell r="C1289">
            <v>5300806</v>
          </cell>
          <cell r="D1289" t="str">
            <v>CORAL</v>
          </cell>
          <cell r="E1289">
            <v>30039</v>
          </cell>
          <cell r="F1289" t="str">
            <v>TESTE FÁCIL CORAL</v>
          </cell>
          <cell r="G1289" t="str">
            <v>IMOBILIÁRIO</v>
          </cell>
        </row>
        <row r="1290">
          <cell r="A1290">
            <v>86295</v>
          </cell>
          <cell r="B1290" t="str">
            <v>CR T FACIL ALGODAO CINZENTO 30ML</v>
          </cell>
          <cell r="C1290">
            <v>5298256</v>
          </cell>
          <cell r="D1290" t="str">
            <v>CORAL</v>
          </cell>
          <cell r="E1290">
            <v>30039</v>
          </cell>
          <cell r="F1290" t="str">
            <v>TESTE FÁCIL CORAL</v>
          </cell>
          <cell r="G1290" t="str">
            <v>IMOBILIÁRIO</v>
          </cell>
        </row>
        <row r="1291">
          <cell r="A1291">
            <v>86525</v>
          </cell>
          <cell r="B1291" t="str">
            <v>CR T FACIL ALGODAO EGIPCIO 30ML</v>
          </cell>
          <cell r="C1291">
            <v>5300950</v>
          </cell>
          <cell r="D1291" t="str">
            <v>CORAL</v>
          </cell>
          <cell r="E1291">
            <v>30039</v>
          </cell>
          <cell r="F1291" t="str">
            <v>TESTE FÁCIL CORAL</v>
          </cell>
          <cell r="G1291" t="str">
            <v>IMOBILIÁRIO</v>
          </cell>
        </row>
        <row r="1292">
          <cell r="A1292">
            <v>86440</v>
          </cell>
          <cell r="B1292" t="str">
            <v>CR T FACIL AMENDOA CONFEITADA 30ML</v>
          </cell>
          <cell r="C1292">
            <v>5300865</v>
          </cell>
          <cell r="D1292" t="str">
            <v>CORAL</v>
          </cell>
          <cell r="E1292">
            <v>30039</v>
          </cell>
          <cell r="F1292" t="str">
            <v>TESTE FÁCIL CORAL</v>
          </cell>
          <cell r="G1292" t="str">
            <v>IMOBILIÁRIO</v>
          </cell>
        </row>
        <row r="1293">
          <cell r="A1293">
            <v>86379</v>
          </cell>
          <cell r="B1293" t="str">
            <v>CR T FACIL AMIZADE ETERNA 30ML</v>
          </cell>
          <cell r="C1293">
            <v>5300618</v>
          </cell>
          <cell r="D1293" t="str">
            <v>CORAL</v>
          </cell>
          <cell r="E1293">
            <v>30039</v>
          </cell>
          <cell r="F1293" t="str">
            <v>TESTE FÁCIL CORAL</v>
          </cell>
          <cell r="G1293" t="str">
            <v>IMOBILIÁRIO</v>
          </cell>
        </row>
        <row r="1294">
          <cell r="A1294">
            <v>86527</v>
          </cell>
          <cell r="B1294" t="str">
            <v>CR T FACIL AREIA 30ML</v>
          </cell>
          <cell r="C1294">
            <v>5300952</v>
          </cell>
          <cell r="D1294" t="str">
            <v>CORAL</v>
          </cell>
          <cell r="E1294">
            <v>30039</v>
          </cell>
          <cell r="F1294" t="str">
            <v>TESTE FÁCIL CORAL</v>
          </cell>
          <cell r="G1294" t="str">
            <v>IMOBILIÁRIO</v>
          </cell>
        </row>
        <row r="1295">
          <cell r="A1295">
            <v>86305</v>
          </cell>
          <cell r="B1295" t="str">
            <v>CR T FACIL ARQUITETURA URBANA 30ML</v>
          </cell>
          <cell r="C1295">
            <v>5298747</v>
          </cell>
          <cell r="D1295" t="str">
            <v>CORAL</v>
          </cell>
          <cell r="E1295">
            <v>30039</v>
          </cell>
          <cell r="F1295" t="str">
            <v>TESTE FÁCIL CORAL</v>
          </cell>
          <cell r="G1295" t="str">
            <v>IMOBILIÁRIO</v>
          </cell>
        </row>
        <row r="1296">
          <cell r="A1296">
            <v>86335</v>
          </cell>
          <cell r="B1296" t="str">
            <v>CR T FACIL AZUL BARROCO 30ML</v>
          </cell>
          <cell r="C1296">
            <v>5300574</v>
          </cell>
          <cell r="D1296" t="str">
            <v>CORAL</v>
          </cell>
          <cell r="E1296">
            <v>30039</v>
          </cell>
          <cell r="F1296" t="str">
            <v>TESTE FÁCIL CORAL</v>
          </cell>
          <cell r="G1296" t="str">
            <v>IMOBILIÁRIO</v>
          </cell>
        </row>
        <row r="1297">
          <cell r="A1297">
            <v>86363</v>
          </cell>
          <cell r="B1297" t="str">
            <v>CR T FACIL AZUL COSMICO 30ML</v>
          </cell>
          <cell r="C1297">
            <v>5300602</v>
          </cell>
          <cell r="D1297" t="str">
            <v>CORAL</v>
          </cell>
          <cell r="E1297">
            <v>30039</v>
          </cell>
          <cell r="F1297" t="str">
            <v>TESTE FÁCIL CORAL</v>
          </cell>
          <cell r="G1297" t="str">
            <v>IMOBILIÁRIO</v>
          </cell>
        </row>
        <row r="1298">
          <cell r="A1298">
            <v>86370</v>
          </cell>
          <cell r="B1298" t="str">
            <v>CR T FACIL AZUL DOS ANDES 30ML</v>
          </cell>
          <cell r="C1298">
            <v>5300609</v>
          </cell>
          <cell r="D1298" t="str">
            <v>CORAL</v>
          </cell>
          <cell r="E1298">
            <v>30039</v>
          </cell>
          <cell r="F1298" t="str">
            <v>TESTE FÁCIL CORAL</v>
          </cell>
          <cell r="G1298" t="str">
            <v>IMOBILIÁRIO</v>
          </cell>
        </row>
        <row r="1299">
          <cell r="A1299">
            <v>86315</v>
          </cell>
          <cell r="B1299" t="str">
            <v>CR T FACIL AZUL FERIADO 30ML</v>
          </cell>
          <cell r="C1299">
            <v>5300291</v>
          </cell>
          <cell r="D1299" t="str">
            <v>CORAL</v>
          </cell>
          <cell r="E1299">
            <v>30039</v>
          </cell>
          <cell r="F1299" t="str">
            <v>TESTE FÁCIL CORAL</v>
          </cell>
          <cell r="G1299" t="str">
            <v>IMOBILIÁRIO</v>
          </cell>
        </row>
        <row r="1300">
          <cell r="A1300">
            <v>86360</v>
          </cell>
          <cell r="B1300" t="str">
            <v>CR T FACIL AZUL FRESCO 30ML</v>
          </cell>
          <cell r="C1300">
            <v>5300599</v>
          </cell>
          <cell r="D1300" t="str">
            <v>CORAL</v>
          </cell>
          <cell r="E1300">
            <v>30039</v>
          </cell>
          <cell r="F1300" t="str">
            <v>TESTE FÁCIL CORAL</v>
          </cell>
          <cell r="G1300" t="str">
            <v>IMOBILIÁRIO</v>
          </cell>
        </row>
        <row r="1301">
          <cell r="A1301">
            <v>86366</v>
          </cell>
          <cell r="B1301" t="str">
            <v>CR T FACIL AZUL IMPONENTE 30ML</v>
          </cell>
          <cell r="C1301">
            <v>5300605</v>
          </cell>
          <cell r="D1301" t="str">
            <v>CORAL</v>
          </cell>
          <cell r="E1301">
            <v>30039</v>
          </cell>
          <cell r="F1301" t="str">
            <v>TESTE FÁCIL CORAL</v>
          </cell>
          <cell r="G1301" t="str">
            <v>IMOBILIÁRIO</v>
          </cell>
        </row>
        <row r="1302">
          <cell r="A1302">
            <v>86393</v>
          </cell>
          <cell r="B1302" t="str">
            <v>CR T FACIL AZUL TIBET 30ML</v>
          </cell>
          <cell r="C1302">
            <v>5300783</v>
          </cell>
          <cell r="D1302" t="str">
            <v>CORAL</v>
          </cell>
          <cell r="E1302">
            <v>30039</v>
          </cell>
          <cell r="F1302" t="str">
            <v>TESTE FÁCIL CORAL</v>
          </cell>
          <cell r="G1302" t="str">
            <v>IMOBILIÁRIO</v>
          </cell>
        </row>
        <row r="1303">
          <cell r="A1303">
            <v>86381</v>
          </cell>
          <cell r="B1303" t="str">
            <v>CR T FACIL AZUL TURQUIA 30ML</v>
          </cell>
          <cell r="C1303">
            <v>5300620</v>
          </cell>
          <cell r="D1303" t="str">
            <v>CORAL</v>
          </cell>
          <cell r="E1303">
            <v>30039</v>
          </cell>
          <cell r="F1303" t="str">
            <v>TESTE FÁCIL CORAL</v>
          </cell>
          <cell r="G1303" t="str">
            <v>IMOBILIÁRIO</v>
          </cell>
        </row>
        <row r="1304">
          <cell r="A1304">
            <v>86408</v>
          </cell>
          <cell r="B1304" t="str">
            <v>CR T FACIL AZUL VELEJADOR 30ML</v>
          </cell>
          <cell r="C1304">
            <v>5300798</v>
          </cell>
          <cell r="D1304" t="str">
            <v>CORAL</v>
          </cell>
          <cell r="E1304">
            <v>30039</v>
          </cell>
          <cell r="F1304" t="str">
            <v>TESTE FÁCIL CORAL</v>
          </cell>
          <cell r="G1304" t="str">
            <v>IMOBILIÁRIO</v>
          </cell>
        </row>
        <row r="1305">
          <cell r="A1305">
            <v>86452</v>
          </cell>
          <cell r="B1305" t="str">
            <v>CR T FACIL BALE ROSA 30ML</v>
          </cell>
          <cell r="C1305">
            <v>5300877</v>
          </cell>
          <cell r="D1305" t="str">
            <v>CORAL</v>
          </cell>
          <cell r="E1305">
            <v>30039</v>
          </cell>
          <cell r="F1305" t="str">
            <v>TESTE FÁCIL CORAL</v>
          </cell>
          <cell r="G1305" t="str">
            <v>IMOBILIÁRIO</v>
          </cell>
        </row>
        <row r="1306">
          <cell r="A1306">
            <v>86298</v>
          </cell>
          <cell r="B1306" t="str">
            <v>CR T FACIL BARCO A REMO 30ML</v>
          </cell>
          <cell r="C1306">
            <v>5298740</v>
          </cell>
          <cell r="D1306" t="str">
            <v>CORAL</v>
          </cell>
          <cell r="E1306">
            <v>30039</v>
          </cell>
          <cell r="F1306" t="str">
            <v>TESTE FÁCIL CORAL</v>
          </cell>
          <cell r="G1306" t="str">
            <v>IMOBILIÁRIO</v>
          </cell>
        </row>
        <row r="1307">
          <cell r="A1307">
            <v>86347</v>
          </cell>
          <cell r="B1307" t="str">
            <v>CR T FACIL BATIDA DE AMENDOIM 30ML</v>
          </cell>
          <cell r="C1307">
            <v>5300586</v>
          </cell>
          <cell r="D1307" t="str">
            <v>CORAL</v>
          </cell>
          <cell r="E1307">
            <v>30039</v>
          </cell>
          <cell r="F1307" t="str">
            <v>TESTE FÁCIL CORAL</v>
          </cell>
          <cell r="G1307" t="str">
            <v>IMOBILIÁRIO</v>
          </cell>
        </row>
        <row r="1308">
          <cell r="A1308">
            <v>86384</v>
          </cell>
          <cell r="B1308" t="str">
            <v>CR T FACIL BEGE AMULETO 30ML</v>
          </cell>
          <cell r="C1308">
            <v>5300774</v>
          </cell>
          <cell r="D1308" t="str">
            <v>CORAL</v>
          </cell>
          <cell r="E1308">
            <v>30039</v>
          </cell>
          <cell r="F1308" t="str">
            <v>TESTE FÁCIL CORAL</v>
          </cell>
          <cell r="G1308" t="str">
            <v>IMOBILIÁRIO</v>
          </cell>
        </row>
        <row r="1309">
          <cell r="A1309">
            <v>86486</v>
          </cell>
          <cell r="B1309" t="str">
            <v>CR T FACIL BEGE CASTOR 30ML</v>
          </cell>
          <cell r="C1309">
            <v>5300911</v>
          </cell>
          <cell r="D1309" t="str">
            <v>CORAL</v>
          </cell>
          <cell r="E1309">
            <v>30039</v>
          </cell>
          <cell r="F1309" t="str">
            <v>TESTE FÁCIL CORAL</v>
          </cell>
          <cell r="G1309" t="str">
            <v>IMOBILIÁRIO</v>
          </cell>
        </row>
        <row r="1310">
          <cell r="A1310">
            <v>86323</v>
          </cell>
          <cell r="B1310" t="str">
            <v>CR T FACIL BEGE MARFIM 30ML</v>
          </cell>
          <cell r="C1310">
            <v>5300299</v>
          </cell>
          <cell r="D1310" t="str">
            <v>CORAL</v>
          </cell>
          <cell r="E1310">
            <v>30039</v>
          </cell>
          <cell r="F1310" t="str">
            <v>TESTE FÁCIL CORAL</v>
          </cell>
          <cell r="G1310" t="str">
            <v>IMOBILIÁRIO</v>
          </cell>
        </row>
        <row r="1311">
          <cell r="A1311">
            <v>86405</v>
          </cell>
          <cell r="B1311" t="str">
            <v>CR T FACIL BEIJO DE MAE 30ML</v>
          </cell>
          <cell r="C1311">
            <v>5300795</v>
          </cell>
          <cell r="D1311" t="str">
            <v>CORAL</v>
          </cell>
          <cell r="E1311">
            <v>30039</v>
          </cell>
          <cell r="F1311" t="str">
            <v>TESTE FÁCIL CORAL</v>
          </cell>
          <cell r="G1311" t="str">
            <v>IMOBILIÁRIO</v>
          </cell>
        </row>
        <row r="1312">
          <cell r="A1312">
            <v>86450</v>
          </cell>
          <cell r="B1312" t="str">
            <v>CR T FACIL BELA CANCAO 30ML</v>
          </cell>
          <cell r="C1312">
            <v>5300875</v>
          </cell>
          <cell r="D1312" t="str">
            <v>CORAL</v>
          </cell>
          <cell r="E1312">
            <v>30039</v>
          </cell>
          <cell r="F1312" t="str">
            <v>TESTE FÁCIL CORAL</v>
          </cell>
          <cell r="G1312" t="str">
            <v>IMOBILIÁRIO</v>
          </cell>
        </row>
        <row r="1313">
          <cell r="A1313">
            <v>86344</v>
          </cell>
          <cell r="B1313" t="str">
            <v>CR T FACIL BELEZA DO CARIBE 30ML</v>
          </cell>
          <cell r="C1313">
            <v>5300583</v>
          </cell>
          <cell r="D1313" t="str">
            <v>CORAL</v>
          </cell>
          <cell r="E1313">
            <v>30039</v>
          </cell>
          <cell r="F1313" t="str">
            <v>TESTE FÁCIL CORAL</v>
          </cell>
          <cell r="G1313" t="str">
            <v>IMOBILIÁRIO</v>
          </cell>
        </row>
        <row r="1314">
          <cell r="A1314">
            <v>86441</v>
          </cell>
          <cell r="B1314" t="str">
            <v>CR T FACIL BISCOITO DE AMENDOA 30ML</v>
          </cell>
          <cell r="C1314">
            <v>5300866</v>
          </cell>
          <cell r="D1314" t="str">
            <v>CORAL</v>
          </cell>
          <cell r="E1314">
            <v>30039</v>
          </cell>
          <cell r="F1314" t="str">
            <v>TESTE FÁCIL CORAL</v>
          </cell>
          <cell r="G1314" t="str">
            <v>IMOBILIÁRIO</v>
          </cell>
        </row>
        <row r="1315">
          <cell r="A1315">
            <v>86338</v>
          </cell>
          <cell r="B1315" t="str">
            <v>CR T FACIL BLUSH CHOCOLATE 30ML</v>
          </cell>
          <cell r="C1315">
            <v>5300577</v>
          </cell>
          <cell r="D1315" t="str">
            <v>CORAL</v>
          </cell>
          <cell r="E1315">
            <v>30039</v>
          </cell>
          <cell r="F1315" t="str">
            <v>TESTE FÁCIL CORAL</v>
          </cell>
          <cell r="G1315" t="str">
            <v>IMOBILIÁRIO</v>
          </cell>
        </row>
        <row r="1316">
          <cell r="A1316">
            <v>86533</v>
          </cell>
          <cell r="B1316" t="str">
            <v>CR T FACIL BOLA DE BASQUETE 30ML</v>
          </cell>
          <cell r="C1316">
            <v>5300958</v>
          </cell>
          <cell r="D1316" t="str">
            <v>CORAL</v>
          </cell>
          <cell r="E1316">
            <v>30039</v>
          </cell>
          <cell r="F1316" t="str">
            <v>TESTE FÁCIL CORAL</v>
          </cell>
          <cell r="G1316" t="str">
            <v>IMOBILIÁRIO</v>
          </cell>
        </row>
        <row r="1317">
          <cell r="A1317">
            <v>86448</v>
          </cell>
          <cell r="B1317" t="str">
            <v>CR T FACIL BOLA DE GUDE 30ML</v>
          </cell>
          <cell r="C1317">
            <v>5300873</v>
          </cell>
          <cell r="D1317" t="str">
            <v>CORAL</v>
          </cell>
          <cell r="E1317">
            <v>30039</v>
          </cell>
          <cell r="F1317" t="str">
            <v>TESTE FÁCIL CORAL</v>
          </cell>
          <cell r="G1317" t="str">
            <v>IMOBILIÁRIO</v>
          </cell>
        </row>
        <row r="1318">
          <cell r="A1318">
            <v>86492</v>
          </cell>
          <cell r="B1318" t="str">
            <v>CR T FACIL BOMBA DE CHOCOLATE 30ML</v>
          </cell>
          <cell r="C1318">
            <v>5300917</v>
          </cell>
          <cell r="D1318" t="str">
            <v>CORAL</v>
          </cell>
          <cell r="E1318">
            <v>30039</v>
          </cell>
          <cell r="F1318" t="str">
            <v>TESTE FÁCIL CORAL</v>
          </cell>
          <cell r="G1318" t="str">
            <v>IMOBILIÁRIO</v>
          </cell>
        </row>
        <row r="1319">
          <cell r="A1319">
            <v>86398</v>
          </cell>
          <cell r="B1319" t="str">
            <v>CR T FACIL BRANCO ALFAZEMA 30ML</v>
          </cell>
          <cell r="C1319">
            <v>5300788</v>
          </cell>
          <cell r="D1319" t="str">
            <v>CORAL</v>
          </cell>
          <cell r="E1319">
            <v>30039</v>
          </cell>
          <cell r="F1319" t="str">
            <v>TESTE FÁCIL CORAL</v>
          </cell>
          <cell r="G1319" t="str">
            <v>IMOBILIÁRIO</v>
          </cell>
        </row>
        <row r="1320">
          <cell r="A1320">
            <v>86496</v>
          </cell>
          <cell r="B1320" t="str">
            <v>CR T FACIL BRANCO AREIA 30ML</v>
          </cell>
          <cell r="C1320">
            <v>5300921</v>
          </cell>
          <cell r="D1320" t="str">
            <v>CORAL</v>
          </cell>
          <cell r="E1320">
            <v>30039</v>
          </cell>
          <cell r="F1320" t="str">
            <v>TESTE FÁCIL CORAL</v>
          </cell>
          <cell r="G1320" t="str">
            <v>IMOBILIÁRIO</v>
          </cell>
        </row>
        <row r="1321">
          <cell r="A1321">
            <v>86518</v>
          </cell>
          <cell r="B1321" t="str">
            <v>CR T FACIL BRANCO GATINHO 30ML</v>
          </cell>
          <cell r="C1321">
            <v>5300943</v>
          </cell>
          <cell r="D1321" t="str">
            <v>CORAL</v>
          </cell>
          <cell r="E1321">
            <v>30039</v>
          </cell>
          <cell r="F1321" t="str">
            <v>TESTE FÁCIL CORAL</v>
          </cell>
          <cell r="G1321" t="str">
            <v>IMOBILIÁRIO</v>
          </cell>
        </row>
        <row r="1322">
          <cell r="A1322">
            <v>86333</v>
          </cell>
          <cell r="B1322" t="str">
            <v>CR T FACIL BRANCO MEMORIA 30ML</v>
          </cell>
          <cell r="C1322">
            <v>5300572</v>
          </cell>
          <cell r="D1322" t="str">
            <v>CORAL</v>
          </cell>
          <cell r="E1322">
            <v>30039</v>
          </cell>
          <cell r="F1322" t="str">
            <v>TESTE FÁCIL CORAL</v>
          </cell>
          <cell r="G1322" t="str">
            <v>IMOBILIÁRIO</v>
          </cell>
        </row>
        <row r="1323">
          <cell r="A1323">
            <v>86439</v>
          </cell>
          <cell r="B1323" t="str">
            <v>CR T FACIL BRANCO PINTOR 30ML</v>
          </cell>
          <cell r="C1323">
            <v>5300864</v>
          </cell>
          <cell r="D1323" t="str">
            <v>CORAL</v>
          </cell>
          <cell r="E1323">
            <v>30039</v>
          </cell>
          <cell r="F1323" t="str">
            <v>TESTE FÁCIL CORAL</v>
          </cell>
          <cell r="G1323" t="str">
            <v>IMOBILIÁRIO</v>
          </cell>
        </row>
        <row r="1324">
          <cell r="A1324">
            <v>86524</v>
          </cell>
          <cell r="B1324" t="str">
            <v>CR T FACIL BRANCO SUICO 30ML</v>
          </cell>
          <cell r="C1324">
            <v>5300949</v>
          </cell>
          <cell r="D1324" t="str">
            <v>CORAL</v>
          </cell>
          <cell r="E1324">
            <v>30039</v>
          </cell>
          <cell r="F1324" t="str">
            <v>TESTE FÁCIL CORAL</v>
          </cell>
          <cell r="G1324" t="str">
            <v>IMOBILIÁRIO</v>
          </cell>
        </row>
        <row r="1325">
          <cell r="A1325">
            <v>86345</v>
          </cell>
          <cell r="B1325" t="str">
            <v>CR T FACIL BRISA GELADA 30ML</v>
          </cell>
          <cell r="C1325">
            <v>5300584</v>
          </cell>
          <cell r="D1325" t="str">
            <v>CORAL</v>
          </cell>
          <cell r="E1325">
            <v>30039</v>
          </cell>
          <cell r="F1325" t="str">
            <v>TESTE FÁCIL CORAL</v>
          </cell>
          <cell r="G1325" t="str">
            <v>IMOBILIÁRIO</v>
          </cell>
        </row>
        <row r="1326">
          <cell r="A1326">
            <v>86540</v>
          </cell>
          <cell r="B1326" t="str">
            <v>CR T FACIL BRONZE LENDA 30ML</v>
          </cell>
          <cell r="C1326">
            <v>5309454</v>
          </cell>
          <cell r="D1326" t="str">
            <v>CORAL</v>
          </cell>
          <cell r="E1326">
            <v>30039</v>
          </cell>
          <cell r="F1326" t="str">
            <v>TESTE FÁCIL CORAL</v>
          </cell>
          <cell r="G1326" t="str">
            <v>IMOBILIÁRIO</v>
          </cell>
        </row>
        <row r="1327">
          <cell r="A1327">
            <v>86494</v>
          </cell>
          <cell r="B1327" t="str">
            <v>CR T FACIL BRONZE PALM SPRINGS 30ML</v>
          </cell>
          <cell r="C1327">
            <v>5300919</v>
          </cell>
          <cell r="D1327" t="str">
            <v>CORAL</v>
          </cell>
          <cell r="E1327">
            <v>30039</v>
          </cell>
          <cell r="F1327" t="str">
            <v>TESTE FÁCIL CORAL</v>
          </cell>
          <cell r="G1327" t="str">
            <v>IMOBILIÁRIO</v>
          </cell>
        </row>
        <row r="1328">
          <cell r="A1328">
            <v>86383</v>
          </cell>
          <cell r="B1328" t="str">
            <v>CR T FACIL BROTO DE BAMBU 30ML</v>
          </cell>
          <cell r="C1328">
            <v>5300773</v>
          </cell>
          <cell r="D1328" t="str">
            <v>CORAL</v>
          </cell>
          <cell r="E1328">
            <v>30039</v>
          </cell>
          <cell r="F1328" t="str">
            <v>TESTE FÁCIL CORAL</v>
          </cell>
          <cell r="G1328" t="str">
            <v>IMOBILIÁRIO</v>
          </cell>
        </row>
        <row r="1329">
          <cell r="A1329">
            <v>86454</v>
          </cell>
          <cell r="B1329" t="str">
            <v>CR T FACIL BURGUNDY 30ML</v>
          </cell>
          <cell r="C1329">
            <v>5300879</v>
          </cell>
          <cell r="D1329" t="str">
            <v>CORAL</v>
          </cell>
          <cell r="E1329">
            <v>30039</v>
          </cell>
          <cell r="F1329" t="str">
            <v>TESTE FÁCIL CORAL</v>
          </cell>
          <cell r="G1329" t="str">
            <v>IMOBILIÁRIO</v>
          </cell>
        </row>
        <row r="1330">
          <cell r="A1330">
            <v>86391</v>
          </cell>
          <cell r="B1330" t="str">
            <v>CR T FACIL CAFE MISTICO 30ML</v>
          </cell>
          <cell r="C1330">
            <v>5300781</v>
          </cell>
          <cell r="D1330" t="str">
            <v>CORAL</v>
          </cell>
          <cell r="E1330">
            <v>30039</v>
          </cell>
          <cell r="F1330" t="str">
            <v>TESTE FÁCIL CORAL</v>
          </cell>
          <cell r="G1330" t="str">
            <v>IMOBILIÁRIO</v>
          </cell>
        </row>
        <row r="1331">
          <cell r="A1331">
            <v>86485</v>
          </cell>
          <cell r="B1331" t="str">
            <v>CR T FACIL CAMAFEU INTENSO 30ML</v>
          </cell>
          <cell r="C1331">
            <v>5300910</v>
          </cell>
          <cell r="D1331" t="str">
            <v>CORAL</v>
          </cell>
          <cell r="E1331">
            <v>30039</v>
          </cell>
          <cell r="F1331" t="str">
            <v>TESTE FÁCIL CORAL</v>
          </cell>
          <cell r="G1331" t="str">
            <v>IMOBILIÁRIO</v>
          </cell>
        </row>
        <row r="1332">
          <cell r="A1332">
            <v>86318</v>
          </cell>
          <cell r="B1332" t="str">
            <v>CR T FACIL CAMINHO DE CASA 30ML</v>
          </cell>
          <cell r="C1332">
            <v>5300294</v>
          </cell>
          <cell r="D1332" t="str">
            <v>CORAL</v>
          </cell>
          <cell r="E1332">
            <v>30039</v>
          </cell>
          <cell r="F1332" t="str">
            <v>TESTE FÁCIL CORAL</v>
          </cell>
          <cell r="G1332" t="str">
            <v>IMOBILIÁRIO</v>
          </cell>
        </row>
        <row r="1333">
          <cell r="A1333">
            <v>86529</v>
          </cell>
          <cell r="B1333" t="str">
            <v>CR T FACIL CAMURCA 30ML</v>
          </cell>
          <cell r="C1333">
            <v>5300954</v>
          </cell>
          <cell r="D1333" t="str">
            <v>CORAL</v>
          </cell>
          <cell r="E1333">
            <v>30039</v>
          </cell>
          <cell r="F1333" t="str">
            <v>TESTE FÁCIL CORAL</v>
          </cell>
          <cell r="G1333" t="str">
            <v>IMOBILIÁRIO</v>
          </cell>
        </row>
        <row r="1334">
          <cell r="A1334">
            <v>86482</v>
          </cell>
          <cell r="B1334" t="str">
            <v>CR T FACIL CAMURCA ROSA 30ML</v>
          </cell>
          <cell r="C1334">
            <v>5300907</v>
          </cell>
          <cell r="D1334" t="str">
            <v>CORAL</v>
          </cell>
          <cell r="E1334">
            <v>30039</v>
          </cell>
          <cell r="F1334" t="str">
            <v>TESTE FÁCIL CORAL</v>
          </cell>
          <cell r="G1334" t="str">
            <v>IMOBILIÁRIO</v>
          </cell>
        </row>
        <row r="1335">
          <cell r="A1335">
            <v>86349</v>
          </cell>
          <cell r="B1335" t="str">
            <v>CR T FACIL CANARIO BELGA 30ML</v>
          </cell>
          <cell r="C1335">
            <v>5300588</v>
          </cell>
          <cell r="D1335" t="str">
            <v>CORAL</v>
          </cell>
          <cell r="E1335">
            <v>30039</v>
          </cell>
          <cell r="F1335" t="str">
            <v>TESTE FÁCIL CORAL</v>
          </cell>
          <cell r="G1335" t="str">
            <v>IMOBILIÁRIO</v>
          </cell>
        </row>
        <row r="1336">
          <cell r="A1336">
            <v>86433</v>
          </cell>
          <cell r="B1336" t="str">
            <v>CR T FACIL CANCAO DA CIDADE 30ML</v>
          </cell>
          <cell r="C1336">
            <v>5300857</v>
          </cell>
          <cell r="D1336" t="str">
            <v>CORAL</v>
          </cell>
          <cell r="E1336">
            <v>30039</v>
          </cell>
          <cell r="F1336" t="str">
            <v>TESTE FÁCIL CORAL</v>
          </cell>
          <cell r="G1336" t="str">
            <v>IMOBILIÁRIO</v>
          </cell>
        </row>
        <row r="1337">
          <cell r="A1337">
            <v>86489</v>
          </cell>
          <cell r="B1337" t="str">
            <v>CR T FACIL CASA DE CAMPO 30ML</v>
          </cell>
          <cell r="C1337">
            <v>5300914</v>
          </cell>
          <cell r="D1337" t="str">
            <v>CORAL</v>
          </cell>
          <cell r="E1337">
            <v>30039</v>
          </cell>
          <cell r="F1337" t="str">
            <v>TESTE FÁCIL CORAL</v>
          </cell>
          <cell r="G1337" t="str">
            <v>IMOBILIÁRIO</v>
          </cell>
        </row>
        <row r="1338">
          <cell r="A1338">
            <v>86294</v>
          </cell>
          <cell r="B1338" t="str">
            <v>CR T FACIL CASCALHO 30ML</v>
          </cell>
          <cell r="C1338">
            <v>5298255</v>
          </cell>
          <cell r="D1338" t="str">
            <v>CORAL</v>
          </cell>
          <cell r="E1338">
            <v>30039</v>
          </cell>
          <cell r="F1338" t="str">
            <v>TESTE FÁCIL CORAL</v>
          </cell>
          <cell r="G1338" t="str">
            <v>IMOBILIÁRIO</v>
          </cell>
        </row>
        <row r="1339">
          <cell r="A1339">
            <v>86495</v>
          </cell>
          <cell r="B1339" t="str">
            <v>CR T FACIL CASTELO DO DESERTO 30ML</v>
          </cell>
          <cell r="C1339">
            <v>5300920</v>
          </cell>
          <cell r="D1339" t="str">
            <v>CORAL</v>
          </cell>
          <cell r="E1339">
            <v>30039</v>
          </cell>
          <cell r="F1339" t="str">
            <v>TESTE FÁCIL CORAL</v>
          </cell>
          <cell r="G1339" t="str">
            <v>IMOBILIÁRIO</v>
          </cell>
        </row>
        <row r="1340">
          <cell r="A1340">
            <v>86445</v>
          </cell>
          <cell r="B1340" t="str">
            <v>CR T FACIL CASUAL JEANS 30ML</v>
          </cell>
          <cell r="C1340">
            <v>5300870</v>
          </cell>
          <cell r="D1340" t="str">
            <v>CORAL</v>
          </cell>
          <cell r="E1340">
            <v>30039</v>
          </cell>
          <cell r="F1340" t="str">
            <v>TESTE FÁCIL CORAL</v>
          </cell>
          <cell r="G1340" t="str">
            <v>IMOBILIÁRIO</v>
          </cell>
        </row>
        <row r="1341">
          <cell r="A1341">
            <v>86376</v>
          </cell>
          <cell r="B1341" t="str">
            <v>CR T FACIL CELESTE AZUL 30ML</v>
          </cell>
          <cell r="C1341">
            <v>5300615</v>
          </cell>
          <cell r="D1341" t="str">
            <v>CORAL</v>
          </cell>
          <cell r="E1341">
            <v>30039</v>
          </cell>
          <cell r="F1341" t="str">
            <v>TESTE FÁCIL CORAL</v>
          </cell>
          <cell r="G1341" t="str">
            <v>IMOBILIÁRIO</v>
          </cell>
        </row>
        <row r="1342">
          <cell r="A1342">
            <v>86520</v>
          </cell>
          <cell r="B1342" t="str">
            <v>CR T FACIL CEU CINZENTO 30ML</v>
          </cell>
          <cell r="C1342">
            <v>5300945</v>
          </cell>
          <cell r="D1342" t="str">
            <v>CORAL</v>
          </cell>
          <cell r="E1342">
            <v>30039</v>
          </cell>
          <cell r="F1342" t="str">
            <v>TESTE FÁCIL CORAL</v>
          </cell>
          <cell r="G1342" t="str">
            <v>IMOBILIÁRIO</v>
          </cell>
        </row>
        <row r="1343">
          <cell r="A1343">
            <v>86371</v>
          </cell>
          <cell r="B1343" t="str">
            <v>CR T FACIL CHA DANCANTE 30ML</v>
          </cell>
          <cell r="C1343">
            <v>5300610</v>
          </cell>
          <cell r="D1343" t="str">
            <v>CORAL</v>
          </cell>
          <cell r="E1343">
            <v>30039</v>
          </cell>
          <cell r="F1343" t="str">
            <v>TESTE FÁCIL CORAL</v>
          </cell>
          <cell r="G1343" t="str">
            <v>IMOBILIÁRIO</v>
          </cell>
        </row>
        <row r="1344">
          <cell r="A1344">
            <v>86502</v>
          </cell>
          <cell r="B1344" t="str">
            <v>CR T FACIL CHAFARIZ DA PRACA 30ML</v>
          </cell>
          <cell r="C1344">
            <v>5300927</v>
          </cell>
          <cell r="D1344" t="str">
            <v>CORAL</v>
          </cell>
          <cell r="E1344">
            <v>30039</v>
          </cell>
          <cell r="F1344" t="str">
            <v>TESTE FÁCIL CORAL</v>
          </cell>
          <cell r="G1344" t="str">
            <v>IMOBILIÁRIO</v>
          </cell>
        </row>
        <row r="1345">
          <cell r="A1345">
            <v>86468</v>
          </cell>
          <cell r="B1345" t="str">
            <v>CR T FACIL CHARUTO 30ML</v>
          </cell>
          <cell r="C1345">
            <v>5300893</v>
          </cell>
          <cell r="D1345" t="str">
            <v>CORAL</v>
          </cell>
          <cell r="E1345">
            <v>30039</v>
          </cell>
          <cell r="F1345" t="str">
            <v>TESTE FÁCIL CORAL</v>
          </cell>
          <cell r="G1345" t="str">
            <v>IMOBILIÁRIO</v>
          </cell>
        </row>
        <row r="1346">
          <cell r="A1346">
            <v>86306</v>
          </cell>
          <cell r="B1346" t="str">
            <v>CR T FACIL CIMENTO QUEIMADO 30ML</v>
          </cell>
          <cell r="C1346">
            <v>5298748</v>
          </cell>
          <cell r="D1346" t="str">
            <v>CORAL</v>
          </cell>
          <cell r="E1346">
            <v>30039</v>
          </cell>
          <cell r="F1346" t="str">
            <v>TESTE FÁCIL CORAL</v>
          </cell>
          <cell r="G1346" t="str">
            <v>IMOBILIÁRIO</v>
          </cell>
        </row>
        <row r="1347">
          <cell r="A1347">
            <v>86446</v>
          </cell>
          <cell r="B1347" t="str">
            <v>CR T FACIL CINZA CLASSICO 30ML</v>
          </cell>
          <cell r="C1347">
            <v>5300871</v>
          </cell>
          <cell r="D1347" t="str">
            <v>CORAL</v>
          </cell>
          <cell r="E1347">
            <v>30039</v>
          </cell>
          <cell r="F1347" t="str">
            <v>TESTE FÁCIL CORAL</v>
          </cell>
          <cell r="G1347" t="str">
            <v>IMOBILIÁRIO</v>
          </cell>
        </row>
        <row r="1348">
          <cell r="A1348">
            <v>86312</v>
          </cell>
          <cell r="B1348" t="str">
            <v>CR T FACIL CINZA DE GRIFE 30ML</v>
          </cell>
          <cell r="C1348">
            <v>5300288</v>
          </cell>
          <cell r="D1348" t="str">
            <v>CORAL</v>
          </cell>
          <cell r="E1348">
            <v>30039</v>
          </cell>
          <cell r="F1348" t="str">
            <v>TESTE FÁCIL CORAL</v>
          </cell>
          <cell r="G1348" t="str">
            <v>IMOBILIÁRIO</v>
          </cell>
        </row>
        <row r="1349">
          <cell r="A1349">
            <v>86397</v>
          </cell>
          <cell r="B1349" t="str">
            <v>CR T FACIL CINZA EXOTICO 30ML</v>
          </cell>
          <cell r="C1349">
            <v>5300787</v>
          </cell>
          <cell r="D1349" t="str">
            <v>CORAL</v>
          </cell>
          <cell r="E1349">
            <v>30039</v>
          </cell>
          <cell r="F1349" t="str">
            <v>TESTE FÁCIL CORAL</v>
          </cell>
          <cell r="G1349" t="str">
            <v>IMOBILIÁRIO</v>
          </cell>
        </row>
        <row r="1350">
          <cell r="A1350">
            <v>86522</v>
          </cell>
          <cell r="B1350" t="str">
            <v>CR T FACIL CINZA GEADA 30ML</v>
          </cell>
          <cell r="C1350">
            <v>5300947</v>
          </cell>
          <cell r="D1350" t="str">
            <v>CORAL</v>
          </cell>
          <cell r="E1350">
            <v>30039</v>
          </cell>
          <cell r="F1350" t="str">
            <v>TESTE FÁCIL CORAL</v>
          </cell>
          <cell r="G1350" t="str">
            <v>IMOBILIÁRIO</v>
          </cell>
        </row>
        <row r="1351">
          <cell r="A1351">
            <v>86513</v>
          </cell>
          <cell r="B1351" t="str">
            <v>CR T FACIL CINZA NEVOA 30ML</v>
          </cell>
          <cell r="C1351">
            <v>5300938</v>
          </cell>
          <cell r="D1351" t="str">
            <v>CORAL</v>
          </cell>
          <cell r="E1351">
            <v>30039</v>
          </cell>
          <cell r="F1351" t="str">
            <v>TESTE FÁCIL CORAL</v>
          </cell>
          <cell r="G1351" t="str">
            <v>IMOBILIÁRIO</v>
          </cell>
        </row>
        <row r="1352">
          <cell r="A1352">
            <v>86320</v>
          </cell>
          <cell r="B1352" t="str">
            <v>CR T FACIL CINZA NOBRE 30ML</v>
          </cell>
          <cell r="C1352">
            <v>5300296</v>
          </cell>
          <cell r="D1352" t="str">
            <v>CORAL</v>
          </cell>
          <cell r="E1352">
            <v>30039</v>
          </cell>
          <cell r="F1352" t="str">
            <v>TESTE FÁCIL CORAL</v>
          </cell>
          <cell r="G1352" t="str">
            <v>IMOBILIÁRIO</v>
          </cell>
        </row>
        <row r="1353">
          <cell r="A1353">
            <v>86409</v>
          </cell>
          <cell r="B1353" t="str">
            <v>CR T FACIL CLUBE AQUATICO 30ML</v>
          </cell>
          <cell r="C1353">
            <v>5300799</v>
          </cell>
          <cell r="D1353" t="str">
            <v>CORAL</v>
          </cell>
          <cell r="E1353">
            <v>30039</v>
          </cell>
          <cell r="F1353" t="str">
            <v>TESTE FÁCIL CORAL</v>
          </cell>
          <cell r="G1353" t="str">
            <v>IMOBILIÁRIO</v>
          </cell>
        </row>
        <row r="1354">
          <cell r="A1354">
            <v>86358</v>
          </cell>
          <cell r="B1354" t="str">
            <v>CR T FACIL COBRE ARANDELA 30ML</v>
          </cell>
          <cell r="C1354">
            <v>5300597</v>
          </cell>
          <cell r="D1354" t="str">
            <v>CORAL</v>
          </cell>
          <cell r="E1354">
            <v>30039</v>
          </cell>
          <cell r="F1354" t="str">
            <v>TESTE FÁCIL CORAL</v>
          </cell>
          <cell r="G1354" t="str">
            <v>IMOBILIÁRIO</v>
          </cell>
        </row>
        <row r="1355">
          <cell r="A1355">
            <v>86297</v>
          </cell>
          <cell r="B1355" t="str">
            <v>CR T FACIL COGUMELO JAPONES 30ML</v>
          </cell>
          <cell r="C1355">
            <v>5298258</v>
          </cell>
          <cell r="D1355" t="str">
            <v>CORAL</v>
          </cell>
          <cell r="E1355">
            <v>30039</v>
          </cell>
          <cell r="F1355" t="str">
            <v>TESTE FÁCIL CORAL</v>
          </cell>
          <cell r="G1355" t="str">
            <v>IMOBILIÁRIO</v>
          </cell>
        </row>
        <row r="1356">
          <cell r="A1356">
            <v>86296</v>
          </cell>
          <cell r="B1356" t="str">
            <v>CR T FACIL COLAR DE PRATA 30ML</v>
          </cell>
          <cell r="C1356">
            <v>5298257</v>
          </cell>
          <cell r="D1356" t="str">
            <v>CORAL</v>
          </cell>
          <cell r="E1356">
            <v>30039</v>
          </cell>
          <cell r="F1356" t="str">
            <v>TESTE FÁCIL CORAL</v>
          </cell>
          <cell r="G1356" t="str">
            <v>IMOBILIÁRIO</v>
          </cell>
        </row>
        <row r="1357">
          <cell r="A1357">
            <v>86426</v>
          </cell>
          <cell r="B1357" t="str">
            <v>CR T FACIL COLHEITA DE LAVANDA 30ML</v>
          </cell>
          <cell r="C1357">
            <v>5300816</v>
          </cell>
          <cell r="D1357" t="str">
            <v>CORAL</v>
          </cell>
          <cell r="E1357">
            <v>30039</v>
          </cell>
          <cell r="F1357" t="str">
            <v>TESTE FÁCIL CORAL</v>
          </cell>
          <cell r="G1357" t="str">
            <v>IMOBILIÁRIO</v>
          </cell>
        </row>
        <row r="1358">
          <cell r="A1358">
            <v>86531</v>
          </cell>
          <cell r="B1358" t="str">
            <v>CR T FACIL CONCRETO 30ML</v>
          </cell>
          <cell r="C1358">
            <v>5300956</v>
          </cell>
          <cell r="D1358" t="str">
            <v>CORAL</v>
          </cell>
          <cell r="E1358">
            <v>30039</v>
          </cell>
          <cell r="F1358" t="str">
            <v>TESTE FÁCIL CORAL</v>
          </cell>
          <cell r="G1358" t="str">
            <v>IMOBILIÁRIO</v>
          </cell>
        </row>
        <row r="1359">
          <cell r="A1359">
            <v>86324</v>
          </cell>
          <cell r="B1359" t="str">
            <v>CR T FACIL CORRENTE OCEANICA 30ML</v>
          </cell>
          <cell r="C1359">
            <v>5300300</v>
          </cell>
          <cell r="D1359" t="str">
            <v>CORAL</v>
          </cell>
          <cell r="E1359">
            <v>30039</v>
          </cell>
          <cell r="F1359" t="str">
            <v>TESTE FÁCIL CORAL</v>
          </cell>
          <cell r="G1359" t="str">
            <v>IMOBILIÁRIO</v>
          </cell>
        </row>
        <row r="1360">
          <cell r="A1360">
            <v>86447</v>
          </cell>
          <cell r="B1360" t="str">
            <v>CR T FACIL CORRIDA DE RUA 30ML</v>
          </cell>
          <cell r="C1360">
            <v>5300872</v>
          </cell>
          <cell r="D1360" t="str">
            <v>CORAL</v>
          </cell>
          <cell r="E1360">
            <v>30039</v>
          </cell>
          <cell r="F1360" t="str">
            <v>TESTE FÁCIL CORAL</v>
          </cell>
          <cell r="G1360" t="str">
            <v>IMOBILIÁRIO</v>
          </cell>
        </row>
        <row r="1361">
          <cell r="A1361">
            <v>86336</v>
          </cell>
          <cell r="B1361" t="str">
            <v>CR T FACIL COSTA DO PELICANO 30ML</v>
          </cell>
          <cell r="C1361">
            <v>5300575</v>
          </cell>
          <cell r="D1361" t="str">
            <v>CORAL</v>
          </cell>
          <cell r="E1361">
            <v>30039</v>
          </cell>
          <cell r="F1361" t="str">
            <v>TESTE FÁCIL CORAL</v>
          </cell>
          <cell r="G1361" t="str">
            <v>IMOBILIÁRIO</v>
          </cell>
        </row>
        <row r="1362">
          <cell r="A1362">
            <v>86491</v>
          </cell>
          <cell r="B1362" t="str">
            <v>CR T FACIL CREME BATIDO 30ML</v>
          </cell>
          <cell r="C1362">
            <v>5300916</v>
          </cell>
          <cell r="D1362" t="str">
            <v>CORAL</v>
          </cell>
          <cell r="E1362">
            <v>30039</v>
          </cell>
          <cell r="F1362" t="str">
            <v>TESTE FÁCIL CORAL</v>
          </cell>
          <cell r="G1362" t="str">
            <v>IMOBILIÁRIO</v>
          </cell>
        </row>
        <row r="1363">
          <cell r="A1363">
            <v>86317</v>
          </cell>
          <cell r="B1363" t="str">
            <v>CR T FACIL CULTURA GREGA 30ML</v>
          </cell>
          <cell r="C1363">
            <v>5300293</v>
          </cell>
          <cell r="D1363" t="str">
            <v>CORAL</v>
          </cell>
          <cell r="E1363">
            <v>30039</v>
          </cell>
          <cell r="F1363" t="str">
            <v>TESTE FÁCIL CORAL</v>
          </cell>
          <cell r="G1363" t="str">
            <v>IMOBILIÁRIO</v>
          </cell>
        </row>
        <row r="1364">
          <cell r="A1364">
            <v>86455</v>
          </cell>
          <cell r="B1364" t="str">
            <v>CR T FACIL DELICIA DE CAFE 30ML</v>
          </cell>
          <cell r="C1364">
            <v>5300880</v>
          </cell>
          <cell r="D1364" t="str">
            <v>CORAL</v>
          </cell>
          <cell r="E1364">
            <v>30039</v>
          </cell>
          <cell r="F1364" t="str">
            <v>TESTE FÁCIL CORAL</v>
          </cell>
          <cell r="G1364" t="str">
            <v>IMOBILIÁRIO</v>
          </cell>
        </row>
        <row r="1365">
          <cell r="A1365">
            <v>86469</v>
          </cell>
          <cell r="B1365" t="str">
            <v>CR T FACIL DELICIA DE VERAO 30ML</v>
          </cell>
          <cell r="C1365">
            <v>5300894</v>
          </cell>
          <cell r="D1365" t="str">
            <v>CORAL</v>
          </cell>
          <cell r="E1365">
            <v>30039</v>
          </cell>
          <cell r="F1365" t="str">
            <v>TESTE FÁCIL CORAL</v>
          </cell>
          <cell r="G1365" t="str">
            <v>IMOBILIÁRIO</v>
          </cell>
        </row>
        <row r="1366">
          <cell r="A1366">
            <v>86464</v>
          </cell>
          <cell r="B1366" t="str">
            <v>CR T FACIL DESCIDA DA DUNA 30ML</v>
          </cell>
          <cell r="C1366">
            <v>5300889</v>
          </cell>
          <cell r="D1366" t="str">
            <v>CORAL</v>
          </cell>
          <cell r="E1366">
            <v>30039</v>
          </cell>
          <cell r="F1366" t="str">
            <v>TESTE FÁCIL CORAL</v>
          </cell>
          <cell r="G1366" t="str">
            <v>IMOBILIÁRIO</v>
          </cell>
        </row>
        <row r="1367">
          <cell r="A1367">
            <v>86351</v>
          </cell>
          <cell r="B1367" t="str">
            <v>CR T FACIL DEUSA DO PESSEGO 30ML</v>
          </cell>
          <cell r="C1367">
            <v>5300590</v>
          </cell>
          <cell r="D1367" t="str">
            <v>CORAL</v>
          </cell>
          <cell r="E1367">
            <v>30039</v>
          </cell>
          <cell r="F1367" t="str">
            <v>TESTE FÁCIL CORAL</v>
          </cell>
          <cell r="G1367" t="str">
            <v>IMOBILIÁRIO</v>
          </cell>
        </row>
        <row r="1368">
          <cell r="A1368">
            <v>86453</v>
          </cell>
          <cell r="B1368" t="str">
            <v>CR T FACIL DIA FELIZ 30ML</v>
          </cell>
          <cell r="C1368">
            <v>5300878</v>
          </cell>
          <cell r="D1368" t="str">
            <v>CORAL</v>
          </cell>
          <cell r="E1368">
            <v>30039</v>
          </cell>
          <cell r="F1368" t="str">
            <v>TESTE FÁCIL CORAL</v>
          </cell>
          <cell r="G1368" t="str">
            <v>IMOBILIÁRIO</v>
          </cell>
        </row>
        <row r="1369">
          <cell r="A1369">
            <v>86337</v>
          </cell>
          <cell r="B1369" t="str">
            <v>CR T FACIL DIGNIDADE 30ML</v>
          </cell>
          <cell r="C1369">
            <v>5300576</v>
          </cell>
          <cell r="D1369" t="str">
            <v>CORAL</v>
          </cell>
          <cell r="E1369">
            <v>30039</v>
          </cell>
          <cell r="F1369" t="str">
            <v>TESTE FÁCIL CORAL</v>
          </cell>
          <cell r="G1369" t="str">
            <v>IMOBILIÁRIO</v>
          </cell>
        </row>
        <row r="1370">
          <cell r="A1370">
            <v>86532</v>
          </cell>
          <cell r="B1370" t="str">
            <v>CR T FACIL DOCE DE TANGERINA 30ML</v>
          </cell>
          <cell r="C1370">
            <v>5300957</v>
          </cell>
          <cell r="D1370" t="str">
            <v>CORAL</v>
          </cell>
          <cell r="E1370">
            <v>30039</v>
          </cell>
          <cell r="F1370" t="str">
            <v>TESTE FÁCIL CORAL</v>
          </cell>
          <cell r="G1370" t="str">
            <v>IMOBILIÁRIO</v>
          </cell>
        </row>
        <row r="1371">
          <cell r="A1371">
            <v>86451</v>
          </cell>
          <cell r="B1371" t="str">
            <v>CR T FACIL DOCE VIDA 30ML</v>
          </cell>
          <cell r="C1371">
            <v>5300876</v>
          </cell>
          <cell r="D1371" t="str">
            <v>CORAL</v>
          </cell>
          <cell r="E1371">
            <v>30039</v>
          </cell>
          <cell r="F1371" t="str">
            <v>TESTE FÁCIL CORAL</v>
          </cell>
          <cell r="G1371" t="str">
            <v>IMOBILIÁRIO</v>
          </cell>
        </row>
        <row r="1372">
          <cell r="A1372">
            <v>86467</v>
          </cell>
          <cell r="B1372" t="str">
            <v>CR T FACIL DOCE-MEL 30ML</v>
          </cell>
          <cell r="C1372">
            <v>5300892</v>
          </cell>
          <cell r="D1372" t="str">
            <v>CORAL</v>
          </cell>
          <cell r="E1372">
            <v>30039</v>
          </cell>
          <cell r="F1372" t="str">
            <v>TESTE FÁCIL CORAL</v>
          </cell>
          <cell r="G1372" t="str">
            <v>IMOBILIÁRIO</v>
          </cell>
        </row>
        <row r="1373">
          <cell r="A1373">
            <v>86368</v>
          </cell>
          <cell r="B1373" t="str">
            <v>CR T FACIL ENFEITE DE NATAL 30ML</v>
          </cell>
          <cell r="C1373">
            <v>5300607</v>
          </cell>
          <cell r="D1373" t="str">
            <v>CORAL</v>
          </cell>
          <cell r="E1373">
            <v>30039</v>
          </cell>
          <cell r="F1373" t="str">
            <v>TESTE FÁCIL CORAL</v>
          </cell>
          <cell r="G1373" t="str">
            <v>IMOBILIÁRIO</v>
          </cell>
        </row>
        <row r="1374">
          <cell r="A1374">
            <v>86438</v>
          </cell>
          <cell r="B1374" t="str">
            <v>CR T FACIL EQUINOCIO DE OUTONO 30ML</v>
          </cell>
          <cell r="C1374">
            <v>5300863</v>
          </cell>
          <cell r="D1374" t="str">
            <v>CORAL</v>
          </cell>
          <cell r="E1374">
            <v>30039</v>
          </cell>
          <cell r="F1374" t="str">
            <v>TESTE FÁCIL CORAL</v>
          </cell>
          <cell r="G1374" t="str">
            <v>IMOBILIÁRIO</v>
          </cell>
        </row>
        <row r="1375">
          <cell r="A1375">
            <v>86443</v>
          </cell>
          <cell r="B1375" t="str">
            <v>CR T FACIL ESCRITA ANTIGA 30ML</v>
          </cell>
          <cell r="C1375">
            <v>5300868</v>
          </cell>
          <cell r="D1375" t="str">
            <v>CORAL</v>
          </cell>
          <cell r="E1375">
            <v>30039</v>
          </cell>
          <cell r="F1375" t="str">
            <v>TESTE FÁCIL CORAL</v>
          </cell>
          <cell r="G1375" t="str">
            <v>IMOBILIÁRIO</v>
          </cell>
        </row>
        <row r="1376">
          <cell r="A1376">
            <v>86348</v>
          </cell>
          <cell r="B1376" t="str">
            <v>CR T FACIL ESCULTURA EM MADEIRA 30ML</v>
          </cell>
          <cell r="C1376">
            <v>5300587</v>
          </cell>
          <cell r="D1376" t="str">
            <v>CORAL</v>
          </cell>
          <cell r="E1376">
            <v>30039</v>
          </cell>
          <cell r="F1376" t="str">
            <v>TESTE FÁCIL CORAL</v>
          </cell>
          <cell r="G1376" t="str">
            <v>IMOBILIÁRIO</v>
          </cell>
        </row>
        <row r="1377">
          <cell r="A1377">
            <v>86535</v>
          </cell>
          <cell r="B1377" t="str">
            <v>CR T FACIL ESPIRITO DE SEDUCAO 30ML</v>
          </cell>
          <cell r="C1377">
            <v>5300960</v>
          </cell>
          <cell r="D1377" t="str">
            <v>CORAL</v>
          </cell>
          <cell r="E1377">
            <v>30039</v>
          </cell>
          <cell r="F1377" t="str">
            <v>TESTE FÁCIL CORAL</v>
          </cell>
          <cell r="G1377" t="str">
            <v>IMOBILIÁRIO</v>
          </cell>
        </row>
        <row r="1378">
          <cell r="A1378">
            <v>86403</v>
          </cell>
          <cell r="B1378" t="str">
            <v>CR T FACIL ESTATUA ANTIGA 30ML</v>
          </cell>
          <cell r="C1378">
            <v>5300793</v>
          </cell>
          <cell r="D1378" t="str">
            <v>CORAL</v>
          </cell>
          <cell r="E1378">
            <v>30039</v>
          </cell>
          <cell r="F1378" t="str">
            <v>TESTE FÁCIL CORAL</v>
          </cell>
          <cell r="G1378" t="str">
            <v>IMOBILIÁRIO</v>
          </cell>
        </row>
        <row r="1379">
          <cell r="A1379">
            <v>86511</v>
          </cell>
          <cell r="B1379" t="str">
            <v>CR T FACIL ESTILO MARCANTE 30ML</v>
          </cell>
          <cell r="C1379">
            <v>5300936</v>
          </cell>
          <cell r="D1379" t="str">
            <v>CORAL</v>
          </cell>
          <cell r="E1379">
            <v>30039</v>
          </cell>
          <cell r="F1379" t="str">
            <v>TESTE FÁCIL CORAL</v>
          </cell>
          <cell r="G1379" t="str">
            <v>IMOBILIÁRIO</v>
          </cell>
        </row>
        <row r="1380">
          <cell r="A1380">
            <v>86508</v>
          </cell>
          <cell r="B1380" t="str">
            <v>CR T FACIL EXPEDICAO MARITIMA 30ML</v>
          </cell>
          <cell r="C1380">
            <v>5300933</v>
          </cell>
          <cell r="D1380" t="str">
            <v>CORAL</v>
          </cell>
          <cell r="E1380">
            <v>30039</v>
          </cell>
          <cell r="F1380" t="str">
            <v>TESTE FÁCIL CORAL</v>
          </cell>
          <cell r="G1380" t="str">
            <v>IMOBILIÁRIO</v>
          </cell>
        </row>
        <row r="1381">
          <cell r="A1381">
            <v>86361</v>
          </cell>
          <cell r="B1381" t="str">
            <v>CR T FACIL EXTREMO SUL 30ML</v>
          </cell>
          <cell r="C1381">
            <v>5300600</v>
          </cell>
          <cell r="D1381" t="str">
            <v>CORAL</v>
          </cell>
          <cell r="E1381">
            <v>30039</v>
          </cell>
          <cell r="F1381" t="str">
            <v>TESTE FÁCIL CORAL</v>
          </cell>
          <cell r="G1381" t="str">
            <v>IMOBILIÁRIO</v>
          </cell>
        </row>
        <row r="1382">
          <cell r="A1382">
            <v>86342</v>
          </cell>
          <cell r="B1382" t="str">
            <v>CR T FACIL FESTA PRIMAVERIL 30ML</v>
          </cell>
          <cell r="C1382">
            <v>5300581</v>
          </cell>
          <cell r="D1382" t="str">
            <v>CORAL</v>
          </cell>
          <cell r="E1382">
            <v>30039</v>
          </cell>
          <cell r="F1382" t="str">
            <v>TESTE FÁCIL CORAL</v>
          </cell>
          <cell r="G1382" t="str">
            <v>IMOBILIÁRIO</v>
          </cell>
        </row>
        <row r="1383">
          <cell r="A1383">
            <v>86472</v>
          </cell>
          <cell r="B1383" t="str">
            <v>CR T FACIL FIGO VERDE 30ML</v>
          </cell>
          <cell r="C1383">
            <v>5300897</v>
          </cell>
          <cell r="D1383" t="str">
            <v>CORAL</v>
          </cell>
          <cell r="E1383">
            <v>30039</v>
          </cell>
          <cell r="F1383" t="str">
            <v>TESTE FÁCIL CORAL</v>
          </cell>
          <cell r="G1383" t="str">
            <v>IMOBILIÁRIO</v>
          </cell>
        </row>
        <row r="1384">
          <cell r="A1384">
            <v>86477</v>
          </cell>
          <cell r="B1384" t="str">
            <v>CR T FACIL FITA VIOLETA 30ML</v>
          </cell>
          <cell r="C1384">
            <v>5300902</v>
          </cell>
          <cell r="D1384" t="str">
            <v>CORAL</v>
          </cell>
          <cell r="E1384">
            <v>30039</v>
          </cell>
          <cell r="F1384" t="str">
            <v>TESTE FÁCIL CORAL</v>
          </cell>
          <cell r="G1384" t="str">
            <v>IMOBILIÁRIO</v>
          </cell>
        </row>
        <row r="1385">
          <cell r="A1385">
            <v>86461</v>
          </cell>
          <cell r="B1385" t="str">
            <v>CR T FACIL FLOR DE LARANJEIRA 30ML</v>
          </cell>
          <cell r="C1385">
            <v>5300886</v>
          </cell>
          <cell r="D1385" t="str">
            <v>CORAL</v>
          </cell>
          <cell r="E1385">
            <v>30039</v>
          </cell>
          <cell r="F1385" t="str">
            <v>TESTE FÁCIL CORAL</v>
          </cell>
          <cell r="G1385" t="str">
            <v>IMOBILIÁRIO</v>
          </cell>
        </row>
        <row r="1386">
          <cell r="A1386">
            <v>86404</v>
          </cell>
          <cell r="B1386" t="str">
            <v>CR T FACIL FLORESCER DE SETEMBRO 30ML</v>
          </cell>
          <cell r="C1386">
            <v>5300794</v>
          </cell>
          <cell r="D1386" t="str">
            <v>CORAL</v>
          </cell>
          <cell r="E1386">
            <v>30039</v>
          </cell>
          <cell r="F1386" t="str">
            <v>TESTE FÁCIL CORAL</v>
          </cell>
          <cell r="G1386" t="str">
            <v>IMOBILIÁRIO</v>
          </cell>
        </row>
        <row r="1387">
          <cell r="A1387">
            <v>86509</v>
          </cell>
          <cell r="B1387" t="str">
            <v>CR T FACIL FOLHA CINZENTA 30ML</v>
          </cell>
          <cell r="C1387">
            <v>5300934</v>
          </cell>
          <cell r="D1387" t="str">
            <v>CORAL</v>
          </cell>
          <cell r="E1387">
            <v>30039</v>
          </cell>
          <cell r="F1387" t="str">
            <v>TESTE FÁCIL CORAL</v>
          </cell>
          <cell r="G1387" t="str">
            <v>IMOBILIÁRIO</v>
          </cell>
        </row>
        <row r="1388">
          <cell r="A1388">
            <v>86498</v>
          </cell>
          <cell r="B1388" t="str">
            <v>CR T FACIL FOLHA DE ALCACHOFRA 30ML</v>
          </cell>
          <cell r="C1388">
            <v>5300923</v>
          </cell>
          <cell r="D1388" t="str">
            <v>CORAL</v>
          </cell>
          <cell r="E1388">
            <v>30039</v>
          </cell>
          <cell r="F1388" t="str">
            <v>TESTE FÁCIL CORAL</v>
          </cell>
          <cell r="G1388" t="str">
            <v>IMOBILIÁRIO</v>
          </cell>
        </row>
        <row r="1389">
          <cell r="A1389">
            <v>86301</v>
          </cell>
          <cell r="B1389" t="str">
            <v>CR T FACIL FOLHA DE MATE 30ML</v>
          </cell>
          <cell r="C1389">
            <v>5298743</v>
          </cell>
          <cell r="D1389" t="str">
            <v>CORAL</v>
          </cell>
          <cell r="E1389">
            <v>30039</v>
          </cell>
          <cell r="F1389" t="str">
            <v>TESTE FÁCIL CORAL</v>
          </cell>
          <cell r="G1389" t="str">
            <v>IMOBILIÁRIO</v>
          </cell>
        </row>
        <row r="1390">
          <cell r="A1390">
            <v>86500</v>
          </cell>
          <cell r="B1390" t="str">
            <v>CR T FACIL FOLHAGEM SUAVE 30ML</v>
          </cell>
          <cell r="C1390">
            <v>5300925</v>
          </cell>
          <cell r="D1390" t="str">
            <v>CORAL</v>
          </cell>
          <cell r="E1390">
            <v>30039</v>
          </cell>
          <cell r="F1390" t="str">
            <v>TESTE FÁCIL CORAL</v>
          </cell>
          <cell r="G1390" t="str">
            <v>IMOBILIÁRIO</v>
          </cell>
        </row>
        <row r="1391">
          <cell r="A1391">
            <v>86459</v>
          </cell>
          <cell r="B1391" t="str">
            <v>CR T FACIL FRUTO DO GUARANA 30ML</v>
          </cell>
          <cell r="C1391">
            <v>5300884</v>
          </cell>
          <cell r="D1391" t="str">
            <v>CORAL</v>
          </cell>
          <cell r="E1391">
            <v>30039</v>
          </cell>
          <cell r="F1391" t="str">
            <v>TESTE FÁCIL CORAL</v>
          </cell>
          <cell r="G1391" t="str">
            <v>IMOBILIÁRIO</v>
          </cell>
        </row>
        <row r="1392">
          <cell r="A1392">
            <v>86481</v>
          </cell>
          <cell r="B1392" t="str">
            <v>CR T FACIL FUGA DO TEMPO 30ML</v>
          </cell>
          <cell r="C1392">
            <v>5300906</v>
          </cell>
          <cell r="D1392" t="str">
            <v>CORAL</v>
          </cell>
          <cell r="E1392">
            <v>30039</v>
          </cell>
          <cell r="F1392" t="str">
            <v>TESTE FÁCIL CORAL</v>
          </cell>
          <cell r="G1392" t="str">
            <v>IMOBILIÁRIO</v>
          </cell>
        </row>
        <row r="1393">
          <cell r="A1393">
            <v>86328</v>
          </cell>
          <cell r="B1393" t="str">
            <v>CR T FACIL GOLFINHO DE NORONHA 30ML</v>
          </cell>
          <cell r="C1393">
            <v>5300304</v>
          </cell>
          <cell r="D1393" t="str">
            <v>CORAL</v>
          </cell>
          <cell r="E1393">
            <v>30039</v>
          </cell>
          <cell r="F1393" t="str">
            <v>TESTE FÁCIL CORAL</v>
          </cell>
          <cell r="G1393" t="str">
            <v>IMOBILIÁRIO</v>
          </cell>
        </row>
        <row r="1394">
          <cell r="A1394">
            <v>86372</v>
          </cell>
          <cell r="B1394" t="str">
            <v>CR T FACIL GOMA DE HORTELA 30ML</v>
          </cell>
          <cell r="C1394">
            <v>5300611</v>
          </cell>
          <cell r="D1394" t="str">
            <v>CORAL</v>
          </cell>
          <cell r="E1394">
            <v>30039</v>
          </cell>
          <cell r="F1394" t="str">
            <v>TESTE FÁCIL CORAL</v>
          </cell>
          <cell r="G1394" t="str">
            <v>IMOBILIÁRIO</v>
          </cell>
        </row>
        <row r="1395">
          <cell r="A1395">
            <v>86341</v>
          </cell>
          <cell r="B1395" t="str">
            <v>CR T FACIL GOTAS DO MAR 30ML</v>
          </cell>
          <cell r="C1395">
            <v>5300580</v>
          </cell>
          <cell r="D1395" t="str">
            <v>CORAL</v>
          </cell>
          <cell r="E1395">
            <v>30039</v>
          </cell>
          <cell r="F1395" t="str">
            <v>TESTE FÁCIL CORAL</v>
          </cell>
          <cell r="G1395" t="str">
            <v>IMOBILIÁRIO</v>
          </cell>
        </row>
        <row r="1396">
          <cell r="A1396">
            <v>86512</v>
          </cell>
          <cell r="B1396" t="str">
            <v>CR T FACIL GRANITO MOLHADO 30ML</v>
          </cell>
          <cell r="C1396">
            <v>5300937</v>
          </cell>
          <cell r="D1396" t="str">
            <v>CORAL</v>
          </cell>
          <cell r="E1396">
            <v>30039</v>
          </cell>
          <cell r="F1396" t="str">
            <v>TESTE FÁCIL CORAL</v>
          </cell>
          <cell r="G1396" t="str">
            <v>IMOBILIÁRIO</v>
          </cell>
        </row>
        <row r="1397">
          <cell r="A1397">
            <v>86470</v>
          </cell>
          <cell r="B1397" t="str">
            <v>CR T FACIL GRAO VERDE 30ML</v>
          </cell>
          <cell r="C1397">
            <v>5300895</v>
          </cell>
          <cell r="D1397" t="str">
            <v>CORAL</v>
          </cell>
          <cell r="E1397">
            <v>30039</v>
          </cell>
          <cell r="F1397" t="str">
            <v>TESTE FÁCIL CORAL</v>
          </cell>
          <cell r="G1397" t="str">
            <v>IMOBILIÁRIO</v>
          </cell>
        </row>
        <row r="1398">
          <cell r="A1398">
            <v>86339</v>
          </cell>
          <cell r="B1398" t="str">
            <v>CR T FACIL GRINALDA 30ML</v>
          </cell>
          <cell r="C1398">
            <v>5300578</v>
          </cell>
          <cell r="D1398" t="str">
            <v>CORAL</v>
          </cell>
          <cell r="E1398">
            <v>30039</v>
          </cell>
          <cell r="F1398" t="str">
            <v>TESTE FÁCIL CORAL</v>
          </cell>
          <cell r="G1398" t="str">
            <v>IMOBILIÁRIO</v>
          </cell>
        </row>
        <row r="1399">
          <cell r="A1399">
            <v>86501</v>
          </cell>
          <cell r="B1399" t="str">
            <v>CR T FACIL HABITAT 30ML</v>
          </cell>
          <cell r="C1399">
            <v>5300926</v>
          </cell>
          <cell r="D1399" t="str">
            <v>CORAL</v>
          </cell>
          <cell r="E1399">
            <v>30039</v>
          </cell>
          <cell r="F1399" t="str">
            <v>TESTE FÁCIL CORAL</v>
          </cell>
          <cell r="G1399" t="str">
            <v>IMOBILIÁRIO</v>
          </cell>
        </row>
        <row r="1400">
          <cell r="A1400">
            <v>86449</v>
          </cell>
          <cell r="B1400" t="str">
            <v>CR T FACIL IMENSIDAO CINZA 30ML</v>
          </cell>
          <cell r="C1400">
            <v>5300874</v>
          </cell>
          <cell r="D1400" t="str">
            <v>CORAL</v>
          </cell>
          <cell r="E1400">
            <v>30039</v>
          </cell>
          <cell r="F1400" t="str">
            <v>TESTE FÁCIL CORAL</v>
          </cell>
          <cell r="G1400" t="str">
            <v>IMOBILIÁRIO</v>
          </cell>
        </row>
        <row r="1401">
          <cell r="A1401">
            <v>86392</v>
          </cell>
          <cell r="B1401" t="str">
            <v>CR T FACIL INVERNO AZUL 30ML</v>
          </cell>
          <cell r="C1401">
            <v>5300782</v>
          </cell>
          <cell r="D1401" t="str">
            <v>CORAL</v>
          </cell>
          <cell r="E1401">
            <v>30039</v>
          </cell>
          <cell r="F1401" t="str">
            <v>TESTE FÁCIL CORAL</v>
          </cell>
          <cell r="G1401" t="str">
            <v>IMOBILIÁRIO</v>
          </cell>
        </row>
        <row r="1402">
          <cell r="A1402">
            <v>86357</v>
          </cell>
          <cell r="B1402" t="str">
            <v>CR T FACIL INVERNO LONDRINO 30ML</v>
          </cell>
          <cell r="C1402">
            <v>5300596</v>
          </cell>
          <cell r="D1402" t="str">
            <v>CORAL</v>
          </cell>
          <cell r="E1402">
            <v>30039</v>
          </cell>
          <cell r="F1402" t="str">
            <v>TESTE FÁCIL CORAL</v>
          </cell>
          <cell r="G1402" t="str">
            <v>IMOBILIÁRIO</v>
          </cell>
        </row>
        <row r="1403">
          <cell r="A1403">
            <v>86329</v>
          </cell>
          <cell r="B1403" t="str">
            <v>CR T FACIL ISTAMBUL 30ML</v>
          </cell>
          <cell r="C1403">
            <v>5300305</v>
          </cell>
          <cell r="D1403" t="str">
            <v>CORAL</v>
          </cell>
          <cell r="E1403">
            <v>30039</v>
          </cell>
          <cell r="F1403" t="str">
            <v>TESTE FÁCIL CORAL</v>
          </cell>
          <cell r="G1403" t="str">
            <v>IMOBILIÁRIO</v>
          </cell>
        </row>
        <row r="1404">
          <cell r="A1404">
            <v>86505</v>
          </cell>
          <cell r="B1404" t="str">
            <v>CR T FACIL JARDIM DA COMPREENSAO 30ML</v>
          </cell>
          <cell r="C1404">
            <v>5300930</v>
          </cell>
          <cell r="D1404" t="str">
            <v>CORAL</v>
          </cell>
          <cell r="E1404">
            <v>30039</v>
          </cell>
          <cell r="F1404" t="str">
            <v>TESTE FÁCIL CORAL</v>
          </cell>
          <cell r="G1404" t="str">
            <v>IMOBILIÁRIO</v>
          </cell>
        </row>
        <row r="1405">
          <cell r="A1405">
            <v>86399</v>
          </cell>
          <cell r="B1405" t="str">
            <v>CR T FACIL JARDIM VERTICAL 30ML</v>
          </cell>
          <cell r="C1405">
            <v>5300789</v>
          </cell>
          <cell r="D1405" t="str">
            <v>CORAL</v>
          </cell>
          <cell r="E1405">
            <v>30039</v>
          </cell>
          <cell r="F1405" t="str">
            <v>TESTE FÁCIL CORAL</v>
          </cell>
          <cell r="G1405" t="str">
            <v>IMOBILIÁRIO</v>
          </cell>
        </row>
        <row r="1406">
          <cell r="A1406">
            <v>86300</v>
          </cell>
          <cell r="B1406" t="str">
            <v>CR T FACIL JOGO DE SOMBRAS 30ML</v>
          </cell>
          <cell r="C1406">
            <v>5298742</v>
          </cell>
          <cell r="D1406" t="str">
            <v>CORAL</v>
          </cell>
          <cell r="E1406">
            <v>30039</v>
          </cell>
          <cell r="F1406" t="str">
            <v>TESTE FÁCIL CORAL</v>
          </cell>
          <cell r="G1406" t="str">
            <v>IMOBILIÁRIO</v>
          </cell>
        </row>
        <row r="1407">
          <cell r="A1407">
            <v>86419</v>
          </cell>
          <cell r="B1407" t="str">
            <v>CR T FACIL JOIA DA COROA 30ML</v>
          </cell>
          <cell r="C1407">
            <v>5300809</v>
          </cell>
          <cell r="D1407" t="str">
            <v>CORAL</v>
          </cell>
          <cell r="E1407">
            <v>30039</v>
          </cell>
          <cell r="F1407" t="str">
            <v>TESTE FÁCIL CORAL</v>
          </cell>
          <cell r="G1407" t="str">
            <v>IMOBILIÁRIO</v>
          </cell>
        </row>
        <row r="1408">
          <cell r="A1408">
            <v>86411</v>
          </cell>
          <cell r="B1408" t="str">
            <v>CR T FACIL JUTA DOURADA 30ML</v>
          </cell>
          <cell r="C1408">
            <v>5300801</v>
          </cell>
          <cell r="D1408" t="str">
            <v>CORAL</v>
          </cell>
          <cell r="E1408">
            <v>30039</v>
          </cell>
          <cell r="F1408" t="str">
            <v>TESTE FÁCIL CORAL</v>
          </cell>
          <cell r="G1408" t="str">
            <v>IMOBILIÁRIO</v>
          </cell>
        </row>
        <row r="1409">
          <cell r="A1409">
            <v>86422</v>
          </cell>
          <cell r="B1409" t="str">
            <v>CR T FACIL LAGRIMAS DE ALEGRIA 30ML</v>
          </cell>
          <cell r="C1409">
            <v>5300812</v>
          </cell>
          <cell r="D1409" t="str">
            <v>CORAL</v>
          </cell>
          <cell r="E1409">
            <v>30039</v>
          </cell>
          <cell r="F1409" t="str">
            <v>TESTE FÁCIL CORAL</v>
          </cell>
          <cell r="G1409" t="str">
            <v>IMOBILIÁRIO</v>
          </cell>
        </row>
        <row r="1410">
          <cell r="A1410">
            <v>86515</v>
          </cell>
          <cell r="B1410" t="str">
            <v>CR T FACIL LAVANDA ENEVOADO 30ML</v>
          </cell>
          <cell r="C1410">
            <v>5300940</v>
          </cell>
          <cell r="D1410" t="str">
            <v>CORAL</v>
          </cell>
          <cell r="E1410">
            <v>30039</v>
          </cell>
          <cell r="F1410" t="str">
            <v>TESTE FÁCIL CORAL</v>
          </cell>
          <cell r="G1410" t="str">
            <v>IMOBILIÁRIO</v>
          </cell>
        </row>
        <row r="1411">
          <cell r="A1411">
            <v>86304</v>
          </cell>
          <cell r="B1411" t="str">
            <v>CR T FACIL LICOR DE AMEIXA 30ML</v>
          </cell>
          <cell r="C1411">
            <v>5298746</v>
          </cell>
          <cell r="D1411" t="str">
            <v>CORAL</v>
          </cell>
          <cell r="E1411">
            <v>30039</v>
          </cell>
          <cell r="F1411" t="str">
            <v>TESTE FÁCIL CORAL</v>
          </cell>
          <cell r="G1411" t="str">
            <v>IMOBILIÁRIO</v>
          </cell>
        </row>
        <row r="1412">
          <cell r="A1412">
            <v>86326</v>
          </cell>
          <cell r="B1412" t="str">
            <v>CR T FACIL LILAS PRIMAVERA 30ML</v>
          </cell>
          <cell r="C1412">
            <v>5300302</v>
          </cell>
          <cell r="D1412" t="str">
            <v>CORAL</v>
          </cell>
          <cell r="E1412">
            <v>30039</v>
          </cell>
          <cell r="F1412" t="str">
            <v>TESTE FÁCIL CORAL</v>
          </cell>
          <cell r="G1412" t="str">
            <v>IMOBILIÁRIO</v>
          </cell>
        </row>
        <row r="1413">
          <cell r="A1413">
            <v>86457</v>
          </cell>
          <cell r="B1413" t="str">
            <v>CR T FACIL LUZ DA ALVORADA 30ML</v>
          </cell>
          <cell r="C1413">
            <v>5300882</v>
          </cell>
          <cell r="D1413" t="str">
            <v>CORAL</v>
          </cell>
          <cell r="E1413">
            <v>30039</v>
          </cell>
          <cell r="F1413" t="str">
            <v>TESTE FÁCIL CORAL</v>
          </cell>
          <cell r="G1413" t="str">
            <v>IMOBILIÁRIO</v>
          </cell>
        </row>
        <row r="1414">
          <cell r="A1414">
            <v>86534</v>
          </cell>
          <cell r="B1414" t="str">
            <v>CR T FACIL LUZ OXIDRICA 30ML</v>
          </cell>
          <cell r="C1414">
            <v>5300959</v>
          </cell>
          <cell r="D1414" t="str">
            <v>CORAL</v>
          </cell>
          <cell r="E1414">
            <v>30039</v>
          </cell>
          <cell r="F1414" t="str">
            <v>TESTE FÁCIL CORAL</v>
          </cell>
          <cell r="G1414" t="str">
            <v>IMOBILIÁRIO</v>
          </cell>
        </row>
        <row r="1415">
          <cell r="A1415">
            <v>86316</v>
          </cell>
          <cell r="B1415" t="str">
            <v>CR T FACIL MADEIRA ACINZENTADA 30ML</v>
          </cell>
          <cell r="C1415">
            <v>5300292</v>
          </cell>
          <cell r="D1415" t="str">
            <v>CORAL</v>
          </cell>
          <cell r="E1415">
            <v>30039</v>
          </cell>
          <cell r="F1415" t="str">
            <v>TESTE FÁCIL CORAL</v>
          </cell>
          <cell r="G1415" t="str">
            <v>IMOBILIÁRIO</v>
          </cell>
        </row>
        <row r="1416">
          <cell r="A1416">
            <v>86390</v>
          </cell>
          <cell r="B1416" t="str">
            <v>CR T FACIL MALVA DE INVERNO 30ML</v>
          </cell>
          <cell r="C1416">
            <v>5300780</v>
          </cell>
          <cell r="D1416" t="str">
            <v>CORAL</v>
          </cell>
          <cell r="E1416">
            <v>30039</v>
          </cell>
          <cell r="F1416" t="str">
            <v>TESTE FÁCIL CORAL</v>
          </cell>
          <cell r="G1416" t="str">
            <v>IMOBILIÁRIO</v>
          </cell>
        </row>
        <row r="1417">
          <cell r="A1417">
            <v>86375</v>
          </cell>
          <cell r="B1417" t="str">
            <v>CR T FACIL MALVA MINERAL 30ML</v>
          </cell>
          <cell r="C1417">
            <v>5300614</v>
          </cell>
          <cell r="D1417" t="str">
            <v>CORAL</v>
          </cell>
          <cell r="E1417">
            <v>30039</v>
          </cell>
          <cell r="F1417" t="str">
            <v>TESTE FÁCIL CORAL</v>
          </cell>
          <cell r="G1417" t="str">
            <v>IMOBILIÁRIO</v>
          </cell>
        </row>
        <row r="1418">
          <cell r="A1418">
            <v>86353</v>
          </cell>
          <cell r="B1418" t="str">
            <v>CR T FACIL MALVA SUAVE 30ML</v>
          </cell>
          <cell r="C1418">
            <v>5300592</v>
          </cell>
          <cell r="D1418" t="str">
            <v>CORAL</v>
          </cell>
          <cell r="E1418">
            <v>30039</v>
          </cell>
          <cell r="F1418" t="str">
            <v>TESTE FÁCIL CORAL</v>
          </cell>
          <cell r="G1418" t="str">
            <v>IMOBILIÁRIO</v>
          </cell>
        </row>
        <row r="1419">
          <cell r="A1419">
            <v>86510</v>
          </cell>
          <cell r="B1419" t="str">
            <v>CR T FACIL MANHA DE PRIMAVERA 30ML</v>
          </cell>
          <cell r="C1419">
            <v>5300935</v>
          </cell>
          <cell r="D1419" t="str">
            <v>CORAL</v>
          </cell>
          <cell r="E1419">
            <v>30039</v>
          </cell>
          <cell r="F1419" t="str">
            <v>TESTE FÁCIL CORAL</v>
          </cell>
          <cell r="G1419" t="str">
            <v>IMOBILIÁRIO</v>
          </cell>
        </row>
        <row r="1420">
          <cell r="A1420">
            <v>86528</v>
          </cell>
          <cell r="B1420" t="str">
            <v>CR T FACIL MARFIM 30ML</v>
          </cell>
          <cell r="C1420">
            <v>5300953</v>
          </cell>
          <cell r="D1420" t="str">
            <v>CORAL</v>
          </cell>
          <cell r="E1420">
            <v>30039</v>
          </cell>
          <cell r="F1420" t="str">
            <v>TESTE FÁCIL CORAL</v>
          </cell>
          <cell r="G1420" t="str">
            <v>IMOBILIÁRIO</v>
          </cell>
        </row>
        <row r="1421">
          <cell r="A1421">
            <v>86478</v>
          </cell>
          <cell r="B1421" t="str">
            <v>CR T FACIL MARROM BURGUES 30ML</v>
          </cell>
          <cell r="C1421">
            <v>5300903</v>
          </cell>
          <cell r="D1421" t="str">
            <v>CORAL</v>
          </cell>
          <cell r="E1421">
            <v>30039</v>
          </cell>
          <cell r="F1421" t="str">
            <v>TESTE FÁCIL CORAL</v>
          </cell>
          <cell r="G1421" t="str">
            <v>IMOBILIÁRIO</v>
          </cell>
        </row>
        <row r="1422">
          <cell r="A1422">
            <v>86490</v>
          </cell>
          <cell r="B1422" t="str">
            <v>CR T FACIL MARROM DO SECULO 30ML</v>
          </cell>
          <cell r="C1422">
            <v>5300915</v>
          </cell>
          <cell r="D1422" t="str">
            <v>CORAL</v>
          </cell>
          <cell r="E1422">
            <v>30039</v>
          </cell>
          <cell r="F1422" t="str">
            <v>TESTE FÁCIL CORAL</v>
          </cell>
          <cell r="G1422" t="str">
            <v>IMOBILIÁRIO</v>
          </cell>
        </row>
        <row r="1423">
          <cell r="A1423">
            <v>86442</v>
          </cell>
          <cell r="B1423" t="str">
            <v>CR T FACIL MARROM GENTIL 30ML</v>
          </cell>
          <cell r="C1423">
            <v>5300867</v>
          </cell>
          <cell r="D1423" t="str">
            <v>CORAL</v>
          </cell>
          <cell r="E1423">
            <v>30039</v>
          </cell>
          <cell r="F1423" t="str">
            <v>TESTE FÁCIL CORAL</v>
          </cell>
          <cell r="G1423" t="str">
            <v>IMOBILIÁRIO</v>
          </cell>
        </row>
        <row r="1424">
          <cell r="A1424">
            <v>86479</v>
          </cell>
          <cell r="B1424" t="str">
            <v>CR T FACIL MARROM HAVANA 30ML</v>
          </cell>
          <cell r="C1424">
            <v>5300904</v>
          </cell>
          <cell r="D1424" t="str">
            <v>CORAL</v>
          </cell>
          <cell r="E1424">
            <v>30039</v>
          </cell>
          <cell r="F1424" t="str">
            <v>TESTE FÁCIL CORAL</v>
          </cell>
          <cell r="G1424" t="str">
            <v>IMOBILIÁRIO</v>
          </cell>
        </row>
        <row r="1425">
          <cell r="A1425">
            <v>86311</v>
          </cell>
          <cell r="B1425" t="str">
            <v>CR T FACIL MEDITACAO 30ML</v>
          </cell>
          <cell r="C1425">
            <v>5300287</v>
          </cell>
          <cell r="D1425" t="str">
            <v>CORAL</v>
          </cell>
          <cell r="E1425">
            <v>30039</v>
          </cell>
          <cell r="F1425" t="str">
            <v>TESTE FÁCIL CORAL</v>
          </cell>
          <cell r="G1425" t="str">
            <v>IMOBILIÁRIO</v>
          </cell>
        </row>
        <row r="1426">
          <cell r="A1426">
            <v>86504</v>
          </cell>
          <cell r="B1426" t="str">
            <v>CR T FACIL MELAO VERDE 30ML</v>
          </cell>
          <cell r="C1426">
            <v>5300929</v>
          </cell>
          <cell r="D1426" t="str">
            <v>CORAL</v>
          </cell>
          <cell r="E1426">
            <v>30039</v>
          </cell>
          <cell r="F1426" t="str">
            <v>TESTE FÁCIL CORAL</v>
          </cell>
          <cell r="G1426" t="str">
            <v>IMOBILIÁRIO</v>
          </cell>
        </row>
        <row r="1427">
          <cell r="A1427">
            <v>86474</v>
          </cell>
          <cell r="B1427" t="str">
            <v>CR T FACIL MERGULHO EM NORONHA 30ML</v>
          </cell>
          <cell r="C1427">
            <v>5300899</v>
          </cell>
          <cell r="D1427" t="str">
            <v>CORAL</v>
          </cell>
          <cell r="E1427">
            <v>30039</v>
          </cell>
          <cell r="F1427" t="str">
            <v>TESTE FÁCIL CORAL</v>
          </cell>
          <cell r="G1427" t="str">
            <v>IMOBILIÁRIO</v>
          </cell>
        </row>
        <row r="1428">
          <cell r="A1428">
            <v>86437</v>
          </cell>
          <cell r="B1428" t="str">
            <v>CR T FACIL MERGULHO SERENO 30ML</v>
          </cell>
          <cell r="C1428">
            <v>5300862</v>
          </cell>
          <cell r="D1428" t="str">
            <v>CORAL</v>
          </cell>
          <cell r="E1428">
            <v>30039</v>
          </cell>
          <cell r="F1428" t="str">
            <v>TESTE FÁCIL CORAL</v>
          </cell>
          <cell r="G1428" t="str">
            <v>IMOBILIÁRIO</v>
          </cell>
        </row>
        <row r="1429">
          <cell r="A1429">
            <v>86507</v>
          </cell>
          <cell r="B1429" t="str">
            <v>CR T FACIL MINA DE CASCALHO 30ML</v>
          </cell>
          <cell r="C1429">
            <v>5300932</v>
          </cell>
          <cell r="D1429" t="str">
            <v>CORAL</v>
          </cell>
          <cell r="E1429">
            <v>30039</v>
          </cell>
          <cell r="F1429" t="str">
            <v>TESTE FÁCIL CORAL</v>
          </cell>
          <cell r="G1429" t="str">
            <v>IMOBILIÁRIO</v>
          </cell>
        </row>
        <row r="1430">
          <cell r="A1430">
            <v>86322</v>
          </cell>
          <cell r="B1430" t="str">
            <v>CR T FACIL MINERAL VALIOSO 30ML</v>
          </cell>
          <cell r="C1430">
            <v>5300298</v>
          </cell>
          <cell r="D1430" t="str">
            <v>CORAL</v>
          </cell>
          <cell r="E1430">
            <v>30039</v>
          </cell>
          <cell r="F1430" t="str">
            <v>TESTE FÁCIL CORAL</v>
          </cell>
          <cell r="G1430" t="str">
            <v>IMOBILIÁRIO</v>
          </cell>
        </row>
        <row r="1431">
          <cell r="A1431">
            <v>86521</v>
          </cell>
          <cell r="B1431" t="str">
            <v>CR T FACIL MINERIO BRUTO 30ML</v>
          </cell>
          <cell r="C1431">
            <v>5300946</v>
          </cell>
          <cell r="D1431" t="str">
            <v>CORAL</v>
          </cell>
          <cell r="E1431">
            <v>30039</v>
          </cell>
          <cell r="F1431" t="str">
            <v>TESTE FÁCIL CORAL</v>
          </cell>
          <cell r="G1431" t="str">
            <v>IMOBILIÁRIO</v>
          </cell>
        </row>
        <row r="1432">
          <cell r="A1432">
            <v>86483</v>
          </cell>
          <cell r="B1432" t="str">
            <v>CR T FACIL MISTICO 30ML</v>
          </cell>
          <cell r="C1432">
            <v>5300908</v>
          </cell>
          <cell r="D1432" t="str">
            <v>CORAL</v>
          </cell>
          <cell r="E1432">
            <v>30039</v>
          </cell>
          <cell r="F1432" t="str">
            <v>TESTE FÁCIL CORAL</v>
          </cell>
          <cell r="G1432" t="str">
            <v>IMOBILIÁRIO</v>
          </cell>
        </row>
        <row r="1433">
          <cell r="A1433">
            <v>86423</v>
          </cell>
          <cell r="B1433" t="str">
            <v>CR T FACIL MOCA BONITA 30ML</v>
          </cell>
          <cell r="C1433">
            <v>5300813</v>
          </cell>
          <cell r="D1433" t="str">
            <v>CORAL</v>
          </cell>
          <cell r="E1433">
            <v>30039</v>
          </cell>
          <cell r="F1433" t="str">
            <v>TESTE FÁCIL CORAL</v>
          </cell>
          <cell r="G1433" t="str">
            <v>IMOBILIÁRIO</v>
          </cell>
        </row>
        <row r="1434">
          <cell r="A1434">
            <v>86386</v>
          </cell>
          <cell r="B1434" t="str">
            <v>CR T FACIL MONTANHA DISTANTE 30ML</v>
          </cell>
          <cell r="C1434">
            <v>5300776</v>
          </cell>
          <cell r="D1434" t="str">
            <v>CORAL</v>
          </cell>
          <cell r="E1434">
            <v>30039</v>
          </cell>
          <cell r="F1434" t="str">
            <v>TESTE FÁCIL CORAL</v>
          </cell>
          <cell r="G1434" t="str">
            <v>IMOBILIÁRIO</v>
          </cell>
        </row>
        <row r="1435">
          <cell r="A1435">
            <v>86395</v>
          </cell>
          <cell r="B1435" t="str">
            <v>CR T FACIL MUFFIN 30ML</v>
          </cell>
          <cell r="C1435">
            <v>5300785</v>
          </cell>
          <cell r="D1435" t="str">
            <v>CORAL</v>
          </cell>
          <cell r="E1435">
            <v>30039</v>
          </cell>
          <cell r="F1435" t="str">
            <v>TESTE FÁCIL CORAL</v>
          </cell>
          <cell r="G1435" t="str">
            <v>IMOBILIÁRIO</v>
          </cell>
        </row>
        <row r="1436">
          <cell r="A1436">
            <v>86493</v>
          </cell>
          <cell r="B1436" t="str">
            <v>CR T FACIL MUSICA DE RAIZ 30ML</v>
          </cell>
          <cell r="C1436">
            <v>5300918</v>
          </cell>
          <cell r="D1436" t="str">
            <v>CORAL</v>
          </cell>
          <cell r="E1436">
            <v>30039</v>
          </cell>
          <cell r="F1436" t="str">
            <v>TESTE FÁCIL CORAL</v>
          </cell>
          <cell r="G1436" t="str">
            <v>IMOBILIÁRIO</v>
          </cell>
        </row>
        <row r="1437">
          <cell r="A1437">
            <v>86514</v>
          </cell>
          <cell r="B1437" t="str">
            <v>CR T FACIL NATURAL URBANO 30ML</v>
          </cell>
          <cell r="C1437">
            <v>5300939</v>
          </cell>
          <cell r="D1437" t="str">
            <v>CORAL</v>
          </cell>
          <cell r="E1437">
            <v>30039</v>
          </cell>
          <cell r="F1437" t="str">
            <v>TESTE FÁCIL CORAL</v>
          </cell>
          <cell r="G1437" t="str">
            <v>IMOBILIÁRIO</v>
          </cell>
        </row>
        <row r="1438">
          <cell r="A1438">
            <v>86476</v>
          </cell>
          <cell r="B1438" t="str">
            <v>CR T FACIL NAVIOS AO MAR 30ML</v>
          </cell>
          <cell r="C1438">
            <v>5300901</v>
          </cell>
          <cell r="D1438" t="str">
            <v>CORAL</v>
          </cell>
          <cell r="E1438">
            <v>30039</v>
          </cell>
          <cell r="F1438" t="str">
            <v>TESTE FÁCIL CORAL</v>
          </cell>
          <cell r="G1438" t="str">
            <v>IMOBILIÁRIO</v>
          </cell>
        </row>
        <row r="1439">
          <cell r="A1439">
            <v>86427</v>
          </cell>
          <cell r="B1439" t="str">
            <v>CR T FACIL NEBLINA DA SERRA 30ML</v>
          </cell>
          <cell r="C1439">
            <v>5300817</v>
          </cell>
          <cell r="D1439" t="str">
            <v>CORAL</v>
          </cell>
          <cell r="E1439">
            <v>30039</v>
          </cell>
          <cell r="F1439" t="str">
            <v>TESTE FÁCIL CORAL</v>
          </cell>
          <cell r="G1439" t="str">
            <v>IMOBILIÁRIO</v>
          </cell>
        </row>
        <row r="1440">
          <cell r="A1440">
            <v>86431</v>
          </cell>
          <cell r="B1440" t="str">
            <v>CR T FACIL NOITE DE FESTA 30ML</v>
          </cell>
          <cell r="C1440">
            <v>5300821</v>
          </cell>
          <cell r="D1440" t="str">
            <v>CORAL</v>
          </cell>
          <cell r="E1440">
            <v>30039</v>
          </cell>
          <cell r="F1440" t="str">
            <v>TESTE FÁCIL CORAL</v>
          </cell>
          <cell r="G1440" t="str">
            <v>IMOBILIÁRIO</v>
          </cell>
        </row>
        <row r="1441">
          <cell r="A1441">
            <v>86378</v>
          </cell>
          <cell r="B1441" t="str">
            <v>CR T FACIL NOITE FRIA 30ML</v>
          </cell>
          <cell r="C1441">
            <v>5300617</v>
          </cell>
          <cell r="D1441" t="str">
            <v>CORAL</v>
          </cell>
          <cell r="E1441">
            <v>30039</v>
          </cell>
          <cell r="F1441" t="str">
            <v>TESTE FÁCIL CORAL</v>
          </cell>
          <cell r="G1441" t="str">
            <v>IMOBILIÁRIO</v>
          </cell>
        </row>
        <row r="1442">
          <cell r="A1442">
            <v>86530</v>
          </cell>
          <cell r="B1442" t="str">
            <v>CR T FACIL OCRE COLONIAL 30ML</v>
          </cell>
          <cell r="C1442">
            <v>5300955</v>
          </cell>
          <cell r="D1442" t="str">
            <v>CORAL</v>
          </cell>
          <cell r="E1442">
            <v>30039</v>
          </cell>
          <cell r="F1442" t="str">
            <v>TESTE FÁCIL CORAL</v>
          </cell>
          <cell r="G1442" t="str">
            <v>IMOBILIÁRIO</v>
          </cell>
        </row>
        <row r="1443">
          <cell r="A1443">
            <v>86327</v>
          </cell>
          <cell r="B1443" t="str">
            <v>CR T FACIL OLHAR ENCANTADOR 30ML</v>
          </cell>
          <cell r="C1443">
            <v>5300303</v>
          </cell>
          <cell r="D1443" t="str">
            <v>CORAL</v>
          </cell>
          <cell r="E1443">
            <v>30039</v>
          </cell>
          <cell r="F1443" t="str">
            <v>TESTE FÁCIL CORAL</v>
          </cell>
          <cell r="G1443" t="str">
            <v>IMOBILIÁRIO</v>
          </cell>
        </row>
        <row r="1444">
          <cell r="A1444">
            <v>86364</v>
          </cell>
          <cell r="B1444" t="str">
            <v>CR T FACIL OLHO GREGO 30ML</v>
          </cell>
          <cell r="C1444">
            <v>5300603</v>
          </cell>
          <cell r="D1444" t="str">
            <v>CORAL</v>
          </cell>
          <cell r="E1444">
            <v>30039</v>
          </cell>
          <cell r="F1444" t="str">
            <v>TESTE FÁCIL CORAL</v>
          </cell>
          <cell r="G1444" t="str">
            <v>IMOBILIÁRIO</v>
          </cell>
        </row>
        <row r="1445">
          <cell r="A1445">
            <v>86432</v>
          </cell>
          <cell r="B1445" t="str">
            <v>CR T FACIL ORQUIDEA PRECIOSA 30ML</v>
          </cell>
          <cell r="C1445">
            <v>5300856</v>
          </cell>
          <cell r="D1445" t="str">
            <v>CORAL</v>
          </cell>
          <cell r="E1445">
            <v>30039</v>
          </cell>
          <cell r="F1445" t="str">
            <v>TESTE FÁCIL CORAL</v>
          </cell>
          <cell r="G1445" t="str">
            <v>IMOBILIÁRIO</v>
          </cell>
        </row>
        <row r="1446">
          <cell r="A1446">
            <v>86444</v>
          </cell>
          <cell r="B1446" t="str">
            <v>CR T FACIL OUTONO GELADO 30ML</v>
          </cell>
          <cell r="C1446">
            <v>5300869</v>
          </cell>
          <cell r="D1446" t="str">
            <v>CORAL</v>
          </cell>
          <cell r="E1446">
            <v>30039</v>
          </cell>
          <cell r="F1446" t="str">
            <v>TESTE FÁCIL CORAL</v>
          </cell>
          <cell r="G1446" t="str">
            <v>IMOBILIÁRIO</v>
          </cell>
        </row>
        <row r="1447">
          <cell r="A1447">
            <v>86428</v>
          </cell>
          <cell r="B1447" t="str">
            <v>CR T FACIL PACOCA DOCE 30ML</v>
          </cell>
          <cell r="C1447">
            <v>5300818</v>
          </cell>
          <cell r="D1447" t="str">
            <v>CORAL</v>
          </cell>
          <cell r="E1447">
            <v>30039</v>
          </cell>
          <cell r="F1447" t="str">
            <v>TESTE FÁCIL CORAL</v>
          </cell>
          <cell r="G1447" t="str">
            <v>IMOBILIÁRIO</v>
          </cell>
        </row>
        <row r="1448">
          <cell r="A1448">
            <v>86526</v>
          </cell>
          <cell r="B1448" t="str">
            <v>CR T FACIL PALHA 30ML</v>
          </cell>
          <cell r="C1448">
            <v>5300951</v>
          </cell>
          <cell r="D1448" t="str">
            <v>CORAL</v>
          </cell>
          <cell r="E1448">
            <v>30039</v>
          </cell>
          <cell r="F1448" t="str">
            <v>TESTE FÁCIL CORAL</v>
          </cell>
          <cell r="G1448" t="str">
            <v>IMOBILIÁRIO</v>
          </cell>
        </row>
        <row r="1449">
          <cell r="A1449">
            <v>86367</v>
          </cell>
          <cell r="B1449" t="str">
            <v>CR T FACIL PAPEL DE BALA 30ML</v>
          </cell>
          <cell r="C1449">
            <v>5300606</v>
          </cell>
          <cell r="D1449" t="str">
            <v>CORAL</v>
          </cell>
          <cell r="E1449">
            <v>30039</v>
          </cell>
          <cell r="F1449" t="str">
            <v>TESTE FÁCIL CORAL</v>
          </cell>
          <cell r="G1449" t="str">
            <v>IMOBILIÁRIO</v>
          </cell>
        </row>
        <row r="1450">
          <cell r="A1450">
            <v>86355</v>
          </cell>
          <cell r="B1450" t="str">
            <v>CR T FACIL PASSEIO DE BARCO 30ML</v>
          </cell>
          <cell r="C1450">
            <v>5300594</v>
          </cell>
          <cell r="D1450" t="str">
            <v>CORAL</v>
          </cell>
          <cell r="E1450">
            <v>30039</v>
          </cell>
          <cell r="F1450" t="str">
            <v>TESTE FÁCIL CORAL</v>
          </cell>
          <cell r="G1450" t="str">
            <v>IMOBILIÁRIO</v>
          </cell>
        </row>
        <row r="1451">
          <cell r="A1451">
            <v>86388</v>
          </cell>
          <cell r="B1451" t="str">
            <v>CR T FACIL PASSEIO DE CANOA 30ML</v>
          </cell>
          <cell r="C1451">
            <v>5300778</v>
          </cell>
          <cell r="D1451" t="str">
            <v>CORAL</v>
          </cell>
          <cell r="E1451">
            <v>30039</v>
          </cell>
          <cell r="F1451" t="str">
            <v>TESTE FÁCIL CORAL</v>
          </cell>
          <cell r="G1451" t="str">
            <v>IMOBILIÁRIO</v>
          </cell>
        </row>
        <row r="1452">
          <cell r="A1452">
            <v>86319</v>
          </cell>
          <cell r="B1452" t="str">
            <v>CR T FACIL PASSEIO DO PARQUE 30ML</v>
          </cell>
          <cell r="C1452">
            <v>5300295</v>
          </cell>
          <cell r="D1452" t="str">
            <v>CORAL</v>
          </cell>
          <cell r="E1452">
            <v>30039</v>
          </cell>
          <cell r="F1452" t="str">
            <v>TESTE FÁCIL CORAL</v>
          </cell>
          <cell r="G1452" t="str">
            <v>IMOBILIÁRIO</v>
          </cell>
        </row>
        <row r="1453">
          <cell r="A1453">
            <v>86415</v>
          </cell>
          <cell r="B1453" t="str">
            <v>CR T FACIL PAZ INTERIOR 30ML</v>
          </cell>
          <cell r="C1453">
            <v>5300805</v>
          </cell>
          <cell r="D1453" t="str">
            <v>CORAL</v>
          </cell>
          <cell r="E1453">
            <v>30039</v>
          </cell>
          <cell r="F1453" t="str">
            <v>TESTE FÁCIL CORAL</v>
          </cell>
          <cell r="G1453" t="str">
            <v>IMOBILIÁRIO</v>
          </cell>
        </row>
        <row r="1454">
          <cell r="A1454">
            <v>86434</v>
          </cell>
          <cell r="B1454" t="str">
            <v>CR T FACIL PE DE JABUTICABA 30ML</v>
          </cell>
          <cell r="C1454">
            <v>5300858</v>
          </cell>
          <cell r="D1454" t="str">
            <v>CORAL</v>
          </cell>
          <cell r="E1454">
            <v>30039</v>
          </cell>
          <cell r="F1454" t="str">
            <v>TESTE FÁCIL CORAL</v>
          </cell>
          <cell r="G1454" t="str">
            <v>IMOBILIÁRIO</v>
          </cell>
        </row>
        <row r="1455">
          <cell r="A1455">
            <v>86503</v>
          </cell>
          <cell r="B1455" t="str">
            <v>CR T FACIL PEDRA NATURAL 30ML</v>
          </cell>
          <cell r="C1455">
            <v>5300928</v>
          </cell>
          <cell r="D1455" t="str">
            <v>CORAL</v>
          </cell>
          <cell r="E1455">
            <v>30039</v>
          </cell>
          <cell r="F1455" t="str">
            <v>TESTE FÁCIL CORAL</v>
          </cell>
          <cell r="G1455" t="str">
            <v>IMOBILIÁRIO</v>
          </cell>
        </row>
        <row r="1456">
          <cell r="A1456">
            <v>86321</v>
          </cell>
          <cell r="B1456" t="str">
            <v>CR T FACIL PELOURINHO 30ML</v>
          </cell>
          <cell r="C1456">
            <v>5300297</v>
          </cell>
          <cell r="D1456" t="str">
            <v>CORAL</v>
          </cell>
          <cell r="E1456">
            <v>30039</v>
          </cell>
          <cell r="F1456" t="str">
            <v>TESTE FÁCIL CORAL</v>
          </cell>
          <cell r="G1456" t="str">
            <v>IMOBILIÁRIO</v>
          </cell>
        </row>
        <row r="1457">
          <cell r="A1457">
            <v>86523</v>
          </cell>
          <cell r="B1457" t="str">
            <v>CR T FACIL PENA PRATEADA 30ML</v>
          </cell>
          <cell r="C1457">
            <v>5300948</v>
          </cell>
          <cell r="D1457" t="str">
            <v>CORAL</v>
          </cell>
          <cell r="E1457">
            <v>30039</v>
          </cell>
          <cell r="F1457" t="str">
            <v>TESTE FÁCIL CORAL</v>
          </cell>
          <cell r="G1457" t="str">
            <v>IMOBILIÁRIO</v>
          </cell>
        </row>
        <row r="1458">
          <cell r="A1458">
            <v>86369</v>
          </cell>
          <cell r="B1458" t="str">
            <v>CR T FACIL PERFUME DE FIGO 30ML</v>
          </cell>
          <cell r="C1458">
            <v>5300608</v>
          </cell>
          <cell r="D1458" t="str">
            <v>CORAL</v>
          </cell>
          <cell r="E1458">
            <v>30039</v>
          </cell>
          <cell r="F1458" t="str">
            <v>TESTE FÁCIL CORAL</v>
          </cell>
          <cell r="G1458" t="str">
            <v>IMOBILIÁRIO</v>
          </cell>
        </row>
        <row r="1459">
          <cell r="A1459">
            <v>86456</v>
          </cell>
          <cell r="B1459" t="str">
            <v>CR T FACIL PESSEGO MESCLADO 30ML</v>
          </cell>
          <cell r="C1459">
            <v>5300881</v>
          </cell>
          <cell r="D1459" t="str">
            <v>CORAL</v>
          </cell>
          <cell r="E1459">
            <v>30039</v>
          </cell>
          <cell r="F1459" t="str">
            <v>TESTE FÁCIL CORAL</v>
          </cell>
          <cell r="G1459" t="str">
            <v>IMOBILIÁRIO</v>
          </cell>
        </row>
        <row r="1460">
          <cell r="A1460">
            <v>86460</v>
          </cell>
          <cell r="B1460" t="str">
            <v>CR T FACIL PESSEGO QUENTE 30ML</v>
          </cell>
          <cell r="C1460">
            <v>5300885</v>
          </cell>
          <cell r="D1460" t="str">
            <v>CORAL</v>
          </cell>
          <cell r="E1460">
            <v>30039</v>
          </cell>
          <cell r="F1460" t="str">
            <v>TESTE FÁCIL CORAL</v>
          </cell>
          <cell r="G1460" t="str">
            <v>IMOBILIÁRIO</v>
          </cell>
        </row>
        <row r="1461">
          <cell r="A1461">
            <v>86362</v>
          </cell>
          <cell r="B1461" t="str">
            <v>CR T FACIL PINHEIRO INGLES 30ML</v>
          </cell>
          <cell r="C1461">
            <v>5300601</v>
          </cell>
          <cell r="D1461" t="str">
            <v>CORAL</v>
          </cell>
          <cell r="E1461">
            <v>30039</v>
          </cell>
          <cell r="F1461" t="str">
            <v>TESTE FÁCIL CORAL</v>
          </cell>
          <cell r="G1461" t="str">
            <v>IMOBILIÁRIO</v>
          </cell>
        </row>
        <row r="1462">
          <cell r="A1462">
            <v>86430</v>
          </cell>
          <cell r="B1462" t="str">
            <v>CR T FACIL PINOT NOIR 30ML</v>
          </cell>
          <cell r="C1462">
            <v>5300820</v>
          </cell>
          <cell r="D1462" t="str">
            <v>CORAL</v>
          </cell>
          <cell r="E1462">
            <v>30039</v>
          </cell>
          <cell r="F1462" t="str">
            <v>TESTE FÁCIL CORAL</v>
          </cell>
          <cell r="G1462" t="str">
            <v>IMOBILIÁRIO</v>
          </cell>
        </row>
        <row r="1463">
          <cell r="A1463">
            <v>86429</v>
          </cell>
          <cell r="B1463" t="str">
            <v>CR T FACIL POCAO MAGICA 30ML</v>
          </cell>
          <cell r="C1463">
            <v>5300819</v>
          </cell>
          <cell r="D1463" t="str">
            <v>CORAL</v>
          </cell>
          <cell r="E1463">
            <v>30039</v>
          </cell>
          <cell r="F1463" t="str">
            <v>TESTE FÁCIL CORAL</v>
          </cell>
          <cell r="G1463" t="str">
            <v>IMOBILIÁRIO</v>
          </cell>
        </row>
        <row r="1464">
          <cell r="A1464">
            <v>86497</v>
          </cell>
          <cell r="B1464" t="str">
            <v>CR T FACIL POMAR VERDE 30ML</v>
          </cell>
          <cell r="C1464">
            <v>5300922</v>
          </cell>
          <cell r="D1464" t="str">
            <v>CORAL</v>
          </cell>
          <cell r="E1464">
            <v>30039</v>
          </cell>
          <cell r="F1464" t="str">
            <v>TESTE FÁCIL CORAL</v>
          </cell>
          <cell r="G1464" t="str">
            <v>IMOBILIÁRIO</v>
          </cell>
        </row>
        <row r="1465">
          <cell r="A1465">
            <v>86410</v>
          </cell>
          <cell r="B1465" t="str">
            <v>CR T FACIL POMAR VIOLETA 30ML</v>
          </cell>
          <cell r="C1465">
            <v>5300800</v>
          </cell>
          <cell r="D1465" t="str">
            <v>CORAL</v>
          </cell>
          <cell r="E1465">
            <v>30039</v>
          </cell>
          <cell r="F1465" t="str">
            <v>TESTE FÁCIL CORAL</v>
          </cell>
          <cell r="G1465" t="str">
            <v>IMOBILIÁRIO</v>
          </cell>
        </row>
        <row r="1466">
          <cell r="A1466">
            <v>86424</v>
          </cell>
          <cell r="B1466" t="str">
            <v>CR T FACIL PORTAL SECRETO 30ML</v>
          </cell>
          <cell r="C1466">
            <v>5300814</v>
          </cell>
          <cell r="D1466" t="str">
            <v>CORAL</v>
          </cell>
          <cell r="E1466">
            <v>30039</v>
          </cell>
          <cell r="F1466" t="str">
            <v>TESTE FÁCIL CORAL</v>
          </cell>
          <cell r="G1466" t="str">
            <v>IMOBILIÁRIO</v>
          </cell>
        </row>
        <row r="1467">
          <cell r="A1467">
            <v>86402</v>
          </cell>
          <cell r="B1467" t="str">
            <v>CR T FACIL PORTO AZUL 30ML</v>
          </cell>
          <cell r="C1467">
            <v>5300792</v>
          </cell>
          <cell r="D1467" t="str">
            <v>CORAL</v>
          </cell>
          <cell r="E1467">
            <v>30039</v>
          </cell>
          <cell r="F1467" t="str">
            <v>TESTE FÁCIL CORAL</v>
          </cell>
          <cell r="G1467" t="str">
            <v>IMOBILIÁRIO</v>
          </cell>
        </row>
        <row r="1468">
          <cell r="A1468">
            <v>86516</v>
          </cell>
          <cell r="B1468" t="str">
            <v>CR T FACIL PORTO DE PEDRAS 30ML</v>
          </cell>
          <cell r="C1468">
            <v>5300941</v>
          </cell>
          <cell r="D1468" t="str">
            <v>CORAL</v>
          </cell>
          <cell r="E1468">
            <v>30039</v>
          </cell>
          <cell r="F1468" t="str">
            <v>TESTE FÁCIL CORAL</v>
          </cell>
          <cell r="G1468" t="str">
            <v>IMOBILIÁRIO</v>
          </cell>
        </row>
        <row r="1469">
          <cell r="A1469">
            <v>86303</v>
          </cell>
          <cell r="B1469" t="str">
            <v>CR T FACIL POTE DE ARGILA 30ML</v>
          </cell>
          <cell r="C1469">
            <v>5298745</v>
          </cell>
          <cell r="D1469" t="str">
            <v>CORAL</v>
          </cell>
          <cell r="E1469">
            <v>30039</v>
          </cell>
          <cell r="F1469" t="str">
            <v>TESTE FÁCIL CORAL</v>
          </cell>
          <cell r="G1469" t="str">
            <v>IMOBILIÁRIO</v>
          </cell>
        </row>
        <row r="1470">
          <cell r="A1470">
            <v>86484</v>
          </cell>
          <cell r="B1470" t="str">
            <v>CR T FACIL POTES ANTIGOS 30ML</v>
          </cell>
          <cell r="C1470">
            <v>5300909</v>
          </cell>
          <cell r="D1470" t="str">
            <v>CORAL</v>
          </cell>
          <cell r="E1470">
            <v>30039</v>
          </cell>
          <cell r="F1470" t="str">
            <v>TESTE FÁCIL CORAL</v>
          </cell>
          <cell r="G1470" t="str">
            <v>IMOBILIÁRIO</v>
          </cell>
        </row>
        <row r="1471">
          <cell r="A1471">
            <v>86462</v>
          </cell>
          <cell r="B1471" t="str">
            <v>CR T FACIL PRAIA DA CANOA 30ML</v>
          </cell>
          <cell r="C1471">
            <v>5300887</v>
          </cell>
          <cell r="D1471" t="str">
            <v>CORAL</v>
          </cell>
          <cell r="E1471">
            <v>30039</v>
          </cell>
          <cell r="F1471" t="str">
            <v>TESTE FÁCIL CORAL</v>
          </cell>
          <cell r="G1471" t="str">
            <v>IMOBILIÁRIO</v>
          </cell>
        </row>
        <row r="1472">
          <cell r="A1472">
            <v>86406</v>
          </cell>
          <cell r="B1472" t="str">
            <v>CR T FACIL PRAIA DE CORAL 30ML</v>
          </cell>
          <cell r="C1472">
            <v>5300796</v>
          </cell>
          <cell r="D1472" t="str">
            <v>CORAL</v>
          </cell>
          <cell r="E1472">
            <v>30039</v>
          </cell>
          <cell r="F1472" t="str">
            <v>TESTE FÁCIL CORAL</v>
          </cell>
          <cell r="G1472" t="str">
            <v>IMOBILIÁRIO</v>
          </cell>
        </row>
        <row r="1473">
          <cell r="A1473">
            <v>86382</v>
          </cell>
          <cell r="B1473" t="str">
            <v>CR T FACIL PRATA FINA 30ML</v>
          </cell>
          <cell r="C1473">
            <v>5300772</v>
          </cell>
          <cell r="D1473" t="str">
            <v>CORAL</v>
          </cell>
          <cell r="E1473">
            <v>30039</v>
          </cell>
          <cell r="F1473" t="str">
            <v>TESTE FÁCIL CORAL</v>
          </cell>
          <cell r="G1473" t="str">
            <v>IMOBILIÁRIO</v>
          </cell>
        </row>
        <row r="1474">
          <cell r="A1474">
            <v>86330</v>
          </cell>
          <cell r="B1474" t="str">
            <v>CR T FACIL PROMESSA SECRETA 30ML</v>
          </cell>
          <cell r="C1474">
            <v>5300306</v>
          </cell>
          <cell r="D1474" t="str">
            <v>CORAL</v>
          </cell>
          <cell r="E1474">
            <v>30039</v>
          </cell>
          <cell r="F1474" t="str">
            <v>TESTE FÁCIL CORAL</v>
          </cell>
          <cell r="G1474" t="str">
            <v>IMOBILIÁRIO</v>
          </cell>
        </row>
        <row r="1475">
          <cell r="A1475">
            <v>86417</v>
          </cell>
          <cell r="B1475" t="str">
            <v>CR T FACIL QUEDA LIVRE 30ML</v>
          </cell>
          <cell r="C1475">
            <v>5300807</v>
          </cell>
          <cell r="D1475" t="str">
            <v>CORAL</v>
          </cell>
          <cell r="E1475">
            <v>30039</v>
          </cell>
          <cell r="F1475" t="str">
            <v>TESTE FÁCIL CORAL</v>
          </cell>
          <cell r="G1475" t="str">
            <v>IMOBILIÁRIO</v>
          </cell>
        </row>
        <row r="1476">
          <cell r="A1476">
            <v>86394</v>
          </cell>
          <cell r="B1476" t="str">
            <v>CR T FACIL RAIO DE LUZ 30ML</v>
          </cell>
          <cell r="C1476">
            <v>5300784</v>
          </cell>
          <cell r="D1476" t="str">
            <v>CORAL</v>
          </cell>
          <cell r="E1476">
            <v>30039</v>
          </cell>
          <cell r="F1476" t="str">
            <v>TESTE FÁCIL CORAL</v>
          </cell>
          <cell r="G1476" t="str">
            <v>IMOBILIÁRIO</v>
          </cell>
        </row>
        <row r="1477">
          <cell r="A1477">
            <v>86517</v>
          </cell>
          <cell r="B1477" t="str">
            <v>CR T FACIL RECADO DE AMOR 30ML</v>
          </cell>
          <cell r="C1477">
            <v>5300942</v>
          </cell>
          <cell r="D1477" t="str">
            <v>CORAL</v>
          </cell>
          <cell r="E1477">
            <v>30039</v>
          </cell>
          <cell r="F1477" t="str">
            <v>TESTE FÁCIL CORAL</v>
          </cell>
          <cell r="G1477" t="str">
            <v>IMOBILIÁRIO</v>
          </cell>
        </row>
        <row r="1478">
          <cell r="A1478">
            <v>86418</v>
          </cell>
          <cell r="B1478" t="str">
            <v>CR T FACIL REPOUSO 30ML</v>
          </cell>
          <cell r="C1478">
            <v>5300808</v>
          </cell>
          <cell r="D1478" t="str">
            <v>CORAL</v>
          </cell>
          <cell r="E1478">
            <v>30039</v>
          </cell>
          <cell r="F1478" t="str">
            <v>TESTE FÁCIL CORAL</v>
          </cell>
          <cell r="G1478" t="str">
            <v>IMOBILIÁRIO</v>
          </cell>
        </row>
        <row r="1479">
          <cell r="A1479">
            <v>86356</v>
          </cell>
          <cell r="B1479" t="str">
            <v>CR T FACIL ROSA AMARELA  30ML</v>
          </cell>
          <cell r="C1479">
            <v>5300595</v>
          </cell>
          <cell r="D1479" t="str">
            <v>CORAL</v>
          </cell>
          <cell r="E1479">
            <v>30039</v>
          </cell>
          <cell r="F1479" t="str">
            <v>TESTE FÁCIL CORAL</v>
          </cell>
          <cell r="G1479" t="str">
            <v>IMOBILIÁRIO</v>
          </cell>
        </row>
        <row r="1480">
          <cell r="A1480">
            <v>86359</v>
          </cell>
          <cell r="B1480" t="str">
            <v>CR T FACIL ROSA CAPRI 30ML</v>
          </cell>
          <cell r="C1480">
            <v>5300598</v>
          </cell>
          <cell r="D1480" t="str">
            <v>CORAL</v>
          </cell>
          <cell r="E1480">
            <v>30039</v>
          </cell>
          <cell r="F1480" t="str">
            <v>TESTE FÁCIL CORAL</v>
          </cell>
          <cell r="G1480" t="str">
            <v>IMOBILIÁRIO</v>
          </cell>
        </row>
        <row r="1481">
          <cell r="A1481">
            <v>86343</v>
          </cell>
          <cell r="B1481" t="str">
            <v>CR T FACIL ROSA COLONIAL 30ML</v>
          </cell>
          <cell r="C1481">
            <v>5300582</v>
          </cell>
          <cell r="D1481" t="str">
            <v>CORAL</v>
          </cell>
          <cell r="E1481">
            <v>30039</v>
          </cell>
          <cell r="F1481" t="str">
            <v>TESTE FÁCIL CORAL</v>
          </cell>
          <cell r="G1481" t="str">
            <v>IMOBILIÁRIO</v>
          </cell>
        </row>
        <row r="1482">
          <cell r="A1482">
            <v>86365</v>
          </cell>
          <cell r="B1482" t="str">
            <v>CR T FACIL ROSA CONQUISTA 30ML</v>
          </cell>
          <cell r="C1482">
            <v>5300604</v>
          </cell>
          <cell r="D1482" t="str">
            <v>CORAL</v>
          </cell>
          <cell r="E1482">
            <v>30039</v>
          </cell>
          <cell r="F1482" t="str">
            <v>TESTE FÁCIL CORAL</v>
          </cell>
          <cell r="G1482" t="str">
            <v>IMOBILIÁRIO</v>
          </cell>
        </row>
        <row r="1483">
          <cell r="A1483">
            <v>86350</v>
          </cell>
          <cell r="B1483" t="str">
            <v>CR T FACIL ROSA EMPOEIRADA 30ML</v>
          </cell>
          <cell r="C1483">
            <v>5300589</v>
          </cell>
          <cell r="D1483" t="str">
            <v>CORAL</v>
          </cell>
          <cell r="E1483">
            <v>30039</v>
          </cell>
          <cell r="F1483" t="str">
            <v>TESTE FÁCIL CORAL</v>
          </cell>
          <cell r="G1483" t="str">
            <v>IMOBILIÁRIO</v>
          </cell>
        </row>
        <row r="1484">
          <cell r="A1484">
            <v>86488</v>
          </cell>
          <cell r="B1484" t="str">
            <v>CR T FACIL ROSA PETALA 30ML</v>
          </cell>
          <cell r="C1484">
            <v>5300913</v>
          </cell>
          <cell r="D1484" t="str">
            <v>CORAL</v>
          </cell>
          <cell r="E1484">
            <v>30039</v>
          </cell>
          <cell r="F1484" t="str">
            <v>TESTE FÁCIL CORAL</v>
          </cell>
          <cell r="G1484" t="str">
            <v>IMOBILIÁRIO</v>
          </cell>
        </row>
        <row r="1485">
          <cell r="A1485">
            <v>86299</v>
          </cell>
          <cell r="B1485" t="str">
            <v>CR T FACIL SAIBRO 30ML</v>
          </cell>
          <cell r="C1485">
            <v>5298741</v>
          </cell>
          <cell r="D1485" t="str">
            <v>CORAL</v>
          </cell>
          <cell r="E1485">
            <v>30039</v>
          </cell>
          <cell r="F1485" t="str">
            <v>TESTE FÁCIL CORAL</v>
          </cell>
          <cell r="G1485" t="str">
            <v>IMOBILIÁRIO</v>
          </cell>
        </row>
        <row r="1486">
          <cell r="A1486">
            <v>86471</v>
          </cell>
          <cell r="B1486" t="str">
            <v>CR T FACIL SALVIA 30ML</v>
          </cell>
          <cell r="C1486">
            <v>5300896</v>
          </cell>
          <cell r="D1486" t="str">
            <v>CORAL</v>
          </cell>
          <cell r="E1486">
            <v>30039</v>
          </cell>
          <cell r="F1486" t="str">
            <v>TESTE FÁCIL CORAL</v>
          </cell>
          <cell r="G1486" t="str">
            <v>IMOBILIÁRIO</v>
          </cell>
        </row>
        <row r="1487">
          <cell r="A1487">
            <v>86352</v>
          </cell>
          <cell r="B1487" t="str">
            <v>CR T FACIL SANTA ROSA 30ML</v>
          </cell>
          <cell r="C1487">
            <v>5300591</v>
          </cell>
          <cell r="D1487" t="str">
            <v>CORAL</v>
          </cell>
          <cell r="E1487">
            <v>30039</v>
          </cell>
          <cell r="F1487" t="str">
            <v>TESTE FÁCIL CORAL</v>
          </cell>
          <cell r="G1487" t="str">
            <v>IMOBILIÁRIO</v>
          </cell>
        </row>
        <row r="1488">
          <cell r="A1488">
            <v>86334</v>
          </cell>
          <cell r="B1488" t="str">
            <v>CR T FACIL SEDA ONDULADA 30ML</v>
          </cell>
          <cell r="C1488">
            <v>5300573</v>
          </cell>
          <cell r="D1488" t="str">
            <v>CORAL</v>
          </cell>
          <cell r="E1488">
            <v>30039</v>
          </cell>
          <cell r="F1488" t="str">
            <v>TESTE FÁCIL CORAL</v>
          </cell>
          <cell r="G1488" t="str">
            <v>IMOBILIÁRIO</v>
          </cell>
        </row>
        <row r="1489">
          <cell r="A1489">
            <v>86506</v>
          </cell>
          <cell r="B1489" t="str">
            <v>CR T FACIL SILENCIO DA MANHA 30ML</v>
          </cell>
          <cell r="C1489">
            <v>5300931</v>
          </cell>
          <cell r="D1489" t="str">
            <v>CORAL</v>
          </cell>
          <cell r="E1489">
            <v>30039</v>
          </cell>
          <cell r="F1489" t="str">
            <v>TESTE FÁCIL CORAL</v>
          </cell>
          <cell r="G1489" t="str">
            <v>IMOBILIÁRIO</v>
          </cell>
        </row>
        <row r="1490">
          <cell r="A1490">
            <v>86374</v>
          </cell>
          <cell r="B1490" t="str">
            <v>CR T FACIL SINTONIA LILAS 30ML</v>
          </cell>
          <cell r="C1490">
            <v>5300613</v>
          </cell>
          <cell r="D1490" t="str">
            <v>CORAL</v>
          </cell>
          <cell r="E1490">
            <v>30039</v>
          </cell>
          <cell r="F1490" t="str">
            <v>TESTE FÁCIL CORAL</v>
          </cell>
          <cell r="G1490" t="str">
            <v>IMOBILIÁRIO</v>
          </cell>
        </row>
        <row r="1491">
          <cell r="A1491">
            <v>86387</v>
          </cell>
          <cell r="B1491" t="str">
            <v>CR T FACIL SOL CELESTIAL 30ML</v>
          </cell>
          <cell r="C1491">
            <v>5300777</v>
          </cell>
          <cell r="D1491" t="str">
            <v>CORAL</v>
          </cell>
          <cell r="E1491">
            <v>30039</v>
          </cell>
          <cell r="F1491" t="str">
            <v>TESTE FÁCIL CORAL</v>
          </cell>
          <cell r="G1491" t="str">
            <v>IMOBILIÁRIO</v>
          </cell>
        </row>
        <row r="1492">
          <cell r="A1492">
            <v>86519</v>
          </cell>
          <cell r="B1492" t="str">
            <v>CR T FACIL TEATRO BARROCO 30ML</v>
          </cell>
          <cell r="C1492">
            <v>5300944</v>
          </cell>
          <cell r="D1492" t="str">
            <v>CORAL</v>
          </cell>
          <cell r="E1492">
            <v>30039</v>
          </cell>
          <cell r="F1492" t="str">
            <v>TESTE FÁCIL CORAL</v>
          </cell>
          <cell r="G1492" t="str">
            <v>IMOBILIÁRIO</v>
          </cell>
        </row>
        <row r="1493">
          <cell r="A1493">
            <v>86463</v>
          </cell>
          <cell r="B1493" t="str">
            <v>CR T FACIL TEMPERO FORTE 30ML</v>
          </cell>
          <cell r="C1493">
            <v>5300888</v>
          </cell>
          <cell r="D1493" t="str">
            <v>CORAL</v>
          </cell>
          <cell r="E1493">
            <v>30039</v>
          </cell>
          <cell r="F1493" t="str">
            <v>TESTE FÁCIL CORAL</v>
          </cell>
          <cell r="G1493" t="str">
            <v>IMOBILIÁRIO</v>
          </cell>
        </row>
        <row r="1494">
          <cell r="A1494">
            <v>86414</v>
          </cell>
          <cell r="B1494" t="str">
            <v>CR T FACIL TEMPLO DA ORACAO 30ML</v>
          </cell>
          <cell r="C1494">
            <v>5300804</v>
          </cell>
          <cell r="D1494" t="str">
            <v>CORAL</v>
          </cell>
          <cell r="E1494">
            <v>30039</v>
          </cell>
          <cell r="F1494" t="str">
            <v>TESTE FÁCIL CORAL</v>
          </cell>
          <cell r="G1494" t="str">
            <v>IMOBILIÁRIO</v>
          </cell>
        </row>
        <row r="1495">
          <cell r="A1495">
            <v>86480</v>
          </cell>
          <cell r="B1495" t="str">
            <v>CR T FACIL TERRA BRASILIS 30ML</v>
          </cell>
          <cell r="C1495">
            <v>5300905</v>
          </cell>
          <cell r="D1495" t="str">
            <v>CORAL</v>
          </cell>
          <cell r="E1495">
            <v>30039</v>
          </cell>
          <cell r="F1495" t="str">
            <v>TESTE FÁCIL CORAL</v>
          </cell>
          <cell r="G1495" t="str">
            <v>IMOBILIÁRIO</v>
          </cell>
        </row>
        <row r="1496">
          <cell r="A1496">
            <v>86401</v>
          </cell>
          <cell r="B1496" t="str">
            <v>CR T FACIL TERRA FORTE 30ML</v>
          </cell>
          <cell r="C1496">
            <v>5300791</v>
          </cell>
          <cell r="D1496" t="str">
            <v>CORAL</v>
          </cell>
          <cell r="E1496">
            <v>30039</v>
          </cell>
          <cell r="F1496" t="str">
            <v>TESTE FÁCIL CORAL</v>
          </cell>
          <cell r="G1496" t="str">
            <v>IMOBILIÁRIO</v>
          </cell>
        </row>
        <row r="1497">
          <cell r="A1497">
            <v>86499</v>
          </cell>
          <cell r="B1497" t="str">
            <v>CR T FACIL TOMILHO 30ML</v>
          </cell>
          <cell r="C1497">
            <v>5300924</v>
          </cell>
          <cell r="D1497" t="str">
            <v>CORAL</v>
          </cell>
          <cell r="E1497">
            <v>30039</v>
          </cell>
          <cell r="F1497" t="str">
            <v>TESTE FÁCIL CORAL</v>
          </cell>
          <cell r="G1497" t="str">
            <v>IMOBILIÁRIO</v>
          </cell>
        </row>
        <row r="1498">
          <cell r="A1498">
            <v>86465</v>
          </cell>
          <cell r="B1498" t="str">
            <v>CR T FACIL TOPAZIO CLARO 30ML</v>
          </cell>
          <cell r="C1498">
            <v>5300890</v>
          </cell>
          <cell r="D1498" t="str">
            <v>CORAL</v>
          </cell>
          <cell r="E1498">
            <v>30039</v>
          </cell>
          <cell r="F1498" t="str">
            <v>TESTE FÁCIL CORAL</v>
          </cell>
          <cell r="G1498" t="str">
            <v>IMOBILIÁRIO</v>
          </cell>
        </row>
        <row r="1499">
          <cell r="A1499">
            <v>86400</v>
          </cell>
          <cell r="B1499" t="str">
            <v>CR T FACIL TOQUE DE CEREJEIRA 30ML</v>
          </cell>
          <cell r="C1499">
            <v>5300790</v>
          </cell>
          <cell r="D1499" t="str">
            <v>CORAL</v>
          </cell>
          <cell r="E1499">
            <v>30039</v>
          </cell>
          <cell r="F1499" t="str">
            <v>TESTE FÁCIL CORAL</v>
          </cell>
          <cell r="G1499" t="str">
            <v>IMOBILIÁRIO</v>
          </cell>
        </row>
        <row r="1500">
          <cell r="A1500">
            <v>86380</v>
          </cell>
          <cell r="B1500" t="str">
            <v>CR T FACIL TREVO DA SORTE 30ML</v>
          </cell>
          <cell r="C1500">
            <v>5300619</v>
          </cell>
          <cell r="D1500" t="str">
            <v>CORAL</v>
          </cell>
          <cell r="E1500">
            <v>30039</v>
          </cell>
          <cell r="F1500" t="str">
            <v>TESTE FÁCIL CORAL</v>
          </cell>
          <cell r="G1500" t="str">
            <v>IMOBILIÁRIO</v>
          </cell>
        </row>
        <row r="1501">
          <cell r="A1501">
            <v>86473</v>
          </cell>
          <cell r="B1501" t="str">
            <v>CR T FACIL TREVO PALIDO 30ML</v>
          </cell>
          <cell r="C1501">
            <v>5300898</v>
          </cell>
          <cell r="D1501" t="str">
            <v>CORAL</v>
          </cell>
          <cell r="E1501">
            <v>30039</v>
          </cell>
          <cell r="F1501" t="str">
            <v>TESTE FÁCIL CORAL</v>
          </cell>
          <cell r="G1501" t="str">
            <v>IMOBILIÁRIO</v>
          </cell>
        </row>
        <row r="1502">
          <cell r="A1502">
            <v>86466</v>
          </cell>
          <cell r="B1502" t="str">
            <v>CR T FACIL TRIGO DOURADO 30ML</v>
          </cell>
          <cell r="C1502">
            <v>5300891</v>
          </cell>
          <cell r="D1502" t="str">
            <v>CORAL</v>
          </cell>
          <cell r="E1502">
            <v>30039</v>
          </cell>
          <cell r="F1502" t="str">
            <v>TESTE FÁCIL CORAL</v>
          </cell>
          <cell r="G1502" t="str">
            <v>IMOBILIÁRIO</v>
          </cell>
        </row>
        <row r="1503">
          <cell r="A1503">
            <v>86307</v>
          </cell>
          <cell r="B1503" t="str">
            <v>CR T FACIL TRILHA ECOLOGICA 30ML</v>
          </cell>
          <cell r="C1503">
            <v>5298749</v>
          </cell>
          <cell r="D1503" t="str">
            <v>CORAL</v>
          </cell>
          <cell r="E1503">
            <v>30039</v>
          </cell>
          <cell r="F1503" t="str">
            <v>TESTE FÁCIL CORAL</v>
          </cell>
          <cell r="G1503" t="str">
            <v>IMOBILIÁRIO</v>
          </cell>
        </row>
        <row r="1504">
          <cell r="A1504">
            <v>86385</v>
          </cell>
          <cell r="B1504" t="str">
            <v>CR T FACIL TRILHA PARA CAMINHADA 30ML</v>
          </cell>
          <cell r="C1504">
            <v>5300775</v>
          </cell>
          <cell r="D1504" t="str">
            <v>CORAL</v>
          </cell>
          <cell r="E1504">
            <v>30039</v>
          </cell>
          <cell r="F1504" t="str">
            <v>TESTE FÁCIL CORAL</v>
          </cell>
          <cell r="G1504" t="str">
            <v>IMOBILIÁRIO</v>
          </cell>
        </row>
        <row r="1505">
          <cell r="A1505">
            <v>86313</v>
          </cell>
          <cell r="B1505" t="str">
            <v>CR T FACIL TROFEU DE PRATA 30ML</v>
          </cell>
          <cell r="C1505">
            <v>5300289</v>
          </cell>
          <cell r="D1505" t="str">
            <v>CORAL</v>
          </cell>
          <cell r="E1505">
            <v>30039</v>
          </cell>
          <cell r="F1505" t="str">
            <v>TESTE FÁCIL CORAL</v>
          </cell>
          <cell r="G1505" t="str">
            <v>IMOBILIÁRIO</v>
          </cell>
        </row>
        <row r="1506">
          <cell r="A1506">
            <v>86332</v>
          </cell>
          <cell r="B1506" t="str">
            <v>CR T FACIL TRUFA DE HORTELA 30ML</v>
          </cell>
          <cell r="C1506">
            <v>5300571</v>
          </cell>
          <cell r="D1506" t="str">
            <v>CORAL</v>
          </cell>
          <cell r="E1506">
            <v>30039</v>
          </cell>
          <cell r="F1506" t="str">
            <v>TESTE FÁCIL CORAL</v>
          </cell>
          <cell r="G1506" t="str">
            <v>IMOBILIÁRIO</v>
          </cell>
        </row>
        <row r="1507">
          <cell r="A1507">
            <v>86314</v>
          </cell>
          <cell r="B1507" t="str">
            <v>CR T FACIL TUBARAO BRANCO 30ML</v>
          </cell>
          <cell r="C1507">
            <v>5300290</v>
          </cell>
          <cell r="D1507" t="str">
            <v>CORAL</v>
          </cell>
          <cell r="E1507">
            <v>30039</v>
          </cell>
          <cell r="F1507" t="str">
            <v>TESTE FÁCIL CORAL</v>
          </cell>
          <cell r="G1507" t="str">
            <v>IMOBILIÁRIO</v>
          </cell>
        </row>
        <row r="1508">
          <cell r="A1508">
            <v>86340</v>
          </cell>
          <cell r="B1508" t="str">
            <v>CR T FACIL TURQUESA VENEZIANA 30ML</v>
          </cell>
          <cell r="C1508">
            <v>5300579</v>
          </cell>
          <cell r="D1508" t="str">
            <v>CORAL</v>
          </cell>
          <cell r="E1508">
            <v>30039</v>
          </cell>
          <cell r="F1508" t="str">
            <v>TESTE FÁCIL CORAL</v>
          </cell>
          <cell r="G1508" t="str">
            <v>IMOBILIÁRIO</v>
          </cell>
        </row>
        <row r="1509">
          <cell r="A1509">
            <v>86421</v>
          </cell>
          <cell r="B1509" t="str">
            <v>CR T FACIL UVA PASSA 30ML</v>
          </cell>
          <cell r="C1509">
            <v>5300811</v>
          </cell>
          <cell r="D1509" t="str">
            <v>CORAL</v>
          </cell>
          <cell r="E1509">
            <v>30039</v>
          </cell>
          <cell r="F1509" t="str">
            <v>TESTE FÁCIL CORAL</v>
          </cell>
          <cell r="G1509" t="str">
            <v>IMOBILIÁRIO</v>
          </cell>
        </row>
        <row r="1510">
          <cell r="A1510">
            <v>86373</v>
          </cell>
          <cell r="B1510" t="str">
            <v>CR T FACIL UVA VERDE 30ML</v>
          </cell>
          <cell r="C1510">
            <v>5300612</v>
          </cell>
          <cell r="D1510" t="str">
            <v>CORAL</v>
          </cell>
          <cell r="E1510">
            <v>30039</v>
          </cell>
          <cell r="F1510" t="str">
            <v>TESTE FÁCIL CORAL</v>
          </cell>
          <cell r="G1510" t="str">
            <v>IMOBILIÁRIO</v>
          </cell>
        </row>
        <row r="1511">
          <cell r="A1511">
            <v>86346</v>
          </cell>
          <cell r="B1511" t="str">
            <v>CR T FACIL VENTO SUAVE 30ML</v>
          </cell>
          <cell r="C1511">
            <v>5300585</v>
          </cell>
          <cell r="D1511" t="str">
            <v>CORAL</v>
          </cell>
          <cell r="E1511">
            <v>30039</v>
          </cell>
          <cell r="F1511" t="str">
            <v>TESTE FÁCIL CORAL</v>
          </cell>
          <cell r="G1511" t="str">
            <v>IMOBILIÁRIO</v>
          </cell>
        </row>
        <row r="1512">
          <cell r="A1512">
            <v>86475</v>
          </cell>
          <cell r="B1512" t="str">
            <v>CR T FACIL VERDE ABSOLUTO 30ML</v>
          </cell>
          <cell r="C1512">
            <v>5300900</v>
          </cell>
          <cell r="D1512" t="str">
            <v>CORAL</v>
          </cell>
          <cell r="E1512">
            <v>30039</v>
          </cell>
          <cell r="F1512" t="str">
            <v>TESTE FÁCIL CORAL</v>
          </cell>
          <cell r="G1512" t="str">
            <v>IMOBILIÁRIO</v>
          </cell>
        </row>
        <row r="1513">
          <cell r="A1513">
            <v>86354</v>
          </cell>
          <cell r="B1513" t="str">
            <v>CR T FACIL VERDE JADE 30ML</v>
          </cell>
          <cell r="C1513">
            <v>5300593</v>
          </cell>
          <cell r="D1513" t="str">
            <v>CORAL</v>
          </cell>
          <cell r="E1513">
            <v>30039</v>
          </cell>
          <cell r="F1513" t="str">
            <v>TESTE FÁCIL CORAL</v>
          </cell>
          <cell r="G1513" t="str">
            <v>IMOBILIÁRIO</v>
          </cell>
        </row>
        <row r="1514">
          <cell r="A1514">
            <v>86435</v>
          </cell>
          <cell r="B1514" t="str">
            <v>CR T FACIL VERDE LUDICO 30ML</v>
          </cell>
          <cell r="C1514">
            <v>5300859</v>
          </cell>
          <cell r="D1514" t="str">
            <v>CORAL</v>
          </cell>
          <cell r="E1514">
            <v>30039</v>
          </cell>
          <cell r="F1514" t="str">
            <v>TESTE FÁCIL CORAL</v>
          </cell>
          <cell r="G1514" t="str">
            <v>IMOBILIÁRIO</v>
          </cell>
        </row>
        <row r="1515">
          <cell r="A1515">
            <v>86407</v>
          </cell>
          <cell r="B1515" t="str">
            <v>CR T FACIL VERDE RIACHO 30ML</v>
          </cell>
          <cell r="C1515">
            <v>5300797</v>
          </cell>
          <cell r="D1515" t="str">
            <v>CORAL</v>
          </cell>
          <cell r="E1515">
            <v>30039</v>
          </cell>
          <cell r="F1515" t="str">
            <v>TESTE FÁCIL CORAL</v>
          </cell>
          <cell r="G1515" t="str">
            <v>IMOBILIÁRIO</v>
          </cell>
        </row>
        <row r="1516">
          <cell r="A1516">
            <v>86458</v>
          </cell>
          <cell r="B1516" t="str">
            <v>CR T FACIL VERMELHO DISTINTIVO 30ML</v>
          </cell>
          <cell r="C1516">
            <v>5300883</v>
          </cell>
          <cell r="D1516" t="str">
            <v>CORAL</v>
          </cell>
          <cell r="E1516">
            <v>30039</v>
          </cell>
          <cell r="F1516" t="str">
            <v>TESTE FÁCIL CORAL</v>
          </cell>
          <cell r="G1516" t="str">
            <v>IMOBILIÁRIO</v>
          </cell>
        </row>
        <row r="1517">
          <cell r="A1517">
            <v>86487</v>
          </cell>
          <cell r="B1517" t="str">
            <v>CR T FACIL VIDA SERENA 30ML</v>
          </cell>
          <cell r="C1517">
            <v>5300912</v>
          </cell>
          <cell r="D1517" t="str">
            <v>CORAL</v>
          </cell>
          <cell r="E1517">
            <v>30039</v>
          </cell>
          <cell r="F1517" t="str">
            <v>TESTE FÁCIL CORAL</v>
          </cell>
          <cell r="G1517" t="str">
            <v>IMOBILIÁRIO</v>
          </cell>
        </row>
        <row r="1518">
          <cell r="A1518">
            <v>86325</v>
          </cell>
          <cell r="B1518" t="str">
            <v>CR T FACIL VIDRO ESFUMACADO 30ML</v>
          </cell>
          <cell r="C1518">
            <v>5300301</v>
          </cell>
          <cell r="D1518" t="str">
            <v>CORAL</v>
          </cell>
          <cell r="E1518">
            <v>30039</v>
          </cell>
          <cell r="F1518" t="str">
            <v>TESTE FÁCIL CORAL</v>
          </cell>
          <cell r="G1518" t="str">
            <v>IMOBILIÁRIO</v>
          </cell>
        </row>
        <row r="1519">
          <cell r="A1519">
            <v>86425</v>
          </cell>
          <cell r="B1519" t="str">
            <v>CR T FACIL VINHEDO 30ML</v>
          </cell>
          <cell r="C1519">
            <v>5300815</v>
          </cell>
          <cell r="D1519" t="str">
            <v>CORAL</v>
          </cell>
          <cell r="E1519">
            <v>30039</v>
          </cell>
          <cell r="F1519" t="str">
            <v>TESTE FÁCIL CORAL</v>
          </cell>
          <cell r="G1519" t="str">
            <v>IMOBILIÁRIO</v>
          </cell>
        </row>
        <row r="1520">
          <cell r="A1520">
            <v>86420</v>
          </cell>
          <cell r="B1520" t="str">
            <v>CR T FACIL VINHO FRIZZANTE 30ML</v>
          </cell>
          <cell r="C1520">
            <v>5300810</v>
          </cell>
          <cell r="D1520" t="str">
            <v>CORAL</v>
          </cell>
          <cell r="E1520">
            <v>30039</v>
          </cell>
          <cell r="F1520" t="str">
            <v>TESTE FÁCIL CORAL</v>
          </cell>
          <cell r="G1520" t="str">
            <v>IMOBILIÁRIO</v>
          </cell>
        </row>
        <row r="1521">
          <cell r="A1521">
            <v>86396</v>
          </cell>
          <cell r="B1521" t="str">
            <v>CR T FACIL VINHO SOFISTICADO 30ML</v>
          </cell>
          <cell r="C1521">
            <v>5300786</v>
          </cell>
          <cell r="D1521" t="str">
            <v>CORAL</v>
          </cell>
          <cell r="E1521">
            <v>30039</v>
          </cell>
          <cell r="F1521" t="str">
            <v>TESTE FÁCIL CORAL</v>
          </cell>
          <cell r="G1521" t="str">
            <v>IMOBILIÁRIO</v>
          </cell>
        </row>
        <row r="1522">
          <cell r="A1522">
            <v>86436</v>
          </cell>
          <cell r="B1522" t="str">
            <v>CR T FACIL VIOLETA ANTIGO 30ML</v>
          </cell>
          <cell r="C1522">
            <v>5300860</v>
          </cell>
          <cell r="D1522" t="str">
            <v>CORAL</v>
          </cell>
          <cell r="E1522">
            <v>30039</v>
          </cell>
          <cell r="F1522" t="str">
            <v>TESTE FÁCIL CORAL</v>
          </cell>
          <cell r="G1522" t="str">
            <v>IMOBILIÁRIO</v>
          </cell>
        </row>
        <row r="1523">
          <cell r="A1523">
            <v>86412</v>
          </cell>
          <cell r="B1523" t="str">
            <v>CR T FACIL VIOLETA PEROLA 30ML</v>
          </cell>
          <cell r="C1523">
            <v>5300802</v>
          </cell>
          <cell r="D1523" t="str">
            <v>CORAL</v>
          </cell>
          <cell r="E1523">
            <v>30039</v>
          </cell>
          <cell r="F1523" t="str">
            <v>TESTE FÁCIL CORAL</v>
          </cell>
          <cell r="G1523" t="str">
            <v>IMOBILIÁRIO</v>
          </cell>
        </row>
        <row r="1524">
          <cell r="A1524">
            <v>86389</v>
          </cell>
          <cell r="B1524" t="str">
            <v>CR T FACIL VISTA DA CIDADE 30ML</v>
          </cell>
          <cell r="C1524">
            <v>5300779</v>
          </cell>
          <cell r="D1524" t="str">
            <v>CORAL</v>
          </cell>
          <cell r="E1524">
            <v>30039</v>
          </cell>
          <cell r="F1524" t="str">
            <v>TESTE FÁCIL CORAL</v>
          </cell>
          <cell r="G1524" t="str">
            <v>IMOBILIÁRIO</v>
          </cell>
        </row>
        <row r="1525">
          <cell r="A1525">
            <v>86413</v>
          </cell>
          <cell r="B1525" t="str">
            <v>CR T FACIL VISTA DO LAGO 30ML</v>
          </cell>
          <cell r="C1525">
            <v>5300803</v>
          </cell>
          <cell r="D1525" t="str">
            <v>CORAL</v>
          </cell>
          <cell r="E1525">
            <v>30039</v>
          </cell>
          <cell r="F1525" t="str">
            <v>TESTE FÁCIL CORAL</v>
          </cell>
          <cell r="G1525" t="str">
            <v>IMOBILIÁRIO</v>
          </cell>
        </row>
        <row r="1526">
          <cell r="A1526">
            <v>86377</v>
          </cell>
          <cell r="B1526" t="str">
            <v>CR T FACIL VITROLA RETRO 30ML</v>
          </cell>
          <cell r="C1526">
            <v>5300616</v>
          </cell>
          <cell r="D1526" t="str">
            <v>CORAL</v>
          </cell>
          <cell r="E1526">
            <v>30039</v>
          </cell>
          <cell r="F1526" t="str">
            <v>TESTE FÁCIL CORAL</v>
          </cell>
          <cell r="G1526" t="str">
            <v>IMOBILIÁRIO</v>
          </cell>
        </row>
        <row r="1527">
          <cell r="A1527">
            <v>86293</v>
          </cell>
          <cell r="B1527" t="str">
            <v>CR T FACIL ZEPELIM 30ML</v>
          </cell>
          <cell r="C1527">
            <v>5298254</v>
          </cell>
          <cell r="D1527" t="str">
            <v>CORAL</v>
          </cell>
          <cell r="E1527">
            <v>30039</v>
          </cell>
          <cell r="F1527" t="str">
            <v>TESTE FÁCIL CORAL</v>
          </cell>
          <cell r="G1527" t="str">
            <v>IMOBILIÁRIO</v>
          </cell>
        </row>
        <row r="1528">
          <cell r="A1528">
            <v>85698</v>
          </cell>
          <cell r="B1528" t="str">
            <v>PAPELAO ONDULADO SEMIKRAFT 1,20X20KG</v>
          </cell>
          <cell r="C1528">
            <v>85</v>
          </cell>
          <cell r="D1528" t="str">
            <v>SIMAPPEL</v>
          </cell>
          <cell r="E1528">
            <v>30038</v>
          </cell>
          <cell r="F1528" t="str">
            <v>PAPELAO ONDULADO</v>
          </cell>
          <cell r="G1528" t="str">
            <v>IMOBILIÁRIO</v>
          </cell>
        </row>
        <row r="1529">
          <cell r="A1529">
            <v>84879</v>
          </cell>
          <cell r="B1529" t="str">
            <v>ARGAMASSA  ACI 20KG</v>
          </cell>
          <cell r="C1529">
            <v>3</v>
          </cell>
          <cell r="D1529" t="str">
            <v>CIMENTMIX</v>
          </cell>
          <cell r="E1529">
            <v>30037</v>
          </cell>
          <cell r="F1529" t="str">
            <v>ARGAMASSA</v>
          </cell>
          <cell r="G1529" t="str">
            <v>IMOBILIÁRIO</v>
          </cell>
        </row>
        <row r="1530">
          <cell r="A1530">
            <v>85605</v>
          </cell>
          <cell r="B1530" t="str">
            <v>ARGAMASSA AC1 5KG (4X5)</v>
          </cell>
          <cell r="C1530">
            <v>150524</v>
          </cell>
          <cell r="D1530" t="str">
            <v>REJUMASSA</v>
          </cell>
          <cell r="E1530">
            <v>30037</v>
          </cell>
          <cell r="F1530" t="str">
            <v>ARGAMASSA</v>
          </cell>
          <cell r="G1530" t="str">
            <v>IMOBILIÁRIO</v>
          </cell>
        </row>
        <row r="1531">
          <cell r="A1531">
            <v>85604</v>
          </cell>
          <cell r="B1531" t="str">
            <v>ARGAMASSA REFRATARIA 5KG (4X5)</v>
          </cell>
          <cell r="C1531">
            <v>71118</v>
          </cell>
          <cell r="D1531" t="str">
            <v>REJUMASSA</v>
          </cell>
          <cell r="E1531">
            <v>30037</v>
          </cell>
          <cell r="F1531" t="str">
            <v>ARGAMASSA</v>
          </cell>
          <cell r="G1531" t="str">
            <v>IMOBILIÁRIO</v>
          </cell>
        </row>
        <row r="1532">
          <cell r="A1532">
            <v>85489</v>
          </cell>
          <cell r="B1532" t="str">
            <v>PALHA DE AÇO N.0 ATLAS</v>
          </cell>
          <cell r="C1532" t="str">
            <v>AT90/50</v>
          </cell>
          <cell r="D1532" t="str">
            <v>ATLAS</v>
          </cell>
          <cell r="E1532">
            <v>30036</v>
          </cell>
          <cell r="F1532" t="str">
            <v>PALHA DE AÇO</v>
          </cell>
          <cell r="G1532" t="str">
            <v>IMOBILIÁRIO</v>
          </cell>
        </row>
        <row r="1533">
          <cell r="A1533">
            <v>85020</v>
          </cell>
          <cell r="B1533" t="str">
            <v>PALHA DE AÇO N.1</v>
          </cell>
          <cell r="C1533">
            <v>3932</v>
          </cell>
          <cell r="D1533" t="str">
            <v>.</v>
          </cell>
          <cell r="E1533">
            <v>30036</v>
          </cell>
          <cell r="F1533" t="str">
            <v>PALHA DE AÇO</v>
          </cell>
          <cell r="G1533" t="str">
            <v>IMOBILIÁRIO</v>
          </cell>
        </row>
        <row r="1534">
          <cell r="A1534">
            <v>85490</v>
          </cell>
          <cell r="B1534" t="str">
            <v>PALHA DE AÇO N.1 ATLAS</v>
          </cell>
          <cell r="C1534" t="str">
            <v>AT90/60</v>
          </cell>
          <cell r="D1534" t="str">
            <v>ATLAS</v>
          </cell>
          <cell r="E1534">
            <v>30036</v>
          </cell>
          <cell r="F1534" t="str">
            <v>PALHA DE AÇO</v>
          </cell>
          <cell r="G1534" t="str">
            <v>IMOBILIÁRIO</v>
          </cell>
        </row>
        <row r="1535">
          <cell r="A1535">
            <v>85021</v>
          </cell>
          <cell r="B1535" t="str">
            <v>PALHA DE AÇO N.2</v>
          </cell>
          <cell r="C1535">
            <v>3933</v>
          </cell>
          <cell r="D1535" t="str">
            <v>.</v>
          </cell>
          <cell r="E1535">
            <v>30036</v>
          </cell>
          <cell r="F1535" t="str">
            <v>PALHA DE AÇO</v>
          </cell>
          <cell r="G1535" t="str">
            <v>IMOBILIÁRIO</v>
          </cell>
        </row>
        <row r="1536">
          <cell r="A1536">
            <v>85491</v>
          </cell>
          <cell r="B1536" t="str">
            <v>PALHA DE AÇO N.2 ATLAS</v>
          </cell>
          <cell r="C1536" t="str">
            <v>AT90/70</v>
          </cell>
          <cell r="D1536" t="str">
            <v>ATLAS</v>
          </cell>
          <cell r="E1536">
            <v>30036</v>
          </cell>
          <cell r="F1536" t="str">
            <v>PALHA DE AÇO</v>
          </cell>
          <cell r="G1536" t="str">
            <v>IMOBILIÁRIO</v>
          </cell>
        </row>
        <row r="1537">
          <cell r="A1537">
            <v>85523</v>
          </cell>
          <cell r="B1537" t="str">
            <v>PEDRAS NATURAIS ACO CORTEN BALDE 20KG INOVE</v>
          </cell>
          <cell r="C1537">
            <v>117623</v>
          </cell>
          <cell r="D1537" t="str">
            <v>DÁVILA  INOVE</v>
          </cell>
          <cell r="E1537">
            <v>30035</v>
          </cell>
          <cell r="F1537" t="str">
            <v>PEDRAS NATURAIS</v>
          </cell>
          <cell r="G1537" t="str">
            <v>IMOBILIÁRIO</v>
          </cell>
        </row>
        <row r="1538">
          <cell r="A1538">
            <v>85524</v>
          </cell>
          <cell r="B1538" t="str">
            <v>PEDRAS NATURAIS BARCELONA BALDE 20KG INOVE</v>
          </cell>
          <cell r="C1538">
            <v>117628</v>
          </cell>
          <cell r="D1538" t="str">
            <v>DÁVILA  INOVE</v>
          </cell>
          <cell r="E1538">
            <v>30035</v>
          </cell>
          <cell r="F1538" t="str">
            <v>PEDRAS NATURAIS</v>
          </cell>
          <cell r="G1538" t="str">
            <v>IMOBILIÁRIO</v>
          </cell>
        </row>
        <row r="1539">
          <cell r="A1539">
            <v>85525</v>
          </cell>
          <cell r="B1539" t="str">
            <v>PEDRAS NATURAIS DUBAI BALDE 20KG INOVE</v>
          </cell>
          <cell r="C1539">
            <v>117625</v>
          </cell>
          <cell r="D1539" t="str">
            <v>DÁVILA  INOVE</v>
          </cell>
          <cell r="E1539">
            <v>30035</v>
          </cell>
          <cell r="F1539" t="str">
            <v>PEDRAS NATURAIS</v>
          </cell>
          <cell r="G1539" t="str">
            <v>IMOBILIÁRIO</v>
          </cell>
        </row>
        <row r="1540">
          <cell r="A1540">
            <v>85526</v>
          </cell>
          <cell r="B1540" t="str">
            <v>PEDRAS NATURAIS FULL BLACK BALDE 20KG INOVE</v>
          </cell>
          <cell r="C1540">
            <v>117624</v>
          </cell>
          <cell r="D1540" t="str">
            <v>DÁVILA  INOVE</v>
          </cell>
          <cell r="E1540">
            <v>30035</v>
          </cell>
          <cell r="F1540" t="str">
            <v>PEDRAS NATURAIS</v>
          </cell>
          <cell r="G1540" t="str">
            <v>IMOBILIÁRIO</v>
          </cell>
        </row>
        <row r="1541">
          <cell r="A1541">
            <v>85527</v>
          </cell>
          <cell r="B1541" t="str">
            <v>PEDRAS NATURAIS IBZA BALDE 20KG INOVE</v>
          </cell>
          <cell r="C1541">
            <v>117626</v>
          </cell>
          <cell r="D1541" t="str">
            <v>DÁVILA  INOVE</v>
          </cell>
          <cell r="E1541">
            <v>30035</v>
          </cell>
          <cell r="F1541" t="str">
            <v>PEDRAS NATURAIS</v>
          </cell>
          <cell r="G1541" t="str">
            <v>IMOBILIÁRIO</v>
          </cell>
        </row>
        <row r="1542">
          <cell r="A1542">
            <v>85528</v>
          </cell>
          <cell r="B1542" t="str">
            <v>PEDRAS NATURAIS MADRI BALDE 20KG INOVE</v>
          </cell>
          <cell r="C1542">
            <v>117627</v>
          </cell>
          <cell r="D1542" t="str">
            <v>DÁVILA  INOVE</v>
          </cell>
          <cell r="E1542">
            <v>30035</v>
          </cell>
          <cell r="F1542" t="str">
            <v>PEDRAS NATURAIS</v>
          </cell>
          <cell r="G1542" t="str">
            <v>IMOBILIÁRIO</v>
          </cell>
        </row>
        <row r="1543">
          <cell r="A1543">
            <v>85529</v>
          </cell>
          <cell r="B1543" t="str">
            <v>PRIMER REVESTIMENTO 3,6L ACO CORTEN</v>
          </cell>
          <cell r="C1543">
            <v>117637</v>
          </cell>
          <cell r="D1543" t="str">
            <v>DÁVILA  INOVE</v>
          </cell>
          <cell r="E1543">
            <v>30035</v>
          </cell>
          <cell r="F1543" t="str">
            <v>PEDRAS NATURAIS</v>
          </cell>
          <cell r="G1543" t="str">
            <v>IMOBILIÁRIO</v>
          </cell>
        </row>
        <row r="1544">
          <cell r="A1544">
            <v>85530</v>
          </cell>
          <cell r="B1544" t="str">
            <v>PRIMER REVESTIMENTO 3,6L BARCELONA</v>
          </cell>
          <cell r="C1544">
            <v>117635</v>
          </cell>
          <cell r="D1544" t="str">
            <v>DÁVILA  INOVE</v>
          </cell>
          <cell r="E1544">
            <v>30035</v>
          </cell>
          <cell r="F1544" t="str">
            <v>PEDRAS NATURAIS</v>
          </cell>
          <cell r="G1544" t="str">
            <v>IMOBILIÁRIO</v>
          </cell>
        </row>
        <row r="1545">
          <cell r="A1545">
            <v>85531</v>
          </cell>
          <cell r="B1545" t="str">
            <v>PRIMER REVESTIMENTO 3,6L DUBAI</v>
          </cell>
          <cell r="C1545">
            <v>116510</v>
          </cell>
          <cell r="D1545" t="str">
            <v>DÁVILA  INOVE</v>
          </cell>
          <cell r="E1545">
            <v>30035</v>
          </cell>
          <cell r="F1545" t="str">
            <v>PEDRAS NATURAIS</v>
          </cell>
          <cell r="G1545" t="str">
            <v>IMOBILIÁRIO</v>
          </cell>
        </row>
        <row r="1546">
          <cell r="A1546">
            <v>85532</v>
          </cell>
          <cell r="B1546" t="str">
            <v>PRIMER REVESTIMENTO 3,6L FULL BLACK</v>
          </cell>
          <cell r="C1546">
            <v>116512</v>
          </cell>
          <cell r="D1546" t="str">
            <v>DÁVILA  INOVE</v>
          </cell>
          <cell r="E1546">
            <v>30035</v>
          </cell>
          <cell r="F1546" t="str">
            <v>PEDRAS NATURAIS</v>
          </cell>
          <cell r="G1546" t="str">
            <v>IMOBILIÁRIO</v>
          </cell>
        </row>
        <row r="1547">
          <cell r="A1547">
            <v>85533</v>
          </cell>
          <cell r="B1547" t="str">
            <v>PRIMER REVESTIMENTO 3,6L IBIZA</v>
          </cell>
          <cell r="C1547">
            <v>117636</v>
          </cell>
          <cell r="D1547" t="str">
            <v>DÁVILA  INOVE</v>
          </cell>
          <cell r="E1547">
            <v>30035</v>
          </cell>
          <cell r="F1547" t="str">
            <v>PEDRAS NATURAIS</v>
          </cell>
          <cell r="G1547" t="str">
            <v>IMOBILIÁRIO</v>
          </cell>
        </row>
        <row r="1548">
          <cell r="A1548">
            <v>85534</v>
          </cell>
          <cell r="B1548" t="str">
            <v>PRIMER REVESTIMENTO 3,6L MADRI</v>
          </cell>
          <cell r="C1548">
            <v>116511</v>
          </cell>
          <cell r="D1548" t="str">
            <v>DÁVILA  INOVE</v>
          </cell>
          <cell r="E1548">
            <v>30035</v>
          </cell>
          <cell r="F1548" t="str">
            <v>PEDRAS NATURAIS</v>
          </cell>
          <cell r="G1548" t="str">
            <v>IMOBILIÁRIO</v>
          </cell>
        </row>
        <row r="1549">
          <cell r="A1549">
            <v>85535</v>
          </cell>
          <cell r="B1549" t="str">
            <v>PRIMER REVESTIMENTO BALDE 16 LT -  BARCELONA</v>
          </cell>
          <cell r="C1549">
            <v>117633</v>
          </cell>
          <cell r="D1549" t="str">
            <v>DÁVILA  INOVE</v>
          </cell>
          <cell r="E1549">
            <v>30035</v>
          </cell>
          <cell r="F1549" t="str">
            <v>PEDRAS NATURAIS</v>
          </cell>
          <cell r="G1549" t="str">
            <v>IMOBILIÁRIO</v>
          </cell>
        </row>
        <row r="1550">
          <cell r="A1550">
            <v>85537</v>
          </cell>
          <cell r="B1550" t="str">
            <v>PRIMER REVESTIMENTO BALDE 16 LT - DUBAI</v>
          </cell>
          <cell r="C1550">
            <v>117632</v>
          </cell>
          <cell r="D1550" t="str">
            <v>DÁVILA  INOVE</v>
          </cell>
          <cell r="E1550">
            <v>30035</v>
          </cell>
          <cell r="F1550" t="str">
            <v>PEDRAS NATURAIS</v>
          </cell>
          <cell r="G1550" t="str">
            <v>IMOBILIÁRIO</v>
          </cell>
        </row>
        <row r="1551">
          <cell r="A1551">
            <v>85538</v>
          </cell>
          <cell r="B1551" t="str">
            <v>PRIMER REVESTIMENTO BALDE 16 LT - FULL BLACK</v>
          </cell>
          <cell r="C1551">
            <v>117629</v>
          </cell>
          <cell r="D1551" t="str">
            <v>DÁVILA  INOVE</v>
          </cell>
          <cell r="E1551">
            <v>30035</v>
          </cell>
          <cell r="F1551" t="str">
            <v>PEDRAS NATURAIS</v>
          </cell>
          <cell r="G1551" t="str">
            <v>IMOBILIÁRIO</v>
          </cell>
        </row>
        <row r="1552">
          <cell r="A1552">
            <v>85539</v>
          </cell>
          <cell r="B1552" t="str">
            <v>PRIMER REVESTIMENTO BALDE 16 LT - IBIZA</v>
          </cell>
          <cell r="C1552">
            <v>117631</v>
          </cell>
          <cell r="D1552" t="str">
            <v>DÁVILA  INOVE</v>
          </cell>
          <cell r="E1552">
            <v>30035</v>
          </cell>
          <cell r="F1552" t="str">
            <v>PEDRAS NATURAIS</v>
          </cell>
          <cell r="G1552" t="str">
            <v>IMOBILIÁRIO</v>
          </cell>
        </row>
        <row r="1553">
          <cell r="A1553">
            <v>85540</v>
          </cell>
          <cell r="B1553" t="str">
            <v>PRIMER REVESTIMENTO BALDE 16 LT - MADRI</v>
          </cell>
          <cell r="C1553">
            <v>117634</v>
          </cell>
          <cell r="D1553" t="str">
            <v>DÁVILA  INOVE</v>
          </cell>
          <cell r="E1553">
            <v>30035</v>
          </cell>
          <cell r="F1553" t="str">
            <v>PEDRAS NATURAIS</v>
          </cell>
          <cell r="G1553" t="str">
            <v>IMOBILIÁRIO</v>
          </cell>
        </row>
        <row r="1554">
          <cell r="A1554">
            <v>85536</v>
          </cell>
          <cell r="B1554" t="str">
            <v>PRIMER REVESTIMENTO BALDE 16LT - ACO CORTEN</v>
          </cell>
          <cell r="C1554">
            <v>117630</v>
          </cell>
          <cell r="D1554" t="str">
            <v>DÁVILA  INOVE</v>
          </cell>
          <cell r="E1554">
            <v>30035</v>
          </cell>
          <cell r="F1554" t="str">
            <v>PEDRAS NATURAIS</v>
          </cell>
          <cell r="G1554" t="str">
            <v>IMOBILIÁRIO</v>
          </cell>
        </row>
        <row r="1555">
          <cell r="A1555">
            <v>85461</v>
          </cell>
          <cell r="B1555" t="str">
            <v>ADESIVO DE SILICONE TRANSP 50G S/ BLISTER TEKBOND</v>
          </cell>
          <cell r="C1555">
            <v>69957326460</v>
          </cell>
          <cell r="D1555" t="str">
            <v>TEK BOND</v>
          </cell>
          <cell r="E1555">
            <v>30034</v>
          </cell>
          <cell r="F1555" t="str">
            <v>SILICONE</v>
          </cell>
          <cell r="G1555" t="str">
            <v>IMOBILIÁRIO</v>
          </cell>
        </row>
        <row r="1556">
          <cell r="A1556">
            <v>24409</v>
          </cell>
          <cell r="B1556" t="str">
            <v>ADESIVO DE SILICONE TRANSPARENTE 256G/270ML TEK BOND</v>
          </cell>
          <cell r="C1556">
            <v>69957326982</v>
          </cell>
          <cell r="D1556" t="str">
            <v>TEK BOND</v>
          </cell>
          <cell r="E1556">
            <v>30034</v>
          </cell>
          <cell r="F1556" t="str">
            <v>SILICONE</v>
          </cell>
          <cell r="G1556" t="str">
            <v>IMOBILIÁRIO</v>
          </cell>
        </row>
        <row r="1557">
          <cell r="A1557">
            <v>85689</v>
          </cell>
          <cell r="B1557" t="str">
            <v>FIXA CUBA BRANCO CARTUCHO 280ML UNIPEGA</v>
          </cell>
          <cell r="C1557" t="str">
            <v>AES0512.0222</v>
          </cell>
          <cell r="D1557" t="str">
            <v>UNIPEGA</v>
          </cell>
          <cell r="E1557">
            <v>30034</v>
          </cell>
          <cell r="F1557" t="str">
            <v>SILICONE</v>
          </cell>
          <cell r="G1557" t="str">
            <v>IMOBILIÁRIO</v>
          </cell>
        </row>
        <row r="1558">
          <cell r="A1558">
            <v>85690</v>
          </cell>
          <cell r="B1558" t="str">
            <v>FIXA CUBA CINZA CARTUCHO 280ML UNIPEGA</v>
          </cell>
          <cell r="C1558" t="str">
            <v>AES0512.0273</v>
          </cell>
          <cell r="D1558" t="str">
            <v>UNIPEGA</v>
          </cell>
          <cell r="E1558">
            <v>30034</v>
          </cell>
          <cell r="F1558" t="str">
            <v>SILICONE</v>
          </cell>
          <cell r="G1558" t="str">
            <v>IMOBILIÁRIO</v>
          </cell>
        </row>
        <row r="1559">
          <cell r="A1559">
            <v>85686</v>
          </cell>
          <cell r="B1559" t="str">
            <v>SELA TRINCA BRANCO CARTUCHO 280ML UNIPEGA</v>
          </cell>
          <cell r="C1559" t="str">
            <v>AES0511.0051</v>
          </cell>
          <cell r="D1559" t="str">
            <v>UNIPEGA</v>
          </cell>
          <cell r="E1559">
            <v>30034</v>
          </cell>
          <cell r="F1559" t="str">
            <v>SILICONE</v>
          </cell>
          <cell r="G1559" t="str">
            <v>IMOBILIÁRIO</v>
          </cell>
        </row>
        <row r="1560">
          <cell r="A1560">
            <v>85684</v>
          </cell>
          <cell r="B1560" t="str">
            <v>SILICONE ACETICO MULTIUSO BRANCO CARTUCHO 250ML UNIPEGA</v>
          </cell>
          <cell r="C1560" t="str">
            <v>AES0509.0570</v>
          </cell>
          <cell r="D1560" t="str">
            <v>UNIPEGA</v>
          </cell>
          <cell r="E1560">
            <v>30034</v>
          </cell>
          <cell r="F1560" t="str">
            <v>SILICONE</v>
          </cell>
          <cell r="G1560" t="str">
            <v>IMOBILIÁRIO</v>
          </cell>
        </row>
        <row r="1561">
          <cell r="A1561">
            <v>85683</v>
          </cell>
          <cell r="B1561" t="str">
            <v>SILICONE ACETICO MULTIUSO INCOLOR CARTUCHO 250ML UNIPEGA</v>
          </cell>
          <cell r="C1561" t="str">
            <v>AES0509.0569</v>
          </cell>
          <cell r="D1561" t="str">
            <v>UNIPEGA</v>
          </cell>
          <cell r="E1561">
            <v>30034</v>
          </cell>
          <cell r="F1561" t="str">
            <v>SILICONE</v>
          </cell>
          <cell r="G1561" t="str">
            <v>IMOBILIÁRIO</v>
          </cell>
        </row>
        <row r="1562">
          <cell r="A1562">
            <v>85685</v>
          </cell>
          <cell r="B1562" t="str">
            <v>SILICONE ACETICO MULTIUSO PRETO CARTUCHO 250ML UNIPEGA</v>
          </cell>
          <cell r="C1562" t="str">
            <v>AES0509.0571</v>
          </cell>
          <cell r="D1562" t="str">
            <v>UNIPEGA</v>
          </cell>
          <cell r="E1562">
            <v>30034</v>
          </cell>
          <cell r="F1562" t="str">
            <v>SILICONE</v>
          </cell>
          <cell r="G1562" t="str">
            <v>IMOBILIÁRIO</v>
          </cell>
        </row>
        <row r="1563">
          <cell r="A1563">
            <v>85682</v>
          </cell>
          <cell r="B1563" t="str">
            <v>SILICONE ACETICO USO GERAL INCOLOR BISNAGA 50ML UNIPEGA</v>
          </cell>
          <cell r="C1563" t="str">
            <v>AES0509.0607</v>
          </cell>
          <cell r="D1563" t="str">
            <v>UNIPEGA</v>
          </cell>
          <cell r="E1563">
            <v>30034</v>
          </cell>
          <cell r="F1563" t="str">
            <v>SILICONE</v>
          </cell>
          <cell r="G1563" t="str">
            <v>IMOBILIÁRIO</v>
          </cell>
        </row>
        <row r="1564">
          <cell r="A1564">
            <v>85687</v>
          </cell>
          <cell r="B1564" t="str">
            <v>VEDA CALHA ALUMINIO CARTUCHO 280ML UNIPEGA</v>
          </cell>
          <cell r="C1564" t="str">
            <v>AES0511.0059</v>
          </cell>
          <cell r="D1564" t="str">
            <v>UNIPEGA</v>
          </cell>
          <cell r="E1564">
            <v>30034</v>
          </cell>
          <cell r="F1564" t="str">
            <v>SILICONE</v>
          </cell>
          <cell r="G1564" t="str">
            <v>IMOBILIÁRIO</v>
          </cell>
        </row>
        <row r="1565">
          <cell r="A1565">
            <v>85688</v>
          </cell>
          <cell r="B1565" t="str">
            <v>VEDA CALHA CINZA CARTUCHO 280ML UNIPEGA</v>
          </cell>
          <cell r="C1565" t="str">
            <v>AES0511.0116</v>
          </cell>
          <cell r="D1565" t="str">
            <v>UNIPEGA</v>
          </cell>
          <cell r="E1565">
            <v>30034</v>
          </cell>
          <cell r="F1565" t="str">
            <v>SILICONE</v>
          </cell>
          <cell r="G1565" t="str">
            <v>IMOBILIÁRIO</v>
          </cell>
        </row>
        <row r="1566">
          <cell r="A1566">
            <v>85674</v>
          </cell>
          <cell r="B1566" t="str">
            <v>COLA BRANCA ORIGINAL FRASCO 1KG UNIPEGA</v>
          </cell>
          <cell r="C1566" t="str">
            <v>AES0513.0042</v>
          </cell>
          <cell r="D1566" t="str">
            <v>UNIPEGA</v>
          </cell>
          <cell r="E1566">
            <v>30033</v>
          </cell>
          <cell r="F1566" t="str">
            <v>ESPUMA EXPANSIVA</v>
          </cell>
          <cell r="G1566" t="str">
            <v>IMOBILIÁRIO</v>
          </cell>
        </row>
        <row r="1567">
          <cell r="A1567">
            <v>85673</v>
          </cell>
          <cell r="B1567" t="str">
            <v>COLA BRANCA ORIGINAL FRASCO 500G UNIPEGA</v>
          </cell>
          <cell r="C1567" t="str">
            <v>AES0513.0041</v>
          </cell>
          <cell r="D1567" t="str">
            <v>UNIPEGA</v>
          </cell>
          <cell r="E1567">
            <v>30033</v>
          </cell>
          <cell r="F1567" t="str">
            <v>ESPUMA EXPANSIVA</v>
          </cell>
          <cell r="G1567" t="str">
            <v>IMOBILIÁRIO</v>
          </cell>
        </row>
        <row r="1568">
          <cell r="A1568">
            <v>85675</v>
          </cell>
          <cell r="B1568" t="str">
            <v>COLA MADEIRA 100G UNIPEGA</v>
          </cell>
          <cell r="C1568" t="str">
            <v>AES0513.0094</v>
          </cell>
          <cell r="D1568" t="str">
            <v>UNIPEGA</v>
          </cell>
          <cell r="E1568">
            <v>30033</v>
          </cell>
          <cell r="F1568" t="str">
            <v>ESPUMA EXPANSIVA</v>
          </cell>
          <cell r="G1568" t="str">
            <v>IMOBILIÁRIO</v>
          </cell>
        </row>
        <row r="1569">
          <cell r="A1569">
            <v>85470</v>
          </cell>
          <cell r="B1569" t="str">
            <v>ESPUMA EXPANSIVA DE PU 180G/300ML TEKBOND</v>
          </cell>
          <cell r="C1569">
            <v>69957326991</v>
          </cell>
          <cell r="D1569" t="str">
            <v>TEK BOND</v>
          </cell>
          <cell r="E1569">
            <v>30033</v>
          </cell>
          <cell r="F1569" t="str">
            <v>ESPUMA EXPANSIVA</v>
          </cell>
          <cell r="G1569" t="str">
            <v>IMOBILIÁRIO</v>
          </cell>
        </row>
        <row r="1570">
          <cell r="A1570">
            <v>85471</v>
          </cell>
          <cell r="B1570" t="str">
            <v>ESPUMA EXPANSIVA DE PU 320G/500ML TEKBOND</v>
          </cell>
          <cell r="C1570">
            <v>21101005900</v>
          </cell>
          <cell r="D1570" t="str">
            <v>TEK BOND</v>
          </cell>
          <cell r="E1570">
            <v>30033</v>
          </cell>
          <cell r="F1570" t="str">
            <v>ESPUMA EXPANSIVA</v>
          </cell>
          <cell r="G1570" t="str">
            <v>IMOBILIÁRIO</v>
          </cell>
        </row>
        <row r="1571">
          <cell r="A1571">
            <v>21454</v>
          </cell>
          <cell r="B1571" t="str">
            <v>ESPUMA EXPANSIVA DE PU 740/750ML TEKBOND</v>
          </cell>
          <cell r="C1571">
            <v>21101006200</v>
          </cell>
          <cell r="D1571" t="str">
            <v>TEK BOND</v>
          </cell>
          <cell r="E1571">
            <v>30033</v>
          </cell>
          <cell r="F1571" t="str">
            <v>ESPUMA EXPANSIVA</v>
          </cell>
          <cell r="G1571" t="str">
            <v>IMOBILIÁRIO</v>
          </cell>
        </row>
        <row r="1572">
          <cell r="A1572">
            <v>85670</v>
          </cell>
          <cell r="B1572" t="str">
            <v>ESPUMA EXPANSIVA DE PU USO GERAL LATA 500ML/320G UNIPEGA</v>
          </cell>
          <cell r="C1572" t="str">
            <v>AES0534.0146</v>
          </cell>
          <cell r="D1572" t="str">
            <v>UNIPEGA</v>
          </cell>
          <cell r="E1572">
            <v>30033</v>
          </cell>
          <cell r="F1572" t="str">
            <v>ESPUMA EXPANSIVA</v>
          </cell>
          <cell r="G1572" t="str">
            <v>IMOBILIÁRIO</v>
          </cell>
        </row>
        <row r="1573">
          <cell r="A1573">
            <v>85677</v>
          </cell>
          <cell r="B1573" t="str">
            <v>FITA ANTIDERRAPANTE PRETA SHRINK 50MMX20M UNIPEGA</v>
          </cell>
          <cell r="C1573" t="str">
            <v>AES0535.0132</v>
          </cell>
          <cell r="D1573" t="str">
            <v>UNIPEGA</v>
          </cell>
          <cell r="E1573">
            <v>30033</v>
          </cell>
          <cell r="F1573" t="str">
            <v>ESPUMA EXPANSIVA</v>
          </cell>
          <cell r="G1573" t="str">
            <v>IMOBILIÁRIO</v>
          </cell>
        </row>
        <row r="1574">
          <cell r="A1574">
            <v>85676</v>
          </cell>
          <cell r="B1574" t="str">
            <v>FITA ANTIDERRAPANTE PRETA SHRINK 50MMX5M UNIPEGA</v>
          </cell>
          <cell r="C1574" t="str">
            <v>AES0535.0099</v>
          </cell>
          <cell r="D1574" t="str">
            <v>UNIPEGA</v>
          </cell>
          <cell r="E1574">
            <v>30033</v>
          </cell>
          <cell r="F1574" t="str">
            <v>ESPUMA EXPANSIVA</v>
          </cell>
          <cell r="G1574" t="str">
            <v>IMOBILIÁRIO</v>
          </cell>
        </row>
        <row r="1575">
          <cell r="A1575">
            <v>86800</v>
          </cell>
          <cell r="B1575" t="str">
            <v>M1 SPUMIX 0,5L</v>
          </cell>
          <cell r="C1575">
            <v>5859593</v>
          </cell>
          <cell r="D1575" t="str">
            <v>MACTRA</v>
          </cell>
          <cell r="E1575">
            <v>30033</v>
          </cell>
          <cell r="F1575" t="str">
            <v>ESPUMA EXPANSIVA</v>
          </cell>
          <cell r="G1575" t="str">
            <v>IMOBILIÁRIO</v>
          </cell>
        </row>
        <row r="1576">
          <cell r="A1576">
            <v>85468</v>
          </cell>
          <cell r="B1576" t="str">
            <v>ADESIVO PU40 BRANCO CARTUCHO 387G/280ML TEKBOND</v>
          </cell>
          <cell r="C1576">
            <v>6995732006</v>
          </cell>
          <cell r="D1576" t="str">
            <v>TEK BOND</v>
          </cell>
          <cell r="E1576">
            <v>30032</v>
          </cell>
          <cell r="F1576" t="str">
            <v>PU 40</v>
          </cell>
          <cell r="G1576" t="str">
            <v>IMOBILIÁRIO</v>
          </cell>
        </row>
        <row r="1577">
          <cell r="A1577">
            <v>20110</v>
          </cell>
          <cell r="B1577" t="str">
            <v>ADESIVO PU40 CINZA CARTUCHO 310ML TEK BOND</v>
          </cell>
          <cell r="C1577">
            <v>21014001000</v>
          </cell>
          <cell r="D1577" t="str">
            <v>TEK BOND</v>
          </cell>
          <cell r="E1577">
            <v>30032</v>
          </cell>
          <cell r="F1577" t="str">
            <v>PU 40</v>
          </cell>
          <cell r="G1577" t="str">
            <v>IMOBILIÁRIO</v>
          </cell>
        </row>
        <row r="1578">
          <cell r="A1578">
            <v>85469</v>
          </cell>
          <cell r="B1578" t="str">
            <v>ADESIVO PU40 CINZA CARTUCHO 387G/280ML TEKBOND</v>
          </cell>
          <cell r="C1578">
            <v>21081038700</v>
          </cell>
          <cell r="D1578" t="str">
            <v>TEK BOND</v>
          </cell>
          <cell r="E1578">
            <v>30032</v>
          </cell>
          <cell r="F1578" t="str">
            <v>PU 40</v>
          </cell>
          <cell r="G1578" t="str">
            <v>IMOBILIÁRIO</v>
          </cell>
        </row>
        <row r="1579">
          <cell r="A1579">
            <v>85695</v>
          </cell>
          <cell r="B1579" t="str">
            <v>ADESIVO PU40 MULTIUSO BRANCO BISNAGA PLASTICA 80G UNIPEGA</v>
          </cell>
          <cell r="C1579" t="str">
            <v>AES0512.0567</v>
          </cell>
          <cell r="D1579" t="str">
            <v>UNIPEGA</v>
          </cell>
          <cell r="E1579">
            <v>30032</v>
          </cell>
          <cell r="F1579" t="str">
            <v>PU 40</v>
          </cell>
          <cell r="G1579" t="str">
            <v>IMOBILIÁRIO</v>
          </cell>
        </row>
        <row r="1580">
          <cell r="A1580">
            <v>85692</v>
          </cell>
          <cell r="B1580" t="str">
            <v>ADESIVO PU40 MULTIUSO BRANCO CARTUCHO 360G UNIPEGA</v>
          </cell>
          <cell r="C1580" t="str">
            <v>AES0512.0573</v>
          </cell>
          <cell r="D1580" t="str">
            <v>UNIPEGA</v>
          </cell>
          <cell r="E1580">
            <v>30032</v>
          </cell>
          <cell r="F1580" t="str">
            <v>PU 40</v>
          </cell>
          <cell r="G1580" t="str">
            <v>IMOBILIÁRIO</v>
          </cell>
        </row>
        <row r="1581">
          <cell r="A1581">
            <v>85696</v>
          </cell>
          <cell r="B1581" t="str">
            <v>ADESIVO PU40 MULTIUSO CINZA BISNAGA PLASTICA 80G UNIPEGA</v>
          </cell>
          <cell r="C1581" t="str">
            <v>AES0512.0576</v>
          </cell>
          <cell r="D1581" t="str">
            <v>UNIPEGA</v>
          </cell>
          <cell r="E1581">
            <v>30032</v>
          </cell>
          <cell r="F1581" t="str">
            <v>PU 40</v>
          </cell>
          <cell r="G1581" t="str">
            <v>IMOBILIÁRIO</v>
          </cell>
        </row>
        <row r="1582">
          <cell r="A1582">
            <v>85693</v>
          </cell>
          <cell r="B1582" t="str">
            <v>ADESIVO PU40 MULTIUSO CINZA CARTUCHO 360G UNIPEGA</v>
          </cell>
          <cell r="C1582" t="str">
            <v>AES0512.0574</v>
          </cell>
          <cell r="D1582" t="str">
            <v>UNIPEGA</v>
          </cell>
          <cell r="E1582">
            <v>30032</v>
          </cell>
          <cell r="F1582" t="str">
            <v>PU 40</v>
          </cell>
          <cell r="G1582" t="str">
            <v>IMOBILIÁRIO</v>
          </cell>
        </row>
        <row r="1583">
          <cell r="A1583">
            <v>85697</v>
          </cell>
          <cell r="B1583" t="str">
            <v>ADESIVO PU40 MULTIUSO PRETO BISNAGA PLASTICA 80G UNIPEGA</v>
          </cell>
          <cell r="C1583" t="str">
            <v>AES0512.0685</v>
          </cell>
          <cell r="D1583" t="str">
            <v>UNIPEGA</v>
          </cell>
          <cell r="E1583">
            <v>30032</v>
          </cell>
          <cell r="F1583" t="str">
            <v>PU 40</v>
          </cell>
          <cell r="G1583" t="str">
            <v>IMOBILIÁRIO</v>
          </cell>
        </row>
        <row r="1584">
          <cell r="A1584">
            <v>85694</v>
          </cell>
          <cell r="B1584" t="str">
            <v>ADESIVO PU40 MULTIUSO PRETO CARTUCHO 360G UNIPEGA</v>
          </cell>
          <cell r="C1584" t="str">
            <v>AES0512.0575</v>
          </cell>
          <cell r="D1584" t="str">
            <v>UNIPEGA</v>
          </cell>
          <cell r="E1584">
            <v>30032</v>
          </cell>
          <cell r="F1584" t="str">
            <v>PU 40</v>
          </cell>
          <cell r="G1584" t="str">
            <v>IMOBILIÁRIO</v>
          </cell>
        </row>
        <row r="1585">
          <cell r="A1585">
            <v>86801</v>
          </cell>
          <cell r="B1585" t="str">
            <v>M1 ELASTIQUE ADESIVO SELANTE PU</v>
          </cell>
          <cell r="C1585">
            <v>5859595</v>
          </cell>
          <cell r="D1585" t="str">
            <v>MACTRA</v>
          </cell>
          <cell r="E1585">
            <v>30032</v>
          </cell>
          <cell r="F1585" t="str">
            <v>PU 40</v>
          </cell>
          <cell r="G1585" t="str">
            <v>IMOBILIÁRIO</v>
          </cell>
        </row>
        <row r="1586">
          <cell r="A1586">
            <v>85463</v>
          </cell>
          <cell r="B1586" t="str">
            <v>COLA DE CONTATO 200G TEKBOND</v>
          </cell>
          <cell r="C1586">
            <v>78072716135</v>
          </cell>
          <cell r="D1586" t="str">
            <v>TEK BOND</v>
          </cell>
          <cell r="E1586">
            <v>30031</v>
          </cell>
          <cell r="F1586" t="str">
            <v>COLA  INST. / COLA  ADESIVA</v>
          </cell>
          <cell r="G1586" t="str">
            <v>IMOBILIÁRIO</v>
          </cell>
        </row>
        <row r="1587">
          <cell r="A1587">
            <v>85464</v>
          </cell>
          <cell r="B1587" t="str">
            <v>COLA DE CONTATO 400G TEKBOND</v>
          </cell>
          <cell r="C1587">
            <v>78072716138</v>
          </cell>
          <cell r="D1587" t="str">
            <v>TEK BOND</v>
          </cell>
          <cell r="E1587">
            <v>30031</v>
          </cell>
          <cell r="F1587" t="str">
            <v>COLA  INST. / COLA  ADESIVA</v>
          </cell>
          <cell r="G1587" t="str">
            <v>IMOBILIÁRIO</v>
          </cell>
        </row>
        <row r="1588">
          <cell r="A1588">
            <v>85465</v>
          </cell>
          <cell r="B1588" t="str">
            <v>COLA MADEIRA 100G TEKBOND</v>
          </cell>
          <cell r="C1588">
            <v>69957321920</v>
          </cell>
          <cell r="D1588" t="str">
            <v>TEK BOND</v>
          </cell>
          <cell r="E1588">
            <v>30031</v>
          </cell>
          <cell r="F1588" t="str">
            <v>COLA  INST. / COLA  ADESIVA</v>
          </cell>
          <cell r="G1588" t="str">
            <v>IMOBILIÁRIO</v>
          </cell>
        </row>
        <row r="1589">
          <cell r="A1589">
            <v>86771</v>
          </cell>
          <cell r="B1589" t="str">
            <v>M1 MCOL SUPER COLA PVA EXTRA 0,5KG</v>
          </cell>
          <cell r="C1589">
            <v>5859543</v>
          </cell>
          <cell r="D1589" t="str">
            <v>MACTRA</v>
          </cell>
          <cell r="E1589">
            <v>30031</v>
          </cell>
          <cell r="F1589" t="str">
            <v>COLA  INST. / COLA  ADESIVA</v>
          </cell>
          <cell r="G1589" t="str">
            <v>IMOBILIÁRIO</v>
          </cell>
        </row>
        <row r="1590">
          <cell r="A1590">
            <v>86772</v>
          </cell>
          <cell r="B1590" t="str">
            <v>M1 MCOL SUPER COLA PVA EXTRA 1KG</v>
          </cell>
          <cell r="C1590">
            <v>5859544</v>
          </cell>
          <cell r="D1590" t="str">
            <v>MACTRA</v>
          </cell>
          <cell r="E1590">
            <v>30031</v>
          </cell>
          <cell r="F1590" t="str">
            <v>COLA  INST. / COLA  ADESIVA</v>
          </cell>
          <cell r="G1590" t="str">
            <v>IMOBILIÁRIO</v>
          </cell>
        </row>
        <row r="1591">
          <cell r="A1591">
            <v>85603</v>
          </cell>
          <cell r="B1591" t="str">
            <v>CAL VIRGEM 1KG (20X1)</v>
          </cell>
          <cell r="C1591">
            <v>60721</v>
          </cell>
          <cell r="D1591" t="str">
            <v>REJUMASSA</v>
          </cell>
          <cell r="E1591">
            <v>30030</v>
          </cell>
          <cell r="F1591" t="str">
            <v>GESSO</v>
          </cell>
          <cell r="G1591" t="str">
            <v>IMOBILIÁRIO</v>
          </cell>
        </row>
        <row r="1592">
          <cell r="A1592">
            <v>85601</v>
          </cell>
          <cell r="B1592" t="str">
            <v>CIMENTO BRANCO 1KG (20X1)</v>
          </cell>
          <cell r="C1592">
            <v>1200</v>
          </cell>
          <cell r="D1592" t="str">
            <v>REJUMASSA</v>
          </cell>
          <cell r="E1592">
            <v>30030</v>
          </cell>
          <cell r="F1592" t="str">
            <v>GESSO</v>
          </cell>
          <cell r="G1592" t="str">
            <v>IMOBILIÁRIO</v>
          </cell>
        </row>
        <row r="1593">
          <cell r="A1593">
            <v>85602</v>
          </cell>
          <cell r="B1593" t="str">
            <v>CIMENTO COMUM 1KG (20X1)</v>
          </cell>
          <cell r="C1593">
            <v>100820</v>
          </cell>
          <cell r="D1593" t="str">
            <v>REJUMASSA</v>
          </cell>
          <cell r="E1593">
            <v>30030</v>
          </cell>
          <cell r="F1593" t="str">
            <v>GESSO</v>
          </cell>
          <cell r="G1593" t="str">
            <v>IMOBILIÁRIO</v>
          </cell>
        </row>
        <row r="1594">
          <cell r="A1594">
            <v>85599</v>
          </cell>
          <cell r="B1594" t="str">
            <v>GESSO RAPIDO 1KG (20X1)</v>
          </cell>
          <cell r="C1594">
            <v>1</v>
          </cell>
          <cell r="D1594" t="str">
            <v>REJUMASSA</v>
          </cell>
          <cell r="E1594">
            <v>30030</v>
          </cell>
          <cell r="F1594" t="str">
            <v>GESSO</v>
          </cell>
          <cell r="G1594" t="str">
            <v>IMOBILIÁRIO</v>
          </cell>
        </row>
        <row r="1595">
          <cell r="A1595">
            <v>85600</v>
          </cell>
          <cell r="B1595" t="str">
            <v>GESSO RÁPIDO 20KG</v>
          </cell>
          <cell r="C1595">
            <v>21023</v>
          </cell>
          <cell r="D1595" t="str">
            <v>REJUMASSA</v>
          </cell>
          <cell r="E1595">
            <v>30030</v>
          </cell>
          <cell r="F1595" t="str">
            <v>GESSO</v>
          </cell>
          <cell r="G1595" t="str">
            <v>IMOBILIÁRIO</v>
          </cell>
        </row>
        <row r="1596">
          <cell r="A1596">
            <v>85606</v>
          </cell>
          <cell r="B1596" t="str">
            <v>GESSO RAPIDO 4KG (5X4)</v>
          </cell>
          <cell r="C1596">
            <v>501</v>
          </cell>
          <cell r="D1596" t="str">
            <v>REJUMASSA</v>
          </cell>
          <cell r="E1596">
            <v>30030</v>
          </cell>
          <cell r="F1596" t="str">
            <v>GESSO</v>
          </cell>
          <cell r="G1596" t="str">
            <v>IMOBILIÁRIO</v>
          </cell>
        </row>
        <row r="1597">
          <cell r="A1597">
            <v>85460</v>
          </cell>
          <cell r="B1597" t="str">
            <v>GESSO RAPIDO SC 1KG</v>
          </cell>
          <cell r="C1597">
            <v>23</v>
          </cell>
          <cell r="D1597" t="str">
            <v>CIMENTMIX</v>
          </cell>
          <cell r="E1597">
            <v>30030</v>
          </cell>
          <cell r="F1597" t="str">
            <v>GESSO</v>
          </cell>
          <cell r="G1597" t="str">
            <v>IMOBILIÁRIO</v>
          </cell>
        </row>
        <row r="1598">
          <cell r="A1598">
            <v>85706</v>
          </cell>
          <cell r="B1598" t="str">
            <v>LONA PLASTICA PRETA 4X110 15KG 41MC MAXILONA</v>
          </cell>
          <cell r="D1598" t="str">
            <v>MULTILONA</v>
          </cell>
          <cell r="E1598">
            <v>30029</v>
          </cell>
          <cell r="F1598" t="str">
            <v>LONAS</v>
          </cell>
          <cell r="G1598" t="str">
            <v>IMOBILIÁRIO</v>
          </cell>
        </row>
        <row r="1599">
          <cell r="A1599">
            <v>85140</v>
          </cell>
          <cell r="B1599" t="str">
            <v>LONA PLASTICA PRETA 4X110 20KG 54MC MAXILONA</v>
          </cell>
          <cell r="C1599">
            <v>1</v>
          </cell>
          <cell r="D1599" t="str">
            <v>MULTILONA</v>
          </cell>
          <cell r="E1599">
            <v>30029</v>
          </cell>
          <cell r="F1599" t="str">
            <v>LONAS</v>
          </cell>
          <cell r="G1599" t="str">
            <v>IMOBILIÁRIO</v>
          </cell>
        </row>
        <row r="1600">
          <cell r="A1600">
            <v>85707</v>
          </cell>
          <cell r="B1600" t="str">
            <v>LONA PLASTICA PRETA 4X110 30KG 82MC MAXILONA</v>
          </cell>
          <cell r="D1600" t="str">
            <v>MULTILONA</v>
          </cell>
          <cell r="E1600">
            <v>30029</v>
          </cell>
          <cell r="F1600" t="str">
            <v>LONAS</v>
          </cell>
          <cell r="G1600" t="str">
            <v>IMOBILIÁRIO</v>
          </cell>
        </row>
        <row r="1601">
          <cell r="A1601">
            <v>85141</v>
          </cell>
          <cell r="B1601" t="str">
            <v>LONA PLASTICA PRETA 4X110 40KG 109MC MAXILONA</v>
          </cell>
          <cell r="C1601">
            <v>12</v>
          </cell>
          <cell r="D1601" t="str">
            <v>MULTILONA</v>
          </cell>
          <cell r="E1601">
            <v>30029</v>
          </cell>
          <cell r="F1601" t="str">
            <v>LONAS</v>
          </cell>
          <cell r="G1601" t="str">
            <v>IMOBILIÁRIO</v>
          </cell>
        </row>
        <row r="1602">
          <cell r="A1602">
            <v>85139</v>
          </cell>
          <cell r="B1602" t="str">
            <v>LONA PLASTICA PRETA 4X55 10KG 54MC MAXILONA</v>
          </cell>
          <cell r="C1602">
            <v>29</v>
          </cell>
          <cell r="D1602" t="str">
            <v>MULTILONA</v>
          </cell>
          <cell r="E1602">
            <v>30029</v>
          </cell>
          <cell r="F1602" t="str">
            <v>LONAS</v>
          </cell>
          <cell r="G1602" t="str">
            <v>IMOBILIÁRIO</v>
          </cell>
        </row>
        <row r="1603">
          <cell r="A1603">
            <v>85710</v>
          </cell>
          <cell r="B1603" t="str">
            <v>LONA PLASTICA PRETA 6X110 30KG 54MC MAXILONA</v>
          </cell>
          <cell r="D1603" t="str">
            <v>MULTILONA</v>
          </cell>
          <cell r="E1603">
            <v>30029</v>
          </cell>
          <cell r="F1603" t="str">
            <v>LONAS</v>
          </cell>
          <cell r="G1603" t="str">
            <v>IMOBILIÁRIO</v>
          </cell>
        </row>
        <row r="1604">
          <cell r="A1604">
            <v>85708</v>
          </cell>
          <cell r="B1604" t="str">
            <v>LONA PLASTICA PRETA 6X55 15KG 54MC MAXILONA</v>
          </cell>
          <cell r="D1604" t="str">
            <v>MULTILONA</v>
          </cell>
          <cell r="E1604">
            <v>30029</v>
          </cell>
          <cell r="F1604" t="str">
            <v>LONAS</v>
          </cell>
          <cell r="G1604" t="str">
            <v>IMOBILIÁRIO</v>
          </cell>
        </row>
        <row r="1605">
          <cell r="A1605">
            <v>85709</v>
          </cell>
          <cell r="B1605" t="str">
            <v>LONA PLASTICA PRETA 6X55 27KG 98MC MAXILONA</v>
          </cell>
          <cell r="D1605" t="str">
            <v>MULTILONA</v>
          </cell>
          <cell r="E1605">
            <v>30029</v>
          </cell>
          <cell r="F1605" t="str">
            <v>LONAS</v>
          </cell>
          <cell r="G1605" t="str">
            <v>IMOBILIÁRIO</v>
          </cell>
        </row>
        <row r="1606">
          <cell r="A1606">
            <v>85714</v>
          </cell>
          <cell r="B1606" t="str">
            <v>LONA PLASTICA PRETA 8X110 40KG 54MC MAXILONA</v>
          </cell>
          <cell r="D1606" t="str">
            <v>MULTILONA</v>
          </cell>
          <cell r="E1606">
            <v>30029</v>
          </cell>
          <cell r="F1606" t="str">
            <v>LONAS</v>
          </cell>
          <cell r="G1606" t="str">
            <v>IMOBILIÁRIO</v>
          </cell>
        </row>
        <row r="1607">
          <cell r="A1607">
            <v>85715</v>
          </cell>
          <cell r="B1607" t="str">
            <v>LONA PLASTICA PRETA 8X110 80KG 109MC MAXILONA</v>
          </cell>
          <cell r="D1607" t="str">
            <v>MULTILONA</v>
          </cell>
          <cell r="E1607">
            <v>30029</v>
          </cell>
          <cell r="F1607" t="str">
            <v>LONAS</v>
          </cell>
          <cell r="G1607" t="str">
            <v>IMOBILIÁRIO</v>
          </cell>
        </row>
        <row r="1608">
          <cell r="A1608">
            <v>85711</v>
          </cell>
          <cell r="B1608" t="str">
            <v>LONA PLASTICA PRETA 8X55 20KG 54MC MAXILONA</v>
          </cell>
          <cell r="D1608" t="str">
            <v>MULTILONA</v>
          </cell>
          <cell r="E1608">
            <v>30029</v>
          </cell>
          <cell r="F1608" t="str">
            <v>LONAS</v>
          </cell>
          <cell r="G1608" t="str">
            <v>IMOBILIÁRIO</v>
          </cell>
        </row>
        <row r="1609">
          <cell r="A1609">
            <v>85712</v>
          </cell>
          <cell r="B1609" t="str">
            <v>LONA PLASTICA PRETA 8X55 40KG 109MC MAXILONA</v>
          </cell>
          <cell r="D1609" t="str">
            <v>MULTILONA</v>
          </cell>
          <cell r="E1609">
            <v>30029</v>
          </cell>
          <cell r="F1609" t="str">
            <v>LONAS</v>
          </cell>
          <cell r="G1609" t="str">
            <v>IMOBILIÁRIO</v>
          </cell>
        </row>
        <row r="1610">
          <cell r="A1610">
            <v>85713</v>
          </cell>
          <cell r="B1610" t="str">
            <v>LONA PLASTICA PRETA 8X55 60KG 163MC MAXILONA</v>
          </cell>
          <cell r="D1610" t="str">
            <v>MULTILONA</v>
          </cell>
          <cell r="E1610">
            <v>30029</v>
          </cell>
          <cell r="F1610" t="str">
            <v>LONAS</v>
          </cell>
          <cell r="G1610" t="str">
            <v>IMOBILIÁRIO</v>
          </cell>
        </row>
        <row r="1611">
          <cell r="A1611">
            <v>85138</v>
          </cell>
          <cell r="B1611" t="str">
            <v>LONA PRETA MAXILONA 4X100 15KG GRATIS 10M</v>
          </cell>
          <cell r="C1611">
            <v>5740</v>
          </cell>
          <cell r="D1611" t="str">
            <v>MULTILONA</v>
          </cell>
          <cell r="E1611">
            <v>30029</v>
          </cell>
          <cell r="F1611" t="str">
            <v>LONAS</v>
          </cell>
          <cell r="G1611" t="str">
            <v>IMOBILIÁRIO</v>
          </cell>
        </row>
        <row r="1612">
          <cell r="A1612">
            <v>85053</v>
          </cell>
          <cell r="B1612" t="str">
            <v>BANDEJA P/ PINTURA DE PLASTICO PRETA 1,3L ATLAS</v>
          </cell>
          <cell r="C1612" t="str">
            <v>1415P</v>
          </cell>
          <cell r="D1612" t="str">
            <v>ATLAS</v>
          </cell>
          <cell r="E1612">
            <v>30028</v>
          </cell>
          <cell r="F1612" t="str">
            <v>ROLOS / TRINCHAS / PINCÉIS / ESPÁTULAS</v>
          </cell>
          <cell r="G1612" t="str">
            <v>IMOBILIÁRIO</v>
          </cell>
        </row>
        <row r="1613">
          <cell r="A1613">
            <v>85054</v>
          </cell>
          <cell r="B1613" t="str">
            <v>BANDEJA P/ PINTURA DE PLASTICO PT 3,6L ATLAS</v>
          </cell>
          <cell r="C1613" t="str">
            <v>1534P</v>
          </cell>
          <cell r="D1613" t="str">
            <v>ATLAS</v>
          </cell>
          <cell r="E1613">
            <v>30028</v>
          </cell>
          <cell r="F1613" t="str">
            <v>ROLOS / TRINCHAS / PINCÉIS / ESPÁTULAS</v>
          </cell>
          <cell r="G1613" t="str">
            <v>IMOBILIÁRIO</v>
          </cell>
        </row>
        <row r="1614">
          <cell r="A1614">
            <v>85274</v>
          </cell>
          <cell r="B1614" t="str">
            <v>BANDEJA PINTURA DE PLASTICO AZ 250ML ATLAS</v>
          </cell>
          <cell r="C1614" t="str">
            <v>AT1412A</v>
          </cell>
          <cell r="D1614" t="str">
            <v>ATLAS</v>
          </cell>
          <cell r="E1614">
            <v>30028</v>
          </cell>
          <cell r="F1614" t="str">
            <v>ROLOS / TRINCHAS / PINCÉIS / ESPÁTULAS</v>
          </cell>
          <cell r="G1614" t="str">
            <v>IMOBILIÁRIO</v>
          </cell>
        </row>
        <row r="1615">
          <cell r="A1615">
            <v>84438</v>
          </cell>
          <cell r="B1615" t="str">
            <v>BANDEJA PINTURA DE PLASTICO PRETA 2,7L ATLAS</v>
          </cell>
          <cell r="C1615" t="str">
            <v>1523P</v>
          </cell>
          <cell r="D1615" t="str">
            <v>ATLAS</v>
          </cell>
          <cell r="E1615">
            <v>30028</v>
          </cell>
          <cell r="F1615" t="str">
            <v>ROLOS / TRINCHAS / PINCÉIS / ESPÁTULAS</v>
          </cell>
          <cell r="G1615" t="str">
            <v>IMOBILIÁRIO</v>
          </cell>
        </row>
        <row r="1616">
          <cell r="A1616">
            <v>84436</v>
          </cell>
          <cell r="B1616" t="str">
            <v>BROXA PINTURA RETANGULAR 15X5 6CM ATLAS</v>
          </cell>
          <cell r="C1616" t="str">
            <v>800/1</v>
          </cell>
          <cell r="D1616" t="str">
            <v>ATLAS</v>
          </cell>
          <cell r="E1616">
            <v>30028</v>
          </cell>
          <cell r="F1616" t="str">
            <v>ROLOS / TRINCHAS / PINCÉIS / ESPÁTULAS</v>
          </cell>
          <cell r="G1616" t="str">
            <v>IMOBILIÁRIO</v>
          </cell>
        </row>
        <row r="1617">
          <cell r="A1617">
            <v>84437</v>
          </cell>
          <cell r="B1617" t="str">
            <v>BROXA PINTURA RETANGULAR 18X8CM ATLAS</v>
          </cell>
          <cell r="C1617" t="str">
            <v>800/2</v>
          </cell>
          <cell r="D1617" t="str">
            <v>ATLAS</v>
          </cell>
          <cell r="E1617">
            <v>30028</v>
          </cell>
          <cell r="F1617" t="str">
            <v>ROLOS / TRINCHAS / PINCÉIS / ESPÁTULAS</v>
          </cell>
          <cell r="G1617" t="str">
            <v>IMOBILIÁRIO</v>
          </cell>
        </row>
        <row r="1618">
          <cell r="A1618">
            <v>85066</v>
          </cell>
          <cell r="B1618" t="str">
            <v>CACAMBA PARA PINTURA PRETA 10L ATLAS</v>
          </cell>
          <cell r="C1618" t="str">
            <v>610P</v>
          </cell>
          <cell r="D1618" t="str">
            <v>ATLAS</v>
          </cell>
          <cell r="E1618">
            <v>30028</v>
          </cell>
          <cell r="F1618" t="str">
            <v>ROLOS / TRINCHAS / PINCÉIS / ESPÁTULAS</v>
          </cell>
          <cell r="G1618" t="str">
            <v>IMOBILIÁRIO</v>
          </cell>
        </row>
        <row r="1619">
          <cell r="A1619">
            <v>85275</v>
          </cell>
          <cell r="B1619" t="str">
            <v>CACAMBA PLASTICO PARA MAO 2L ATLAS</v>
          </cell>
          <cell r="C1619" t="str">
            <v>AT1420P</v>
          </cell>
          <cell r="D1619" t="str">
            <v>ATLAS</v>
          </cell>
          <cell r="E1619">
            <v>30028</v>
          </cell>
          <cell r="F1619" t="str">
            <v>ROLOS / TRINCHAS / PINCÉIS / ESPÁTULAS</v>
          </cell>
          <cell r="G1619" t="str">
            <v>IMOBILIÁRIO</v>
          </cell>
        </row>
        <row r="1620">
          <cell r="A1620">
            <v>85223</v>
          </cell>
          <cell r="B1620" t="str">
            <v>DESEMP METAL RETANG EFEITOS ATLAS</v>
          </cell>
          <cell r="C1620" t="str">
            <v>AT112</v>
          </cell>
          <cell r="D1620" t="str">
            <v>ATLAS</v>
          </cell>
          <cell r="E1620">
            <v>30028</v>
          </cell>
          <cell r="F1620" t="str">
            <v>ROLOS / TRINCHAS / PINCÉIS / ESPÁTULAS</v>
          </cell>
          <cell r="G1620" t="str">
            <v>IMOBILIÁRIO</v>
          </cell>
        </row>
        <row r="1621">
          <cell r="A1621">
            <v>85059</v>
          </cell>
          <cell r="B1621" t="str">
            <v>DESEMP METAL TRAPEZIO EFEITOS ATLAS</v>
          </cell>
          <cell r="C1621" t="str">
            <v>AT111</v>
          </cell>
          <cell r="D1621" t="str">
            <v>ATLAS</v>
          </cell>
          <cell r="E1621">
            <v>30028</v>
          </cell>
          <cell r="F1621" t="str">
            <v>ROLOS / TRINCHAS / PINCÉIS / ESPÁTULAS</v>
          </cell>
          <cell r="G1621" t="str">
            <v>IMOBILIÁRIO</v>
          </cell>
        </row>
        <row r="1622">
          <cell r="A1622">
            <v>85068</v>
          </cell>
          <cell r="B1622" t="str">
            <v>DESEMPENADEIRA  ACO 12X25CM ATLAS</v>
          </cell>
          <cell r="C1622" t="str">
            <v>AT148/2</v>
          </cell>
          <cell r="D1622" t="str">
            <v>ATLAS</v>
          </cell>
          <cell r="E1622">
            <v>30028</v>
          </cell>
          <cell r="F1622" t="str">
            <v>ROLOS / TRINCHAS / PINCÉIS / ESPÁTULAS</v>
          </cell>
          <cell r="G1622" t="str">
            <v>IMOBILIÁRIO</v>
          </cell>
        </row>
        <row r="1623">
          <cell r="A1623">
            <v>85069</v>
          </cell>
          <cell r="B1623" t="str">
            <v>DESEMPENADEIRA  ACO 12X35 ATLAS</v>
          </cell>
          <cell r="C1623" t="str">
            <v>AT248/2</v>
          </cell>
          <cell r="D1623" t="str">
            <v>ATLAS</v>
          </cell>
          <cell r="E1623">
            <v>30028</v>
          </cell>
          <cell r="F1623" t="str">
            <v>ROLOS / TRINCHAS / PINCÉIS / ESPÁTULAS</v>
          </cell>
          <cell r="G1623" t="str">
            <v>IMOBILIÁRIO</v>
          </cell>
        </row>
        <row r="1624">
          <cell r="A1624">
            <v>85718</v>
          </cell>
          <cell r="B1624" t="str">
            <v>DESEMPENADEIRA NIVELOPRO 60CM ATLAS</v>
          </cell>
          <cell r="C1624" t="str">
            <v>AT933/60</v>
          </cell>
          <cell r="D1624" t="str">
            <v>ATLAS</v>
          </cell>
          <cell r="E1624">
            <v>30028</v>
          </cell>
          <cell r="F1624" t="str">
            <v>ROLOS / TRINCHAS / PINCÉIS / ESPÁTULAS</v>
          </cell>
          <cell r="G1624" t="str">
            <v>IMOBILIÁRIO</v>
          </cell>
        </row>
        <row r="1625">
          <cell r="A1625">
            <v>84429</v>
          </cell>
          <cell r="B1625" t="str">
            <v>DESEMPENADEIRA P/ GRAFIATO PLASTICA 27X14CM ATLAS</v>
          </cell>
          <cell r="C1625">
            <v>165</v>
          </cell>
          <cell r="D1625" t="str">
            <v>ATLAS</v>
          </cell>
          <cell r="E1625">
            <v>30028</v>
          </cell>
          <cell r="F1625" t="str">
            <v>ROLOS / TRINCHAS / PINCÉIS / ESPÁTULAS</v>
          </cell>
          <cell r="G1625" t="str">
            <v>IMOBILIÁRIO</v>
          </cell>
        </row>
        <row r="1626">
          <cell r="A1626">
            <v>85050</v>
          </cell>
          <cell r="B1626" t="str">
            <v>DESEMPENADEIRA P/ TEXTURA PLASTICA 16X8CM ATLAS</v>
          </cell>
          <cell r="C1626">
            <v>164</v>
          </cell>
          <cell r="D1626" t="str">
            <v>ATLAS</v>
          </cell>
          <cell r="E1626">
            <v>30028</v>
          </cell>
          <cell r="F1626" t="str">
            <v>ROLOS / TRINCHAS / PINCÉIS / ESPÁTULAS</v>
          </cell>
          <cell r="G1626" t="str">
            <v>IMOBILIÁRIO</v>
          </cell>
        </row>
        <row r="1627">
          <cell r="A1627">
            <v>10105</v>
          </cell>
          <cell r="B1627" t="str">
            <v>ESCOVA AÇO 3 FILEIRAS ATLAS</v>
          </cell>
          <cell r="C1627">
            <v>1840</v>
          </cell>
          <cell r="D1627" t="str">
            <v>ATLAS</v>
          </cell>
          <cell r="E1627">
            <v>30028</v>
          </cell>
          <cell r="F1627" t="str">
            <v>ROLOS / TRINCHAS / PINCÉIS / ESPÁTULAS</v>
          </cell>
          <cell r="G1627" t="str">
            <v>IMOBILIÁRIO</v>
          </cell>
        </row>
        <row r="1628">
          <cell r="A1628">
            <v>85062</v>
          </cell>
          <cell r="B1628" t="str">
            <v>ESCOVA DE ACO ECONOMICA 3 FILEIRAS ATLAS</v>
          </cell>
          <cell r="C1628" t="str">
            <v>AT1820/3</v>
          </cell>
          <cell r="D1628" t="str">
            <v>ATLAS</v>
          </cell>
          <cell r="E1628">
            <v>30028</v>
          </cell>
          <cell r="F1628" t="str">
            <v>ROLOS / TRINCHAS / PINCÉIS / ESPÁTULAS</v>
          </cell>
          <cell r="G1628" t="str">
            <v>IMOBILIÁRIO</v>
          </cell>
        </row>
        <row r="1629">
          <cell r="A1629">
            <v>10109</v>
          </cell>
          <cell r="B1629" t="str">
            <v>ESPATULA AÇO CROMADO 10,2CM 4 ATLAS</v>
          </cell>
          <cell r="C1629" t="str">
            <v>6255/16</v>
          </cell>
          <cell r="D1629" t="str">
            <v>ATLAS</v>
          </cell>
          <cell r="E1629">
            <v>30028</v>
          </cell>
          <cell r="F1629" t="str">
            <v>ROLOS / TRINCHAS / PINCÉIS / ESPÁTULAS</v>
          </cell>
          <cell r="G1629" t="str">
            <v>IMOBILIÁRIO</v>
          </cell>
        </row>
        <row r="1630">
          <cell r="A1630">
            <v>20029</v>
          </cell>
          <cell r="B1630" t="str">
            <v>ESPATULA ACO CROMADO 12,5CM ATLAS</v>
          </cell>
          <cell r="C1630" t="str">
            <v>6255/20</v>
          </cell>
          <cell r="D1630" t="str">
            <v>ATLAS</v>
          </cell>
          <cell r="E1630">
            <v>30028</v>
          </cell>
          <cell r="F1630" t="str">
            <v>ROLOS / TRINCHAS / PINCÉIS / ESPÁTULAS</v>
          </cell>
          <cell r="G1630" t="str">
            <v>IMOBILIÁRIO</v>
          </cell>
        </row>
        <row r="1631">
          <cell r="A1631">
            <v>84428</v>
          </cell>
          <cell r="B1631" t="str">
            <v>ESPATULA ACO CROMADO 15CM ATLAS</v>
          </cell>
          <cell r="C1631" t="str">
            <v>AT6255/21</v>
          </cell>
          <cell r="D1631" t="str">
            <v>ATLAS</v>
          </cell>
          <cell r="E1631">
            <v>30028</v>
          </cell>
          <cell r="F1631" t="str">
            <v>ROLOS / TRINCHAS / PINCÉIS / ESPÁTULAS</v>
          </cell>
          <cell r="G1631" t="str">
            <v>IMOBILIÁRIO</v>
          </cell>
        </row>
        <row r="1632">
          <cell r="A1632">
            <v>10106</v>
          </cell>
          <cell r="B1632" t="str">
            <v>ESPATULA AÇO CROMADO 3,5CM 1 1/2 ATLAS</v>
          </cell>
          <cell r="C1632" t="str">
            <v>6255/6</v>
          </cell>
          <cell r="D1632" t="str">
            <v>ATLAS</v>
          </cell>
          <cell r="E1632">
            <v>30028</v>
          </cell>
          <cell r="F1632" t="str">
            <v>ROLOS / TRINCHAS / PINCÉIS / ESPÁTULAS</v>
          </cell>
          <cell r="G1632" t="str">
            <v>IMOBILIÁRIO</v>
          </cell>
        </row>
        <row r="1633">
          <cell r="A1633">
            <v>10107</v>
          </cell>
          <cell r="B1633" t="str">
            <v>ESPATULA AÇO CROMADO 6CM 2 1/2 ATLAS</v>
          </cell>
          <cell r="C1633" t="str">
            <v>6255/10</v>
          </cell>
          <cell r="D1633" t="str">
            <v>ATLAS</v>
          </cell>
          <cell r="E1633">
            <v>30028</v>
          </cell>
          <cell r="F1633" t="str">
            <v>ROLOS / TRINCHAS / PINCÉIS / ESPÁTULAS</v>
          </cell>
          <cell r="G1633" t="str">
            <v>IMOBILIÁRIO</v>
          </cell>
        </row>
        <row r="1634">
          <cell r="A1634">
            <v>10108</v>
          </cell>
          <cell r="B1634" t="str">
            <v>ESPATULA AÇO CROMADO 7,5CM 3 ATLAS</v>
          </cell>
          <cell r="C1634" t="str">
            <v>6255/12</v>
          </cell>
          <cell r="D1634" t="str">
            <v>ATLAS</v>
          </cell>
          <cell r="E1634">
            <v>30028</v>
          </cell>
          <cell r="F1634" t="str">
            <v>ROLOS / TRINCHAS / PINCÉIS / ESPÁTULAS</v>
          </cell>
          <cell r="G1634" t="str">
            <v>IMOBILIÁRIO</v>
          </cell>
        </row>
        <row r="1635">
          <cell r="A1635">
            <v>85719</v>
          </cell>
          <cell r="B1635" t="str">
            <v>ESPATULA P/ BALDE INOX ARREDONDADA 6" ATLAS</v>
          </cell>
          <cell r="C1635" t="str">
            <v>AT6655/6</v>
          </cell>
          <cell r="D1635" t="str">
            <v>ATLAS</v>
          </cell>
          <cell r="E1635">
            <v>30028</v>
          </cell>
          <cell r="F1635" t="str">
            <v>ROLOS / TRINCHAS / PINCÉIS / ESPÁTULAS</v>
          </cell>
          <cell r="G1635" t="str">
            <v>IMOBILIÁRIO</v>
          </cell>
        </row>
        <row r="1636">
          <cell r="A1636">
            <v>85064</v>
          </cell>
          <cell r="B1636" t="str">
            <v>FITA TELADA REPAROS 100MMX20M ATLAS</v>
          </cell>
          <cell r="C1636" t="str">
            <v>AT2920</v>
          </cell>
          <cell r="D1636" t="str">
            <v>ATLAS</v>
          </cell>
          <cell r="E1636">
            <v>30028</v>
          </cell>
          <cell r="F1636" t="str">
            <v>ROLOS / TRINCHAS / PINCÉIS / ESPÁTULAS</v>
          </cell>
          <cell r="G1636" t="str">
            <v>IMOBILIÁRIO</v>
          </cell>
        </row>
        <row r="1637">
          <cell r="A1637">
            <v>85063</v>
          </cell>
          <cell r="B1637" t="str">
            <v>FITA TELADA REPAROS 50MMX45M ATLAS</v>
          </cell>
          <cell r="C1637" t="str">
            <v>AT2945</v>
          </cell>
          <cell r="D1637" t="str">
            <v>ATLAS</v>
          </cell>
          <cell r="E1637">
            <v>30028</v>
          </cell>
          <cell r="F1637" t="str">
            <v>ROLOS / TRINCHAS / PINCÉIS / ESPÁTULAS</v>
          </cell>
          <cell r="G1637" t="str">
            <v>IMOBILIÁRIO</v>
          </cell>
        </row>
        <row r="1638">
          <cell r="A1638">
            <v>23878</v>
          </cell>
          <cell r="B1638" t="str">
            <v>GARFO GAIOLA S/ ROSCA  ACO 400/23SR ATLAS</v>
          </cell>
          <cell r="C1638" t="str">
            <v>400/23SR</v>
          </cell>
          <cell r="D1638" t="str">
            <v>ATLAS</v>
          </cell>
          <cell r="E1638">
            <v>30028</v>
          </cell>
          <cell r="F1638" t="str">
            <v>ROLOS / TRINCHAS / PINCÉIS / ESPÁTULAS</v>
          </cell>
          <cell r="G1638" t="str">
            <v>IMOBILIÁRIO</v>
          </cell>
        </row>
        <row r="1639">
          <cell r="A1639">
            <v>84833</v>
          </cell>
          <cell r="B1639" t="str">
            <v>GARFO PINTURA 23CM C/ BUCHA CASTOR</v>
          </cell>
          <cell r="C1639">
            <v>44</v>
          </cell>
          <cell r="D1639" t="str">
            <v>.</v>
          </cell>
          <cell r="E1639">
            <v>30028</v>
          </cell>
          <cell r="F1639" t="str">
            <v>ROLOS / TRINCHAS / PINCÉIS / ESPÁTULAS</v>
          </cell>
          <cell r="G1639" t="str">
            <v>IMOBILIÁRIO</v>
          </cell>
        </row>
        <row r="1640">
          <cell r="A1640">
            <v>85716</v>
          </cell>
          <cell r="B1640" t="str">
            <v>KIT DE PINTURA ANTIRESPINGO 3 PEÇAS ATLAS</v>
          </cell>
          <cell r="C1640">
            <v>2003</v>
          </cell>
          <cell r="D1640" t="str">
            <v>ATLAS</v>
          </cell>
          <cell r="E1640">
            <v>30028</v>
          </cell>
          <cell r="F1640" t="str">
            <v>ROLOS / TRINCHAS / PINCÉIS / ESPÁTULAS</v>
          </cell>
          <cell r="G1640" t="str">
            <v>IMOBILIÁRIO</v>
          </cell>
        </row>
        <row r="1641">
          <cell r="A1641">
            <v>85717</v>
          </cell>
          <cell r="B1641" t="str">
            <v>KIT DE PINTURA E ACABAMENTO 5 PEÇAS ATLAS</v>
          </cell>
          <cell r="C1641" t="str">
            <v>AT1002</v>
          </cell>
          <cell r="D1641" t="str">
            <v>ATLAS</v>
          </cell>
          <cell r="E1641">
            <v>30028</v>
          </cell>
          <cell r="F1641" t="str">
            <v>ROLOS / TRINCHAS / PINCÉIS / ESPÁTULAS</v>
          </cell>
          <cell r="G1641" t="str">
            <v>IMOBILIÁRIO</v>
          </cell>
        </row>
        <row r="1642">
          <cell r="A1642">
            <v>85061</v>
          </cell>
          <cell r="B1642" t="str">
            <v>MISTURADOR DE TINTA METALICO GDE ATLAS</v>
          </cell>
          <cell r="C1642" t="str">
            <v>176/2</v>
          </cell>
          <cell r="D1642" t="str">
            <v>ATLAS</v>
          </cell>
          <cell r="E1642">
            <v>30028</v>
          </cell>
          <cell r="F1642" t="str">
            <v>ROLOS / TRINCHAS / PINCÉIS / ESPÁTULAS</v>
          </cell>
          <cell r="G1642" t="str">
            <v>IMOBILIÁRIO</v>
          </cell>
        </row>
        <row r="1643">
          <cell r="A1643">
            <v>85060</v>
          </cell>
          <cell r="B1643" t="str">
            <v>MISTURADOR DE TINTA METALICO PEQ ATLAS</v>
          </cell>
          <cell r="C1643" t="str">
            <v>176/1</v>
          </cell>
          <cell r="D1643" t="str">
            <v>ATLAS</v>
          </cell>
          <cell r="E1643">
            <v>30028</v>
          </cell>
          <cell r="F1643" t="str">
            <v>ROLOS / TRINCHAS / PINCÉIS / ESPÁTULAS</v>
          </cell>
          <cell r="G1643" t="str">
            <v>IMOBILIÁRIO</v>
          </cell>
        </row>
        <row r="1644">
          <cell r="A1644">
            <v>85067</v>
          </cell>
          <cell r="B1644" t="str">
            <v>PAD P/ PINTURA C/ CABO AJUSTAVEL ATLAS</v>
          </cell>
          <cell r="C1644" t="str">
            <v>AT750/80</v>
          </cell>
          <cell r="D1644" t="str">
            <v>ATLAS</v>
          </cell>
          <cell r="E1644">
            <v>30028</v>
          </cell>
          <cell r="F1644" t="str">
            <v>ROLOS / TRINCHAS / PINCÉIS / ESPÁTULAS</v>
          </cell>
          <cell r="G1644" t="str">
            <v>IMOBILIÁRIO</v>
          </cell>
        </row>
        <row r="1645">
          <cell r="A1645">
            <v>85051</v>
          </cell>
          <cell r="B1645" t="str">
            <v>PROLONGADOR DE ACO 2M ATLAS (EXTENSOR)</v>
          </cell>
          <cell r="C1645">
            <v>1600</v>
          </cell>
          <cell r="D1645" t="str">
            <v>ATLAS</v>
          </cell>
          <cell r="E1645">
            <v>30028</v>
          </cell>
          <cell r="F1645" t="str">
            <v>ROLOS / TRINCHAS / PINCÉIS / ESPÁTULAS</v>
          </cell>
          <cell r="G1645" t="str">
            <v>IMOBILIÁRIO</v>
          </cell>
        </row>
        <row r="1646">
          <cell r="A1646">
            <v>84439</v>
          </cell>
          <cell r="B1646" t="str">
            <v>PROLONGADOR DE ACO 3M ATLAS (EXTENSOR)</v>
          </cell>
          <cell r="C1646">
            <v>1700</v>
          </cell>
          <cell r="D1646" t="str">
            <v>ATLAS</v>
          </cell>
          <cell r="E1646">
            <v>30028</v>
          </cell>
          <cell r="F1646" t="str">
            <v>ROLOS / TRINCHAS / PINCÉIS / ESPÁTULAS</v>
          </cell>
          <cell r="G1646" t="str">
            <v>IMOBILIÁRIO</v>
          </cell>
        </row>
        <row r="1647">
          <cell r="A1647">
            <v>85056</v>
          </cell>
          <cell r="B1647" t="str">
            <v>ROLO ANTIGOTA 15CM 321/15 ATLAS</v>
          </cell>
          <cell r="C1647" t="str">
            <v>321/15</v>
          </cell>
          <cell r="D1647" t="str">
            <v>ATLAS</v>
          </cell>
          <cell r="E1647">
            <v>30028</v>
          </cell>
          <cell r="F1647" t="str">
            <v>ROLOS / TRINCHAS / PINCÉIS / ESPÁTULAS</v>
          </cell>
          <cell r="G1647" t="str">
            <v>IMOBILIÁRIO</v>
          </cell>
        </row>
        <row r="1648">
          <cell r="A1648">
            <v>84420</v>
          </cell>
          <cell r="B1648" t="str">
            <v>ROLO ANTIGOTA 23CM 321/10 ATLAS</v>
          </cell>
          <cell r="C1648" t="str">
            <v>321/10</v>
          </cell>
          <cell r="D1648" t="str">
            <v>ATLAS</v>
          </cell>
          <cell r="E1648">
            <v>30028</v>
          </cell>
          <cell r="F1648" t="str">
            <v>ROLOS / TRINCHAS / PINCÉIS / ESPÁTULAS</v>
          </cell>
          <cell r="G1648" t="str">
            <v>IMOBILIÁRIO</v>
          </cell>
        </row>
        <row r="1649">
          <cell r="A1649">
            <v>85228</v>
          </cell>
          <cell r="B1649" t="str">
            <v>ROLO ANTIRESPINGO 15CM AT773/15 ATLAS</v>
          </cell>
          <cell r="C1649" t="str">
            <v>AT773/15</v>
          </cell>
          <cell r="D1649" t="str">
            <v>ATLAS</v>
          </cell>
          <cell r="E1649">
            <v>30028</v>
          </cell>
          <cell r="F1649" t="str">
            <v>ROLOS / TRINCHAS / PINCÉIS / ESPÁTULAS</v>
          </cell>
          <cell r="G1649" t="str">
            <v>IMOBILIÁRIO</v>
          </cell>
        </row>
        <row r="1650">
          <cell r="A1650">
            <v>84431</v>
          </cell>
          <cell r="B1650" t="str">
            <v>ROLO ANTIRESPINGO 23CM 773/10 ATLAS</v>
          </cell>
          <cell r="C1650" t="str">
            <v>773/10</v>
          </cell>
          <cell r="D1650" t="str">
            <v>ATLAS</v>
          </cell>
          <cell r="E1650">
            <v>30028</v>
          </cell>
          <cell r="F1650" t="str">
            <v>ROLOS / TRINCHAS / PINCÉIS / ESPÁTULAS</v>
          </cell>
          <cell r="G1650" t="str">
            <v>IMOBILIÁRIO</v>
          </cell>
        </row>
        <row r="1651">
          <cell r="A1651">
            <v>85226</v>
          </cell>
          <cell r="B1651" t="str">
            <v>ROLO ANTIRESPINGO 5CM AT773/5 ATLAS</v>
          </cell>
          <cell r="C1651" t="str">
            <v>AT773/5</v>
          </cell>
          <cell r="D1651" t="str">
            <v>ATLAS</v>
          </cell>
          <cell r="E1651">
            <v>30028</v>
          </cell>
          <cell r="F1651" t="str">
            <v>ROLOS / TRINCHAS / PINCÉIS / ESPÁTULAS</v>
          </cell>
          <cell r="G1651" t="str">
            <v>IMOBILIÁRIO</v>
          </cell>
        </row>
        <row r="1652">
          <cell r="A1652">
            <v>84430</v>
          </cell>
          <cell r="B1652" t="str">
            <v>ROLO BRASILEIRINHO 23CM AT2014 ATLAS</v>
          </cell>
          <cell r="C1652" t="str">
            <v>AT2014</v>
          </cell>
          <cell r="D1652" t="str">
            <v>ATLAS</v>
          </cell>
          <cell r="E1652">
            <v>30028</v>
          </cell>
          <cell r="F1652" t="str">
            <v>ROLOS / TRINCHAS / PINCÉIS / ESPÁTULAS</v>
          </cell>
          <cell r="G1652" t="str">
            <v>IMOBILIÁRIO</v>
          </cell>
        </row>
        <row r="1653">
          <cell r="A1653">
            <v>84432</v>
          </cell>
          <cell r="B1653" t="str">
            <v>ROLO DE LA MISTA PINTURA RUGOSA 5CM AT228/5 ATLAS</v>
          </cell>
          <cell r="C1653" t="str">
            <v>AT228/5</v>
          </cell>
          <cell r="D1653" t="str">
            <v>ATLAS</v>
          </cell>
          <cell r="E1653">
            <v>30028</v>
          </cell>
          <cell r="F1653" t="str">
            <v>ROLOS / TRINCHAS / PINCÉIS / ESPÁTULAS</v>
          </cell>
          <cell r="G1653" t="str">
            <v>IMOBILIÁRIO</v>
          </cell>
        </row>
        <row r="1654">
          <cell r="A1654">
            <v>85058</v>
          </cell>
          <cell r="B1654" t="str">
            <v>ROLO DE PINTURA ANTIGOTA 5CM AT321/5 ATLAS</v>
          </cell>
          <cell r="C1654" t="str">
            <v>AT321/5</v>
          </cell>
          <cell r="D1654" t="str">
            <v>ATLAS</v>
          </cell>
          <cell r="E1654">
            <v>30028</v>
          </cell>
          <cell r="F1654" t="str">
            <v>ROLOS / TRINCHAS / PINCÉIS / ESPÁTULAS</v>
          </cell>
          <cell r="G1654" t="str">
            <v>IMOBILIÁRIO</v>
          </cell>
        </row>
        <row r="1655">
          <cell r="A1655">
            <v>85057</v>
          </cell>
          <cell r="B1655" t="str">
            <v>ROLO DE PINTURA ANTIGOTA POLIAMIDA 9CM ATLAS</v>
          </cell>
          <cell r="C1655" t="str">
            <v>321/9</v>
          </cell>
          <cell r="D1655" t="str">
            <v>ATLAS</v>
          </cell>
          <cell r="E1655">
            <v>30028</v>
          </cell>
          <cell r="F1655" t="str">
            <v>ROLOS / TRINCHAS / PINCÉIS / ESPÁTULAS</v>
          </cell>
          <cell r="G1655" t="str">
            <v>IMOBILIÁRIO</v>
          </cell>
        </row>
        <row r="1656">
          <cell r="A1656">
            <v>85227</v>
          </cell>
          <cell r="B1656" t="str">
            <v>ROLO DE PINTURA ANTIRESPINGO LA SINT 9CM ATLAS</v>
          </cell>
          <cell r="C1656" t="str">
            <v>AT773/9</v>
          </cell>
          <cell r="D1656" t="str">
            <v>ATLAS</v>
          </cell>
          <cell r="E1656">
            <v>30028</v>
          </cell>
          <cell r="F1656" t="str">
            <v>ROLOS / TRINCHAS / PINCÉIS / ESPÁTULAS</v>
          </cell>
          <cell r="G1656" t="str">
            <v>IMOBILIÁRIO</v>
          </cell>
        </row>
        <row r="1657">
          <cell r="A1657">
            <v>85276</v>
          </cell>
          <cell r="B1657" t="str">
            <v>ROLO DE PINTURA MONARCA LA SINT 25MM 23CM ATLAS</v>
          </cell>
          <cell r="C1657" t="str">
            <v>AT732/25</v>
          </cell>
          <cell r="D1657" t="str">
            <v>ATLAS</v>
          </cell>
          <cell r="E1657">
            <v>30028</v>
          </cell>
          <cell r="F1657" t="str">
            <v>ROLOS / TRINCHAS / PINCÉIS / ESPÁTULAS</v>
          </cell>
          <cell r="G1657" t="str">
            <v>IMOBILIÁRIO</v>
          </cell>
        </row>
        <row r="1658">
          <cell r="A1658">
            <v>85055</v>
          </cell>
          <cell r="B1658" t="str">
            <v>ROLO DE TEXTURA FINA 9CM 110/9 ATLAS</v>
          </cell>
          <cell r="C1658" t="str">
            <v>110/9</v>
          </cell>
          <cell r="D1658" t="str">
            <v>ATLAS</v>
          </cell>
          <cell r="E1658">
            <v>30028</v>
          </cell>
          <cell r="F1658" t="str">
            <v>ROLOS / TRINCHAS / PINCÉIS / ESPÁTULAS</v>
          </cell>
          <cell r="G1658" t="str">
            <v>IMOBILIÁRIO</v>
          </cell>
        </row>
        <row r="1659">
          <cell r="A1659">
            <v>84427</v>
          </cell>
          <cell r="B1659" t="str">
            <v>ROLO ESPUMA CINZA 15CM 406/15 ATLAS</v>
          </cell>
          <cell r="C1659" t="str">
            <v>406/15</v>
          </cell>
          <cell r="D1659" t="str">
            <v>ATLAS</v>
          </cell>
          <cell r="E1659">
            <v>30028</v>
          </cell>
          <cell r="F1659" t="str">
            <v>ROLOS / TRINCHAS / PINCÉIS / ESPÁTULAS</v>
          </cell>
          <cell r="G1659" t="str">
            <v>IMOBILIÁRIO</v>
          </cell>
        </row>
        <row r="1660">
          <cell r="A1660">
            <v>84425</v>
          </cell>
          <cell r="B1660" t="str">
            <v>ROLO ESPUMA CINZA 5CM 406/5 ATLAS</v>
          </cell>
          <cell r="C1660" t="str">
            <v>406/5</v>
          </cell>
          <cell r="D1660" t="str">
            <v>ATLAS</v>
          </cell>
          <cell r="E1660">
            <v>30028</v>
          </cell>
          <cell r="F1660" t="str">
            <v>ROLOS / TRINCHAS / PINCÉIS / ESPÁTULAS</v>
          </cell>
          <cell r="G1660" t="str">
            <v>IMOBILIÁRIO</v>
          </cell>
        </row>
        <row r="1661">
          <cell r="A1661">
            <v>84426</v>
          </cell>
          <cell r="B1661" t="str">
            <v>ROLO ESPUMA CINZA 9CM 406/9 ATLAS</v>
          </cell>
          <cell r="C1661" t="str">
            <v>406/9</v>
          </cell>
          <cell r="D1661" t="str">
            <v>ATLAS</v>
          </cell>
          <cell r="E1661">
            <v>30028</v>
          </cell>
          <cell r="F1661" t="str">
            <v>ROLOS / TRINCHAS / PINCÉIS / ESPÁTULAS</v>
          </cell>
          <cell r="G1661" t="str">
            <v>IMOBILIÁRIO</v>
          </cell>
        </row>
        <row r="1662">
          <cell r="A1662">
            <v>84434</v>
          </cell>
          <cell r="B1662" t="str">
            <v>ROLO LA DE CARNEIRO 15CM AT228/15 ATLAS</v>
          </cell>
          <cell r="C1662" t="str">
            <v>AT228/15</v>
          </cell>
          <cell r="D1662" t="str">
            <v>ATLAS</v>
          </cell>
          <cell r="E1662">
            <v>30028</v>
          </cell>
          <cell r="F1662" t="str">
            <v>ROLOS / TRINCHAS / PINCÉIS / ESPÁTULAS</v>
          </cell>
          <cell r="G1662" t="str">
            <v>IMOBILIÁRIO</v>
          </cell>
        </row>
        <row r="1663">
          <cell r="A1663">
            <v>84435</v>
          </cell>
          <cell r="B1663" t="str">
            <v>ROLO LA DE CARNEIRO 23CM 228/22 ATLAS</v>
          </cell>
          <cell r="C1663" t="str">
            <v>228/22</v>
          </cell>
          <cell r="D1663" t="str">
            <v>ATLAS</v>
          </cell>
          <cell r="E1663">
            <v>30028</v>
          </cell>
          <cell r="F1663" t="str">
            <v>ROLOS / TRINCHAS / PINCÉIS / ESPÁTULAS</v>
          </cell>
          <cell r="G1663" t="str">
            <v>IMOBILIÁRIO</v>
          </cell>
        </row>
        <row r="1664">
          <cell r="A1664">
            <v>84433</v>
          </cell>
          <cell r="B1664" t="str">
            <v>ROLO LA DE CARNEIRO 9CM AT228/9 ATLAS</v>
          </cell>
          <cell r="C1664" t="str">
            <v>AT228/9</v>
          </cell>
          <cell r="D1664" t="str">
            <v>ATLAS</v>
          </cell>
          <cell r="E1664">
            <v>30028</v>
          </cell>
          <cell r="F1664" t="str">
            <v>ROLOS / TRINCHAS / PINCÉIS / ESPÁTULAS</v>
          </cell>
          <cell r="G1664" t="str">
            <v>IMOBILIÁRIO</v>
          </cell>
        </row>
        <row r="1665">
          <cell r="A1665">
            <v>84424</v>
          </cell>
          <cell r="B1665" t="str">
            <v>ROLO LA RESIMAX 15CM 339/15A  ATLAS</v>
          </cell>
          <cell r="C1665" t="str">
            <v>339/15A</v>
          </cell>
          <cell r="D1665" t="str">
            <v>ATLAS</v>
          </cell>
          <cell r="E1665">
            <v>30028</v>
          </cell>
          <cell r="F1665" t="str">
            <v>ROLOS / TRINCHAS / PINCÉIS / ESPÁTULAS</v>
          </cell>
          <cell r="G1665" t="str">
            <v>IMOBILIÁRIO</v>
          </cell>
        </row>
        <row r="1666">
          <cell r="A1666">
            <v>84423</v>
          </cell>
          <cell r="B1666" t="str">
            <v>ROLO LA RESIMAX P/ ESMALTE 23CM 339/5A ATLAS</v>
          </cell>
          <cell r="C1666" t="str">
            <v>339/5A</v>
          </cell>
          <cell r="D1666" t="str">
            <v>ATLAS</v>
          </cell>
          <cell r="E1666">
            <v>30028</v>
          </cell>
          <cell r="F1666" t="str">
            <v>ROLOS / TRINCHAS / PINCÉIS / ESPÁTULAS</v>
          </cell>
          <cell r="G1666" t="str">
            <v>IMOBILIÁRIO</v>
          </cell>
        </row>
        <row r="1667">
          <cell r="A1667">
            <v>84422</v>
          </cell>
          <cell r="B1667" t="str">
            <v>ROLO LA RESIMAX P/ ESMALTE 9CM 339/9A  ATLAS</v>
          </cell>
          <cell r="C1667" t="str">
            <v>339/9A</v>
          </cell>
          <cell r="D1667" t="str">
            <v>ATLAS</v>
          </cell>
          <cell r="E1667">
            <v>30028</v>
          </cell>
          <cell r="F1667" t="str">
            <v>ROLOS / TRINCHAS / PINCÉIS / ESPÁTULAS</v>
          </cell>
          <cell r="G1667" t="str">
            <v>IMOBILIÁRIO</v>
          </cell>
        </row>
        <row r="1668">
          <cell r="A1668">
            <v>85065</v>
          </cell>
          <cell r="B1668" t="str">
            <v>ROLO MAXILA 23CM AT328/25 ATLAS</v>
          </cell>
          <cell r="C1668" t="str">
            <v>AT328/25</v>
          </cell>
          <cell r="D1668" t="str">
            <v>ATLAS</v>
          </cell>
          <cell r="E1668">
            <v>30028</v>
          </cell>
          <cell r="F1668" t="str">
            <v>ROLOS / TRINCHAS / PINCÉIS / ESPÁTULAS</v>
          </cell>
          <cell r="G1668" t="str">
            <v>IMOBILIÁRIO</v>
          </cell>
        </row>
        <row r="1669">
          <cell r="A1669">
            <v>84705</v>
          </cell>
          <cell r="B1669" t="str">
            <v>ROLO PARA MASSA ROLADA 23CM AT1122/23 ATLAS</v>
          </cell>
          <cell r="C1669" t="str">
            <v>AT1122/23</v>
          </cell>
          <cell r="D1669" t="str">
            <v>ATLAS</v>
          </cell>
          <cell r="E1669">
            <v>30028</v>
          </cell>
          <cell r="F1669" t="str">
            <v>ROLOS / TRINCHAS / PINCÉIS / ESPÁTULAS</v>
          </cell>
          <cell r="G1669" t="str">
            <v>IMOBILIÁRIO</v>
          </cell>
        </row>
        <row r="1670">
          <cell r="A1670">
            <v>84831</v>
          </cell>
          <cell r="B1670" t="str">
            <v>ROLO PINTURA ESPUMA 15CM C/CABO CASTOR</v>
          </cell>
          <cell r="C1670">
            <v>33</v>
          </cell>
          <cell r="D1670" t="str">
            <v>CASTOR</v>
          </cell>
          <cell r="E1670">
            <v>30028</v>
          </cell>
          <cell r="F1670" t="str">
            <v>ROLOS / TRINCHAS / PINCÉIS / ESPÁTULAS</v>
          </cell>
          <cell r="G1670" t="str">
            <v>IMOBILIÁRIO</v>
          </cell>
        </row>
        <row r="1671">
          <cell r="A1671">
            <v>84829</v>
          </cell>
          <cell r="B1671" t="str">
            <v>ROLO PINTURA ESPUMA 5CM C/CABO CASTOR</v>
          </cell>
          <cell r="C1671">
            <v>37</v>
          </cell>
          <cell r="D1671" t="str">
            <v>CASTOR</v>
          </cell>
          <cell r="E1671">
            <v>30028</v>
          </cell>
          <cell r="F1671" t="str">
            <v>ROLOS / TRINCHAS / PINCÉIS / ESPÁTULAS</v>
          </cell>
          <cell r="G1671" t="str">
            <v>IMOBILIÁRIO</v>
          </cell>
        </row>
        <row r="1672">
          <cell r="A1672">
            <v>84830</v>
          </cell>
          <cell r="B1672" t="str">
            <v>ROLO PINTURA ESPUMA 9CM C/CABO CASTOR</v>
          </cell>
          <cell r="C1672">
            <v>35</v>
          </cell>
          <cell r="D1672" t="str">
            <v>CASTOR</v>
          </cell>
          <cell r="E1672">
            <v>30028</v>
          </cell>
          <cell r="F1672" t="str">
            <v>ROLOS / TRINCHAS / PINCÉIS / ESPÁTULAS</v>
          </cell>
          <cell r="G1672" t="str">
            <v>IMOBILIÁRIO</v>
          </cell>
        </row>
        <row r="1673">
          <cell r="A1673">
            <v>84832</v>
          </cell>
          <cell r="B1673" t="str">
            <v>ROLO PINTURA LÃ 23CM S/CABO CASTOR</v>
          </cell>
          <cell r="C1673">
            <v>438</v>
          </cell>
          <cell r="D1673" t="str">
            <v>CASTOR</v>
          </cell>
          <cell r="E1673">
            <v>30028</v>
          </cell>
          <cell r="F1673" t="str">
            <v>ROLOS / TRINCHAS / PINCÉIS / ESPÁTULAS</v>
          </cell>
          <cell r="G1673" t="str">
            <v>IMOBILIÁRIO</v>
          </cell>
        </row>
        <row r="1674">
          <cell r="A1674">
            <v>85049</v>
          </cell>
          <cell r="B1674" t="str">
            <v>ROLO POLYESTER 23CM 406/23 ATLAS</v>
          </cell>
          <cell r="C1674" t="str">
            <v>406/23</v>
          </cell>
          <cell r="D1674" t="str">
            <v>ATLAS</v>
          </cell>
          <cell r="E1674">
            <v>30028</v>
          </cell>
          <cell r="F1674" t="str">
            <v>ROLOS / TRINCHAS / PINCÉIS / ESPÁTULAS</v>
          </cell>
          <cell r="G1674" t="str">
            <v>IMOBILIÁRIO</v>
          </cell>
        </row>
        <row r="1675">
          <cell r="A1675">
            <v>85224</v>
          </cell>
          <cell r="B1675" t="str">
            <v>ROLO RENDEPLUS 23CM 327/19 ATLAS</v>
          </cell>
          <cell r="C1675" t="str">
            <v>327/19</v>
          </cell>
          <cell r="D1675" t="str">
            <v>ATLAS</v>
          </cell>
          <cell r="E1675">
            <v>30028</v>
          </cell>
          <cell r="F1675" t="str">
            <v>ROLOS / TRINCHAS / PINCÉIS / ESPÁTULAS</v>
          </cell>
          <cell r="G1675" t="str">
            <v>IMOBILIÁRIO</v>
          </cell>
        </row>
        <row r="1676">
          <cell r="A1676">
            <v>85225</v>
          </cell>
          <cell r="B1676" t="str">
            <v>ROLO RENDEPLUS 23CM 327/23 ATLAS</v>
          </cell>
          <cell r="C1676" t="str">
            <v>327/23</v>
          </cell>
          <cell r="D1676" t="str">
            <v>ATLAS</v>
          </cell>
          <cell r="E1676">
            <v>30028</v>
          </cell>
          <cell r="F1676" t="str">
            <v>ROLOS / TRINCHAS / PINCÉIS / ESPÁTULAS</v>
          </cell>
          <cell r="G1676" t="str">
            <v>IMOBILIÁRIO</v>
          </cell>
        </row>
        <row r="1677">
          <cell r="A1677">
            <v>84421</v>
          </cell>
          <cell r="B1677" t="str">
            <v>ROLO RESIMAX 5CM 339/55A  ATLAS</v>
          </cell>
          <cell r="C1677" t="str">
            <v>339/55A</v>
          </cell>
          <cell r="D1677" t="str">
            <v>ATLAS</v>
          </cell>
          <cell r="E1677">
            <v>30028</v>
          </cell>
          <cell r="F1677" t="str">
            <v>ROLOS / TRINCHAS / PINCÉIS / ESPÁTULAS</v>
          </cell>
          <cell r="G1677" t="str">
            <v>IMOBILIÁRIO</v>
          </cell>
        </row>
        <row r="1678">
          <cell r="A1678">
            <v>84703</v>
          </cell>
          <cell r="B1678" t="str">
            <v>ROLO TEXTURA FINA 23CM 110/75 ATLAS</v>
          </cell>
          <cell r="C1678" t="str">
            <v>110/75</v>
          </cell>
          <cell r="D1678" t="str">
            <v>ATLAS</v>
          </cell>
          <cell r="E1678">
            <v>30028</v>
          </cell>
          <cell r="F1678" t="str">
            <v>ROLOS / TRINCHAS / PINCÉIS / ESPÁTULAS</v>
          </cell>
          <cell r="G1678" t="str">
            <v>IMOBILIÁRIO</v>
          </cell>
        </row>
        <row r="1679">
          <cell r="A1679">
            <v>84704</v>
          </cell>
          <cell r="B1679" t="str">
            <v>ROLO TEXTURA MEDIA 23CM 110/65 ATLAS</v>
          </cell>
          <cell r="C1679" t="str">
            <v>110/65</v>
          </cell>
          <cell r="D1679" t="str">
            <v>ATLAS</v>
          </cell>
          <cell r="E1679">
            <v>30028</v>
          </cell>
          <cell r="F1679" t="str">
            <v>ROLOS / TRINCHAS / PINCÉIS / ESPÁTULAS</v>
          </cell>
          <cell r="G1679" t="str">
            <v>IMOBILIÁRIO</v>
          </cell>
        </row>
        <row r="1680">
          <cell r="A1680">
            <v>84702</v>
          </cell>
          <cell r="B1680" t="str">
            <v>ROLO TEXTURA RUSTICA 23CM 1155 ATLAS</v>
          </cell>
          <cell r="C1680">
            <v>1155</v>
          </cell>
          <cell r="D1680" t="str">
            <v>ATLAS</v>
          </cell>
          <cell r="E1680">
            <v>30028</v>
          </cell>
          <cell r="F1680" t="str">
            <v>ROLOS / TRINCHAS / PINCÉIS / ESPÁTULAS</v>
          </cell>
          <cell r="G1680" t="str">
            <v>IMOBILIÁRIO</v>
          </cell>
        </row>
        <row r="1681">
          <cell r="A1681">
            <v>85052</v>
          </cell>
          <cell r="B1681" t="str">
            <v>ROLO+GARFO TEXTURA RUSTICA 10CM ATLAS</v>
          </cell>
          <cell r="C1681" t="str">
            <v>AT155/10SR</v>
          </cell>
          <cell r="D1681" t="str">
            <v>ATLAS</v>
          </cell>
          <cell r="E1681">
            <v>30028</v>
          </cell>
          <cell r="F1681" t="str">
            <v>ROLOS / TRINCHAS / PINCÉIS / ESPÁTULAS</v>
          </cell>
          <cell r="G1681" t="str">
            <v>IMOBILIÁRIO</v>
          </cell>
        </row>
        <row r="1682">
          <cell r="A1682">
            <v>85541</v>
          </cell>
          <cell r="B1682" t="str">
            <v>TRINCHA 1 POL TIGRE</v>
          </cell>
          <cell r="D1682" t="str">
            <v>TIGRE</v>
          </cell>
          <cell r="E1682">
            <v>30028</v>
          </cell>
          <cell r="F1682" t="str">
            <v>ROLOS / TRINCHAS / PINCÉIS / ESPÁTULAS</v>
          </cell>
          <cell r="G1682" t="str">
            <v>IMOBILIÁRIO</v>
          </cell>
        </row>
        <row r="1683">
          <cell r="A1683">
            <v>10114</v>
          </cell>
          <cell r="B1683" t="str">
            <v>TRINCHA 395 1 1/2 ATLAS</v>
          </cell>
          <cell r="C1683" t="str">
            <v>395/4</v>
          </cell>
          <cell r="D1683" t="str">
            <v>ATLAS</v>
          </cell>
          <cell r="E1683">
            <v>30028</v>
          </cell>
          <cell r="F1683" t="str">
            <v>ROLOS / TRINCHAS / PINCÉIS / ESPÁTULAS</v>
          </cell>
          <cell r="G1683" t="str">
            <v>IMOBILIÁRIO</v>
          </cell>
        </row>
        <row r="1684">
          <cell r="A1684">
            <v>10115</v>
          </cell>
          <cell r="B1684" t="str">
            <v>TRINCHA 395 1 ATLAS</v>
          </cell>
          <cell r="C1684" t="str">
            <v>395/3</v>
          </cell>
          <cell r="D1684" t="str">
            <v>ATLAS</v>
          </cell>
          <cell r="E1684">
            <v>30028</v>
          </cell>
          <cell r="F1684" t="str">
            <v>ROLOS / TRINCHAS / PINCÉIS / ESPÁTULAS</v>
          </cell>
          <cell r="G1684" t="str">
            <v>IMOBILIÁRIO</v>
          </cell>
        </row>
        <row r="1685">
          <cell r="A1685">
            <v>10116</v>
          </cell>
          <cell r="B1685" t="str">
            <v>TRINCHA 395 1/2 ATLAS</v>
          </cell>
          <cell r="C1685" t="str">
            <v>395/1</v>
          </cell>
          <cell r="D1685" t="str">
            <v>ATLAS</v>
          </cell>
          <cell r="E1685">
            <v>30028</v>
          </cell>
          <cell r="F1685" t="str">
            <v>ROLOS / TRINCHAS / PINCÉIS / ESPÁTULAS</v>
          </cell>
          <cell r="G1685" t="str">
            <v>IMOBILIÁRIO</v>
          </cell>
        </row>
        <row r="1686">
          <cell r="A1686">
            <v>10117</v>
          </cell>
          <cell r="B1686" t="str">
            <v>TRINCHA 395 2 1/2 ATLAS</v>
          </cell>
          <cell r="C1686" t="str">
            <v>395/6</v>
          </cell>
          <cell r="D1686" t="str">
            <v>ATLAS</v>
          </cell>
          <cell r="E1686">
            <v>30028</v>
          </cell>
          <cell r="F1686" t="str">
            <v>ROLOS / TRINCHAS / PINCÉIS / ESPÁTULAS</v>
          </cell>
          <cell r="G1686" t="str">
            <v>IMOBILIÁRIO</v>
          </cell>
        </row>
        <row r="1687">
          <cell r="A1687">
            <v>10118</v>
          </cell>
          <cell r="B1687" t="str">
            <v>TRINCHA 395 2 ATLAS</v>
          </cell>
          <cell r="C1687" t="str">
            <v>395/5</v>
          </cell>
          <cell r="D1687" t="str">
            <v>ATLAS</v>
          </cell>
          <cell r="E1687">
            <v>30028</v>
          </cell>
          <cell r="F1687" t="str">
            <v>ROLOS / TRINCHAS / PINCÉIS / ESPÁTULAS</v>
          </cell>
          <cell r="G1687" t="str">
            <v>IMOBILIÁRIO</v>
          </cell>
        </row>
        <row r="1688">
          <cell r="A1688">
            <v>10120</v>
          </cell>
          <cell r="B1688" t="str">
            <v>TRINCHA 395 3 ATLAS</v>
          </cell>
          <cell r="C1688" t="str">
            <v>395/7</v>
          </cell>
          <cell r="D1688" t="str">
            <v>ATLAS</v>
          </cell>
          <cell r="E1688">
            <v>30028</v>
          </cell>
          <cell r="F1688" t="str">
            <v>ROLOS / TRINCHAS / PINCÉIS / ESPÁTULAS</v>
          </cell>
          <cell r="G1688" t="str">
            <v>IMOBILIÁRIO</v>
          </cell>
        </row>
        <row r="1689">
          <cell r="A1689">
            <v>10119</v>
          </cell>
          <cell r="B1689" t="str">
            <v>TRINCHA 395 3/4 ATLAS</v>
          </cell>
          <cell r="C1689" t="str">
            <v>395/2</v>
          </cell>
          <cell r="D1689" t="str">
            <v>ATLAS</v>
          </cell>
          <cell r="E1689">
            <v>30028</v>
          </cell>
          <cell r="F1689" t="str">
            <v>ROLOS / TRINCHAS / PINCÉIS / ESPÁTULAS</v>
          </cell>
          <cell r="G1689" t="str">
            <v>IMOBILIÁRIO</v>
          </cell>
        </row>
        <row r="1690">
          <cell r="A1690">
            <v>10121</v>
          </cell>
          <cell r="B1690" t="str">
            <v>TRINCHA 395 4 ATLAS</v>
          </cell>
          <cell r="C1690" t="str">
            <v>395/9</v>
          </cell>
          <cell r="D1690" t="str">
            <v>ATLAS</v>
          </cell>
          <cell r="E1690">
            <v>30028</v>
          </cell>
          <cell r="F1690" t="str">
            <v>ROLOS / TRINCHAS / PINCÉIS / ESPÁTULAS</v>
          </cell>
          <cell r="G1690" t="str">
            <v>IMOBILIÁRIO</v>
          </cell>
        </row>
        <row r="1691">
          <cell r="A1691">
            <v>85633</v>
          </cell>
          <cell r="B1691" t="str">
            <v>TRINCHA 700E 1" CONDOR</v>
          </cell>
          <cell r="C1691">
            <v>971397</v>
          </cell>
          <cell r="D1691" t="str">
            <v>CONDOR PINCEIS</v>
          </cell>
          <cell r="E1691">
            <v>30028</v>
          </cell>
          <cell r="F1691" t="str">
            <v>ROLOS / TRINCHAS / PINCÉIS / ESPÁTULAS</v>
          </cell>
          <cell r="G1691" t="str">
            <v>IMOBILIÁRIO</v>
          </cell>
        </row>
        <row r="1692">
          <cell r="A1692">
            <v>85634</v>
          </cell>
          <cell r="B1692" t="str">
            <v>TRINCHA 700E 2" CONDOR</v>
          </cell>
          <cell r="C1692">
            <v>971399</v>
          </cell>
          <cell r="D1692" t="str">
            <v>CONDOR PINCEIS</v>
          </cell>
          <cell r="E1692">
            <v>30028</v>
          </cell>
          <cell r="F1692" t="str">
            <v>ROLOS / TRINCHAS / PINCÉIS / ESPÁTULAS</v>
          </cell>
          <cell r="G1692" t="str">
            <v>IMOBILIÁRIO</v>
          </cell>
        </row>
        <row r="1693">
          <cell r="A1693">
            <v>85044</v>
          </cell>
          <cell r="B1693" t="str">
            <v>TRINCHA MEDIA P/ PINTURA ESMALTE 1 1/2" ATLAS</v>
          </cell>
          <cell r="C1693" t="str">
            <v>319/4</v>
          </cell>
          <cell r="D1693" t="str">
            <v>ATLAS</v>
          </cell>
          <cell r="E1693">
            <v>30028</v>
          </cell>
          <cell r="F1693" t="str">
            <v>ROLOS / TRINCHAS / PINCÉIS / ESPÁTULAS</v>
          </cell>
          <cell r="G1693" t="str">
            <v>IMOBILIÁRIO</v>
          </cell>
        </row>
        <row r="1694">
          <cell r="A1694">
            <v>85043</v>
          </cell>
          <cell r="B1694" t="str">
            <v>TRINCHA MEDIA P/ PINTURA ESMALTE 1 ATLAS</v>
          </cell>
          <cell r="C1694" t="str">
            <v>319/3</v>
          </cell>
          <cell r="D1694" t="str">
            <v>ATLAS</v>
          </cell>
          <cell r="E1694">
            <v>30028</v>
          </cell>
          <cell r="F1694" t="str">
            <v>ROLOS / TRINCHAS / PINCÉIS / ESPÁTULAS</v>
          </cell>
          <cell r="G1694" t="str">
            <v>IMOBILIÁRIO</v>
          </cell>
        </row>
        <row r="1695">
          <cell r="A1695">
            <v>85041</v>
          </cell>
          <cell r="B1695" t="str">
            <v>TRINCHA MEDIA P/ PINTURA ESMALTE 1/2 ATLAS</v>
          </cell>
          <cell r="C1695" t="str">
            <v>319/1</v>
          </cell>
          <cell r="D1695" t="str">
            <v>ATLAS</v>
          </cell>
          <cell r="E1695">
            <v>30028</v>
          </cell>
          <cell r="F1695" t="str">
            <v>ROLOS / TRINCHAS / PINCÉIS / ESPÁTULAS</v>
          </cell>
          <cell r="G1695" t="str">
            <v>IMOBILIÁRIO</v>
          </cell>
        </row>
        <row r="1696">
          <cell r="A1696">
            <v>85046</v>
          </cell>
          <cell r="B1696" t="str">
            <v>TRINCHA MEDIA P/ PINTURA ESMALTE 2 1/2" ATLAS</v>
          </cell>
          <cell r="C1696" t="str">
            <v>319/6</v>
          </cell>
          <cell r="D1696" t="str">
            <v>ATLAS</v>
          </cell>
          <cell r="E1696">
            <v>30028</v>
          </cell>
          <cell r="F1696" t="str">
            <v>ROLOS / TRINCHAS / PINCÉIS / ESPÁTULAS</v>
          </cell>
          <cell r="G1696" t="str">
            <v>IMOBILIÁRIO</v>
          </cell>
        </row>
        <row r="1697">
          <cell r="A1697">
            <v>85045</v>
          </cell>
          <cell r="B1697" t="str">
            <v>TRINCHA MEDIA P/ PINTURA ESMALTE 2 ATLAS</v>
          </cell>
          <cell r="C1697" t="str">
            <v>319/5</v>
          </cell>
          <cell r="D1697" t="str">
            <v>ATLAS</v>
          </cell>
          <cell r="E1697">
            <v>30028</v>
          </cell>
          <cell r="F1697" t="str">
            <v>ROLOS / TRINCHAS / PINCÉIS / ESPÁTULAS</v>
          </cell>
          <cell r="G1697" t="str">
            <v>IMOBILIÁRIO</v>
          </cell>
        </row>
        <row r="1698">
          <cell r="A1698">
            <v>85047</v>
          </cell>
          <cell r="B1698" t="str">
            <v>TRINCHA MEDIA P/ PINTURA ESMALTE 3 ATLAS</v>
          </cell>
          <cell r="C1698" t="str">
            <v>319/7</v>
          </cell>
          <cell r="D1698" t="str">
            <v>ATLAS</v>
          </cell>
          <cell r="E1698">
            <v>30028</v>
          </cell>
          <cell r="F1698" t="str">
            <v>ROLOS / TRINCHAS / PINCÉIS / ESPÁTULAS</v>
          </cell>
          <cell r="G1698" t="str">
            <v>IMOBILIÁRIO</v>
          </cell>
        </row>
        <row r="1699">
          <cell r="A1699">
            <v>85042</v>
          </cell>
          <cell r="B1699" t="str">
            <v>TRINCHA MEDIA P/ PINTURA ESMALTE 3/4 ATLAS</v>
          </cell>
          <cell r="C1699" t="str">
            <v>319/2</v>
          </cell>
          <cell r="D1699" t="str">
            <v>ATLAS</v>
          </cell>
          <cell r="E1699">
            <v>30028</v>
          </cell>
          <cell r="F1699" t="str">
            <v>ROLOS / TRINCHAS / PINCÉIS / ESPÁTULAS</v>
          </cell>
          <cell r="G1699" t="str">
            <v>IMOBILIÁRIO</v>
          </cell>
        </row>
        <row r="1700">
          <cell r="A1700">
            <v>85048</v>
          </cell>
          <cell r="B1700" t="str">
            <v>TRINCHA MEDIA P/ PINTURA ESMALTE 4 ATLAS</v>
          </cell>
          <cell r="C1700" t="str">
            <v>319/9</v>
          </cell>
          <cell r="D1700" t="str">
            <v>ATLAS</v>
          </cell>
          <cell r="E1700">
            <v>30028</v>
          </cell>
          <cell r="F1700" t="str">
            <v>ROLOS / TRINCHAS / PINCÉIS / ESPÁTULAS</v>
          </cell>
          <cell r="G1700" t="str">
            <v>IMOBILIÁRIO</v>
          </cell>
        </row>
        <row r="1701">
          <cell r="A1701">
            <v>85036</v>
          </cell>
          <cell r="B1701" t="str">
            <v>TRINCHA P/ PINTURA PLUMATEK 1 1/2" ATLAS</v>
          </cell>
          <cell r="C1701" t="str">
            <v>AT315/4</v>
          </cell>
          <cell r="D1701" t="str">
            <v>ATLAS</v>
          </cell>
          <cell r="E1701">
            <v>30028</v>
          </cell>
          <cell r="F1701" t="str">
            <v>ROLOS / TRINCHAS / PINCÉIS / ESPÁTULAS</v>
          </cell>
          <cell r="G1701" t="str">
            <v>IMOBILIÁRIO</v>
          </cell>
        </row>
        <row r="1702">
          <cell r="A1702">
            <v>85035</v>
          </cell>
          <cell r="B1702" t="str">
            <v>TRINCHA P/ PINTURA PLUMATEK 1" ATLAS</v>
          </cell>
          <cell r="C1702" t="str">
            <v>AT315/3</v>
          </cell>
          <cell r="D1702" t="str">
            <v>ATLAS</v>
          </cell>
          <cell r="E1702">
            <v>30028</v>
          </cell>
          <cell r="F1702" t="str">
            <v>ROLOS / TRINCHAS / PINCÉIS / ESPÁTULAS</v>
          </cell>
          <cell r="G1702" t="str">
            <v>IMOBILIÁRIO</v>
          </cell>
        </row>
        <row r="1703">
          <cell r="A1703">
            <v>85033</v>
          </cell>
          <cell r="B1703" t="str">
            <v>TRINCHA P/ PINTURA PLUMATEK 1/2 ATLAS</v>
          </cell>
          <cell r="C1703" t="str">
            <v>AT315/1</v>
          </cell>
          <cell r="D1703" t="str">
            <v>ATLAS</v>
          </cell>
          <cell r="E1703">
            <v>30028</v>
          </cell>
          <cell r="F1703" t="str">
            <v>ROLOS / TRINCHAS / PINCÉIS / ESPÁTULAS</v>
          </cell>
          <cell r="G1703" t="str">
            <v>IMOBILIÁRIO</v>
          </cell>
        </row>
        <row r="1704">
          <cell r="A1704">
            <v>85038</v>
          </cell>
          <cell r="B1704" t="str">
            <v>TRINCHA P/ PINTURA PLUMATEK 2 1/2" ATLAS</v>
          </cell>
          <cell r="C1704" t="str">
            <v>AT315/6</v>
          </cell>
          <cell r="D1704" t="str">
            <v>ATLAS</v>
          </cell>
          <cell r="E1704">
            <v>30028</v>
          </cell>
          <cell r="F1704" t="str">
            <v>ROLOS / TRINCHAS / PINCÉIS / ESPÁTULAS</v>
          </cell>
          <cell r="G1704" t="str">
            <v>IMOBILIÁRIO</v>
          </cell>
        </row>
        <row r="1705">
          <cell r="A1705">
            <v>85037</v>
          </cell>
          <cell r="B1705" t="str">
            <v>TRINCHA P/ PINTURA PLUMATEK 2 ATLAS</v>
          </cell>
          <cell r="C1705" t="str">
            <v>AT315/5</v>
          </cell>
          <cell r="D1705" t="str">
            <v>ATLAS</v>
          </cell>
          <cell r="E1705">
            <v>30028</v>
          </cell>
          <cell r="F1705" t="str">
            <v>ROLOS / TRINCHAS / PINCÉIS / ESPÁTULAS</v>
          </cell>
          <cell r="G1705" t="str">
            <v>IMOBILIÁRIO</v>
          </cell>
        </row>
        <row r="1706">
          <cell r="A1706">
            <v>85039</v>
          </cell>
          <cell r="B1706" t="str">
            <v>TRINCHA P/ PINTURA PLUMATEK 3" ATLAS</v>
          </cell>
          <cell r="C1706" t="str">
            <v>AT315/7</v>
          </cell>
          <cell r="D1706" t="str">
            <v>ATLAS</v>
          </cell>
          <cell r="E1706">
            <v>30028</v>
          </cell>
          <cell r="F1706" t="str">
            <v>ROLOS / TRINCHAS / PINCÉIS / ESPÁTULAS</v>
          </cell>
          <cell r="G1706" t="str">
            <v>IMOBILIÁRIO</v>
          </cell>
        </row>
        <row r="1707">
          <cell r="A1707">
            <v>85034</v>
          </cell>
          <cell r="B1707" t="str">
            <v>TRINCHA P/ PINTURA PLUMATEK 3/4 ATLAS</v>
          </cell>
          <cell r="C1707" t="str">
            <v>AT315/2</v>
          </cell>
          <cell r="D1707" t="str">
            <v>ATLAS</v>
          </cell>
          <cell r="E1707">
            <v>30028</v>
          </cell>
          <cell r="F1707" t="str">
            <v>ROLOS / TRINCHAS / PINCÉIS / ESPÁTULAS</v>
          </cell>
          <cell r="G1707" t="str">
            <v>IMOBILIÁRIO</v>
          </cell>
        </row>
        <row r="1708">
          <cell r="A1708">
            <v>85040</v>
          </cell>
          <cell r="B1708" t="str">
            <v>TRINCHA P/ PINTURA PLUMATEK 4" ATLAS</v>
          </cell>
          <cell r="C1708" t="str">
            <v>AT315/9</v>
          </cell>
          <cell r="D1708" t="str">
            <v>ATLAS</v>
          </cell>
          <cell r="E1708">
            <v>30028</v>
          </cell>
          <cell r="F1708" t="str">
            <v>ROLOS / TRINCHAS / PINCÉIS / ESPÁTULAS</v>
          </cell>
          <cell r="G1708" t="str">
            <v>IMOBILIÁRIO</v>
          </cell>
        </row>
        <row r="1709">
          <cell r="A1709">
            <v>85497</v>
          </cell>
          <cell r="B1709" t="str">
            <v>TRINCHA PLAST 1 POL SIMPLES TIGRE</v>
          </cell>
          <cell r="D1709" t="str">
            <v>.</v>
          </cell>
          <cell r="E1709">
            <v>30028</v>
          </cell>
          <cell r="F1709" t="str">
            <v>ROLOS / TRINCHAS / PINCÉIS / ESPÁTULAS</v>
          </cell>
          <cell r="G1709" t="str">
            <v>IMOBILIÁRIO</v>
          </cell>
        </row>
        <row r="1710">
          <cell r="A1710">
            <v>84835</v>
          </cell>
          <cell r="B1710" t="str">
            <v>TRINCHA PRATICA 400 1 1/2 CASTOR</v>
          </cell>
          <cell r="C1710">
            <v>455</v>
          </cell>
          <cell r="D1710" t="str">
            <v>.</v>
          </cell>
          <cell r="E1710">
            <v>30028</v>
          </cell>
          <cell r="F1710" t="str">
            <v>ROLOS / TRINCHAS / PINCÉIS / ESPÁTULAS</v>
          </cell>
          <cell r="G1710" t="str">
            <v>IMOBILIÁRIO</v>
          </cell>
        </row>
        <row r="1711">
          <cell r="A1711">
            <v>84834</v>
          </cell>
          <cell r="B1711" t="str">
            <v>TRINCHA PRATICA 400 1" CASTOR</v>
          </cell>
          <cell r="C1711">
            <v>454</v>
          </cell>
          <cell r="D1711" t="str">
            <v>.</v>
          </cell>
          <cell r="E1711">
            <v>30028</v>
          </cell>
          <cell r="F1711" t="str">
            <v>ROLOS / TRINCHAS / PINCÉIS / ESPÁTULAS</v>
          </cell>
          <cell r="G1711" t="str">
            <v>IMOBILIÁRIO</v>
          </cell>
        </row>
        <row r="1712">
          <cell r="A1712">
            <v>84836</v>
          </cell>
          <cell r="B1712" t="str">
            <v>TRINCHA PRATICA 400 2 1/2 CASTOR</v>
          </cell>
          <cell r="C1712">
            <v>457</v>
          </cell>
          <cell r="D1712" t="str">
            <v>.</v>
          </cell>
          <cell r="E1712">
            <v>30028</v>
          </cell>
          <cell r="F1712" t="str">
            <v>ROLOS / TRINCHAS / PINCÉIS / ESPÁTULAS</v>
          </cell>
          <cell r="G1712" t="str">
            <v>IMOBILIÁRIO</v>
          </cell>
        </row>
        <row r="1713">
          <cell r="A1713">
            <v>84837</v>
          </cell>
          <cell r="B1713" t="str">
            <v>TRINCHA PRATICA 400 2 CASTOR</v>
          </cell>
          <cell r="C1713">
            <v>456</v>
          </cell>
          <cell r="D1713" t="str">
            <v>.</v>
          </cell>
          <cell r="E1713">
            <v>30028</v>
          </cell>
          <cell r="F1713" t="str">
            <v>ROLOS / TRINCHAS / PINCÉIS / ESPÁTULAS</v>
          </cell>
          <cell r="G1713" t="str">
            <v>IMOBILIÁRIO</v>
          </cell>
        </row>
        <row r="1714">
          <cell r="A1714">
            <v>84539</v>
          </cell>
          <cell r="B1714" t="str">
            <v>BRASCORTEN KIT BRASILUX</v>
          </cell>
          <cell r="C1714" t="str">
            <v>KT 152373506</v>
          </cell>
          <cell r="D1714" t="str">
            <v>BRASILUX</v>
          </cell>
          <cell r="E1714">
            <v>30027</v>
          </cell>
          <cell r="F1714" t="str">
            <v>KIT BRASCORTEN</v>
          </cell>
          <cell r="G1714" t="str">
            <v>IMOBILIÁRIO</v>
          </cell>
        </row>
        <row r="1715">
          <cell r="A1715">
            <v>84815</v>
          </cell>
          <cell r="B1715" t="str">
            <v>BRASCORTEN-LARANJA EFEITO 900ML BRASILUX</v>
          </cell>
          <cell r="C1715" t="str">
            <v>FO 150973501</v>
          </cell>
          <cell r="D1715" t="str">
            <v>BRASILUX</v>
          </cell>
          <cell r="E1715">
            <v>30027</v>
          </cell>
          <cell r="F1715" t="str">
            <v>KIT BRASCORTEN</v>
          </cell>
          <cell r="G1715" t="str">
            <v>IMOBILIÁRIO</v>
          </cell>
        </row>
        <row r="1716">
          <cell r="A1716">
            <v>84816</v>
          </cell>
          <cell r="B1716" t="str">
            <v>BRASCORTEN-PRATA EFEITO 900ML BRASILUX</v>
          </cell>
          <cell r="C1716" t="str">
            <v>FO 153500001</v>
          </cell>
          <cell r="D1716" t="str">
            <v>BRASILUX</v>
          </cell>
          <cell r="E1716">
            <v>30027</v>
          </cell>
          <cell r="F1716" t="str">
            <v>KIT BRASCORTEN</v>
          </cell>
          <cell r="G1716" t="str">
            <v>IMOBILIÁRIO</v>
          </cell>
        </row>
        <row r="1717">
          <cell r="A1717">
            <v>84814</v>
          </cell>
          <cell r="B1717" t="str">
            <v>BRASCORTEN-VERMELHO BASE 3,6L BRASILUX</v>
          </cell>
          <cell r="C1717" t="str">
            <v>FO 152373502</v>
          </cell>
          <cell r="D1717" t="str">
            <v>BRASILUX</v>
          </cell>
          <cell r="E1717">
            <v>30027</v>
          </cell>
          <cell r="F1717" t="str">
            <v>KIT BRASCORTEN</v>
          </cell>
          <cell r="G1717" t="str">
            <v>IMOBILIÁRIO</v>
          </cell>
        </row>
        <row r="1718">
          <cell r="A1718">
            <v>85502</v>
          </cell>
          <cell r="B1718" t="str">
            <v>TINTA TECNICA ESPECIAL - ALTA TEMP ALUMINIO 300ºC 3,6 LT</v>
          </cell>
          <cell r="C1718" t="str">
            <v>AL 150101002</v>
          </cell>
          <cell r="D1718" t="str">
            <v>BRASILUX</v>
          </cell>
          <cell r="E1718">
            <v>30027</v>
          </cell>
          <cell r="F1718" t="str">
            <v>KIT BRASCORTEN</v>
          </cell>
          <cell r="G1718" t="str">
            <v>IMOBILIÁRIO</v>
          </cell>
        </row>
        <row r="1719">
          <cell r="A1719">
            <v>85500</v>
          </cell>
          <cell r="B1719" t="str">
            <v>TINTA TECNICA ESPECIAL - ALTA TEMP ALUMINIO 300ºC 900 ML</v>
          </cell>
          <cell r="C1719" t="str">
            <v>AL 150101001</v>
          </cell>
          <cell r="D1719" t="str">
            <v>BRASILUX</v>
          </cell>
          <cell r="E1719">
            <v>30027</v>
          </cell>
          <cell r="F1719" t="str">
            <v>KIT BRASCORTEN</v>
          </cell>
          <cell r="G1719" t="str">
            <v>IMOBILIÁRIO</v>
          </cell>
        </row>
        <row r="1720">
          <cell r="A1720">
            <v>85503</v>
          </cell>
          <cell r="B1720" t="str">
            <v>TINTA TECNICA ESPECIAL - ALTA TEMP PRETO FOSCO 400ºC 3,6 LT</v>
          </cell>
          <cell r="C1720" t="str">
            <v>AL 151500102</v>
          </cell>
          <cell r="D1720" t="str">
            <v>BRASILUX</v>
          </cell>
          <cell r="E1720">
            <v>30027</v>
          </cell>
          <cell r="F1720" t="str">
            <v>KIT BRASCORTEN</v>
          </cell>
          <cell r="G1720" t="str">
            <v>IMOBILIÁRIO</v>
          </cell>
        </row>
        <row r="1721">
          <cell r="A1721">
            <v>85501</v>
          </cell>
          <cell r="B1721" t="str">
            <v>TINTA TECNICA ESPECIAL - ALTA TEMP PRETO FOSCO 400ºC 900 ML</v>
          </cell>
          <cell r="C1721" t="str">
            <v>AL 151500101</v>
          </cell>
          <cell r="D1721" t="str">
            <v>BRASILUX</v>
          </cell>
          <cell r="E1721">
            <v>30027</v>
          </cell>
          <cell r="F1721" t="str">
            <v>KIT BRASCORTEN</v>
          </cell>
          <cell r="G1721" t="str">
            <v>IMOBILIÁRIO</v>
          </cell>
        </row>
        <row r="1722">
          <cell r="A1722">
            <v>84019</v>
          </cell>
          <cell r="B1722" t="str">
            <v>LIXA SECO 230U MASSA/MADEIRA Nº 060 3M</v>
          </cell>
          <cell r="C1722" t="str">
            <v>HB004602742</v>
          </cell>
          <cell r="D1722" t="str">
            <v>3M</v>
          </cell>
          <cell r="E1722">
            <v>30026</v>
          </cell>
          <cell r="F1722" t="str">
            <v>LIXA MASSA  /MADEIRA / PAREDE</v>
          </cell>
          <cell r="G1722" t="str">
            <v>IMOBILIÁRIO</v>
          </cell>
        </row>
        <row r="1723">
          <cell r="A1723">
            <v>84020</v>
          </cell>
          <cell r="B1723" t="str">
            <v>LIXA SECO 230U MASSA/MADEIRA Nº 080 3M</v>
          </cell>
          <cell r="C1723" t="str">
            <v>HB004602759</v>
          </cell>
          <cell r="D1723" t="str">
            <v>3M</v>
          </cell>
          <cell r="E1723">
            <v>30026</v>
          </cell>
          <cell r="F1723" t="str">
            <v>LIXA MASSA  /MADEIRA / PAREDE</v>
          </cell>
          <cell r="G1723" t="str">
            <v>IMOBILIÁRIO</v>
          </cell>
        </row>
        <row r="1724">
          <cell r="A1724">
            <v>84015</v>
          </cell>
          <cell r="B1724" t="str">
            <v>LIXA SECO 230U MASSA/MADEIRA Nº 100 3M</v>
          </cell>
          <cell r="C1724" t="str">
            <v>HB004602809</v>
          </cell>
          <cell r="D1724" t="str">
            <v>3M</v>
          </cell>
          <cell r="E1724">
            <v>30026</v>
          </cell>
          <cell r="F1724" t="str">
            <v>LIXA MASSA  /MADEIRA / PAREDE</v>
          </cell>
          <cell r="G1724" t="str">
            <v>IMOBILIÁRIO</v>
          </cell>
        </row>
        <row r="1725">
          <cell r="A1725">
            <v>84016</v>
          </cell>
          <cell r="B1725" t="str">
            <v>LIXA SECO 230U MASSA/MADEIRA Nº 120 3M</v>
          </cell>
          <cell r="C1725" t="str">
            <v>HB004602791</v>
          </cell>
          <cell r="D1725" t="str">
            <v>3M</v>
          </cell>
          <cell r="E1725">
            <v>30026</v>
          </cell>
          <cell r="F1725" t="str">
            <v>LIXA MASSA  /MADEIRA / PAREDE</v>
          </cell>
          <cell r="G1725" t="str">
            <v>IMOBILIÁRIO</v>
          </cell>
        </row>
        <row r="1726">
          <cell r="A1726">
            <v>84021</v>
          </cell>
          <cell r="B1726" t="str">
            <v>LIXA SECO 230U MASSA/MADEIRA Nº 150 3M</v>
          </cell>
          <cell r="C1726" t="str">
            <v>HB004602783</v>
          </cell>
          <cell r="D1726" t="str">
            <v>3M</v>
          </cell>
          <cell r="E1726">
            <v>30026</v>
          </cell>
          <cell r="F1726" t="str">
            <v>LIXA MASSA  /MADEIRA / PAREDE</v>
          </cell>
          <cell r="G1726" t="str">
            <v>IMOBILIÁRIO</v>
          </cell>
        </row>
        <row r="1727">
          <cell r="A1727">
            <v>84017</v>
          </cell>
          <cell r="B1727" t="str">
            <v>LIXA SECO 230U MASSA/MADEIRA Nº 180 3M</v>
          </cell>
          <cell r="C1727" t="str">
            <v>HB004602775</v>
          </cell>
          <cell r="D1727" t="str">
            <v>3M</v>
          </cell>
          <cell r="E1727">
            <v>30026</v>
          </cell>
          <cell r="F1727" t="str">
            <v>LIXA MASSA  /MADEIRA / PAREDE</v>
          </cell>
          <cell r="G1727" t="str">
            <v>IMOBILIÁRIO</v>
          </cell>
        </row>
        <row r="1728">
          <cell r="A1728">
            <v>84018</v>
          </cell>
          <cell r="B1728" t="str">
            <v>LIXA SECO 230U MASSA/MADEIRA Nº 220 3M</v>
          </cell>
          <cell r="C1728" t="str">
            <v>HB004602767</v>
          </cell>
          <cell r="D1728" t="str">
            <v>3M</v>
          </cell>
          <cell r="E1728">
            <v>30026</v>
          </cell>
          <cell r="F1728" t="str">
            <v>LIXA MASSA  /MADEIRA / PAREDE</v>
          </cell>
          <cell r="G1728" t="str">
            <v>IMOBILIÁRIO</v>
          </cell>
        </row>
        <row r="1729">
          <cell r="A1729">
            <v>84413</v>
          </cell>
          <cell r="B1729" t="str">
            <v>ROLO LIXA MASSA  A257 225X45000 C0080</v>
          </cell>
          <cell r="C1729">
            <v>5539503059</v>
          </cell>
          <cell r="D1729" t="str">
            <v>NORTON</v>
          </cell>
          <cell r="E1729">
            <v>30026</v>
          </cell>
          <cell r="F1729" t="str">
            <v>LIXA MASSA  /MADEIRA / PAREDE</v>
          </cell>
          <cell r="G1729" t="str">
            <v>IMOBILIÁRIO</v>
          </cell>
        </row>
        <row r="1730">
          <cell r="A1730">
            <v>84414</v>
          </cell>
          <cell r="B1730" t="str">
            <v>ROLO LIXA MASSA  A257 225X45000 C0150</v>
          </cell>
          <cell r="C1730">
            <v>5539503069</v>
          </cell>
          <cell r="D1730" t="str">
            <v>NORTON</v>
          </cell>
          <cell r="E1730">
            <v>30026</v>
          </cell>
          <cell r="F1730" t="str">
            <v>LIXA MASSA  /MADEIRA / PAREDE</v>
          </cell>
          <cell r="G1730" t="str">
            <v>IMOBILIÁRIO</v>
          </cell>
        </row>
        <row r="1731">
          <cell r="A1731">
            <v>84415</v>
          </cell>
          <cell r="B1731" t="str">
            <v>ROLO LIXA MASSA  A257 225X45000 C0180</v>
          </cell>
          <cell r="C1731">
            <v>5539503071</v>
          </cell>
          <cell r="D1731" t="str">
            <v>NORTON</v>
          </cell>
          <cell r="E1731">
            <v>30026</v>
          </cell>
          <cell r="F1731" t="str">
            <v>LIXA MASSA  /MADEIRA / PAREDE</v>
          </cell>
          <cell r="G1731" t="str">
            <v>IMOBILIÁRIO</v>
          </cell>
        </row>
        <row r="1732">
          <cell r="A1732">
            <v>84416</v>
          </cell>
          <cell r="B1732" t="str">
            <v>ROLO LIXA MASSA  A257 225X45000 C0220</v>
          </cell>
          <cell r="C1732">
            <v>5539504883</v>
          </cell>
          <cell r="D1732" t="str">
            <v>NORTON</v>
          </cell>
          <cell r="E1732">
            <v>30026</v>
          </cell>
          <cell r="F1732" t="str">
            <v>LIXA MASSA  /MADEIRA / PAREDE</v>
          </cell>
          <cell r="G1732" t="str">
            <v>IMOBILIÁRIO</v>
          </cell>
        </row>
        <row r="1733">
          <cell r="A1733">
            <v>85457</v>
          </cell>
          <cell r="B1733" t="str">
            <v>LIXA FERRO K246 225X275 Nº40 NORTON</v>
          </cell>
          <cell r="C1733">
            <v>5539503244</v>
          </cell>
          <cell r="D1733" t="str">
            <v>NORTON</v>
          </cell>
          <cell r="E1733">
            <v>30025</v>
          </cell>
          <cell r="F1733" t="str">
            <v>LIXA FERRO</v>
          </cell>
          <cell r="G1733" t="str">
            <v>IMOBILIÁRIO</v>
          </cell>
        </row>
        <row r="1734">
          <cell r="A1734">
            <v>10257</v>
          </cell>
          <cell r="B1734" t="str">
            <v>LIXA FERRO N.36 NORTON</v>
          </cell>
          <cell r="C1734">
            <v>66261199783</v>
          </cell>
          <cell r="D1734" t="str">
            <v>NORTON</v>
          </cell>
          <cell r="E1734">
            <v>30025</v>
          </cell>
          <cell r="F1734" t="str">
            <v>LIXA FERRO</v>
          </cell>
          <cell r="G1734" t="str">
            <v>IMOBILIÁRIO</v>
          </cell>
        </row>
        <row r="1735">
          <cell r="A1735">
            <v>83992</v>
          </cell>
          <cell r="B1735" t="str">
            <v>LIXA FERRO Nº 080 3M</v>
          </cell>
          <cell r="C1735" t="str">
            <v>HB004602817</v>
          </cell>
          <cell r="D1735" t="str">
            <v>3M</v>
          </cell>
          <cell r="E1735">
            <v>30025</v>
          </cell>
          <cell r="F1735" t="str">
            <v>LIXA FERRO</v>
          </cell>
          <cell r="G1735" t="str">
            <v>IMOBILIÁRIO</v>
          </cell>
        </row>
        <row r="1736">
          <cell r="A1736">
            <v>84838</v>
          </cell>
          <cell r="B1736" t="str">
            <v>LIXA FERRO Nº 080 HEAVY DUTY</v>
          </cell>
          <cell r="C1736">
            <v>1</v>
          </cell>
          <cell r="D1736" t="str">
            <v>HEAVY DUTY</v>
          </cell>
          <cell r="E1736">
            <v>30025</v>
          </cell>
          <cell r="F1736" t="str">
            <v>LIXA FERRO</v>
          </cell>
          <cell r="G1736" t="str">
            <v>IMOBILIÁRIO</v>
          </cell>
        </row>
        <row r="1737">
          <cell r="A1737">
            <v>84014</v>
          </cell>
          <cell r="B1737" t="str">
            <v>LIXA FERRO Nº 100 3M</v>
          </cell>
          <cell r="C1737" t="str">
            <v>HB004602684</v>
          </cell>
          <cell r="D1737" t="str">
            <v>3M</v>
          </cell>
          <cell r="E1737">
            <v>30025</v>
          </cell>
          <cell r="F1737" t="str">
            <v>LIXA FERRO</v>
          </cell>
          <cell r="G1737" t="str">
            <v>IMOBILIÁRIO</v>
          </cell>
        </row>
        <row r="1738">
          <cell r="A1738">
            <v>84839</v>
          </cell>
          <cell r="B1738" t="str">
            <v>LIXA FERRO Nº 100 HEAVY DUTY</v>
          </cell>
          <cell r="C1738">
            <v>100</v>
          </cell>
          <cell r="D1738" t="str">
            <v>HEAVY DUTY</v>
          </cell>
          <cell r="E1738">
            <v>30025</v>
          </cell>
          <cell r="F1738" t="str">
            <v>LIXA FERRO</v>
          </cell>
          <cell r="G1738" t="str">
            <v>IMOBILIÁRIO</v>
          </cell>
        </row>
        <row r="1739">
          <cell r="A1739">
            <v>84847</v>
          </cell>
          <cell r="B1739" t="str">
            <v>LIXA FERRO Nº 100 TYROLIT</v>
          </cell>
          <cell r="C1739">
            <v>22952</v>
          </cell>
          <cell r="D1739" t="str">
            <v>.</v>
          </cell>
          <cell r="E1739">
            <v>30025</v>
          </cell>
          <cell r="F1739" t="str">
            <v>LIXA FERRO</v>
          </cell>
          <cell r="G1739" t="str">
            <v>IMOBILIÁRIO</v>
          </cell>
        </row>
        <row r="1740">
          <cell r="A1740">
            <v>84009</v>
          </cell>
          <cell r="B1740" t="str">
            <v>LIXA FERRO Nº 120 3M</v>
          </cell>
          <cell r="C1740" t="str">
            <v>HB004602700</v>
          </cell>
          <cell r="D1740" t="str">
            <v>3M</v>
          </cell>
          <cell r="E1740">
            <v>30025</v>
          </cell>
          <cell r="F1740" t="str">
            <v>LIXA FERRO</v>
          </cell>
          <cell r="G1740" t="str">
            <v>IMOBILIÁRIO</v>
          </cell>
        </row>
        <row r="1741">
          <cell r="A1741">
            <v>84010</v>
          </cell>
          <cell r="B1741" t="str">
            <v>LIXA FERRO Nº 150 3M</v>
          </cell>
          <cell r="C1741" t="str">
            <v>HB004602718</v>
          </cell>
          <cell r="D1741" t="str">
            <v>3M</v>
          </cell>
          <cell r="E1741">
            <v>30025</v>
          </cell>
          <cell r="F1741" t="str">
            <v>LIXA FERRO</v>
          </cell>
          <cell r="G1741" t="str">
            <v>IMOBILIÁRIO</v>
          </cell>
        </row>
        <row r="1742">
          <cell r="A1742">
            <v>84011</v>
          </cell>
          <cell r="B1742" t="str">
            <v>LIXA FERRO Nº 180 3M</v>
          </cell>
          <cell r="C1742" t="str">
            <v>HB004602726</v>
          </cell>
          <cell r="D1742" t="str">
            <v>3M</v>
          </cell>
          <cell r="E1742">
            <v>30025</v>
          </cell>
          <cell r="F1742" t="str">
            <v>LIXA FERRO</v>
          </cell>
          <cell r="G1742" t="str">
            <v>IMOBILIÁRIO</v>
          </cell>
        </row>
        <row r="1743">
          <cell r="A1743">
            <v>84012</v>
          </cell>
          <cell r="B1743" t="str">
            <v>LIXA FERRO Nº 220 3M</v>
          </cell>
          <cell r="C1743" t="str">
            <v>HB004602734</v>
          </cell>
          <cell r="D1743" t="str">
            <v>3M</v>
          </cell>
          <cell r="E1743">
            <v>30025</v>
          </cell>
          <cell r="F1743" t="str">
            <v>LIXA FERRO</v>
          </cell>
          <cell r="G1743" t="str">
            <v>IMOBILIÁRIO</v>
          </cell>
        </row>
        <row r="1744">
          <cell r="A1744">
            <v>20577</v>
          </cell>
          <cell r="B1744" t="str">
            <v>LIXA FERRO Nº 36 3M</v>
          </cell>
          <cell r="C1744" t="str">
            <v>HB004602650</v>
          </cell>
          <cell r="D1744" t="str">
            <v>3M</v>
          </cell>
          <cell r="E1744">
            <v>30025</v>
          </cell>
          <cell r="F1744" t="str">
            <v>LIXA FERRO</v>
          </cell>
          <cell r="G1744" t="str">
            <v>IMOBILIÁRIO</v>
          </cell>
        </row>
        <row r="1745">
          <cell r="A1745">
            <v>84013</v>
          </cell>
          <cell r="B1745" t="str">
            <v>LIXA FERRO Nº 40 3M</v>
          </cell>
          <cell r="C1745" t="str">
            <v>HB004602692</v>
          </cell>
          <cell r="D1745" t="str">
            <v>3M</v>
          </cell>
          <cell r="E1745">
            <v>30025</v>
          </cell>
          <cell r="F1745" t="str">
            <v>LIXA FERRO</v>
          </cell>
          <cell r="G1745" t="str">
            <v>IMOBILIÁRIO</v>
          </cell>
        </row>
        <row r="1746">
          <cell r="A1746">
            <v>85280</v>
          </cell>
          <cell r="B1746" t="str">
            <v>CATALISADOR 045 PU ALIFATICO 900ML BRASILUX</v>
          </cell>
          <cell r="C1746" t="str">
            <v>CT 295004501</v>
          </cell>
          <cell r="D1746" t="str">
            <v>BRASILUX</v>
          </cell>
          <cell r="E1746">
            <v>30024</v>
          </cell>
          <cell r="F1746" t="str">
            <v>CATALISADORES INDIVIDUAIS</v>
          </cell>
          <cell r="G1746" t="str">
            <v>IMOBILIÁRIO</v>
          </cell>
        </row>
        <row r="1747">
          <cell r="A1747">
            <v>84026</v>
          </cell>
          <cell r="B1747" t="str">
            <v>CATALISADOR P/ ESMALTE SINTETICO 150ML BRASILUX</v>
          </cell>
          <cell r="C1747" t="str">
            <v>CT 295000210</v>
          </cell>
          <cell r="D1747" t="str">
            <v>BRASILUX</v>
          </cell>
          <cell r="E1747">
            <v>30024</v>
          </cell>
          <cell r="F1747" t="str">
            <v>CATALISADORES INDIVIDUAIS</v>
          </cell>
          <cell r="G1747" t="str">
            <v>IMOBILIÁRIO</v>
          </cell>
        </row>
        <row r="1748">
          <cell r="A1748">
            <v>85241</v>
          </cell>
          <cell r="B1748" t="str">
            <v>CATALISADOR P/ ESMALTE SINTETICO 900ML BRASILUX</v>
          </cell>
          <cell r="C1748" t="str">
            <v>CT 295000201</v>
          </cell>
          <cell r="D1748" t="str">
            <v>BRASILUX</v>
          </cell>
          <cell r="E1748">
            <v>30024</v>
          </cell>
          <cell r="F1748" t="str">
            <v>CATALISADORES INDIVIDUAIS</v>
          </cell>
          <cell r="G1748" t="str">
            <v>IMOBILIÁRIO</v>
          </cell>
        </row>
        <row r="1749">
          <cell r="A1749">
            <v>10336</v>
          </cell>
          <cell r="B1749" t="str">
            <v>CATALISADOR PARA SINTETICO 150ML  ANJO</v>
          </cell>
          <cell r="C1749">
            <v>10843</v>
          </cell>
          <cell r="D1749" t="str">
            <v>ANJO</v>
          </cell>
          <cell r="E1749">
            <v>30024</v>
          </cell>
          <cell r="F1749" t="str">
            <v>CATALISADORES INDIVIDUAIS</v>
          </cell>
          <cell r="G1749" t="str">
            <v>IMOBILIÁRIO</v>
          </cell>
        </row>
        <row r="1750">
          <cell r="A1750">
            <v>84778</v>
          </cell>
          <cell r="B1750" t="str">
            <v>CATALISADOR PU ALIFATICO - CAT. ALIFATICO 900 ML</v>
          </cell>
          <cell r="C1750" t="str">
            <v>CT 295000101</v>
          </cell>
          <cell r="D1750" t="str">
            <v>BRASILUX</v>
          </cell>
          <cell r="E1750">
            <v>30024</v>
          </cell>
          <cell r="F1750" t="str">
            <v>CATALISADORES INDIVIDUAIS</v>
          </cell>
          <cell r="G1750" t="str">
            <v>IMOBILIÁRIO</v>
          </cell>
        </row>
        <row r="1751">
          <cell r="A1751">
            <v>84023</v>
          </cell>
          <cell r="B1751" t="str">
            <v>CATALISADOR PU ALIFATICO - CAT. ALIFATICO PARA VIDRO (900 ML)</v>
          </cell>
          <cell r="C1751" t="str">
            <v>CT 295004201</v>
          </cell>
          <cell r="D1751" t="str">
            <v>BRASILUX</v>
          </cell>
          <cell r="E1751">
            <v>30024</v>
          </cell>
          <cell r="F1751" t="str">
            <v>CATALISADORES INDIVIDUAIS</v>
          </cell>
          <cell r="G1751" t="str">
            <v>IMOBILIÁRIO</v>
          </cell>
        </row>
        <row r="1752">
          <cell r="A1752">
            <v>84048</v>
          </cell>
          <cell r="B1752" t="str">
            <v>CATALISADOR PU ALIFATICO - CAT. PU ALIFATICO P/ ROLO (900 ML)</v>
          </cell>
          <cell r="C1752" t="str">
            <v>CT 295002801</v>
          </cell>
          <cell r="D1752" t="str">
            <v>BRASILUX</v>
          </cell>
          <cell r="E1752">
            <v>30024</v>
          </cell>
          <cell r="F1752" t="str">
            <v>CATALISADORES INDIVIDUAIS</v>
          </cell>
          <cell r="G1752" t="str">
            <v>IMOBILIÁRIO</v>
          </cell>
        </row>
        <row r="1753">
          <cell r="A1753">
            <v>85474</v>
          </cell>
          <cell r="B1753" t="str">
            <v>CATALISADOR PU ALIFATICO - CATALISADOR 045 150 ML</v>
          </cell>
          <cell r="C1753" t="str">
            <v>CT 295004510</v>
          </cell>
          <cell r="D1753" t="str">
            <v>BRASILUX</v>
          </cell>
          <cell r="E1753">
            <v>30024</v>
          </cell>
          <cell r="F1753" t="str">
            <v>CATALISADORES INDIVIDUAIS</v>
          </cell>
          <cell r="G1753" t="str">
            <v>IMOBILIÁRIO</v>
          </cell>
        </row>
        <row r="1754">
          <cell r="A1754">
            <v>84933</v>
          </cell>
          <cell r="B1754" t="str">
            <v>CATALISADOR PU ALIFATICO 150ML</v>
          </cell>
          <cell r="C1754" t="str">
            <v>CT 295000410</v>
          </cell>
          <cell r="D1754" t="str">
            <v>BRASILUX</v>
          </cell>
          <cell r="E1754">
            <v>30024</v>
          </cell>
          <cell r="F1754" t="str">
            <v>CATALISADORES INDIVIDUAIS</v>
          </cell>
          <cell r="G1754" t="str">
            <v>IMOBILIÁRIO</v>
          </cell>
        </row>
        <row r="1755">
          <cell r="A1755">
            <v>84804</v>
          </cell>
          <cell r="B1755" t="str">
            <v>CATALISADOR PU ALIFATICO 225ML</v>
          </cell>
          <cell r="C1755" t="str">
            <v>CT 295000411</v>
          </cell>
          <cell r="D1755" t="str">
            <v>BRASILUX</v>
          </cell>
          <cell r="E1755">
            <v>30024</v>
          </cell>
          <cell r="F1755" t="str">
            <v>CATALISADORES INDIVIDUAIS</v>
          </cell>
          <cell r="G1755" t="str">
            <v>IMOBILIÁRIO</v>
          </cell>
        </row>
        <row r="1756">
          <cell r="A1756">
            <v>85082</v>
          </cell>
          <cell r="B1756" t="str">
            <v>CATALISADOR PU ALIFATICO 450ML</v>
          </cell>
          <cell r="C1756" t="str">
            <v>CT 295000415</v>
          </cell>
          <cell r="D1756" t="str">
            <v>BRASILUX</v>
          </cell>
          <cell r="E1756">
            <v>30024</v>
          </cell>
          <cell r="F1756" t="str">
            <v>CATALISADORES INDIVIDUAIS</v>
          </cell>
          <cell r="G1756" t="str">
            <v>IMOBILIÁRIO</v>
          </cell>
        </row>
        <row r="1757">
          <cell r="A1757">
            <v>84866</v>
          </cell>
          <cell r="B1757" t="str">
            <v>CATALISADOR PU ALIFATICO 900 ML</v>
          </cell>
          <cell r="C1757" t="str">
            <v>CT 295000401</v>
          </cell>
          <cell r="D1757" t="str">
            <v>BRASILUX</v>
          </cell>
          <cell r="E1757">
            <v>30024</v>
          </cell>
          <cell r="F1757" t="str">
            <v>CATALISADORES INDIVIDUAIS</v>
          </cell>
          <cell r="G1757" t="str">
            <v>IMOBILIÁRIO</v>
          </cell>
        </row>
        <row r="1758">
          <cell r="A1758">
            <v>84458</v>
          </cell>
          <cell r="B1758" t="str">
            <v>BASE TEXTURA DESIGN 25KG BRASILUX</v>
          </cell>
          <cell r="C1758" t="str">
            <v>TX 460000290</v>
          </cell>
          <cell r="D1758" t="str">
            <v>BRASILUX</v>
          </cell>
          <cell r="E1758">
            <v>30023</v>
          </cell>
          <cell r="F1758" t="str">
            <v>TEXTURA</v>
          </cell>
          <cell r="G1758" t="str">
            <v>IMOBILIÁRIO</v>
          </cell>
        </row>
        <row r="1759">
          <cell r="A1759">
            <v>84924</v>
          </cell>
          <cell r="B1759" t="str">
            <v>BASE TEXTURA RISCADA 25KG BRASILUX</v>
          </cell>
          <cell r="C1759" t="str">
            <v>TX 460500190</v>
          </cell>
          <cell r="D1759" t="str">
            <v>BRASILUX</v>
          </cell>
          <cell r="E1759">
            <v>30023</v>
          </cell>
          <cell r="F1759" t="str">
            <v>TEXTURA</v>
          </cell>
          <cell r="G1759" t="str">
            <v>IMOBILIÁRIO</v>
          </cell>
        </row>
        <row r="1760">
          <cell r="A1760">
            <v>85727</v>
          </cell>
          <cell r="B1760" t="str">
            <v>BORRACHA LIQUIDA PREMIUM 18L MANIPULADA</v>
          </cell>
          <cell r="C1760">
            <v>100177</v>
          </cell>
          <cell r="D1760" t="str">
            <v>DÁVILA  INOVE</v>
          </cell>
          <cell r="E1760">
            <v>30023</v>
          </cell>
          <cell r="F1760" t="str">
            <v>TEXTURA</v>
          </cell>
          <cell r="G1760" t="str">
            <v>IMOBILIÁRIO</v>
          </cell>
        </row>
        <row r="1761">
          <cell r="A1761">
            <v>85095</v>
          </cell>
          <cell r="B1761" t="str">
            <v>BRAMATTO-BASE REVESTIMENTO 25KG LATA BRASILUX</v>
          </cell>
          <cell r="C1761" t="str">
            <v>TC 460000390</v>
          </cell>
          <cell r="D1761" t="str">
            <v>BRASILUX</v>
          </cell>
          <cell r="E1761">
            <v>30023</v>
          </cell>
          <cell r="F1761" t="str">
            <v>TEXTURA</v>
          </cell>
          <cell r="G1761" t="str">
            <v>IMOBILIÁRIO</v>
          </cell>
        </row>
        <row r="1762">
          <cell r="A1762">
            <v>85099</v>
          </cell>
          <cell r="B1762" t="str">
            <v>BRAMATTO-BASE REVESTIMENTO 5,5KG BRASILUX</v>
          </cell>
          <cell r="C1762" t="str">
            <v>TC 460000346</v>
          </cell>
          <cell r="D1762" t="str">
            <v>BRASILUX</v>
          </cell>
          <cell r="E1762">
            <v>30023</v>
          </cell>
          <cell r="F1762" t="str">
            <v>TEXTURA</v>
          </cell>
          <cell r="G1762" t="str">
            <v>IMOBILIÁRIO</v>
          </cell>
        </row>
        <row r="1763">
          <cell r="A1763">
            <v>85293</v>
          </cell>
          <cell r="B1763" t="str">
            <v>BRAMATTO-BRANCO LUA NOVA 25KG BALDE BRASILUX</v>
          </cell>
          <cell r="C1763" t="str">
            <v>TC 460564590</v>
          </cell>
          <cell r="D1763" t="str">
            <v>BRASILUX</v>
          </cell>
          <cell r="E1763">
            <v>30023</v>
          </cell>
          <cell r="F1763" t="str">
            <v>TEXTURA</v>
          </cell>
          <cell r="G1763" t="str">
            <v>IMOBILIÁRIO</v>
          </cell>
        </row>
        <row r="1764">
          <cell r="A1764">
            <v>85096</v>
          </cell>
          <cell r="B1764" t="str">
            <v>BRAMATTO-CINZA NANQUIM 25KG BALDE BRASILUX</v>
          </cell>
          <cell r="C1764" t="str">
            <v>TC 460635590</v>
          </cell>
          <cell r="D1764" t="str">
            <v>BRASILUX</v>
          </cell>
          <cell r="E1764">
            <v>30023</v>
          </cell>
          <cell r="F1764" t="str">
            <v>TEXTURA</v>
          </cell>
          <cell r="G1764" t="str">
            <v>IMOBILIÁRIO</v>
          </cell>
        </row>
        <row r="1765">
          <cell r="A1765">
            <v>85100</v>
          </cell>
          <cell r="B1765" t="str">
            <v>BRAMATTO-CINZA NANQUIM 5,5KG BRASILUX</v>
          </cell>
          <cell r="C1765" t="str">
            <v>TC 460635546</v>
          </cell>
          <cell r="D1765" t="str">
            <v>BRASILUX</v>
          </cell>
          <cell r="E1765">
            <v>30023</v>
          </cell>
          <cell r="F1765" t="str">
            <v>TEXTURA</v>
          </cell>
          <cell r="G1765" t="str">
            <v>IMOBILIÁRIO</v>
          </cell>
        </row>
        <row r="1766">
          <cell r="A1766">
            <v>85309</v>
          </cell>
          <cell r="B1766" t="str">
            <v>BRAMATTO-DESENHO DE GRAFITE 25KG BALDE BRASILUX</v>
          </cell>
          <cell r="C1766" t="str">
            <v>TC 460680390</v>
          </cell>
          <cell r="D1766" t="str">
            <v>BRASILUX</v>
          </cell>
          <cell r="E1766">
            <v>30023</v>
          </cell>
          <cell r="F1766" t="str">
            <v>TEXTURA</v>
          </cell>
          <cell r="G1766" t="str">
            <v>IMOBILIÁRIO</v>
          </cell>
        </row>
        <row r="1767">
          <cell r="A1767">
            <v>85097</v>
          </cell>
          <cell r="B1767" t="str">
            <v>BRAMATTO-PRATA 25KG BALDE BRASILUX</v>
          </cell>
          <cell r="C1767" t="str">
            <v>TC 460698890</v>
          </cell>
          <cell r="D1767" t="str">
            <v>BRASILUX</v>
          </cell>
          <cell r="E1767">
            <v>30023</v>
          </cell>
          <cell r="F1767" t="str">
            <v>TEXTURA</v>
          </cell>
          <cell r="G1767" t="str">
            <v>IMOBILIÁRIO</v>
          </cell>
        </row>
        <row r="1768">
          <cell r="A1768">
            <v>85101</v>
          </cell>
          <cell r="B1768" t="str">
            <v>BRAMATTO-PRATA 5,5KG BRASILUX</v>
          </cell>
          <cell r="C1768" t="str">
            <v>TC 460698846</v>
          </cell>
          <cell r="D1768" t="str">
            <v>BRASILUX</v>
          </cell>
          <cell r="E1768">
            <v>30023</v>
          </cell>
          <cell r="F1768" t="str">
            <v>TEXTURA</v>
          </cell>
          <cell r="G1768" t="str">
            <v>IMOBILIÁRIO</v>
          </cell>
        </row>
        <row r="1769">
          <cell r="A1769">
            <v>85098</v>
          </cell>
          <cell r="B1769" t="str">
            <v>BRAMATTO-PRETO 25KG BALDE BRASILUX</v>
          </cell>
          <cell r="C1769" t="str">
            <v>TC 461500190</v>
          </cell>
          <cell r="D1769" t="str">
            <v>BRASILUX</v>
          </cell>
          <cell r="E1769">
            <v>30023</v>
          </cell>
          <cell r="F1769" t="str">
            <v>TEXTURA</v>
          </cell>
          <cell r="G1769" t="str">
            <v>IMOBILIÁRIO</v>
          </cell>
        </row>
        <row r="1770">
          <cell r="A1770">
            <v>85102</v>
          </cell>
          <cell r="B1770" t="str">
            <v>BRAMATTO-PRETO 5,5KG BRASILUX</v>
          </cell>
          <cell r="C1770" t="str">
            <v>TC 461500146</v>
          </cell>
          <cell r="D1770" t="str">
            <v>BRASILUX</v>
          </cell>
          <cell r="E1770">
            <v>30023</v>
          </cell>
          <cell r="F1770" t="str">
            <v>TEXTURA</v>
          </cell>
          <cell r="G1770" t="str">
            <v>IMOBILIÁRIO</v>
          </cell>
        </row>
        <row r="1771">
          <cell r="A1771">
            <v>85872</v>
          </cell>
          <cell r="B1771" t="str">
            <v>CR GEL TEXTURAS LOC BASE FT 3.3KG</v>
          </cell>
          <cell r="C1771">
            <v>5202589</v>
          </cell>
          <cell r="D1771" t="str">
            <v>CORAL</v>
          </cell>
          <cell r="E1771">
            <v>30023</v>
          </cell>
          <cell r="F1771" t="str">
            <v>TEXTURA</v>
          </cell>
          <cell r="G1771" t="str">
            <v>IMOBILIÁRIO</v>
          </cell>
        </row>
        <row r="1772">
          <cell r="A1772">
            <v>85871</v>
          </cell>
          <cell r="B1772" t="str">
            <v>CR GEL TEXTURAS LOC BASE PM 0.8KG</v>
          </cell>
          <cell r="C1772">
            <v>5202588</v>
          </cell>
          <cell r="D1772" t="str">
            <v>CORAL</v>
          </cell>
          <cell r="E1772">
            <v>30023</v>
          </cell>
          <cell r="F1772" t="str">
            <v>TEXTURA</v>
          </cell>
          <cell r="G1772" t="str">
            <v>IMOBILIÁRIO</v>
          </cell>
        </row>
        <row r="1773">
          <cell r="A1773">
            <v>85870</v>
          </cell>
          <cell r="B1773" t="str">
            <v>CR GEL TEXTURAS LOC BASE PM 3.3KG</v>
          </cell>
          <cell r="C1773">
            <v>5202587</v>
          </cell>
          <cell r="D1773" t="str">
            <v>CORAL</v>
          </cell>
          <cell r="E1773">
            <v>30023</v>
          </cell>
          <cell r="F1773" t="str">
            <v>TEXTURA</v>
          </cell>
          <cell r="G1773" t="str">
            <v>IMOBILIÁRIO</v>
          </cell>
        </row>
        <row r="1774">
          <cell r="A1774">
            <v>86543</v>
          </cell>
          <cell r="B1774" t="str">
            <v>CR TEXTURA ACRILICA BRANCO 25KG</v>
          </cell>
          <cell r="C1774">
            <v>5313622</v>
          </cell>
          <cell r="D1774" t="str">
            <v>CORAL</v>
          </cell>
          <cell r="E1774">
            <v>30023</v>
          </cell>
          <cell r="F1774" t="str">
            <v>TEXTURA</v>
          </cell>
          <cell r="G1774" t="str">
            <v>IMOBILIÁRIO</v>
          </cell>
        </row>
        <row r="1775">
          <cell r="A1775">
            <v>86709</v>
          </cell>
          <cell r="B1775" t="str">
            <v>CR TEXTURA ACRILICA BRANCO 5,7KG</v>
          </cell>
          <cell r="C1775">
            <v>5777541</v>
          </cell>
          <cell r="D1775" t="str">
            <v>CORAL</v>
          </cell>
          <cell r="E1775">
            <v>30023</v>
          </cell>
          <cell r="F1775" t="str">
            <v>TEXTURA</v>
          </cell>
          <cell r="G1775" t="str">
            <v>IMOBILIÁRIO</v>
          </cell>
        </row>
        <row r="1776">
          <cell r="A1776">
            <v>86712</v>
          </cell>
          <cell r="B1776" t="str">
            <v>CR TEXTURA DESIGN LOC BASE PM 22KG</v>
          </cell>
          <cell r="C1776">
            <v>5801731</v>
          </cell>
          <cell r="D1776" t="str">
            <v>CORAL</v>
          </cell>
          <cell r="E1776">
            <v>30023</v>
          </cell>
          <cell r="F1776" t="str">
            <v>TEXTURA</v>
          </cell>
          <cell r="G1776" t="str">
            <v>IMOBILIÁRIO</v>
          </cell>
        </row>
        <row r="1777">
          <cell r="A1777">
            <v>85869</v>
          </cell>
          <cell r="B1777" t="str">
            <v>CR TEXTURA DESIGN LOC BASE PM 28KG</v>
          </cell>
          <cell r="C1777">
            <v>5202581</v>
          </cell>
          <cell r="D1777" t="str">
            <v>CORAL</v>
          </cell>
          <cell r="E1777">
            <v>30023</v>
          </cell>
          <cell r="F1777" t="str">
            <v>TEXTURA</v>
          </cell>
          <cell r="G1777" t="str">
            <v>IMOBILIÁRIO</v>
          </cell>
        </row>
        <row r="1778">
          <cell r="A1778">
            <v>86743</v>
          </cell>
          <cell r="B1778" t="str">
            <v>CR TEXTURA DESING BASE PM 5 KG</v>
          </cell>
          <cell r="C1778">
            <v>5849108</v>
          </cell>
          <cell r="D1778" t="str">
            <v>CORAL</v>
          </cell>
          <cell r="E1778">
            <v>30023</v>
          </cell>
          <cell r="F1778" t="str">
            <v>TEXTURA</v>
          </cell>
          <cell r="G1778" t="str">
            <v>IMOBILIÁRIO</v>
          </cell>
        </row>
        <row r="1779">
          <cell r="A1779">
            <v>86713</v>
          </cell>
          <cell r="B1779" t="str">
            <v>CR TEXTURA EFEITO LOC BASE PM 22 KG</v>
          </cell>
          <cell r="C1779">
            <v>5801732</v>
          </cell>
          <cell r="D1779" t="str">
            <v>CORAL</v>
          </cell>
          <cell r="E1779">
            <v>30023</v>
          </cell>
          <cell r="F1779" t="str">
            <v>TEXTURA</v>
          </cell>
          <cell r="G1779" t="str">
            <v>IMOBILIÁRIO</v>
          </cell>
        </row>
        <row r="1780">
          <cell r="A1780">
            <v>86741</v>
          </cell>
          <cell r="B1780" t="str">
            <v>CR TEXTURA EFEITO LOC BASE PM 5.0 KG</v>
          </cell>
          <cell r="C1780">
            <v>5849106</v>
          </cell>
          <cell r="D1780" t="str">
            <v>CORAL</v>
          </cell>
          <cell r="E1780">
            <v>30023</v>
          </cell>
          <cell r="F1780" t="str">
            <v>TEXTURA</v>
          </cell>
          <cell r="G1780" t="str">
            <v>IMOBILIÁRIO</v>
          </cell>
        </row>
        <row r="1781">
          <cell r="A1781">
            <v>86742</v>
          </cell>
          <cell r="B1781" t="str">
            <v>CR TEXTURA RUST LOC BASE PM 5.0KG</v>
          </cell>
          <cell r="C1781">
            <v>5849107</v>
          </cell>
          <cell r="D1781" t="str">
            <v>CORAL</v>
          </cell>
          <cell r="E1781">
            <v>30023</v>
          </cell>
          <cell r="F1781" t="str">
            <v>TEXTURA</v>
          </cell>
          <cell r="G1781" t="str">
            <v>IMOBILIÁRIO</v>
          </cell>
        </row>
        <row r="1782">
          <cell r="A1782">
            <v>86747</v>
          </cell>
          <cell r="B1782" t="str">
            <v>CR TEXTURA RUSTICA  LOC BASE PM 22KG</v>
          </cell>
          <cell r="C1782">
            <v>5849300</v>
          </cell>
          <cell r="D1782" t="str">
            <v>CORAL</v>
          </cell>
          <cell r="E1782">
            <v>30023</v>
          </cell>
          <cell r="F1782" t="str">
            <v>TEXTURA</v>
          </cell>
          <cell r="G1782" t="str">
            <v>IMOBILIÁRIO</v>
          </cell>
        </row>
        <row r="1783">
          <cell r="A1783">
            <v>86746</v>
          </cell>
          <cell r="B1783" t="str">
            <v>CR TEXTURA RUSTICA BRANCO 22 KG</v>
          </cell>
          <cell r="C1783">
            <v>5849299</v>
          </cell>
          <cell r="D1783" t="str">
            <v>CORAL</v>
          </cell>
          <cell r="E1783">
            <v>30023</v>
          </cell>
          <cell r="F1783" t="str">
            <v>TEXTURA</v>
          </cell>
          <cell r="G1783" t="str">
            <v>IMOBILIÁRIO</v>
          </cell>
        </row>
        <row r="1784">
          <cell r="A1784">
            <v>86744</v>
          </cell>
          <cell r="B1784" t="str">
            <v>CR TEXTURA RUSTICA BRANCO 5 Kg</v>
          </cell>
          <cell r="C1784">
            <v>5849109</v>
          </cell>
          <cell r="D1784" t="str">
            <v>CORAL</v>
          </cell>
          <cell r="E1784">
            <v>30023</v>
          </cell>
          <cell r="F1784" t="str">
            <v>TEXTURA</v>
          </cell>
          <cell r="G1784" t="str">
            <v>IMOBILIÁRIO</v>
          </cell>
        </row>
        <row r="1785">
          <cell r="A1785">
            <v>85459</v>
          </cell>
          <cell r="B1785" t="str">
            <v>GRANITINA A GRANEL SACO 40KG</v>
          </cell>
          <cell r="C1785">
            <v>1</v>
          </cell>
          <cell r="D1785" t="str">
            <v>OLIVEIRA</v>
          </cell>
          <cell r="E1785">
            <v>30023</v>
          </cell>
          <cell r="F1785" t="str">
            <v>TEXTURA</v>
          </cell>
          <cell r="G1785" t="str">
            <v>IMOBILIÁRIO</v>
          </cell>
        </row>
        <row r="1786">
          <cell r="A1786">
            <v>85588</v>
          </cell>
          <cell r="B1786" t="str">
            <v>LAMATO 20KG - CAIXA</v>
          </cell>
          <cell r="C1786">
            <v>113416</v>
          </cell>
          <cell r="D1786" t="str">
            <v>DÁVILA  INOVE</v>
          </cell>
          <cell r="E1786">
            <v>30023</v>
          </cell>
          <cell r="F1786" t="str">
            <v>TEXTURA</v>
          </cell>
          <cell r="G1786" t="str">
            <v>IMOBILIÁRIO</v>
          </cell>
        </row>
        <row r="1787">
          <cell r="A1787">
            <v>85521</v>
          </cell>
          <cell r="B1787" t="str">
            <v>PEDRA NATURAL 23 KG BALDE - BARCELONA</v>
          </cell>
          <cell r="C1787">
            <v>108338</v>
          </cell>
          <cell r="D1787" t="str">
            <v>DÁVILA  INOVE</v>
          </cell>
          <cell r="E1787">
            <v>30023</v>
          </cell>
          <cell r="F1787" t="str">
            <v>TEXTURA</v>
          </cell>
          <cell r="G1787" t="str">
            <v>IMOBILIÁRIO</v>
          </cell>
        </row>
        <row r="1788">
          <cell r="A1788">
            <v>85519</v>
          </cell>
          <cell r="B1788" t="str">
            <v>PEDRA NATURAL 23 KG BALDE - DUBAI</v>
          </cell>
          <cell r="C1788">
            <v>108339</v>
          </cell>
          <cell r="D1788" t="str">
            <v>DÁVILA  INOVE</v>
          </cell>
          <cell r="E1788">
            <v>30023</v>
          </cell>
          <cell r="F1788" t="str">
            <v>TEXTURA</v>
          </cell>
          <cell r="G1788" t="str">
            <v>IMOBILIÁRIO</v>
          </cell>
        </row>
        <row r="1789">
          <cell r="A1789">
            <v>85522</v>
          </cell>
          <cell r="B1789" t="str">
            <v>PEDRA NATURAL 23 KG BALDE - FULL BLACK</v>
          </cell>
          <cell r="C1789">
            <v>108336</v>
          </cell>
          <cell r="D1789" t="str">
            <v>DÁVILA  INOVE</v>
          </cell>
          <cell r="E1789">
            <v>30023</v>
          </cell>
          <cell r="F1789" t="str">
            <v>TEXTURA</v>
          </cell>
          <cell r="G1789" t="str">
            <v>IMOBILIÁRIO</v>
          </cell>
        </row>
        <row r="1790">
          <cell r="A1790">
            <v>85520</v>
          </cell>
          <cell r="B1790" t="str">
            <v>PEDRA NATURAL 23 KG BALDE - IBIZA</v>
          </cell>
          <cell r="C1790">
            <v>108337</v>
          </cell>
          <cell r="D1790" t="str">
            <v>DÁVILA  INOVE</v>
          </cell>
          <cell r="E1790">
            <v>30023</v>
          </cell>
          <cell r="F1790" t="str">
            <v>TEXTURA</v>
          </cell>
          <cell r="G1790" t="str">
            <v>IMOBILIÁRIO</v>
          </cell>
        </row>
        <row r="1791">
          <cell r="A1791">
            <v>85518</v>
          </cell>
          <cell r="B1791" t="str">
            <v>PEDRA NATURAL 23KG BALDE - ACO CORTEN</v>
          </cell>
          <cell r="C1791">
            <v>115460</v>
          </cell>
          <cell r="D1791" t="str">
            <v>DÁVILA  INOVE</v>
          </cell>
          <cell r="E1791">
            <v>30023</v>
          </cell>
          <cell r="F1791" t="str">
            <v>TEXTURA</v>
          </cell>
          <cell r="G1791" t="str">
            <v>IMOBILIÁRIO</v>
          </cell>
        </row>
        <row r="1792">
          <cell r="A1792">
            <v>85342</v>
          </cell>
          <cell r="B1792" t="str">
            <v>TEXTURA ACRILICA CAMURCA 20KG INOVE</v>
          </cell>
          <cell r="C1792">
            <v>115475</v>
          </cell>
          <cell r="D1792" t="str">
            <v>DÁVILA  INOVE</v>
          </cell>
          <cell r="E1792">
            <v>30023</v>
          </cell>
          <cell r="F1792" t="str">
            <v>TEXTURA</v>
          </cell>
          <cell r="G1792" t="str">
            <v>IMOBILIÁRIO</v>
          </cell>
        </row>
        <row r="1793">
          <cell r="A1793">
            <v>85340</v>
          </cell>
          <cell r="B1793" t="str">
            <v>TEXTURA ACRILICA GELO 20KG INOVE</v>
          </cell>
          <cell r="C1793">
            <v>115472</v>
          </cell>
          <cell r="D1793" t="str">
            <v>DÁVILA  INOVE</v>
          </cell>
          <cell r="E1793">
            <v>30023</v>
          </cell>
          <cell r="F1793" t="str">
            <v>TEXTURA</v>
          </cell>
          <cell r="G1793" t="str">
            <v>IMOBILIÁRIO</v>
          </cell>
        </row>
        <row r="1794">
          <cell r="A1794">
            <v>85339</v>
          </cell>
          <cell r="B1794" t="str">
            <v>TEXTURA ACRILICA NEVE CAIXA 20KG INOVE</v>
          </cell>
          <cell r="C1794">
            <v>115471</v>
          </cell>
          <cell r="D1794" t="str">
            <v>DÁVILA  INOVE</v>
          </cell>
          <cell r="E1794">
            <v>30023</v>
          </cell>
          <cell r="F1794" t="str">
            <v>TEXTURA</v>
          </cell>
          <cell r="G1794" t="str">
            <v>IMOBILIÁRIO</v>
          </cell>
        </row>
        <row r="1795">
          <cell r="A1795">
            <v>85341</v>
          </cell>
          <cell r="B1795" t="str">
            <v>TEXTURA ACRILICA PRATA FINA 20KG INOVE</v>
          </cell>
          <cell r="C1795">
            <v>115473</v>
          </cell>
          <cell r="D1795" t="str">
            <v>DÁVILA  INOVE</v>
          </cell>
          <cell r="E1795">
            <v>30023</v>
          </cell>
          <cell r="F1795" t="str">
            <v>TEXTURA</v>
          </cell>
          <cell r="G1795" t="str">
            <v>IMOBILIÁRIO</v>
          </cell>
        </row>
        <row r="1796">
          <cell r="A1796">
            <v>85584</v>
          </cell>
          <cell r="B1796" t="str">
            <v>TEXTURA ACRILICA PRATA FINA CAIXA 20KG INOVE</v>
          </cell>
          <cell r="C1796">
            <v>480</v>
          </cell>
          <cell r="D1796" t="str">
            <v>DÁVILA  INOVE</v>
          </cell>
          <cell r="E1796">
            <v>30023</v>
          </cell>
          <cell r="F1796" t="str">
            <v>TEXTURA</v>
          </cell>
          <cell r="G1796" t="str">
            <v>IMOBILIÁRIO</v>
          </cell>
        </row>
        <row r="1797">
          <cell r="A1797">
            <v>85359</v>
          </cell>
          <cell r="B1797" t="str">
            <v>TEXTURA ACRILICA TITANIO 20KG INOVE</v>
          </cell>
          <cell r="C1797">
            <v>115474</v>
          </cell>
          <cell r="D1797" t="str">
            <v>DÁVILA  INOVE</v>
          </cell>
          <cell r="E1797">
            <v>30023</v>
          </cell>
          <cell r="F1797" t="str">
            <v>TEXTURA</v>
          </cell>
          <cell r="G1797" t="str">
            <v>IMOBILIÁRIO</v>
          </cell>
        </row>
        <row r="1798">
          <cell r="A1798">
            <v>84827</v>
          </cell>
          <cell r="B1798" t="str">
            <v>TEXTURA CONCRETO DESIGN BALDE 20KG</v>
          </cell>
          <cell r="D1798" t="str">
            <v>BRASILUX</v>
          </cell>
          <cell r="E1798">
            <v>30023</v>
          </cell>
          <cell r="F1798" t="str">
            <v>TEXTURA</v>
          </cell>
          <cell r="G1798" t="str">
            <v>IMOBILIÁRIO</v>
          </cell>
        </row>
        <row r="1799">
          <cell r="A1799">
            <v>85455</v>
          </cell>
          <cell r="B1799" t="str">
            <v>TEXTURATTO EFEITO BRILHO 25 KG BRANCO</v>
          </cell>
          <cell r="C1799">
            <v>119747</v>
          </cell>
          <cell r="D1799" t="str">
            <v>SUVINIL</v>
          </cell>
          <cell r="E1799">
            <v>30023</v>
          </cell>
          <cell r="F1799" t="str">
            <v>TEXTURA</v>
          </cell>
          <cell r="G1799" t="str">
            <v>IMOBILIÁRIO</v>
          </cell>
        </row>
        <row r="1800">
          <cell r="A1800">
            <v>85889</v>
          </cell>
          <cell r="B1800" t="str">
            <v>CR FUN PREP BASE AGUA INCOLOR 18L</v>
          </cell>
          <cell r="C1800">
            <v>5202618</v>
          </cell>
          <cell r="D1800" t="str">
            <v>CORAL</v>
          </cell>
          <cell r="E1800">
            <v>30021</v>
          </cell>
          <cell r="F1800" t="str">
            <v>SELADOR ACRÍLICO</v>
          </cell>
          <cell r="G1800" t="str">
            <v>IMOBILIÁRIO</v>
          </cell>
        </row>
        <row r="1801">
          <cell r="A1801">
            <v>85888</v>
          </cell>
          <cell r="B1801" t="str">
            <v>CR FUN PREP BASE AGUA INCOLOR 3.6L</v>
          </cell>
          <cell r="C1801">
            <v>5202617</v>
          </cell>
          <cell r="D1801" t="str">
            <v>CORAL</v>
          </cell>
          <cell r="E1801">
            <v>30021</v>
          </cell>
          <cell r="F1801" t="str">
            <v>SELADOR ACRÍLICO</v>
          </cell>
          <cell r="G1801" t="str">
            <v>IMOBILIÁRIO</v>
          </cell>
        </row>
        <row r="1802">
          <cell r="A1802">
            <v>85887</v>
          </cell>
          <cell r="B1802" t="str">
            <v>CR SELADOR ACR BRANCO 18L</v>
          </cell>
          <cell r="C1802">
            <v>5202616</v>
          </cell>
          <cell r="D1802" t="str">
            <v>CORAL</v>
          </cell>
          <cell r="E1802">
            <v>30021</v>
          </cell>
          <cell r="F1802" t="str">
            <v>SELADOR ACRÍLICO</v>
          </cell>
          <cell r="G1802" t="str">
            <v>IMOBILIÁRIO</v>
          </cell>
        </row>
        <row r="1803">
          <cell r="A1803">
            <v>85886</v>
          </cell>
          <cell r="B1803" t="str">
            <v>CR SELADOR ACR BRANCO 3.6L</v>
          </cell>
          <cell r="C1803">
            <v>5202615</v>
          </cell>
          <cell r="D1803" t="str">
            <v>CORAL</v>
          </cell>
          <cell r="E1803">
            <v>30021</v>
          </cell>
          <cell r="F1803" t="str">
            <v>SELADOR ACRÍLICO</v>
          </cell>
          <cell r="G1803" t="str">
            <v>IMOBILIÁRIO</v>
          </cell>
        </row>
        <row r="1804">
          <cell r="A1804">
            <v>84368</v>
          </cell>
          <cell r="B1804" t="str">
            <v>FUNDO PREPARADOR PAREDES 18L BRASILUX</v>
          </cell>
          <cell r="C1804" t="str">
            <v>SL 460000457</v>
          </cell>
          <cell r="D1804" t="str">
            <v>BRASILUX</v>
          </cell>
          <cell r="E1804">
            <v>30021</v>
          </cell>
          <cell r="F1804" t="str">
            <v>SELADOR ACRÍLICO</v>
          </cell>
          <cell r="G1804" t="str">
            <v>IMOBILIÁRIO</v>
          </cell>
        </row>
        <row r="1805">
          <cell r="A1805">
            <v>84204</v>
          </cell>
          <cell r="B1805" t="str">
            <v>FUNDO PREPARADOR PAREDES B'AGUA  3,6LT BRASILUX</v>
          </cell>
          <cell r="C1805" t="str">
            <v>SL 460000402</v>
          </cell>
          <cell r="D1805" t="str">
            <v>BRASILUX</v>
          </cell>
          <cell r="E1805">
            <v>30021</v>
          </cell>
          <cell r="F1805" t="str">
            <v>SELADOR ACRÍLICO</v>
          </cell>
          <cell r="G1805" t="str">
            <v>IMOBILIÁRIO</v>
          </cell>
        </row>
        <row r="1806">
          <cell r="A1806">
            <v>84205</v>
          </cell>
          <cell r="B1806" t="str">
            <v>FUNDO PREPARADOR PAREDES B'AGUA 900ML BRASILUX</v>
          </cell>
          <cell r="C1806" t="str">
            <v>SL 460000401</v>
          </cell>
          <cell r="D1806" t="str">
            <v>BRASILUX</v>
          </cell>
          <cell r="E1806">
            <v>30021</v>
          </cell>
          <cell r="F1806" t="str">
            <v>SELADOR ACRÍLICO</v>
          </cell>
          <cell r="G1806" t="str">
            <v>IMOBILIÁRIO</v>
          </cell>
        </row>
        <row r="1807">
          <cell r="A1807">
            <v>84201</v>
          </cell>
          <cell r="B1807" t="str">
            <v>SELADOR ACRILICO 18L BRASILUX</v>
          </cell>
          <cell r="C1807" t="str">
            <v>SL 460000257</v>
          </cell>
          <cell r="D1807" t="str">
            <v>BRASILUX</v>
          </cell>
          <cell r="E1807">
            <v>30021</v>
          </cell>
          <cell r="F1807" t="str">
            <v>SELADOR ACRÍLICO</v>
          </cell>
          <cell r="G1807" t="str">
            <v>IMOBILIÁRIO</v>
          </cell>
        </row>
        <row r="1808">
          <cell r="A1808">
            <v>84202</v>
          </cell>
          <cell r="B1808" t="str">
            <v>SELADOR ACRILICO 3,6L BRASILUX</v>
          </cell>
          <cell r="C1808" t="str">
            <v>SL 460000202</v>
          </cell>
          <cell r="D1808" t="str">
            <v>BRASILUX</v>
          </cell>
          <cell r="E1808">
            <v>30021</v>
          </cell>
          <cell r="F1808" t="str">
            <v>SELADOR ACRÍLICO</v>
          </cell>
          <cell r="G1808" t="str">
            <v>IMOBILIÁRIO</v>
          </cell>
        </row>
        <row r="1809">
          <cell r="A1809">
            <v>84203</v>
          </cell>
          <cell r="B1809" t="str">
            <v>SELADOR ACRILICO 900ML BRASILUX</v>
          </cell>
          <cell r="C1809" t="str">
            <v>SL 460000201</v>
          </cell>
          <cell r="D1809" t="str">
            <v>BRASILUX</v>
          </cell>
          <cell r="E1809">
            <v>30021</v>
          </cell>
          <cell r="F1809" t="str">
            <v>SELADOR ACRÍLICO</v>
          </cell>
          <cell r="G1809" t="str">
            <v>IMOBILIÁRIO</v>
          </cell>
        </row>
        <row r="1810">
          <cell r="A1810">
            <v>85343</v>
          </cell>
          <cell r="B1810" t="str">
            <v>SELADOR ACRILICO BALDE 16KG INOVE</v>
          </cell>
          <cell r="C1810">
            <v>115476</v>
          </cell>
          <cell r="D1810" t="str">
            <v>DÁVILA  INOVE</v>
          </cell>
          <cell r="E1810">
            <v>30021</v>
          </cell>
          <cell r="F1810" t="str">
            <v>SELADOR ACRÍLICO</v>
          </cell>
          <cell r="G1810" t="str">
            <v>IMOBILIÁRIO</v>
          </cell>
        </row>
        <row r="1811">
          <cell r="A1811">
            <v>84871</v>
          </cell>
          <cell r="B1811" t="str">
            <v>SELADOR BRANCO P/ GESSO 3,6L BRASILUX</v>
          </cell>
          <cell r="C1811" t="str">
            <v>SL 460000502</v>
          </cell>
          <cell r="D1811" t="str">
            <v>BRASILUX</v>
          </cell>
          <cell r="E1811">
            <v>30021</v>
          </cell>
          <cell r="F1811" t="str">
            <v>SELADOR ACRÍLICO</v>
          </cell>
          <cell r="G1811" t="str">
            <v>IMOBILIÁRIO</v>
          </cell>
        </row>
        <row r="1812">
          <cell r="A1812">
            <v>85874</v>
          </cell>
          <cell r="B1812" t="str">
            <v>CR MASSA ACRILICA 1.5KG</v>
          </cell>
          <cell r="C1812">
            <v>5202598</v>
          </cell>
          <cell r="D1812" t="str">
            <v>CORAL</v>
          </cell>
          <cell r="E1812">
            <v>30020</v>
          </cell>
          <cell r="F1812" t="str">
            <v>MASSA CORRIDA / ACRÍLICA</v>
          </cell>
          <cell r="G1812" t="str">
            <v>IMOBILIÁRIO</v>
          </cell>
        </row>
        <row r="1813">
          <cell r="A1813">
            <v>86541</v>
          </cell>
          <cell r="B1813" t="str">
            <v>CR MASSA ACRILICA 25KG</v>
          </cell>
          <cell r="C1813">
            <v>5313620</v>
          </cell>
          <cell r="D1813" t="str">
            <v>CORAL</v>
          </cell>
          <cell r="E1813">
            <v>30020</v>
          </cell>
          <cell r="F1813" t="str">
            <v>MASSA CORRIDA / ACRÍLICA</v>
          </cell>
          <cell r="G1813" t="str">
            <v>IMOBILIÁRIO</v>
          </cell>
        </row>
        <row r="1814">
          <cell r="A1814">
            <v>86710</v>
          </cell>
          <cell r="B1814" t="str">
            <v>CR MASSA ACRILICA GL PLAS 5,7KG</v>
          </cell>
          <cell r="C1814">
            <v>5777542</v>
          </cell>
          <cell r="D1814" t="str">
            <v>CORAL</v>
          </cell>
          <cell r="E1814">
            <v>30020</v>
          </cell>
          <cell r="F1814" t="str">
            <v>MASSA CORRIDA / ACRÍLICA</v>
          </cell>
          <cell r="G1814" t="str">
            <v>IMOBILIÁRIO</v>
          </cell>
        </row>
        <row r="1815">
          <cell r="A1815">
            <v>85873</v>
          </cell>
          <cell r="B1815" t="str">
            <v>CR MASSA CORRIDA 1.5KG</v>
          </cell>
          <cell r="C1815">
            <v>5202595</v>
          </cell>
          <cell r="D1815" t="str">
            <v>CORAL</v>
          </cell>
          <cell r="E1815">
            <v>30020</v>
          </cell>
          <cell r="F1815" t="str">
            <v>MASSA CORRIDA / ACRÍLICA</v>
          </cell>
          <cell r="G1815" t="str">
            <v>IMOBILIÁRIO</v>
          </cell>
        </row>
        <row r="1816">
          <cell r="A1816">
            <v>86542</v>
          </cell>
          <cell r="B1816" t="str">
            <v>CR MASSA CORRIDA 25KG</v>
          </cell>
          <cell r="C1816">
            <v>5313621</v>
          </cell>
          <cell r="D1816" t="str">
            <v>CORAL</v>
          </cell>
          <cell r="E1816">
            <v>30020</v>
          </cell>
          <cell r="F1816" t="str">
            <v>MASSA CORRIDA / ACRÍLICA</v>
          </cell>
          <cell r="G1816" t="str">
            <v>IMOBILIÁRIO</v>
          </cell>
        </row>
        <row r="1817">
          <cell r="A1817">
            <v>86711</v>
          </cell>
          <cell r="B1817" t="str">
            <v>CR MASSA CORRIDA GL PLAS 5,7KG</v>
          </cell>
          <cell r="C1817">
            <v>5777545</v>
          </cell>
          <cell r="D1817" t="str">
            <v>CORAL</v>
          </cell>
          <cell r="E1817">
            <v>30020</v>
          </cell>
          <cell r="F1817" t="str">
            <v>MASSA CORRIDA / ACRÍLICA</v>
          </cell>
          <cell r="G1817" t="str">
            <v>IMOBILIÁRIO</v>
          </cell>
        </row>
        <row r="1818">
          <cell r="A1818">
            <v>84035</v>
          </cell>
          <cell r="B1818" t="str">
            <v>MASSA  ACRILICA (LITRO 1,450 KG) BRASILUX</v>
          </cell>
          <cell r="C1818" t="str">
            <v>MS 460000121</v>
          </cell>
          <cell r="D1818" t="str">
            <v>BRASILUX</v>
          </cell>
          <cell r="E1818">
            <v>30020</v>
          </cell>
          <cell r="F1818" t="str">
            <v>MASSA CORRIDA / ACRÍLICA</v>
          </cell>
          <cell r="G1818" t="str">
            <v>IMOBILIÁRIO</v>
          </cell>
        </row>
        <row r="1819">
          <cell r="A1819">
            <v>84033</v>
          </cell>
          <cell r="B1819" t="str">
            <v>MASSA ACRILICA (20 KG) BRASILUX</v>
          </cell>
          <cell r="C1819" t="str">
            <v>MS 460000143</v>
          </cell>
          <cell r="D1819" t="str">
            <v>BRASILUX</v>
          </cell>
          <cell r="E1819">
            <v>30020</v>
          </cell>
          <cell r="F1819" t="str">
            <v>MASSA CORRIDA / ACRÍLICA</v>
          </cell>
          <cell r="G1819" t="str">
            <v>IMOBILIÁRIO</v>
          </cell>
        </row>
        <row r="1820">
          <cell r="A1820">
            <v>84032</v>
          </cell>
          <cell r="B1820" t="str">
            <v>MASSA ACRILICA 25KG BRASILUX</v>
          </cell>
          <cell r="C1820" t="str">
            <v>MS 460000190</v>
          </cell>
          <cell r="D1820" t="str">
            <v>BRASILUX</v>
          </cell>
          <cell r="E1820">
            <v>30020</v>
          </cell>
          <cell r="F1820" t="str">
            <v>MASSA CORRIDA / ACRÍLICA</v>
          </cell>
          <cell r="G1820" t="str">
            <v>IMOBILIÁRIO</v>
          </cell>
        </row>
        <row r="1821">
          <cell r="A1821">
            <v>84034</v>
          </cell>
          <cell r="B1821" t="str">
            <v>MASSA ACRILICA 5,5KG BRASILUX</v>
          </cell>
          <cell r="C1821" t="str">
            <v>MS 460000146</v>
          </cell>
          <cell r="D1821" t="str">
            <v>BRASILUX</v>
          </cell>
          <cell r="E1821">
            <v>30020</v>
          </cell>
          <cell r="F1821" t="str">
            <v>MASSA CORRIDA / ACRÍLICA</v>
          </cell>
          <cell r="G1821" t="str">
            <v>IMOBILIÁRIO</v>
          </cell>
        </row>
        <row r="1822">
          <cell r="A1822">
            <v>85569</v>
          </cell>
          <cell r="B1822" t="str">
            <v>MASSA CORRIDA PVA 1,4 KG INTERIOR</v>
          </cell>
          <cell r="C1822">
            <v>63260</v>
          </cell>
          <cell r="D1822" t="str">
            <v>SUVINIL</v>
          </cell>
          <cell r="E1822">
            <v>30020</v>
          </cell>
          <cell r="F1822" t="str">
            <v>MASSA CORRIDA / ACRÍLICA</v>
          </cell>
          <cell r="G1822" t="str">
            <v>IMOBILIÁRIO</v>
          </cell>
        </row>
        <row r="1823">
          <cell r="A1823">
            <v>85570</v>
          </cell>
          <cell r="B1823" t="str">
            <v>MASSA CORRIDA PVA 5,7 KG INTERIOR</v>
          </cell>
          <cell r="C1823">
            <v>51171</v>
          </cell>
          <cell r="D1823" t="str">
            <v>SUVINIL</v>
          </cell>
          <cell r="E1823">
            <v>30020</v>
          </cell>
          <cell r="F1823" t="str">
            <v>MASSA CORRIDA / ACRÍLICA</v>
          </cell>
          <cell r="G1823" t="str">
            <v>IMOBILIÁRIO</v>
          </cell>
        </row>
        <row r="1824">
          <cell r="A1824">
            <v>84037</v>
          </cell>
          <cell r="B1824" t="str">
            <v>MASSA PVA (20 KG) BRASILUX</v>
          </cell>
          <cell r="C1824" t="str">
            <v>MS 460000343</v>
          </cell>
          <cell r="D1824" t="str">
            <v>BRASILUX</v>
          </cell>
          <cell r="E1824">
            <v>30020</v>
          </cell>
          <cell r="F1824" t="str">
            <v>MASSA CORRIDA / ACRÍLICA</v>
          </cell>
          <cell r="G1824" t="str">
            <v>IMOBILIÁRIO</v>
          </cell>
        </row>
        <row r="1825">
          <cell r="A1825">
            <v>84039</v>
          </cell>
          <cell r="B1825" t="str">
            <v>MASSA PVA (LITRO 1,450 KG) BRASILUX</v>
          </cell>
          <cell r="C1825" t="str">
            <v>MS 460000321</v>
          </cell>
          <cell r="D1825" t="str">
            <v>BRASILUX</v>
          </cell>
          <cell r="E1825">
            <v>30020</v>
          </cell>
          <cell r="F1825" t="str">
            <v>MASSA CORRIDA / ACRÍLICA</v>
          </cell>
          <cell r="G1825" t="str">
            <v>IMOBILIÁRIO</v>
          </cell>
        </row>
        <row r="1826">
          <cell r="A1826">
            <v>84036</v>
          </cell>
          <cell r="B1826" t="str">
            <v>MASSA PVA 25KG BALDE BRASILUX</v>
          </cell>
          <cell r="C1826" t="str">
            <v>MS 460000390</v>
          </cell>
          <cell r="D1826" t="str">
            <v>BRASILUX</v>
          </cell>
          <cell r="E1826">
            <v>30020</v>
          </cell>
          <cell r="F1826" t="str">
            <v>MASSA CORRIDA / ACRÍLICA</v>
          </cell>
          <cell r="G1826" t="str">
            <v>IMOBILIÁRIO</v>
          </cell>
        </row>
        <row r="1827">
          <cell r="A1827">
            <v>84038</v>
          </cell>
          <cell r="B1827" t="str">
            <v>MASSA PVA 5,5KG BRASILUX</v>
          </cell>
          <cell r="C1827" t="str">
            <v>MS 460000346</v>
          </cell>
          <cell r="D1827" t="str">
            <v>BRASILUX</v>
          </cell>
          <cell r="E1827">
            <v>30020</v>
          </cell>
          <cell r="F1827" t="str">
            <v>MASSA CORRIDA / ACRÍLICA</v>
          </cell>
          <cell r="G1827" t="str">
            <v>IMOBILIÁRIO</v>
          </cell>
        </row>
        <row r="1828">
          <cell r="A1828">
            <v>85344</v>
          </cell>
          <cell r="B1828" t="str">
            <v>MASSA PVA BALDE 18KG INOVE</v>
          </cell>
          <cell r="C1828">
            <v>115477</v>
          </cell>
          <cell r="D1828" t="str">
            <v>DÁVILA  INOVE</v>
          </cell>
          <cell r="E1828">
            <v>30020</v>
          </cell>
          <cell r="F1828" t="str">
            <v>MASSA CORRIDA / ACRÍLICA</v>
          </cell>
          <cell r="G1828" t="str">
            <v>IMOBILIÁRIO</v>
          </cell>
        </row>
        <row r="1829">
          <cell r="A1829">
            <v>85583</v>
          </cell>
          <cell r="B1829" t="str">
            <v>MASSA PVA CAIXA 18KG INOVE</v>
          </cell>
          <cell r="C1829">
            <v>302</v>
          </cell>
          <cell r="D1829" t="str">
            <v>DÁVILA  INOVE</v>
          </cell>
          <cell r="E1829">
            <v>30020</v>
          </cell>
          <cell r="F1829" t="str">
            <v>MASSA CORRIDA / ACRÍLICA</v>
          </cell>
          <cell r="G1829" t="str">
            <v>IMOBILIÁRIO</v>
          </cell>
        </row>
        <row r="1830">
          <cell r="A1830">
            <v>84031</v>
          </cell>
          <cell r="B1830" t="str">
            <v>MASSA TAPA-FACIL (150 GRAMAS) BRASILUX</v>
          </cell>
          <cell r="C1830" t="str">
            <v>MS 460065140</v>
          </cell>
          <cell r="D1830" t="str">
            <v>BRASILUX</v>
          </cell>
          <cell r="E1830">
            <v>30020</v>
          </cell>
          <cell r="F1830" t="str">
            <v>MASSA CORRIDA / ACRÍLICA</v>
          </cell>
          <cell r="G1830" t="str">
            <v>IMOBILIÁRIO</v>
          </cell>
        </row>
        <row r="1831">
          <cell r="A1831">
            <v>85607</v>
          </cell>
          <cell r="B1831" t="str">
            <v>CIMENTO QUEIMADO CINZA BD 23 KG MAZA</v>
          </cell>
          <cell r="C1831">
            <v>29609</v>
          </cell>
          <cell r="D1831" t="str">
            <v>MAZA</v>
          </cell>
          <cell r="E1831">
            <v>30019</v>
          </cell>
          <cell r="F1831" t="str">
            <v>CIMENTO QUEIMADO / EFEITOS DECORATIVOS</v>
          </cell>
          <cell r="G1831" t="str">
            <v>IMOBILIÁRIO</v>
          </cell>
        </row>
        <row r="1832">
          <cell r="A1832">
            <v>85175</v>
          </cell>
          <cell r="B1832" t="str">
            <v>CIMENTO QUEIMADO-BARRO VERMELHO 5,5KG BRASILUX</v>
          </cell>
          <cell r="C1832" t="str">
            <v>CQ 462383546</v>
          </cell>
          <cell r="D1832" t="str">
            <v>BRASILUX</v>
          </cell>
          <cell r="E1832">
            <v>30019</v>
          </cell>
          <cell r="F1832" t="str">
            <v>CIMENTO QUEIMADO / EFEITOS DECORATIVOS</v>
          </cell>
          <cell r="G1832" t="str">
            <v>IMOBILIÁRIO</v>
          </cell>
        </row>
        <row r="1833">
          <cell r="A1833">
            <v>85174</v>
          </cell>
          <cell r="B1833" t="str">
            <v>CIMENTO QUEIMADO-CALCITA ALARANJADA 5,5KG BRASILUX</v>
          </cell>
          <cell r="C1833" t="str">
            <v>CQ 460942946</v>
          </cell>
          <cell r="D1833" t="str">
            <v>BRASILUX</v>
          </cell>
          <cell r="E1833">
            <v>30019</v>
          </cell>
          <cell r="F1833" t="str">
            <v>CIMENTO QUEIMADO / EFEITOS DECORATIVOS</v>
          </cell>
          <cell r="G1833" t="str">
            <v>IMOBILIÁRIO</v>
          </cell>
        </row>
        <row r="1834">
          <cell r="A1834">
            <v>85007</v>
          </cell>
          <cell r="B1834" t="str">
            <v>CIMENTO QUEIMADO-CASCA DE ARVORE 5,5KG BRASILUX</v>
          </cell>
          <cell r="C1834" t="str">
            <v>CQ 461041846</v>
          </cell>
          <cell r="D1834" t="str">
            <v>BRASILUX</v>
          </cell>
          <cell r="E1834">
            <v>30019</v>
          </cell>
          <cell r="F1834" t="str">
            <v>CIMENTO QUEIMADO / EFEITOS DECORATIVOS</v>
          </cell>
          <cell r="G1834" t="str">
            <v>IMOBILIÁRIO</v>
          </cell>
        </row>
        <row r="1835">
          <cell r="A1835">
            <v>84501</v>
          </cell>
          <cell r="B1835" t="str">
            <v>CIMENTO QUEIMADO-ELEFANTE 5,5KG BRASILUX</v>
          </cell>
          <cell r="C1835" t="str">
            <v>CQ 460664446</v>
          </cell>
          <cell r="D1835" t="str">
            <v>BRASILUX</v>
          </cell>
          <cell r="E1835">
            <v>30019</v>
          </cell>
          <cell r="F1835" t="str">
            <v>CIMENTO QUEIMADO / EFEITOS DECORATIVOS</v>
          </cell>
          <cell r="G1835" t="str">
            <v>IMOBILIÁRIO</v>
          </cell>
        </row>
        <row r="1836">
          <cell r="A1836">
            <v>85173</v>
          </cell>
          <cell r="B1836" t="str">
            <v>CIMENTO QUEIMADO-LARANJA FIESTA 5,5KG BRASILUX</v>
          </cell>
          <cell r="C1836" t="str">
            <v>CQ 460916046</v>
          </cell>
          <cell r="D1836" t="str">
            <v>BRASILUX</v>
          </cell>
          <cell r="E1836">
            <v>30019</v>
          </cell>
          <cell r="F1836" t="str">
            <v>CIMENTO QUEIMADO / EFEITOS DECORATIVOS</v>
          </cell>
          <cell r="G1836" t="str">
            <v>IMOBILIÁRIO</v>
          </cell>
        </row>
        <row r="1837">
          <cell r="A1837">
            <v>85171</v>
          </cell>
          <cell r="B1837" t="str">
            <v>CIMENTO QUEIMADO-PORTO AZUL 5,5KG BRASILUX</v>
          </cell>
          <cell r="C1837" t="str">
            <v>CQ 460341746</v>
          </cell>
          <cell r="D1837" t="str">
            <v>BRASILUX</v>
          </cell>
          <cell r="E1837">
            <v>30019</v>
          </cell>
          <cell r="F1837" t="str">
            <v>CIMENTO QUEIMADO / EFEITOS DECORATIVOS</v>
          </cell>
          <cell r="G1837" t="str">
            <v>IMOBILIÁRIO</v>
          </cell>
        </row>
        <row r="1838">
          <cell r="A1838">
            <v>84761</v>
          </cell>
          <cell r="B1838" t="str">
            <v>CIMENTO QUEIMADO-PRATA ENVEL 5,5KG BRASILUX</v>
          </cell>
          <cell r="C1838" t="str">
            <v>CQ 461043146</v>
          </cell>
          <cell r="D1838" t="str">
            <v>BRASILUX</v>
          </cell>
          <cell r="E1838">
            <v>30019</v>
          </cell>
          <cell r="F1838" t="str">
            <v>CIMENTO QUEIMADO / EFEITOS DECORATIVOS</v>
          </cell>
          <cell r="G1838" t="str">
            <v>IMOBILIÁRIO</v>
          </cell>
        </row>
        <row r="1839">
          <cell r="A1839">
            <v>85172</v>
          </cell>
          <cell r="B1839" t="str">
            <v>CIMENTO QUEIMADO-TUBARAO BRANCO 5,5KG BRASILUX</v>
          </cell>
          <cell r="C1839" t="str">
            <v>CQ 460629646</v>
          </cell>
          <cell r="D1839" t="str">
            <v>BRASILUX</v>
          </cell>
          <cell r="E1839">
            <v>30019</v>
          </cell>
          <cell r="F1839" t="str">
            <v>CIMENTO QUEIMADO / EFEITOS DECORATIVOS</v>
          </cell>
          <cell r="G1839" t="str">
            <v>IMOBILIÁRIO</v>
          </cell>
        </row>
        <row r="1840">
          <cell r="A1840">
            <v>84579</v>
          </cell>
          <cell r="B1840" t="str">
            <v>CIMENTO QUIEMADO PEROLIZADO AVELA 3KG</v>
          </cell>
          <cell r="C1840" t="str">
            <v>QP 461017484</v>
          </cell>
          <cell r="D1840" t="str">
            <v>BRASILUX</v>
          </cell>
          <cell r="E1840">
            <v>30019</v>
          </cell>
          <cell r="F1840" t="str">
            <v>CIMENTO QUEIMADO / EFEITOS DECORATIVOS</v>
          </cell>
          <cell r="G1840" t="str">
            <v>IMOBILIÁRIO</v>
          </cell>
        </row>
        <row r="1841">
          <cell r="A1841">
            <v>84575</v>
          </cell>
          <cell r="B1841" t="str">
            <v>CIMENTO QUIEMADO PEROLIZADO AZUL BEBE 3KG</v>
          </cell>
          <cell r="C1841" t="str">
            <v>QP 460350684</v>
          </cell>
          <cell r="D1841" t="str">
            <v>BRASILUX</v>
          </cell>
          <cell r="E1841">
            <v>30019</v>
          </cell>
          <cell r="F1841" t="str">
            <v>CIMENTO QUEIMADO / EFEITOS DECORATIVOS</v>
          </cell>
          <cell r="G1841" t="str">
            <v>IMOBILIÁRIO</v>
          </cell>
        </row>
        <row r="1842">
          <cell r="A1842">
            <v>84577</v>
          </cell>
          <cell r="B1842" t="str">
            <v>CIMENTO QUIEMADO PEROLIZADO DIAMANTE NEGRO 3KG</v>
          </cell>
          <cell r="C1842" t="str">
            <v>QP 460660084</v>
          </cell>
          <cell r="D1842" t="str">
            <v>BRASILUX</v>
          </cell>
          <cell r="E1842">
            <v>30019</v>
          </cell>
          <cell r="F1842" t="str">
            <v>CIMENTO QUEIMADO / EFEITOS DECORATIVOS</v>
          </cell>
          <cell r="G1842" t="str">
            <v>IMOBILIÁRIO</v>
          </cell>
        </row>
        <row r="1843">
          <cell r="A1843">
            <v>84580</v>
          </cell>
          <cell r="B1843" t="str">
            <v>CIMENTO QUIEMADO PEROLIZADO MARSALA 3KG</v>
          </cell>
          <cell r="C1843" t="str">
            <v>QP 461808584</v>
          </cell>
          <cell r="D1843" t="str">
            <v>BRASILUX</v>
          </cell>
          <cell r="E1843">
            <v>30019</v>
          </cell>
          <cell r="F1843" t="str">
            <v>CIMENTO QUEIMADO / EFEITOS DECORATIVOS</v>
          </cell>
          <cell r="G1843" t="str">
            <v>IMOBILIÁRIO</v>
          </cell>
        </row>
        <row r="1844">
          <cell r="A1844">
            <v>84574</v>
          </cell>
          <cell r="B1844" t="str">
            <v>CIMENTO QUIEMADO PEROLIZADO OCEANO PROFUNDO 3KG</v>
          </cell>
          <cell r="C1844" t="str">
            <v>QP 460350384</v>
          </cell>
          <cell r="D1844" t="str">
            <v>BRASILUX</v>
          </cell>
          <cell r="E1844">
            <v>30019</v>
          </cell>
          <cell r="F1844" t="str">
            <v>CIMENTO QUEIMADO / EFEITOS DECORATIVOS</v>
          </cell>
          <cell r="G1844" t="str">
            <v>IMOBILIÁRIO</v>
          </cell>
        </row>
        <row r="1845">
          <cell r="A1845">
            <v>84582</v>
          </cell>
          <cell r="B1845" t="str">
            <v>CIMENTO QUIEMADO PEROLIZADO POEIRA DE JADE 3KG</v>
          </cell>
          <cell r="C1845" t="str">
            <v>QP 462291884</v>
          </cell>
          <cell r="D1845" t="str">
            <v>BRASILUX</v>
          </cell>
          <cell r="E1845">
            <v>30019</v>
          </cell>
          <cell r="F1845" t="str">
            <v>CIMENTO QUEIMADO / EFEITOS DECORATIVOS</v>
          </cell>
          <cell r="G1845" t="str">
            <v>IMOBILIÁRIO</v>
          </cell>
        </row>
        <row r="1846">
          <cell r="A1846">
            <v>84578</v>
          </cell>
          <cell r="B1846" t="str">
            <v>CIMENTO QUIEMADO PEROLIZADO PRATA 3KG</v>
          </cell>
          <cell r="C1846" t="str">
            <v>QP 460698884</v>
          </cell>
          <cell r="D1846" t="str">
            <v>BRASILUX</v>
          </cell>
          <cell r="E1846">
            <v>30019</v>
          </cell>
          <cell r="F1846" t="str">
            <v>CIMENTO QUEIMADO / EFEITOS DECORATIVOS</v>
          </cell>
          <cell r="G1846" t="str">
            <v>IMOBILIÁRIO</v>
          </cell>
        </row>
        <row r="1847">
          <cell r="A1847">
            <v>84581</v>
          </cell>
          <cell r="B1847" t="str">
            <v>CIMENTO QUIEMADO PEROLIZADO ROSE GOLD 3KG</v>
          </cell>
          <cell r="C1847" t="str">
            <v>QP 461808684</v>
          </cell>
          <cell r="D1847" t="str">
            <v>BRASILUX</v>
          </cell>
          <cell r="E1847">
            <v>30019</v>
          </cell>
          <cell r="F1847" t="str">
            <v>CIMENTO QUEIMADO / EFEITOS DECORATIVOS</v>
          </cell>
          <cell r="G1847" t="str">
            <v>IMOBILIÁRIO</v>
          </cell>
        </row>
        <row r="1848">
          <cell r="A1848">
            <v>84576</v>
          </cell>
          <cell r="B1848" t="str">
            <v>CIMENTO QUIEMADO PEROLIZADO ZAFIRA ESCURA 3KG</v>
          </cell>
          <cell r="C1848" t="str">
            <v>QP 460394884</v>
          </cell>
          <cell r="D1848" t="str">
            <v>BRASILUX</v>
          </cell>
          <cell r="E1848">
            <v>30019</v>
          </cell>
          <cell r="F1848" t="str">
            <v>CIMENTO QUEIMADO / EFEITOS DECORATIVOS</v>
          </cell>
          <cell r="G1848" t="str">
            <v>IMOBILIÁRIO</v>
          </cell>
        </row>
        <row r="1849">
          <cell r="A1849">
            <v>84569</v>
          </cell>
          <cell r="B1849" t="str">
            <v>CIMENTO QUIEMADO-BRANCO 5,5KG BRASILUX</v>
          </cell>
          <cell r="C1849" t="str">
            <v>CQ 460500146</v>
          </cell>
          <cell r="D1849" t="str">
            <v>BRASILUX</v>
          </cell>
          <cell r="E1849">
            <v>30019</v>
          </cell>
          <cell r="F1849" t="str">
            <v>CIMENTO QUEIMADO / EFEITOS DECORATIVOS</v>
          </cell>
          <cell r="G1849" t="str">
            <v>IMOBILIÁRIO</v>
          </cell>
        </row>
        <row r="1850">
          <cell r="A1850">
            <v>84572</v>
          </cell>
          <cell r="B1850" t="str">
            <v>CIMENTO QUIEMADO-CINZA VEU 5,5KG BRASILUX</v>
          </cell>
          <cell r="C1850" t="str">
            <v>CQ 460629946</v>
          </cell>
          <cell r="D1850" t="str">
            <v>BRASILUX</v>
          </cell>
          <cell r="E1850">
            <v>30019</v>
          </cell>
          <cell r="F1850" t="str">
            <v>CIMENTO QUEIMADO / EFEITOS DECORATIVOS</v>
          </cell>
          <cell r="G1850" t="str">
            <v>IMOBILIÁRIO</v>
          </cell>
        </row>
        <row r="1851">
          <cell r="A1851">
            <v>84571</v>
          </cell>
          <cell r="B1851" t="str">
            <v>CIMENTO QUIEMADO-IMENSIDAO CZA 5,5KG BRASILUX</v>
          </cell>
          <cell r="C1851" t="str">
            <v>CQ 460629746</v>
          </cell>
          <cell r="D1851" t="str">
            <v>BRASILUX</v>
          </cell>
          <cell r="E1851">
            <v>30019</v>
          </cell>
          <cell r="F1851" t="str">
            <v>CIMENTO QUEIMADO / EFEITOS DECORATIVOS</v>
          </cell>
          <cell r="G1851" t="str">
            <v>IMOBILIÁRIO</v>
          </cell>
        </row>
        <row r="1852">
          <cell r="A1852">
            <v>84573</v>
          </cell>
          <cell r="B1852" t="str">
            <v>CIMENTO QUIEMADO-PEDRASABAO 5,5KG BRASILUX</v>
          </cell>
          <cell r="C1852" t="str">
            <v>CQ 460633146</v>
          </cell>
          <cell r="D1852" t="str">
            <v>BRASILUX</v>
          </cell>
          <cell r="E1852">
            <v>30019</v>
          </cell>
          <cell r="F1852" t="str">
            <v>CIMENTO QUEIMADO / EFEITOS DECORATIVOS</v>
          </cell>
          <cell r="G1852" t="str">
            <v>IMOBILIÁRIO</v>
          </cell>
        </row>
        <row r="1853">
          <cell r="A1853">
            <v>84570</v>
          </cell>
          <cell r="B1853" t="str">
            <v>CIMENTO QUIEMADO-TITANIO 5,5KG BRASILUX</v>
          </cell>
          <cell r="C1853" t="str">
            <v>CQ 460630446</v>
          </cell>
          <cell r="D1853" t="str">
            <v>BRASILUX</v>
          </cell>
          <cell r="E1853">
            <v>30019</v>
          </cell>
          <cell r="F1853" t="str">
            <v>CIMENTO QUEIMADO / EFEITOS DECORATIVOS</v>
          </cell>
          <cell r="G1853" t="str">
            <v>IMOBILIÁRIO</v>
          </cell>
        </row>
        <row r="1854">
          <cell r="A1854">
            <v>86718</v>
          </cell>
          <cell r="B1854" t="str">
            <v>CR DECORA EF CIMENTO QUE CULTURA GREGA 4,8KG</v>
          </cell>
          <cell r="C1854">
            <v>5825427</v>
          </cell>
          <cell r="D1854" t="str">
            <v>CORAL</v>
          </cell>
          <cell r="E1854">
            <v>30019</v>
          </cell>
          <cell r="F1854" t="str">
            <v>CIMENTO QUEIMADO / EFEITOS DECORATIVOS</v>
          </cell>
          <cell r="G1854" t="str">
            <v>IMOBILIÁRIO</v>
          </cell>
        </row>
        <row r="1855">
          <cell r="A1855">
            <v>86717</v>
          </cell>
          <cell r="B1855" t="str">
            <v>CR DECORA EF CIMENTO QUE IMENSIDÃO CZA 4,8KG</v>
          </cell>
          <cell r="C1855">
            <v>5825426</v>
          </cell>
          <cell r="D1855" t="str">
            <v>CORAL</v>
          </cell>
          <cell r="E1855">
            <v>30019</v>
          </cell>
          <cell r="F1855" t="str">
            <v>CIMENTO QUEIMADO / EFEITOS DECORATIVOS</v>
          </cell>
          <cell r="G1855" t="str">
            <v>IMOBILIÁRIO</v>
          </cell>
        </row>
        <row r="1856">
          <cell r="A1856">
            <v>86716</v>
          </cell>
          <cell r="B1856" t="str">
            <v>CR DECORA EF CIMENTO QUE TUBARÃO BCO 4,8KG</v>
          </cell>
          <cell r="C1856">
            <v>5825425</v>
          </cell>
          <cell r="D1856" t="str">
            <v>CORAL</v>
          </cell>
          <cell r="E1856">
            <v>30019</v>
          </cell>
          <cell r="F1856" t="str">
            <v>CIMENTO QUEIMADO / EFEITOS DECORATIVOS</v>
          </cell>
          <cell r="G1856" t="str">
            <v>IMOBILIÁRIO</v>
          </cell>
        </row>
        <row r="1857">
          <cell r="A1857">
            <v>86571</v>
          </cell>
          <cell r="B1857" t="str">
            <v>CR DECORA EFEITO CIMENTO QUE BASE 4,1KG</v>
          </cell>
          <cell r="C1857">
            <v>5353938</v>
          </cell>
          <cell r="D1857" t="str">
            <v>CORAL</v>
          </cell>
          <cell r="E1857">
            <v>30019</v>
          </cell>
          <cell r="F1857" t="str">
            <v>CIMENTO QUEIMADO / EFEITOS DECORATIVOS</v>
          </cell>
          <cell r="G1857" t="str">
            <v>IMOBILIÁRIO</v>
          </cell>
        </row>
        <row r="1858">
          <cell r="A1858">
            <v>86567</v>
          </cell>
          <cell r="B1858" t="str">
            <v>CR DECORA EFEITO MARMORE BASE 3,9 KG</v>
          </cell>
          <cell r="C1858">
            <v>5353646</v>
          </cell>
          <cell r="D1858" t="str">
            <v>CORAL</v>
          </cell>
          <cell r="E1858">
            <v>30019</v>
          </cell>
          <cell r="F1858" t="str">
            <v>CIMENTO QUEIMADO / EFEITOS DECORATIVOS</v>
          </cell>
          <cell r="G1858" t="str">
            <v>IMOBILIÁRIO</v>
          </cell>
        </row>
        <row r="1859">
          <cell r="A1859">
            <v>85617</v>
          </cell>
          <cell r="B1859" t="str">
            <v>FITA CREPE P/ PINTURA IMOBILIARIA LARANJA 24MMX50M A128RLS ADERE</v>
          </cell>
          <cell r="C1859">
            <v>400100251</v>
          </cell>
          <cell r="D1859" t="str">
            <v>ADERE</v>
          </cell>
          <cell r="E1859">
            <v>30018</v>
          </cell>
          <cell r="F1859" t="str">
            <v xml:space="preserve">FITA DE USO GERAL </v>
          </cell>
          <cell r="G1859" t="str">
            <v>IMOBILIÁRIO</v>
          </cell>
        </row>
        <row r="1860">
          <cell r="A1860">
            <v>85618</v>
          </cell>
          <cell r="B1860" t="str">
            <v>FITA CREPE P/ PINTURA IMOBILIARIA LARANJA 45MMX50M A128RLS ADERE</v>
          </cell>
          <cell r="C1860">
            <v>400100244</v>
          </cell>
          <cell r="D1860" t="str">
            <v>ADERE</v>
          </cell>
          <cell r="E1860">
            <v>30018</v>
          </cell>
          <cell r="F1860" t="str">
            <v xml:space="preserve">FITA DE USO GERAL </v>
          </cell>
          <cell r="G1860" t="str">
            <v>IMOBILIÁRIO</v>
          </cell>
        </row>
        <row r="1861">
          <cell r="A1861">
            <v>84411</v>
          </cell>
          <cell r="B1861" t="str">
            <v>FITA CREPE USO GERAL BEGE 24MMX50M ADERE</v>
          </cell>
          <cell r="C1861">
            <v>355206418</v>
          </cell>
          <cell r="D1861" t="str">
            <v>ADERE</v>
          </cell>
          <cell r="E1861">
            <v>30018</v>
          </cell>
          <cell r="F1861" t="str">
            <v xml:space="preserve">FITA DE USO GERAL </v>
          </cell>
          <cell r="G1861" t="str">
            <v>IMOBILIÁRIO</v>
          </cell>
        </row>
        <row r="1862">
          <cell r="A1862">
            <v>84408</v>
          </cell>
          <cell r="B1862" t="str">
            <v>FITA CREPE USO GERAL BEGE 45MMX50M ADERE</v>
          </cell>
          <cell r="C1862">
            <v>355200122</v>
          </cell>
          <cell r="D1862" t="str">
            <v>ADERE</v>
          </cell>
          <cell r="E1862">
            <v>30018</v>
          </cell>
          <cell r="F1862" t="str">
            <v xml:space="preserve">FITA DE USO GERAL </v>
          </cell>
          <cell r="G1862" t="str">
            <v>IMOBILIÁRIO</v>
          </cell>
        </row>
        <row r="1863">
          <cell r="A1863">
            <v>84928</v>
          </cell>
          <cell r="B1863" t="str">
            <v>FITA CREPE USO GERAL BEGE 48MMX50M ADERE</v>
          </cell>
          <cell r="C1863">
            <v>355200130</v>
          </cell>
          <cell r="D1863" t="str">
            <v>ADERE</v>
          </cell>
          <cell r="E1863">
            <v>30018</v>
          </cell>
          <cell r="F1863" t="str">
            <v xml:space="preserve">FITA DE USO GERAL </v>
          </cell>
          <cell r="G1863" t="str">
            <v>IMOBILIÁRIO</v>
          </cell>
        </row>
        <row r="1864">
          <cell r="A1864">
            <v>85621</v>
          </cell>
          <cell r="B1864" t="str">
            <v>FITA DUPLA FACE XT080 09MMX20M ADERE</v>
          </cell>
          <cell r="C1864">
            <v>28452001507</v>
          </cell>
          <cell r="D1864" t="str">
            <v>ADERE</v>
          </cell>
          <cell r="E1864">
            <v>30018</v>
          </cell>
          <cell r="F1864" t="str">
            <v xml:space="preserve">FITA DE USO GERAL </v>
          </cell>
          <cell r="G1864" t="str">
            <v>IMOBILIÁRIO</v>
          </cell>
        </row>
        <row r="1865">
          <cell r="A1865">
            <v>85619</v>
          </cell>
          <cell r="B1865" t="str">
            <v>FITA DUPLA FACE XT080 12MMX02M ADERE</v>
          </cell>
          <cell r="C1865">
            <v>28459108644</v>
          </cell>
          <cell r="D1865" t="str">
            <v>ADERE</v>
          </cell>
          <cell r="E1865">
            <v>30018</v>
          </cell>
          <cell r="F1865" t="str">
            <v xml:space="preserve">FITA DE USO GERAL </v>
          </cell>
          <cell r="G1865" t="str">
            <v>IMOBILIÁRIO</v>
          </cell>
        </row>
        <row r="1866">
          <cell r="A1866">
            <v>85620</v>
          </cell>
          <cell r="B1866" t="str">
            <v>FITA DUPLA FACE XT080 12MMX20M ADERE</v>
          </cell>
          <cell r="C1866">
            <v>28452001416</v>
          </cell>
          <cell r="D1866" t="str">
            <v>ADERE</v>
          </cell>
          <cell r="E1866">
            <v>30018</v>
          </cell>
          <cell r="F1866" t="str">
            <v xml:space="preserve">FITA DE USO GERAL </v>
          </cell>
          <cell r="G1866" t="str">
            <v>IMOBILIÁRIO</v>
          </cell>
        </row>
        <row r="1867">
          <cell r="A1867">
            <v>85616</v>
          </cell>
          <cell r="B1867" t="str">
            <v>FITA EMPACOTAMENTO TRANSP 45MMX40M 710 ADERE</v>
          </cell>
          <cell r="C1867">
            <v>11053230162</v>
          </cell>
          <cell r="D1867" t="str">
            <v>ADERE</v>
          </cell>
          <cell r="E1867">
            <v>30018</v>
          </cell>
          <cell r="F1867" t="str">
            <v xml:space="preserve">FITA DE USO GERAL </v>
          </cell>
          <cell r="G1867" t="str">
            <v>IMOBILIÁRIO</v>
          </cell>
        </row>
        <row r="1868">
          <cell r="A1868">
            <v>83836</v>
          </cell>
          <cell r="B1868" t="str">
            <v>FITA ADESIVA 25MMX30M ALUMINIO 3M</v>
          </cell>
          <cell r="C1868" t="str">
            <v>H0002257006</v>
          </cell>
          <cell r="D1868" t="str">
            <v>3M</v>
          </cell>
          <cell r="E1868">
            <v>30017</v>
          </cell>
          <cell r="F1868" t="str">
            <v>OUTRAS FITAS</v>
          </cell>
          <cell r="G1868" t="str">
            <v>IMOBILIÁRIO</v>
          </cell>
        </row>
        <row r="1869">
          <cell r="A1869">
            <v>83895</v>
          </cell>
          <cell r="B1869" t="str">
            <v>FITA ADESIVA 425BR 25MMX30M ALUMINIO 3M</v>
          </cell>
          <cell r="C1869" t="str">
            <v>HB004181853</v>
          </cell>
          <cell r="D1869" t="str">
            <v>3M</v>
          </cell>
          <cell r="E1869">
            <v>30017</v>
          </cell>
          <cell r="F1869" t="str">
            <v>OUTRAS FITAS</v>
          </cell>
          <cell r="G1869" t="str">
            <v>IMOBILIÁRIO</v>
          </cell>
        </row>
        <row r="1870">
          <cell r="A1870">
            <v>83858</v>
          </cell>
          <cell r="B1870" t="str">
            <v>FITA ADESIVA 425BR 50MMX30M ALUMINIO 3M</v>
          </cell>
          <cell r="C1870" t="str">
            <v>HB004181879</v>
          </cell>
          <cell r="D1870" t="str">
            <v>3M</v>
          </cell>
          <cell r="E1870">
            <v>30017</v>
          </cell>
          <cell r="F1870" t="str">
            <v>OUTRAS FITAS</v>
          </cell>
          <cell r="G1870" t="str">
            <v>IMOBILIÁRIO</v>
          </cell>
        </row>
        <row r="1871">
          <cell r="A1871">
            <v>83826</v>
          </cell>
          <cell r="B1871" t="str">
            <v>FITA ADESIVA 50MMX30M ALUMINIO 3M</v>
          </cell>
          <cell r="C1871" t="str">
            <v>H0002238980</v>
          </cell>
          <cell r="D1871" t="str">
            <v>3M</v>
          </cell>
          <cell r="E1871">
            <v>30017</v>
          </cell>
          <cell r="F1871" t="str">
            <v>OUTRAS FITAS</v>
          </cell>
          <cell r="G1871" t="str">
            <v>IMOBILIÁRIO</v>
          </cell>
        </row>
        <row r="1872">
          <cell r="A1872">
            <v>85389</v>
          </cell>
          <cell r="B1872" t="str">
            <v>FITA ADESIVA BOPP TARTAN 369 TR 48MMX50M 3M</v>
          </cell>
          <cell r="C1872" t="str">
            <v>HB004741144</v>
          </cell>
          <cell r="D1872" t="str">
            <v>3M</v>
          </cell>
          <cell r="E1872">
            <v>30017</v>
          </cell>
          <cell r="F1872" t="str">
            <v>OUTRAS FITAS</v>
          </cell>
          <cell r="G1872" t="str">
            <v>IMOBILIÁRIO</v>
          </cell>
        </row>
        <row r="1873">
          <cell r="A1873">
            <v>24216</v>
          </cell>
          <cell r="B1873" t="str">
            <v>FITA ADESIVA ESCRITORIO</v>
          </cell>
          <cell r="C1873">
            <v>2339</v>
          </cell>
          <cell r="D1873" t="str">
            <v>UTILER</v>
          </cell>
          <cell r="E1873">
            <v>30017</v>
          </cell>
          <cell r="F1873" t="str">
            <v>OUTRAS FITAS</v>
          </cell>
          <cell r="G1873" t="str">
            <v>IMOBILIÁRIO</v>
          </cell>
        </row>
        <row r="1874">
          <cell r="A1874">
            <v>23563</v>
          </cell>
          <cell r="B1874" t="str">
            <v>FITA ADESIVA FINA ESCRITORIO</v>
          </cell>
          <cell r="C1874" t="str">
            <v>SEM CODIGO AINDA</v>
          </cell>
          <cell r="D1874" t="str">
            <v>UTILER</v>
          </cell>
          <cell r="E1874">
            <v>30017</v>
          </cell>
          <cell r="F1874" t="str">
            <v>OUTRAS FITAS</v>
          </cell>
          <cell r="G1874" t="str">
            <v>IMOBILIÁRIO</v>
          </cell>
        </row>
        <row r="1875">
          <cell r="A1875">
            <v>23641</v>
          </cell>
          <cell r="B1875" t="str">
            <v>FITA ESPUMADA PREMIUM DART 13MMX50M NORTON</v>
          </cell>
          <cell r="C1875">
            <v>63642506887</v>
          </cell>
          <cell r="D1875" t="str">
            <v>NORTON</v>
          </cell>
          <cell r="E1875">
            <v>30017</v>
          </cell>
          <cell r="F1875" t="str">
            <v>OUTRAS FITAS</v>
          </cell>
          <cell r="G1875" t="str">
            <v>IMOBILIÁRIO</v>
          </cell>
        </row>
        <row r="1876">
          <cell r="A1876">
            <v>24173</v>
          </cell>
          <cell r="B1876" t="str">
            <v>FITA IMPRES 110X74</v>
          </cell>
          <cell r="C1876">
            <v>70538</v>
          </cell>
          <cell r="D1876" t="str">
            <v>.</v>
          </cell>
          <cell r="E1876">
            <v>30017</v>
          </cell>
          <cell r="F1876" t="str">
            <v>OUTRAS FITAS</v>
          </cell>
          <cell r="G1876" t="str">
            <v>IMOBILIÁRIO</v>
          </cell>
        </row>
        <row r="1877">
          <cell r="A1877">
            <v>23629</v>
          </cell>
          <cell r="B1877" t="str">
            <v>FITA IMPRESSAO 110X300 CERA BEMATECH</v>
          </cell>
          <cell r="C1877">
            <v>380972</v>
          </cell>
          <cell r="D1877" t="str">
            <v>ETITEC</v>
          </cell>
          <cell r="E1877">
            <v>30017</v>
          </cell>
          <cell r="F1877" t="str">
            <v>OUTRAS FITAS</v>
          </cell>
          <cell r="G1877" t="str">
            <v>IMOBILIÁRIO</v>
          </cell>
        </row>
        <row r="1878">
          <cell r="A1878">
            <v>23835</v>
          </cell>
          <cell r="B1878" t="str">
            <v>FITA IMPRESSORA  110X300 CERA PREMIUM</v>
          </cell>
          <cell r="C1878">
            <v>380972</v>
          </cell>
          <cell r="D1878" t="str">
            <v>ETITEC</v>
          </cell>
          <cell r="E1878">
            <v>30017</v>
          </cell>
          <cell r="F1878" t="str">
            <v>OUTRAS FITAS</v>
          </cell>
          <cell r="G1878" t="str">
            <v>IMOBILIÁRIO</v>
          </cell>
        </row>
        <row r="1879">
          <cell r="A1879">
            <v>23836</v>
          </cell>
          <cell r="B1879" t="str">
            <v>FITA IMPRESSORA 110X74 CERA ORIGINAL</v>
          </cell>
          <cell r="C1879">
            <v>12</v>
          </cell>
          <cell r="D1879" t="str">
            <v>ETITEC</v>
          </cell>
          <cell r="E1879">
            <v>30017</v>
          </cell>
          <cell r="F1879" t="str">
            <v>OUTRAS FITAS</v>
          </cell>
          <cell r="G1879" t="str">
            <v>IMOBILIÁRIO</v>
          </cell>
        </row>
        <row r="1880">
          <cell r="A1880">
            <v>10089</v>
          </cell>
          <cell r="B1880" t="str">
            <v>FITA MASCARAMENTO (TRIN) - 6349 RL 50,8MMX10M 3M-29,68-ST</v>
          </cell>
          <cell r="C1880" t="str">
            <v>HC000664066</v>
          </cell>
          <cell r="D1880" t="str">
            <v>3M</v>
          </cell>
          <cell r="E1880">
            <v>30017</v>
          </cell>
          <cell r="F1880" t="str">
            <v>OUTRAS FITAS</v>
          </cell>
          <cell r="G1880" t="str">
            <v>IMOBILIÁRIO</v>
          </cell>
        </row>
        <row r="1881">
          <cell r="A1881">
            <v>23497</v>
          </cell>
          <cell r="B1881" t="str">
            <v>FITA P/ EMPACOTAMENTO 45MM X 45M 3M</v>
          </cell>
          <cell r="C1881" t="str">
            <v>HB004035224</v>
          </cell>
          <cell r="D1881" t="str">
            <v>3M</v>
          </cell>
          <cell r="E1881">
            <v>30017</v>
          </cell>
          <cell r="F1881" t="str">
            <v>OUTRAS FITAS</v>
          </cell>
          <cell r="G1881" t="str">
            <v>IMOBILIÁRIO</v>
          </cell>
        </row>
        <row r="1882">
          <cell r="A1882">
            <v>84486</v>
          </cell>
          <cell r="B1882" t="str">
            <v>FITA P/ EMPACOTAMENTO TRANSP SCOTCH 45MM X 45M 3M</v>
          </cell>
          <cell r="C1882" t="str">
            <v>HB004479166</v>
          </cell>
          <cell r="D1882" t="str">
            <v>3M</v>
          </cell>
          <cell r="E1882">
            <v>30017</v>
          </cell>
          <cell r="F1882" t="str">
            <v>OUTRAS FITAS</v>
          </cell>
          <cell r="G1882" t="str">
            <v>IMOBILIÁRIO</v>
          </cell>
        </row>
        <row r="1883">
          <cell r="A1883">
            <v>85413</v>
          </cell>
          <cell r="B1883" t="str">
            <v>FITA SCOTCH PAPEL 3557 45MMX50M 3M</v>
          </cell>
          <cell r="C1883" t="str">
            <v>H0001070020</v>
          </cell>
          <cell r="D1883" t="str">
            <v>3M</v>
          </cell>
          <cell r="E1883">
            <v>30017</v>
          </cell>
          <cell r="F1883" t="str">
            <v>OUTRAS FITAS</v>
          </cell>
          <cell r="G1883" t="str">
            <v>IMOBILIÁRIO</v>
          </cell>
        </row>
        <row r="1884">
          <cell r="A1884">
            <v>85681</v>
          </cell>
          <cell r="B1884" t="str">
            <v>FITA SILVER TAPE PRATA SHRINK 45MMX5M UNIPEGA</v>
          </cell>
          <cell r="C1884" t="str">
            <v>AES0535.0097</v>
          </cell>
          <cell r="D1884" t="str">
            <v>UNIPEGA</v>
          </cell>
          <cell r="E1884">
            <v>30017</v>
          </cell>
          <cell r="F1884" t="str">
            <v>OUTRAS FITAS</v>
          </cell>
          <cell r="G1884" t="str">
            <v>IMOBILIÁRIO</v>
          </cell>
        </row>
        <row r="1885">
          <cell r="A1885">
            <v>22145</v>
          </cell>
          <cell r="B1885" t="str">
            <v>FITA ISOLANTE 33+ 19MMX10M 3M</v>
          </cell>
          <cell r="C1885" t="str">
            <v>HB004162143</v>
          </cell>
          <cell r="D1885" t="str">
            <v>3M</v>
          </cell>
          <cell r="E1885">
            <v>30016</v>
          </cell>
          <cell r="F1885" t="str">
            <v>FITA ISOLANTE</v>
          </cell>
          <cell r="G1885" t="str">
            <v>IMOBILIÁRIO</v>
          </cell>
        </row>
        <row r="1886">
          <cell r="A1886">
            <v>10099</v>
          </cell>
          <cell r="B1886" t="str">
            <v>FITA ISOLANTE 33+ 19MMX20M 3M</v>
          </cell>
          <cell r="C1886" t="str">
            <v>HB004482483</v>
          </cell>
          <cell r="D1886" t="str">
            <v>3M</v>
          </cell>
          <cell r="E1886">
            <v>30016</v>
          </cell>
          <cell r="F1886" t="str">
            <v>FITA ISOLANTE</v>
          </cell>
          <cell r="G1886" t="str">
            <v>IMOBILIÁRIO</v>
          </cell>
        </row>
        <row r="1887">
          <cell r="A1887">
            <v>84417</v>
          </cell>
          <cell r="B1887" t="str">
            <v>FITA ISOLANTE IMPERIAL SLIM 18MMX10M 3M</v>
          </cell>
          <cell r="C1887" t="str">
            <v>HB004236020</v>
          </cell>
          <cell r="D1887" t="str">
            <v>3M</v>
          </cell>
          <cell r="E1887">
            <v>30016</v>
          </cell>
          <cell r="F1887" t="str">
            <v>FITA ISOLANTE</v>
          </cell>
          <cell r="G1887" t="str">
            <v>IMOBILIÁRIO</v>
          </cell>
        </row>
        <row r="1888">
          <cell r="A1888">
            <v>84558</v>
          </cell>
          <cell r="B1888" t="str">
            <v>FITA ISOLANTE IMPERIAL SLIM 18MMX20M 3M</v>
          </cell>
          <cell r="C1888" t="str">
            <v>HB004216360</v>
          </cell>
          <cell r="D1888" t="str">
            <v>3M</v>
          </cell>
          <cell r="E1888">
            <v>30016</v>
          </cell>
          <cell r="F1888" t="str">
            <v>FITA ISOLANTE</v>
          </cell>
          <cell r="G1888" t="str">
            <v>IMOBILIÁRIO</v>
          </cell>
        </row>
        <row r="1889">
          <cell r="A1889">
            <v>85679</v>
          </cell>
          <cell r="B1889" t="str">
            <v>FITA ISOLANTE PRETO 18MMX10M UNIPEGA</v>
          </cell>
          <cell r="C1889" t="str">
            <v>AES0535.0119</v>
          </cell>
          <cell r="D1889" t="str">
            <v>UNIPEGA</v>
          </cell>
          <cell r="E1889">
            <v>30016</v>
          </cell>
          <cell r="F1889" t="str">
            <v>FITA ISOLANTE</v>
          </cell>
          <cell r="G1889" t="str">
            <v>IMOBILIÁRIO</v>
          </cell>
        </row>
        <row r="1890">
          <cell r="A1890">
            <v>85680</v>
          </cell>
          <cell r="B1890" t="str">
            <v>FITA ISOLANTE PRETO 18MMX20M UNIPEGA</v>
          </cell>
          <cell r="C1890" t="str">
            <v>AES0535.0113</v>
          </cell>
          <cell r="D1890" t="str">
            <v>UNIPEGA</v>
          </cell>
          <cell r="E1890">
            <v>30016</v>
          </cell>
          <cell r="F1890" t="str">
            <v>FITA ISOLANTE</v>
          </cell>
          <cell r="G1890" t="str">
            <v>IMOBILIÁRIO</v>
          </cell>
        </row>
        <row r="1891">
          <cell r="A1891">
            <v>85678</v>
          </cell>
          <cell r="B1891" t="str">
            <v>FITA ISOLANTE PRETO 18MMX5M UNIPEGA</v>
          </cell>
          <cell r="C1891" t="str">
            <v>AES0535.0130</v>
          </cell>
          <cell r="D1891" t="str">
            <v>UNIPEGA</v>
          </cell>
          <cell r="E1891">
            <v>30016</v>
          </cell>
          <cell r="F1891" t="str">
            <v>FITA ISOLANTE</v>
          </cell>
          <cell r="G1891" t="str">
            <v>IMOBILIÁRIO</v>
          </cell>
        </row>
        <row r="1892">
          <cell r="A1892">
            <v>86590</v>
          </cell>
          <cell r="B1892" t="str">
            <v>AN ACOTONE CONC BU1 AZUL INTENSO 720ML</v>
          </cell>
          <cell r="C1892">
            <v>5565225</v>
          </cell>
          <cell r="D1892" t="str">
            <v>CORAL</v>
          </cell>
          <cell r="E1892">
            <v>30015</v>
          </cell>
          <cell r="F1892" t="str">
            <v>PIGMENTOS IMOBILIÁRIOS</v>
          </cell>
          <cell r="G1892" t="str">
            <v>IMOBILIÁRIO</v>
          </cell>
        </row>
        <row r="1893">
          <cell r="A1893">
            <v>86595</v>
          </cell>
          <cell r="B1893" t="str">
            <v>AN ACOTONE CONC BU2 AZUL CLARO 720ML</v>
          </cell>
          <cell r="C1893">
            <v>5565230</v>
          </cell>
          <cell r="D1893" t="str">
            <v>CORAL</v>
          </cell>
          <cell r="E1893">
            <v>30015</v>
          </cell>
          <cell r="F1893" t="str">
            <v>PIGMENTOS IMOBILIÁRIOS</v>
          </cell>
          <cell r="G1893" t="str">
            <v>IMOBILIÁRIO</v>
          </cell>
        </row>
        <row r="1894">
          <cell r="A1894">
            <v>86591</v>
          </cell>
          <cell r="B1894" t="str">
            <v>AN ACOTONE CONC GR1 VERDE 720ML</v>
          </cell>
          <cell r="C1894">
            <v>5565226</v>
          </cell>
          <cell r="D1894" t="str">
            <v>CORAL</v>
          </cell>
          <cell r="E1894">
            <v>30015</v>
          </cell>
          <cell r="F1894" t="str">
            <v>PIGMENTOS IMOBILIÁRIOS</v>
          </cell>
          <cell r="G1894" t="str">
            <v>IMOBILIÁRIO</v>
          </cell>
        </row>
        <row r="1895">
          <cell r="A1895">
            <v>86584</v>
          </cell>
          <cell r="B1895" t="str">
            <v>AN ACOTONE CONC MA1 MAGENTA 720ML</v>
          </cell>
          <cell r="C1895">
            <v>5565205</v>
          </cell>
          <cell r="D1895" t="str">
            <v>CORAL</v>
          </cell>
          <cell r="E1895">
            <v>30015</v>
          </cell>
          <cell r="F1895" t="str">
            <v>PIGMENTOS IMOBILIÁRIOS</v>
          </cell>
          <cell r="G1895" t="str">
            <v>IMOBILIÁRIO</v>
          </cell>
        </row>
        <row r="1896">
          <cell r="A1896">
            <v>86596</v>
          </cell>
          <cell r="B1896" t="str">
            <v>AN ACOTONE CONC NO1 PRETO 720ML</v>
          </cell>
          <cell r="C1896">
            <v>5565407</v>
          </cell>
          <cell r="D1896" t="str">
            <v>CORAL</v>
          </cell>
          <cell r="E1896">
            <v>30015</v>
          </cell>
          <cell r="F1896" t="str">
            <v>PIGMENTOS IMOBILIÁRIOS</v>
          </cell>
          <cell r="G1896" t="str">
            <v>IMOBILIÁRIO</v>
          </cell>
        </row>
        <row r="1897">
          <cell r="A1897">
            <v>86593</v>
          </cell>
          <cell r="B1897" t="str">
            <v>AN ACOTONE CONC OR1 LARANJA 720ML</v>
          </cell>
          <cell r="C1897">
            <v>5565228</v>
          </cell>
          <cell r="D1897" t="str">
            <v>CORAL</v>
          </cell>
          <cell r="E1897">
            <v>30015</v>
          </cell>
          <cell r="F1897" t="str">
            <v>PIGMENTOS IMOBILIÁRIOS</v>
          </cell>
          <cell r="G1897" t="str">
            <v>IMOBILIÁRIO</v>
          </cell>
        </row>
        <row r="1898">
          <cell r="A1898">
            <v>86594</v>
          </cell>
          <cell r="B1898" t="str">
            <v>AN ACOTONE CONC RE1 VERM INTENSO 720ML</v>
          </cell>
          <cell r="C1898">
            <v>5565229</v>
          </cell>
          <cell r="D1898" t="str">
            <v>CORAL</v>
          </cell>
          <cell r="E1898">
            <v>30015</v>
          </cell>
          <cell r="F1898" t="str">
            <v>PIGMENTOS IMOBILIÁRIOS</v>
          </cell>
          <cell r="G1898" t="str">
            <v>IMOBILIÁRIO</v>
          </cell>
        </row>
        <row r="1899">
          <cell r="A1899">
            <v>86585</v>
          </cell>
          <cell r="B1899" t="str">
            <v>AN ACOTONE CONC UM1 MARROM 720ML</v>
          </cell>
          <cell r="C1899">
            <v>5565206</v>
          </cell>
          <cell r="D1899" t="str">
            <v>CORAL</v>
          </cell>
          <cell r="E1899">
            <v>30015</v>
          </cell>
          <cell r="F1899" t="str">
            <v>PIGMENTOS IMOBILIÁRIOS</v>
          </cell>
          <cell r="G1899" t="str">
            <v>IMOBILIÁRIO</v>
          </cell>
        </row>
        <row r="1900">
          <cell r="A1900">
            <v>86587</v>
          </cell>
          <cell r="B1900" t="str">
            <v>AN ACOTONE CONC WH1 BRANCO 720ML</v>
          </cell>
          <cell r="C1900">
            <v>5565208</v>
          </cell>
          <cell r="D1900" t="str">
            <v>CORAL</v>
          </cell>
          <cell r="E1900">
            <v>30015</v>
          </cell>
          <cell r="F1900" t="str">
            <v>PIGMENTOS IMOBILIÁRIOS</v>
          </cell>
          <cell r="G1900" t="str">
            <v>IMOBILIÁRIO</v>
          </cell>
        </row>
        <row r="1901">
          <cell r="A1901">
            <v>86586</v>
          </cell>
          <cell r="B1901" t="str">
            <v>AN ACOTONE CONC XR1 VERM OXIDO 720ML</v>
          </cell>
          <cell r="C1901">
            <v>5565207</v>
          </cell>
          <cell r="D1901" t="str">
            <v>CORAL</v>
          </cell>
          <cell r="E1901">
            <v>30015</v>
          </cell>
          <cell r="F1901" t="str">
            <v>PIGMENTOS IMOBILIÁRIOS</v>
          </cell>
          <cell r="G1901" t="str">
            <v>IMOBILIÁRIO</v>
          </cell>
        </row>
        <row r="1902">
          <cell r="A1902">
            <v>86588</v>
          </cell>
          <cell r="B1902" t="str">
            <v>AN ACOTONE CONC XY1 AMARELO OXIDO 720ML</v>
          </cell>
          <cell r="C1902">
            <v>5565210</v>
          </cell>
          <cell r="D1902" t="str">
            <v>CORAL</v>
          </cell>
          <cell r="E1902">
            <v>30015</v>
          </cell>
          <cell r="F1902" t="str">
            <v>PIGMENTOS IMOBILIÁRIOS</v>
          </cell>
          <cell r="G1902" t="str">
            <v>IMOBILIÁRIO</v>
          </cell>
        </row>
        <row r="1903">
          <cell r="A1903">
            <v>86589</v>
          </cell>
          <cell r="B1903" t="str">
            <v>AN ACOTONE CONC YE1 AMARELO 720ML</v>
          </cell>
          <cell r="C1903">
            <v>5565211</v>
          </cell>
          <cell r="D1903" t="str">
            <v>CORAL</v>
          </cell>
          <cell r="E1903">
            <v>30015</v>
          </cell>
          <cell r="F1903" t="str">
            <v>PIGMENTOS IMOBILIÁRIOS</v>
          </cell>
          <cell r="G1903" t="str">
            <v>IMOBILIÁRIO</v>
          </cell>
        </row>
        <row r="1904">
          <cell r="A1904">
            <v>86592</v>
          </cell>
          <cell r="B1904" t="str">
            <v>AN ACOTONE CONC YE2 AMARELO ESVER 720ML</v>
          </cell>
          <cell r="C1904">
            <v>5565227</v>
          </cell>
          <cell r="D1904" t="str">
            <v>CORAL</v>
          </cell>
          <cell r="E1904">
            <v>30015</v>
          </cell>
          <cell r="F1904" t="str">
            <v>PIGMENTOS IMOBILIÁRIOS</v>
          </cell>
          <cell r="G1904" t="str">
            <v>IMOBILIÁRIO</v>
          </cell>
        </row>
        <row r="1905">
          <cell r="A1905">
            <v>84583</v>
          </cell>
          <cell r="B1905" t="str">
            <v>BRASIMIX IMOBILIARIO-AMARELO RT 900ML BRASILUX</v>
          </cell>
          <cell r="C1905" t="str">
            <v>BL 480217101</v>
          </cell>
          <cell r="D1905" t="str">
            <v>BRASILUX</v>
          </cell>
          <cell r="E1905">
            <v>30015</v>
          </cell>
          <cell r="F1905" t="str">
            <v>PIGMENTOS IMOBILIÁRIOS</v>
          </cell>
          <cell r="G1905" t="str">
            <v>IMOBILIÁRIO</v>
          </cell>
        </row>
        <row r="1906">
          <cell r="A1906">
            <v>84584</v>
          </cell>
          <cell r="B1906" t="str">
            <v>BRASIMIX IMOBILIARIO-AMARELO US 900ML BRASILUX</v>
          </cell>
          <cell r="C1906" t="str">
            <v>BL 480217201</v>
          </cell>
          <cell r="D1906" t="str">
            <v>BRASILUX</v>
          </cell>
          <cell r="E1906">
            <v>30015</v>
          </cell>
          <cell r="F1906" t="str">
            <v>PIGMENTOS IMOBILIÁRIOS</v>
          </cell>
          <cell r="G1906" t="str">
            <v>IMOBILIÁRIO</v>
          </cell>
        </row>
        <row r="1907">
          <cell r="A1907">
            <v>84586</v>
          </cell>
          <cell r="B1907" t="str">
            <v>BRASIMIX IMOBILIARIO-AMARELO ZC 900ML BRASILUX</v>
          </cell>
          <cell r="C1907" t="str">
            <v>BL 480230201</v>
          </cell>
          <cell r="D1907" t="str">
            <v>BRASILUX</v>
          </cell>
          <cell r="E1907">
            <v>30015</v>
          </cell>
          <cell r="F1907" t="str">
            <v>PIGMENTOS IMOBILIÁRIOS</v>
          </cell>
          <cell r="G1907" t="str">
            <v>IMOBILIÁRIO</v>
          </cell>
        </row>
        <row r="1908">
          <cell r="A1908">
            <v>84585</v>
          </cell>
          <cell r="B1908" t="str">
            <v>BRASIMIX IMOBILIARIO-AMARELO ZT 900ML BRASILUX</v>
          </cell>
          <cell r="C1908" t="str">
            <v>BL 480217301</v>
          </cell>
          <cell r="D1908" t="str">
            <v>BRASILUX</v>
          </cell>
          <cell r="E1908">
            <v>30015</v>
          </cell>
          <cell r="F1908" t="str">
            <v>PIGMENTOS IMOBILIÁRIOS</v>
          </cell>
          <cell r="G1908" t="str">
            <v>IMOBILIÁRIO</v>
          </cell>
        </row>
        <row r="1909">
          <cell r="A1909">
            <v>84587</v>
          </cell>
          <cell r="B1909" t="str">
            <v>BRASIMIX IMOBILIARIO-AZUL MS 900ML BRASILUX</v>
          </cell>
          <cell r="C1909" t="str">
            <v>BL 480317401</v>
          </cell>
          <cell r="D1909" t="str">
            <v>BRASILUX</v>
          </cell>
          <cell r="E1909">
            <v>30015</v>
          </cell>
          <cell r="F1909" t="str">
            <v>PIGMENTOS IMOBILIÁRIOS</v>
          </cell>
          <cell r="G1909" t="str">
            <v>IMOBILIÁRIO</v>
          </cell>
        </row>
        <row r="1910">
          <cell r="A1910">
            <v>84588</v>
          </cell>
          <cell r="B1910" t="str">
            <v>BRASIMIX IMOBILIARIO-BRANCO XT 900ML BRASILUX</v>
          </cell>
          <cell r="C1910" t="str">
            <v>BL 480517601</v>
          </cell>
          <cell r="D1910" t="str">
            <v>BRASILUX</v>
          </cell>
          <cell r="E1910">
            <v>30015</v>
          </cell>
          <cell r="F1910" t="str">
            <v>PIGMENTOS IMOBILIÁRIOS</v>
          </cell>
          <cell r="G1910" t="str">
            <v>IMOBILIÁRIO</v>
          </cell>
        </row>
        <row r="1911">
          <cell r="A1911">
            <v>84589</v>
          </cell>
          <cell r="B1911" t="str">
            <v>BRASIMIX IMOBILIARIO-PRETO TT 900ML BRASILUX</v>
          </cell>
          <cell r="C1911" t="str">
            <v>BL 481517801</v>
          </cell>
          <cell r="D1911" t="str">
            <v>BRASILUX</v>
          </cell>
          <cell r="E1911">
            <v>30015</v>
          </cell>
          <cell r="F1911" t="str">
            <v>PIGMENTOS IMOBILIÁRIOS</v>
          </cell>
          <cell r="G1911" t="str">
            <v>IMOBILIÁRIO</v>
          </cell>
        </row>
        <row r="1912">
          <cell r="A1912">
            <v>84594</v>
          </cell>
          <cell r="B1912" t="str">
            <v>BRASIMIX IMOBILIARIO-ROSA MM 900ML BRASILUX</v>
          </cell>
          <cell r="C1912" t="str">
            <v>BL 484318701</v>
          </cell>
          <cell r="D1912" t="str">
            <v>BRASILUX</v>
          </cell>
          <cell r="E1912">
            <v>30015</v>
          </cell>
          <cell r="F1912" t="str">
            <v>PIGMENTOS IMOBILIÁRIOS</v>
          </cell>
          <cell r="G1912" t="str">
            <v>IMOBILIÁRIO</v>
          </cell>
        </row>
        <row r="1913">
          <cell r="A1913">
            <v>84590</v>
          </cell>
          <cell r="B1913" t="str">
            <v>BRASIMIX IMOBILIARIO-VERDE LS 900ML BRASILUX</v>
          </cell>
          <cell r="C1913" t="str">
            <v>BL 482217901</v>
          </cell>
          <cell r="D1913" t="str">
            <v>BRASILUX</v>
          </cell>
          <cell r="E1913">
            <v>30015</v>
          </cell>
          <cell r="F1913" t="str">
            <v>PIGMENTOS IMOBILIÁRIOS</v>
          </cell>
          <cell r="G1913" t="str">
            <v>IMOBILIÁRIO</v>
          </cell>
        </row>
        <row r="1914">
          <cell r="A1914">
            <v>84591</v>
          </cell>
          <cell r="B1914" t="str">
            <v>BRASIMIX IMOBILIARIO-VERMELHO RS 900ML BRASILUX</v>
          </cell>
          <cell r="C1914" t="str">
            <v>BL 482318201</v>
          </cell>
          <cell r="D1914" t="str">
            <v>BRASILUX</v>
          </cell>
          <cell r="E1914">
            <v>30015</v>
          </cell>
          <cell r="F1914" t="str">
            <v>PIGMENTOS IMOBILIÁRIOS</v>
          </cell>
          <cell r="G1914" t="str">
            <v>IMOBILIÁRIO</v>
          </cell>
        </row>
        <row r="1915">
          <cell r="A1915">
            <v>84592</v>
          </cell>
          <cell r="B1915" t="str">
            <v>BRASIMIX IMOBILIARIO-VERMELHO VT 900ML BRASILUX</v>
          </cell>
          <cell r="C1915" t="str">
            <v>BL 482318301</v>
          </cell>
          <cell r="D1915" t="str">
            <v>BRASILUX</v>
          </cell>
          <cell r="E1915">
            <v>30015</v>
          </cell>
          <cell r="F1915" t="str">
            <v>PIGMENTOS IMOBILIÁRIOS</v>
          </cell>
          <cell r="G1915" t="str">
            <v>IMOBILIÁRIO</v>
          </cell>
        </row>
        <row r="1916">
          <cell r="A1916">
            <v>84593</v>
          </cell>
          <cell r="B1916" t="str">
            <v>BRASIMIX IMOBILIARIO-VIOLETA FT 900ML BRASILUX</v>
          </cell>
          <cell r="C1916" t="str">
            <v>BL 484318401</v>
          </cell>
          <cell r="D1916" t="str">
            <v>BRASILUX</v>
          </cell>
          <cell r="E1916">
            <v>30015</v>
          </cell>
          <cell r="F1916" t="str">
            <v>PIGMENTOS IMOBILIÁRIOS</v>
          </cell>
          <cell r="G1916" t="str">
            <v>IMOBILIÁRIO</v>
          </cell>
        </row>
        <row r="1917">
          <cell r="A1917">
            <v>84500</v>
          </cell>
          <cell r="B1917" t="str">
            <v>AGUARRAS MINERAL 18L BRASILUX</v>
          </cell>
          <cell r="C1917" t="str">
            <v>AG 100010003</v>
          </cell>
          <cell r="D1917" t="str">
            <v>BRASILUX</v>
          </cell>
          <cell r="E1917">
            <v>30013</v>
          </cell>
          <cell r="F1917" t="str">
            <v>AGUARRAS</v>
          </cell>
          <cell r="G1917" t="str">
            <v>IMOBILIÁRIO</v>
          </cell>
        </row>
        <row r="1918">
          <cell r="A1918">
            <v>84030</v>
          </cell>
          <cell r="B1918" t="str">
            <v>AGUARRAS MINERAL 5L BRASILUX</v>
          </cell>
          <cell r="C1918" t="str">
            <v>AG 100010008</v>
          </cell>
          <cell r="D1918" t="str">
            <v>BRASILUX</v>
          </cell>
          <cell r="E1918">
            <v>30013</v>
          </cell>
          <cell r="F1918" t="str">
            <v>AGUARRAS</v>
          </cell>
          <cell r="G1918" t="str">
            <v>IMOBILIÁRIO</v>
          </cell>
        </row>
        <row r="1919">
          <cell r="A1919">
            <v>84029</v>
          </cell>
          <cell r="B1919" t="str">
            <v>AGUARRAS MINERAL 900ML BRASILUX</v>
          </cell>
          <cell r="C1919" t="str">
            <v>AG 100010001</v>
          </cell>
          <cell r="D1919" t="str">
            <v>BRASILUX</v>
          </cell>
          <cell r="E1919">
            <v>30013</v>
          </cell>
          <cell r="F1919" t="str">
            <v>AGUARRAS</v>
          </cell>
          <cell r="G1919" t="str">
            <v>IMOBILIÁRIO</v>
          </cell>
        </row>
        <row r="1920">
          <cell r="A1920">
            <v>85859</v>
          </cell>
          <cell r="B1920" t="str">
            <v>CR AGUARRAS INCOLOR  5L</v>
          </cell>
          <cell r="C1920">
            <v>5203220</v>
          </cell>
          <cell r="D1920" t="str">
            <v>CORAL</v>
          </cell>
          <cell r="E1920">
            <v>30013</v>
          </cell>
          <cell r="F1920" t="str">
            <v>AGUARRAS</v>
          </cell>
          <cell r="G1920" t="str">
            <v>IMOBILIÁRIO</v>
          </cell>
        </row>
        <row r="1921">
          <cell r="A1921">
            <v>85860</v>
          </cell>
          <cell r="B1921" t="str">
            <v>CR AGUARRAS INCOLOR 900ML</v>
          </cell>
          <cell r="C1921">
            <v>5203222</v>
          </cell>
          <cell r="D1921" t="str">
            <v>CORAL</v>
          </cell>
          <cell r="E1921">
            <v>30013</v>
          </cell>
          <cell r="F1921" t="str">
            <v>AGUARRAS</v>
          </cell>
          <cell r="G1921" t="str">
            <v>IMOBILIÁRIO</v>
          </cell>
        </row>
        <row r="1922">
          <cell r="A1922">
            <v>85219</v>
          </cell>
          <cell r="B1922" t="str">
            <v>COLORANTE CB PRETO SUVINIL</v>
          </cell>
          <cell r="C1922">
            <v>91837</v>
          </cell>
          <cell r="D1922" t="str">
            <v>SUVINIL</v>
          </cell>
          <cell r="E1922">
            <v>30008</v>
          </cell>
          <cell r="F1922" t="str">
            <v>CORANTES</v>
          </cell>
          <cell r="G1922" t="str">
            <v>IMOBILIÁRIO</v>
          </cell>
        </row>
        <row r="1923">
          <cell r="A1923">
            <v>85218</v>
          </cell>
          <cell r="B1923" t="str">
            <v>COLORANTE R1 VERMELHO OXIDO SUVINIL</v>
          </cell>
          <cell r="C1923">
            <v>91839</v>
          </cell>
          <cell r="D1923" t="str">
            <v>SUVINIL</v>
          </cell>
          <cell r="E1923">
            <v>30008</v>
          </cell>
          <cell r="F1923" t="str">
            <v>CORANTES</v>
          </cell>
          <cell r="G1923" t="str">
            <v>IMOBILIÁRIO</v>
          </cell>
        </row>
        <row r="1924">
          <cell r="A1924">
            <v>85221</v>
          </cell>
          <cell r="B1924" t="str">
            <v>COLORANTE RY VERMELHO ALARANJADO SUVINIL</v>
          </cell>
          <cell r="C1924">
            <v>91834</v>
          </cell>
          <cell r="D1924" t="str">
            <v>SUVINIL</v>
          </cell>
          <cell r="E1924">
            <v>30008</v>
          </cell>
          <cell r="F1924" t="str">
            <v>CORANTES</v>
          </cell>
          <cell r="G1924" t="str">
            <v>IMOBILIÁRIO</v>
          </cell>
        </row>
        <row r="1925">
          <cell r="A1925">
            <v>85220</v>
          </cell>
          <cell r="B1925" t="str">
            <v>COLORANTE YI AMARELO OXIDO SUVINIL</v>
          </cell>
          <cell r="C1925">
            <v>91836</v>
          </cell>
          <cell r="D1925" t="str">
            <v>SUVINIL</v>
          </cell>
          <cell r="E1925">
            <v>30008</v>
          </cell>
          <cell r="F1925" t="str">
            <v>CORANTES</v>
          </cell>
          <cell r="G1925" t="str">
            <v>IMOBILIÁRIO</v>
          </cell>
        </row>
        <row r="1926">
          <cell r="A1926">
            <v>84481</v>
          </cell>
          <cell r="B1926" t="str">
            <v>CORANTE LIQUIDO AMARELO 50ML</v>
          </cell>
          <cell r="C1926">
            <v>23001007500</v>
          </cell>
          <cell r="D1926" t="str">
            <v>TEK BOND</v>
          </cell>
          <cell r="E1926">
            <v>30008</v>
          </cell>
          <cell r="F1926" t="str">
            <v>CORANTES</v>
          </cell>
          <cell r="G1926" t="str">
            <v>IMOBILIÁRIO</v>
          </cell>
        </row>
        <row r="1927">
          <cell r="A1927">
            <v>85010</v>
          </cell>
          <cell r="B1927" t="str">
            <v>CORANTE LIQUIDO AMARELO 50ML MAZA</v>
          </cell>
          <cell r="C1927">
            <v>26550</v>
          </cell>
          <cell r="D1927" t="str">
            <v>MAZA</v>
          </cell>
          <cell r="E1927">
            <v>30008</v>
          </cell>
          <cell r="F1927" t="str">
            <v>CORANTES</v>
          </cell>
          <cell r="G1927" t="str">
            <v>IMOBILIÁRIO</v>
          </cell>
        </row>
        <row r="1928">
          <cell r="A1928">
            <v>84479</v>
          </cell>
          <cell r="B1928" t="str">
            <v>CORANTE LIQUIDO AZUL 50ML</v>
          </cell>
          <cell r="C1928">
            <v>23001007300</v>
          </cell>
          <cell r="D1928" t="str">
            <v>TEK BOND</v>
          </cell>
          <cell r="E1928">
            <v>30008</v>
          </cell>
          <cell r="F1928" t="str">
            <v>CORANTES</v>
          </cell>
          <cell r="G1928" t="str">
            <v>IMOBILIÁRIO</v>
          </cell>
        </row>
        <row r="1929">
          <cell r="A1929">
            <v>85011</v>
          </cell>
          <cell r="B1929" t="str">
            <v>CORANTE LIQUIDO AZUL 50ML MAZA</v>
          </cell>
          <cell r="C1929">
            <v>26538</v>
          </cell>
          <cell r="D1929" t="str">
            <v>MAZA</v>
          </cell>
          <cell r="E1929">
            <v>30008</v>
          </cell>
          <cell r="F1929" t="str">
            <v>CORANTES</v>
          </cell>
          <cell r="G1929" t="str">
            <v>IMOBILIÁRIO</v>
          </cell>
        </row>
        <row r="1930">
          <cell r="A1930">
            <v>84476</v>
          </cell>
          <cell r="B1930" t="str">
            <v>CORANTE LIQUIDO BRANCO 50ML</v>
          </cell>
          <cell r="C1930">
            <v>23001007000</v>
          </cell>
          <cell r="D1930" t="str">
            <v>TEK BOND</v>
          </cell>
          <cell r="E1930">
            <v>30008</v>
          </cell>
          <cell r="F1930" t="str">
            <v>CORANTES</v>
          </cell>
          <cell r="G1930" t="str">
            <v>IMOBILIÁRIO</v>
          </cell>
        </row>
        <row r="1931">
          <cell r="A1931">
            <v>85012</v>
          </cell>
          <cell r="B1931" t="str">
            <v>CORANTE LIQUIDO BRANCO 50ML MAZA</v>
          </cell>
          <cell r="C1931">
            <v>26540</v>
          </cell>
          <cell r="D1931" t="str">
            <v>MAZA</v>
          </cell>
          <cell r="E1931">
            <v>30008</v>
          </cell>
          <cell r="F1931" t="str">
            <v>CORANTES</v>
          </cell>
          <cell r="G1931" t="str">
            <v>IMOBILIÁRIO</v>
          </cell>
        </row>
        <row r="1932">
          <cell r="A1932">
            <v>84482</v>
          </cell>
          <cell r="B1932" t="str">
            <v>CORANTE LIQUIDO LARANJA 50ML</v>
          </cell>
          <cell r="C1932">
            <v>23001007600</v>
          </cell>
          <cell r="D1932" t="str">
            <v>TEK BOND</v>
          </cell>
          <cell r="E1932">
            <v>30008</v>
          </cell>
          <cell r="F1932" t="str">
            <v>CORANTES</v>
          </cell>
          <cell r="G1932" t="str">
            <v>IMOBILIÁRIO</v>
          </cell>
        </row>
        <row r="1933">
          <cell r="A1933">
            <v>85013</v>
          </cell>
          <cell r="B1933" t="str">
            <v>CORANTE LIQUIDO LARANJA 50ML MAZA</v>
          </cell>
          <cell r="C1933">
            <v>26541</v>
          </cell>
          <cell r="D1933" t="str">
            <v>MAZA</v>
          </cell>
          <cell r="E1933">
            <v>30008</v>
          </cell>
          <cell r="F1933" t="str">
            <v>CORANTES</v>
          </cell>
          <cell r="G1933" t="str">
            <v>IMOBILIÁRIO</v>
          </cell>
        </row>
        <row r="1934">
          <cell r="A1934">
            <v>84484</v>
          </cell>
          <cell r="B1934" t="str">
            <v>CORANTE LIQUIDO MARROM 50ML</v>
          </cell>
          <cell r="C1934">
            <v>23001007800</v>
          </cell>
          <cell r="D1934" t="str">
            <v>TEK BOND</v>
          </cell>
          <cell r="E1934">
            <v>30008</v>
          </cell>
          <cell r="F1934" t="str">
            <v>CORANTES</v>
          </cell>
          <cell r="G1934" t="str">
            <v>IMOBILIÁRIO</v>
          </cell>
        </row>
        <row r="1935">
          <cell r="A1935">
            <v>85014</v>
          </cell>
          <cell r="B1935" t="str">
            <v>CORANTE LIQUIDO MARROM 50ML MAZA</v>
          </cell>
          <cell r="C1935">
            <v>26542</v>
          </cell>
          <cell r="D1935" t="str">
            <v>MAZA</v>
          </cell>
          <cell r="E1935">
            <v>30008</v>
          </cell>
          <cell r="F1935" t="str">
            <v>CORANTES</v>
          </cell>
          <cell r="G1935" t="str">
            <v>IMOBILIÁRIO</v>
          </cell>
        </row>
        <row r="1936">
          <cell r="A1936">
            <v>84485</v>
          </cell>
          <cell r="B1936" t="str">
            <v>CORANTE LIQUIDO OCRE 50ML</v>
          </cell>
          <cell r="C1936">
            <v>23001007900</v>
          </cell>
          <cell r="D1936" t="str">
            <v>TEK BOND</v>
          </cell>
          <cell r="E1936">
            <v>30008</v>
          </cell>
          <cell r="F1936" t="str">
            <v>CORANTES</v>
          </cell>
          <cell r="G1936" t="str">
            <v>IMOBILIÁRIO</v>
          </cell>
        </row>
        <row r="1937">
          <cell r="A1937">
            <v>85015</v>
          </cell>
          <cell r="B1937" t="str">
            <v>CORANTE LIQUIDO OCRE 50ML MAZA</v>
          </cell>
          <cell r="C1937">
            <v>26537</v>
          </cell>
          <cell r="D1937" t="str">
            <v>MAZA</v>
          </cell>
          <cell r="E1937">
            <v>30008</v>
          </cell>
          <cell r="F1937" t="str">
            <v>CORANTES</v>
          </cell>
          <cell r="G1937" t="str">
            <v>IMOBILIÁRIO</v>
          </cell>
        </row>
        <row r="1938">
          <cell r="A1938">
            <v>84478</v>
          </cell>
          <cell r="B1938" t="str">
            <v>CORANTE LIQUIDO PRETO 50ML</v>
          </cell>
          <cell r="C1938">
            <v>23001007200</v>
          </cell>
          <cell r="D1938" t="str">
            <v>TEK BOND</v>
          </cell>
          <cell r="E1938">
            <v>30008</v>
          </cell>
          <cell r="F1938" t="str">
            <v>CORANTES</v>
          </cell>
          <cell r="G1938" t="str">
            <v>IMOBILIÁRIO</v>
          </cell>
        </row>
        <row r="1939">
          <cell r="A1939">
            <v>85016</v>
          </cell>
          <cell r="B1939" t="str">
            <v>CORANTE LIQUIDO PRETO 50ML MAZA</v>
          </cell>
          <cell r="C1939">
            <v>26543</v>
          </cell>
          <cell r="D1939" t="str">
            <v>MAZA</v>
          </cell>
          <cell r="E1939">
            <v>30008</v>
          </cell>
          <cell r="F1939" t="str">
            <v>CORANTES</v>
          </cell>
          <cell r="G1939" t="str">
            <v>IMOBILIÁRIO</v>
          </cell>
        </row>
        <row r="1940">
          <cell r="A1940">
            <v>84480</v>
          </cell>
          <cell r="B1940" t="str">
            <v>CORANTE LIQUIDO VERDE 50ML</v>
          </cell>
          <cell r="C1940">
            <v>23001007400</v>
          </cell>
          <cell r="D1940" t="str">
            <v>TEK BOND</v>
          </cell>
          <cell r="E1940">
            <v>30008</v>
          </cell>
          <cell r="F1940" t="str">
            <v>CORANTES</v>
          </cell>
          <cell r="G1940" t="str">
            <v>IMOBILIÁRIO</v>
          </cell>
        </row>
        <row r="1941">
          <cell r="A1941">
            <v>85017</v>
          </cell>
          <cell r="B1941" t="str">
            <v>CORANTE LIQUIDO VERDE 50ML MAZA</v>
          </cell>
          <cell r="C1941">
            <v>26545</v>
          </cell>
          <cell r="D1941" t="str">
            <v>MAZA</v>
          </cell>
          <cell r="E1941">
            <v>30008</v>
          </cell>
          <cell r="F1941" t="str">
            <v>CORANTES</v>
          </cell>
          <cell r="G1941" t="str">
            <v>IMOBILIÁRIO</v>
          </cell>
        </row>
        <row r="1942">
          <cell r="A1942">
            <v>84477</v>
          </cell>
          <cell r="B1942" t="str">
            <v>CORANTE LIQUIDO VERMELHO 50ML</v>
          </cell>
          <cell r="C1942">
            <v>23001007100</v>
          </cell>
          <cell r="D1942" t="str">
            <v>MAZA</v>
          </cell>
          <cell r="E1942">
            <v>30008</v>
          </cell>
          <cell r="F1942" t="str">
            <v>CORANTES</v>
          </cell>
          <cell r="G1942" t="str">
            <v>IMOBILIÁRIO</v>
          </cell>
        </row>
        <row r="1943">
          <cell r="A1943">
            <v>85018</v>
          </cell>
          <cell r="B1943" t="str">
            <v>CORANTE LIQUIDO VERMELHO 50ML MAZA</v>
          </cell>
          <cell r="C1943">
            <v>26544</v>
          </cell>
          <cell r="D1943" t="str">
            <v>MAZA</v>
          </cell>
          <cell r="E1943">
            <v>30008</v>
          </cell>
          <cell r="F1943" t="str">
            <v>CORANTES</v>
          </cell>
          <cell r="G1943" t="str">
            <v>IMOBILIÁRIO</v>
          </cell>
        </row>
        <row r="1944">
          <cell r="A1944">
            <v>84483</v>
          </cell>
          <cell r="B1944" t="str">
            <v>CORANTE LIQUIDO VIOLETA 50ML</v>
          </cell>
          <cell r="C1944">
            <v>23001007700</v>
          </cell>
          <cell r="D1944" t="str">
            <v>MAZA</v>
          </cell>
          <cell r="E1944">
            <v>30008</v>
          </cell>
          <cell r="F1944" t="str">
            <v>CORANTES</v>
          </cell>
          <cell r="G1944" t="str">
            <v>IMOBILIÁRIO</v>
          </cell>
        </row>
        <row r="1945">
          <cell r="A1945">
            <v>85019</v>
          </cell>
          <cell r="B1945" t="str">
            <v>CORANTE LIQUIDO VIOLETA 50ML MAZA</v>
          </cell>
          <cell r="C1945">
            <v>26546</v>
          </cell>
          <cell r="D1945" t="str">
            <v>MAZA</v>
          </cell>
          <cell r="E1945">
            <v>30008</v>
          </cell>
          <cell r="F1945" t="str">
            <v>CORANTES</v>
          </cell>
          <cell r="G1945" t="str">
            <v>IMOBILIÁRIO</v>
          </cell>
        </row>
        <row r="1946">
          <cell r="A1946">
            <v>85882</v>
          </cell>
          <cell r="B1946" t="str">
            <v>CR CORANTE B A AMARELO 50ML</v>
          </cell>
          <cell r="C1946">
            <v>5202607</v>
          </cell>
          <cell r="D1946" t="str">
            <v>CORAL</v>
          </cell>
          <cell r="E1946">
            <v>30008</v>
          </cell>
          <cell r="F1946" t="str">
            <v>CORANTES</v>
          </cell>
          <cell r="G1946" t="str">
            <v>IMOBILIÁRIO</v>
          </cell>
        </row>
        <row r="1947">
          <cell r="A1947">
            <v>85878</v>
          </cell>
          <cell r="B1947" t="str">
            <v>CR CORANTE B A AZUL 50ML</v>
          </cell>
          <cell r="C1947">
            <v>5202603</v>
          </cell>
          <cell r="D1947" t="str">
            <v>CORAL</v>
          </cell>
          <cell r="E1947">
            <v>30008</v>
          </cell>
          <cell r="F1947" t="str">
            <v>CORANTES</v>
          </cell>
          <cell r="G1947" t="str">
            <v>IMOBILIÁRIO</v>
          </cell>
        </row>
        <row r="1948">
          <cell r="A1948">
            <v>85885</v>
          </cell>
          <cell r="B1948" t="str">
            <v>CR CORANTE B A CASTANHA 50ML</v>
          </cell>
          <cell r="C1948">
            <v>5202610</v>
          </cell>
          <cell r="D1948" t="str">
            <v>CORAL</v>
          </cell>
          <cell r="E1948">
            <v>30008</v>
          </cell>
          <cell r="F1948" t="str">
            <v>CORANTES</v>
          </cell>
          <cell r="G1948" t="str">
            <v>IMOBILIÁRIO</v>
          </cell>
        </row>
        <row r="1949">
          <cell r="A1949">
            <v>85881</v>
          </cell>
          <cell r="B1949" t="str">
            <v>CR CORANTE B A LARANJA 50ML</v>
          </cell>
          <cell r="C1949">
            <v>5202606</v>
          </cell>
          <cell r="D1949" t="str">
            <v>CORAL</v>
          </cell>
          <cell r="E1949">
            <v>30008</v>
          </cell>
          <cell r="F1949" t="str">
            <v>CORANTES</v>
          </cell>
          <cell r="G1949" t="str">
            <v>IMOBILIÁRIO</v>
          </cell>
        </row>
        <row r="1950">
          <cell r="A1950">
            <v>85884</v>
          </cell>
          <cell r="B1950" t="str">
            <v>CR CORANTE B A OCRE COL 50ML</v>
          </cell>
          <cell r="C1950">
            <v>5202609</v>
          </cell>
          <cell r="D1950" t="str">
            <v>CORAL</v>
          </cell>
          <cell r="E1950">
            <v>30008</v>
          </cell>
          <cell r="F1950" t="str">
            <v>CORANTES</v>
          </cell>
          <cell r="G1950" t="str">
            <v>IMOBILIÁRIO</v>
          </cell>
        </row>
        <row r="1951">
          <cell r="A1951">
            <v>85877</v>
          </cell>
          <cell r="B1951" t="str">
            <v>CR CORANTE B A PRETO 50ML</v>
          </cell>
          <cell r="C1951">
            <v>5202602</v>
          </cell>
          <cell r="D1951" t="str">
            <v>CORAL</v>
          </cell>
          <cell r="E1951">
            <v>30008</v>
          </cell>
          <cell r="F1951" t="str">
            <v>CORANTES</v>
          </cell>
          <cell r="G1951" t="str">
            <v>IMOBILIÁRIO</v>
          </cell>
        </row>
        <row r="1952">
          <cell r="A1952">
            <v>85883</v>
          </cell>
          <cell r="B1952" t="str">
            <v>CR CORANTE B A VERDE 50ML</v>
          </cell>
          <cell r="C1952">
            <v>5202608</v>
          </cell>
          <cell r="D1952" t="str">
            <v>CORAL</v>
          </cell>
          <cell r="E1952">
            <v>30008</v>
          </cell>
          <cell r="F1952" t="str">
            <v>CORANTES</v>
          </cell>
          <cell r="G1952" t="str">
            <v>IMOBILIÁRIO</v>
          </cell>
        </row>
        <row r="1953">
          <cell r="A1953">
            <v>85880</v>
          </cell>
          <cell r="B1953" t="str">
            <v>CR CORANTE B A VERMELHO 50ML</v>
          </cell>
          <cell r="C1953">
            <v>5202605</v>
          </cell>
          <cell r="D1953" t="str">
            <v>CORAL</v>
          </cell>
          <cell r="E1953">
            <v>30008</v>
          </cell>
          <cell r="F1953" t="str">
            <v>CORANTES</v>
          </cell>
          <cell r="G1953" t="str">
            <v>IMOBILIÁRIO</v>
          </cell>
        </row>
        <row r="1954">
          <cell r="A1954">
            <v>85879</v>
          </cell>
          <cell r="B1954" t="str">
            <v>CR CORANTE B A VIOLETA 50ML</v>
          </cell>
          <cell r="C1954">
            <v>5202604</v>
          </cell>
          <cell r="D1954" t="str">
            <v>CORAL</v>
          </cell>
          <cell r="E1954">
            <v>30008</v>
          </cell>
          <cell r="F1954" t="str">
            <v>CORANTES</v>
          </cell>
          <cell r="G1954" t="str">
            <v>IMOBILIÁRIO</v>
          </cell>
        </row>
        <row r="1955">
          <cell r="A1955">
            <v>85312</v>
          </cell>
          <cell r="B1955" t="str">
            <v>BORRACHA LIQ. SEMIBRILHO - BASE A SEMIBRILHO BORRACHA LIQ</v>
          </cell>
          <cell r="C1955" t="str">
            <v>BA 620525833</v>
          </cell>
          <cell r="D1955" t="str">
            <v>BRASILUX</v>
          </cell>
          <cell r="E1955">
            <v>30007</v>
          </cell>
          <cell r="F1955" t="str">
            <v>TINTA EMBORRACHADA</v>
          </cell>
          <cell r="G1955" t="str">
            <v>IMOBILIÁRIO</v>
          </cell>
        </row>
        <row r="1956">
          <cell r="A1956">
            <v>84969</v>
          </cell>
          <cell r="B1956" t="str">
            <v>EMBORRACHADA-AREIA 18L LATA BRASILUX</v>
          </cell>
          <cell r="C1956" t="str">
            <v>EB 620700103</v>
          </cell>
          <cell r="D1956" t="str">
            <v>BRASILUX</v>
          </cell>
          <cell r="E1956">
            <v>30007</v>
          </cell>
          <cell r="F1956" t="str">
            <v>TINTA EMBORRACHADA</v>
          </cell>
          <cell r="G1956" t="str">
            <v>IMOBILIÁRIO</v>
          </cell>
        </row>
        <row r="1957">
          <cell r="A1957">
            <v>84766</v>
          </cell>
          <cell r="B1957" t="str">
            <v>EMBORRACHADA-AREIA 3,6L BRASILUX</v>
          </cell>
          <cell r="C1957" t="str">
            <v>EB 620700102</v>
          </cell>
          <cell r="D1957" t="str">
            <v>BRASILUX</v>
          </cell>
          <cell r="E1957">
            <v>30007</v>
          </cell>
          <cell r="F1957" t="str">
            <v>TINTA EMBORRACHADA</v>
          </cell>
          <cell r="G1957" t="str">
            <v>IMOBILIÁRIO</v>
          </cell>
        </row>
        <row r="1958">
          <cell r="A1958">
            <v>84621</v>
          </cell>
          <cell r="B1958" t="str">
            <v>EMBORRACHADA-BASE A 16,2L BRASILUX</v>
          </cell>
          <cell r="C1958" t="str">
            <v>BA 620521733</v>
          </cell>
          <cell r="D1958" t="str">
            <v>BRASILUX</v>
          </cell>
          <cell r="E1958">
            <v>30007</v>
          </cell>
          <cell r="F1958" t="str">
            <v>TINTA EMBORRACHADA</v>
          </cell>
          <cell r="G1958" t="str">
            <v>IMOBILIÁRIO</v>
          </cell>
        </row>
        <row r="1959">
          <cell r="A1959">
            <v>84997</v>
          </cell>
          <cell r="B1959" t="str">
            <v>EMBORRACHADA-BASE A 3,24L BRASILUX</v>
          </cell>
          <cell r="C1959" t="str">
            <v>BA 620521732</v>
          </cell>
          <cell r="D1959" t="str">
            <v>BRASILUX</v>
          </cell>
          <cell r="E1959">
            <v>30007</v>
          </cell>
          <cell r="F1959" t="str">
            <v>TINTA EMBORRACHADA</v>
          </cell>
          <cell r="G1959" t="str">
            <v>IMOBILIÁRIO</v>
          </cell>
        </row>
        <row r="1960">
          <cell r="A1960">
            <v>84622</v>
          </cell>
          <cell r="B1960" t="str">
            <v>EMBORRACHADA-BASE B 16,2L LATA BRASILUX</v>
          </cell>
          <cell r="C1960" t="str">
            <v>BA 620521833</v>
          </cell>
          <cell r="D1960" t="str">
            <v>BRASILUX</v>
          </cell>
          <cell r="E1960">
            <v>30007</v>
          </cell>
          <cell r="F1960" t="str">
            <v>TINTA EMBORRACHADA</v>
          </cell>
          <cell r="G1960" t="str">
            <v>IMOBILIÁRIO</v>
          </cell>
        </row>
        <row r="1961">
          <cell r="A1961">
            <v>84998</v>
          </cell>
          <cell r="B1961" t="str">
            <v>EMBORRACHADA-BASE B 3,24L BRASILUX</v>
          </cell>
          <cell r="C1961" t="str">
            <v>BA 620521832</v>
          </cell>
          <cell r="D1961" t="str">
            <v>BRASILUX</v>
          </cell>
          <cell r="E1961">
            <v>30007</v>
          </cell>
          <cell r="F1961" t="str">
            <v>TINTA EMBORRACHADA</v>
          </cell>
          <cell r="G1961" t="str">
            <v>IMOBILIÁRIO</v>
          </cell>
        </row>
        <row r="1962">
          <cell r="A1962">
            <v>85000</v>
          </cell>
          <cell r="B1962" t="str">
            <v>EMBORRACHADA-BASE C 16,2L BRASILUX</v>
          </cell>
          <cell r="C1962" t="str">
            <v>BA 620521933</v>
          </cell>
          <cell r="D1962" t="str">
            <v>BRASILUX</v>
          </cell>
          <cell r="E1962">
            <v>30007</v>
          </cell>
          <cell r="F1962" t="str">
            <v>TINTA EMBORRACHADA</v>
          </cell>
          <cell r="G1962" t="str">
            <v>IMOBILIÁRIO</v>
          </cell>
        </row>
        <row r="1963">
          <cell r="A1963">
            <v>84999</v>
          </cell>
          <cell r="B1963" t="str">
            <v>EMBORRACHADA-BASE C 3,24L BRASILUX</v>
          </cell>
          <cell r="C1963" t="str">
            <v>BA 620521932</v>
          </cell>
          <cell r="D1963" t="str">
            <v>BRASILUX</v>
          </cell>
          <cell r="E1963">
            <v>30007</v>
          </cell>
          <cell r="F1963" t="str">
            <v>TINTA EMBORRACHADA</v>
          </cell>
          <cell r="G1963" t="str">
            <v>IMOBILIÁRIO</v>
          </cell>
        </row>
        <row r="1964">
          <cell r="A1964">
            <v>84367</v>
          </cell>
          <cell r="B1964" t="str">
            <v>EMBORRACHADA-BRANCO GELO 18L BALDE BRASILUX</v>
          </cell>
          <cell r="C1964" t="str">
            <v>EB 620501757</v>
          </cell>
          <cell r="D1964" t="str">
            <v>BRASILUX</v>
          </cell>
          <cell r="E1964">
            <v>30007</v>
          </cell>
          <cell r="F1964" t="str">
            <v>TINTA EMBORRACHADA</v>
          </cell>
          <cell r="G1964" t="str">
            <v>IMOBILIÁRIO</v>
          </cell>
        </row>
        <row r="1965">
          <cell r="A1965">
            <v>84964</v>
          </cell>
          <cell r="B1965" t="str">
            <v>EMBORRACHADA-BRANCO GELO 18L BRASILUX</v>
          </cell>
          <cell r="C1965" t="str">
            <v>EB 620501703</v>
          </cell>
          <cell r="D1965" t="str">
            <v>BRASILUX</v>
          </cell>
          <cell r="E1965">
            <v>30007</v>
          </cell>
          <cell r="F1965" t="str">
            <v>TINTA EMBORRACHADA</v>
          </cell>
          <cell r="G1965" t="str">
            <v>IMOBILIÁRIO</v>
          </cell>
        </row>
        <row r="1966">
          <cell r="A1966">
            <v>84366</v>
          </cell>
          <cell r="B1966" t="str">
            <v>EMBORRACHADA-BRANCO GELO 3,6L BRASILUX</v>
          </cell>
          <cell r="C1966" t="str">
            <v>EB 620501702</v>
          </cell>
          <cell r="D1966" t="str">
            <v>BRASILUX</v>
          </cell>
          <cell r="E1966">
            <v>30007</v>
          </cell>
          <cell r="F1966" t="str">
            <v>TINTA EMBORRACHADA</v>
          </cell>
          <cell r="G1966" t="str">
            <v>IMOBILIÁRIO</v>
          </cell>
        </row>
        <row r="1967">
          <cell r="A1967">
            <v>84296</v>
          </cell>
          <cell r="B1967" t="str">
            <v>EMBORRACHADA-BRANCO NEVE 18L BRASILUX</v>
          </cell>
          <cell r="C1967" t="str">
            <v>EB 620503057</v>
          </cell>
          <cell r="D1967" t="str">
            <v>BRASILUX</v>
          </cell>
          <cell r="E1967">
            <v>30007</v>
          </cell>
          <cell r="F1967" t="str">
            <v>TINTA EMBORRACHADA</v>
          </cell>
          <cell r="G1967" t="str">
            <v>IMOBILIÁRIO</v>
          </cell>
        </row>
        <row r="1968">
          <cell r="A1968">
            <v>84773</v>
          </cell>
          <cell r="B1968" t="str">
            <v>EMBORRACHADA-BRANCO NEVE 18L BRASILUX</v>
          </cell>
          <cell r="C1968" t="str">
            <v>EB 620503003</v>
          </cell>
          <cell r="D1968" t="str">
            <v>BRASILUX</v>
          </cell>
          <cell r="E1968">
            <v>30007</v>
          </cell>
          <cell r="F1968" t="str">
            <v>TINTA EMBORRACHADA</v>
          </cell>
          <cell r="G1968" t="str">
            <v>IMOBILIÁRIO</v>
          </cell>
        </row>
        <row r="1969">
          <cell r="A1969">
            <v>84297</v>
          </cell>
          <cell r="B1969" t="str">
            <v>EMBORRACHADA-BRANCO NEVE 3,6L BRASILUX</v>
          </cell>
          <cell r="C1969" t="str">
            <v>EB 620503002</v>
          </cell>
          <cell r="D1969" t="str">
            <v>BRASILUX</v>
          </cell>
          <cell r="E1969">
            <v>30007</v>
          </cell>
          <cell r="F1969" t="str">
            <v>TINTA EMBORRACHADA</v>
          </cell>
          <cell r="G1969" t="str">
            <v>IMOBILIÁRIO</v>
          </cell>
        </row>
        <row r="1970">
          <cell r="A1970">
            <v>84978</v>
          </cell>
          <cell r="B1970" t="str">
            <v>EMBORRACHADA-CAMURCA 18L LATA BRASILUX</v>
          </cell>
          <cell r="C1970" t="str">
            <v>EB 622400103</v>
          </cell>
          <cell r="D1970" t="str">
            <v>BRASILUX</v>
          </cell>
          <cell r="E1970">
            <v>30007</v>
          </cell>
          <cell r="F1970" t="str">
            <v>TINTA EMBORRACHADA</v>
          </cell>
          <cell r="G1970" t="str">
            <v>IMOBILIÁRIO</v>
          </cell>
        </row>
        <row r="1971">
          <cell r="A1971">
            <v>84977</v>
          </cell>
          <cell r="B1971" t="str">
            <v>EMBORRACHADA-CAMURCA 3,6L BRASILUX</v>
          </cell>
          <cell r="C1971" t="str">
            <v>EB 622400102</v>
          </cell>
          <cell r="D1971" t="str">
            <v>BRASILUX</v>
          </cell>
          <cell r="E1971">
            <v>30007</v>
          </cell>
          <cell r="F1971" t="str">
            <v>TINTA EMBORRACHADA</v>
          </cell>
          <cell r="G1971" t="str">
            <v>IMOBILIÁRIO</v>
          </cell>
        </row>
        <row r="1972">
          <cell r="A1972">
            <v>84972</v>
          </cell>
          <cell r="B1972" t="str">
            <v>EMBORRACHADA-CHOCOLATE QUENTE 18L BRASILUX</v>
          </cell>
          <cell r="C1972" t="str">
            <v>EB 621041703</v>
          </cell>
          <cell r="D1972" t="str">
            <v>BRASILUX</v>
          </cell>
          <cell r="E1972">
            <v>30007</v>
          </cell>
          <cell r="F1972" t="str">
            <v>TINTA EMBORRACHADA</v>
          </cell>
          <cell r="G1972" t="str">
            <v>IMOBILIÁRIO</v>
          </cell>
        </row>
        <row r="1973">
          <cell r="A1973">
            <v>84968</v>
          </cell>
          <cell r="B1973" t="str">
            <v>EMBORRACHADA-CINZA CONTEMPORANEO BRE154 18L BRASILUX</v>
          </cell>
          <cell r="C1973" t="str">
            <v>EB 620609303</v>
          </cell>
          <cell r="D1973" t="str">
            <v>BRASILUX</v>
          </cell>
          <cell r="E1973">
            <v>30007</v>
          </cell>
          <cell r="F1973" t="str">
            <v>TINTA EMBORRACHADA</v>
          </cell>
          <cell r="G1973" t="str">
            <v>IMOBILIÁRIO</v>
          </cell>
        </row>
        <row r="1974">
          <cell r="A1974">
            <v>84967</v>
          </cell>
          <cell r="B1974" t="str">
            <v>EMBORRACHADA-CINZA CONTEMPORANEO BRE154 3,6L BRASILUX</v>
          </cell>
          <cell r="C1974" t="str">
            <v>EB 620609302</v>
          </cell>
          <cell r="D1974" t="str">
            <v>BRASILUX</v>
          </cell>
          <cell r="E1974">
            <v>30007</v>
          </cell>
          <cell r="F1974" t="str">
            <v>TINTA EMBORRACHADA</v>
          </cell>
          <cell r="G1974" t="str">
            <v>IMOBILIÁRIO</v>
          </cell>
        </row>
        <row r="1975">
          <cell r="A1975">
            <v>84966</v>
          </cell>
          <cell r="B1975" t="str">
            <v>EMBORRACHADA-CINZA MODERNO BRD148 18L BRASILUX</v>
          </cell>
          <cell r="C1975" t="str">
            <v>EB 620609103</v>
          </cell>
          <cell r="D1975" t="str">
            <v>BRASILUX</v>
          </cell>
          <cell r="E1975">
            <v>30007</v>
          </cell>
          <cell r="F1975" t="str">
            <v>TINTA EMBORRACHADA</v>
          </cell>
          <cell r="G1975" t="str">
            <v>IMOBILIÁRIO</v>
          </cell>
        </row>
        <row r="1976">
          <cell r="A1976">
            <v>84965</v>
          </cell>
          <cell r="B1976" t="str">
            <v>EMBORRACHADA-CINZA MODERNO BRD148 3,6L BRASILUX</v>
          </cell>
          <cell r="C1976" t="str">
            <v>EB 620609102</v>
          </cell>
          <cell r="D1976" t="str">
            <v>BRASILUX</v>
          </cell>
          <cell r="E1976">
            <v>30007</v>
          </cell>
          <cell r="F1976" t="str">
            <v>TINTA EMBORRACHADA</v>
          </cell>
          <cell r="G1976" t="str">
            <v>IMOBILIÁRIO</v>
          </cell>
        </row>
        <row r="1977">
          <cell r="A1977">
            <v>84982</v>
          </cell>
          <cell r="B1977" t="str">
            <v>EMBORRACHADA-CONCRETO NOVO 18L BRASILUX</v>
          </cell>
          <cell r="C1977" t="str">
            <v>EB 624702003</v>
          </cell>
          <cell r="D1977" t="str">
            <v>BRASILUX</v>
          </cell>
          <cell r="E1977">
            <v>30007</v>
          </cell>
          <cell r="F1977" t="str">
            <v>TINTA EMBORRACHADA</v>
          </cell>
          <cell r="G1977" t="str">
            <v>IMOBILIÁRIO</v>
          </cell>
        </row>
        <row r="1978">
          <cell r="A1978">
            <v>84981</v>
          </cell>
          <cell r="B1978" t="str">
            <v>EMBORRACHADA-CONCRETO NOVO 3,6L BRASILUX</v>
          </cell>
          <cell r="C1978" t="str">
            <v>EB 624702002</v>
          </cell>
          <cell r="D1978" t="str">
            <v>BRASILUX</v>
          </cell>
          <cell r="E1978">
            <v>30007</v>
          </cell>
          <cell r="F1978" t="str">
            <v>TINTA EMBORRACHADA</v>
          </cell>
          <cell r="G1978" t="str">
            <v>IMOBILIÁRIO</v>
          </cell>
        </row>
        <row r="1979">
          <cell r="A1979">
            <v>84765</v>
          </cell>
          <cell r="B1979" t="str">
            <v>EMBORRACHADA-FUNGHI 3,6L BRASILUX</v>
          </cell>
          <cell r="C1979" t="str">
            <v>EB 621024202</v>
          </cell>
          <cell r="D1979" t="str">
            <v>BRASILUX</v>
          </cell>
          <cell r="E1979">
            <v>30007</v>
          </cell>
          <cell r="F1979" t="str">
            <v>TINTA EMBORRACHADA</v>
          </cell>
          <cell r="G1979" t="str">
            <v>IMOBILIÁRIO</v>
          </cell>
        </row>
        <row r="1980">
          <cell r="A1980">
            <v>84971</v>
          </cell>
          <cell r="B1980" t="str">
            <v>EMBORRACHADA-FUNGHI SEMIACETINADO 18L LATA BRASILUX</v>
          </cell>
          <cell r="C1980" t="str">
            <v>EB 621024203</v>
          </cell>
          <cell r="D1980" t="str">
            <v>BRASILUX</v>
          </cell>
          <cell r="E1980">
            <v>30007</v>
          </cell>
          <cell r="F1980" t="str">
            <v>TINTA EMBORRACHADA</v>
          </cell>
          <cell r="G1980" t="str">
            <v>IMOBILIÁRIO</v>
          </cell>
        </row>
        <row r="1981">
          <cell r="A1981">
            <v>84963</v>
          </cell>
          <cell r="B1981" t="str">
            <v>EMBORRACHADA-OCEANO PROFUNDO 18L BRASILUX</v>
          </cell>
          <cell r="C1981" t="str">
            <v>EB 620342103</v>
          </cell>
          <cell r="D1981" t="str">
            <v>BRASILUX</v>
          </cell>
          <cell r="E1981">
            <v>30007</v>
          </cell>
          <cell r="F1981" t="str">
            <v>TINTA EMBORRACHADA</v>
          </cell>
          <cell r="G1981" t="str">
            <v>IMOBILIÁRIO</v>
          </cell>
        </row>
        <row r="1982">
          <cell r="A1982">
            <v>84974</v>
          </cell>
          <cell r="B1982" t="str">
            <v>EMBORRACHADA-PALHA NOVO 18L BRASILUX</v>
          </cell>
          <cell r="C1982" t="str">
            <v>EB 621200503</v>
          </cell>
          <cell r="D1982" t="str">
            <v>BRASILUX</v>
          </cell>
          <cell r="E1982">
            <v>30007</v>
          </cell>
          <cell r="F1982" t="str">
            <v>TINTA EMBORRACHADA</v>
          </cell>
          <cell r="G1982" t="str">
            <v>IMOBILIÁRIO</v>
          </cell>
        </row>
        <row r="1983">
          <cell r="A1983">
            <v>84973</v>
          </cell>
          <cell r="B1983" t="str">
            <v>EMBORRACHADA-PALHA NOVO 3,6L BRASILUX</v>
          </cell>
          <cell r="C1983" t="str">
            <v>EB 621200502</v>
          </cell>
          <cell r="D1983" t="str">
            <v>BRASILUX</v>
          </cell>
          <cell r="E1983">
            <v>30007</v>
          </cell>
          <cell r="F1983" t="str">
            <v>TINTA EMBORRACHADA</v>
          </cell>
          <cell r="G1983" t="str">
            <v>IMOBILIÁRIO</v>
          </cell>
        </row>
        <row r="1984">
          <cell r="A1984">
            <v>84976</v>
          </cell>
          <cell r="B1984" t="str">
            <v>EMBORRACHADA-PRETO 18L BRASILUX</v>
          </cell>
          <cell r="C1984" t="str">
            <v>EB 621500103</v>
          </cell>
          <cell r="D1984" t="str">
            <v>BRASILUX</v>
          </cell>
          <cell r="E1984">
            <v>30007</v>
          </cell>
          <cell r="F1984" t="str">
            <v>TINTA EMBORRACHADA</v>
          </cell>
          <cell r="G1984" t="str">
            <v>IMOBILIÁRIO</v>
          </cell>
        </row>
        <row r="1985">
          <cell r="A1985">
            <v>84763</v>
          </cell>
          <cell r="B1985" t="str">
            <v>EMBORRACHADA-PRETO 3,6L BRASILUX</v>
          </cell>
          <cell r="C1985" t="str">
            <v>EB 621500102</v>
          </cell>
          <cell r="D1985" t="str">
            <v>BRASILUX</v>
          </cell>
          <cell r="E1985">
            <v>30007</v>
          </cell>
          <cell r="F1985" t="str">
            <v>TINTA EMBORRACHADA</v>
          </cell>
          <cell r="G1985" t="str">
            <v>IMOBILIÁRIO</v>
          </cell>
        </row>
        <row r="1986">
          <cell r="A1986">
            <v>84764</v>
          </cell>
          <cell r="B1986" t="str">
            <v>EMBORRACHADA-TANGERINA NOVO 18L BALDE BRASILUX</v>
          </cell>
          <cell r="C1986" t="str">
            <v>EB 620937057</v>
          </cell>
          <cell r="D1986" t="str">
            <v>BRASILUX</v>
          </cell>
          <cell r="E1986">
            <v>30007</v>
          </cell>
          <cell r="F1986" t="str">
            <v>TINTA EMBORRACHADA</v>
          </cell>
          <cell r="G1986" t="str">
            <v>IMOBILIÁRIO</v>
          </cell>
        </row>
        <row r="1987">
          <cell r="A1987">
            <v>84970</v>
          </cell>
          <cell r="B1987" t="str">
            <v>EMBORRACHADA-TANGERINA NOVO 18L BRASILUX</v>
          </cell>
          <cell r="C1987" t="str">
            <v>EB 620937003</v>
          </cell>
          <cell r="D1987" t="str">
            <v>BRASILUX</v>
          </cell>
          <cell r="E1987">
            <v>30007</v>
          </cell>
          <cell r="F1987" t="str">
            <v>TINTA EMBORRACHADA</v>
          </cell>
          <cell r="G1987" t="str">
            <v>IMOBILIÁRIO</v>
          </cell>
        </row>
        <row r="1988">
          <cell r="A1988">
            <v>84980</v>
          </cell>
          <cell r="B1988" t="str">
            <v>EMBORRACHADA-TERRACOTA 18L BRASILUX</v>
          </cell>
          <cell r="C1988" t="str">
            <v>EB 624200103</v>
          </cell>
          <cell r="D1988" t="str">
            <v>BRASILUX</v>
          </cell>
          <cell r="E1988">
            <v>30007</v>
          </cell>
          <cell r="F1988" t="str">
            <v>TINTA EMBORRACHADA</v>
          </cell>
          <cell r="G1988" t="str">
            <v>IMOBILIÁRIO</v>
          </cell>
        </row>
        <row r="1989">
          <cell r="A1989">
            <v>84979</v>
          </cell>
          <cell r="B1989" t="str">
            <v>EMBORRACHADA-VERDE MUSGO 18L BRASILUX</v>
          </cell>
          <cell r="C1989" t="str">
            <v>EB 622203903</v>
          </cell>
          <cell r="D1989" t="str">
            <v>BRASILUX</v>
          </cell>
          <cell r="E1989">
            <v>30007</v>
          </cell>
          <cell r="F1989" t="str">
            <v>TINTA EMBORRACHADA</v>
          </cell>
          <cell r="G1989" t="str">
            <v>IMOBILIÁRIO</v>
          </cell>
        </row>
        <row r="1990">
          <cell r="A1990">
            <v>84975</v>
          </cell>
          <cell r="B1990" t="str">
            <v>EMBORRACHADA-VERMELHO CARDINAL 18L BRASILUX</v>
          </cell>
          <cell r="C1990" t="str">
            <v>EB 622373303</v>
          </cell>
          <cell r="D1990" t="str">
            <v>BRASILUX</v>
          </cell>
          <cell r="E1990">
            <v>30007</v>
          </cell>
          <cell r="F1990" t="str">
            <v>TINTA EMBORRACHADA</v>
          </cell>
          <cell r="G1990" t="str">
            <v>IMOBILIÁRIO</v>
          </cell>
        </row>
        <row r="1991">
          <cell r="A1991">
            <v>84617</v>
          </cell>
          <cell r="B1991" t="str">
            <v>ACRILAR-BASE A ACETINADO 16,2L BRASILUX</v>
          </cell>
          <cell r="C1991" t="str">
            <v>BA 490525833</v>
          </cell>
          <cell r="D1991" t="str">
            <v>BRASILUX</v>
          </cell>
          <cell r="E1991">
            <v>30006</v>
          </cell>
          <cell r="F1991" t="str">
            <v>BASES IMOBILIÁRIAS</v>
          </cell>
          <cell r="G1991" t="str">
            <v>IMOBILIÁRIO</v>
          </cell>
        </row>
        <row r="1992">
          <cell r="A1992">
            <v>84616</v>
          </cell>
          <cell r="B1992" t="str">
            <v>ACRILAR-BASE A ACETINADO 3,24L BRASILUX</v>
          </cell>
          <cell r="C1992" t="str">
            <v>BA 490525832</v>
          </cell>
          <cell r="D1992" t="str">
            <v>BRASILUX</v>
          </cell>
          <cell r="E1992">
            <v>30006</v>
          </cell>
          <cell r="F1992" t="str">
            <v>BASES IMOBILIÁRIAS</v>
          </cell>
          <cell r="G1992" t="str">
            <v>IMOBILIÁRIO</v>
          </cell>
        </row>
        <row r="1993">
          <cell r="A1993">
            <v>84615</v>
          </cell>
          <cell r="B1993" t="str">
            <v>ACRILAR-BASE A ACETINADO 810ML BRASILUX</v>
          </cell>
          <cell r="C1993" t="str">
            <v>BA 490525831</v>
          </cell>
          <cell r="D1993" t="str">
            <v>BRASILUX</v>
          </cell>
          <cell r="E1993">
            <v>30006</v>
          </cell>
          <cell r="F1993" t="str">
            <v>BASES IMOBILIÁRIAS</v>
          </cell>
          <cell r="G1993" t="str">
            <v>IMOBILIÁRIO</v>
          </cell>
        </row>
        <row r="1994">
          <cell r="A1994">
            <v>84610</v>
          </cell>
          <cell r="B1994" t="str">
            <v>ACRILAR-BASE A FOSCO 16,2L BRASILUX</v>
          </cell>
          <cell r="C1994" t="str">
            <v>BA 490521733</v>
          </cell>
          <cell r="D1994" t="str">
            <v>BRASILUX</v>
          </cell>
          <cell r="E1994">
            <v>30006</v>
          </cell>
          <cell r="F1994" t="str">
            <v>BASES IMOBILIÁRIAS</v>
          </cell>
          <cell r="G1994" t="str">
            <v>IMOBILIÁRIO</v>
          </cell>
        </row>
        <row r="1995">
          <cell r="A1995">
            <v>84609</v>
          </cell>
          <cell r="B1995" t="str">
            <v>ACRILAR-BASE A FOSCO 3,24L BRASILUX</v>
          </cell>
          <cell r="C1995" t="str">
            <v>BA 490521732</v>
          </cell>
          <cell r="D1995" t="str">
            <v>BRASILUX</v>
          </cell>
          <cell r="E1995">
            <v>30006</v>
          </cell>
          <cell r="F1995" t="str">
            <v>BASES IMOBILIÁRIAS</v>
          </cell>
          <cell r="G1995" t="str">
            <v>IMOBILIÁRIO</v>
          </cell>
        </row>
        <row r="1996">
          <cell r="A1996">
            <v>84608</v>
          </cell>
          <cell r="B1996" t="str">
            <v>ACRILAR-BASE A FOSCO 810ML BRASILUX</v>
          </cell>
          <cell r="C1996" t="str">
            <v>BA 490521731</v>
          </cell>
          <cell r="D1996" t="str">
            <v>BRASILUX</v>
          </cell>
          <cell r="E1996">
            <v>30006</v>
          </cell>
          <cell r="F1996" t="str">
            <v>BASES IMOBILIÁRIAS</v>
          </cell>
          <cell r="G1996" t="str">
            <v>IMOBILIÁRIO</v>
          </cell>
        </row>
        <row r="1997">
          <cell r="A1997">
            <v>84614</v>
          </cell>
          <cell r="B1997" t="str">
            <v>ACRILAR-BASE B ACETINADO 16,2L BRASILUX</v>
          </cell>
          <cell r="C1997" t="str">
            <v>BA 490525933</v>
          </cell>
          <cell r="D1997" t="str">
            <v>BRASILUX</v>
          </cell>
          <cell r="E1997">
            <v>30006</v>
          </cell>
          <cell r="F1997" t="str">
            <v>BASES IMOBILIÁRIAS</v>
          </cell>
          <cell r="G1997" t="str">
            <v>IMOBILIÁRIO</v>
          </cell>
        </row>
        <row r="1998">
          <cell r="A1998">
            <v>84618</v>
          </cell>
          <cell r="B1998" t="str">
            <v>ACRILAR-BASE B ACETINADO 3,24L BRASILUX</v>
          </cell>
          <cell r="C1998" t="str">
            <v>BA 490525932</v>
          </cell>
          <cell r="D1998" t="str">
            <v>BRASILUX</v>
          </cell>
          <cell r="E1998">
            <v>30006</v>
          </cell>
          <cell r="F1998" t="str">
            <v>BASES IMOBILIÁRIAS</v>
          </cell>
          <cell r="G1998" t="str">
            <v>IMOBILIÁRIO</v>
          </cell>
        </row>
        <row r="1999">
          <cell r="A1999">
            <v>84746</v>
          </cell>
          <cell r="B1999" t="str">
            <v>ACRILAR-BASE B ACETINADO 810ML BRASILUX</v>
          </cell>
          <cell r="C1999" t="str">
            <v>BA 490525931</v>
          </cell>
          <cell r="D1999" t="str">
            <v>BRASILUX</v>
          </cell>
          <cell r="E1999">
            <v>30006</v>
          </cell>
          <cell r="F1999" t="str">
            <v>BASES IMOBILIÁRIAS</v>
          </cell>
          <cell r="G1999" t="str">
            <v>IMOBILIÁRIO</v>
          </cell>
        </row>
        <row r="2000">
          <cell r="A2000">
            <v>84612</v>
          </cell>
          <cell r="B2000" t="str">
            <v>ACRILAR-BASE B FOSCO 16,2L BRASILUX</v>
          </cell>
          <cell r="C2000" t="str">
            <v>BA 490521833</v>
          </cell>
          <cell r="D2000" t="str">
            <v>BRASILUX</v>
          </cell>
          <cell r="E2000">
            <v>30006</v>
          </cell>
          <cell r="F2000" t="str">
            <v>BASES IMOBILIÁRIAS</v>
          </cell>
          <cell r="G2000" t="str">
            <v>IMOBILIÁRIO</v>
          </cell>
        </row>
        <row r="2001">
          <cell r="A2001">
            <v>84611</v>
          </cell>
          <cell r="B2001" t="str">
            <v>ACRILAR-BASE B FOSCO 3,24L BRASILUX</v>
          </cell>
          <cell r="C2001" t="str">
            <v>BA 490521832</v>
          </cell>
          <cell r="D2001" t="str">
            <v>BRASILUX</v>
          </cell>
          <cell r="E2001">
            <v>30006</v>
          </cell>
          <cell r="F2001" t="str">
            <v>BASES IMOBILIÁRIAS</v>
          </cell>
          <cell r="G2001" t="str">
            <v>IMOBILIÁRIO</v>
          </cell>
        </row>
        <row r="2002">
          <cell r="A2002">
            <v>84745</v>
          </cell>
          <cell r="B2002" t="str">
            <v>ACRILAR-BASE B FOSCO 810ML BRASILUX</v>
          </cell>
          <cell r="C2002" t="str">
            <v>BA 490521831</v>
          </cell>
          <cell r="D2002" t="str">
            <v>BRASILUX</v>
          </cell>
          <cell r="E2002">
            <v>30006</v>
          </cell>
          <cell r="F2002" t="str">
            <v>BASES IMOBILIÁRIAS</v>
          </cell>
          <cell r="G2002" t="str">
            <v>IMOBILIÁRIO</v>
          </cell>
        </row>
        <row r="2003">
          <cell r="A2003">
            <v>84620</v>
          </cell>
          <cell r="B2003" t="str">
            <v>ACRILAR-BASE C ACETINADO 16,2L BRASILUX</v>
          </cell>
          <cell r="C2003" t="str">
            <v>BA 490526033</v>
          </cell>
          <cell r="D2003" t="str">
            <v>BRASILUX</v>
          </cell>
          <cell r="E2003">
            <v>30006</v>
          </cell>
          <cell r="F2003" t="str">
            <v>BASES IMOBILIÁRIAS</v>
          </cell>
          <cell r="G2003" t="str">
            <v>IMOBILIÁRIO</v>
          </cell>
        </row>
        <row r="2004">
          <cell r="A2004">
            <v>84619</v>
          </cell>
          <cell r="B2004" t="str">
            <v>ACRILAR-BASE C ACETINADO 3,24L BRASILUX</v>
          </cell>
          <cell r="C2004" t="str">
            <v>BA 490526032</v>
          </cell>
          <cell r="D2004" t="str">
            <v>BRASILUX</v>
          </cell>
          <cell r="E2004">
            <v>30006</v>
          </cell>
          <cell r="F2004" t="str">
            <v>BASES IMOBILIÁRIAS</v>
          </cell>
          <cell r="G2004" t="str">
            <v>IMOBILIÁRIO</v>
          </cell>
        </row>
        <row r="2005">
          <cell r="A2005">
            <v>84996</v>
          </cell>
          <cell r="B2005" t="str">
            <v>ACRILAR-BASE C ACETINADO 810ML BRASILUX</v>
          </cell>
          <cell r="C2005" t="str">
            <v>BA 490526031</v>
          </cell>
          <cell r="D2005" t="str">
            <v>BRASILUX</v>
          </cell>
          <cell r="E2005">
            <v>30006</v>
          </cell>
          <cell r="F2005" t="str">
            <v>BASES IMOBILIÁRIAS</v>
          </cell>
          <cell r="G2005" t="str">
            <v>IMOBILIÁRIO</v>
          </cell>
        </row>
        <row r="2006">
          <cell r="A2006">
            <v>84995</v>
          </cell>
          <cell r="B2006" t="str">
            <v>ACRILAR-BASE C FOSCO 16,2L BRASILUX</v>
          </cell>
          <cell r="C2006" t="str">
            <v>BA 490521933</v>
          </cell>
          <cell r="D2006" t="str">
            <v>BRASILUX</v>
          </cell>
          <cell r="E2006">
            <v>30006</v>
          </cell>
          <cell r="F2006" t="str">
            <v>BASES IMOBILIÁRIAS</v>
          </cell>
          <cell r="G2006" t="str">
            <v>IMOBILIÁRIO</v>
          </cell>
        </row>
        <row r="2007">
          <cell r="A2007">
            <v>84613</v>
          </cell>
          <cell r="B2007" t="str">
            <v>ACRILAR-BASE C FOSCO 3,24L BRASILUX</v>
          </cell>
          <cell r="C2007" t="str">
            <v>BA 490521932</v>
          </cell>
          <cell r="D2007" t="str">
            <v>BRASILUX</v>
          </cell>
          <cell r="E2007">
            <v>30006</v>
          </cell>
          <cell r="F2007" t="str">
            <v>BASES IMOBILIÁRIAS</v>
          </cell>
          <cell r="G2007" t="str">
            <v>IMOBILIÁRIO</v>
          </cell>
        </row>
        <row r="2008">
          <cell r="A2008">
            <v>84994</v>
          </cell>
          <cell r="B2008" t="str">
            <v>ACRILAR-BASE C FOSCO 810ML BRASILUX</v>
          </cell>
          <cell r="C2008" t="str">
            <v>BA 490521931</v>
          </cell>
          <cell r="D2008" t="str">
            <v>BRASILUX</v>
          </cell>
          <cell r="E2008">
            <v>30006</v>
          </cell>
          <cell r="F2008" t="str">
            <v>BASES IMOBILIÁRIAS</v>
          </cell>
          <cell r="G2008" t="str">
            <v>IMOBILIÁRIO</v>
          </cell>
        </row>
        <row r="2009">
          <cell r="A2009">
            <v>84598</v>
          </cell>
          <cell r="B2009" t="str">
            <v>BRASILAR-BASE A 16,2L BRASILUX</v>
          </cell>
          <cell r="C2009" t="str">
            <v>BA 420521733</v>
          </cell>
          <cell r="D2009" t="str">
            <v>BRASILUX</v>
          </cell>
          <cell r="E2009">
            <v>30006</v>
          </cell>
          <cell r="F2009" t="str">
            <v>BASES IMOBILIÁRIAS</v>
          </cell>
          <cell r="G2009" t="str">
            <v>IMOBILIÁRIO</v>
          </cell>
        </row>
        <row r="2010">
          <cell r="A2010">
            <v>84597</v>
          </cell>
          <cell r="B2010" t="str">
            <v>BRASILAR-BASE A 3,24L BRASILUX</v>
          </cell>
          <cell r="C2010" t="str">
            <v>BA 420521732</v>
          </cell>
          <cell r="D2010" t="str">
            <v>BRASILUX</v>
          </cell>
          <cell r="E2010">
            <v>30006</v>
          </cell>
          <cell r="F2010" t="str">
            <v>BASES IMOBILIÁRIAS</v>
          </cell>
          <cell r="G2010" t="str">
            <v>IMOBILIÁRIO</v>
          </cell>
        </row>
        <row r="2011">
          <cell r="A2011">
            <v>84747</v>
          </cell>
          <cell r="B2011" t="str">
            <v>BRASILAR-BASE A 810ML BRASILUX</v>
          </cell>
          <cell r="C2011" t="str">
            <v>BA 420521731</v>
          </cell>
          <cell r="D2011" t="str">
            <v>BRASILUX</v>
          </cell>
          <cell r="E2011">
            <v>30006</v>
          </cell>
          <cell r="F2011" t="str">
            <v>BASES IMOBILIÁRIAS</v>
          </cell>
          <cell r="G2011" t="str">
            <v>IMOBILIÁRIO</v>
          </cell>
        </row>
        <row r="2012">
          <cell r="A2012">
            <v>84600</v>
          </cell>
          <cell r="B2012" t="str">
            <v>BRASILAR-BASE B 16,2L BRASILUX</v>
          </cell>
          <cell r="C2012" t="str">
            <v>BA 420521833</v>
          </cell>
          <cell r="D2012" t="str">
            <v>BRASILUX</v>
          </cell>
          <cell r="E2012">
            <v>30006</v>
          </cell>
          <cell r="F2012" t="str">
            <v>BASES IMOBILIÁRIAS</v>
          </cell>
          <cell r="G2012" t="str">
            <v>IMOBILIÁRIO</v>
          </cell>
        </row>
        <row r="2013">
          <cell r="A2013">
            <v>84599</v>
          </cell>
          <cell r="B2013" t="str">
            <v>BRASILAR-BASE B 3,24L BRASILUX</v>
          </cell>
          <cell r="C2013" t="str">
            <v>BA 420521832</v>
          </cell>
          <cell r="D2013" t="str">
            <v>BRASILUX</v>
          </cell>
          <cell r="E2013">
            <v>30006</v>
          </cell>
          <cell r="F2013" t="str">
            <v>BASES IMOBILIÁRIAS</v>
          </cell>
          <cell r="G2013" t="str">
            <v>IMOBILIÁRIO</v>
          </cell>
        </row>
        <row r="2014">
          <cell r="A2014">
            <v>84748</v>
          </cell>
          <cell r="B2014" t="str">
            <v>BRASILAR-BASE B 810ML BRASILUX</v>
          </cell>
          <cell r="C2014" t="str">
            <v>BA 420521831</v>
          </cell>
          <cell r="D2014" t="str">
            <v>BRASILUX</v>
          </cell>
          <cell r="E2014">
            <v>30006</v>
          </cell>
          <cell r="F2014" t="str">
            <v>BASES IMOBILIÁRIAS</v>
          </cell>
          <cell r="G2014" t="str">
            <v>IMOBILIÁRIO</v>
          </cell>
        </row>
        <row r="2015">
          <cell r="A2015">
            <v>84752</v>
          </cell>
          <cell r="B2015" t="str">
            <v>BRASIMAIS-BASE A 16,2L BRASILUX</v>
          </cell>
          <cell r="C2015" t="str">
            <v>BA 920521733</v>
          </cell>
          <cell r="D2015" t="str">
            <v>BRASILUX</v>
          </cell>
          <cell r="E2015">
            <v>30006</v>
          </cell>
          <cell r="F2015" t="str">
            <v>BASES IMOBILIÁRIAS</v>
          </cell>
          <cell r="G2015" t="str">
            <v>IMOBILIÁRIO</v>
          </cell>
        </row>
        <row r="2016">
          <cell r="A2016">
            <v>84753</v>
          </cell>
          <cell r="B2016" t="str">
            <v>BRASIMAIS-BASE A 3,24L BRASILUX</v>
          </cell>
          <cell r="C2016" t="str">
            <v>BA 920521732</v>
          </cell>
          <cell r="D2016" t="str">
            <v>BRASILUX</v>
          </cell>
          <cell r="E2016">
            <v>30006</v>
          </cell>
          <cell r="F2016" t="str">
            <v>BASES IMOBILIÁRIAS</v>
          </cell>
          <cell r="G2016" t="str">
            <v>IMOBILIÁRIO</v>
          </cell>
        </row>
        <row r="2017">
          <cell r="A2017">
            <v>85002</v>
          </cell>
          <cell r="B2017" t="str">
            <v>BRASIMUITO-BASE A 16,2L BRASILUX</v>
          </cell>
          <cell r="C2017" t="str">
            <v>BA 930521733</v>
          </cell>
          <cell r="D2017" t="str">
            <v>BRASILUX</v>
          </cell>
          <cell r="E2017">
            <v>30006</v>
          </cell>
          <cell r="F2017" t="str">
            <v>BASES IMOBILIÁRIAS</v>
          </cell>
          <cell r="G2017" t="str">
            <v>IMOBILIÁRIO</v>
          </cell>
        </row>
        <row r="2018">
          <cell r="A2018">
            <v>85001</v>
          </cell>
          <cell r="B2018" t="str">
            <v>BRASIMUITO-BASE A 3,24L BRASILUX</v>
          </cell>
          <cell r="C2018" t="str">
            <v>BA 930521732</v>
          </cell>
          <cell r="D2018" t="str">
            <v>BRASILUX</v>
          </cell>
          <cell r="E2018">
            <v>30006</v>
          </cell>
          <cell r="F2018" t="str">
            <v>BASES IMOBILIÁRIAS</v>
          </cell>
          <cell r="G2018" t="str">
            <v>IMOBILIÁRIO</v>
          </cell>
        </row>
        <row r="2019">
          <cell r="A2019">
            <v>84596</v>
          </cell>
          <cell r="B2019" t="str">
            <v>BRASINIL-BASE A 18L BRASILUX</v>
          </cell>
          <cell r="C2019" t="str">
            <v>BA 430521733</v>
          </cell>
          <cell r="D2019" t="str">
            <v>BRASILUX</v>
          </cell>
          <cell r="E2019">
            <v>30006</v>
          </cell>
          <cell r="F2019" t="str">
            <v>BASES IMOBILIÁRIAS</v>
          </cell>
          <cell r="G2019" t="str">
            <v>IMOBILIÁRIO</v>
          </cell>
        </row>
        <row r="2020">
          <cell r="A2020">
            <v>84595</v>
          </cell>
          <cell r="B2020" t="str">
            <v>BRASINIL-BASE A 3,24L BRASILUX</v>
          </cell>
          <cell r="C2020" t="str">
            <v>BA 430521732</v>
          </cell>
          <cell r="D2020" t="str">
            <v>BRASILUX</v>
          </cell>
          <cell r="E2020">
            <v>30006</v>
          </cell>
          <cell r="F2020" t="str">
            <v>BASES IMOBILIÁRIAS</v>
          </cell>
          <cell r="G2020" t="str">
            <v>IMOBILIÁRIO</v>
          </cell>
        </row>
        <row r="2021">
          <cell r="A2021">
            <v>84987</v>
          </cell>
          <cell r="B2021" t="str">
            <v>BRASIPLUS ACRIL FOSCA NOBRE  BASE A 16,2L</v>
          </cell>
          <cell r="C2021" t="str">
            <v>BA 410521733</v>
          </cell>
          <cell r="D2021" t="str">
            <v>BRASILUX</v>
          </cell>
          <cell r="E2021">
            <v>30006</v>
          </cell>
          <cell r="F2021" t="str">
            <v>BASES IMOBILIÁRIAS</v>
          </cell>
          <cell r="G2021" t="str">
            <v>IMOBILIÁRIO</v>
          </cell>
        </row>
        <row r="2022">
          <cell r="A2022">
            <v>84986</v>
          </cell>
          <cell r="B2022" t="str">
            <v>BRASIPLUS ACRIL FOSCA NOBRE  BASE A 3,24L</v>
          </cell>
          <cell r="C2022" t="str">
            <v>BA 410521732</v>
          </cell>
          <cell r="D2022" t="str">
            <v>BRASILUX</v>
          </cell>
          <cell r="E2022">
            <v>30006</v>
          </cell>
          <cell r="F2022" t="str">
            <v>BASES IMOBILIÁRIAS</v>
          </cell>
          <cell r="G2022" t="str">
            <v>IMOBILIÁRIO</v>
          </cell>
        </row>
        <row r="2023">
          <cell r="A2023">
            <v>84990</v>
          </cell>
          <cell r="B2023" t="str">
            <v>BRASIPLUS ACRIL FOSCA NOBRE  BASE B 16,2L</v>
          </cell>
          <cell r="C2023" t="str">
            <v>BA 410521833</v>
          </cell>
          <cell r="D2023" t="str">
            <v>BRASILUX</v>
          </cell>
          <cell r="E2023">
            <v>30006</v>
          </cell>
          <cell r="F2023" t="str">
            <v>BASES IMOBILIÁRIAS</v>
          </cell>
          <cell r="G2023" t="str">
            <v>IMOBILIÁRIO</v>
          </cell>
        </row>
        <row r="2024">
          <cell r="A2024">
            <v>84989</v>
          </cell>
          <cell r="B2024" t="str">
            <v>BRASIPLUS ACRIL FOSCA NOBRE  BASE B 3,24L</v>
          </cell>
          <cell r="C2024" t="str">
            <v>BA 410521832</v>
          </cell>
          <cell r="D2024" t="str">
            <v>BRASILUX</v>
          </cell>
          <cell r="E2024">
            <v>30006</v>
          </cell>
          <cell r="F2024" t="str">
            <v>BASES IMOBILIÁRIAS</v>
          </cell>
          <cell r="G2024" t="str">
            <v>IMOBILIÁRIO</v>
          </cell>
        </row>
        <row r="2025">
          <cell r="A2025">
            <v>84993</v>
          </cell>
          <cell r="B2025" t="str">
            <v>BRASIPLUS ACRIL FOSCA NOBRE  BASE C 16,2L</v>
          </cell>
          <cell r="C2025" t="str">
            <v>BA 410521933</v>
          </cell>
          <cell r="D2025" t="str">
            <v>BRASILUX</v>
          </cell>
          <cell r="E2025">
            <v>30006</v>
          </cell>
          <cell r="F2025" t="str">
            <v>BASES IMOBILIÁRIAS</v>
          </cell>
          <cell r="G2025" t="str">
            <v>IMOBILIÁRIO</v>
          </cell>
        </row>
        <row r="2026">
          <cell r="A2026">
            <v>84992</v>
          </cell>
          <cell r="B2026" t="str">
            <v>BRASIPLUS ACRIL FOSCA NOBRE  BASE C 3,24L</v>
          </cell>
          <cell r="C2026" t="str">
            <v>BA 410521932</v>
          </cell>
          <cell r="D2026" t="str">
            <v>BRASILUX</v>
          </cell>
          <cell r="E2026">
            <v>30006</v>
          </cell>
          <cell r="F2026" t="str">
            <v>BASES IMOBILIÁRIAS</v>
          </cell>
          <cell r="G2026" t="str">
            <v>IMOBILIÁRIO</v>
          </cell>
        </row>
        <row r="2027">
          <cell r="A2027">
            <v>84991</v>
          </cell>
          <cell r="B2027" t="str">
            <v>BRASIPLUS ACRIL FOSCA NOBRE  BASE C 810ML</v>
          </cell>
          <cell r="C2027" t="str">
            <v>BA 410521931</v>
          </cell>
          <cell r="D2027" t="str">
            <v>BRASILUX</v>
          </cell>
          <cell r="E2027">
            <v>30006</v>
          </cell>
          <cell r="F2027" t="str">
            <v>BASES IMOBILIÁRIAS</v>
          </cell>
          <cell r="G2027" t="str">
            <v>IMOBILIÁRIO</v>
          </cell>
        </row>
        <row r="2028">
          <cell r="A2028">
            <v>84603</v>
          </cell>
          <cell r="B2028" t="str">
            <v>BRASIPLUS ACRIL SB NOBR  BASE A SEMIBRILHO 16,2L</v>
          </cell>
          <cell r="C2028" t="str">
            <v>BA 440521733</v>
          </cell>
          <cell r="D2028" t="str">
            <v>BRASILUX</v>
          </cell>
          <cell r="E2028">
            <v>30006</v>
          </cell>
          <cell r="F2028" t="str">
            <v>BASES IMOBILIÁRIAS</v>
          </cell>
          <cell r="G2028" t="str">
            <v>IMOBILIÁRIO</v>
          </cell>
        </row>
        <row r="2029">
          <cell r="A2029">
            <v>84605</v>
          </cell>
          <cell r="B2029" t="str">
            <v>BRASIPLUS ACRIL SB NOBR  BASE B SEMIBRILHO 16,2L</v>
          </cell>
          <cell r="C2029" t="str">
            <v>BA 440521833</v>
          </cell>
          <cell r="D2029" t="str">
            <v>BRASILUX</v>
          </cell>
          <cell r="E2029">
            <v>30006</v>
          </cell>
          <cell r="F2029" t="str">
            <v>BASES IMOBILIÁRIAS</v>
          </cell>
          <cell r="G2029" t="str">
            <v>IMOBILIÁRIO</v>
          </cell>
        </row>
        <row r="2030">
          <cell r="A2030">
            <v>84604</v>
          </cell>
          <cell r="B2030" t="str">
            <v>BRASIPLUS ACRIL SB NOBR  BASE B SEMIBRILHO 3,24L</v>
          </cell>
          <cell r="C2030" t="str">
            <v>BA 440521832</v>
          </cell>
          <cell r="D2030" t="str">
            <v>BRASILUX</v>
          </cell>
          <cell r="E2030">
            <v>30006</v>
          </cell>
          <cell r="F2030" t="str">
            <v>BASES IMOBILIÁRIAS</v>
          </cell>
          <cell r="G2030" t="str">
            <v>IMOBILIÁRIO</v>
          </cell>
        </row>
        <row r="2031">
          <cell r="A2031">
            <v>84607</v>
          </cell>
          <cell r="B2031" t="str">
            <v>BRASIPLUS ACRIL SB NOBR  BASE C SEMIBRILHO 16,2L</v>
          </cell>
          <cell r="C2031" t="str">
            <v>BA 440521933</v>
          </cell>
          <cell r="D2031" t="str">
            <v>BRASILUX</v>
          </cell>
          <cell r="E2031">
            <v>30006</v>
          </cell>
          <cell r="F2031" t="str">
            <v>BASES IMOBILIÁRIAS</v>
          </cell>
          <cell r="G2031" t="str">
            <v>IMOBILIÁRIO</v>
          </cell>
        </row>
        <row r="2032">
          <cell r="A2032">
            <v>84606</v>
          </cell>
          <cell r="B2032" t="str">
            <v>BRASIPLUS ACRIL SB NOBR  BASE C SEMIBRILHO 3,24L</v>
          </cell>
          <cell r="C2032" t="str">
            <v>BA 440521932</v>
          </cell>
          <cell r="D2032" t="str">
            <v>BRASILUX</v>
          </cell>
          <cell r="E2032">
            <v>30006</v>
          </cell>
          <cell r="F2032" t="str">
            <v>BASES IMOBILIÁRIAS</v>
          </cell>
          <cell r="G2032" t="str">
            <v>IMOBILIÁRIO</v>
          </cell>
        </row>
        <row r="2033">
          <cell r="A2033">
            <v>84984</v>
          </cell>
          <cell r="B2033" t="str">
            <v>BRASIPLUS ACRIL SEMIBRILH NOBR  BASE C SEMIBRILHO 810ML</v>
          </cell>
          <cell r="C2033" t="str">
            <v>BA 440521931</v>
          </cell>
          <cell r="D2033" t="str">
            <v>BRASILUX</v>
          </cell>
          <cell r="E2033">
            <v>30006</v>
          </cell>
          <cell r="F2033" t="str">
            <v>BASES IMOBILIÁRIAS</v>
          </cell>
          <cell r="G2033" t="str">
            <v>IMOBILIÁRIO</v>
          </cell>
        </row>
        <row r="2034">
          <cell r="A2034">
            <v>84985</v>
          </cell>
          <cell r="B2034" t="str">
            <v>BRASIPLUS BASE A 810ML-FOSCA NOBRE</v>
          </cell>
          <cell r="C2034" t="str">
            <v>BA 410521731</v>
          </cell>
          <cell r="D2034" t="str">
            <v>BRASILUX</v>
          </cell>
          <cell r="E2034">
            <v>30006</v>
          </cell>
          <cell r="F2034" t="str">
            <v>BASES IMOBILIÁRIAS</v>
          </cell>
          <cell r="G2034" t="str">
            <v>IMOBILIÁRIO</v>
          </cell>
        </row>
        <row r="2035">
          <cell r="A2035">
            <v>84601</v>
          </cell>
          <cell r="B2035" t="str">
            <v>BRASIPLUS BASE A 810ML-SEMIBRILHO PREMIUM</v>
          </cell>
          <cell r="C2035" t="str">
            <v>BA 440521731</v>
          </cell>
          <cell r="D2035" t="str">
            <v>BRASILUX</v>
          </cell>
          <cell r="E2035">
            <v>30006</v>
          </cell>
          <cell r="F2035" t="str">
            <v>BASES IMOBILIÁRIAS</v>
          </cell>
          <cell r="G2035" t="str">
            <v>IMOBILIÁRIO</v>
          </cell>
        </row>
        <row r="2036">
          <cell r="A2036">
            <v>84988</v>
          </cell>
          <cell r="B2036" t="str">
            <v>BRASIPLUS BASE B 810ML-FOSCA NOBRE</v>
          </cell>
          <cell r="C2036" t="str">
            <v>BA 410521831</v>
          </cell>
          <cell r="D2036" t="str">
            <v>BRASILUX</v>
          </cell>
          <cell r="E2036">
            <v>30006</v>
          </cell>
          <cell r="F2036" t="str">
            <v>BASES IMOBILIÁRIAS</v>
          </cell>
          <cell r="G2036" t="str">
            <v>IMOBILIÁRIO</v>
          </cell>
        </row>
        <row r="2037">
          <cell r="A2037">
            <v>84749</v>
          </cell>
          <cell r="B2037" t="str">
            <v>BRASIPLUS BASE B 810ML-SEMIBRILHO NOBRE</v>
          </cell>
          <cell r="C2037" t="str">
            <v>BA 440521831</v>
          </cell>
          <cell r="D2037" t="str">
            <v>BRASILUX</v>
          </cell>
          <cell r="E2037">
            <v>30006</v>
          </cell>
          <cell r="F2037" t="str">
            <v>BASES IMOBILIÁRIAS</v>
          </cell>
          <cell r="G2037" t="str">
            <v>IMOBILIÁRIO</v>
          </cell>
        </row>
        <row r="2038">
          <cell r="A2038">
            <v>84602</v>
          </cell>
          <cell r="B2038" t="str">
            <v>BRASIPLUS-BASE A SEMIBRILHO 3,24L BRASILUX</v>
          </cell>
          <cell r="C2038" t="str">
            <v>BA 440521732</v>
          </cell>
          <cell r="D2038" t="str">
            <v>BRASILUX</v>
          </cell>
          <cell r="E2038">
            <v>30006</v>
          </cell>
          <cell r="F2038" t="str">
            <v>BASES IMOBILIÁRIAS</v>
          </cell>
          <cell r="G2038" t="str">
            <v>IMOBILIÁRIO</v>
          </cell>
        </row>
        <row r="2039">
          <cell r="A2039">
            <v>86835</v>
          </cell>
          <cell r="B2039" t="str">
            <v>CR CORAL MASTER BASE MF 0,8L</v>
          </cell>
          <cell r="C2039">
            <v>5902229</v>
          </cell>
          <cell r="D2039" t="str">
            <v>CORAL</v>
          </cell>
          <cell r="E2039">
            <v>30006</v>
          </cell>
          <cell r="F2039" t="str">
            <v>BASES IMOBILIÁRIAS</v>
          </cell>
          <cell r="G2039" t="str">
            <v>IMOBILIÁRIO</v>
          </cell>
        </row>
        <row r="2040">
          <cell r="A2040">
            <v>86836</v>
          </cell>
          <cell r="B2040" t="str">
            <v>CR CORAL MASTER BASE MF 16L</v>
          </cell>
          <cell r="C2040">
            <v>5902230</v>
          </cell>
          <cell r="D2040" t="str">
            <v>CORAL</v>
          </cell>
          <cell r="E2040">
            <v>30006</v>
          </cell>
          <cell r="F2040" t="str">
            <v>BASES IMOBILIÁRIAS</v>
          </cell>
          <cell r="G2040" t="str">
            <v>IMOBILIÁRIO</v>
          </cell>
        </row>
        <row r="2041">
          <cell r="A2041">
            <v>86834</v>
          </cell>
          <cell r="B2041" t="str">
            <v>CR CORAL MASTER BASE MF 3,2L</v>
          </cell>
          <cell r="C2041">
            <v>5902228</v>
          </cell>
          <cell r="D2041" t="str">
            <v>CORAL</v>
          </cell>
          <cell r="E2041">
            <v>30006</v>
          </cell>
          <cell r="F2041" t="str">
            <v>BASES IMOBILIÁRIAS</v>
          </cell>
          <cell r="G2041" t="str">
            <v>IMOBILIÁRIO</v>
          </cell>
        </row>
        <row r="2042">
          <cell r="A2042">
            <v>86831</v>
          </cell>
          <cell r="B2042" t="str">
            <v>CR CORAL MASTER BASE P 0,8L</v>
          </cell>
          <cell r="C2042">
            <v>5902225</v>
          </cell>
          <cell r="D2042" t="str">
            <v>CORAL</v>
          </cell>
          <cell r="E2042">
            <v>30006</v>
          </cell>
          <cell r="F2042" t="str">
            <v>BASES IMOBILIÁRIAS</v>
          </cell>
          <cell r="G2042" t="str">
            <v>IMOBILIÁRIO</v>
          </cell>
        </row>
        <row r="2043">
          <cell r="A2043">
            <v>86833</v>
          </cell>
          <cell r="B2043" t="str">
            <v>CR CORAL MASTER BASE P 16L</v>
          </cell>
          <cell r="C2043">
            <v>5902227</v>
          </cell>
          <cell r="D2043" t="str">
            <v>CORAL</v>
          </cell>
          <cell r="E2043">
            <v>30006</v>
          </cell>
          <cell r="F2043" t="str">
            <v>BASES IMOBILIÁRIAS</v>
          </cell>
          <cell r="G2043" t="str">
            <v>IMOBILIÁRIO</v>
          </cell>
        </row>
        <row r="2044">
          <cell r="A2044">
            <v>86832</v>
          </cell>
          <cell r="B2044" t="str">
            <v>CR CORAL MASTER BASE P 3,2L</v>
          </cell>
          <cell r="C2044">
            <v>5902226</v>
          </cell>
          <cell r="D2044" t="str">
            <v>CORAL</v>
          </cell>
          <cell r="E2044">
            <v>30006</v>
          </cell>
          <cell r="F2044" t="str">
            <v>BASES IMOBILIÁRIAS</v>
          </cell>
          <cell r="G2044" t="str">
            <v>IMOBILIÁRIO</v>
          </cell>
        </row>
        <row r="2045">
          <cell r="A2045">
            <v>86837</v>
          </cell>
          <cell r="B2045" t="str">
            <v>CR CORAL MASTER BASE T 0,8L</v>
          </cell>
          <cell r="C2045">
            <v>5902231</v>
          </cell>
          <cell r="D2045" t="str">
            <v>CORAL</v>
          </cell>
          <cell r="E2045">
            <v>30006</v>
          </cell>
          <cell r="F2045" t="str">
            <v>BASES IMOBILIÁRIAS</v>
          </cell>
          <cell r="G2045" t="str">
            <v>IMOBILIÁRIO</v>
          </cell>
        </row>
        <row r="2046">
          <cell r="A2046">
            <v>86839</v>
          </cell>
          <cell r="B2046" t="str">
            <v>CR CORAL MASTER BASE T 16L</v>
          </cell>
          <cell r="C2046">
            <v>5902233</v>
          </cell>
          <cell r="D2046" t="str">
            <v>CORAL</v>
          </cell>
          <cell r="E2046">
            <v>30006</v>
          </cell>
          <cell r="F2046" t="str">
            <v>BASES IMOBILIÁRIAS</v>
          </cell>
          <cell r="G2046" t="str">
            <v>IMOBILIÁRIO</v>
          </cell>
        </row>
        <row r="2047">
          <cell r="A2047">
            <v>86838</v>
          </cell>
          <cell r="B2047" t="str">
            <v>CR CORAL MASTER BASE T 3,2L</v>
          </cell>
          <cell r="C2047">
            <v>5902232</v>
          </cell>
          <cell r="D2047" t="str">
            <v>CORAL</v>
          </cell>
          <cell r="E2047">
            <v>30006</v>
          </cell>
          <cell r="F2047" t="str">
            <v>BASES IMOBILIÁRIAS</v>
          </cell>
          <cell r="G2047" t="str">
            <v>IMOBILIÁRIO</v>
          </cell>
        </row>
        <row r="2048">
          <cell r="A2048">
            <v>85771</v>
          </cell>
          <cell r="B2048" t="str">
            <v>CR CORALAR ACR MAIS B&amp;P BASE PM 16L</v>
          </cell>
          <cell r="C2048">
            <v>5202142</v>
          </cell>
          <cell r="D2048" t="str">
            <v>CORAL</v>
          </cell>
          <cell r="E2048">
            <v>30006</v>
          </cell>
          <cell r="F2048" t="str">
            <v>BASES IMOBILIÁRIAS</v>
          </cell>
          <cell r="G2048" t="str">
            <v>IMOBILIÁRIO</v>
          </cell>
        </row>
        <row r="2049">
          <cell r="A2049">
            <v>85770</v>
          </cell>
          <cell r="B2049" t="str">
            <v>CR CORALAR ACR MAIS B&amp;P BASE PM 3,2L</v>
          </cell>
          <cell r="C2049">
            <v>5202140</v>
          </cell>
          <cell r="D2049" t="str">
            <v>CORAL</v>
          </cell>
          <cell r="E2049">
            <v>30006</v>
          </cell>
          <cell r="F2049" t="str">
            <v>BASES IMOBILIÁRIAS</v>
          </cell>
          <cell r="G2049" t="str">
            <v>IMOBILIÁRIO</v>
          </cell>
        </row>
        <row r="2050">
          <cell r="A2050">
            <v>86200</v>
          </cell>
          <cell r="B2050" t="str">
            <v>CR DECORA DIAMANTE SB BASE MF 16L</v>
          </cell>
          <cell r="C2050">
            <v>5238403</v>
          </cell>
          <cell r="D2050" t="str">
            <v>CORAL</v>
          </cell>
          <cell r="E2050">
            <v>30006</v>
          </cell>
          <cell r="F2050" t="str">
            <v>BASES IMOBILIÁRIAS</v>
          </cell>
          <cell r="G2050" t="str">
            <v>IMOBILIÁRIO</v>
          </cell>
        </row>
        <row r="2051">
          <cell r="A2051">
            <v>86201</v>
          </cell>
          <cell r="B2051" t="str">
            <v>CR DECORA DIAMANTE SB BASE MF 3.2L</v>
          </cell>
          <cell r="C2051">
            <v>5238405</v>
          </cell>
          <cell r="D2051" t="str">
            <v>CORAL</v>
          </cell>
          <cell r="E2051">
            <v>30006</v>
          </cell>
          <cell r="F2051" t="str">
            <v>BASES IMOBILIÁRIAS</v>
          </cell>
          <cell r="G2051" t="str">
            <v>IMOBILIÁRIO</v>
          </cell>
        </row>
        <row r="2052">
          <cell r="A2052">
            <v>86202</v>
          </cell>
          <cell r="B2052" t="str">
            <v>CR DECORA DIAMANTE SB BASE MF 800ML</v>
          </cell>
          <cell r="C2052">
            <v>5238406</v>
          </cell>
          <cell r="D2052" t="str">
            <v>CORAL</v>
          </cell>
          <cell r="E2052">
            <v>30006</v>
          </cell>
          <cell r="F2052" t="str">
            <v>BASES IMOBILIÁRIAS</v>
          </cell>
          <cell r="G2052" t="str">
            <v>IMOBILIÁRIO</v>
          </cell>
        </row>
        <row r="2053">
          <cell r="A2053">
            <v>86214</v>
          </cell>
          <cell r="B2053" t="str">
            <v>CR DECORA DIAMANTE SB BASE P 16L</v>
          </cell>
          <cell r="C2053">
            <v>5239183</v>
          </cell>
          <cell r="D2053" t="str">
            <v>CORAL</v>
          </cell>
          <cell r="E2053">
            <v>30006</v>
          </cell>
          <cell r="F2053" t="str">
            <v>BASES IMOBILIÁRIAS</v>
          </cell>
          <cell r="G2053" t="str">
            <v>IMOBILIÁRIO</v>
          </cell>
        </row>
        <row r="2054">
          <cell r="A2054">
            <v>86215</v>
          </cell>
          <cell r="B2054" t="str">
            <v>CR DECORA DIAMANTE SB BASE P 3.2L</v>
          </cell>
          <cell r="C2054">
            <v>5239184</v>
          </cell>
          <cell r="D2054" t="str">
            <v>CORAL</v>
          </cell>
          <cell r="E2054">
            <v>30006</v>
          </cell>
          <cell r="F2054" t="str">
            <v>BASES IMOBILIÁRIAS</v>
          </cell>
          <cell r="G2054" t="str">
            <v>IMOBILIÁRIO</v>
          </cell>
        </row>
        <row r="2055">
          <cell r="A2055">
            <v>86216</v>
          </cell>
          <cell r="B2055" t="str">
            <v>CR DECORA DIAMANTE SB BASE P 800ML</v>
          </cell>
          <cell r="C2055">
            <v>5239185</v>
          </cell>
          <cell r="D2055" t="str">
            <v>CORAL</v>
          </cell>
          <cell r="E2055">
            <v>30006</v>
          </cell>
          <cell r="F2055" t="str">
            <v>BASES IMOBILIÁRIAS</v>
          </cell>
          <cell r="G2055" t="str">
            <v>IMOBILIÁRIO</v>
          </cell>
        </row>
        <row r="2056">
          <cell r="A2056">
            <v>86217</v>
          </cell>
          <cell r="B2056" t="str">
            <v>CR DECORA DIAMANTE SB BASE T 16L</v>
          </cell>
          <cell r="C2056">
            <v>5239186</v>
          </cell>
          <cell r="D2056" t="str">
            <v>CORAL</v>
          </cell>
          <cell r="E2056">
            <v>30006</v>
          </cell>
          <cell r="F2056" t="str">
            <v>BASES IMOBILIÁRIAS</v>
          </cell>
          <cell r="G2056" t="str">
            <v>IMOBILIÁRIO</v>
          </cell>
        </row>
        <row r="2057">
          <cell r="A2057">
            <v>86218</v>
          </cell>
          <cell r="B2057" t="str">
            <v>CR DECORA DIAMANTE SB BASE T 3.2L</v>
          </cell>
          <cell r="C2057">
            <v>5239187</v>
          </cell>
          <cell r="D2057" t="str">
            <v>CORAL</v>
          </cell>
          <cell r="E2057">
            <v>30006</v>
          </cell>
          <cell r="F2057" t="str">
            <v>BASES IMOBILIÁRIAS</v>
          </cell>
          <cell r="G2057" t="str">
            <v>IMOBILIÁRIO</v>
          </cell>
        </row>
        <row r="2058">
          <cell r="A2058">
            <v>86219</v>
          </cell>
          <cell r="B2058" t="str">
            <v>CR DECORA DIAMANTE SB BASE T 800ML</v>
          </cell>
          <cell r="C2058">
            <v>5239188</v>
          </cell>
          <cell r="D2058" t="str">
            <v>CORAL</v>
          </cell>
          <cell r="E2058">
            <v>30006</v>
          </cell>
          <cell r="F2058" t="str">
            <v>BASES IMOBILIÁRIAS</v>
          </cell>
          <cell r="G2058" t="str">
            <v>IMOBILIÁRIO</v>
          </cell>
        </row>
        <row r="2059">
          <cell r="A2059">
            <v>86570</v>
          </cell>
          <cell r="B2059" t="str">
            <v>CR DECORA EFEITO VELVET BASE 2,1L</v>
          </cell>
          <cell r="C2059">
            <v>5353935</v>
          </cell>
          <cell r="D2059" t="str">
            <v>CORAL</v>
          </cell>
          <cell r="E2059">
            <v>30006</v>
          </cell>
          <cell r="F2059" t="str">
            <v>BASES IMOBILIÁRIAS</v>
          </cell>
          <cell r="G2059" t="str">
            <v>IMOBILIÁRIO</v>
          </cell>
        </row>
        <row r="2060">
          <cell r="A2060">
            <v>86199</v>
          </cell>
          <cell r="B2060" t="str">
            <v>CR DECORA MATTE FO BASE MF 16L</v>
          </cell>
          <cell r="C2060">
            <v>5237478</v>
          </cell>
          <cell r="D2060" t="str">
            <v>CORAL</v>
          </cell>
          <cell r="E2060">
            <v>30006</v>
          </cell>
          <cell r="F2060" t="str">
            <v>BASES IMOBILIÁRIAS</v>
          </cell>
          <cell r="G2060" t="str">
            <v>IMOBILIÁRIO</v>
          </cell>
        </row>
        <row r="2061">
          <cell r="A2061">
            <v>86206</v>
          </cell>
          <cell r="B2061" t="str">
            <v>CR DECORA MATTE FO BASE MF 3.2L</v>
          </cell>
          <cell r="C2061">
            <v>5239040</v>
          </cell>
          <cell r="D2061" t="str">
            <v>CORAL</v>
          </cell>
          <cell r="E2061">
            <v>30006</v>
          </cell>
          <cell r="F2061" t="str">
            <v>BASES IMOBILIÁRIAS</v>
          </cell>
          <cell r="G2061" t="str">
            <v>IMOBILIÁRIO</v>
          </cell>
        </row>
        <row r="2062">
          <cell r="A2062">
            <v>86207</v>
          </cell>
          <cell r="B2062" t="str">
            <v>CR DECORA MATTE FO BASE MF 800ML</v>
          </cell>
          <cell r="C2062">
            <v>5239061</v>
          </cell>
          <cell r="D2062" t="str">
            <v>CORAL</v>
          </cell>
          <cell r="E2062">
            <v>30006</v>
          </cell>
          <cell r="F2062" t="str">
            <v>BASES IMOBILIÁRIAS</v>
          </cell>
          <cell r="G2062" t="str">
            <v>IMOBILIÁRIO</v>
          </cell>
        </row>
        <row r="2063">
          <cell r="A2063">
            <v>86211</v>
          </cell>
          <cell r="B2063" t="str">
            <v>CR DECORA MATTE FO BASE P 16L</v>
          </cell>
          <cell r="C2063">
            <v>5239078</v>
          </cell>
          <cell r="D2063" t="str">
            <v>CORAL</v>
          </cell>
          <cell r="E2063">
            <v>30006</v>
          </cell>
          <cell r="F2063" t="str">
            <v>BASES IMOBILIÁRIAS</v>
          </cell>
          <cell r="G2063" t="str">
            <v>IMOBILIÁRIO</v>
          </cell>
        </row>
        <row r="2064">
          <cell r="A2064">
            <v>86212</v>
          </cell>
          <cell r="B2064" t="str">
            <v>CR DECORA MATTE FO BASE P 3.2L</v>
          </cell>
          <cell r="C2064">
            <v>5239079</v>
          </cell>
          <cell r="D2064" t="str">
            <v>CORAL</v>
          </cell>
          <cell r="E2064">
            <v>30006</v>
          </cell>
          <cell r="F2064" t="str">
            <v>BASES IMOBILIÁRIAS</v>
          </cell>
          <cell r="G2064" t="str">
            <v>IMOBILIÁRIO</v>
          </cell>
        </row>
        <row r="2065">
          <cell r="A2065">
            <v>86213</v>
          </cell>
          <cell r="B2065" t="str">
            <v>CR DECORA MATTE FO BASE P 800ML</v>
          </cell>
          <cell r="C2065">
            <v>5239101</v>
          </cell>
          <cell r="D2065" t="str">
            <v>CORAL</v>
          </cell>
          <cell r="E2065">
            <v>30006</v>
          </cell>
          <cell r="F2065" t="str">
            <v>BASES IMOBILIÁRIAS</v>
          </cell>
          <cell r="G2065" t="str">
            <v>IMOBILIÁRIO</v>
          </cell>
        </row>
        <row r="2066">
          <cell r="A2066">
            <v>86208</v>
          </cell>
          <cell r="B2066" t="str">
            <v>CR DECORA MATTE FO BASE T 16L</v>
          </cell>
          <cell r="C2066">
            <v>5239074</v>
          </cell>
          <cell r="D2066" t="str">
            <v>CORAL</v>
          </cell>
          <cell r="E2066">
            <v>30006</v>
          </cell>
          <cell r="F2066" t="str">
            <v>BASES IMOBILIÁRIAS</v>
          </cell>
          <cell r="G2066" t="str">
            <v>IMOBILIÁRIO</v>
          </cell>
        </row>
        <row r="2067">
          <cell r="A2067">
            <v>86209</v>
          </cell>
          <cell r="B2067" t="str">
            <v>CR DECORA MATTE FO BASE T 3.2L</v>
          </cell>
          <cell r="C2067">
            <v>5239076</v>
          </cell>
          <cell r="D2067" t="str">
            <v>CORAL</v>
          </cell>
          <cell r="E2067">
            <v>30006</v>
          </cell>
          <cell r="F2067" t="str">
            <v>BASES IMOBILIÁRIAS</v>
          </cell>
          <cell r="G2067" t="str">
            <v>IMOBILIÁRIO</v>
          </cell>
        </row>
        <row r="2068">
          <cell r="A2068">
            <v>86210</v>
          </cell>
          <cell r="B2068" t="str">
            <v>CR DECORA MATTE FO BASE T 800ML</v>
          </cell>
          <cell r="C2068">
            <v>5239077</v>
          </cell>
          <cell r="D2068" t="str">
            <v>CORAL</v>
          </cell>
          <cell r="E2068">
            <v>30006</v>
          </cell>
          <cell r="F2068" t="str">
            <v>BASES IMOBILIÁRIAS</v>
          </cell>
          <cell r="G2068" t="str">
            <v>IMOBILIÁRIO</v>
          </cell>
        </row>
        <row r="2069">
          <cell r="A2069">
            <v>86572</v>
          </cell>
          <cell r="B2069" t="str">
            <v>CR DECORA SEDA AC BASE MF 0.8L</v>
          </cell>
          <cell r="C2069">
            <v>5354017</v>
          </cell>
          <cell r="D2069" t="str">
            <v>CORAL</v>
          </cell>
          <cell r="E2069">
            <v>30006</v>
          </cell>
          <cell r="F2069" t="str">
            <v>BASES IMOBILIÁRIAS</v>
          </cell>
          <cell r="G2069" t="str">
            <v>IMOBILIÁRIO</v>
          </cell>
        </row>
        <row r="2070">
          <cell r="A2070">
            <v>86569</v>
          </cell>
          <cell r="B2070" t="str">
            <v>CR DECORA SEDA AC BASE MF 16L</v>
          </cell>
          <cell r="C2070">
            <v>5353934</v>
          </cell>
          <cell r="D2070" t="str">
            <v>CORAL</v>
          </cell>
          <cell r="E2070">
            <v>30006</v>
          </cell>
          <cell r="F2070" t="str">
            <v>BASES IMOBILIÁRIAS</v>
          </cell>
          <cell r="G2070" t="str">
            <v>IMOBILIÁRIO</v>
          </cell>
        </row>
        <row r="2071">
          <cell r="A2071">
            <v>86568</v>
          </cell>
          <cell r="B2071" t="str">
            <v>CR DECORA SEDA AC BASE MF 3.2L</v>
          </cell>
          <cell r="C2071">
            <v>5353893</v>
          </cell>
          <cell r="D2071" t="str">
            <v>CORAL</v>
          </cell>
          <cell r="E2071">
            <v>30006</v>
          </cell>
          <cell r="F2071" t="str">
            <v>BASES IMOBILIÁRIAS</v>
          </cell>
          <cell r="G2071" t="str">
            <v>IMOBILIÁRIO</v>
          </cell>
        </row>
        <row r="2072">
          <cell r="A2072">
            <v>86188</v>
          </cell>
          <cell r="B2072" t="str">
            <v>CR DECORA SEDA AC BASE P 0,8L</v>
          </cell>
          <cell r="C2072">
            <v>5229643</v>
          </cell>
          <cell r="D2072" t="str">
            <v>CORAL</v>
          </cell>
          <cell r="E2072">
            <v>30006</v>
          </cell>
          <cell r="F2072" t="str">
            <v>BASES IMOBILIÁRIAS</v>
          </cell>
          <cell r="G2072" t="str">
            <v>IMOBILIÁRIO</v>
          </cell>
        </row>
        <row r="2073">
          <cell r="A2073">
            <v>86192</v>
          </cell>
          <cell r="B2073" t="str">
            <v>CR DECORA SEDA AC BASE P 16L</v>
          </cell>
          <cell r="C2073">
            <v>5229654</v>
          </cell>
          <cell r="D2073" t="str">
            <v>CORAL</v>
          </cell>
          <cell r="E2073">
            <v>30006</v>
          </cell>
          <cell r="F2073" t="str">
            <v>BASES IMOBILIÁRIAS</v>
          </cell>
          <cell r="G2073" t="str">
            <v>IMOBILIÁRIO</v>
          </cell>
        </row>
        <row r="2074">
          <cell r="A2074">
            <v>86190</v>
          </cell>
          <cell r="B2074" t="str">
            <v>CR DECORA SEDA AC BASE P 3.2L</v>
          </cell>
          <cell r="C2074">
            <v>5229648</v>
          </cell>
          <cell r="D2074" t="str">
            <v>CORAL</v>
          </cell>
          <cell r="E2074">
            <v>30006</v>
          </cell>
          <cell r="F2074" t="str">
            <v>BASES IMOBILIÁRIAS</v>
          </cell>
          <cell r="G2074" t="str">
            <v>IMOBILIÁRIO</v>
          </cell>
        </row>
        <row r="2075">
          <cell r="A2075">
            <v>86189</v>
          </cell>
          <cell r="B2075" t="str">
            <v>CR DECORA SEDA AC BASE T 0,8L</v>
          </cell>
          <cell r="C2075">
            <v>5229644</v>
          </cell>
          <cell r="D2075" t="str">
            <v>CORAL</v>
          </cell>
          <cell r="E2075">
            <v>30006</v>
          </cell>
          <cell r="F2075" t="str">
            <v>BASES IMOBILIÁRIAS</v>
          </cell>
          <cell r="G2075" t="str">
            <v>IMOBILIÁRIO</v>
          </cell>
        </row>
        <row r="2076">
          <cell r="A2076">
            <v>86193</v>
          </cell>
          <cell r="B2076" t="str">
            <v>CR DECORA SEDA AC BASE T 16L</v>
          </cell>
          <cell r="C2076">
            <v>5229658</v>
          </cell>
          <cell r="D2076" t="str">
            <v>CORAL</v>
          </cell>
          <cell r="E2076">
            <v>30006</v>
          </cell>
          <cell r="F2076" t="str">
            <v>BASES IMOBILIÁRIAS</v>
          </cell>
          <cell r="G2076" t="str">
            <v>IMOBILIÁRIO</v>
          </cell>
        </row>
        <row r="2077">
          <cell r="A2077">
            <v>86191</v>
          </cell>
          <cell r="B2077" t="str">
            <v>CR DECORA SEDA AC BASE T 3,2L</v>
          </cell>
          <cell r="C2077">
            <v>5229653</v>
          </cell>
          <cell r="D2077" t="str">
            <v>CORAL</v>
          </cell>
          <cell r="E2077">
            <v>30006</v>
          </cell>
          <cell r="F2077" t="str">
            <v>BASES IMOBILIÁRIAS</v>
          </cell>
          <cell r="G2077" t="str">
            <v>IMOBILIÁRIO</v>
          </cell>
        </row>
        <row r="2078">
          <cell r="A2078">
            <v>85778</v>
          </cell>
          <cell r="B2078" t="str">
            <v>CR RENDE MUITO LOC PM BASE PM 16L</v>
          </cell>
          <cell r="C2078">
            <v>5202250</v>
          </cell>
          <cell r="D2078" t="str">
            <v>CORAL</v>
          </cell>
          <cell r="E2078">
            <v>30006</v>
          </cell>
          <cell r="F2078" t="str">
            <v>BASES IMOBILIÁRIAS</v>
          </cell>
          <cell r="G2078" t="str">
            <v>IMOBILIÁRIO</v>
          </cell>
        </row>
        <row r="2079">
          <cell r="A2079">
            <v>85776</v>
          </cell>
          <cell r="B2079" t="str">
            <v>CR RENDE MUITO LOC PM BASE PM 3.2L</v>
          </cell>
          <cell r="C2079">
            <v>5202248</v>
          </cell>
          <cell r="D2079" t="str">
            <v>CORAL</v>
          </cell>
          <cell r="E2079">
            <v>30006</v>
          </cell>
          <cell r="F2079" t="str">
            <v>BASES IMOBILIÁRIAS</v>
          </cell>
          <cell r="G2079" t="str">
            <v>IMOBILIÁRIO</v>
          </cell>
        </row>
        <row r="2080">
          <cell r="A2080">
            <v>85777</v>
          </cell>
          <cell r="B2080" t="str">
            <v>CR RENDE MUITO LOC PM BASE PM 800ML</v>
          </cell>
          <cell r="C2080">
            <v>5202249</v>
          </cell>
          <cell r="D2080" t="str">
            <v>CORAL</v>
          </cell>
          <cell r="E2080">
            <v>30006</v>
          </cell>
          <cell r="F2080" t="str">
            <v>BASES IMOBILIÁRIAS</v>
          </cell>
          <cell r="G2080" t="str">
            <v>IMOBILIÁRIO</v>
          </cell>
        </row>
        <row r="2081">
          <cell r="A2081">
            <v>86186</v>
          </cell>
          <cell r="B2081" t="str">
            <v>CR RENOVA AZULEJOS AC BASE PM 3.2L</v>
          </cell>
          <cell r="C2081">
            <v>5221215</v>
          </cell>
          <cell r="D2081" t="str">
            <v>CORAL</v>
          </cell>
          <cell r="E2081">
            <v>30006</v>
          </cell>
          <cell r="F2081" t="str">
            <v>BASES IMOBILIÁRIAS</v>
          </cell>
          <cell r="G2081" t="str">
            <v>IMOBILIÁRIO</v>
          </cell>
        </row>
        <row r="2082">
          <cell r="A2082">
            <v>86187</v>
          </cell>
          <cell r="B2082" t="str">
            <v>CR RENOVA AZULEJOS AC BASE PM 800ML</v>
          </cell>
          <cell r="C2082">
            <v>5221216</v>
          </cell>
          <cell r="D2082" t="str">
            <v>CORAL</v>
          </cell>
          <cell r="E2082">
            <v>30006</v>
          </cell>
          <cell r="F2082" t="str">
            <v>BASES IMOBILIÁRIAS</v>
          </cell>
          <cell r="G2082" t="str">
            <v>IMOBILIÁRIO</v>
          </cell>
        </row>
        <row r="2083">
          <cell r="A2083">
            <v>86184</v>
          </cell>
          <cell r="B2083" t="str">
            <v>CR RENOVA AZULEJOS BR BASE PM 3.2L</v>
          </cell>
          <cell r="C2083">
            <v>5221213</v>
          </cell>
          <cell r="D2083" t="str">
            <v>CORAL</v>
          </cell>
          <cell r="E2083">
            <v>30006</v>
          </cell>
          <cell r="F2083" t="str">
            <v>BASES IMOBILIÁRIAS</v>
          </cell>
          <cell r="G2083" t="str">
            <v>IMOBILIÁRIO</v>
          </cell>
        </row>
        <row r="2084">
          <cell r="A2084">
            <v>86185</v>
          </cell>
          <cell r="B2084" t="str">
            <v>CR RENOVA AZULEJOS BR BASE PM 800ML</v>
          </cell>
          <cell r="C2084">
            <v>5221214</v>
          </cell>
          <cell r="D2084" t="str">
            <v>CORAL</v>
          </cell>
          <cell r="E2084">
            <v>30006</v>
          </cell>
          <cell r="F2084" t="str">
            <v>BASES IMOBILIÁRIAS</v>
          </cell>
          <cell r="G2084" t="str">
            <v>IMOBILIÁRIO</v>
          </cell>
        </row>
        <row r="2085">
          <cell r="A2085">
            <v>86714</v>
          </cell>
          <cell r="B2085" t="str">
            <v>CR RENOVA EFEITO LOUSA AC BASE  T 3.2L</v>
          </cell>
          <cell r="C2085">
            <v>5810988</v>
          </cell>
          <cell r="D2085" t="str">
            <v>CORAL</v>
          </cell>
          <cell r="E2085">
            <v>30006</v>
          </cell>
          <cell r="F2085" t="str">
            <v>BASES IMOBILIÁRIAS</v>
          </cell>
          <cell r="G2085" t="str">
            <v>IMOBILIÁRIO</v>
          </cell>
        </row>
        <row r="2086">
          <cell r="A2086">
            <v>86715</v>
          </cell>
          <cell r="B2086" t="str">
            <v>CR RENOVA EFEITO LOUSA AC BASE T 800ML</v>
          </cell>
          <cell r="C2086">
            <v>5810991</v>
          </cell>
          <cell r="D2086" t="str">
            <v>CORAL</v>
          </cell>
          <cell r="E2086">
            <v>30006</v>
          </cell>
          <cell r="F2086" t="str">
            <v>BASES IMOBILIÁRIAS</v>
          </cell>
          <cell r="G2086" t="str">
            <v>IMOBILIÁRIO</v>
          </cell>
        </row>
        <row r="2087">
          <cell r="A2087">
            <v>86552</v>
          </cell>
          <cell r="B2087" t="str">
            <v>CR RENOVA PAREDES FO LOC BASE MF 0.8L</v>
          </cell>
          <cell r="C2087">
            <v>5316361</v>
          </cell>
          <cell r="D2087" t="str">
            <v>CORAL</v>
          </cell>
          <cell r="E2087">
            <v>30006</v>
          </cell>
          <cell r="F2087" t="str">
            <v>BASES IMOBILIÁRIAS</v>
          </cell>
          <cell r="G2087" t="str">
            <v>IMOBILIÁRIO</v>
          </cell>
        </row>
        <row r="2088">
          <cell r="A2088">
            <v>86554</v>
          </cell>
          <cell r="B2088" t="str">
            <v>CR RENOVA PAREDES FO LOC BASE MF 16L</v>
          </cell>
          <cell r="C2088">
            <v>5316363</v>
          </cell>
          <cell r="D2088" t="str">
            <v>CORAL</v>
          </cell>
          <cell r="E2088">
            <v>30006</v>
          </cell>
          <cell r="F2088" t="str">
            <v>BASES IMOBILIÁRIAS</v>
          </cell>
          <cell r="G2088" t="str">
            <v>IMOBILIÁRIO</v>
          </cell>
        </row>
        <row r="2089">
          <cell r="A2089">
            <v>86558</v>
          </cell>
          <cell r="B2089" t="str">
            <v>CR RENOVA PAREDES FO LOC BASE MF 3.2L</v>
          </cell>
          <cell r="C2089">
            <v>5317962</v>
          </cell>
          <cell r="D2089" t="str">
            <v>CORAL</v>
          </cell>
          <cell r="E2089">
            <v>30006</v>
          </cell>
          <cell r="F2089" t="str">
            <v>BASES IMOBILIÁRIAS</v>
          </cell>
          <cell r="G2089" t="str">
            <v>IMOBILIÁRIO</v>
          </cell>
        </row>
        <row r="2090">
          <cell r="A2090">
            <v>86553</v>
          </cell>
          <cell r="B2090" t="str">
            <v>CR RENOVA PAREDES FO LOC BASE P 0.8L</v>
          </cell>
          <cell r="C2090">
            <v>5316362</v>
          </cell>
          <cell r="D2090" t="str">
            <v>CORAL</v>
          </cell>
          <cell r="E2090">
            <v>30006</v>
          </cell>
          <cell r="F2090" t="str">
            <v>BASES IMOBILIÁRIAS</v>
          </cell>
          <cell r="G2090" t="str">
            <v>IMOBILIÁRIO</v>
          </cell>
        </row>
        <row r="2091">
          <cell r="A2091">
            <v>86548</v>
          </cell>
          <cell r="B2091" t="str">
            <v>CR RENOVA PAREDES FO LOC BASE P 16L</v>
          </cell>
          <cell r="C2091">
            <v>5316355</v>
          </cell>
          <cell r="D2091" t="str">
            <v>CORAL</v>
          </cell>
          <cell r="E2091">
            <v>30006</v>
          </cell>
          <cell r="F2091" t="str">
            <v>BASES IMOBILIÁRIAS</v>
          </cell>
          <cell r="G2091" t="str">
            <v>IMOBILIÁRIO</v>
          </cell>
        </row>
        <row r="2092">
          <cell r="A2092">
            <v>86559</v>
          </cell>
          <cell r="B2092" t="str">
            <v>CR RENOVA PAREDES FO LOC BASE P 3.2L</v>
          </cell>
          <cell r="C2092">
            <v>5317965</v>
          </cell>
          <cell r="D2092" t="str">
            <v>CORAL</v>
          </cell>
          <cell r="E2092">
            <v>30006</v>
          </cell>
          <cell r="F2092" t="str">
            <v>BASES IMOBILIÁRIAS</v>
          </cell>
          <cell r="G2092" t="str">
            <v>IMOBILIÁRIO</v>
          </cell>
        </row>
        <row r="2093">
          <cell r="A2093">
            <v>86549</v>
          </cell>
          <cell r="B2093" t="str">
            <v>CR RENOVA PAREDES FO LOC BASE T 0.8L</v>
          </cell>
          <cell r="C2093">
            <v>5316357</v>
          </cell>
          <cell r="D2093" t="str">
            <v>CORAL</v>
          </cell>
          <cell r="E2093">
            <v>30006</v>
          </cell>
          <cell r="F2093" t="str">
            <v>BASES IMOBILIÁRIAS</v>
          </cell>
          <cell r="G2093" t="str">
            <v>IMOBILIÁRIO</v>
          </cell>
        </row>
        <row r="2094">
          <cell r="A2094">
            <v>86551</v>
          </cell>
          <cell r="B2094" t="str">
            <v>CR RENOVA PAREDES FO LOC BASE T 16L</v>
          </cell>
          <cell r="C2094">
            <v>5316360</v>
          </cell>
          <cell r="D2094" t="str">
            <v>CORAL</v>
          </cell>
          <cell r="E2094">
            <v>30006</v>
          </cell>
          <cell r="F2094" t="str">
            <v>BASES IMOBILIÁRIAS</v>
          </cell>
          <cell r="G2094" t="str">
            <v>IMOBILIÁRIO</v>
          </cell>
        </row>
        <row r="2095">
          <cell r="A2095">
            <v>86550</v>
          </cell>
          <cell r="B2095" t="str">
            <v>CR RENOVA PAREDES FO LOC BASE T 3.2L</v>
          </cell>
          <cell r="C2095">
            <v>5316359</v>
          </cell>
          <cell r="D2095" t="str">
            <v>CORAL</v>
          </cell>
          <cell r="E2095">
            <v>30006</v>
          </cell>
          <cell r="F2095" t="str">
            <v>BASES IMOBILIÁRIAS</v>
          </cell>
          <cell r="G2095" t="str">
            <v>IMOBILIÁRIO</v>
          </cell>
        </row>
        <row r="2096">
          <cell r="A2096">
            <v>86277</v>
          </cell>
          <cell r="B2096" t="str">
            <v>CR S&amp;C ACRILICO TOTAL BASE MF 16L</v>
          </cell>
          <cell r="C2096">
            <v>5281021</v>
          </cell>
          <cell r="D2096" t="str">
            <v>CORAL</v>
          </cell>
          <cell r="E2096">
            <v>30006</v>
          </cell>
          <cell r="F2096" t="str">
            <v>BASES IMOBILIÁRIAS</v>
          </cell>
          <cell r="G2096" t="str">
            <v>IMOBILIÁRIO</v>
          </cell>
        </row>
        <row r="2097">
          <cell r="A2097">
            <v>86278</v>
          </cell>
          <cell r="B2097" t="str">
            <v>CR S&amp;C ACRILICO TOTAL BASE MF 3.2L</v>
          </cell>
          <cell r="C2097">
            <v>5281023</v>
          </cell>
          <cell r="D2097" t="str">
            <v>CORAL</v>
          </cell>
          <cell r="E2097">
            <v>30006</v>
          </cell>
          <cell r="F2097" t="str">
            <v>BASES IMOBILIÁRIAS</v>
          </cell>
          <cell r="G2097" t="str">
            <v>IMOBILIÁRIO</v>
          </cell>
        </row>
        <row r="2098">
          <cell r="A2098">
            <v>86279</v>
          </cell>
          <cell r="B2098" t="str">
            <v>CR S&amp;C ACRILICO TOTAL BASE P 16L</v>
          </cell>
          <cell r="C2098">
            <v>5281026</v>
          </cell>
          <cell r="D2098" t="str">
            <v>CORAL</v>
          </cell>
          <cell r="E2098">
            <v>30006</v>
          </cell>
          <cell r="F2098" t="str">
            <v>BASES IMOBILIÁRIAS</v>
          </cell>
          <cell r="G2098" t="str">
            <v>IMOBILIÁRIO</v>
          </cell>
        </row>
        <row r="2099">
          <cell r="A2099">
            <v>86280</v>
          </cell>
          <cell r="B2099" t="str">
            <v>CR S&amp;C ACRILICO TOTAL BASE P 3.2L</v>
          </cell>
          <cell r="C2099">
            <v>5281028</v>
          </cell>
          <cell r="D2099" t="str">
            <v>CORAL</v>
          </cell>
          <cell r="E2099">
            <v>30006</v>
          </cell>
          <cell r="F2099" t="str">
            <v>BASES IMOBILIÁRIAS</v>
          </cell>
          <cell r="G2099" t="str">
            <v>IMOBILIÁRIO</v>
          </cell>
        </row>
        <row r="2100">
          <cell r="A2100">
            <v>86281</v>
          </cell>
          <cell r="B2100" t="str">
            <v>CR S&amp;C ACRILICO TOTAL BASE T 16L</v>
          </cell>
          <cell r="C2100">
            <v>5281029</v>
          </cell>
          <cell r="D2100" t="str">
            <v>CORAL</v>
          </cell>
          <cell r="E2100">
            <v>30006</v>
          </cell>
          <cell r="F2100" t="str">
            <v>BASES IMOBILIÁRIAS</v>
          </cell>
          <cell r="G2100" t="str">
            <v>IMOBILIÁRIO</v>
          </cell>
        </row>
        <row r="2101">
          <cell r="A2101">
            <v>86282</v>
          </cell>
          <cell r="B2101" t="str">
            <v>CR S&amp;C ACRILICO TOTAL BASE T 3.2L</v>
          </cell>
          <cell r="C2101">
            <v>5281030</v>
          </cell>
          <cell r="D2101" t="str">
            <v>CORAL</v>
          </cell>
          <cell r="E2101">
            <v>30006</v>
          </cell>
          <cell r="F2101" t="str">
            <v>BASES IMOBILIÁRIAS</v>
          </cell>
          <cell r="G2101" t="str">
            <v>IMOBILIÁRIO</v>
          </cell>
        </row>
        <row r="2102">
          <cell r="A2102">
            <v>86547</v>
          </cell>
          <cell r="B2102" t="str">
            <v>CR S&amp;C PINT IMP BASE MF 16L</v>
          </cell>
          <cell r="C2102">
            <v>5314332</v>
          </cell>
          <cell r="D2102" t="str">
            <v>CORAL</v>
          </cell>
          <cell r="E2102">
            <v>30006</v>
          </cell>
          <cell r="F2102" t="str">
            <v>BASES IMOBILIÁRIAS</v>
          </cell>
          <cell r="G2102" t="str">
            <v>IMOBILIÁRIO</v>
          </cell>
        </row>
        <row r="2103">
          <cell r="A2103">
            <v>86544</v>
          </cell>
          <cell r="B2103" t="str">
            <v>CR S&amp;C PINT IMP BASE MF 3.2L</v>
          </cell>
          <cell r="C2103">
            <v>5314173</v>
          </cell>
          <cell r="D2103" t="str">
            <v>CORAL</v>
          </cell>
          <cell r="E2103">
            <v>30006</v>
          </cell>
          <cell r="F2103" t="str">
            <v>BASES IMOBILIÁRIAS</v>
          </cell>
          <cell r="G2103" t="str">
            <v>IMOBILIÁRIO</v>
          </cell>
        </row>
        <row r="2104">
          <cell r="A2104">
            <v>85893</v>
          </cell>
          <cell r="B2104" t="str">
            <v>CR S&amp;C PINT IMP BASE P 16L</v>
          </cell>
          <cell r="C2104">
            <v>5202630</v>
          </cell>
          <cell r="D2104" t="str">
            <v>CORAL</v>
          </cell>
          <cell r="E2104">
            <v>30006</v>
          </cell>
          <cell r="F2104" t="str">
            <v>BASES IMOBILIÁRIAS</v>
          </cell>
          <cell r="G2104" t="str">
            <v>IMOBILIÁRIO</v>
          </cell>
        </row>
        <row r="2105">
          <cell r="A2105">
            <v>85892</v>
          </cell>
          <cell r="B2105" t="str">
            <v>CR S&amp;C PINT IMP BASE P 3.2L</v>
          </cell>
          <cell r="C2105">
            <v>5202629</v>
          </cell>
          <cell r="D2105" t="str">
            <v>CORAL</v>
          </cell>
          <cell r="E2105">
            <v>30006</v>
          </cell>
          <cell r="F2105" t="str">
            <v>BASES IMOBILIÁRIAS</v>
          </cell>
          <cell r="G2105" t="str">
            <v>IMOBILIÁRIO</v>
          </cell>
        </row>
        <row r="2106">
          <cell r="A2106">
            <v>86546</v>
          </cell>
          <cell r="B2106" t="str">
            <v>CR S&amp;C PINT IMP BASE T 16L</v>
          </cell>
          <cell r="C2106">
            <v>5314331</v>
          </cell>
          <cell r="D2106" t="str">
            <v>CORAL</v>
          </cell>
          <cell r="E2106">
            <v>30006</v>
          </cell>
          <cell r="F2106" t="str">
            <v>BASES IMOBILIÁRIAS</v>
          </cell>
          <cell r="G2106" t="str">
            <v>IMOBILIÁRIO</v>
          </cell>
        </row>
        <row r="2107">
          <cell r="A2107">
            <v>86545</v>
          </cell>
          <cell r="B2107" t="str">
            <v>CR S&amp;C PINT IMP BASE T 3.2L</v>
          </cell>
          <cell r="C2107">
            <v>5314174</v>
          </cell>
          <cell r="D2107" t="str">
            <v>CORAL</v>
          </cell>
          <cell r="E2107">
            <v>30006</v>
          </cell>
          <cell r="F2107" t="str">
            <v>BASES IMOBILIÁRIAS</v>
          </cell>
          <cell r="G2107" t="str">
            <v>IMOBILIÁRIO</v>
          </cell>
        </row>
        <row r="2108">
          <cell r="A2108">
            <v>86203</v>
          </cell>
          <cell r="B2108" t="str">
            <v>CR SUPER LAVAVEL LOC BASE MF 16L</v>
          </cell>
          <cell r="C2108">
            <v>5238868</v>
          </cell>
          <cell r="D2108" t="str">
            <v>CORAL</v>
          </cell>
          <cell r="E2108">
            <v>30006</v>
          </cell>
          <cell r="F2108" t="str">
            <v>BASES IMOBILIÁRIAS</v>
          </cell>
          <cell r="G2108" t="str">
            <v>IMOBILIÁRIO</v>
          </cell>
        </row>
        <row r="2109">
          <cell r="A2109">
            <v>86204</v>
          </cell>
          <cell r="B2109" t="str">
            <v>CR SUPER LAVAVEL LOC BASE MF 3.2L</v>
          </cell>
          <cell r="C2109">
            <v>5238869</v>
          </cell>
          <cell r="D2109" t="str">
            <v>CORAL</v>
          </cell>
          <cell r="E2109">
            <v>30006</v>
          </cell>
          <cell r="F2109" t="str">
            <v>BASES IMOBILIÁRIAS</v>
          </cell>
          <cell r="G2109" t="str">
            <v>IMOBILIÁRIO</v>
          </cell>
        </row>
        <row r="2110">
          <cell r="A2110">
            <v>86205</v>
          </cell>
          <cell r="B2110" t="str">
            <v>CR SUPER LAVAVEL LOC BASE MF 800ML</v>
          </cell>
          <cell r="C2110">
            <v>5238870</v>
          </cell>
          <cell r="D2110" t="str">
            <v>CORAL</v>
          </cell>
          <cell r="E2110">
            <v>30006</v>
          </cell>
          <cell r="F2110" t="str">
            <v>BASES IMOBILIÁRIAS</v>
          </cell>
          <cell r="G2110" t="str">
            <v>IMOBILIÁRIO</v>
          </cell>
        </row>
        <row r="2111">
          <cell r="A2111">
            <v>86258</v>
          </cell>
          <cell r="B2111" t="str">
            <v>CR SUPER LAVAVEL LOC BASE P 16L</v>
          </cell>
          <cell r="C2111">
            <v>5273460</v>
          </cell>
          <cell r="D2111" t="str">
            <v>CORAL</v>
          </cell>
          <cell r="E2111">
            <v>30006</v>
          </cell>
          <cell r="F2111" t="str">
            <v>BASES IMOBILIÁRIAS</v>
          </cell>
          <cell r="G2111" t="str">
            <v>IMOBILIÁRIO</v>
          </cell>
        </row>
        <row r="2112">
          <cell r="A2112">
            <v>86259</v>
          </cell>
          <cell r="B2112" t="str">
            <v>CR SUPER LAVAVEL LOC BASE P 3.2L</v>
          </cell>
          <cell r="C2112">
            <v>5273461</v>
          </cell>
          <cell r="D2112" t="str">
            <v>CORAL</v>
          </cell>
          <cell r="E2112">
            <v>30006</v>
          </cell>
          <cell r="F2112" t="str">
            <v>BASES IMOBILIÁRIAS</v>
          </cell>
          <cell r="G2112" t="str">
            <v>IMOBILIÁRIO</v>
          </cell>
        </row>
        <row r="2113">
          <cell r="A2113">
            <v>86260</v>
          </cell>
          <cell r="B2113" t="str">
            <v>CR SUPER LAVAVEL LOC BASE P 800ML</v>
          </cell>
          <cell r="C2113">
            <v>5273462</v>
          </cell>
          <cell r="D2113" t="str">
            <v>CORAL</v>
          </cell>
          <cell r="E2113">
            <v>30006</v>
          </cell>
          <cell r="F2113" t="str">
            <v>BASES IMOBILIÁRIAS</v>
          </cell>
          <cell r="G2113" t="str">
            <v>IMOBILIÁRIO</v>
          </cell>
        </row>
        <row r="2114">
          <cell r="A2114">
            <v>86251</v>
          </cell>
          <cell r="B2114" t="str">
            <v>CR SUPER LAVAVEL LOC BASE T 16L</v>
          </cell>
          <cell r="C2114">
            <v>5273329</v>
          </cell>
          <cell r="D2114" t="str">
            <v>CORAL</v>
          </cell>
          <cell r="E2114">
            <v>30006</v>
          </cell>
          <cell r="F2114" t="str">
            <v>BASES IMOBILIÁRIAS</v>
          </cell>
          <cell r="G2114" t="str">
            <v>IMOBILIÁRIO</v>
          </cell>
        </row>
        <row r="2115">
          <cell r="A2115">
            <v>86252</v>
          </cell>
          <cell r="B2115" t="str">
            <v>CR SUPER LAVAVEL LOC BASE T 3.2L</v>
          </cell>
          <cell r="C2115">
            <v>5273330</v>
          </cell>
          <cell r="D2115" t="str">
            <v>CORAL</v>
          </cell>
          <cell r="E2115">
            <v>30006</v>
          </cell>
          <cell r="F2115" t="str">
            <v>BASES IMOBILIÁRIAS</v>
          </cell>
          <cell r="G2115" t="str">
            <v>IMOBILIÁRIO</v>
          </cell>
        </row>
        <row r="2116">
          <cell r="A2116">
            <v>86253</v>
          </cell>
          <cell r="B2116" t="str">
            <v>CR SUPER LAVAVEL LOC BASE T 800ML</v>
          </cell>
          <cell r="C2116">
            <v>5273331</v>
          </cell>
          <cell r="D2116" t="str">
            <v>CORAL</v>
          </cell>
          <cell r="E2116">
            <v>30006</v>
          </cell>
          <cell r="F2116" t="str">
            <v>BASES IMOBILIÁRIAS</v>
          </cell>
          <cell r="G2116" t="str">
            <v>IMOBILIÁRIO</v>
          </cell>
        </row>
        <row r="2117">
          <cell r="A2117">
            <v>85411</v>
          </cell>
          <cell r="B2117" t="str">
            <v>SOMENTE PIGMENTO</v>
          </cell>
          <cell r="D2117" t="str">
            <v>BRASILUX</v>
          </cell>
          <cell r="E2117">
            <v>30006</v>
          </cell>
          <cell r="F2117" t="str">
            <v>BASES IMOBILIÁRIAS</v>
          </cell>
          <cell r="G2117" t="str">
            <v>IMOBILIÁRIO</v>
          </cell>
        </row>
        <row r="2118">
          <cell r="A2118">
            <v>85214</v>
          </cell>
          <cell r="B2118" t="str">
            <v>BASE A2 ACRILICO ACETINADO TQ DE SEDA 16L</v>
          </cell>
          <cell r="C2118">
            <v>100192</v>
          </cell>
          <cell r="D2118" t="str">
            <v>SUVINIL</v>
          </cell>
          <cell r="E2118">
            <v>30003</v>
          </cell>
          <cell r="F2118" t="str">
            <v>TINTA PARA PISO</v>
          </cell>
          <cell r="G2118" t="str">
            <v>IMOBILIÁRIO</v>
          </cell>
        </row>
        <row r="2119">
          <cell r="A2119">
            <v>85215</v>
          </cell>
          <cell r="B2119" t="str">
            <v>BASE A2 ACRILICO RENDE COBRE MUITO 16L</v>
          </cell>
          <cell r="C2119">
            <v>121679</v>
          </cell>
          <cell r="D2119" t="str">
            <v>SUVINIL</v>
          </cell>
          <cell r="E2119">
            <v>30003</v>
          </cell>
          <cell r="F2119" t="str">
            <v>TINTA PARA PISO</v>
          </cell>
          <cell r="G2119" t="str">
            <v>IMOBILIÁRIO</v>
          </cell>
        </row>
        <row r="2120">
          <cell r="A2120">
            <v>85284</v>
          </cell>
          <cell r="B2120" t="str">
            <v>BRASPISO-AMARELO DEMARC QUADRA FOSCO 18L BRASILUX</v>
          </cell>
          <cell r="C2120" t="str">
            <v>FO 470265357</v>
          </cell>
          <cell r="D2120" t="str">
            <v>BRASILUX</v>
          </cell>
          <cell r="E2120">
            <v>30003</v>
          </cell>
          <cell r="F2120" t="str">
            <v>TINTA PARA PISO</v>
          </cell>
          <cell r="G2120" t="str">
            <v>IMOBILIÁRIO</v>
          </cell>
        </row>
        <row r="2121">
          <cell r="A2121">
            <v>84298</v>
          </cell>
          <cell r="B2121" t="str">
            <v>BRASPISO-AMARELO DNIT DEMARCACAO 18L BRASILUX</v>
          </cell>
          <cell r="C2121" t="str">
            <v>DM 470203703</v>
          </cell>
          <cell r="D2121" t="str">
            <v>BRASILUX</v>
          </cell>
          <cell r="E2121">
            <v>30003</v>
          </cell>
          <cell r="F2121" t="str">
            <v>TINTA PARA PISO</v>
          </cell>
          <cell r="G2121" t="str">
            <v>IMOBILIÁRIO</v>
          </cell>
        </row>
        <row r="2122">
          <cell r="A2122">
            <v>84300</v>
          </cell>
          <cell r="B2122" t="str">
            <v>BRASPISO-AMARELO DNIT DEMARCACAO 3,6L BRASILUX</v>
          </cell>
          <cell r="C2122" t="str">
            <v>DM 470203702</v>
          </cell>
          <cell r="D2122" t="str">
            <v>BRASILUX</v>
          </cell>
          <cell r="E2122">
            <v>30003</v>
          </cell>
          <cell r="F2122" t="str">
            <v>TINTA PARA PISO</v>
          </cell>
          <cell r="G2122" t="str">
            <v>IMOBILIÁRIO</v>
          </cell>
        </row>
        <row r="2123">
          <cell r="A2123">
            <v>85444</v>
          </cell>
          <cell r="B2123" t="str">
            <v>BRASPISO-AMARELO DNIT REFLETIVO 18L BRASILUX</v>
          </cell>
          <cell r="C2123" t="str">
            <v>DM 470268003</v>
          </cell>
          <cell r="D2123" t="str">
            <v>BRASILUX</v>
          </cell>
          <cell r="E2123">
            <v>30003</v>
          </cell>
          <cell r="F2123" t="str">
            <v>TINTA PARA PISO</v>
          </cell>
          <cell r="G2123" t="str">
            <v>IMOBILIÁRIO</v>
          </cell>
        </row>
        <row r="2124">
          <cell r="A2124">
            <v>85443</v>
          </cell>
          <cell r="B2124" t="str">
            <v>BRASPISO-AMARELO DNIT REFLETIVO 3,6L BRASILUX</v>
          </cell>
          <cell r="C2124" t="str">
            <v>DM 470268002</v>
          </cell>
          <cell r="D2124" t="str">
            <v>BRASILUX</v>
          </cell>
          <cell r="E2124">
            <v>30003</v>
          </cell>
          <cell r="F2124" t="str">
            <v>TINTA PARA PISO</v>
          </cell>
          <cell r="G2124" t="str">
            <v>IMOBILIÁRIO</v>
          </cell>
        </row>
        <row r="2125">
          <cell r="A2125">
            <v>84381</v>
          </cell>
          <cell r="B2125" t="str">
            <v>BRASPISO-AMARELO OURO ACETINADO 18L BRASILUX</v>
          </cell>
          <cell r="C2125" t="str">
            <v>AC 470200157</v>
          </cell>
          <cell r="D2125" t="str">
            <v>BRASILUX</v>
          </cell>
          <cell r="E2125">
            <v>30003</v>
          </cell>
          <cell r="F2125" t="str">
            <v>TINTA PARA PISO</v>
          </cell>
          <cell r="G2125" t="str">
            <v>IMOBILIÁRIO</v>
          </cell>
        </row>
        <row r="2126">
          <cell r="A2126">
            <v>84302</v>
          </cell>
          <cell r="B2126" t="str">
            <v>BRASPISO-AMARELO OURO ACETINADO 3,6L BRASILUX</v>
          </cell>
          <cell r="C2126" t="str">
            <v>AC 470200102</v>
          </cell>
          <cell r="D2126" t="str">
            <v>BRASILUX</v>
          </cell>
          <cell r="E2126">
            <v>30003</v>
          </cell>
          <cell r="F2126" t="str">
            <v>TINTA PARA PISO</v>
          </cell>
          <cell r="G2126" t="str">
            <v>IMOBILIÁRIO</v>
          </cell>
        </row>
        <row r="2127">
          <cell r="A2127">
            <v>84382</v>
          </cell>
          <cell r="B2127" t="str">
            <v>BRASPISO-AZUL PROF. QUADRA ACETINADO 18L BALDE BRASILUX</v>
          </cell>
          <cell r="C2127" t="str">
            <v>AC 470320657</v>
          </cell>
          <cell r="D2127" t="str">
            <v>BRASILUX</v>
          </cell>
          <cell r="E2127">
            <v>30003</v>
          </cell>
          <cell r="F2127" t="str">
            <v>TINTA PARA PISO</v>
          </cell>
          <cell r="G2127" t="str">
            <v>IMOBILIÁRIO</v>
          </cell>
        </row>
        <row r="2128">
          <cell r="A2128">
            <v>85285</v>
          </cell>
          <cell r="B2128" t="str">
            <v>BRASPISO-AZUL PROF. QUADRA FOSCO 18L BALDE BRASILUX</v>
          </cell>
          <cell r="C2128" t="str">
            <v>FO 470320657</v>
          </cell>
          <cell r="D2128" t="str">
            <v>BRASILUX</v>
          </cell>
          <cell r="E2128">
            <v>30003</v>
          </cell>
          <cell r="F2128" t="str">
            <v>TINTA PARA PISO</v>
          </cell>
          <cell r="G2128" t="str">
            <v>IMOBILIÁRIO</v>
          </cell>
        </row>
        <row r="2129">
          <cell r="A2129">
            <v>84303</v>
          </cell>
          <cell r="B2129" t="str">
            <v>BRASPISO-AZUL QUADRA ACETINADO 3,6L BRASILUX</v>
          </cell>
          <cell r="C2129" t="str">
            <v>AC 470320602</v>
          </cell>
          <cell r="D2129" t="str">
            <v>BRASILUX</v>
          </cell>
          <cell r="E2129">
            <v>30003</v>
          </cell>
          <cell r="F2129" t="str">
            <v>TINTA PARA PISO</v>
          </cell>
          <cell r="G2129" t="str">
            <v>IMOBILIÁRIO</v>
          </cell>
        </row>
        <row r="2130">
          <cell r="A2130">
            <v>84750</v>
          </cell>
          <cell r="B2130" t="str">
            <v>BRASPISO-BASE UNICA 16,2L BRASILUX</v>
          </cell>
          <cell r="C2130" t="str">
            <v>BA 470521933</v>
          </cell>
          <cell r="D2130" t="str">
            <v>BRASILUX</v>
          </cell>
          <cell r="E2130">
            <v>30003</v>
          </cell>
          <cell r="F2130" t="str">
            <v>TINTA PARA PISO</v>
          </cell>
          <cell r="G2130" t="str">
            <v>IMOBILIÁRIO</v>
          </cell>
        </row>
        <row r="2131">
          <cell r="A2131">
            <v>84751</v>
          </cell>
          <cell r="B2131" t="str">
            <v>BRASPISO-BASE UNICA 3,24L BRASILUX</v>
          </cell>
          <cell r="C2131" t="str">
            <v>BA 470521932</v>
          </cell>
          <cell r="D2131" t="str">
            <v>BRASILUX</v>
          </cell>
          <cell r="E2131">
            <v>30003</v>
          </cell>
          <cell r="F2131" t="str">
            <v>TINTA PARA PISO</v>
          </cell>
          <cell r="G2131" t="str">
            <v>IMOBILIÁRIO</v>
          </cell>
        </row>
        <row r="2132">
          <cell r="A2132">
            <v>84383</v>
          </cell>
          <cell r="B2132" t="str">
            <v>BRASPISO-BRANCO ACETINADO 18L BRASILUX</v>
          </cell>
          <cell r="C2132" t="str">
            <v>AC 470503057</v>
          </cell>
          <cell r="D2132" t="str">
            <v>BRASILUX</v>
          </cell>
          <cell r="E2132">
            <v>30003</v>
          </cell>
          <cell r="F2132" t="str">
            <v>TINTA PARA PISO</v>
          </cell>
          <cell r="G2132" t="str">
            <v>IMOBILIÁRIO</v>
          </cell>
        </row>
        <row r="2133">
          <cell r="A2133">
            <v>84304</v>
          </cell>
          <cell r="B2133" t="str">
            <v>BRASPISO-BRANCO ACETINADO 3,6L BRASILUX</v>
          </cell>
          <cell r="C2133" t="str">
            <v>AC 470503002</v>
          </cell>
          <cell r="D2133" t="str">
            <v>BRASILUX</v>
          </cell>
          <cell r="E2133">
            <v>30003</v>
          </cell>
          <cell r="F2133" t="str">
            <v>TINTA PARA PISO</v>
          </cell>
          <cell r="G2133" t="str">
            <v>IMOBILIÁRIO</v>
          </cell>
        </row>
        <row r="2134">
          <cell r="A2134">
            <v>84299</v>
          </cell>
          <cell r="B2134" t="str">
            <v>BRASPISO-BRANCO DNIT DEMARCACAO 18L BRASILUX</v>
          </cell>
          <cell r="C2134" t="str">
            <v>DM 470500703</v>
          </cell>
          <cell r="D2134" t="str">
            <v>BRASILUX</v>
          </cell>
          <cell r="E2134">
            <v>30003</v>
          </cell>
          <cell r="F2134" t="str">
            <v>TINTA PARA PISO</v>
          </cell>
          <cell r="G2134" t="str">
            <v>IMOBILIÁRIO</v>
          </cell>
        </row>
        <row r="2135">
          <cell r="A2135">
            <v>84301</v>
          </cell>
          <cell r="B2135" t="str">
            <v>BRASPISO-BRANCO DNIT DEMARCACAO 3,6L BRASILUX</v>
          </cell>
          <cell r="C2135" t="str">
            <v>DM 470500702</v>
          </cell>
          <cell r="D2135" t="str">
            <v>BRASILUX</v>
          </cell>
          <cell r="E2135">
            <v>30003</v>
          </cell>
          <cell r="F2135" t="str">
            <v>TINTA PARA PISO</v>
          </cell>
          <cell r="G2135" t="str">
            <v>IMOBILIÁRIO</v>
          </cell>
        </row>
        <row r="2136">
          <cell r="A2136">
            <v>85286</v>
          </cell>
          <cell r="B2136" t="str">
            <v>BRASPISO-BRANCO DNIT FOSCO 18L BALDE BRASILUX</v>
          </cell>
          <cell r="C2136" t="str">
            <v>FO 470503057</v>
          </cell>
          <cell r="D2136" t="str">
            <v>BRASILUX</v>
          </cell>
          <cell r="E2136">
            <v>30003</v>
          </cell>
          <cell r="F2136" t="str">
            <v>TINTA PARA PISO</v>
          </cell>
          <cell r="G2136" t="str">
            <v>IMOBILIÁRIO</v>
          </cell>
        </row>
        <row r="2137">
          <cell r="A2137">
            <v>84385</v>
          </cell>
          <cell r="B2137" t="str">
            <v>BRASPISO-CINZA ACETINADO 18L BRASILUX</v>
          </cell>
          <cell r="C2137" t="str">
            <v>AC 470600057</v>
          </cell>
          <cell r="D2137" t="str">
            <v>BRASILUX</v>
          </cell>
          <cell r="E2137">
            <v>30003</v>
          </cell>
          <cell r="F2137" t="str">
            <v>TINTA PARA PISO</v>
          </cell>
          <cell r="G2137" t="str">
            <v>IMOBILIÁRIO</v>
          </cell>
        </row>
        <row r="2138">
          <cell r="A2138">
            <v>84306</v>
          </cell>
          <cell r="B2138" t="str">
            <v>BRASPISO-CINZA ACETINADO 3,6L BRASILUX</v>
          </cell>
          <cell r="C2138" t="str">
            <v>AC 470600002</v>
          </cell>
          <cell r="D2138" t="str">
            <v>BRASILUX</v>
          </cell>
          <cell r="E2138">
            <v>30003</v>
          </cell>
          <cell r="F2138" t="str">
            <v>TINTA PARA PISO</v>
          </cell>
          <cell r="G2138" t="str">
            <v>IMOBILIÁRIO</v>
          </cell>
        </row>
        <row r="2139">
          <cell r="A2139">
            <v>84384</v>
          </cell>
          <cell r="B2139" t="str">
            <v>BRASPISO-CINZA ESCURO ACETINADO 18L BRASILUX</v>
          </cell>
          <cell r="C2139" t="str">
            <v>AC 470614057</v>
          </cell>
          <cell r="D2139" t="str">
            <v>BRASILUX</v>
          </cell>
          <cell r="E2139">
            <v>30003</v>
          </cell>
          <cell r="F2139" t="str">
            <v>TINTA PARA PISO</v>
          </cell>
          <cell r="G2139" t="str">
            <v>IMOBILIÁRIO</v>
          </cell>
        </row>
        <row r="2140">
          <cell r="A2140">
            <v>85006</v>
          </cell>
          <cell r="B2140" t="str">
            <v>BRASPISO-CINZA ESCURO ACETINADO 18L BRASILUX</v>
          </cell>
          <cell r="C2140" t="str">
            <v>AC 470614003</v>
          </cell>
          <cell r="D2140" t="str">
            <v>BRASILUX</v>
          </cell>
          <cell r="E2140">
            <v>30003</v>
          </cell>
          <cell r="F2140" t="str">
            <v>TINTA PARA PISO</v>
          </cell>
          <cell r="G2140" t="str">
            <v>IMOBILIÁRIO</v>
          </cell>
        </row>
        <row r="2141">
          <cell r="A2141">
            <v>84305</v>
          </cell>
          <cell r="B2141" t="str">
            <v>BRASPISO-CINZA ESCURO ACETINADO 3,6L BRASILUX</v>
          </cell>
          <cell r="C2141" t="str">
            <v>AC 470614002</v>
          </cell>
          <cell r="D2141" t="str">
            <v>BRASILUX</v>
          </cell>
          <cell r="E2141">
            <v>30003</v>
          </cell>
          <cell r="F2141" t="str">
            <v>TINTA PARA PISO</v>
          </cell>
          <cell r="G2141" t="str">
            <v>IMOBILIÁRIO</v>
          </cell>
        </row>
        <row r="2142">
          <cell r="A2142">
            <v>85271</v>
          </cell>
          <cell r="B2142" t="str">
            <v>BRASPISO-CINZA ESCURO FOSCO 18L BRASILUX</v>
          </cell>
          <cell r="C2142" t="str">
            <v>FO 470614057</v>
          </cell>
          <cell r="D2142" t="str">
            <v>BRASILUX</v>
          </cell>
          <cell r="E2142">
            <v>30003</v>
          </cell>
          <cell r="F2142" t="str">
            <v>TINTA PARA PISO</v>
          </cell>
          <cell r="G2142" t="str">
            <v>IMOBILIÁRIO</v>
          </cell>
        </row>
        <row r="2143">
          <cell r="A2143">
            <v>85283</v>
          </cell>
          <cell r="B2143" t="str">
            <v>BRASPISO-CINZA MEDIO FOSCO 18L BALDE BRASILUX</v>
          </cell>
          <cell r="C2143" t="str">
            <v>FO 470604857</v>
          </cell>
          <cell r="D2143" t="str">
            <v>BRASILUX</v>
          </cell>
          <cell r="E2143">
            <v>30003</v>
          </cell>
          <cell r="F2143" t="str">
            <v>TINTA PARA PISO</v>
          </cell>
          <cell r="G2143" t="str">
            <v>IMOBILIÁRIO</v>
          </cell>
        </row>
        <row r="2144">
          <cell r="A2144">
            <v>84386</v>
          </cell>
          <cell r="B2144" t="str">
            <v>BRASPISO-CONCRETO ACETINADO 18L BALDE BRASILUX</v>
          </cell>
          <cell r="C2144" t="str">
            <v>AC 474700157</v>
          </cell>
          <cell r="D2144" t="str">
            <v>BRASILUX</v>
          </cell>
          <cell r="E2144">
            <v>30003</v>
          </cell>
          <cell r="F2144" t="str">
            <v>TINTA PARA PISO</v>
          </cell>
          <cell r="G2144" t="str">
            <v>IMOBILIÁRIO</v>
          </cell>
        </row>
        <row r="2145">
          <cell r="A2145">
            <v>84983</v>
          </cell>
          <cell r="B2145" t="str">
            <v>BRASPISO-CONCRETO ACETINADO 18L BRASILUX</v>
          </cell>
          <cell r="C2145" t="str">
            <v>AC 474700103</v>
          </cell>
          <cell r="D2145" t="str">
            <v>BRASILUX</v>
          </cell>
          <cell r="E2145">
            <v>30003</v>
          </cell>
          <cell r="F2145" t="str">
            <v>TINTA PARA PISO</v>
          </cell>
          <cell r="G2145" t="str">
            <v>IMOBILIÁRIO</v>
          </cell>
        </row>
        <row r="2146">
          <cell r="A2146">
            <v>84307</v>
          </cell>
          <cell r="B2146" t="str">
            <v>BRASPISO-CONCRETO ACETINADO 3,6L BRASILUX</v>
          </cell>
          <cell r="C2146" t="str">
            <v>AC 474700102</v>
          </cell>
          <cell r="D2146" t="str">
            <v>BRASILUX</v>
          </cell>
          <cell r="E2146">
            <v>30003</v>
          </cell>
          <cell r="F2146" t="str">
            <v>TINTA PARA PISO</v>
          </cell>
          <cell r="G2146" t="str">
            <v>IMOBILIÁRIO</v>
          </cell>
        </row>
        <row r="2147">
          <cell r="A2147">
            <v>84387</v>
          </cell>
          <cell r="B2147" t="str">
            <v>BRASPISO-MARROM ACETINADO 18L BRASILUX</v>
          </cell>
          <cell r="C2147" t="str">
            <v>AC 471022557</v>
          </cell>
          <cell r="D2147" t="str">
            <v>BRASILUX</v>
          </cell>
          <cell r="E2147">
            <v>30003</v>
          </cell>
          <cell r="F2147" t="str">
            <v>TINTA PARA PISO</v>
          </cell>
          <cell r="G2147" t="str">
            <v>IMOBILIÁRIO</v>
          </cell>
        </row>
        <row r="2148">
          <cell r="A2148">
            <v>84308</v>
          </cell>
          <cell r="B2148" t="str">
            <v>BRASPISO-MARROM ACETINADO 3,6L BRASILUX</v>
          </cell>
          <cell r="C2148" t="str">
            <v>AC 471022502</v>
          </cell>
          <cell r="D2148" t="str">
            <v>BRASILUX</v>
          </cell>
          <cell r="E2148">
            <v>30003</v>
          </cell>
          <cell r="F2148" t="str">
            <v>TINTA PARA PISO</v>
          </cell>
          <cell r="G2148" t="str">
            <v>IMOBILIÁRIO</v>
          </cell>
        </row>
        <row r="2149">
          <cell r="A2149">
            <v>84388</v>
          </cell>
          <cell r="B2149" t="str">
            <v>BRASPISO-PRETO ACETINADO 18L BALDE BRASILUX</v>
          </cell>
          <cell r="C2149" t="str">
            <v>AC 471500157</v>
          </cell>
          <cell r="D2149" t="str">
            <v>BRASILUX</v>
          </cell>
          <cell r="E2149">
            <v>30003</v>
          </cell>
          <cell r="F2149" t="str">
            <v>TINTA PARA PISO</v>
          </cell>
          <cell r="G2149" t="str">
            <v>IMOBILIÁRIO</v>
          </cell>
        </row>
        <row r="2150">
          <cell r="A2150">
            <v>84309</v>
          </cell>
          <cell r="B2150" t="str">
            <v>BRASPISO-PRETO ACETINADO 3,6L BRASILUX</v>
          </cell>
          <cell r="C2150" t="str">
            <v>AC 471500102</v>
          </cell>
          <cell r="D2150" t="str">
            <v>BRASILUX</v>
          </cell>
          <cell r="E2150">
            <v>30003</v>
          </cell>
          <cell r="F2150" t="str">
            <v>TINTA PARA PISO</v>
          </cell>
          <cell r="G2150" t="str">
            <v>IMOBILIÁRIO</v>
          </cell>
        </row>
        <row r="2151">
          <cell r="A2151">
            <v>84310</v>
          </cell>
          <cell r="B2151" t="str">
            <v>BRASPISO-VERDE QUADRA  ACETINADO 3,6L BRASILUX</v>
          </cell>
          <cell r="C2151" t="str">
            <v>AC 472224002</v>
          </cell>
          <cell r="D2151" t="str">
            <v>BRASILUX</v>
          </cell>
          <cell r="E2151">
            <v>30003</v>
          </cell>
          <cell r="F2151" t="str">
            <v>TINTA PARA PISO</v>
          </cell>
          <cell r="G2151" t="str">
            <v>IMOBILIÁRIO</v>
          </cell>
        </row>
        <row r="2152">
          <cell r="A2152">
            <v>84389</v>
          </cell>
          <cell r="B2152" t="str">
            <v>BRASPISO-VERDE QUADRA ACETINADO 18L BRASILUX</v>
          </cell>
          <cell r="C2152" t="str">
            <v>AC 472224057</v>
          </cell>
          <cell r="D2152" t="str">
            <v>BRASILUX</v>
          </cell>
          <cell r="E2152">
            <v>30003</v>
          </cell>
          <cell r="F2152" t="str">
            <v>TINTA PARA PISO</v>
          </cell>
          <cell r="G2152" t="str">
            <v>IMOBILIÁRIO</v>
          </cell>
        </row>
        <row r="2153">
          <cell r="A2153">
            <v>84405</v>
          </cell>
          <cell r="B2153" t="str">
            <v>BRASPISO-VERMELHO QUADRA ACETINADO 18L BRASILUX</v>
          </cell>
          <cell r="C2153" t="str">
            <v>AC 472362457</v>
          </cell>
          <cell r="D2153" t="str">
            <v>BRASILUX</v>
          </cell>
          <cell r="E2153">
            <v>30003</v>
          </cell>
          <cell r="F2153" t="str">
            <v>TINTA PARA PISO</v>
          </cell>
          <cell r="G2153" t="str">
            <v>IMOBILIÁRIO</v>
          </cell>
        </row>
        <row r="2154">
          <cell r="A2154">
            <v>84311</v>
          </cell>
          <cell r="B2154" t="str">
            <v>BRASPISO-VERMELHO QUADRA ACETINADO 3,6L BRASILUX</v>
          </cell>
          <cell r="C2154" t="str">
            <v>AC 472362402</v>
          </cell>
          <cell r="D2154" t="str">
            <v>BRASILUX</v>
          </cell>
          <cell r="E2154">
            <v>30003</v>
          </cell>
          <cell r="F2154" t="str">
            <v>TINTA PARA PISO</v>
          </cell>
          <cell r="G2154" t="str">
            <v>IMOBILIÁRIO</v>
          </cell>
        </row>
        <row r="2155">
          <cell r="A2155">
            <v>85841</v>
          </cell>
          <cell r="B2155" t="str">
            <v>CR PINTA PISO AM DEMARC 18L</v>
          </cell>
          <cell r="C2155">
            <v>5202467</v>
          </cell>
          <cell r="D2155" t="str">
            <v>CORAL</v>
          </cell>
          <cell r="E2155">
            <v>30003</v>
          </cell>
          <cell r="F2155" t="str">
            <v>TINTA PARA PISO</v>
          </cell>
          <cell r="G2155" t="str">
            <v>IMOBILIÁRIO</v>
          </cell>
        </row>
        <row r="2156">
          <cell r="A2156">
            <v>85840</v>
          </cell>
          <cell r="B2156" t="str">
            <v>CR PINTA PISO AM DEMARC 3.6L</v>
          </cell>
          <cell r="C2156">
            <v>5202466</v>
          </cell>
          <cell r="D2156" t="str">
            <v>CORAL</v>
          </cell>
          <cell r="E2156">
            <v>30003</v>
          </cell>
          <cell r="F2156" t="str">
            <v>TINTA PARA PISO</v>
          </cell>
          <cell r="G2156" t="str">
            <v>IMOBILIÁRIO</v>
          </cell>
        </row>
        <row r="2157">
          <cell r="A2157">
            <v>85837</v>
          </cell>
          <cell r="B2157" t="str">
            <v>CR PINTA PISO AZUL 18L</v>
          </cell>
          <cell r="C2157">
            <v>5202463</v>
          </cell>
          <cell r="D2157" t="str">
            <v>CORAL</v>
          </cell>
          <cell r="E2157">
            <v>30003</v>
          </cell>
          <cell r="F2157" t="str">
            <v>TINTA PARA PISO</v>
          </cell>
          <cell r="G2157" t="str">
            <v>IMOBILIÁRIO</v>
          </cell>
        </row>
        <row r="2158">
          <cell r="A2158">
            <v>85836</v>
          </cell>
          <cell r="B2158" t="str">
            <v>CR PINTA PISO AZUL 3.6L</v>
          </cell>
          <cell r="C2158">
            <v>5202462</v>
          </cell>
          <cell r="D2158" t="str">
            <v>CORAL</v>
          </cell>
          <cell r="E2158">
            <v>30003</v>
          </cell>
          <cell r="F2158" t="str">
            <v>TINTA PARA PISO</v>
          </cell>
          <cell r="G2158" t="str">
            <v>IMOBILIÁRIO</v>
          </cell>
        </row>
        <row r="2159">
          <cell r="A2159">
            <v>85829</v>
          </cell>
          <cell r="B2159" t="str">
            <v>CR PINTA PISO BRANCO 18L</v>
          </cell>
          <cell r="C2159">
            <v>5202455</v>
          </cell>
          <cell r="D2159" t="str">
            <v>CORAL</v>
          </cell>
          <cell r="E2159">
            <v>30003</v>
          </cell>
          <cell r="F2159" t="str">
            <v>TINTA PARA PISO</v>
          </cell>
          <cell r="G2159" t="str">
            <v>IMOBILIÁRIO</v>
          </cell>
        </row>
        <row r="2160">
          <cell r="A2160">
            <v>85828</v>
          </cell>
          <cell r="B2160" t="str">
            <v>CR PINTA PISO BRANCO 3.6L</v>
          </cell>
          <cell r="C2160">
            <v>5202454</v>
          </cell>
          <cell r="D2160" t="str">
            <v>CORAL</v>
          </cell>
          <cell r="E2160">
            <v>30003</v>
          </cell>
          <cell r="F2160" t="str">
            <v>TINTA PARA PISO</v>
          </cell>
          <cell r="G2160" t="str">
            <v>IMOBILIÁRIO</v>
          </cell>
        </row>
        <row r="2161">
          <cell r="A2161">
            <v>85843</v>
          </cell>
          <cell r="B2161" t="str">
            <v>CR PINTA PISO CONCRETO 18L</v>
          </cell>
          <cell r="C2161">
            <v>5202469</v>
          </cell>
          <cell r="D2161" t="str">
            <v>CORAL</v>
          </cell>
          <cell r="E2161">
            <v>30003</v>
          </cell>
          <cell r="F2161" t="str">
            <v>TINTA PARA PISO</v>
          </cell>
          <cell r="G2161" t="str">
            <v>IMOBILIÁRIO</v>
          </cell>
        </row>
        <row r="2162">
          <cell r="A2162">
            <v>85842</v>
          </cell>
          <cell r="B2162" t="str">
            <v>CR PINTA PISO CONCRETO 3.6L</v>
          </cell>
          <cell r="C2162">
            <v>5202468</v>
          </cell>
          <cell r="D2162" t="str">
            <v>CORAL</v>
          </cell>
          <cell r="E2162">
            <v>30003</v>
          </cell>
          <cell r="F2162" t="str">
            <v>TINTA PARA PISO</v>
          </cell>
          <cell r="G2162" t="str">
            <v>IMOBILIÁRIO</v>
          </cell>
        </row>
        <row r="2163">
          <cell r="A2163">
            <v>85835</v>
          </cell>
          <cell r="B2163" t="str">
            <v>CR PINTA PISO CZ ESC 18L</v>
          </cell>
          <cell r="C2163">
            <v>5202461</v>
          </cell>
          <cell r="D2163" t="str">
            <v>CORAL</v>
          </cell>
          <cell r="E2163">
            <v>30003</v>
          </cell>
          <cell r="F2163" t="str">
            <v>TINTA PARA PISO</v>
          </cell>
          <cell r="G2163" t="str">
            <v>IMOBILIÁRIO</v>
          </cell>
        </row>
        <row r="2164">
          <cell r="A2164">
            <v>85834</v>
          </cell>
          <cell r="B2164" t="str">
            <v>CR PINTA PISO CZ ESC 3.6L</v>
          </cell>
          <cell r="C2164">
            <v>5202460</v>
          </cell>
          <cell r="D2164" t="str">
            <v>CORAL</v>
          </cell>
          <cell r="E2164">
            <v>30003</v>
          </cell>
          <cell r="F2164" t="str">
            <v>TINTA PARA PISO</v>
          </cell>
          <cell r="G2164" t="str">
            <v>IMOBILIÁRIO</v>
          </cell>
        </row>
        <row r="2165">
          <cell r="A2165">
            <v>85833</v>
          </cell>
          <cell r="B2165" t="str">
            <v>CR PINTA PISO CZ MEDIO 18L</v>
          </cell>
          <cell r="C2165">
            <v>5202459</v>
          </cell>
          <cell r="D2165" t="str">
            <v>CORAL</v>
          </cell>
          <cell r="E2165">
            <v>30003</v>
          </cell>
          <cell r="F2165" t="str">
            <v>TINTA PARA PISO</v>
          </cell>
          <cell r="G2165" t="str">
            <v>IMOBILIÁRIO</v>
          </cell>
        </row>
        <row r="2166">
          <cell r="A2166">
            <v>85832</v>
          </cell>
          <cell r="B2166" t="str">
            <v>CR PINTA PISO CZ MEDIO 3.6L</v>
          </cell>
          <cell r="C2166">
            <v>5202458</v>
          </cell>
          <cell r="D2166" t="str">
            <v>CORAL</v>
          </cell>
          <cell r="E2166">
            <v>30003</v>
          </cell>
          <cell r="F2166" t="str">
            <v>TINTA PARA PISO</v>
          </cell>
          <cell r="G2166" t="str">
            <v>IMOBILIÁRIO</v>
          </cell>
        </row>
        <row r="2167">
          <cell r="A2167">
            <v>85831</v>
          </cell>
          <cell r="B2167" t="str">
            <v>CR PINTA PISO PRETO 18L</v>
          </cell>
          <cell r="C2167">
            <v>5202457</v>
          </cell>
          <cell r="D2167" t="str">
            <v>CORAL</v>
          </cell>
          <cell r="E2167">
            <v>30003</v>
          </cell>
          <cell r="F2167" t="str">
            <v>TINTA PARA PISO</v>
          </cell>
          <cell r="G2167" t="str">
            <v>IMOBILIÁRIO</v>
          </cell>
        </row>
        <row r="2168">
          <cell r="A2168">
            <v>85830</v>
          </cell>
          <cell r="B2168" t="str">
            <v>CR PINTA PISO PRETO 3.6L</v>
          </cell>
          <cell r="C2168">
            <v>5202456</v>
          </cell>
          <cell r="D2168" t="str">
            <v>CORAL</v>
          </cell>
          <cell r="E2168">
            <v>30003</v>
          </cell>
          <cell r="F2168" t="str">
            <v>TINTA PARA PISO</v>
          </cell>
          <cell r="G2168" t="str">
            <v>IMOBILIÁRIO</v>
          </cell>
        </row>
        <row r="2169">
          <cell r="A2169">
            <v>85845</v>
          </cell>
          <cell r="B2169" t="str">
            <v>CR PINTA PISO VD QUADRA 18L</v>
          </cell>
          <cell r="C2169">
            <v>5202471</v>
          </cell>
          <cell r="D2169" t="str">
            <v>CORAL</v>
          </cell>
          <cell r="E2169">
            <v>30003</v>
          </cell>
          <cell r="F2169" t="str">
            <v>TINTA PARA PISO</v>
          </cell>
          <cell r="G2169" t="str">
            <v>IMOBILIÁRIO</v>
          </cell>
        </row>
        <row r="2170">
          <cell r="A2170">
            <v>85844</v>
          </cell>
          <cell r="B2170" t="str">
            <v>CR PINTA PISO VD QUADRA 3.6L</v>
          </cell>
          <cell r="C2170">
            <v>5202470</v>
          </cell>
          <cell r="D2170" t="str">
            <v>CORAL</v>
          </cell>
          <cell r="E2170">
            <v>30003</v>
          </cell>
          <cell r="F2170" t="str">
            <v>TINTA PARA PISO</v>
          </cell>
          <cell r="G2170" t="str">
            <v>IMOBILIÁRIO</v>
          </cell>
        </row>
        <row r="2171">
          <cell r="A2171">
            <v>85839</v>
          </cell>
          <cell r="B2171" t="str">
            <v>CR PINTA PISO VERMELHO 18L</v>
          </cell>
          <cell r="C2171">
            <v>5202465</v>
          </cell>
          <cell r="D2171" t="str">
            <v>CORAL</v>
          </cell>
          <cell r="E2171">
            <v>30003</v>
          </cell>
          <cell r="F2171" t="str">
            <v>TINTA PARA PISO</v>
          </cell>
          <cell r="G2171" t="str">
            <v>IMOBILIÁRIO</v>
          </cell>
        </row>
        <row r="2172">
          <cell r="A2172">
            <v>85838</v>
          </cell>
          <cell r="B2172" t="str">
            <v>CR PINTA PISO VERMELHO 3.6L</v>
          </cell>
          <cell r="C2172">
            <v>5202464</v>
          </cell>
          <cell r="D2172" t="str">
            <v>CORAL</v>
          </cell>
          <cell r="E2172">
            <v>30003</v>
          </cell>
          <cell r="F2172" t="str">
            <v>TINTA PARA PISO</v>
          </cell>
          <cell r="G2172" t="str">
            <v>IMOBILIÁRIO</v>
          </cell>
        </row>
        <row r="2173">
          <cell r="A2173">
            <v>86176</v>
          </cell>
          <cell r="B2173" t="str">
            <v>CR PINTA PISO VERMELHO SEGURANCA 18L</v>
          </cell>
          <cell r="C2173">
            <v>5207663</v>
          </cell>
          <cell r="D2173" t="str">
            <v>CORAL</v>
          </cell>
          <cell r="E2173">
            <v>30003</v>
          </cell>
          <cell r="F2173" t="str">
            <v>TINTA PARA PISO</v>
          </cell>
          <cell r="G2173" t="str">
            <v>IMOBILIÁRIO</v>
          </cell>
        </row>
        <row r="2174">
          <cell r="A2174">
            <v>86167</v>
          </cell>
          <cell r="B2174" t="str">
            <v>CR PINTA PISO VERMELHO SEGURANCA 3.6L</v>
          </cell>
          <cell r="C2174">
            <v>5207147</v>
          </cell>
          <cell r="D2174" t="str">
            <v>CORAL</v>
          </cell>
          <cell r="E2174">
            <v>30003</v>
          </cell>
          <cell r="F2174" t="str">
            <v>TINTA PARA PISO</v>
          </cell>
          <cell r="G2174" t="str">
            <v>IMOBILIÁRIO</v>
          </cell>
        </row>
        <row r="2175">
          <cell r="A2175">
            <v>84566</v>
          </cell>
          <cell r="B2175" t="str">
            <v>DEMARCACAO VIARIA-AMARELO DNIT 18L BRASILUX</v>
          </cell>
          <cell r="C2175" t="str">
            <v>DM 150203703</v>
          </cell>
          <cell r="D2175" t="str">
            <v>BRASILUX</v>
          </cell>
          <cell r="E2175">
            <v>30003</v>
          </cell>
          <cell r="F2175" t="str">
            <v>TINTA PARA PISO</v>
          </cell>
          <cell r="G2175" t="str">
            <v>IMOBILIÁRIO</v>
          </cell>
        </row>
        <row r="2176">
          <cell r="A2176">
            <v>84567</v>
          </cell>
          <cell r="B2176" t="str">
            <v>DEMARCACAO VIARIA-BRANCO DNIT 18L BRASILUX</v>
          </cell>
          <cell r="C2176" t="str">
            <v>DM 150500703</v>
          </cell>
          <cell r="D2176" t="str">
            <v>BRASILUX</v>
          </cell>
          <cell r="E2176">
            <v>30003</v>
          </cell>
          <cell r="F2176" t="str">
            <v>TINTA PARA PISO</v>
          </cell>
          <cell r="G2176" t="str">
            <v>IMOBILIÁRIO</v>
          </cell>
        </row>
        <row r="2177">
          <cell r="A2177">
            <v>84916</v>
          </cell>
          <cell r="B2177" t="str">
            <v>DEMARCACAO VIARIA-PRETO 18L BRASILUX</v>
          </cell>
          <cell r="C2177" t="str">
            <v>DM 151500103</v>
          </cell>
          <cell r="D2177" t="str">
            <v>BRASILUX</v>
          </cell>
          <cell r="E2177">
            <v>30003</v>
          </cell>
          <cell r="F2177" t="str">
            <v>TINTA PARA PISO</v>
          </cell>
          <cell r="G2177" t="str">
            <v>IMOBILIÁRIO</v>
          </cell>
        </row>
        <row r="2178">
          <cell r="A2178">
            <v>85632</v>
          </cell>
          <cell r="B2178" t="str">
            <v>INTA TECNICA ESPECIAL - VERMELHO 5R4/14 DEMARCACAO (3,6 LT)</v>
          </cell>
          <cell r="C2178" t="str">
            <v>DM 152304502</v>
          </cell>
          <cell r="D2178" t="str">
            <v>BRASILUX</v>
          </cell>
          <cell r="E2178">
            <v>30003</v>
          </cell>
          <cell r="F2178" t="str">
            <v>TINTA PARA PISO</v>
          </cell>
          <cell r="G2178" t="str">
            <v>IMOBILIÁRIO</v>
          </cell>
        </row>
        <row r="2179">
          <cell r="A2179">
            <v>85217</v>
          </cell>
          <cell r="B2179" t="str">
            <v>MASSA ACRILICA EXTERIOR E INTERIOR 25KG SUVINIL</v>
          </cell>
          <cell r="C2179">
            <v>113498</v>
          </cell>
          <cell r="D2179" t="str">
            <v>.</v>
          </cell>
          <cell r="E2179">
            <v>30003</v>
          </cell>
          <cell r="F2179" t="str">
            <v>TINTA PARA PISO</v>
          </cell>
          <cell r="G2179" t="str">
            <v>IMOBILIÁRIO</v>
          </cell>
        </row>
        <row r="2180">
          <cell r="A2180">
            <v>85216</v>
          </cell>
          <cell r="B2180" t="str">
            <v>MASSA CORRIDA LATA PVA NTERIOR 25KG SUVINIL</v>
          </cell>
          <cell r="C2180">
            <v>103281</v>
          </cell>
          <cell r="D2180" t="str">
            <v>.</v>
          </cell>
          <cell r="E2180">
            <v>30003</v>
          </cell>
          <cell r="F2180" t="str">
            <v>TINTA PARA PISO</v>
          </cell>
          <cell r="G2180" t="str">
            <v>IMOBILIÁRIO</v>
          </cell>
        </row>
        <row r="2181">
          <cell r="A2181">
            <v>85360</v>
          </cell>
          <cell r="B2181" t="str">
            <v>MICROESFERA VIDRO VIARIA 1KG BRASILUX</v>
          </cell>
          <cell r="C2181">
            <v>2901</v>
          </cell>
          <cell r="D2181" t="str">
            <v>BRASILUX</v>
          </cell>
          <cell r="E2181">
            <v>30003</v>
          </cell>
          <cell r="F2181" t="str">
            <v>TINTA PARA PISO</v>
          </cell>
          <cell r="G2181" t="str">
            <v>IMOBILIÁRIO</v>
          </cell>
        </row>
        <row r="2182">
          <cell r="A2182">
            <v>85212</v>
          </cell>
          <cell r="B2182" t="str">
            <v>TINTA  ACRILICA RENDE COBRE MUITO BRANCO NEVE 18LT SUVINIL</v>
          </cell>
          <cell r="C2182">
            <v>73191</v>
          </cell>
          <cell r="D2182" t="str">
            <v>SUVINIL</v>
          </cell>
          <cell r="E2182">
            <v>30003</v>
          </cell>
          <cell r="F2182" t="str">
            <v>TINTA PARA PISO</v>
          </cell>
          <cell r="G2182" t="str">
            <v>IMOBILIÁRIO</v>
          </cell>
        </row>
        <row r="2183">
          <cell r="A2183">
            <v>85627</v>
          </cell>
          <cell r="B2183" t="str">
            <v>TINTA  PARA PISOS - AMARELO DNIT DEMARCACAO BALDE PLASTICO 18 L</v>
          </cell>
          <cell r="C2183" t="str">
            <v>DM 470203757</v>
          </cell>
          <cell r="D2183" t="str">
            <v>BRASILUX</v>
          </cell>
          <cell r="E2183">
            <v>30003</v>
          </cell>
          <cell r="F2183" t="str">
            <v>TINTA PARA PISO</v>
          </cell>
          <cell r="G2183" t="str">
            <v>IMOBILIÁRIO</v>
          </cell>
        </row>
        <row r="2184">
          <cell r="A2184">
            <v>85628</v>
          </cell>
          <cell r="B2184" t="str">
            <v>TINTA  PARA PISOS - BRANCO DNIT DEMARCACAO (BALDE PLASTICO 18</v>
          </cell>
          <cell r="C2184" t="str">
            <v>DM 470500757</v>
          </cell>
          <cell r="D2184" t="str">
            <v>BRASILUX</v>
          </cell>
          <cell r="E2184">
            <v>30003</v>
          </cell>
          <cell r="F2184" t="str">
            <v>TINTA PARA PISO</v>
          </cell>
          <cell r="G2184" t="str">
            <v>IMOBILIÁRIO</v>
          </cell>
        </row>
        <row r="2185">
          <cell r="A2185">
            <v>85452</v>
          </cell>
          <cell r="B2185" t="str">
            <v>TINTA TECNICA ESPECIAL  BRANCO DNIT DEMARCACAO 3,6 LT</v>
          </cell>
          <cell r="C2185" t="str">
            <v>DM 150500702</v>
          </cell>
          <cell r="D2185" t="str">
            <v>BRASILUX</v>
          </cell>
          <cell r="E2185">
            <v>30003</v>
          </cell>
          <cell r="F2185" t="str">
            <v>TINTA PARA PISO</v>
          </cell>
          <cell r="G2185" t="str">
            <v>IMOBILIÁRIO</v>
          </cell>
        </row>
        <row r="2186">
          <cell r="A2186">
            <v>84914</v>
          </cell>
          <cell r="B2186" t="str">
            <v>TINTA TECNICA ESPECIAL - AMARELO DNIT DEMARCACAO 3,6L</v>
          </cell>
          <cell r="C2186" t="str">
            <v>DM 150203702</v>
          </cell>
          <cell r="D2186" t="str">
            <v>BRASILUX</v>
          </cell>
          <cell r="E2186">
            <v>30003</v>
          </cell>
          <cell r="F2186" t="str">
            <v>TINTA PARA PISO</v>
          </cell>
          <cell r="G2186" t="str">
            <v>IMOBILIÁRIO</v>
          </cell>
        </row>
        <row r="2187">
          <cell r="A2187">
            <v>84913</v>
          </cell>
          <cell r="B2187" t="str">
            <v>TINTA TECNICA ESPECIAL - AZUL 2,5PB4/10 DEMARCACAO 18L</v>
          </cell>
          <cell r="C2187" t="str">
            <v>DM 150309003</v>
          </cell>
          <cell r="D2187" t="str">
            <v>BRASILUX</v>
          </cell>
          <cell r="E2187">
            <v>30003</v>
          </cell>
          <cell r="F2187" t="str">
            <v>TINTA PARA PISO</v>
          </cell>
          <cell r="G2187" t="str">
            <v>IMOBILIÁRIO</v>
          </cell>
        </row>
        <row r="2188">
          <cell r="A2188">
            <v>84912</v>
          </cell>
          <cell r="B2188" t="str">
            <v>TINTA TECNICA ESPECIAL - AZUL 2,5PB4/10 DEMARCACAO 3,6L</v>
          </cell>
          <cell r="C2188" t="str">
            <v>DM 150309002</v>
          </cell>
          <cell r="D2188" t="str">
            <v>BRASILUX</v>
          </cell>
          <cell r="E2188">
            <v>30003</v>
          </cell>
          <cell r="F2188" t="str">
            <v>TINTA PARA PISO</v>
          </cell>
          <cell r="G2188" t="str">
            <v>IMOBILIÁRIO</v>
          </cell>
        </row>
        <row r="2189">
          <cell r="A2189">
            <v>84915</v>
          </cell>
          <cell r="B2189" t="str">
            <v>TINTA TECNICA ESPECIAL - PRETO DEMARCACAO 3,6L</v>
          </cell>
          <cell r="C2189" t="str">
            <v>DM 151500102</v>
          </cell>
          <cell r="D2189" t="str">
            <v>BRASILUX</v>
          </cell>
          <cell r="E2189">
            <v>30003</v>
          </cell>
          <cell r="F2189" t="str">
            <v>TINTA PARA PISO</v>
          </cell>
          <cell r="G2189" t="str">
            <v>IMOBILIÁRIO</v>
          </cell>
        </row>
        <row r="2190">
          <cell r="A2190">
            <v>85631</v>
          </cell>
          <cell r="B2190" t="str">
            <v>TINTA TECNICA ESPECIAL - VERMELHO 5R4/14 DEMARCACAO (18 LT)</v>
          </cell>
          <cell r="C2190" t="str">
            <v>DM 152304503</v>
          </cell>
          <cell r="D2190" t="str">
            <v>BRASILUX</v>
          </cell>
          <cell r="E2190">
            <v>30003</v>
          </cell>
          <cell r="F2190" t="str">
            <v>TINTA PARA PISO</v>
          </cell>
          <cell r="G2190" t="str">
            <v>IMOBILIÁRIO</v>
          </cell>
        </row>
        <row r="2191">
          <cell r="A2191">
            <v>84369</v>
          </cell>
          <cell r="B2191" t="str">
            <v>BRASI-BRILHO VERNIZ ACRILICO (BALDE 18 LITRO)</v>
          </cell>
          <cell r="C2191" t="str">
            <v>VN 460000157</v>
          </cell>
          <cell r="D2191" t="str">
            <v>BRASILUX</v>
          </cell>
          <cell r="E2191">
            <v>30002</v>
          </cell>
          <cell r="F2191" t="str">
            <v>IMPERMEABILIZANTES</v>
          </cell>
          <cell r="G2191" t="str">
            <v>IMOBILIÁRIO</v>
          </cell>
        </row>
        <row r="2192">
          <cell r="A2192">
            <v>84239</v>
          </cell>
          <cell r="B2192" t="str">
            <v>BRASI-BRILHO VERNIZ ACRILICO 3,6LT BRASILUX</v>
          </cell>
          <cell r="C2192" t="str">
            <v>VN 460000102</v>
          </cell>
          <cell r="D2192" t="str">
            <v>BRASILUX</v>
          </cell>
          <cell r="E2192">
            <v>30002</v>
          </cell>
          <cell r="F2192" t="str">
            <v>IMPERMEABILIZANTES</v>
          </cell>
          <cell r="G2192" t="str">
            <v>IMOBILIÁRIO</v>
          </cell>
        </row>
        <row r="2193">
          <cell r="A2193">
            <v>84240</v>
          </cell>
          <cell r="B2193" t="str">
            <v>BRASI-BRILHO VERNIZ ACRILICO 900 ML-BRASILUX</v>
          </cell>
          <cell r="C2193" t="str">
            <v>VN 460000101</v>
          </cell>
          <cell r="D2193" t="str">
            <v>BRASILUX</v>
          </cell>
          <cell r="E2193">
            <v>30002</v>
          </cell>
          <cell r="F2193" t="str">
            <v>IMPERMEABILIZANTES</v>
          </cell>
          <cell r="G2193" t="str">
            <v>IMOBILIÁRIO</v>
          </cell>
        </row>
        <row r="2194">
          <cell r="A2194">
            <v>85245</v>
          </cell>
          <cell r="B2194" t="str">
            <v>BRASIFIRE-VERNIZ ANTICHAMA INTUMESCENTE 3,6L BRASILUX</v>
          </cell>
          <cell r="C2194" t="str">
            <v>VN 080069002</v>
          </cell>
          <cell r="D2194" t="str">
            <v>BRASILUX</v>
          </cell>
          <cell r="E2194">
            <v>30002</v>
          </cell>
          <cell r="F2194" t="str">
            <v>IMPERMEABILIZANTES</v>
          </cell>
          <cell r="G2194" t="str">
            <v>IMOBILIÁRIO</v>
          </cell>
        </row>
        <row r="2195">
          <cell r="A2195">
            <v>84242</v>
          </cell>
          <cell r="B2195" t="str">
            <v>BRASIFIX 16KG BRASILUX</v>
          </cell>
          <cell r="C2195" t="str">
            <v>IZ 590000193</v>
          </cell>
          <cell r="D2195" t="str">
            <v>BRASILUX</v>
          </cell>
          <cell r="E2195">
            <v>30002</v>
          </cell>
          <cell r="F2195" t="str">
            <v>IMPERMEABILIZANTES</v>
          </cell>
          <cell r="G2195" t="str">
            <v>IMOBILIÁRIO</v>
          </cell>
        </row>
        <row r="2196">
          <cell r="A2196">
            <v>84049</v>
          </cell>
          <cell r="B2196" t="str">
            <v>BRASIFIX 3,6KG BRASILUX</v>
          </cell>
          <cell r="C2196" t="str">
            <v>IZ 590000162</v>
          </cell>
          <cell r="D2196" t="str">
            <v>BRASILUX</v>
          </cell>
          <cell r="E2196">
            <v>30002</v>
          </cell>
          <cell r="F2196" t="str">
            <v>IMPERMEABILIZANTES</v>
          </cell>
          <cell r="G2196" t="str">
            <v>IMOBILIÁRIO</v>
          </cell>
        </row>
        <row r="2197">
          <cell r="A2197">
            <v>84244</v>
          </cell>
          <cell r="B2197" t="str">
            <v>BRASIFLEX-LAJE BRANCO 18KG BRASILUX</v>
          </cell>
          <cell r="C2197" t="str">
            <v>IZ 590503018</v>
          </cell>
          <cell r="D2197" t="str">
            <v>BRASILUX</v>
          </cell>
          <cell r="E2197">
            <v>30002</v>
          </cell>
          <cell r="F2197" t="str">
            <v>IMPERMEABILIZANTES</v>
          </cell>
          <cell r="G2197" t="str">
            <v>IMOBILIÁRIO</v>
          </cell>
        </row>
        <row r="2198">
          <cell r="A2198">
            <v>84051</v>
          </cell>
          <cell r="B2198" t="str">
            <v>BRASIFLEX-LAJE BRANCO 3,6KG BRASILUX</v>
          </cell>
          <cell r="C2198" t="str">
            <v>IZ 590503062</v>
          </cell>
          <cell r="D2198" t="str">
            <v>BRASILUX</v>
          </cell>
          <cell r="E2198">
            <v>30002</v>
          </cell>
          <cell r="F2198" t="str">
            <v>IMPERMEABILIZANTES</v>
          </cell>
          <cell r="G2198" t="str">
            <v>IMOBILIÁRIO</v>
          </cell>
        </row>
        <row r="2199">
          <cell r="A2199">
            <v>84243</v>
          </cell>
          <cell r="B2199" t="str">
            <v>BRASIFLEX-PAREDES 18KG BRASILUX</v>
          </cell>
          <cell r="C2199" t="str">
            <v>IZ 590500118</v>
          </cell>
          <cell r="D2199" t="str">
            <v>BRASILUX</v>
          </cell>
          <cell r="E2199">
            <v>30002</v>
          </cell>
          <cell r="F2199" t="str">
            <v>IMPERMEABILIZANTES</v>
          </cell>
          <cell r="G2199" t="str">
            <v>IMOBILIÁRIO</v>
          </cell>
        </row>
        <row r="2200">
          <cell r="A2200">
            <v>84050</v>
          </cell>
          <cell r="B2200" t="str">
            <v>BRASIFLEX-PAREDES 3,6KG BRASILUX</v>
          </cell>
          <cell r="C2200" t="str">
            <v>IZ 590500162</v>
          </cell>
          <cell r="D2200" t="str">
            <v>BRASILUX</v>
          </cell>
          <cell r="E2200">
            <v>30002</v>
          </cell>
          <cell r="F2200" t="str">
            <v>IMPERMEABILIZANTES</v>
          </cell>
          <cell r="G2200" t="str">
            <v>IMOBILIÁRIO</v>
          </cell>
        </row>
        <row r="2201">
          <cell r="A2201">
            <v>84246</v>
          </cell>
          <cell r="B2201" t="str">
            <v>BRASIFLEX-PRETO 18L BRASILUX</v>
          </cell>
          <cell r="C2201" t="str">
            <v>IZ 591500103</v>
          </cell>
          <cell r="D2201" t="str">
            <v>BRASILUX</v>
          </cell>
          <cell r="E2201">
            <v>30002</v>
          </cell>
          <cell r="F2201" t="str">
            <v>IMPERMEABILIZANTES</v>
          </cell>
          <cell r="G2201" t="str">
            <v>IMOBILIÁRIO</v>
          </cell>
        </row>
        <row r="2202">
          <cell r="A2202">
            <v>84053</v>
          </cell>
          <cell r="B2202" t="str">
            <v>BRASIFLEX-PRETO 3,6KG BRASILUX</v>
          </cell>
          <cell r="C2202" t="str">
            <v>IZ 591500102</v>
          </cell>
          <cell r="D2202" t="str">
            <v>BRASILUX</v>
          </cell>
          <cell r="E2202">
            <v>30002</v>
          </cell>
          <cell r="F2202" t="str">
            <v>IMPERMEABILIZANTES</v>
          </cell>
          <cell r="G2202" t="str">
            <v>IMOBILIÁRIO</v>
          </cell>
        </row>
        <row r="2203">
          <cell r="A2203">
            <v>84245</v>
          </cell>
          <cell r="B2203" t="str">
            <v>BRASIFLEX-RESTAURA 18KG BRASILUX</v>
          </cell>
          <cell r="C2203" t="str">
            <v>IZ 590562018</v>
          </cell>
          <cell r="D2203" t="str">
            <v>BRASILUX</v>
          </cell>
          <cell r="E2203">
            <v>30002</v>
          </cell>
          <cell r="F2203" t="str">
            <v>IMPERMEABILIZANTES</v>
          </cell>
          <cell r="G2203" t="str">
            <v>IMOBILIÁRIO</v>
          </cell>
        </row>
        <row r="2204">
          <cell r="A2204">
            <v>84052</v>
          </cell>
          <cell r="B2204" t="str">
            <v>BRASIFLEX-RESTAURA 3,6KG BRASILUX</v>
          </cell>
          <cell r="C2204" t="str">
            <v>IZ 590562062</v>
          </cell>
          <cell r="D2204" t="str">
            <v>BRASILUX</v>
          </cell>
          <cell r="E2204">
            <v>30002</v>
          </cell>
          <cell r="F2204" t="str">
            <v>IMPERMEABILIZANTES</v>
          </cell>
          <cell r="G2204" t="str">
            <v>IMOBILIÁRIO</v>
          </cell>
        </row>
        <row r="2205">
          <cell r="A2205">
            <v>84961</v>
          </cell>
          <cell r="B2205" t="str">
            <v>BRASITELHA-INCOLOR 18L BRASILUX</v>
          </cell>
          <cell r="C2205" t="str">
            <v>VN 530015003</v>
          </cell>
          <cell r="D2205" t="str">
            <v>BRASILUX</v>
          </cell>
          <cell r="E2205">
            <v>30002</v>
          </cell>
          <cell r="F2205" t="str">
            <v>IMPERMEABILIZANTES</v>
          </cell>
          <cell r="G2205" t="str">
            <v>IMOBILIÁRIO</v>
          </cell>
        </row>
        <row r="2206">
          <cell r="A2206">
            <v>84960</v>
          </cell>
          <cell r="B2206" t="str">
            <v>BRASITELHA-INCOLOR 3,6L BRASILUX</v>
          </cell>
          <cell r="C2206" t="str">
            <v>VN 530015002</v>
          </cell>
          <cell r="D2206" t="str">
            <v>BRASILUX</v>
          </cell>
          <cell r="E2206">
            <v>30002</v>
          </cell>
          <cell r="F2206" t="str">
            <v>IMPERMEABILIZANTES</v>
          </cell>
          <cell r="G2206" t="str">
            <v>IMOBILIÁRIO</v>
          </cell>
        </row>
        <row r="2207">
          <cell r="A2207">
            <v>84760</v>
          </cell>
          <cell r="B2207" t="str">
            <v>CONFORTHERM 16KG BRASILUX</v>
          </cell>
          <cell r="C2207" t="str">
            <v>IT 590578593</v>
          </cell>
          <cell r="D2207" t="str">
            <v>BRASILUX</v>
          </cell>
          <cell r="E2207">
            <v>30002</v>
          </cell>
          <cell r="F2207" t="str">
            <v>IMPERMEABILIZANTES</v>
          </cell>
          <cell r="G2207" t="str">
            <v>IMOBILIÁRIO</v>
          </cell>
        </row>
        <row r="2208">
          <cell r="A2208">
            <v>84759</v>
          </cell>
          <cell r="B2208" t="str">
            <v>CONFORTHERM 3KG BRASILUX</v>
          </cell>
          <cell r="C2208" t="str">
            <v>IT 590578584</v>
          </cell>
          <cell r="D2208" t="str">
            <v>BRASILUX</v>
          </cell>
          <cell r="E2208">
            <v>30002</v>
          </cell>
          <cell r="F2208" t="str">
            <v>IMPERMEABILIZANTES</v>
          </cell>
          <cell r="G2208" t="str">
            <v>IMOBILIÁRIO</v>
          </cell>
        </row>
        <row r="2209">
          <cell r="A2209">
            <v>85876</v>
          </cell>
          <cell r="B2209" t="str">
            <v>CR BRILHO PARA TINTA INCOLOR 18L</v>
          </cell>
          <cell r="C2209">
            <v>5202601</v>
          </cell>
          <cell r="D2209" t="str">
            <v>CORAL</v>
          </cell>
          <cell r="E2209">
            <v>30002</v>
          </cell>
          <cell r="F2209" t="str">
            <v>IMPERMEABILIZANTES</v>
          </cell>
          <cell r="G2209" t="str">
            <v>IMOBILIÁRIO</v>
          </cell>
        </row>
        <row r="2210">
          <cell r="A2210">
            <v>85875</v>
          </cell>
          <cell r="B2210" t="str">
            <v>CR BRILHO PARA TINTA INCOLOR 3.6L</v>
          </cell>
          <cell r="C2210">
            <v>5202600</v>
          </cell>
          <cell r="D2210" t="str">
            <v>CORAL</v>
          </cell>
          <cell r="E2210">
            <v>30002</v>
          </cell>
          <cell r="F2210" t="str">
            <v>IMPERMEABILIZANTES</v>
          </cell>
          <cell r="G2210" t="str">
            <v>IMOBILIÁRIO</v>
          </cell>
        </row>
        <row r="2211">
          <cell r="A2211">
            <v>86608</v>
          </cell>
          <cell r="B2211" t="str">
            <v>CR PROT S&amp;C RES IMPER CERAMIC TILE 18L</v>
          </cell>
          <cell r="C2211">
            <v>5716806</v>
          </cell>
          <cell r="D2211" t="str">
            <v>CORAL</v>
          </cell>
          <cell r="E2211">
            <v>30002</v>
          </cell>
          <cell r="F2211" t="str">
            <v>IMPERMEABILIZANTES</v>
          </cell>
          <cell r="G2211" t="str">
            <v>IMOBILIÁRIO</v>
          </cell>
        </row>
        <row r="2212">
          <cell r="A2212">
            <v>86610</v>
          </cell>
          <cell r="B2212" t="str">
            <v>CR PROT S&amp;C RES IMPER CERAMIC TILE 3,6L</v>
          </cell>
          <cell r="C2212">
            <v>5718787</v>
          </cell>
          <cell r="D2212" t="str">
            <v>CORAL</v>
          </cell>
          <cell r="E2212">
            <v>30002</v>
          </cell>
          <cell r="F2212" t="str">
            <v>IMPERMEABILIZANTES</v>
          </cell>
          <cell r="G2212" t="str">
            <v>IMOBILIÁRIO</v>
          </cell>
        </row>
        <row r="2213">
          <cell r="A2213">
            <v>86607</v>
          </cell>
          <cell r="B2213" t="str">
            <v>CR PROT S&amp;C RES IMPER CERAMICA ONIX 18L</v>
          </cell>
          <cell r="C2213">
            <v>5716805</v>
          </cell>
          <cell r="D2213" t="str">
            <v>CORAL</v>
          </cell>
          <cell r="E2213">
            <v>30002</v>
          </cell>
          <cell r="F2213" t="str">
            <v>IMPERMEABILIZANTES</v>
          </cell>
          <cell r="G2213" t="str">
            <v>IMOBILIÁRIO</v>
          </cell>
        </row>
        <row r="2214">
          <cell r="A2214">
            <v>86601</v>
          </cell>
          <cell r="B2214" t="str">
            <v>CR PROT S&amp;C RES IMPER CERAMICA ONIX 3,6L</v>
          </cell>
          <cell r="C2214">
            <v>5701892</v>
          </cell>
          <cell r="D2214" t="str">
            <v>CORAL</v>
          </cell>
          <cell r="E2214">
            <v>30002</v>
          </cell>
          <cell r="F2214" t="str">
            <v>IMPERMEABILIZANTES</v>
          </cell>
          <cell r="G2214" t="str">
            <v>IMOBILIÁRIO</v>
          </cell>
        </row>
        <row r="2215">
          <cell r="A2215">
            <v>86751</v>
          </cell>
          <cell r="B2215" t="str">
            <v>CR PROT S&amp;C RES IMPER CINZA 18L</v>
          </cell>
          <cell r="C2215">
            <v>5857427</v>
          </cell>
          <cell r="D2215" t="str">
            <v>CORAL</v>
          </cell>
          <cell r="E2215">
            <v>30002</v>
          </cell>
          <cell r="F2215" t="str">
            <v>IMPERMEABILIZANTES</v>
          </cell>
          <cell r="G2215" t="str">
            <v>IMOBILIÁRIO</v>
          </cell>
        </row>
        <row r="2216">
          <cell r="A2216">
            <v>86749</v>
          </cell>
          <cell r="B2216" t="str">
            <v>CR PROT S&amp;C RES IMPER CINZA 3,6L</v>
          </cell>
          <cell r="C2216">
            <v>5857425</v>
          </cell>
          <cell r="D2216" t="str">
            <v>CORAL</v>
          </cell>
          <cell r="E2216">
            <v>30002</v>
          </cell>
          <cell r="F2216" t="str">
            <v>IMPERMEABILIZANTES</v>
          </cell>
          <cell r="G2216" t="str">
            <v>IMOBILIÁRIO</v>
          </cell>
        </row>
        <row r="2217">
          <cell r="A2217">
            <v>86606</v>
          </cell>
          <cell r="B2217" t="str">
            <v>CR PROT S&amp;C RES IMPER GRAFITE 18L</v>
          </cell>
          <cell r="C2217">
            <v>5715017</v>
          </cell>
          <cell r="D2217" t="str">
            <v>CORAL</v>
          </cell>
          <cell r="E2217">
            <v>30002</v>
          </cell>
          <cell r="F2217" t="str">
            <v>IMPERMEABILIZANTES</v>
          </cell>
          <cell r="G2217" t="str">
            <v>IMOBILIÁRIO</v>
          </cell>
        </row>
        <row r="2218">
          <cell r="A2218">
            <v>86603</v>
          </cell>
          <cell r="B2218" t="str">
            <v>CR PROT S&amp;C RES IMPER GRAFITE 3,6L</v>
          </cell>
          <cell r="C2218">
            <v>5714758</v>
          </cell>
          <cell r="D2218" t="str">
            <v>CORAL</v>
          </cell>
          <cell r="E2218">
            <v>30002</v>
          </cell>
          <cell r="F2218" t="str">
            <v>IMPERMEABILIZANTES</v>
          </cell>
          <cell r="G2218" t="str">
            <v>IMOBILIÁRIO</v>
          </cell>
        </row>
        <row r="2219">
          <cell r="A2219">
            <v>86605</v>
          </cell>
          <cell r="B2219" t="str">
            <v>CR PROT S&amp;C RES IMPER INCOLOR 18L</v>
          </cell>
          <cell r="C2219">
            <v>5715013</v>
          </cell>
          <cell r="D2219" t="str">
            <v>CORAL</v>
          </cell>
          <cell r="E2219">
            <v>30002</v>
          </cell>
          <cell r="F2219" t="str">
            <v>IMPERMEABILIZANTES</v>
          </cell>
          <cell r="G2219" t="str">
            <v>IMOBILIÁRIO</v>
          </cell>
        </row>
        <row r="2220">
          <cell r="A2220">
            <v>86604</v>
          </cell>
          <cell r="B2220" t="str">
            <v>CR PROT S&amp;C RES IMPER INCOLOR 3,6L</v>
          </cell>
          <cell r="C2220">
            <v>5714759</v>
          </cell>
          <cell r="D2220" t="str">
            <v>CORAL</v>
          </cell>
          <cell r="E2220">
            <v>30002</v>
          </cell>
          <cell r="F2220" t="str">
            <v>IMPERMEABILIZANTES</v>
          </cell>
          <cell r="G2220" t="str">
            <v>IMOBILIÁRIO</v>
          </cell>
        </row>
        <row r="2221">
          <cell r="A2221">
            <v>86748</v>
          </cell>
          <cell r="B2221" t="str">
            <v>CR PROT S&amp;C RES IMPER PEROLA 18L</v>
          </cell>
          <cell r="C2221">
            <v>5857246</v>
          </cell>
          <cell r="D2221" t="str">
            <v>CORAL</v>
          </cell>
          <cell r="E2221">
            <v>30002</v>
          </cell>
          <cell r="F2221" t="str">
            <v>IMPERMEABILIZANTES</v>
          </cell>
          <cell r="G2221" t="str">
            <v>IMOBILIÁRIO</v>
          </cell>
        </row>
        <row r="2222">
          <cell r="A2222">
            <v>86750</v>
          </cell>
          <cell r="B2222" t="str">
            <v>CR PROT S&amp;C RES IMPER PEROLA 3,6L</v>
          </cell>
          <cell r="C2222">
            <v>5857426</v>
          </cell>
          <cell r="D2222" t="str">
            <v>CORAL</v>
          </cell>
          <cell r="E2222">
            <v>30002</v>
          </cell>
          <cell r="F2222" t="str">
            <v>IMPERMEABILIZANTES</v>
          </cell>
          <cell r="G2222" t="str">
            <v>IMOBILIÁRIO</v>
          </cell>
        </row>
        <row r="2223">
          <cell r="A2223">
            <v>86609</v>
          </cell>
          <cell r="B2223" t="str">
            <v>CR PROT S&amp;C RES IMPER VERM OXIDO 18L</v>
          </cell>
          <cell r="C2223">
            <v>5716807</v>
          </cell>
          <cell r="D2223" t="str">
            <v>CORAL</v>
          </cell>
          <cell r="E2223">
            <v>30002</v>
          </cell>
          <cell r="F2223" t="str">
            <v>IMPERMEABILIZANTES</v>
          </cell>
          <cell r="G2223" t="str">
            <v>IMOBILIÁRIO</v>
          </cell>
        </row>
        <row r="2224">
          <cell r="A2224">
            <v>86602</v>
          </cell>
          <cell r="B2224" t="str">
            <v>CR PROT S&amp;C RES IMPER VERM OXIDO 3,6L</v>
          </cell>
          <cell r="C2224">
            <v>5714757</v>
          </cell>
          <cell r="D2224" t="str">
            <v>CORAL</v>
          </cell>
          <cell r="E2224">
            <v>30002</v>
          </cell>
          <cell r="F2224" t="str">
            <v>IMPERMEABILIZANTES</v>
          </cell>
          <cell r="G2224" t="str">
            <v>IMOBILIÁRIO</v>
          </cell>
        </row>
        <row r="2225">
          <cell r="A2225">
            <v>86597</v>
          </cell>
          <cell r="B2225" t="str">
            <v>CR PROT SOL &amp; CHUVA MANTA LIQUIDA 18KG</v>
          </cell>
          <cell r="C2225">
            <v>5567287</v>
          </cell>
          <cell r="D2225" t="str">
            <v>CORAL</v>
          </cell>
          <cell r="E2225">
            <v>30002</v>
          </cell>
          <cell r="F2225" t="str">
            <v>IMPERMEABILIZANTES</v>
          </cell>
          <cell r="G2225" t="str">
            <v>IMOBILIÁRIO</v>
          </cell>
        </row>
        <row r="2226">
          <cell r="A2226">
            <v>86083</v>
          </cell>
          <cell r="B2226" t="str">
            <v>CR RESINA ACRILICA 18L</v>
          </cell>
          <cell r="C2226">
            <v>5203027</v>
          </cell>
          <cell r="D2226" t="str">
            <v>CORAL</v>
          </cell>
          <cell r="E2226">
            <v>30002</v>
          </cell>
          <cell r="F2226" t="str">
            <v>IMPERMEABILIZANTES</v>
          </cell>
          <cell r="G2226" t="str">
            <v>IMOBILIÁRIO</v>
          </cell>
        </row>
        <row r="2227">
          <cell r="A2227">
            <v>86084</v>
          </cell>
          <cell r="B2227" t="str">
            <v>CR RESINA ACRILICA 5L</v>
          </cell>
          <cell r="C2227">
            <v>5203028</v>
          </cell>
          <cell r="D2227" t="str">
            <v>CORAL</v>
          </cell>
          <cell r="E2227">
            <v>30002</v>
          </cell>
          <cell r="F2227" t="str">
            <v>IMPERMEABILIZANTES</v>
          </cell>
          <cell r="G2227" t="str">
            <v>IMOBILIÁRIO</v>
          </cell>
        </row>
        <row r="2228">
          <cell r="A2228">
            <v>86273</v>
          </cell>
          <cell r="B2228" t="str">
            <v>CR S&amp;C ACRILICO TOTAL ALGODAO EGIP 18L</v>
          </cell>
          <cell r="C2228">
            <v>5280947</v>
          </cell>
          <cell r="D2228" t="str">
            <v>CORAL</v>
          </cell>
          <cell r="E2228">
            <v>30002</v>
          </cell>
          <cell r="F2228" t="str">
            <v>IMPERMEABILIZANTES</v>
          </cell>
          <cell r="G2228" t="str">
            <v>IMOBILIÁRIO</v>
          </cell>
        </row>
        <row r="2229">
          <cell r="A2229">
            <v>86274</v>
          </cell>
          <cell r="B2229" t="str">
            <v>CR S&amp;C ACRILICO TOTAL ALGODAO EGIP 3.6L</v>
          </cell>
          <cell r="C2229">
            <v>5280950</v>
          </cell>
          <cell r="D2229" t="str">
            <v>CORAL</v>
          </cell>
          <cell r="E2229">
            <v>30002</v>
          </cell>
          <cell r="F2229" t="str">
            <v>IMPERMEABILIZANTES</v>
          </cell>
          <cell r="G2229" t="str">
            <v>IMOBILIÁRIO</v>
          </cell>
        </row>
        <row r="2230">
          <cell r="A2230">
            <v>86275</v>
          </cell>
          <cell r="B2230" t="str">
            <v>CR S&amp;C ACRILICO TOTAL AREIA 18L</v>
          </cell>
          <cell r="C2230">
            <v>5280980</v>
          </cell>
          <cell r="D2230" t="str">
            <v>CORAL</v>
          </cell>
          <cell r="E2230">
            <v>30002</v>
          </cell>
          <cell r="F2230" t="str">
            <v>IMPERMEABILIZANTES</v>
          </cell>
          <cell r="G2230" t="str">
            <v>IMOBILIÁRIO</v>
          </cell>
        </row>
        <row r="2231">
          <cell r="A2231">
            <v>86276</v>
          </cell>
          <cell r="B2231" t="str">
            <v>CR S&amp;C ACRILICO TOTAL AREIA 3.6L</v>
          </cell>
          <cell r="C2231">
            <v>5280982</v>
          </cell>
          <cell r="D2231" t="str">
            <v>CORAL</v>
          </cell>
          <cell r="E2231">
            <v>30002</v>
          </cell>
          <cell r="F2231" t="str">
            <v>IMPERMEABILIZANTES</v>
          </cell>
          <cell r="G2231" t="str">
            <v>IMOBILIÁRIO</v>
          </cell>
        </row>
        <row r="2232">
          <cell r="A2232">
            <v>86285</v>
          </cell>
          <cell r="B2232" t="str">
            <v>CR S&amp;C ACRILICO TOTAL BRANCO 18L</v>
          </cell>
          <cell r="C2232">
            <v>5281033</v>
          </cell>
          <cell r="D2232" t="str">
            <v>CORAL</v>
          </cell>
          <cell r="E2232">
            <v>30002</v>
          </cell>
          <cell r="F2232" t="str">
            <v>IMPERMEABILIZANTES</v>
          </cell>
          <cell r="G2232" t="str">
            <v>IMOBILIÁRIO</v>
          </cell>
        </row>
        <row r="2233">
          <cell r="A2233">
            <v>86286</v>
          </cell>
          <cell r="B2233" t="str">
            <v>CR S&amp;C ACRILICO TOTAL BRANCO 3.6L</v>
          </cell>
          <cell r="C2233">
            <v>5281034</v>
          </cell>
          <cell r="D2233" t="str">
            <v>CORAL</v>
          </cell>
          <cell r="E2233">
            <v>30002</v>
          </cell>
          <cell r="F2233" t="str">
            <v>IMPERMEABILIZANTES</v>
          </cell>
          <cell r="G2233" t="str">
            <v>IMOBILIÁRIO</v>
          </cell>
        </row>
        <row r="2234">
          <cell r="A2234">
            <v>86283</v>
          </cell>
          <cell r="B2234" t="str">
            <v>CR S&amp;C ACRILICO TOTAL BRANCO GELO 18L</v>
          </cell>
          <cell r="C2234">
            <v>5281031</v>
          </cell>
          <cell r="D2234" t="str">
            <v>CORAL</v>
          </cell>
          <cell r="E2234">
            <v>30002</v>
          </cell>
          <cell r="F2234" t="str">
            <v>IMPERMEABILIZANTES</v>
          </cell>
          <cell r="G2234" t="str">
            <v>IMOBILIÁRIO</v>
          </cell>
        </row>
        <row r="2235">
          <cell r="A2235">
            <v>86284</v>
          </cell>
          <cell r="B2235" t="str">
            <v>CR S&amp;C ACRILICO TOTAL BRANCO GELO 3.6L</v>
          </cell>
          <cell r="C2235">
            <v>5281032</v>
          </cell>
          <cell r="D2235" t="str">
            <v>CORAL</v>
          </cell>
          <cell r="E2235">
            <v>30002</v>
          </cell>
          <cell r="F2235" t="str">
            <v>IMPERMEABILIZANTES</v>
          </cell>
          <cell r="G2235" t="str">
            <v>IMOBILIÁRIO</v>
          </cell>
        </row>
        <row r="2236">
          <cell r="A2236">
            <v>86287</v>
          </cell>
          <cell r="B2236" t="str">
            <v>CR S&amp;C ACRILICO TOTAL BRONZE LENDA 18L</v>
          </cell>
          <cell r="C2236">
            <v>5281035</v>
          </cell>
          <cell r="D2236" t="str">
            <v>CORAL</v>
          </cell>
          <cell r="E2236">
            <v>30002</v>
          </cell>
          <cell r="F2236" t="str">
            <v>IMPERMEABILIZANTES</v>
          </cell>
          <cell r="G2236" t="str">
            <v>IMOBILIÁRIO</v>
          </cell>
        </row>
        <row r="2237">
          <cell r="A2237">
            <v>86288</v>
          </cell>
          <cell r="B2237" t="str">
            <v>CR S&amp;C ACRILICO TOTAL BRONZE LENDA 3.6L</v>
          </cell>
          <cell r="C2237">
            <v>5281036</v>
          </cell>
          <cell r="D2237" t="str">
            <v>CORAL</v>
          </cell>
          <cell r="E2237">
            <v>30002</v>
          </cell>
          <cell r="F2237" t="str">
            <v>IMPERMEABILIZANTES</v>
          </cell>
          <cell r="G2237" t="str">
            <v>IMOBILIÁRIO</v>
          </cell>
        </row>
        <row r="2238">
          <cell r="A2238">
            <v>86289</v>
          </cell>
          <cell r="B2238" t="str">
            <v>CR S&amp;C ACRILICO TOTAL COG JAPONES 18L</v>
          </cell>
          <cell r="C2238">
            <v>5281038</v>
          </cell>
          <cell r="D2238" t="str">
            <v>CORAL</v>
          </cell>
          <cell r="E2238">
            <v>30002</v>
          </cell>
          <cell r="F2238" t="str">
            <v>IMPERMEABILIZANTES</v>
          </cell>
          <cell r="G2238" t="str">
            <v>IMOBILIÁRIO</v>
          </cell>
        </row>
        <row r="2239">
          <cell r="A2239">
            <v>86290</v>
          </cell>
          <cell r="B2239" t="str">
            <v>CR S&amp;C ACRILICO TOTAL COG JAPONES 3.6L</v>
          </cell>
          <cell r="C2239">
            <v>5281039</v>
          </cell>
          <cell r="D2239" t="str">
            <v>CORAL</v>
          </cell>
          <cell r="E2239">
            <v>30002</v>
          </cell>
          <cell r="F2239" t="str">
            <v>IMPERMEABILIZANTES</v>
          </cell>
          <cell r="G2239" t="str">
            <v>IMOBILIÁRIO</v>
          </cell>
        </row>
        <row r="2240">
          <cell r="A2240">
            <v>86291</v>
          </cell>
          <cell r="B2240" t="str">
            <v>CR S&amp;C ACRILICO TOTAL COLAR PRATA 18L</v>
          </cell>
          <cell r="C2240">
            <v>5281040</v>
          </cell>
          <cell r="D2240" t="str">
            <v>CORAL</v>
          </cell>
          <cell r="E2240">
            <v>30002</v>
          </cell>
          <cell r="F2240" t="str">
            <v>IMPERMEABILIZANTES</v>
          </cell>
          <cell r="G2240" t="str">
            <v>IMOBILIÁRIO</v>
          </cell>
        </row>
        <row r="2241">
          <cell r="A2241">
            <v>86292</v>
          </cell>
          <cell r="B2241" t="str">
            <v>CR S&amp;C ACRILICO TOTAL COLAR PRATA 3.6L</v>
          </cell>
          <cell r="C2241">
            <v>5281041</v>
          </cell>
          <cell r="D2241" t="str">
            <v>CORAL</v>
          </cell>
          <cell r="E2241">
            <v>30002</v>
          </cell>
          <cell r="F2241" t="str">
            <v>IMPERMEABILIZANTES</v>
          </cell>
          <cell r="G2241" t="str">
            <v>IMOBILIÁRIO</v>
          </cell>
        </row>
        <row r="2242">
          <cell r="A2242">
            <v>86265</v>
          </cell>
          <cell r="B2242" t="str">
            <v>CR S&amp;C FUNDO IMPERMEABILIZANTE 18L</v>
          </cell>
          <cell r="C2242">
            <v>5280726</v>
          </cell>
          <cell r="D2242" t="str">
            <v>CORAL</v>
          </cell>
          <cell r="E2242">
            <v>30002</v>
          </cell>
          <cell r="F2242" t="str">
            <v>IMPERMEABILIZANTES</v>
          </cell>
          <cell r="G2242" t="str">
            <v>IMOBILIÁRIO</v>
          </cell>
        </row>
        <row r="2243">
          <cell r="A2243">
            <v>86266</v>
          </cell>
          <cell r="B2243" t="str">
            <v>CR S&amp;C FUNDO IMPERMEABILIZANTE 3.6L</v>
          </cell>
          <cell r="C2243">
            <v>5280728</v>
          </cell>
          <cell r="D2243" t="str">
            <v>CORAL</v>
          </cell>
          <cell r="E2243">
            <v>30002</v>
          </cell>
          <cell r="F2243" t="str">
            <v>IMPERMEABILIZANTES</v>
          </cell>
          <cell r="G2243" t="str">
            <v>IMOBILIÁRIO</v>
          </cell>
        </row>
        <row r="2244">
          <cell r="A2244">
            <v>85891</v>
          </cell>
          <cell r="B2244" t="str">
            <v>CR S&amp;C PINT IMP BRANCO 18L</v>
          </cell>
          <cell r="C2244">
            <v>5202628</v>
          </cell>
          <cell r="D2244" t="str">
            <v>CORAL</v>
          </cell>
          <cell r="E2244">
            <v>30002</v>
          </cell>
          <cell r="F2244" t="str">
            <v>IMPERMEABILIZANTES</v>
          </cell>
          <cell r="G2244" t="str">
            <v>IMOBILIÁRIO</v>
          </cell>
        </row>
        <row r="2245">
          <cell r="A2245">
            <v>85890</v>
          </cell>
          <cell r="B2245" t="str">
            <v>CR S&amp;C PINT IMP BRANCO 3.6L</v>
          </cell>
          <cell r="C2245">
            <v>5202627</v>
          </cell>
          <cell r="D2245" t="str">
            <v>CORAL</v>
          </cell>
          <cell r="E2245">
            <v>30002</v>
          </cell>
          <cell r="F2245" t="str">
            <v>IMPERMEABILIZANTES</v>
          </cell>
          <cell r="G2245" t="str">
            <v>IMOBILIÁRIO</v>
          </cell>
        </row>
        <row r="2246">
          <cell r="A2246">
            <v>85827</v>
          </cell>
          <cell r="B2246" t="str">
            <v>CR VERNIZ INCOLOR  18L</v>
          </cell>
          <cell r="C2246">
            <v>5202453</v>
          </cell>
          <cell r="D2246" t="str">
            <v>CORAL</v>
          </cell>
          <cell r="E2246">
            <v>30002</v>
          </cell>
          <cell r="F2246" t="str">
            <v>IMPERMEABILIZANTES</v>
          </cell>
          <cell r="G2246" t="str">
            <v>IMOBILIÁRIO</v>
          </cell>
        </row>
        <row r="2247">
          <cell r="A2247">
            <v>85826</v>
          </cell>
          <cell r="B2247" t="str">
            <v>CR VERNIZ INCOLOR  3.6L</v>
          </cell>
          <cell r="C2247">
            <v>5202452</v>
          </cell>
          <cell r="D2247" t="str">
            <v>CORAL</v>
          </cell>
          <cell r="E2247">
            <v>30002</v>
          </cell>
          <cell r="F2247" t="str">
            <v>IMPERMEABILIZANTES</v>
          </cell>
          <cell r="G2247" t="str">
            <v>IMOBILIÁRIO</v>
          </cell>
        </row>
        <row r="2248">
          <cell r="A2248">
            <v>86777</v>
          </cell>
          <cell r="B2248" t="str">
            <v>M1 ACQUAFORT FACHADA 3,6L</v>
          </cell>
          <cell r="C2248">
            <v>5859555</v>
          </cell>
          <cell r="D2248" t="str">
            <v>MACTRA</v>
          </cell>
          <cell r="E2248">
            <v>30002</v>
          </cell>
          <cell r="F2248" t="str">
            <v>IMPERMEABILIZANTES</v>
          </cell>
          <cell r="G2248" t="str">
            <v>IMOBILIÁRIO</v>
          </cell>
        </row>
        <row r="2249">
          <cell r="A2249">
            <v>86776</v>
          </cell>
          <cell r="B2249" t="str">
            <v>M1 ACQUAFORT FACHADA BD 18L</v>
          </cell>
          <cell r="C2249">
            <v>5859554</v>
          </cell>
          <cell r="D2249" t="str">
            <v>MACTRA</v>
          </cell>
          <cell r="E2249">
            <v>30002</v>
          </cell>
          <cell r="F2249" t="str">
            <v>IMPERMEABILIZANTES</v>
          </cell>
          <cell r="G2249" t="str">
            <v>IMOBILIÁRIO</v>
          </cell>
        </row>
        <row r="2250">
          <cell r="A2250">
            <v>86790</v>
          </cell>
          <cell r="B2250" t="str">
            <v>M1 ANTI FERRUGEM 0,5L</v>
          </cell>
          <cell r="C2250">
            <v>5859580</v>
          </cell>
          <cell r="D2250" t="str">
            <v>MACTRA</v>
          </cell>
          <cell r="E2250">
            <v>30002</v>
          </cell>
          <cell r="F2250" t="str">
            <v>IMPERMEABILIZANTES</v>
          </cell>
          <cell r="G2250" t="str">
            <v>IMOBILIÁRIO</v>
          </cell>
        </row>
        <row r="2251">
          <cell r="A2251">
            <v>86761</v>
          </cell>
          <cell r="B2251" t="str">
            <v>M1 BETOL ECOLOGICO 0,9L</v>
          </cell>
          <cell r="C2251">
            <v>5859528</v>
          </cell>
          <cell r="D2251" t="str">
            <v>MACTRA</v>
          </cell>
          <cell r="E2251">
            <v>30002</v>
          </cell>
          <cell r="F2251" t="str">
            <v>IMPERMEABILIZANTES</v>
          </cell>
          <cell r="G2251" t="str">
            <v>IMOBILIÁRIO</v>
          </cell>
        </row>
        <row r="2252">
          <cell r="A2252">
            <v>86759</v>
          </cell>
          <cell r="B2252" t="str">
            <v>M1 BETOL ECOLOGICO 12L</v>
          </cell>
          <cell r="C2252">
            <v>5859526</v>
          </cell>
          <cell r="D2252" t="str">
            <v>MACTRA</v>
          </cell>
          <cell r="E2252">
            <v>30002</v>
          </cell>
          <cell r="F2252" t="str">
            <v>IMPERMEABILIZANTES</v>
          </cell>
          <cell r="G2252" t="str">
            <v>IMOBILIÁRIO</v>
          </cell>
        </row>
        <row r="2253">
          <cell r="A2253">
            <v>86841</v>
          </cell>
          <cell r="B2253" t="str">
            <v>M1 BETOL ECOLOGICO 18L</v>
          </cell>
          <cell r="C2253">
            <v>5906029</v>
          </cell>
          <cell r="D2253" t="str">
            <v>MACTRA</v>
          </cell>
          <cell r="E2253">
            <v>30002</v>
          </cell>
          <cell r="F2253" t="str">
            <v>IMPERMEABILIZANTES</v>
          </cell>
          <cell r="G2253" t="str">
            <v>IMOBILIÁRIO</v>
          </cell>
        </row>
        <row r="2254">
          <cell r="A2254">
            <v>86762</v>
          </cell>
          <cell r="B2254" t="str">
            <v>M1 BETOL ECOLOGICO 200L</v>
          </cell>
          <cell r="C2254">
            <v>5859529</v>
          </cell>
          <cell r="D2254" t="str">
            <v>MACTRA</v>
          </cell>
          <cell r="E2254">
            <v>30002</v>
          </cell>
          <cell r="F2254" t="str">
            <v>IMPERMEABILIZANTES</v>
          </cell>
          <cell r="G2254" t="str">
            <v>IMOBILIÁRIO</v>
          </cell>
        </row>
        <row r="2255">
          <cell r="A2255">
            <v>86760</v>
          </cell>
          <cell r="B2255" t="str">
            <v>M1 BETOL ECOLOGICO 3,6L</v>
          </cell>
          <cell r="C2255">
            <v>5859527</v>
          </cell>
          <cell r="D2255" t="str">
            <v>MACTRA</v>
          </cell>
          <cell r="E2255">
            <v>30002</v>
          </cell>
          <cell r="F2255" t="str">
            <v>IMPERMEABILIZANTES</v>
          </cell>
          <cell r="G2255" t="str">
            <v>IMOBILIÁRIO</v>
          </cell>
        </row>
        <row r="2256">
          <cell r="A2256">
            <v>86799</v>
          </cell>
          <cell r="B2256" t="str">
            <v>M1 COMPOXI-ADESIVO ESTRUTURAL 1KG</v>
          </cell>
          <cell r="C2256">
            <v>5859592</v>
          </cell>
          <cell r="D2256" t="str">
            <v>MACTRA</v>
          </cell>
          <cell r="E2256">
            <v>30002</v>
          </cell>
          <cell r="F2256" t="str">
            <v>IMPERMEABILIZANTES</v>
          </cell>
          <cell r="G2256" t="str">
            <v>IMOBILIÁRIO</v>
          </cell>
        </row>
        <row r="2257">
          <cell r="A2257">
            <v>86816</v>
          </cell>
          <cell r="B2257" t="str">
            <v>M1 DESFORMACTRA 180L</v>
          </cell>
          <cell r="C2257">
            <v>5859615</v>
          </cell>
          <cell r="D2257" t="str">
            <v>MACTRA</v>
          </cell>
          <cell r="E2257">
            <v>30002</v>
          </cell>
          <cell r="F2257" t="str">
            <v>IMPERMEABILIZANTES</v>
          </cell>
          <cell r="G2257" t="str">
            <v>IMOBILIÁRIO</v>
          </cell>
        </row>
        <row r="2258">
          <cell r="A2258">
            <v>86815</v>
          </cell>
          <cell r="B2258" t="str">
            <v>M1 DESFORMACTRA 18L</v>
          </cell>
          <cell r="C2258">
            <v>5859614</v>
          </cell>
          <cell r="D2258" t="str">
            <v>MACTRA</v>
          </cell>
          <cell r="E2258">
            <v>30002</v>
          </cell>
          <cell r="F2258" t="str">
            <v>IMPERMEABILIZANTES</v>
          </cell>
          <cell r="G2258" t="str">
            <v>IMOBILIÁRIO</v>
          </cell>
        </row>
        <row r="2259">
          <cell r="A2259">
            <v>86852</v>
          </cell>
          <cell r="B2259" t="str">
            <v>M1 FITA VEDATRINCA 5X10M</v>
          </cell>
          <cell r="C2259">
            <v>6440523</v>
          </cell>
          <cell r="D2259" t="str">
            <v>MACTRA</v>
          </cell>
          <cell r="E2259">
            <v>30002</v>
          </cell>
          <cell r="F2259" t="str">
            <v>IMPERMEABILIZANTES</v>
          </cell>
          <cell r="G2259" t="str">
            <v>IMOBILIÁRIO</v>
          </cell>
        </row>
        <row r="2260">
          <cell r="A2260">
            <v>86851</v>
          </cell>
          <cell r="B2260" t="str">
            <v>M1 FITA VEDATRINCA 5X3M</v>
          </cell>
          <cell r="C2260">
            <v>6440522</v>
          </cell>
          <cell r="D2260" t="str">
            <v>MACTRA</v>
          </cell>
          <cell r="E2260">
            <v>30002</v>
          </cell>
          <cell r="F2260" t="str">
            <v>IMPERMEABILIZANTES</v>
          </cell>
          <cell r="G2260" t="str">
            <v>IMOBILIÁRIO</v>
          </cell>
        </row>
        <row r="2261">
          <cell r="A2261">
            <v>86850</v>
          </cell>
          <cell r="B2261" t="str">
            <v>M1 FITA VEDATRINCA 5X5M</v>
          </cell>
          <cell r="C2261">
            <v>6440521</v>
          </cell>
          <cell r="D2261" t="str">
            <v>MACTRA</v>
          </cell>
          <cell r="E2261">
            <v>30002</v>
          </cell>
          <cell r="F2261" t="str">
            <v>IMPERMEABILIZANTES</v>
          </cell>
          <cell r="G2261" t="str">
            <v>IMOBILIÁRIO</v>
          </cell>
        </row>
        <row r="2262">
          <cell r="A2262">
            <v>86847</v>
          </cell>
          <cell r="B2262" t="str">
            <v>M1 FITA VEDBEM 10CMX10M</v>
          </cell>
          <cell r="C2262">
            <v>6440508</v>
          </cell>
          <cell r="D2262" t="str">
            <v>MACTRA</v>
          </cell>
          <cell r="E2262">
            <v>30002</v>
          </cell>
          <cell r="F2262" t="str">
            <v>IMPERMEABILIZANTES</v>
          </cell>
          <cell r="G2262" t="str">
            <v>IMOBILIÁRIO</v>
          </cell>
        </row>
        <row r="2263">
          <cell r="A2263">
            <v>86848</v>
          </cell>
          <cell r="B2263" t="str">
            <v>M1 FITA VEDBEM 20CMX10M</v>
          </cell>
          <cell r="C2263">
            <v>6440509</v>
          </cell>
          <cell r="D2263" t="str">
            <v>MACTRA</v>
          </cell>
          <cell r="E2263">
            <v>30002</v>
          </cell>
          <cell r="F2263" t="str">
            <v>IMPERMEABILIZANTES</v>
          </cell>
          <cell r="G2263" t="str">
            <v>IMOBILIÁRIO</v>
          </cell>
        </row>
        <row r="2264">
          <cell r="A2264">
            <v>86849</v>
          </cell>
          <cell r="B2264" t="str">
            <v>M1 FITA VEDBEM 30CMX10M</v>
          </cell>
          <cell r="C2264">
            <v>6440510</v>
          </cell>
          <cell r="D2264" t="str">
            <v>MACTRA</v>
          </cell>
          <cell r="E2264">
            <v>30002</v>
          </cell>
          <cell r="F2264" t="str">
            <v>IMPERMEABILIZANTES</v>
          </cell>
          <cell r="G2264" t="str">
            <v>IMOBILIÁRIO</v>
          </cell>
        </row>
        <row r="2265">
          <cell r="A2265">
            <v>86802</v>
          </cell>
          <cell r="B2265" t="str">
            <v>M1 FIXMASSA FRASCO 0,5L</v>
          </cell>
          <cell r="C2265">
            <v>5859598</v>
          </cell>
          <cell r="D2265" t="str">
            <v>MACTRA</v>
          </cell>
          <cell r="E2265">
            <v>30002</v>
          </cell>
          <cell r="F2265" t="str">
            <v>IMPERMEABILIZANTES</v>
          </cell>
          <cell r="G2265" t="str">
            <v>IMOBILIÁRIO</v>
          </cell>
        </row>
        <row r="2266">
          <cell r="A2266">
            <v>86785</v>
          </cell>
          <cell r="B2266" t="str">
            <v>M1 IMPERALL PREMIUM 10 EM 1 3,6KG</v>
          </cell>
          <cell r="C2266">
            <v>5859569</v>
          </cell>
          <cell r="D2266" t="str">
            <v>MACTRA</v>
          </cell>
          <cell r="E2266">
            <v>30002</v>
          </cell>
          <cell r="F2266" t="str">
            <v>IMPERMEABILIZANTES</v>
          </cell>
          <cell r="G2266" t="str">
            <v>IMOBILIÁRIO</v>
          </cell>
        </row>
        <row r="2267">
          <cell r="A2267">
            <v>86788</v>
          </cell>
          <cell r="B2267" t="str">
            <v>M1 IMPERALL PREMIUM 10 EM 1 CERAM 18KG</v>
          </cell>
          <cell r="C2267">
            <v>5859572</v>
          </cell>
          <cell r="D2267" t="str">
            <v>MACTRA</v>
          </cell>
          <cell r="E2267">
            <v>30002</v>
          </cell>
          <cell r="F2267" t="str">
            <v>IMPERMEABILIZANTES</v>
          </cell>
          <cell r="G2267" t="str">
            <v>IMOBILIÁRIO</v>
          </cell>
        </row>
        <row r="2268">
          <cell r="A2268">
            <v>86787</v>
          </cell>
          <cell r="B2268" t="str">
            <v>M1 IMPERALL PREMIUM 10 EM 1 CINZA A 18KG</v>
          </cell>
          <cell r="C2268">
            <v>5859571</v>
          </cell>
          <cell r="D2268" t="str">
            <v>MACTRA</v>
          </cell>
          <cell r="E2268">
            <v>30002</v>
          </cell>
          <cell r="F2268" t="str">
            <v>IMPERMEABILIZANTES</v>
          </cell>
          <cell r="G2268" t="str">
            <v>IMOBILIÁRIO</v>
          </cell>
        </row>
        <row r="2269">
          <cell r="A2269">
            <v>86784</v>
          </cell>
          <cell r="B2269" t="str">
            <v>M1 IMPERALL PREMIUM 10 EM 1 LT 18KG</v>
          </cell>
          <cell r="C2269">
            <v>5859567</v>
          </cell>
          <cell r="D2269" t="str">
            <v>MACTRA</v>
          </cell>
          <cell r="E2269">
            <v>30002</v>
          </cell>
          <cell r="F2269" t="str">
            <v>IMPERMEABILIZANTES</v>
          </cell>
          <cell r="G2269" t="str">
            <v>IMOBILIÁRIO</v>
          </cell>
        </row>
        <row r="2270">
          <cell r="A2270">
            <v>86786</v>
          </cell>
          <cell r="B2270" t="str">
            <v>M1 IMPERALL PREMIUM 10 EM 1 PONCHO 18KG</v>
          </cell>
          <cell r="C2270">
            <v>5859570</v>
          </cell>
          <cell r="D2270" t="str">
            <v>MACTRA</v>
          </cell>
          <cell r="E2270">
            <v>30002</v>
          </cell>
          <cell r="F2270" t="str">
            <v>IMPERMEABILIZANTES</v>
          </cell>
          <cell r="G2270" t="str">
            <v>IMOBILIÁRIO</v>
          </cell>
        </row>
        <row r="2271">
          <cell r="A2271">
            <v>86798</v>
          </cell>
          <cell r="B2271" t="str">
            <v>M1 KIT VEDATRINCA MASSA + TELA</v>
          </cell>
          <cell r="C2271">
            <v>5859591</v>
          </cell>
          <cell r="D2271" t="str">
            <v>MACTRA</v>
          </cell>
          <cell r="E2271">
            <v>30002</v>
          </cell>
          <cell r="F2271" t="str">
            <v>IMPERMEABILIZANTES</v>
          </cell>
          <cell r="G2271" t="str">
            <v>IMOBILIÁRIO</v>
          </cell>
        </row>
        <row r="2272">
          <cell r="A2272">
            <v>86813</v>
          </cell>
          <cell r="B2272" t="str">
            <v>M1 LIGMASSA 0,9L</v>
          </cell>
          <cell r="C2272">
            <v>5859611</v>
          </cell>
          <cell r="D2272" t="str">
            <v>MACTRA</v>
          </cell>
          <cell r="E2272">
            <v>30002</v>
          </cell>
          <cell r="F2272" t="str">
            <v>IMPERMEABILIZANTES</v>
          </cell>
          <cell r="G2272" t="str">
            <v>IMOBILIÁRIO</v>
          </cell>
        </row>
        <row r="2273">
          <cell r="A2273">
            <v>86811</v>
          </cell>
          <cell r="B2273" t="str">
            <v>M1 LIGMASSA 12L</v>
          </cell>
          <cell r="C2273">
            <v>5859609</v>
          </cell>
          <cell r="D2273" t="str">
            <v>MACTRA</v>
          </cell>
          <cell r="E2273">
            <v>30002</v>
          </cell>
          <cell r="F2273" t="str">
            <v>IMPERMEABILIZANTES</v>
          </cell>
          <cell r="G2273" t="str">
            <v>IMOBILIÁRIO</v>
          </cell>
        </row>
        <row r="2274">
          <cell r="A2274">
            <v>86844</v>
          </cell>
          <cell r="B2274" t="str">
            <v>M1 LIGMASSA 18L</v>
          </cell>
          <cell r="C2274">
            <v>5906032</v>
          </cell>
          <cell r="D2274" t="str">
            <v>MACTRA</v>
          </cell>
          <cell r="E2274">
            <v>30002</v>
          </cell>
          <cell r="F2274" t="str">
            <v>IMPERMEABILIZANTES</v>
          </cell>
          <cell r="G2274" t="str">
            <v>IMOBILIÁRIO</v>
          </cell>
        </row>
        <row r="2275">
          <cell r="A2275">
            <v>86810</v>
          </cell>
          <cell r="B2275" t="str">
            <v>M1 LIGMASSA 200L</v>
          </cell>
          <cell r="C2275">
            <v>5859608</v>
          </cell>
          <cell r="D2275" t="str">
            <v>MACTRA</v>
          </cell>
          <cell r="E2275">
            <v>30002</v>
          </cell>
          <cell r="F2275" t="str">
            <v>IMPERMEABILIZANTES</v>
          </cell>
          <cell r="G2275" t="str">
            <v>IMOBILIÁRIO</v>
          </cell>
        </row>
        <row r="2276">
          <cell r="A2276">
            <v>86812</v>
          </cell>
          <cell r="B2276" t="str">
            <v>M1 LIGMASSA 3,6L</v>
          </cell>
          <cell r="C2276">
            <v>5859610</v>
          </cell>
          <cell r="D2276" t="str">
            <v>MACTRA</v>
          </cell>
          <cell r="E2276">
            <v>30002</v>
          </cell>
          <cell r="F2276" t="str">
            <v>IMPERMEABILIZANTES</v>
          </cell>
          <cell r="G2276" t="str">
            <v>IMOBILIÁRIO</v>
          </cell>
        </row>
        <row r="2277">
          <cell r="A2277">
            <v>86808</v>
          </cell>
          <cell r="B2277" t="str">
            <v>M1 LIGMASSA 5L</v>
          </cell>
          <cell r="C2277">
            <v>5859605</v>
          </cell>
          <cell r="D2277" t="str">
            <v>MACTRA</v>
          </cell>
          <cell r="E2277">
            <v>30002</v>
          </cell>
          <cell r="F2277" t="str">
            <v>IMPERMEABILIZANTES</v>
          </cell>
          <cell r="G2277" t="str">
            <v>IMOBILIÁRIO</v>
          </cell>
        </row>
        <row r="2278">
          <cell r="A2278">
            <v>86809</v>
          </cell>
          <cell r="B2278" t="str">
            <v>M1 LIGMASSA CX C/180 SACHES 50 ML</v>
          </cell>
          <cell r="C2278">
            <v>5859606</v>
          </cell>
          <cell r="D2278" t="str">
            <v>MACTRA</v>
          </cell>
          <cell r="E2278">
            <v>30002</v>
          </cell>
          <cell r="F2278" t="str">
            <v>IMPERMEABILIZANTES</v>
          </cell>
          <cell r="G2278" t="str">
            <v>IMOBILIÁRIO</v>
          </cell>
        </row>
        <row r="2279">
          <cell r="A2279">
            <v>86763</v>
          </cell>
          <cell r="B2279" t="str">
            <v>M1 MACTRA 2000 200L</v>
          </cell>
          <cell r="C2279">
            <v>5859533</v>
          </cell>
          <cell r="D2279" t="str">
            <v>MACTRA</v>
          </cell>
          <cell r="E2279">
            <v>30002</v>
          </cell>
          <cell r="F2279" t="str">
            <v>IMPERMEABILIZANTES</v>
          </cell>
          <cell r="G2279" t="str">
            <v>IMOBILIÁRIO</v>
          </cell>
        </row>
        <row r="2280">
          <cell r="A2280">
            <v>86764</v>
          </cell>
          <cell r="B2280" t="str">
            <v>M1 MACTRA 2000 5L</v>
          </cell>
          <cell r="C2280">
            <v>5859534</v>
          </cell>
          <cell r="D2280" t="str">
            <v>MACTRA</v>
          </cell>
          <cell r="E2280">
            <v>30002</v>
          </cell>
          <cell r="F2280" t="str">
            <v>IMPERMEABILIZANTES</v>
          </cell>
          <cell r="G2280" t="str">
            <v>IMOBILIÁRIO</v>
          </cell>
        </row>
        <row r="2281">
          <cell r="A2281">
            <v>86765</v>
          </cell>
          <cell r="B2281" t="str">
            <v>M1 MACTRA 2000 POTE 1L</v>
          </cell>
          <cell r="C2281">
            <v>5859535</v>
          </cell>
          <cell r="D2281" t="str">
            <v>MACTRA</v>
          </cell>
          <cell r="E2281">
            <v>30002</v>
          </cell>
          <cell r="F2281" t="str">
            <v>IMPERMEABILIZANTES</v>
          </cell>
          <cell r="G2281" t="str">
            <v>IMOBILIÁRIO</v>
          </cell>
        </row>
        <row r="2282">
          <cell r="A2282">
            <v>86766</v>
          </cell>
          <cell r="B2282" t="str">
            <v>M1 MACTRA 2000 PR C/9 SACHES 18L</v>
          </cell>
          <cell r="C2282">
            <v>5859536</v>
          </cell>
          <cell r="D2282" t="str">
            <v>MACTRA</v>
          </cell>
          <cell r="E2282">
            <v>30002</v>
          </cell>
          <cell r="F2282" t="str">
            <v>IMPERMEABILIZANTES</v>
          </cell>
          <cell r="G2282" t="str">
            <v>IMOBILIÁRIO</v>
          </cell>
        </row>
        <row r="2283">
          <cell r="A2283">
            <v>86806</v>
          </cell>
          <cell r="B2283" t="str">
            <v>M1 MACTRACOL 0,9L</v>
          </cell>
          <cell r="C2283">
            <v>5859603</v>
          </cell>
          <cell r="D2283" t="str">
            <v>MACTRA</v>
          </cell>
          <cell r="E2283">
            <v>30002</v>
          </cell>
          <cell r="F2283" t="str">
            <v>IMPERMEABILIZANTES</v>
          </cell>
          <cell r="G2283" t="str">
            <v>IMOBILIÁRIO</v>
          </cell>
        </row>
        <row r="2284">
          <cell r="A2284">
            <v>86804</v>
          </cell>
          <cell r="B2284" t="str">
            <v>M1 MACTRACOL 200L</v>
          </cell>
          <cell r="C2284">
            <v>5859601</v>
          </cell>
          <cell r="D2284" t="str">
            <v>MACTRA</v>
          </cell>
          <cell r="E2284">
            <v>30002</v>
          </cell>
          <cell r="F2284" t="str">
            <v>IMPERMEABILIZANTES</v>
          </cell>
          <cell r="G2284" t="str">
            <v>IMOBILIÁRIO</v>
          </cell>
        </row>
        <row r="2285">
          <cell r="A2285">
            <v>86805</v>
          </cell>
          <cell r="B2285" t="str">
            <v>M1 MACTRACOL 3,6L</v>
          </cell>
          <cell r="C2285">
            <v>5859602</v>
          </cell>
          <cell r="D2285" t="str">
            <v>MACTRA</v>
          </cell>
          <cell r="E2285">
            <v>30002</v>
          </cell>
          <cell r="F2285" t="str">
            <v>IMPERMEABILIZANTES</v>
          </cell>
          <cell r="G2285" t="str">
            <v>IMOBILIÁRIO</v>
          </cell>
        </row>
        <row r="2286">
          <cell r="A2286">
            <v>86803</v>
          </cell>
          <cell r="B2286" t="str">
            <v>M1 MACTRACOL BD 18L</v>
          </cell>
          <cell r="C2286">
            <v>5859599</v>
          </cell>
          <cell r="D2286" t="str">
            <v>MACTRA</v>
          </cell>
          <cell r="E2286">
            <v>30002</v>
          </cell>
          <cell r="F2286" t="str">
            <v>IMPERMEABILIZANTES</v>
          </cell>
          <cell r="G2286" t="str">
            <v>IMOBILIÁRIO</v>
          </cell>
        </row>
        <row r="2287">
          <cell r="A2287">
            <v>86807</v>
          </cell>
          <cell r="B2287" t="str">
            <v>M1 MACTRACOL PR CX/9 SACHES 18L</v>
          </cell>
          <cell r="C2287">
            <v>5859604</v>
          </cell>
          <cell r="D2287" t="str">
            <v>MACTRA</v>
          </cell>
          <cell r="E2287">
            <v>30002</v>
          </cell>
          <cell r="F2287" t="str">
            <v>IMPERMEABILIZANTES</v>
          </cell>
          <cell r="G2287" t="str">
            <v>IMOBILIÁRIO</v>
          </cell>
        </row>
        <row r="2288">
          <cell r="A2288">
            <v>86754</v>
          </cell>
          <cell r="B2288" t="str">
            <v>M1 MACTRASET PROFISSIONAL 18KG</v>
          </cell>
          <cell r="C2288">
            <v>5859521</v>
          </cell>
          <cell r="D2288" t="str">
            <v>MACTRA</v>
          </cell>
          <cell r="E2288">
            <v>30002</v>
          </cell>
          <cell r="F2288" t="str">
            <v>IMPERMEABILIZANTES</v>
          </cell>
          <cell r="G2288" t="str">
            <v>IMOBILIÁRIO</v>
          </cell>
        </row>
        <row r="2289">
          <cell r="A2289">
            <v>86755</v>
          </cell>
          <cell r="B2289" t="str">
            <v>M1 MACTRASET PROFISSIONAL 9KG</v>
          </cell>
          <cell r="C2289">
            <v>5859522</v>
          </cell>
          <cell r="D2289" t="str">
            <v>MACTRA</v>
          </cell>
          <cell r="E2289">
            <v>30002</v>
          </cell>
          <cell r="F2289" t="str">
            <v>IMPERMEABILIZANTES</v>
          </cell>
          <cell r="G2289" t="str">
            <v>IMOBILIÁRIO</v>
          </cell>
        </row>
        <row r="2290">
          <cell r="A2290">
            <v>86758</v>
          </cell>
          <cell r="B2290" t="str">
            <v>M1 MACTRASET PROFISSIONAL BRANCO 18KG</v>
          </cell>
          <cell r="C2290">
            <v>5859525</v>
          </cell>
          <cell r="D2290" t="str">
            <v>MACTRA</v>
          </cell>
          <cell r="E2290">
            <v>30002</v>
          </cell>
          <cell r="F2290" t="str">
            <v>IMPERMEABILIZANTES</v>
          </cell>
          <cell r="G2290" t="str">
            <v>IMOBILIÁRIO</v>
          </cell>
        </row>
        <row r="2291">
          <cell r="A2291">
            <v>86775</v>
          </cell>
          <cell r="B2291" t="str">
            <v>M1 MANTA LIQUIDA PREMIUM 5KG</v>
          </cell>
          <cell r="C2291">
            <v>5859550</v>
          </cell>
          <cell r="D2291" t="str">
            <v>MACTRA</v>
          </cell>
          <cell r="E2291">
            <v>30002</v>
          </cell>
          <cell r="F2291" t="str">
            <v>IMPERMEABILIZANTES</v>
          </cell>
          <cell r="G2291" t="str">
            <v>IMOBILIÁRIO</v>
          </cell>
        </row>
        <row r="2292">
          <cell r="A2292">
            <v>86774</v>
          </cell>
          <cell r="B2292" t="str">
            <v>M1 MANTA LIQUIDA VEDATRINCA 1KG</v>
          </cell>
          <cell r="C2292">
            <v>5859547</v>
          </cell>
          <cell r="D2292" t="str">
            <v>MACTRA</v>
          </cell>
          <cell r="E2292">
            <v>30002</v>
          </cell>
          <cell r="F2292" t="str">
            <v>IMPERMEABILIZANTES</v>
          </cell>
          <cell r="G2292" t="str">
            <v>IMOBILIÁRIO</v>
          </cell>
        </row>
        <row r="2293">
          <cell r="A2293">
            <v>86773</v>
          </cell>
          <cell r="B2293" t="str">
            <v>M1 MANTA LIQUIDA VEDATRINCA 4,5KG</v>
          </cell>
          <cell r="C2293">
            <v>5859546</v>
          </cell>
          <cell r="D2293" t="str">
            <v>MACTRA</v>
          </cell>
          <cell r="E2293">
            <v>30002</v>
          </cell>
          <cell r="F2293" t="str">
            <v>IMPERMEABILIZANTES</v>
          </cell>
          <cell r="G2293" t="str">
            <v>IMOBILIÁRIO</v>
          </cell>
        </row>
        <row r="2294">
          <cell r="A2294">
            <v>86842</v>
          </cell>
          <cell r="B2294" t="str">
            <v>M1 MASSA SECA PAREDE 18KG</v>
          </cell>
          <cell r="C2294">
            <v>5906030</v>
          </cell>
          <cell r="D2294" t="str">
            <v>MACTRA</v>
          </cell>
          <cell r="E2294">
            <v>30002</v>
          </cell>
          <cell r="F2294" t="str">
            <v>IMPERMEABILIZANTES</v>
          </cell>
          <cell r="G2294" t="str">
            <v>IMOBILIÁRIO</v>
          </cell>
        </row>
        <row r="2295">
          <cell r="A2295">
            <v>86791</v>
          </cell>
          <cell r="B2295" t="str">
            <v>M1 MASSA VEDATRINCA 1,2KG</v>
          </cell>
          <cell r="C2295">
            <v>5859582</v>
          </cell>
          <cell r="D2295" t="str">
            <v>MACTRA</v>
          </cell>
          <cell r="E2295">
            <v>30002</v>
          </cell>
          <cell r="F2295" t="str">
            <v>IMPERMEABILIZANTES</v>
          </cell>
          <cell r="G2295" t="str">
            <v>IMOBILIÁRIO</v>
          </cell>
        </row>
        <row r="2296">
          <cell r="A2296">
            <v>86792</v>
          </cell>
          <cell r="B2296" t="str">
            <v>M1 MASSA VEDATRINCA 25KG</v>
          </cell>
          <cell r="C2296">
            <v>5859583</v>
          </cell>
          <cell r="D2296" t="str">
            <v>MACTRA</v>
          </cell>
          <cell r="E2296">
            <v>30002</v>
          </cell>
          <cell r="F2296" t="str">
            <v>IMPERMEABILIZANTES</v>
          </cell>
          <cell r="G2296" t="str">
            <v>IMOBILIÁRIO</v>
          </cell>
        </row>
        <row r="2297">
          <cell r="A2297">
            <v>86814</v>
          </cell>
          <cell r="B2297" t="str">
            <v>M1 MEGA BLOCK 200KG</v>
          </cell>
          <cell r="C2297">
            <v>5859613</v>
          </cell>
          <cell r="D2297" t="str">
            <v>MACTRA</v>
          </cell>
          <cell r="E2297">
            <v>30002</v>
          </cell>
          <cell r="F2297" t="str">
            <v>IMPERMEABILIZANTES</v>
          </cell>
          <cell r="G2297" t="str">
            <v>IMOBILIÁRIO</v>
          </cell>
        </row>
        <row r="2298">
          <cell r="A2298">
            <v>86793</v>
          </cell>
          <cell r="B2298" t="str">
            <v>M1 SPRAY SECA PAREDE 0,75L</v>
          </cell>
          <cell r="C2298">
            <v>5859585</v>
          </cell>
          <cell r="D2298" t="str">
            <v>MACTRA</v>
          </cell>
          <cell r="E2298">
            <v>30002</v>
          </cell>
          <cell r="F2298" t="str">
            <v>IMPERMEABILIZANTES</v>
          </cell>
          <cell r="G2298" t="str">
            <v>IMOBILIÁRIO</v>
          </cell>
        </row>
        <row r="2299">
          <cell r="A2299">
            <v>86854</v>
          </cell>
          <cell r="B2299" t="str">
            <v>M1 TELA VEDATRINCA 0,10X3M</v>
          </cell>
          <cell r="C2299">
            <v>6440525</v>
          </cell>
          <cell r="D2299" t="str">
            <v>MACTRA</v>
          </cell>
          <cell r="E2299">
            <v>30002</v>
          </cell>
          <cell r="F2299" t="str">
            <v>IMPERMEABILIZANTES</v>
          </cell>
          <cell r="G2299" t="str">
            <v>IMOBILIÁRIO</v>
          </cell>
        </row>
        <row r="2300">
          <cell r="A2300">
            <v>86853</v>
          </cell>
          <cell r="B2300" t="str">
            <v>M1 TELA VEDATRINCA 0,25X5M</v>
          </cell>
          <cell r="C2300">
            <v>6440524</v>
          </cell>
          <cell r="D2300" t="str">
            <v>MACTRA</v>
          </cell>
          <cell r="E2300">
            <v>30002</v>
          </cell>
          <cell r="F2300" t="str">
            <v>IMPERMEABILIZANTES</v>
          </cell>
          <cell r="G2300" t="str">
            <v>IMOBILIÁRIO</v>
          </cell>
        </row>
        <row r="2301">
          <cell r="A2301">
            <v>86855</v>
          </cell>
          <cell r="B2301" t="str">
            <v>M1 TELA VEDATRINCA 1X50M</v>
          </cell>
          <cell r="C2301">
            <v>6440526</v>
          </cell>
          <cell r="D2301" t="str">
            <v>MACTRA</v>
          </cell>
          <cell r="E2301">
            <v>30002</v>
          </cell>
          <cell r="F2301" t="str">
            <v>IMPERMEABILIZANTES</v>
          </cell>
          <cell r="G2301" t="str">
            <v>IMOBILIÁRIO</v>
          </cell>
        </row>
        <row r="2302">
          <cell r="A2302">
            <v>86789</v>
          </cell>
          <cell r="B2302" t="str">
            <v>M1 TELHAFRIA 18KG</v>
          </cell>
          <cell r="C2302">
            <v>5859573</v>
          </cell>
          <cell r="D2302" t="str">
            <v>MACTRA</v>
          </cell>
          <cell r="E2302">
            <v>30002</v>
          </cell>
          <cell r="F2302" t="str">
            <v>IMPERMEABILIZANTES</v>
          </cell>
          <cell r="G2302" t="str">
            <v>IMOBILIÁRIO</v>
          </cell>
        </row>
        <row r="2303">
          <cell r="A2303">
            <v>86756</v>
          </cell>
          <cell r="B2303" t="str">
            <v>M1 VEDATELHA VEDAPAREDE 18KG</v>
          </cell>
          <cell r="C2303">
            <v>5859523</v>
          </cell>
          <cell r="D2303" t="str">
            <v>MACTRA</v>
          </cell>
          <cell r="E2303">
            <v>30002</v>
          </cell>
          <cell r="F2303" t="str">
            <v>IMPERMEABILIZANTES</v>
          </cell>
          <cell r="G2303" t="str">
            <v>IMOBILIÁRIO</v>
          </cell>
        </row>
        <row r="2304">
          <cell r="A2304">
            <v>86757</v>
          </cell>
          <cell r="B2304" t="str">
            <v>M1 VEDATELHA VEDAPAREDE 3,6KG</v>
          </cell>
          <cell r="C2304">
            <v>5859524</v>
          </cell>
          <cell r="D2304" t="str">
            <v>MACTRA</v>
          </cell>
          <cell r="E2304">
            <v>30002</v>
          </cell>
          <cell r="F2304" t="str">
            <v>IMPERMEABILIZANTES</v>
          </cell>
          <cell r="G2304" t="str">
            <v>IMOBILIÁRIO</v>
          </cell>
        </row>
        <row r="2305">
          <cell r="A2305">
            <v>86770</v>
          </cell>
          <cell r="B2305" t="str">
            <v>M1 VEDBEM FIBRAS 18KG</v>
          </cell>
          <cell r="C2305">
            <v>5859542</v>
          </cell>
          <cell r="D2305" t="str">
            <v>MACTRA</v>
          </cell>
          <cell r="E2305">
            <v>30002</v>
          </cell>
          <cell r="F2305" t="str">
            <v>IMPERMEABILIZANTES</v>
          </cell>
          <cell r="G2305" t="str">
            <v>IMOBILIÁRIO</v>
          </cell>
        </row>
        <row r="2306">
          <cell r="A2306">
            <v>86845</v>
          </cell>
          <cell r="B2306" t="str">
            <v>M1 VEDBEM IMPERALL BASE 3,6KG</v>
          </cell>
          <cell r="C2306">
            <v>5909339</v>
          </cell>
          <cell r="D2306" t="str">
            <v>MACTRA</v>
          </cell>
          <cell r="E2306">
            <v>30002</v>
          </cell>
          <cell r="F2306" t="str">
            <v>IMPERMEABILIZANTES</v>
          </cell>
          <cell r="G2306" t="str">
            <v>IMOBILIÁRIO</v>
          </cell>
        </row>
        <row r="2307">
          <cell r="A2307">
            <v>86843</v>
          </cell>
          <cell r="B2307" t="str">
            <v>M1 VEDBEM MANTA LIQUIDA BRANCA 18KG</v>
          </cell>
          <cell r="C2307">
            <v>5906031</v>
          </cell>
          <cell r="D2307" t="str">
            <v>MACTRA</v>
          </cell>
          <cell r="E2307">
            <v>30002</v>
          </cell>
          <cell r="F2307" t="str">
            <v>IMPERMEABILIZANTES</v>
          </cell>
          <cell r="G2307" t="str">
            <v>IMOBILIÁRIO</v>
          </cell>
        </row>
        <row r="2308">
          <cell r="A2308">
            <v>86840</v>
          </cell>
          <cell r="B2308" t="str">
            <v>M1 VEDBEM MANTA LIQUIDA RÁPIDA 18KG</v>
          </cell>
          <cell r="C2308">
            <v>5906027</v>
          </cell>
          <cell r="D2308" t="str">
            <v>MACTRA</v>
          </cell>
          <cell r="E2308">
            <v>30002</v>
          </cell>
          <cell r="F2308" t="str">
            <v>IMPERMEABILIZANTES</v>
          </cell>
          <cell r="G2308" t="str">
            <v>IMOBILIÁRIO</v>
          </cell>
        </row>
        <row r="2309">
          <cell r="A2309">
            <v>86778</v>
          </cell>
          <cell r="B2309" t="str">
            <v>M1 VEDBEM PAREDE 18KG</v>
          </cell>
          <cell r="C2309">
            <v>5859560</v>
          </cell>
          <cell r="D2309" t="str">
            <v>MACTRA</v>
          </cell>
          <cell r="E2309">
            <v>30002</v>
          </cell>
          <cell r="F2309" t="str">
            <v>IMPERMEABILIZANTES</v>
          </cell>
          <cell r="G2309" t="str">
            <v>IMOBILIÁRIO</v>
          </cell>
        </row>
        <row r="2310">
          <cell r="A2310">
            <v>86781</v>
          </cell>
          <cell r="B2310" t="str">
            <v>M1 VEDBEM PAREDE 3,6KG</v>
          </cell>
          <cell r="C2310">
            <v>5859563</v>
          </cell>
          <cell r="D2310" t="str">
            <v>MACTRA</v>
          </cell>
          <cell r="E2310">
            <v>30002</v>
          </cell>
          <cell r="F2310" t="str">
            <v>IMPERMEABILIZANTES</v>
          </cell>
          <cell r="G2310" t="str">
            <v>IMOBILIÁRIO</v>
          </cell>
        </row>
        <row r="2311">
          <cell r="A2311">
            <v>86782</v>
          </cell>
          <cell r="B2311" t="str">
            <v>M1 VEDBEM PAREDE AREIA DO SAARA 18KG</v>
          </cell>
          <cell r="C2311">
            <v>5859564</v>
          </cell>
          <cell r="D2311" t="str">
            <v>MACTRA</v>
          </cell>
          <cell r="E2311">
            <v>30002</v>
          </cell>
          <cell r="F2311" t="str">
            <v>IMPERMEABILIZANTES</v>
          </cell>
          <cell r="G2311" t="str">
            <v>IMOBILIÁRIO</v>
          </cell>
        </row>
        <row r="2312">
          <cell r="A2312">
            <v>86779</v>
          </cell>
          <cell r="B2312" t="str">
            <v>M1 VEDBEM PAREDE CAMURCA DOS ANDES 18KG</v>
          </cell>
          <cell r="C2312">
            <v>5859561</v>
          </cell>
          <cell r="D2312" t="str">
            <v>MACTRA</v>
          </cell>
          <cell r="E2312">
            <v>30002</v>
          </cell>
          <cell r="F2312" t="str">
            <v>IMPERMEABILIZANTES</v>
          </cell>
          <cell r="G2312" t="str">
            <v>IMOBILIÁRIO</v>
          </cell>
        </row>
        <row r="2313">
          <cell r="A2313">
            <v>86783</v>
          </cell>
          <cell r="B2313" t="str">
            <v>M1 VEDBEM PAREDE CONCRETO URBANO 18KG</v>
          </cell>
          <cell r="C2313">
            <v>5859565</v>
          </cell>
          <cell r="D2313" t="str">
            <v>MACTRA</v>
          </cell>
          <cell r="E2313">
            <v>30002</v>
          </cell>
          <cell r="F2313" t="str">
            <v>IMPERMEABILIZANTES</v>
          </cell>
          <cell r="G2313" t="str">
            <v>IMOBILIÁRIO</v>
          </cell>
        </row>
        <row r="2314">
          <cell r="A2314">
            <v>86780</v>
          </cell>
          <cell r="B2314" t="str">
            <v>M1 VEDBEM PAREDE MARROM SHITAKE 18KG</v>
          </cell>
          <cell r="C2314">
            <v>5859562</v>
          </cell>
          <cell r="D2314" t="str">
            <v>MACTRA</v>
          </cell>
          <cell r="E2314">
            <v>30002</v>
          </cell>
          <cell r="F2314" t="str">
            <v>IMPERMEABILIZANTES</v>
          </cell>
          <cell r="G2314" t="str">
            <v>IMOBILIÁRIO</v>
          </cell>
        </row>
        <row r="2315">
          <cell r="A2315">
            <v>86769</v>
          </cell>
          <cell r="B2315" t="str">
            <v>M1 VEDBEM PISCINA 18KG</v>
          </cell>
          <cell r="C2315">
            <v>5859541</v>
          </cell>
          <cell r="D2315" t="str">
            <v>MACTRA</v>
          </cell>
          <cell r="E2315">
            <v>30002</v>
          </cell>
          <cell r="F2315" t="str">
            <v>IMPERMEABILIZANTES</v>
          </cell>
          <cell r="G2315" t="str">
            <v>IMOBILIÁRIO</v>
          </cell>
        </row>
        <row r="2316">
          <cell r="A2316">
            <v>86794</v>
          </cell>
          <cell r="B2316" t="str">
            <v>M1 VEDBEM TRINCA 0,280KG</v>
          </cell>
          <cell r="C2316">
            <v>5859586</v>
          </cell>
          <cell r="D2316" t="str">
            <v>MACTRA</v>
          </cell>
          <cell r="E2316">
            <v>30002</v>
          </cell>
          <cell r="F2316" t="str">
            <v>IMPERMEABILIZANTES</v>
          </cell>
          <cell r="G2316" t="str">
            <v>IMOBILIÁRIO</v>
          </cell>
        </row>
        <row r="2317">
          <cell r="A2317">
            <v>86795</v>
          </cell>
          <cell r="B2317" t="str">
            <v>M1 VEDBEM TRINCA 1,2KG</v>
          </cell>
          <cell r="C2317">
            <v>5859587</v>
          </cell>
          <cell r="D2317" t="str">
            <v>MACTRA</v>
          </cell>
          <cell r="E2317">
            <v>30002</v>
          </cell>
          <cell r="F2317" t="str">
            <v>IMPERMEABILIZANTES</v>
          </cell>
          <cell r="G2317" t="str">
            <v>IMOBILIÁRIO</v>
          </cell>
        </row>
        <row r="2318">
          <cell r="A2318">
            <v>86797</v>
          </cell>
          <cell r="B2318" t="str">
            <v>M1 VEDBEM TRINCA 24KG</v>
          </cell>
          <cell r="C2318">
            <v>5859589</v>
          </cell>
          <cell r="D2318" t="str">
            <v>MACTRA</v>
          </cell>
          <cell r="E2318">
            <v>30002</v>
          </cell>
          <cell r="F2318" t="str">
            <v>IMPERMEABILIZANTES</v>
          </cell>
          <cell r="G2318" t="str">
            <v>IMOBILIÁRIO</v>
          </cell>
        </row>
        <row r="2319">
          <cell r="A2319">
            <v>86796</v>
          </cell>
          <cell r="B2319" t="str">
            <v>M1 VEDBEM TRINCA 4,5KG</v>
          </cell>
          <cell r="C2319">
            <v>5859588</v>
          </cell>
          <cell r="D2319" t="str">
            <v>MACTRA</v>
          </cell>
          <cell r="E2319">
            <v>30002</v>
          </cell>
          <cell r="F2319" t="str">
            <v>IMPERMEABILIZANTES</v>
          </cell>
          <cell r="G2319" t="str">
            <v>IMOBILIÁRIO</v>
          </cell>
        </row>
        <row r="2320">
          <cell r="A2320">
            <v>86768</v>
          </cell>
          <cell r="B2320" t="str">
            <v>M1 VEDMUR 0,9L</v>
          </cell>
          <cell r="C2320">
            <v>5859539</v>
          </cell>
          <cell r="D2320" t="str">
            <v>MACTRA</v>
          </cell>
          <cell r="E2320">
            <v>30002</v>
          </cell>
          <cell r="F2320" t="str">
            <v>IMPERMEABILIZANTES</v>
          </cell>
          <cell r="G2320" t="str">
            <v>IMOBILIÁRIO</v>
          </cell>
        </row>
        <row r="2321">
          <cell r="A2321">
            <v>86767</v>
          </cell>
          <cell r="B2321" t="str">
            <v>M1 VEDMUR 5L</v>
          </cell>
          <cell r="C2321">
            <v>5859538</v>
          </cell>
          <cell r="D2321" t="str">
            <v>MACTRA</v>
          </cell>
          <cell r="E2321">
            <v>30002</v>
          </cell>
          <cell r="F2321" t="str">
            <v>IMPERMEABILIZANTES</v>
          </cell>
          <cell r="G2321" t="str">
            <v>IMOBILIÁRIO</v>
          </cell>
        </row>
        <row r="2322">
          <cell r="A2322">
            <v>84318</v>
          </cell>
          <cell r="B2322" t="str">
            <v>RESINA PARA TELHA-BRANCO 3,6L BRASILUX</v>
          </cell>
          <cell r="C2322" t="str">
            <v>BT 540503002</v>
          </cell>
          <cell r="D2322" t="str">
            <v>BRASILUX</v>
          </cell>
          <cell r="E2322">
            <v>30002</v>
          </cell>
          <cell r="F2322" t="str">
            <v>IMPERMEABILIZANTES</v>
          </cell>
          <cell r="G2322" t="str">
            <v>IMOBILIÁRIO</v>
          </cell>
        </row>
        <row r="2323">
          <cell r="A2323">
            <v>84313</v>
          </cell>
          <cell r="B2323" t="str">
            <v>RESINA PARA TELHA-CERAMICA TELHA 18L BRASILUX</v>
          </cell>
          <cell r="C2323" t="str">
            <v>BT 543000203</v>
          </cell>
          <cell r="D2323" t="str">
            <v>BRASILUX</v>
          </cell>
          <cell r="E2323">
            <v>30002</v>
          </cell>
          <cell r="F2323" t="str">
            <v>IMPERMEABILIZANTES</v>
          </cell>
          <cell r="G2323" t="str">
            <v>IMOBILIÁRIO</v>
          </cell>
        </row>
        <row r="2324">
          <cell r="A2324">
            <v>84319</v>
          </cell>
          <cell r="B2324" t="str">
            <v>RESINA PARA TELHA-CERAMICA TELHA 3,6L BRASILUX</v>
          </cell>
          <cell r="C2324" t="str">
            <v>BT 543000202</v>
          </cell>
          <cell r="D2324" t="str">
            <v>BRASILUX</v>
          </cell>
          <cell r="E2324">
            <v>30002</v>
          </cell>
          <cell r="F2324" t="str">
            <v>IMPERMEABILIZANTES</v>
          </cell>
          <cell r="G2324" t="str">
            <v>IMOBILIÁRIO</v>
          </cell>
        </row>
        <row r="2325">
          <cell r="A2325">
            <v>84314</v>
          </cell>
          <cell r="B2325" t="str">
            <v>RESINA PARA TELHA-CINZA 18L BRASILUX</v>
          </cell>
          <cell r="C2325" t="str">
            <v>BT 540604803</v>
          </cell>
          <cell r="D2325" t="str">
            <v>BRASILUX</v>
          </cell>
          <cell r="E2325">
            <v>30002</v>
          </cell>
          <cell r="F2325" t="str">
            <v>IMPERMEABILIZANTES</v>
          </cell>
          <cell r="G2325" t="str">
            <v>IMOBILIÁRIO</v>
          </cell>
        </row>
        <row r="2326">
          <cell r="A2326">
            <v>84320</v>
          </cell>
          <cell r="B2326" t="str">
            <v>RESINA PARA TELHA-CINZA 3,6L BRASILUX</v>
          </cell>
          <cell r="C2326" t="str">
            <v>BT 540604802</v>
          </cell>
          <cell r="D2326" t="str">
            <v>BRASILUX</v>
          </cell>
          <cell r="E2326">
            <v>30002</v>
          </cell>
          <cell r="F2326" t="str">
            <v>IMPERMEABILIZANTES</v>
          </cell>
          <cell r="G2326" t="str">
            <v>IMOBILIÁRIO</v>
          </cell>
        </row>
        <row r="2327">
          <cell r="A2327">
            <v>84906</v>
          </cell>
          <cell r="B2327" t="str">
            <v>RESINA PARA TELHA-FOSCA INCOLOR 18L BRASILUX</v>
          </cell>
          <cell r="C2327" t="str">
            <v>FO 540061403</v>
          </cell>
          <cell r="D2327" t="str">
            <v>BRASILUX</v>
          </cell>
          <cell r="E2327">
            <v>30002</v>
          </cell>
          <cell r="F2327" t="str">
            <v>IMPERMEABILIZANTES</v>
          </cell>
          <cell r="G2327" t="str">
            <v>IMOBILIÁRIO</v>
          </cell>
        </row>
        <row r="2328">
          <cell r="A2328">
            <v>84905</v>
          </cell>
          <cell r="B2328" t="str">
            <v>RESINA PARA TELHA-FOSCA INCOLOR 3,6L BRASILUX</v>
          </cell>
          <cell r="C2328" t="str">
            <v>FO 540061402</v>
          </cell>
          <cell r="D2328" t="str">
            <v>BRASILUX</v>
          </cell>
          <cell r="E2328">
            <v>30002</v>
          </cell>
          <cell r="F2328" t="str">
            <v>IMPERMEABILIZANTES</v>
          </cell>
          <cell r="G2328" t="str">
            <v>IMOBILIÁRIO</v>
          </cell>
        </row>
        <row r="2329">
          <cell r="A2329">
            <v>84315</v>
          </cell>
          <cell r="B2329" t="str">
            <v>RESINA PARA TELHA-INCOLOR 18L BRASILUX</v>
          </cell>
          <cell r="C2329" t="str">
            <v>VN 540009903</v>
          </cell>
          <cell r="D2329" t="str">
            <v>BRASILUX</v>
          </cell>
          <cell r="E2329">
            <v>30002</v>
          </cell>
          <cell r="F2329" t="str">
            <v>IMPERMEABILIZANTES</v>
          </cell>
          <cell r="G2329" t="str">
            <v>IMOBILIÁRIO</v>
          </cell>
        </row>
        <row r="2330">
          <cell r="A2330">
            <v>84321</v>
          </cell>
          <cell r="B2330" t="str">
            <v>RESINA PARA TELHA-INCOLOR 3,6L BRASILUX</v>
          </cell>
          <cell r="C2330" t="str">
            <v>VN 540009902</v>
          </cell>
          <cell r="D2330" t="str">
            <v>BRASILUX</v>
          </cell>
          <cell r="E2330">
            <v>30002</v>
          </cell>
          <cell r="F2330" t="str">
            <v>IMPERMEABILIZANTES</v>
          </cell>
          <cell r="G2330" t="str">
            <v>IMOBILIÁRIO</v>
          </cell>
        </row>
        <row r="2331">
          <cell r="A2331">
            <v>84322</v>
          </cell>
          <cell r="B2331" t="str">
            <v>RESINA PARA TELHA-MARFIM 3,6L BRASILUX</v>
          </cell>
          <cell r="C2331" t="str">
            <v>BT 540800102</v>
          </cell>
          <cell r="D2331" t="str">
            <v>BRASILUX</v>
          </cell>
          <cell r="E2331">
            <v>30002</v>
          </cell>
          <cell r="F2331" t="str">
            <v>IMPERMEABILIZANTES</v>
          </cell>
          <cell r="G2331" t="str">
            <v>IMOBILIÁRIO</v>
          </cell>
        </row>
        <row r="2332">
          <cell r="A2332">
            <v>84316</v>
          </cell>
          <cell r="B2332" t="str">
            <v>RESINA PARA TELHA-MARROM BARROCO 18L BRASILUX</v>
          </cell>
          <cell r="C2332" t="str">
            <v>BT 541004503</v>
          </cell>
          <cell r="D2332" t="str">
            <v>BRASILUX</v>
          </cell>
          <cell r="E2332">
            <v>30002</v>
          </cell>
          <cell r="F2332" t="str">
            <v>IMPERMEABILIZANTES</v>
          </cell>
          <cell r="G2332" t="str">
            <v>IMOBILIÁRIO</v>
          </cell>
        </row>
        <row r="2333">
          <cell r="A2333">
            <v>84312</v>
          </cell>
          <cell r="B2333" t="str">
            <v>RESINA PARA TELHA-MULTIUSO BRANCO 18L BRASILUX</v>
          </cell>
          <cell r="C2333" t="str">
            <v>BT 540503003</v>
          </cell>
          <cell r="D2333" t="str">
            <v>BRASILUX</v>
          </cell>
          <cell r="E2333">
            <v>30002</v>
          </cell>
          <cell r="F2333" t="str">
            <v>IMPERMEABILIZANTES</v>
          </cell>
          <cell r="G2333" t="str">
            <v>IMOBILIÁRIO</v>
          </cell>
        </row>
        <row r="2334">
          <cell r="A2334">
            <v>84317</v>
          </cell>
          <cell r="B2334" t="str">
            <v>RESINA PARA TELHA-VERMELHO OXIDO 18L BRASILUX</v>
          </cell>
          <cell r="C2334" t="str">
            <v>BT 542314503</v>
          </cell>
          <cell r="D2334" t="str">
            <v>BRASILUX</v>
          </cell>
          <cell r="E2334">
            <v>30002</v>
          </cell>
          <cell r="F2334" t="str">
            <v>IMPERMEABILIZANTES</v>
          </cell>
          <cell r="G2334" t="str">
            <v>IMOBILIÁRIO</v>
          </cell>
        </row>
        <row r="2335">
          <cell r="A2335">
            <v>84323</v>
          </cell>
          <cell r="B2335" t="str">
            <v>RESINA PARA TELHA-VERMELHO OXIDO 3,6L BRASILUX</v>
          </cell>
          <cell r="C2335" t="str">
            <v>BT 542314502</v>
          </cell>
          <cell r="D2335" t="str">
            <v>BRASILUX</v>
          </cell>
          <cell r="E2335">
            <v>30002</v>
          </cell>
          <cell r="F2335" t="str">
            <v>IMPERMEABILIZANTES</v>
          </cell>
          <cell r="G2335" t="str">
            <v>IMOBILIÁRIO</v>
          </cell>
        </row>
        <row r="2336">
          <cell r="A2336">
            <v>84241</v>
          </cell>
          <cell r="B2336" t="str">
            <v>ROBERFLEX-MANTA LIQUIDA 18KG BRASILUX</v>
          </cell>
          <cell r="C2336" t="str">
            <v>IZ 590566018</v>
          </cell>
          <cell r="D2336" t="str">
            <v>BRASILUX</v>
          </cell>
          <cell r="E2336">
            <v>30002</v>
          </cell>
          <cell r="F2336" t="str">
            <v>IMPERMEABILIZANTES</v>
          </cell>
          <cell r="G2336" t="str">
            <v>IMOBILIÁRIO</v>
          </cell>
        </row>
        <row r="2337">
          <cell r="A2337">
            <v>84007</v>
          </cell>
          <cell r="B2337" t="str">
            <v>ROBERFLEX-MANTA LIQUIDA 3,6KG BRASILUX</v>
          </cell>
          <cell r="C2337" t="str">
            <v>IZ 590566062</v>
          </cell>
          <cell r="D2337" t="str">
            <v>BRASILUX</v>
          </cell>
          <cell r="E2337">
            <v>30002</v>
          </cell>
          <cell r="F2337" t="str">
            <v>IMPERMEABILIZANTES</v>
          </cell>
          <cell r="G2337" t="str">
            <v>IMOBILIÁRIO</v>
          </cell>
        </row>
        <row r="2338">
          <cell r="A2338">
            <v>84083</v>
          </cell>
          <cell r="B2338" t="str">
            <v>ROBERMASSA-SOLDA TRINCA 450G BRASILUX</v>
          </cell>
          <cell r="C2338" t="str">
            <v>MS 590000189</v>
          </cell>
          <cell r="D2338" t="str">
            <v>BRASILUX</v>
          </cell>
          <cell r="E2338">
            <v>30002</v>
          </cell>
          <cell r="F2338" t="str">
            <v>IMPERMEABILIZANTES</v>
          </cell>
          <cell r="G2338" t="str">
            <v>IMOBILIÁRIO</v>
          </cell>
        </row>
        <row r="2339">
          <cell r="A2339">
            <v>84247</v>
          </cell>
          <cell r="B2339" t="str">
            <v>SILICONE HIDROFUGANTE 18L BRASILUX</v>
          </cell>
          <cell r="C2339" t="str">
            <v>IZ 590033803</v>
          </cell>
          <cell r="D2339" t="str">
            <v>BRASILUX</v>
          </cell>
          <cell r="E2339">
            <v>30002</v>
          </cell>
          <cell r="F2339" t="str">
            <v>IMPERMEABILIZANTES</v>
          </cell>
          <cell r="G2339" t="str">
            <v>IMOBILIÁRIO</v>
          </cell>
        </row>
        <row r="2340">
          <cell r="A2340">
            <v>84054</v>
          </cell>
          <cell r="B2340" t="str">
            <v>SILICONE HIDROFUGANTE 3,6L BRASILUX</v>
          </cell>
          <cell r="C2340" t="str">
            <v>IZ 590033802</v>
          </cell>
          <cell r="D2340" t="str">
            <v>BRASILUX</v>
          </cell>
          <cell r="E2340">
            <v>30002</v>
          </cell>
          <cell r="F2340" t="str">
            <v>IMPERMEABILIZANTES</v>
          </cell>
          <cell r="G2340" t="str">
            <v>IMOBILIÁRIO</v>
          </cell>
        </row>
        <row r="2341">
          <cell r="A2341">
            <v>84371</v>
          </cell>
          <cell r="B2341" t="str">
            <v>ACRILAR-ALGODAO EGYPCIO FOSCO 18L BALDE BRASILUX</v>
          </cell>
          <cell r="C2341" t="str">
            <v>FO 490564657</v>
          </cell>
          <cell r="D2341" t="str">
            <v>BRASILUX</v>
          </cell>
          <cell r="E2341">
            <v>30001</v>
          </cell>
          <cell r="F2341" t="str">
            <v>TINTA PAREDE</v>
          </cell>
          <cell r="G2341" t="str">
            <v>IMOBILIÁRIO</v>
          </cell>
        </row>
        <row r="2342">
          <cell r="A2342">
            <v>84884</v>
          </cell>
          <cell r="B2342" t="str">
            <v>ACRILAR-ALGODAO EGYPCIO FOSCO 18L LATA BRASILUX</v>
          </cell>
          <cell r="C2342" t="str">
            <v>FO 490564603</v>
          </cell>
          <cell r="D2342" t="str">
            <v>BRASILUX</v>
          </cell>
          <cell r="E2342">
            <v>30001</v>
          </cell>
          <cell r="F2342" t="str">
            <v>TINTA PAREDE</v>
          </cell>
          <cell r="G2342" t="str">
            <v>IMOBILIÁRIO</v>
          </cell>
        </row>
        <row r="2343">
          <cell r="A2343">
            <v>84286</v>
          </cell>
          <cell r="B2343" t="str">
            <v>ACRILAR-ALGODAO EGYPCIO FOSCO 3,6L BRASILUX</v>
          </cell>
          <cell r="C2343" t="str">
            <v>FO 490564602</v>
          </cell>
          <cell r="D2343" t="str">
            <v>BRASILUX</v>
          </cell>
          <cell r="E2343">
            <v>30001</v>
          </cell>
          <cell r="F2343" t="str">
            <v>TINTA PAREDE</v>
          </cell>
          <cell r="G2343" t="str">
            <v>IMOBILIÁRIO</v>
          </cell>
        </row>
        <row r="2344">
          <cell r="A2344">
            <v>84372</v>
          </cell>
          <cell r="B2344" t="str">
            <v>ACRILAR-AREIA FOSCO 18L BALDE BRASILUX</v>
          </cell>
          <cell r="C2344" t="str">
            <v>FO 490700157</v>
          </cell>
          <cell r="D2344" t="str">
            <v>BRASILUX</v>
          </cell>
          <cell r="E2344">
            <v>30001</v>
          </cell>
          <cell r="F2344" t="str">
            <v>TINTA PAREDE</v>
          </cell>
          <cell r="G2344" t="str">
            <v>IMOBILIÁRIO</v>
          </cell>
        </row>
        <row r="2345">
          <cell r="A2345">
            <v>85311</v>
          </cell>
          <cell r="B2345" t="str">
            <v>ACRILAR-AREIA FOSCO 18L LATA BRASILUX</v>
          </cell>
          <cell r="C2345" t="str">
            <v>FO 490700103</v>
          </cell>
          <cell r="D2345" t="str">
            <v>BRASILUX</v>
          </cell>
          <cell r="E2345">
            <v>30001</v>
          </cell>
          <cell r="F2345" t="str">
            <v>TINTA PAREDE</v>
          </cell>
          <cell r="G2345" t="str">
            <v>IMOBILIÁRIO</v>
          </cell>
        </row>
        <row r="2346">
          <cell r="A2346">
            <v>84287</v>
          </cell>
          <cell r="B2346" t="str">
            <v>ACRILAR-AREIA FOSCO 3,6L BRASILUX</v>
          </cell>
          <cell r="C2346" t="str">
            <v>FO 490700102</v>
          </cell>
          <cell r="D2346" t="str">
            <v>BRASILUX</v>
          </cell>
          <cell r="E2346">
            <v>30001</v>
          </cell>
          <cell r="F2346" t="str">
            <v>TINTA PAREDE</v>
          </cell>
          <cell r="G2346" t="str">
            <v>IMOBILIÁRIO</v>
          </cell>
        </row>
        <row r="2347">
          <cell r="A2347">
            <v>84285</v>
          </cell>
          <cell r="B2347" t="str">
            <v>ACRILAR-BARBANTE FOSCO 18L BRASILUX</v>
          </cell>
          <cell r="C2347" t="str">
            <v>FO 490559303</v>
          </cell>
          <cell r="D2347" t="str">
            <v>BRASILUX</v>
          </cell>
          <cell r="E2347">
            <v>30001</v>
          </cell>
          <cell r="F2347" t="str">
            <v>TINTA PAREDE</v>
          </cell>
          <cell r="G2347" t="str">
            <v>IMOBILIÁRIO</v>
          </cell>
        </row>
        <row r="2348">
          <cell r="A2348">
            <v>84288</v>
          </cell>
          <cell r="B2348" t="str">
            <v>ACRILAR-BARBANTE FOSCO 3,6L BRASILUX</v>
          </cell>
          <cell r="C2348" t="str">
            <v>FO 490559302</v>
          </cell>
          <cell r="D2348" t="str">
            <v>BRASILUX</v>
          </cell>
          <cell r="E2348">
            <v>30001</v>
          </cell>
          <cell r="F2348" t="str">
            <v>TINTA PAREDE</v>
          </cell>
          <cell r="G2348" t="str">
            <v>IMOBILIÁRIO</v>
          </cell>
        </row>
        <row r="2349">
          <cell r="A2349">
            <v>84463</v>
          </cell>
          <cell r="B2349" t="str">
            <v>ACRILAR-BRANCO GELO ACETINADO 18L BRASILUX</v>
          </cell>
          <cell r="C2349" t="str">
            <v>AC 490501757</v>
          </cell>
          <cell r="D2349" t="str">
            <v>BRASILUX</v>
          </cell>
          <cell r="E2349">
            <v>30001</v>
          </cell>
          <cell r="F2349" t="str">
            <v>TINTA PAREDE</v>
          </cell>
          <cell r="G2349" t="str">
            <v>IMOBILIÁRIO</v>
          </cell>
        </row>
        <row r="2350">
          <cell r="A2350">
            <v>85094</v>
          </cell>
          <cell r="B2350" t="str">
            <v>ACRILAR-BRANCO GELO ACETINADO 18L LATA BRASILUX</v>
          </cell>
          <cell r="C2350" t="str">
            <v>AC 490501703</v>
          </cell>
          <cell r="D2350" t="str">
            <v>BRASILUX</v>
          </cell>
          <cell r="E2350">
            <v>30001</v>
          </cell>
          <cell r="F2350" t="str">
            <v>TINTA PAREDE</v>
          </cell>
          <cell r="G2350" t="str">
            <v>IMOBILIÁRIO</v>
          </cell>
        </row>
        <row r="2351">
          <cell r="A2351">
            <v>84459</v>
          </cell>
          <cell r="B2351" t="str">
            <v>ACRILAR-BRANCO GELO ACETINADO 3,6L BRASILUX</v>
          </cell>
          <cell r="C2351" t="str">
            <v>AC 490501702</v>
          </cell>
          <cell r="D2351" t="str">
            <v>BRASILUX</v>
          </cell>
          <cell r="E2351">
            <v>30001</v>
          </cell>
          <cell r="F2351" t="str">
            <v>TINTA PAREDE</v>
          </cell>
          <cell r="G2351" t="str">
            <v>IMOBILIÁRIO</v>
          </cell>
        </row>
        <row r="2352">
          <cell r="A2352">
            <v>84373</v>
          </cell>
          <cell r="B2352" t="str">
            <v>ACRILAR-BRANCO GELO FOSCO 18L BALDE BRASILUX</v>
          </cell>
          <cell r="C2352" t="str">
            <v>FO 490501757</v>
          </cell>
          <cell r="D2352" t="str">
            <v>BRASILUX</v>
          </cell>
          <cell r="E2352">
            <v>30001</v>
          </cell>
          <cell r="F2352" t="str">
            <v>TINTA PAREDE</v>
          </cell>
          <cell r="G2352" t="str">
            <v>IMOBILIÁRIO</v>
          </cell>
        </row>
        <row r="2353">
          <cell r="A2353">
            <v>85473</v>
          </cell>
          <cell r="B2353" t="str">
            <v>ACRILAR-BRANCO GELO FOSCO 18L BRASILUX</v>
          </cell>
          <cell r="C2353" t="str">
            <v>FO 490501703</v>
          </cell>
          <cell r="D2353" t="str">
            <v>BRASILUX</v>
          </cell>
          <cell r="E2353">
            <v>30001</v>
          </cell>
          <cell r="F2353" t="str">
            <v>TINTA PAREDE</v>
          </cell>
          <cell r="G2353" t="str">
            <v>IMOBILIÁRIO</v>
          </cell>
        </row>
        <row r="2354">
          <cell r="A2354">
            <v>84289</v>
          </cell>
          <cell r="B2354" t="str">
            <v>ACRILAR-BRANCO GELO FOSCO 3,6L BRASILUX</v>
          </cell>
          <cell r="C2354" t="str">
            <v>FO 490501702</v>
          </cell>
          <cell r="D2354" t="str">
            <v>BRASILUX</v>
          </cell>
          <cell r="E2354">
            <v>30001</v>
          </cell>
          <cell r="F2354" t="str">
            <v>TINTA PAREDE</v>
          </cell>
          <cell r="G2354" t="str">
            <v>IMOBILIÁRIO</v>
          </cell>
        </row>
        <row r="2355">
          <cell r="A2355">
            <v>84744</v>
          </cell>
          <cell r="B2355" t="str">
            <v>ACRILAR-BRANCO NEVE ACETINADO 18L LATA BRASILUX</v>
          </cell>
          <cell r="C2355" t="str">
            <v>AC 490503003</v>
          </cell>
          <cell r="D2355" t="str">
            <v>BRASILUX</v>
          </cell>
          <cell r="E2355">
            <v>30001</v>
          </cell>
          <cell r="F2355" t="str">
            <v>TINTA PAREDE</v>
          </cell>
          <cell r="G2355" t="str">
            <v>IMOBILIÁRIO</v>
          </cell>
        </row>
        <row r="2356">
          <cell r="A2356">
            <v>84293</v>
          </cell>
          <cell r="B2356" t="str">
            <v>ACRILAR-BRANCO NEVE ACETINADO 3,6L BRASILUX</v>
          </cell>
          <cell r="C2356" t="str">
            <v>AC 490503002</v>
          </cell>
          <cell r="D2356" t="str">
            <v>BRASILUX</v>
          </cell>
          <cell r="E2356">
            <v>30001</v>
          </cell>
          <cell r="F2356" t="str">
            <v>TINTA PAREDE</v>
          </cell>
          <cell r="G2356" t="str">
            <v>IMOBILIÁRIO</v>
          </cell>
        </row>
        <row r="2357">
          <cell r="A2357">
            <v>84374</v>
          </cell>
          <cell r="B2357" t="str">
            <v>ACRILAR-BRANCO NEVE FOSCO 18L BALDE BRASILUX</v>
          </cell>
          <cell r="C2357" t="str">
            <v>FO 490503057</v>
          </cell>
          <cell r="D2357" t="str">
            <v>BRASILUX</v>
          </cell>
          <cell r="E2357">
            <v>30001</v>
          </cell>
          <cell r="F2357" t="str">
            <v>TINTA PAREDE</v>
          </cell>
          <cell r="G2357" t="str">
            <v>IMOBILIÁRIO</v>
          </cell>
        </row>
        <row r="2358">
          <cell r="A2358">
            <v>84754</v>
          </cell>
          <cell r="B2358" t="str">
            <v>ACRILAR-BRANCO NEVE FOSCO 18L BRASILUX</v>
          </cell>
          <cell r="C2358" t="str">
            <v>FO 490503003</v>
          </cell>
          <cell r="D2358" t="str">
            <v>BRASILUX</v>
          </cell>
          <cell r="E2358">
            <v>30001</v>
          </cell>
          <cell r="F2358" t="str">
            <v>TINTA PAREDE</v>
          </cell>
          <cell r="G2358" t="str">
            <v>IMOBILIÁRIO</v>
          </cell>
        </row>
        <row r="2359">
          <cell r="A2359">
            <v>84290</v>
          </cell>
          <cell r="B2359" t="str">
            <v>ACRILAR-BRANCO NEVE FOSCO 3,6L BRASILUX</v>
          </cell>
          <cell r="C2359" t="str">
            <v>FO 490503002</v>
          </cell>
          <cell r="D2359" t="str">
            <v>BRASILUX</v>
          </cell>
          <cell r="E2359">
            <v>30001</v>
          </cell>
          <cell r="F2359" t="str">
            <v>TINTA PAREDE</v>
          </cell>
          <cell r="G2359" t="str">
            <v>IMOBILIÁRIO</v>
          </cell>
        </row>
        <row r="2360">
          <cell r="A2360">
            <v>84376</v>
          </cell>
          <cell r="B2360" t="str">
            <v>ACRILAR-CAMURCA FOSCO 18L BALDE BRASILUX</v>
          </cell>
          <cell r="C2360" t="str">
            <v>FO 492400157</v>
          </cell>
          <cell r="D2360" t="str">
            <v>BRASILUX</v>
          </cell>
          <cell r="E2360">
            <v>30001</v>
          </cell>
          <cell r="F2360" t="str">
            <v>TINTA PAREDE</v>
          </cell>
          <cell r="G2360" t="str">
            <v>IMOBILIÁRIO</v>
          </cell>
        </row>
        <row r="2361">
          <cell r="A2361">
            <v>84292</v>
          </cell>
          <cell r="B2361" t="str">
            <v>ACRILAR-CAMURCA FOSCO 3,6L BRASILUX</v>
          </cell>
          <cell r="C2361" t="str">
            <v>FO 492400102</v>
          </cell>
          <cell r="D2361" t="str">
            <v>BRASILUX</v>
          </cell>
          <cell r="E2361">
            <v>30001</v>
          </cell>
          <cell r="F2361" t="str">
            <v>TINTA PAREDE</v>
          </cell>
          <cell r="G2361" t="str">
            <v>IMOBILIÁRIO</v>
          </cell>
        </row>
        <row r="2362">
          <cell r="A2362">
            <v>84377</v>
          </cell>
          <cell r="B2362" t="str">
            <v>ACRILAR-MENTA FOSCO 18L BALDE BRASILUX</v>
          </cell>
          <cell r="C2362" t="str">
            <v>FO 492210757</v>
          </cell>
          <cell r="D2362" t="str">
            <v>BRASILUX</v>
          </cell>
          <cell r="E2362">
            <v>30001</v>
          </cell>
          <cell r="F2362" t="str">
            <v>TINTA PAREDE</v>
          </cell>
          <cell r="G2362" t="str">
            <v>IMOBILIÁRIO</v>
          </cell>
        </row>
        <row r="2363">
          <cell r="A2363">
            <v>84291</v>
          </cell>
          <cell r="B2363" t="str">
            <v>ACRILAR-PALHA FOSCO 3,6L BRASILUX</v>
          </cell>
          <cell r="C2363" t="str">
            <v>FO 491200102</v>
          </cell>
          <cell r="D2363" t="str">
            <v>BRASILUX</v>
          </cell>
          <cell r="E2363">
            <v>30001</v>
          </cell>
          <cell r="F2363" t="str">
            <v>TINTA PAREDE</v>
          </cell>
          <cell r="G2363" t="str">
            <v>IMOBILIÁRIO</v>
          </cell>
        </row>
        <row r="2364">
          <cell r="A2364">
            <v>84375</v>
          </cell>
          <cell r="B2364" t="str">
            <v>ACRILAR-PALHA NOVO FOSCO 18L BALDE BRASILUX</v>
          </cell>
          <cell r="C2364" t="str">
            <v>FO 491200557</v>
          </cell>
          <cell r="D2364" t="str">
            <v>BRASILUX</v>
          </cell>
          <cell r="E2364">
            <v>30001</v>
          </cell>
          <cell r="F2364" t="str">
            <v>TINTA PAREDE</v>
          </cell>
          <cell r="G2364" t="str">
            <v>IMOBILIÁRIO</v>
          </cell>
        </row>
        <row r="2365">
          <cell r="A2365">
            <v>84378</v>
          </cell>
          <cell r="B2365" t="str">
            <v>ACRILAR-VERDE FOLHA FOSCO 18L BALDE BRASILUX</v>
          </cell>
          <cell r="C2365" t="str">
            <v>FO 492202057</v>
          </cell>
          <cell r="D2365" t="str">
            <v>BRASILUX</v>
          </cell>
          <cell r="E2365">
            <v>30001</v>
          </cell>
          <cell r="F2365" t="str">
            <v>TINTA PAREDE</v>
          </cell>
          <cell r="G2365" t="str">
            <v>IMOBILIÁRIO</v>
          </cell>
        </row>
        <row r="2366">
          <cell r="A2366">
            <v>85244</v>
          </cell>
          <cell r="B2366" t="str">
            <v>BRASIFIRE-BRANCA 3,6L BRASILUX</v>
          </cell>
          <cell r="C2366" t="str">
            <v>FO 080569002</v>
          </cell>
          <cell r="D2366" t="str">
            <v>BRASILUX</v>
          </cell>
          <cell r="E2366">
            <v>30001</v>
          </cell>
          <cell r="F2366" t="str">
            <v>TINTA PAREDE</v>
          </cell>
          <cell r="G2366" t="str">
            <v>IMOBILIÁRIO</v>
          </cell>
        </row>
        <row r="2367">
          <cell r="A2367">
            <v>84370</v>
          </cell>
          <cell r="B2367" t="str">
            <v>BRASILAR-ALGODAO EGYPCIO FOSCO 18L BRASILUX</v>
          </cell>
          <cell r="C2367" t="str">
            <v>FO 420564657</v>
          </cell>
          <cell r="D2367" t="str">
            <v>BRASILUX</v>
          </cell>
          <cell r="E2367">
            <v>30001</v>
          </cell>
          <cell r="F2367" t="str">
            <v>TINTA PAREDE</v>
          </cell>
          <cell r="G2367" t="str">
            <v>IMOBILIÁRIO</v>
          </cell>
        </row>
        <row r="2368">
          <cell r="A2368">
            <v>84273</v>
          </cell>
          <cell r="B2368" t="str">
            <v>BRASILAR-ALGODAO EGYPCIO FOSCO 3,6L BRASILUX</v>
          </cell>
          <cell r="C2368" t="str">
            <v>FO 420564602</v>
          </cell>
          <cell r="D2368" t="str">
            <v>BRASILUX</v>
          </cell>
          <cell r="E2368">
            <v>30001</v>
          </cell>
          <cell r="F2368" t="str">
            <v>TINTA PAREDE</v>
          </cell>
          <cell r="G2368" t="str">
            <v>IMOBILIÁRIO</v>
          </cell>
        </row>
        <row r="2369">
          <cell r="A2369">
            <v>84265</v>
          </cell>
          <cell r="B2369" t="str">
            <v>BRASILAR-AREIA FOSCO 18L BALDE BRASILUX</v>
          </cell>
          <cell r="C2369" t="str">
            <v>FO 420700157</v>
          </cell>
          <cell r="D2369" t="str">
            <v>BRASILUX</v>
          </cell>
          <cell r="E2369">
            <v>30001</v>
          </cell>
          <cell r="F2369" t="str">
            <v>TINTA PAREDE</v>
          </cell>
          <cell r="G2369" t="str">
            <v>IMOBILIÁRIO</v>
          </cell>
        </row>
        <row r="2370">
          <cell r="A2370">
            <v>84274</v>
          </cell>
          <cell r="B2370" t="str">
            <v>BRASILAR-AREIA FOSCO 3,6L BRASILUX</v>
          </cell>
          <cell r="C2370" t="str">
            <v>FO 420700102</v>
          </cell>
          <cell r="D2370" t="str">
            <v>BRASILUX</v>
          </cell>
          <cell r="E2370">
            <v>30001</v>
          </cell>
          <cell r="F2370" t="str">
            <v>TINTA PAREDE</v>
          </cell>
          <cell r="G2370" t="str">
            <v>IMOBILIÁRIO</v>
          </cell>
        </row>
        <row r="2371">
          <cell r="A2371">
            <v>84266</v>
          </cell>
          <cell r="B2371" t="str">
            <v>BRASILAR-BARBANTE 18L BALDE BRASILUX</v>
          </cell>
          <cell r="C2371" t="str">
            <v>FO 420559357</v>
          </cell>
          <cell r="D2371" t="str">
            <v>BRASILUX</v>
          </cell>
          <cell r="E2371">
            <v>30001</v>
          </cell>
          <cell r="F2371" t="str">
            <v>TINTA PAREDE</v>
          </cell>
          <cell r="G2371" t="str">
            <v>IMOBILIÁRIO</v>
          </cell>
        </row>
        <row r="2372">
          <cell r="A2372">
            <v>84275</v>
          </cell>
          <cell r="B2372" t="str">
            <v>BRASILAR-BARBANTE FOSCO 3,6L BRASILUX</v>
          </cell>
          <cell r="C2372" t="str">
            <v>FO 420559302</v>
          </cell>
          <cell r="D2372" t="str">
            <v>BRASILUX</v>
          </cell>
          <cell r="E2372">
            <v>30001</v>
          </cell>
          <cell r="F2372" t="str">
            <v>TINTA PAREDE</v>
          </cell>
          <cell r="G2372" t="str">
            <v>IMOBILIÁRIO</v>
          </cell>
        </row>
        <row r="2373">
          <cell r="A2373">
            <v>84267</v>
          </cell>
          <cell r="B2373" t="str">
            <v>BRASILAR-BRANCO GELO FOSCO 18L BRASILUX</v>
          </cell>
          <cell r="C2373" t="str">
            <v>FO 420501757</v>
          </cell>
          <cell r="D2373" t="str">
            <v>BRASILUX</v>
          </cell>
          <cell r="E2373">
            <v>30001</v>
          </cell>
          <cell r="F2373" t="str">
            <v>TINTA PAREDE</v>
          </cell>
          <cell r="G2373" t="str">
            <v>IMOBILIÁRIO</v>
          </cell>
        </row>
        <row r="2374">
          <cell r="A2374">
            <v>84276</v>
          </cell>
          <cell r="B2374" t="str">
            <v>BRASILAR-BRANCO GELO FOSCO 3,6L BRASILUX</v>
          </cell>
          <cell r="C2374" t="str">
            <v>FO 420501702</v>
          </cell>
          <cell r="D2374" t="str">
            <v>BRASILUX</v>
          </cell>
          <cell r="E2374">
            <v>30001</v>
          </cell>
          <cell r="F2374" t="str">
            <v>TINTA PAREDE</v>
          </cell>
          <cell r="G2374" t="str">
            <v>IMOBILIÁRIO</v>
          </cell>
        </row>
        <row r="2375">
          <cell r="A2375">
            <v>84268</v>
          </cell>
          <cell r="B2375" t="str">
            <v>BRASILAR-BRANCO NEVE FOSCO 18L BRASILUX</v>
          </cell>
          <cell r="C2375" t="str">
            <v>FO 420503057</v>
          </cell>
          <cell r="D2375" t="str">
            <v>BRASILUX</v>
          </cell>
          <cell r="E2375">
            <v>30001</v>
          </cell>
          <cell r="F2375" t="str">
            <v>TINTA PAREDE</v>
          </cell>
          <cell r="G2375" t="str">
            <v>IMOBILIÁRIO</v>
          </cell>
        </row>
        <row r="2376">
          <cell r="A2376">
            <v>84277</v>
          </cell>
          <cell r="B2376" t="str">
            <v>BRASILAR-BRANCO NEVE FOSCO 3,6L BRASILUX</v>
          </cell>
          <cell r="C2376" t="str">
            <v>FO 420503002</v>
          </cell>
          <cell r="D2376" t="str">
            <v>BRASILUX</v>
          </cell>
          <cell r="E2376">
            <v>30001</v>
          </cell>
          <cell r="F2376" t="str">
            <v>TINTA PAREDE</v>
          </cell>
          <cell r="G2376" t="str">
            <v>IMOBILIÁRIO</v>
          </cell>
        </row>
        <row r="2377">
          <cell r="A2377">
            <v>84282</v>
          </cell>
          <cell r="B2377" t="str">
            <v>BRASILAR-BRANCO NEVE FOSCO 900ML BRASILUX</v>
          </cell>
          <cell r="C2377" t="str">
            <v>FO 420503001</v>
          </cell>
          <cell r="D2377" t="str">
            <v>BRASILUX</v>
          </cell>
          <cell r="E2377">
            <v>30001</v>
          </cell>
          <cell r="F2377" t="str">
            <v>TINTA PAREDE</v>
          </cell>
          <cell r="G2377" t="str">
            <v>IMOBILIÁRIO</v>
          </cell>
        </row>
        <row r="2378">
          <cell r="A2378">
            <v>84284</v>
          </cell>
          <cell r="B2378" t="str">
            <v>BRASILAR-BRANCO NEVE SEMIBRILHO 18L BRASILUX</v>
          </cell>
          <cell r="C2378" t="str">
            <v>SB 420503057</v>
          </cell>
          <cell r="D2378" t="str">
            <v>BRASILUX</v>
          </cell>
          <cell r="E2378">
            <v>30001</v>
          </cell>
          <cell r="F2378" t="str">
            <v>TINTA PAREDE</v>
          </cell>
          <cell r="G2378" t="str">
            <v>IMOBILIÁRIO</v>
          </cell>
        </row>
        <row r="2379">
          <cell r="A2379">
            <v>84283</v>
          </cell>
          <cell r="B2379" t="str">
            <v>BRASILAR-BRANCO NEVE SEMIBRILHO 3,6L BRASILUX</v>
          </cell>
          <cell r="C2379" t="str">
            <v>SB 420503002</v>
          </cell>
          <cell r="D2379" t="str">
            <v>BRASILUX</v>
          </cell>
          <cell r="E2379">
            <v>30001</v>
          </cell>
          <cell r="F2379" t="str">
            <v>TINTA PAREDE</v>
          </cell>
          <cell r="G2379" t="str">
            <v>IMOBILIÁRIO</v>
          </cell>
        </row>
        <row r="2380">
          <cell r="A2380">
            <v>84718</v>
          </cell>
          <cell r="B2380" t="str">
            <v>BRASILAR-CAMURCA FOSCO 18L BALDE BRASILUX</v>
          </cell>
          <cell r="C2380" t="str">
            <v>FO 422400157</v>
          </cell>
          <cell r="D2380" t="str">
            <v>BRASILUX</v>
          </cell>
          <cell r="E2380">
            <v>30001</v>
          </cell>
          <cell r="F2380" t="str">
            <v>TINTA PAREDE</v>
          </cell>
          <cell r="G2380" t="str">
            <v>IMOBILIÁRIO</v>
          </cell>
        </row>
        <row r="2381">
          <cell r="A2381">
            <v>84926</v>
          </cell>
          <cell r="B2381" t="str">
            <v>BRASILAR-CONCRETO FOSCO 18L BALDE BRASILUX</v>
          </cell>
          <cell r="C2381" t="str">
            <v>FO 424700157</v>
          </cell>
          <cell r="D2381" t="str">
            <v>BRASILUX</v>
          </cell>
          <cell r="E2381">
            <v>30001</v>
          </cell>
          <cell r="F2381" t="str">
            <v>TINTA PAREDE</v>
          </cell>
          <cell r="G2381" t="str">
            <v>IMOBILIÁRIO</v>
          </cell>
        </row>
        <row r="2382">
          <cell r="A2382">
            <v>84269</v>
          </cell>
          <cell r="B2382" t="str">
            <v>BRASILAR-ERVA DOCE FOSCO 18L BRASILUX</v>
          </cell>
          <cell r="C2382" t="str">
            <v>FO 422245657</v>
          </cell>
          <cell r="D2382" t="str">
            <v>BRASILUX</v>
          </cell>
          <cell r="E2382">
            <v>30001</v>
          </cell>
          <cell r="F2382" t="str">
            <v>TINTA PAREDE</v>
          </cell>
          <cell r="G2382" t="str">
            <v>IMOBILIÁRIO</v>
          </cell>
        </row>
        <row r="2383">
          <cell r="A2383">
            <v>84278</v>
          </cell>
          <cell r="B2383" t="str">
            <v>BRASILAR-ERVA DOCE FOSCO 3,6L BRASILUX</v>
          </cell>
          <cell r="C2383" t="str">
            <v>FO 422245602</v>
          </cell>
          <cell r="D2383" t="str">
            <v>BRASILUX</v>
          </cell>
          <cell r="E2383">
            <v>30001</v>
          </cell>
          <cell r="F2383" t="str">
            <v>TINTA PAREDE</v>
          </cell>
          <cell r="G2383" t="str">
            <v>IMOBILIÁRIO</v>
          </cell>
        </row>
        <row r="2384">
          <cell r="A2384">
            <v>84280</v>
          </cell>
          <cell r="B2384" t="str">
            <v>BRASILAR-PALHA FOSCO 3,6L BRASILUX</v>
          </cell>
          <cell r="C2384" t="str">
            <v>FO 421200102</v>
          </cell>
          <cell r="D2384" t="str">
            <v>BRASILUX</v>
          </cell>
          <cell r="E2384">
            <v>30001</v>
          </cell>
          <cell r="F2384" t="str">
            <v>TINTA PAREDE</v>
          </cell>
          <cell r="G2384" t="str">
            <v>IMOBILIÁRIO</v>
          </cell>
        </row>
        <row r="2385">
          <cell r="A2385">
            <v>84271</v>
          </cell>
          <cell r="B2385" t="str">
            <v>BRASILAR-PALHA NOVO FOSCO 18L BRASILUX</v>
          </cell>
          <cell r="C2385" t="str">
            <v>FO 421200557</v>
          </cell>
          <cell r="D2385" t="str">
            <v>BRASILUX</v>
          </cell>
          <cell r="E2385">
            <v>30001</v>
          </cell>
          <cell r="F2385" t="str">
            <v>TINTA PAREDE</v>
          </cell>
          <cell r="G2385" t="str">
            <v>IMOBILIÁRIO</v>
          </cell>
        </row>
        <row r="2386">
          <cell r="A2386">
            <v>84272</v>
          </cell>
          <cell r="B2386" t="str">
            <v>BRASILAR-PEROLA FOSCO 18L BALDE BRASILUX</v>
          </cell>
          <cell r="C2386" t="str">
            <v>FO 421300157</v>
          </cell>
          <cell r="D2386" t="str">
            <v>BRASILUX</v>
          </cell>
          <cell r="E2386">
            <v>30001</v>
          </cell>
          <cell r="F2386" t="str">
            <v>TINTA PAREDE</v>
          </cell>
          <cell r="G2386" t="str">
            <v>IMOBILIÁRIO</v>
          </cell>
        </row>
        <row r="2387">
          <cell r="A2387">
            <v>84281</v>
          </cell>
          <cell r="B2387" t="str">
            <v>BRASILAR-PEROLA FOSCO 3,6L BRASILUX</v>
          </cell>
          <cell r="C2387" t="str">
            <v>FO 421300102</v>
          </cell>
          <cell r="D2387" t="str">
            <v>BRASILUX</v>
          </cell>
          <cell r="E2387">
            <v>30001</v>
          </cell>
          <cell r="F2387" t="str">
            <v>TINTA PAREDE</v>
          </cell>
          <cell r="G2387" t="str">
            <v>IMOBILIÁRIO</v>
          </cell>
        </row>
        <row r="2388">
          <cell r="A2388">
            <v>84279</v>
          </cell>
          <cell r="B2388" t="str">
            <v>BRASILAR-VERDE LIMAO 3,6L BRASILUX</v>
          </cell>
          <cell r="C2388" t="str">
            <v>FO 422245702</v>
          </cell>
          <cell r="D2388" t="str">
            <v>BRASILUX</v>
          </cell>
          <cell r="E2388">
            <v>30001</v>
          </cell>
          <cell r="F2388" t="str">
            <v>TINTA PAREDE</v>
          </cell>
          <cell r="G2388" t="str">
            <v>IMOBILIÁRIO</v>
          </cell>
        </row>
        <row r="2389">
          <cell r="A2389">
            <v>84270</v>
          </cell>
          <cell r="B2389" t="str">
            <v>BRASILAR-VERDE LIMAO FOSCO 18L BALDE BRASILUX</v>
          </cell>
          <cell r="C2389" t="str">
            <v>FO 422245757</v>
          </cell>
          <cell r="D2389" t="str">
            <v>BRASILUX</v>
          </cell>
          <cell r="E2389">
            <v>30001</v>
          </cell>
          <cell r="F2389" t="str">
            <v>TINTA PAREDE</v>
          </cell>
          <cell r="G2389" t="str">
            <v>IMOBILIÁRIO</v>
          </cell>
        </row>
        <row r="2390">
          <cell r="A2390">
            <v>84885</v>
          </cell>
          <cell r="B2390" t="str">
            <v>BRASILAR-VERMELHO FOSCO 18L BRASILUX</v>
          </cell>
          <cell r="C2390" t="str">
            <v>FO 422300157</v>
          </cell>
          <cell r="D2390" t="str">
            <v>BRASILUX</v>
          </cell>
          <cell r="E2390">
            <v>30001</v>
          </cell>
          <cell r="F2390" t="str">
            <v>TINTA PAREDE</v>
          </cell>
          <cell r="G2390" t="str">
            <v>IMOBILIÁRIO</v>
          </cell>
        </row>
        <row r="2391">
          <cell r="A2391">
            <v>85168</v>
          </cell>
          <cell r="B2391" t="str">
            <v>BRASIMAIS-BRANCO GELO 18L BALDE BRASILUX</v>
          </cell>
          <cell r="C2391" t="str">
            <v>FO 920501757</v>
          </cell>
          <cell r="D2391" t="str">
            <v>BRASILUX</v>
          </cell>
          <cell r="E2391">
            <v>30001</v>
          </cell>
          <cell r="F2391" t="str">
            <v>TINTA PAREDE</v>
          </cell>
          <cell r="G2391" t="str">
            <v>IMOBILIÁRIO</v>
          </cell>
        </row>
        <row r="2392">
          <cell r="A2392">
            <v>85167</v>
          </cell>
          <cell r="B2392" t="str">
            <v>BRASIMAIS-BRANCO GELO 3,6L BRASILUX</v>
          </cell>
          <cell r="C2392" t="str">
            <v>FO 920501702</v>
          </cell>
          <cell r="D2392" t="str">
            <v>BRASILUX</v>
          </cell>
          <cell r="E2392">
            <v>30001</v>
          </cell>
          <cell r="F2392" t="str">
            <v>TINTA PAREDE</v>
          </cell>
          <cell r="G2392" t="str">
            <v>IMOBILIÁRIO</v>
          </cell>
        </row>
        <row r="2393">
          <cell r="A2393">
            <v>84536</v>
          </cell>
          <cell r="B2393" t="str">
            <v>BRASIMAIS-BRANCO NEVE 18L BRASILUX</v>
          </cell>
          <cell r="C2393" t="str">
            <v>FO 920503057</v>
          </cell>
          <cell r="D2393" t="str">
            <v>BRASILUX</v>
          </cell>
          <cell r="E2393">
            <v>30001</v>
          </cell>
          <cell r="F2393" t="str">
            <v>TINTA PAREDE</v>
          </cell>
          <cell r="G2393" t="str">
            <v>IMOBILIÁRIO</v>
          </cell>
        </row>
        <row r="2394">
          <cell r="A2394">
            <v>84537</v>
          </cell>
          <cell r="B2394" t="str">
            <v>BRASIMAIS-BRANCO NEVE 3,6L BRASILUX</v>
          </cell>
          <cell r="C2394" t="str">
            <v>FO 920503002</v>
          </cell>
          <cell r="D2394" t="str">
            <v>BRASILUX</v>
          </cell>
          <cell r="E2394">
            <v>30001</v>
          </cell>
          <cell r="F2394" t="str">
            <v>TINTA PAREDE</v>
          </cell>
          <cell r="G2394" t="str">
            <v>IMOBILIÁRIO</v>
          </cell>
        </row>
        <row r="2395">
          <cell r="A2395">
            <v>84538</v>
          </cell>
          <cell r="B2395" t="str">
            <v>BRASIMAIS-BRANCO NEVE 900ML BRASILUX</v>
          </cell>
          <cell r="C2395" t="str">
            <v>FO 920503001</v>
          </cell>
          <cell r="D2395" t="str">
            <v>BRASILUX</v>
          </cell>
          <cell r="E2395">
            <v>30001</v>
          </cell>
          <cell r="F2395" t="str">
            <v>TINTA PAREDE</v>
          </cell>
          <cell r="G2395" t="str">
            <v>IMOBILIÁRIO</v>
          </cell>
        </row>
        <row r="2396">
          <cell r="A2396">
            <v>85170</v>
          </cell>
          <cell r="B2396" t="str">
            <v>BRASIMUITO-BRANCO NEVE FOSCO 18L LATA BRASILUX</v>
          </cell>
          <cell r="C2396" t="str">
            <v>FO 930503003</v>
          </cell>
          <cell r="D2396" t="str">
            <v>BRASILUX</v>
          </cell>
          <cell r="E2396">
            <v>30001</v>
          </cell>
          <cell r="F2396" t="str">
            <v>TINTA PAREDE</v>
          </cell>
          <cell r="G2396" t="str">
            <v>IMOBILIÁRIO</v>
          </cell>
        </row>
        <row r="2397">
          <cell r="A2397">
            <v>85169</v>
          </cell>
          <cell r="B2397" t="str">
            <v>BRASIMUITO-BRANCO NEVE FOSCO 3,6L BRASILUX</v>
          </cell>
          <cell r="C2397" t="str">
            <v>FO 930503002</v>
          </cell>
          <cell r="D2397" t="str">
            <v>BRASILUX</v>
          </cell>
          <cell r="E2397">
            <v>30001</v>
          </cell>
          <cell r="F2397" t="str">
            <v>TINTA PAREDE</v>
          </cell>
          <cell r="G2397" t="str">
            <v>IMOBILIÁRIO</v>
          </cell>
        </row>
        <row r="2398">
          <cell r="A2398">
            <v>84248</v>
          </cell>
          <cell r="B2398" t="str">
            <v>BRASINIL-AREIA 18L BALDE BRASILUX</v>
          </cell>
          <cell r="C2398" t="str">
            <v>FO 430700157</v>
          </cell>
          <cell r="D2398" t="str">
            <v>BRASILUX</v>
          </cell>
          <cell r="E2398">
            <v>30001</v>
          </cell>
          <cell r="F2398" t="str">
            <v>TINTA PAREDE</v>
          </cell>
          <cell r="G2398" t="str">
            <v>IMOBILIÁRIO</v>
          </cell>
        </row>
        <row r="2399">
          <cell r="A2399">
            <v>84257</v>
          </cell>
          <cell r="B2399" t="str">
            <v>BRASINIL-AREIA 3,6L BRASILUX</v>
          </cell>
          <cell r="C2399" t="str">
            <v>FO 430700102</v>
          </cell>
          <cell r="D2399" t="str">
            <v>BRASILUX</v>
          </cell>
          <cell r="E2399">
            <v>30001</v>
          </cell>
          <cell r="F2399" t="str">
            <v>TINTA PAREDE</v>
          </cell>
          <cell r="G2399" t="str">
            <v>IMOBILIÁRIO</v>
          </cell>
        </row>
        <row r="2400">
          <cell r="A2400">
            <v>84249</v>
          </cell>
          <cell r="B2400" t="str">
            <v>BRASINIL-BRANCO GELO 18L BRASILUX</v>
          </cell>
          <cell r="C2400" t="str">
            <v>FO 430501757</v>
          </cell>
          <cell r="D2400" t="str">
            <v>BRASILUX</v>
          </cell>
          <cell r="E2400">
            <v>30001</v>
          </cell>
          <cell r="F2400" t="str">
            <v>TINTA PAREDE</v>
          </cell>
          <cell r="G2400" t="str">
            <v>IMOBILIÁRIO</v>
          </cell>
        </row>
        <row r="2401">
          <cell r="A2401">
            <v>84258</v>
          </cell>
          <cell r="B2401" t="str">
            <v>BRASINIL-BRANCO GELO 3,6L BRASILUX</v>
          </cell>
          <cell r="C2401" t="str">
            <v>FO 430501702</v>
          </cell>
          <cell r="D2401" t="str">
            <v>BRASILUX</v>
          </cell>
          <cell r="E2401">
            <v>30001</v>
          </cell>
          <cell r="F2401" t="str">
            <v>TINTA PAREDE</v>
          </cell>
          <cell r="G2401" t="str">
            <v>IMOBILIÁRIO</v>
          </cell>
        </row>
        <row r="2402">
          <cell r="A2402">
            <v>84250</v>
          </cell>
          <cell r="B2402" t="str">
            <v>BRASINIL-BRANCO NEVE 18L BRASILUX</v>
          </cell>
          <cell r="C2402" t="str">
            <v>FO 430503057</v>
          </cell>
          <cell r="D2402" t="str">
            <v>BRASILUX</v>
          </cell>
          <cell r="E2402">
            <v>30001</v>
          </cell>
          <cell r="F2402" t="str">
            <v>TINTA PAREDE</v>
          </cell>
          <cell r="G2402" t="str">
            <v>IMOBILIÁRIO</v>
          </cell>
        </row>
        <row r="2403">
          <cell r="A2403">
            <v>84259</v>
          </cell>
          <cell r="B2403" t="str">
            <v>BRASINIL-BRANCO NEVE 3,6L BRASILUX</v>
          </cell>
          <cell r="C2403" t="str">
            <v>FO 430503002</v>
          </cell>
          <cell r="D2403" t="str">
            <v>BRASILUX</v>
          </cell>
          <cell r="E2403">
            <v>30001</v>
          </cell>
          <cell r="F2403" t="str">
            <v>TINTA PAREDE</v>
          </cell>
          <cell r="G2403" t="str">
            <v>IMOBILIÁRIO</v>
          </cell>
        </row>
        <row r="2404">
          <cell r="A2404">
            <v>84256</v>
          </cell>
          <cell r="B2404" t="str">
            <v>BRASINIL-CAMURCA 18L BRASILUX</v>
          </cell>
          <cell r="C2404" t="str">
            <v>FO 432400157</v>
          </cell>
          <cell r="D2404" t="str">
            <v>BRASILUX</v>
          </cell>
          <cell r="E2404">
            <v>30001</v>
          </cell>
          <cell r="F2404" t="str">
            <v>TINTA PAREDE</v>
          </cell>
          <cell r="G2404" t="str">
            <v>IMOBILIÁRIO</v>
          </cell>
        </row>
        <row r="2405">
          <cell r="A2405">
            <v>84264</v>
          </cell>
          <cell r="B2405" t="str">
            <v>BRASINIL-CAMURCA 3,6L BRASILUX</v>
          </cell>
          <cell r="C2405" t="str">
            <v>FO 432400102</v>
          </cell>
          <cell r="D2405" t="str">
            <v>BRASILUX</v>
          </cell>
          <cell r="E2405">
            <v>30001</v>
          </cell>
          <cell r="F2405" t="str">
            <v>TINTA PAREDE</v>
          </cell>
          <cell r="G2405" t="str">
            <v>IMOBILIÁRIO</v>
          </cell>
        </row>
        <row r="2406">
          <cell r="A2406">
            <v>84251</v>
          </cell>
          <cell r="B2406" t="str">
            <v>BRASINIL-CONTO DE FADAS 18L BRASILUX</v>
          </cell>
          <cell r="C2406" t="str">
            <v>FO 430655357</v>
          </cell>
          <cell r="D2406" t="str">
            <v>BRASILUX</v>
          </cell>
          <cell r="E2406">
            <v>30001</v>
          </cell>
          <cell r="F2406" t="str">
            <v>TINTA PAREDE</v>
          </cell>
          <cell r="G2406" t="str">
            <v>IMOBILIÁRIO</v>
          </cell>
        </row>
        <row r="2407">
          <cell r="A2407">
            <v>84260</v>
          </cell>
          <cell r="B2407" t="str">
            <v>BRASINIL-CONTO DE FADAS 3,6L BRASILUX</v>
          </cell>
          <cell r="C2407" t="str">
            <v>FO 430655302</v>
          </cell>
          <cell r="D2407" t="str">
            <v>BRASILUX</v>
          </cell>
          <cell r="E2407">
            <v>30001</v>
          </cell>
          <cell r="F2407" t="str">
            <v>TINTA PAREDE</v>
          </cell>
          <cell r="G2407" t="str">
            <v>IMOBILIÁRIO</v>
          </cell>
        </row>
        <row r="2408">
          <cell r="A2408">
            <v>84252</v>
          </cell>
          <cell r="B2408" t="str">
            <v>BRASINIL-ERVA-DOCE 18L BRASILUX</v>
          </cell>
          <cell r="C2408" t="str">
            <v>FO 432245657</v>
          </cell>
          <cell r="D2408" t="str">
            <v>BRASILUX</v>
          </cell>
          <cell r="E2408">
            <v>30001</v>
          </cell>
          <cell r="F2408" t="str">
            <v>TINTA PAREDE</v>
          </cell>
          <cell r="G2408" t="str">
            <v>IMOBILIÁRIO</v>
          </cell>
        </row>
        <row r="2409">
          <cell r="A2409">
            <v>84253</v>
          </cell>
          <cell r="B2409" t="str">
            <v>BRASINIL-MARFIM 18L BALDE BRASILUX</v>
          </cell>
          <cell r="C2409" t="str">
            <v>FO 430800157</v>
          </cell>
          <cell r="D2409" t="str">
            <v>BRASILUX</v>
          </cell>
          <cell r="E2409">
            <v>30001</v>
          </cell>
          <cell r="F2409" t="str">
            <v>TINTA PAREDE</v>
          </cell>
          <cell r="G2409" t="str">
            <v>IMOBILIÁRIO</v>
          </cell>
        </row>
        <row r="2410">
          <cell r="A2410">
            <v>84261</v>
          </cell>
          <cell r="B2410" t="str">
            <v>BRASINIL-MARFIM 3,6L BRASILUX</v>
          </cell>
          <cell r="C2410" t="str">
            <v>FO 430800102</v>
          </cell>
          <cell r="D2410" t="str">
            <v>BRASILUX</v>
          </cell>
          <cell r="E2410">
            <v>30001</v>
          </cell>
          <cell r="F2410" t="str">
            <v>TINTA PAREDE</v>
          </cell>
          <cell r="G2410" t="str">
            <v>IMOBILIÁRIO</v>
          </cell>
        </row>
        <row r="2411">
          <cell r="A2411">
            <v>84254</v>
          </cell>
          <cell r="B2411" t="str">
            <v>BRASINIL-PALHA 18L BRASILUX</v>
          </cell>
          <cell r="C2411" t="str">
            <v>FO 431200157</v>
          </cell>
          <cell r="D2411" t="str">
            <v>BRASILUX</v>
          </cell>
          <cell r="E2411">
            <v>30001</v>
          </cell>
          <cell r="F2411" t="str">
            <v>TINTA PAREDE</v>
          </cell>
          <cell r="G2411" t="str">
            <v>IMOBILIÁRIO</v>
          </cell>
        </row>
        <row r="2412">
          <cell r="A2412">
            <v>84262</v>
          </cell>
          <cell r="B2412" t="str">
            <v>BRASINIL-PALHA 3,6L BRASILUX</v>
          </cell>
          <cell r="C2412" t="str">
            <v>FO 431200102</v>
          </cell>
          <cell r="D2412" t="str">
            <v>BRASILUX</v>
          </cell>
          <cell r="E2412">
            <v>30001</v>
          </cell>
          <cell r="F2412" t="str">
            <v>TINTA PAREDE</v>
          </cell>
          <cell r="G2412" t="str">
            <v>IMOBILIÁRIO</v>
          </cell>
        </row>
        <row r="2413">
          <cell r="A2413">
            <v>84255</v>
          </cell>
          <cell r="B2413" t="str">
            <v>BRASINIL-PEROLA 18L BALDE BRASILUX</v>
          </cell>
          <cell r="C2413" t="str">
            <v>FO 431300157</v>
          </cell>
          <cell r="D2413" t="str">
            <v>BRASILUX</v>
          </cell>
          <cell r="E2413">
            <v>30001</v>
          </cell>
          <cell r="F2413" t="str">
            <v>TINTA PAREDE</v>
          </cell>
          <cell r="G2413" t="str">
            <v>IMOBILIÁRIO</v>
          </cell>
        </row>
        <row r="2414">
          <cell r="A2414">
            <v>84263</v>
          </cell>
          <cell r="B2414" t="str">
            <v>BRASINIL-PEROLA 3,6L BRASILUX</v>
          </cell>
          <cell r="C2414" t="str">
            <v>FO 431300102</v>
          </cell>
          <cell r="D2414" t="str">
            <v>BRASILUX</v>
          </cell>
          <cell r="E2414">
            <v>30001</v>
          </cell>
          <cell r="F2414" t="str">
            <v>TINTA PAREDE</v>
          </cell>
          <cell r="G2414" t="str">
            <v>IMOBILIÁRIO</v>
          </cell>
        </row>
        <row r="2415">
          <cell r="A2415">
            <v>85375</v>
          </cell>
          <cell r="B2415" t="str">
            <v>BRASIPLUS ACRIL FOSCA PREMIUM - BRANCO NEVE 18 LT</v>
          </cell>
          <cell r="C2415" t="str">
            <v>FO 410503003</v>
          </cell>
          <cell r="D2415" t="str">
            <v>BRASILUX</v>
          </cell>
          <cell r="E2415">
            <v>30001</v>
          </cell>
          <cell r="F2415" t="str">
            <v>TINTA PAREDE</v>
          </cell>
          <cell r="G2415" t="str">
            <v>IMOBILIÁRIO</v>
          </cell>
        </row>
        <row r="2416">
          <cell r="A2416">
            <v>84294</v>
          </cell>
          <cell r="B2416" t="str">
            <v>BRASIPLUS ACRIL SEMIBRILH NOBR - BRANCO GELO SEMIBRILHO (3,6 LITROS)</v>
          </cell>
          <cell r="C2416" t="str">
            <v>SB 440501702</v>
          </cell>
          <cell r="D2416" t="str">
            <v>BRASILUX</v>
          </cell>
          <cell r="E2416">
            <v>30001</v>
          </cell>
          <cell r="F2416" t="str">
            <v>TINTA PAREDE</v>
          </cell>
          <cell r="G2416" t="str">
            <v>IMOBILIÁRIO</v>
          </cell>
        </row>
        <row r="2417">
          <cell r="A2417">
            <v>84379</v>
          </cell>
          <cell r="B2417" t="str">
            <v>BRASIPLUS ACRIL SEMIBRILH NOBR - BRANCO GELO SEMIBRILHO (BALDE 18 LITR</v>
          </cell>
          <cell r="C2417" t="str">
            <v>SB 440501757</v>
          </cell>
          <cell r="D2417" t="str">
            <v>BRASILUX</v>
          </cell>
          <cell r="E2417">
            <v>30001</v>
          </cell>
          <cell r="F2417" t="str">
            <v>TINTA PAREDE</v>
          </cell>
          <cell r="G2417" t="str">
            <v>IMOBILIÁRIO</v>
          </cell>
        </row>
        <row r="2418">
          <cell r="A2418">
            <v>84380</v>
          </cell>
          <cell r="B2418" t="str">
            <v>BRASIPLUS ACRIL SEMIBRILH NOBR - BRANCO NEVE SEMIBRILHO (BALDE 18L)</v>
          </cell>
          <cell r="C2418" t="str">
            <v>SB 440503057</v>
          </cell>
          <cell r="D2418" t="str">
            <v>BRASILUX</v>
          </cell>
          <cell r="E2418">
            <v>30001</v>
          </cell>
          <cell r="F2418" t="str">
            <v>TINTA PAREDE</v>
          </cell>
          <cell r="G2418" t="str">
            <v>IMOBILIÁRIO</v>
          </cell>
        </row>
        <row r="2419">
          <cell r="A2419">
            <v>84758</v>
          </cell>
          <cell r="B2419" t="str">
            <v>BRASIPLUS ACRIL SEMIBRILH NOBR - BRANCO NEVE SEMIBRILHO (LATA 18L)</v>
          </cell>
          <cell r="C2419" t="str">
            <v>SB 440503003</v>
          </cell>
          <cell r="D2419" t="str">
            <v>BRASILUX</v>
          </cell>
          <cell r="E2419">
            <v>30001</v>
          </cell>
          <cell r="F2419" t="str">
            <v>TINTA PAREDE</v>
          </cell>
          <cell r="G2419" t="str">
            <v>IMOBILIÁRIO</v>
          </cell>
        </row>
        <row r="2420">
          <cell r="A2420">
            <v>85449</v>
          </cell>
          <cell r="B2420" t="str">
            <v>BRASIPLUS-BRANCO GELO FOSCO 18L BRASILUX</v>
          </cell>
          <cell r="C2420" t="str">
            <v>FO 410501703</v>
          </cell>
          <cell r="D2420" t="str">
            <v>BRASILUX</v>
          </cell>
          <cell r="E2420">
            <v>30001</v>
          </cell>
          <cell r="F2420" t="str">
            <v>TINTA PAREDE</v>
          </cell>
          <cell r="G2420" t="str">
            <v>IMOBILIÁRIO</v>
          </cell>
        </row>
        <row r="2421">
          <cell r="A2421">
            <v>84295</v>
          </cell>
          <cell r="B2421" t="str">
            <v>BRASIPLUS-BRANCO NEVE SEMIBRILHO 3,6L BRASILUX</v>
          </cell>
          <cell r="C2421" t="str">
            <v>SB 440503002</v>
          </cell>
          <cell r="D2421" t="str">
            <v>BRASILUX</v>
          </cell>
          <cell r="E2421">
            <v>30001</v>
          </cell>
          <cell r="F2421" t="str">
            <v>TINTA PAREDE</v>
          </cell>
          <cell r="G2421" t="str">
            <v>IMOBILIÁRIO</v>
          </cell>
        </row>
        <row r="2422">
          <cell r="A2422">
            <v>86600</v>
          </cell>
          <cell r="B2422" t="str">
            <v>CR BEM ESTAR PROT ANTIMOSQUITO 3,6L</v>
          </cell>
          <cell r="C2422">
            <v>5683984</v>
          </cell>
          <cell r="D2422" t="str">
            <v>CORAL</v>
          </cell>
          <cell r="E2422">
            <v>30001</v>
          </cell>
          <cell r="F2422" t="str">
            <v>TINTA PAREDE</v>
          </cell>
          <cell r="G2422" t="str">
            <v>IMOBILIÁRIO</v>
          </cell>
        </row>
        <row r="2423">
          <cell r="A2423">
            <v>86827</v>
          </cell>
          <cell r="B2423" t="str">
            <v>CR CORAL MASTER AREIA 18L</v>
          </cell>
          <cell r="C2423">
            <v>5902221</v>
          </cell>
          <cell r="D2423" t="str">
            <v>CORAL</v>
          </cell>
          <cell r="E2423">
            <v>30001</v>
          </cell>
          <cell r="F2423" t="str">
            <v>TINTA PAREDE</v>
          </cell>
          <cell r="G2423" t="str">
            <v>IMOBILIÁRIO</v>
          </cell>
        </row>
        <row r="2424">
          <cell r="A2424">
            <v>86828</v>
          </cell>
          <cell r="B2424" t="str">
            <v>CR CORAL MASTER AREIA 3,6L</v>
          </cell>
          <cell r="C2424">
            <v>5902222</v>
          </cell>
          <cell r="D2424" t="str">
            <v>CORAL</v>
          </cell>
          <cell r="E2424">
            <v>30001</v>
          </cell>
          <cell r="F2424" t="str">
            <v>TINTA PAREDE</v>
          </cell>
          <cell r="G2424" t="str">
            <v>IMOBILIÁRIO</v>
          </cell>
        </row>
        <row r="2425">
          <cell r="A2425">
            <v>86819</v>
          </cell>
          <cell r="B2425" t="str">
            <v>CR CORAL MASTER BRANCO 0,9L</v>
          </cell>
          <cell r="C2425">
            <v>5902212</v>
          </cell>
          <cell r="D2425" t="str">
            <v>CORAL</v>
          </cell>
          <cell r="E2425">
            <v>30001</v>
          </cell>
          <cell r="F2425" t="str">
            <v>TINTA PAREDE</v>
          </cell>
          <cell r="G2425" t="str">
            <v>IMOBILIÁRIO</v>
          </cell>
        </row>
        <row r="2426">
          <cell r="A2426">
            <v>86821</v>
          </cell>
          <cell r="B2426" t="str">
            <v>CR CORAL MASTER BRANCO 18L</v>
          </cell>
          <cell r="C2426">
            <v>5902214</v>
          </cell>
          <cell r="D2426" t="str">
            <v>CORAL</v>
          </cell>
          <cell r="E2426">
            <v>30001</v>
          </cell>
          <cell r="F2426" t="str">
            <v>TINTA PAREDE</v>
          </cell>
          <cell r="G2426" t="str">
            <v>IMOBILIÁRIO</v>
          </cell>
        </row>
        <row r="2427">
          <cell r="A2427">
            <v>86820</v>
          </cell>
          <cell r="B2427" t="str">
            <v>CR CORAL MASTER BRANCO 3,6L</v>
          </cell>
          <cell r="C2427">
            <v>5902213</v>
          </cell>
          <cell r="D2427" t="str">
            <v>CORAL</v>
          </cell>
          <cell r="E2427">
            <v>30001</v>
          </cell>
          <cell r="F2427" t="str">
            <v>TINTA PAREDE</v>
          </cell>
          <cell r="G2427" t="str">
            <v>IMOBILIÁRIO</v>
          </cell>
        </row>
        <row r="2428">
          <cell r="A2428">
            <v>86822</v>
          </cell>
          <cell r="B2428" t="str">
            <v>CR CORAL MASTER BRANCO BD 20L</v>
          </cell>
          <cell r="C2428">
            <v>5902215</v>
          </cell>
          <cell r="D2428" t="str">
            <v>CORAL</v>
          </cell>
          <cell r="E2428">
            <v>30001</v>
          </cell>
          <cell r="F2428" t="str">
            <v>TINTA PAREDE</v>
          </cell>
          <cell r="G2428" t="str">
            <v>IMOBILIÁRIO</v>
          </cell>
        </row>
        <row r="2429">
          <cell r="A2429">
            <v>86823</v>
          </cell>
          <cell r="B2429" t="str">
            <v>CR CORAL MASTER BRANCO GELO 18L</v>
          </cell>
          <cell r="C2429">
            <v>5902216</v>
          </cell>
          <cell r="D2429" t="str">
            <v>CORAL</v>
          </cell>
          <cell r="E2429">
            <v>30001</v>
          </cell>
          <cell r="F2429" t="str">
            <v>TINTA PAREDE</v>
          </cell>
          <cell r="G2429" t="str">
            <v>IMOBILIÁRIO</v>
          </cell>
        </row>
        <row r="2430">
          <cell r="A2430">
            <v>86826</v>
          </cell>
          <cell r="B2430" t="str">
            <v>CR CORAL MASTER BRANCO GELO 3,6L</v>
          </cell>
          <cell r="C2430">
            <v>5902220</v>
          </cell>
          <cell r="D2430" t="str">
            <v>CORAL</v>
          </cell>
          <cell r="E2430">
            <v>30001</v>
          </cell>
          <cell r="F2430" t="str">
            <v>TINTA PAREDE</v>
          </cell>
          <cell r="G2430" t="str">
            <v>IMOBILIÁRIO</v>
          </cell>
        </row>
        <row r="2431">
          <cell r="A2431">
            <v>86830</v>
          </cell>
          <cell r="B2431" t="str">
            <v>CR CORAL MASTER PALHA 18L</v>
          </cell>
          <cell r="C2431">
            <v>5902224</v>
          </cell>
          <cell r="D2431" t="str">
            <v>CORAL</v>
          </cell>
          <cell r="E2431">
            <v>30001</v>
          </cell>
          <cell r="F2431" t="str">
            <v>TINTA PAREDE</v>
          </cell>
          <cell r="G2431" t="str">
            <v>IMOBILIÁRIO</v>
          </cell>
        </row>
        <row r="2432">
          <cell r="A2432">
            <v>86829</v>
          </cell>
          <cell r="B2432" t="str">
            <v>CR CORAL MASTER PALHA 3,6L</v>
          </cell>
          <cell r="C2432">
            <v>5902223</v>
          </cell>
          <cell r="D2432" t="str">
            <v>CORAL</v>
          </cell>
          <cell r="E2432">
            <v>30001</v>
          </cell>
          <cell r="F2432" t="str">
            <v>TINTA PAREDE</v>
          </cell>
          <cell r="G2432" t="str">
            <v>IMOBILIÁRIO</v>
          </cell>
        </row>
        <row r="2433">
          <cell r="A2433">
            <v>86824</v>
          </cell>
          <cell r="B2433" t="str">
            <v>CR CORAL MASTER TUBARÃO BRANCO 18L</v>
          </cell>
          <cell r="C2433">
            <v>5902218</v>
          </cell>
          <cell r="D2433" t="str">
            <v>CORAL</v>
          </cell>
          <cell r="E2433">
            <v>30001</v>
          </cell>
          <cell r="F2433" t="str">
            <v>TINTA PAREDE</v>
          </cell>
          <cell r="G2433" t="str">
            <v>IMOBILIÁRIO</v>
          </cell>
        </row>
        <row r="2434">
          <cell r="A2434">
            <v>86825</v>
          </cell>
          <cell r="B2434" t="str">
            <v>CR CORAL MASTER TUBARÃO BRANCO 3,6L</v>
          </cell>
          <cell r="C2434">
            <v>5902219</v>
          </cell>
          <cell r="D2434" t="str">
            <v>CORAL</v>
          </cell>
          <cell r="E2434">
            <v>30001</v>
          </cell>
          <cell r="F2434" t="str">
            <v>TINTA PAREDE</v>
          </cell>
          <cell r="G2434" t="str">
            <v>IMOBILIÁRIO</v>
          </cell>
        </row>
        <row r="2435">
          <cell r="A2435">
            <v>85797</v>
          </cell>
          <cell r="B2435" t="str">
            <v>CR CORALAR ACR CROMO SUAVE 3.6L</v>
          </cell>
          <cell r="C2435">
            <v>5202306</v>
          </cell>
          <cell r="D2435" t="str">
            <v>CORAL</v>
          </cell>
          <cell r="E2435">
            <v>30001</v>
          </cell>
          <cell r="F2435" t="str">
            <v>TINTA PAREDE</v>
          </cell>
          <cell r="G2435" t="str">
            <v>IMOBILIÁRIO</v>
          </cell>
        </row>
        <row r="2436">
          <cell r="A2436">
            <v>85769</v>
          </cell>
          <cell r="B2436" t="str">
            <v>CR CORALAR ACR MAIS B&amp;P BCO 18L</v>
          </cell>
          <cell r="C2436">
            <v>5202139</v>
          </cell>
          <cell r="D2436" t="str">
            <v>CORAL</v>
          </cell>
          <cell r="E2436">
            <v>30001</v>
          </cell>
          <cell r="F2436" t="str">
            <v>TINTA PAREDE</v>
          </cell>
          <cell r="G2436" t="str">
            <v>IMOBILIÁRIO</v>
          </cell>
        </row>
        <row r="2437">
          <cell r="A2437">
            <v>85768</v>
          </cell>
          <cell r="B2437" t="str">
            <v>CR CORALAR ACR MAIS B&amp;P BCO 3,6L</v>
          </cell>
          <cell r="C2437">
            <v>5202138</v>
          </cell>
          <cell r="D2437" t="str">
            <v>CORAL</v>
          </cell>
          <cell r="E2437">
            <v>30001</v>
          </cell>
          <cell r="F2437" t="str">
            <v>TINTA PAREDE</v>
          </cell>
          <cell r="G2437" t="str">
            <v>IMOBILIÁRIO</v>
          </cell>
        </row>
        <row r="2438">
          <cell r="A2438">
            <v>85801</v>
          </cell>
          <cell r="B2438" t="str">
            <v>CR CORALAR ACR MAIS DES AM CANARIO 18L</v>
          </cell>
          <cell r="C2438">
            <v>5202313</v>
          </cell>
          <cell r="D2438" t="str">
            <v>CORAL</v>
          </cell>
          <cell r="E2438">
            <v>30001</v>
          </cell>
          <cell r="F2438" t="str">
            <v>TINTA PAREDE</v>
          </cell>
          <cell r="G2438" t="str">
            <v>IMOBILIÁRIO</v>
          </cell>
        </row>
        <row r="2439">
          <cell r="A2439">
            <v>85800</v>
          </cell>
          <cell r="B2439" t="str">
            <v>CR CORALAR ACR MAIS DES AM CANARIO 3,6L</v>
          </cell>
          <cell r="C2439">
            <v>5202312</v>
          </cell>
          <cell r="D2439" t="str">
            <v>CORAL</v>
          </cell>
          <cell r="E2439">
            <v>30001</v>
          </cell>
          <cell r="F2439" t="str">
            <v>TINTA PAREDE</v>
          </cell>
          <cell r="G2439" t="str">
            <v>IMOBILIÁRIO</v>
          </cell>
        </row>
        <row r="2440">
          <cell r="A2440">
            <v>85799</v>
          </cell>
          <cell r="B2440" t="str">
            <v>CR CORALAR ACR MAIS DES AM FREVO 18L</v>
          </cell>
          <cell r="C2440">
            <v>5202311</v>
          </cell>
          <cell r="D2440" t="str">
            <v>CORAL</v>
          </cell>
          <cell r="E2440">
            <v>30001</v>
          </cell>
          <cell r="F2440" t="str">
            <v>TINTA PAREDE</v>
          </cell>
          <cell r="G2440" t="str">
            <v>IMOBILIÁRIO</v>
          </cell>
        </row>
        <row r="2441">
          <cell r="A2441">
            <v>85798</v>
          </cell>
          <cell r="B2441" t="str">
            <v>CR CORALAR ACR MAIS DES AM FREVO 3,6L</v>
          </cell>
          <cell r="C2441">
            <v>5202310</v>
          </cell>
          <cell r="D2441" t="str">
            <v>CORAL</v>
          </cell>
          <cell r="E2441">
            <v>30001</v>
          </cell>
          <cell r="F2441" t="str">
            <v>TINTA PAREDE</v>
          </cell>
          <cell r="G2441" t="str">
            <v>IMOBILIÁRIO</v>
          </cell>
        </row>
        <row r="2442">
          <cell r="A2442">
            <v>85822</v>
          </cell>
          <cell r="B2442" t="str">
            <v>CR CORALAR ACR MAIS DES AREIA 18L</v>
          </cell>
          <cell r="C2442">
            <v>5202335</v>
          </cell>
          <cell r="D2442" t="str">
            <v>CORAL</v>
          </cell>
          <cell r="E2442">
            <v>30001</v>
          </cell>
          <cell r="F2442" t="str">
            <v>TINTA PAREDE</v>
          </cell>
          <cell r="G2442" t="str">
            <v>IMOBILIÁRIO</v>
          </cell>
        </row>
        <row r="2443">
          <cell r="A2443">
            <v>85821</v>
          </cell>
          <cell r="B2443" t="str">
            <v>CR CORALAR ACR MAIS DES AREIA 3,6L</v>
          </cell>
          <cell r="C2443">
            <v>5202334</v>
          </cell>
          <cell r="D2443" t="str">
            <v>CORAL</v>
          </cell>
          <cell r="E2443">
            <v>30001</v>
          </cell>
          <cell r="F2443" t="str">
            <v>TINTA PAREDE</v>
          </cell>
          <cell r="G2443" t="str">
            <v>IMOBILIÁRIO</v>
          </cell>
        </row>
        <row r="2444">
          <cell r="A2444">
            <v>85788</v>
          </cell>
          <cell r="B2444" t="str">
            <v>CR CORALAR ACR MAIS DES AZ ARPOADOR 18L</v>
          </cell>
          <cell r="C2444">
            <v>5202289</v>
          </cell>
          <cell r="D2444" t="str">
            <v>CORAL</v>
          </cell>
          <cell r="E2444">
            <v>30001</v>
          </cell>
          <cell r="F2444" t="str">
            <v>TINTA PAREDE</v>
          </cell>
          <cell r="G2444" t="str">
            <v>IMOBILIÁRIO</v>
          </cell>
        </row>
        <row r="2445">
          <cell r="A2445">
            <v>85787</v>
          </cell>
          <cell r="B2445" t="str">
            <v>CR CORALAR ACR MAIS DES AZ ARPOADOR 3,6L</v>
          </cell>
          <cell r="C2445">
            <v>5202288</v>
          </cell>
          <cell r="D2445" t="str">
            <v>CORAL</v>
          </cell>
          <cell r="E2445">
            <v>30001</v>
          </cell>
          <cell r="F2445" t="str">
            <v>TINTA PAREDE</v>
          </cell>
          <cell r="G2445" t="str">
            <v>IMOBILIÁRIO</v>
          </cell>
        </row>
        <row r="2446">
          <cell r="A2446">
            <v>85780</v>
          </cell>
          <cell r="B2446" t="str">
            <v>CR CORALAR ACR MAIS DES BCO 18L</v>
          </cell>
          <cell r="C2446">
            <v>5202278</v>
          </cell>
          <cell r="D2446" t="str">
            <v>CORAL</v>
          </cell>
          <cell r="E2446">
            <v>30001</v>
          </cell>
          <cell r="F2446" t="str">
            <v>TINTA PAREDE</v>
          </cell>
          <cell r="G2446" t="str">
            <v>IMOBILIÁRIO</v>
          </cell>
        </row>
        <row r="2447">
          <cell r="A2447">
            <v>85779</v>
          </cell>
          <cell r="B2447" t="str">
            <v>CR CORALAR ACR MAIS DES BCO 3,6L</v>
          </cell>
          <cell r="C2447">
            <v>5202277</v>
          </cell>
          <cell r="D2447" t="str">
            <v>CORAL</v>
          </cell>
          <cell r="E2447">
            <v>30001</v>
          </cell>
          <cell r="F2447" t="str">
            <v>TINTA PAREDE</v>
          </cell>
          <cell r="G2447" t="str">
            <v>IMOBILIÁRIO</v>
          </cell>
        </row>
        <row r="2448">
          <cell r="A2448">
            <v>86740</v>
          </cell>
          <cell r="B2448" t="str">
            <v>CR CORALAR ACR MAIS DES BCO BD PLAST 15L</v>
          </cell>
          <cell r="C2448">
            <v>5849012</v>
          </cell>
          <cell r="D2448" t="str">
            <v>CORAL</v>
          </cell>
          <cell r="E2448">
            <v>30001</v>
          </cell>
          <cell r="F2448" t="str">
            <v>TINTA PAREDE</v>
          </cell>
          <cell r="G2448" t="str">
            <v>IMOBILIÁRIO</v>
          </cell>
        </row>
        <row r="2449">
          <cell r="A2449">
            <v>86817</v>
          </cell>
          <cell r="B2449" t="str">
            <v>CR CORALAR ACR MAIS DES BCO BD PLS 20L</v>
          </cell>
          <cell r="C2449">
            <v>5885755</v>
          </cell>
          <cell r="D2449" t="str">
            <v>CORAL</v>
          </cell>
          <cell r="E2449">
            <v>30001</v>
          </cell>
          <cell r="F2449" t="str">
            <v>TINTA PAREDE</v>
          </cell>
          <cell r="G2449" t="str">
            <v>IMOBILIÁRIO</v>
          </cell>
        </row>
        <row r="2450">
          <cell r="A2450">
            <v>85782</v>
          </cell>
          <cell r="B2450" t="str">
            <v>CR CORALAR ACR MAIS DES BCO GELO 18L</v>
          </cell>
          <cell r="C2450">
            <v>5202281</v>
          </cell>
          <cell r="D2450" t="str">
            <v>CORAL</v>
          </cell>
          <cell r="E2450">
            <v>30001</v>
          </cell>
          <cell r="F2450" t="str">
            <v>TINTA PAREDE</v>
          </cell>
          <cell r="G2450" t="str">
            <v>IMOBILIÁRIO</v>
          </cell>
        </row>
        <row r="2451">
          <cell r="A2451">
            <v>85781</v>
          </cell>
          <cell r="B2451" t="str">
            <v>CR CORALAR ACR MAIS DES BCO GELO 3,6L</v>
          </cell>
          <cell r="C2451">
            <v>5202280</v>
          </cell>
          <cell r="D2451" t="str">
            <v>CORAL</v>
          </cell>
          <cell r="E2451">
            <v>30001</v>
          </cell>
          <cell r="F2451" t="str">
            <v>TINTA PAREDE</v>
          </cell>
          <cell r="G2451" t="str">
            <v>IMOBILIÁRIO</v>
          </cell>
        </row>
        <row r="2452">
          <cell r="A2452">
            <v>86737</v>
          </cell>
          <cell r="B2452" t="str">
            <v>CR CORALAR ACR MAIS DES BCO GELO BD PLS 20L</v>
          </cell>
          <cell r="C2452">
            <v>5832512</v>
          </cell>
          <cell r="D2452" t="str">
            <v>CORAL</v>
          </cell>
          <cell r="E2452">
            <v>30001</v>
          </cell>
          <cell r="F2452" t="str">
            <v>TINTA PAREDE</v>
          </cell>
          <cell r="G2452" t="str">
            <v>IMOBILIÁRIO</v>
          </cell>
        </row>
        <row r="2453">
          <cell r="A2453">
            <v>85818</v>
          </cell>
          <cell r="B2453" t="str">
            <v>CR CORALAR ACR MAIS DES CAMURCA 18L</v>
          </cell>
          <cell r="C2453">
            <v>5202331</v>
          </cell>
          <cell r="D2453" t="str">
            <v>CORAL</v>
          </cell>
          <cell r="E2453">
            <v>30001</v>
          </cell>
          <cell r="F2453" t="str">
            <v>TINTA PAREDE</v>
          </cell>
          <cell r="G2453" t="str">
            <v>IMOBILIÁRIO</v>
          </cell>
        </row>
        <row r="2454">
          <cell r="A2454">
            <v>85817</v>
          </cell>
          <cell r="B2454" t="str">
            <v>CR CORALAR ACR MAIS DES CAMURCA 3,6L</v>
          </cell>
          <cell r="C2454">
            <v>5202330</v>
          </cell>
          <cell r="D2454" t="str">
            <v>CORAL</v>
          </cell>
          <cell r="E2454">
            <v>30001</v>
          </cell>
          <cell r="F2454" t="str">
            <v>TINTA PAREDE</v>
          </cell>
          <cell r="G2454" t="str">
            <v>IMOBILIÁRIO</v>
          </cell>
        </row>
        <row r="2455">
          <cell r="A2455">
            <v>85814</v>
          </cell>
          <cell r="B2455" t="str">
            <v>CR CORALAR ACR MAIS DES CONCRETO 18L</v>
          </cell>
          <cell r="C2455">
            <v>5202327</v>
          </cell>
          <cell r="D2455" t="str">
            <v>CORAL</v>
          </cell>
          <cell r="E2455">
            <v>30001</v>
          </cell>
          <cell r="F2455" t="str">
            <v>TINTA PAREDE</v>
          </cell>
          <cell r="G2455" t="str">
            <v>IMOBILIÁRIO</v>
          </cell>
        </row>
        <row r="2456">
          <cell r="A2456">
            <v>85813</v>
          </cell>
          <cell r="B2456" t="str">
            <v>CR CORALAR ACR MAIS DES CONCRETO 3,6L</v>
          </cell>
          <cell r="C2456">
            <v>5202326</v>
          </cell>
          <cell r="D2456" t="str">
            <v>CORAL</v>
          </cell>
          <cell r="E2456">
            <v>30001</v>
          </cell>
          <cell r="F2456" t="str">
            <v>TINTA PAREDE</v>
          </cell>
          <cell r="G2456" t="str">
            <v>IMOBILIÁRIO</v>
          </cell>
        </row>
        <row r="2457">
          <cell r="A2457">
            <v>86728</v>
          </cell>
          <cell r="B2457" t="str">
            <v>CR CORALAR ACR MAIS DES DIA NUBLADO 18L</v>
          </cell>
          <cell r="C2457">
            <v>5828229</v>
          </cell>
          <cell r="D2457" t="str">
            <v>CORAL</v>
          </cell>
          <cell r="E2457">
            <v>30001</v>
          </cell>
          <cell r="F2457" t="str">
            <v>TINTA PAREDE</v>
          </cell>
          <cell r="G2457" t="str">
            <v>IMOBILIÁRIO</v>
          </cell>
        </row>
        <row r="2458">
          <cell r="A2458">
            <v>86729</v>
          </cell>
          <cell r="B2458" t="str">
            <v>CR CORALAR ACR MAIS DES DIA NUBLADO 3.6L</v>
          </cell>
          <cell r="C2458">
            <v>5828230</v>
          </cell>
          <cell r="D2458" t="str">
            <v>CORAL</v>
          </cell>
          <cell r="E2458">
            <v>30001</v>
          </cell>
          <cell r="F2458" t="str">
            <v>TINTA PAREDE</v>
          </cell>
          <cell r="G2458" t="str">
            <v>IMOBILIÁRIO</v>
          </cell>
        </row>
        <row r="2459">
          <cell r="A2459">
            <v>85796</v>
          </cell>
          <cell r="B2459" t="str">
            <v>CR CORALAR ACR MAIS DES LA MARACATU 18L</v>
          </cell>
          <cell r="C2459">
            <v>5202297</v>
          </cell>
          <cell r="D2459" t="str">
            <v>CORAL</v>
          </cell>
          <cell r="E2459">
            <v>30001</v>
          </cell>
          <cell r="F2459" t="str">
            <v>TINTA PAREDE</v>
          </cell>
          <cell r="G2459" t="str">
            <v>IMOBILIÁRIO</v>
          </cell>
        </row>
        <row r="2460">
          <cell r="A2460">
            <v>85795</v>
          </cell>
          <cell r="B2460" t="str">
            <v>CR CORALAR ACR MAIS DES LA MARACATU 3,6L</v>
          </cell>
          <cell r="C2460">
            <v>5202296</v>
          </cell>
          <cell r="D2460" t="str">
            <v>CORAL</v>
          </cell>
          <cell r="E2460">
            <v>30001</v>
          </cell>
          <cell r="F2460" t="str">
            <v>TINTA PAREDE</v>
          </cell>
          <cell r="G2460" t="str">
            <v>IMOBILIÁRIO</v>
          </cell>
        </row>
        <row r="2461">
          <cell r="A2461">
            <v>85786</v>
          </cell>
          <cell r="B2461" t="str">
            <v>CR CORALAR ACR MAIS DES LUA SERTAO 18L</v>
          </cell>
          <cell r="C2461">
            <v>5202287</v>
          </cell>
          <cell r="D2461" t="str">
            <v>CORAL</v>
          </cell>
          <cell r="E2461">
            <v>30001</v>
          </cell>
          <cell r="F2461" t="str">
            <v>TINTA PAREDE</v>
          </cell>
          <cell r="G2461" t="str">
            <v>IMOBILIÁRIO</v>
          </cell>
        </row>
        <row r="2462">
          <cell r="A2462">
            <v>85785</v>
          </cell>
          <cell r="B2462" t="str">
            <v>CR CORALAR ACR MAIS DES LUA SERTAO 3,6L</v>
          </cell>
          <cell r="C2462">
            <v>5202286</v>
          </cell>
          <cell r="D2462" t="str">
            <v>CORAL</v>
          </cell>
          <cell r="E2462">
            <v>30001</v>
          </cell>
          <cell r="F2462" t="str">
            <v>TINTA PAREDE</v>
          </cell>
          <cell r="G2462" t="str">
            <v>IMOBILIÁRIO</v>
          </cell>
        </row>
        <row r="2463">
          <cell r="A2463">
            <v>85820</v>
          </cell>
          <cell r="B2463" t="str">
            <v>CR CORALAR ACR MAIS DES MARFIM 18L</v>
          </cell>
          <cell r="C2463">
            <v>5202333</v>
          </cell>
          <cell r="D2463" t="str">
            <v>CORAL</v>
          </cell>
          <cell r="E2463">
            <v>30001</v>
          </cell>
          <cell r="F2463" t="str">
            <v>TINTA PAREDE</v>
          </cell>
          <cell r="G2463" t="str">
            <v>IMOBILIÁRIO</v>
          </cell>
        </row>
        <row r="2464">
          <cell r="A2464">
            <v>85819</v>
          </cell>
          <cell r="B2464" t="str">
            <v>CR CORALAR ACR MAIS DES MARFIM 3,6L</v>
          </cell>
          <cell r="C2464">
            <v>5202332</v>
          </cell>
          <cell r="D2464" t="str">
            <v>CORAL</v>
          </cell>
          <cell r="E2464">
            <v>30001</v>
          </cell>
          <cell r="F2464" t="str">
            <v>TINTA PAREDE</v>
          </cell>
          <cell r="G2464" t="str">
            <v>IMOBILIÁRIO</v>
          </cell>
        </row>
        <row r="2465">
          <cell r="A2465">
            <v>86727</v>
          </cell>
          <cell r="B2465" t="str">
            <v>CR CORALAR ACR MAIS DES NE PAULISTA 18L</v>
          </cell>
          <cell r="C2465">
            <v>5828228</v>
          </cell>
          <cell r="D2465" t="str">
            <v>CORAL</v>
          </cell>
          <cell r="E2465">
            <v>30001</v>
          </cell>
          <cell r="F2465" t="str">
            <v>TINTA PAREDE</v>
          </cell>
          <cell r="G2465" t="str">
            <v>IMOBILIÁRIO</v>
          </cell>
        </row>
        <row r="2466">
          <cell r="A2466">
            <v>86726</v>
          </cell>
          <cell r="B2466" t="str">
            <v>CR CORALAR ACR MAIS DES NE PAULISTA 3.6L</v>
          </cell>
          <cell r="C2466">
            <v>5828217</v>
          </cell>
          <cell r="D2466" t="str">
            <v>CORAL</v>
          </cell>
          <cell r="E2466">
            <v>30001</v>
          </cell>
          <cell r="F2466" t="str">
            <v>TINTA PAREDE</v>
          </cell>
          <cell r="G2466" t="str">
            <v>IMOBILIÁRIO</v>
          </cell>
        </row>
        <row r="2467">
          <cell r="A2467">
            <v>85790</v>
          </cell>
          <cell r="B2467" t="str">
            <v>CR CORALAR ACR MAIS DES OCEANO 18L</v>
          </cell>
          <cell r="C2467">
            <v>5202291</v>
          </cell>
          <cell r="D2467" t="str">
            <v>CORAL</v>
          </cell>
          <cell r="E2467">
            <v>30001</v>
          </cell>
          <cell r="F2467" t="str">
            <v>TINTA PAREDE</v>
          </cell>
          <cell r="G2467" t="str">
            <v>IMOBILIÁRIO</v>
          </cell>
        </row>
        <row r="2468">
          <cell r="A2468">
            <v>85789</v>
          </cell>
          <cell r="B2468" t="str">
            <v>CR CORALAR ACR MAIS DES OCEANO 3,6L</v>
          </cell>
          <cell r="C2468">
            <v>5202290</v>
          </cell>
          <cell r="D2468" t="str">
            <v>CORAL</v>
          </cell>
          <cell r="E2468">
            <v>30001</v>
          </cell>
          <cell r="F2468" t="str">
            <v>TINTA PAREDE</v>
          </cell>
          <cell r="G2468" t="str">
            <v>IMOBILIÁRIO</v>
          </cell>
        </row>
        <row r="2469">
          <cell r="A2469">
            <v>85825</v>
          </cell>
          <cell r="B2469" t="str">
            <v>CR CORALAR ACR MAIS DES PALHA 18L</v>
          </cell>
          <cell r="C2469">
            <v>5202339</v>
          </cell>
          <cell r="D2469" t="str">
            <v>CORAL</v>
          </cell>
          <cell r="E2469">
            <v>30001</v>
          </cell>
          <cell r="F2469" t="str">
            <v>TINTA PAREDE</v>
          </cell>
          <cell r="G2469" t="str">
            <v>IMOBILIÁRIO</v>
          </cell>
        </row>
        <row r="2470">
          <cell r="A2470">
            <v>85824</v>
          </cell>
          <cell r="B2470" t="str">
            <v>CR CORALAR ACR MAIS DES PALHA 3,6L</v>
          </cell>
          <cell r="C2470">
            <v>5202338</v>
          </cell>
          <cell r="D2470" t="str">
            <v>CORAL</v>
          </cell>
          <cell r="E2470">
            <v>30001</v>
          </cell>
          <cell r="F2470" t="str">
            <v>TINTA PAREDE</v>
          </cell>
          <cell r="G2470" t="str">
            <v>IMOBILIÁRIO</v>
          </cell>
        </row>
        <row r="2471">
          <cell r="A2471">
            <v>85792</v>
          </cell>
          <cell r="B2471" t="str">
            <v>CR CORALAR ACR MAIS DES PAVAO 18L</v>
          </cell>
          <cell r="C2471">
            <v>5202293</v>
          </cell>
          <cell r="D2471" t="str">
            <v>CORAL</v>
          </cell>
          <cell r="E2471">
            <v>30001</v>
          </cell>
          <cell r="F2471" t="str">
            <v>TINTA PAREDE</v>
          </cell>
          <cell r="G2471" t="str">
            <v>IMOBILIÁRIO</v>
          </cell>
        </row>
        <row r="2472">
          <cell r="A2472">
            <v>85791</v>
          </cell>
          <cell r="B2472" t="str">
            <v>CR CORALAR ACR MAIS DES PAVAO 3,6L</v>
          </cell>
          <cell r="C2472">
            <v>5202292</v>
          </cell>
          <cell r="D2472" t="str">
            <v>CORAL</v>
          </cell>
          <cell r="E2472">
            <v>30001</v>
          </cell>
          <cell r="F2472" t="str">
            <v>TINTA PAREDE</v>
          </cell>
          <cell r="G2472" t="str">
            <v>IMOBILIÁRIO</v>
          </cell>
        </row>
        <row r="2473">
          <cell r="A2473">
            <v>86730</v>
          </cell>
          <cell r="B2473" t="str">
            <v>CR CORALAR ACR MAIS DES PEDRA PREC 18L</v>
          </cell>
          <cell r="C2473">
            <v>5828231</v>
          </cell>
          <cell r="D2473" t="str">
            <v>CORAL</v>
          </cell>
          <cell r="E2473">
            <v>30001</v>
          </cell>
          <cell r="F2473" t="str">
            <v>TINTA PAREDE</v>
          </cell>
          <cell r="G2473" t="str">
            <v>IMOBILIÁRIO</v>
          </cell>
        </row>
        <row r="2474">
          <cell r="A2474">
            <v>86731</v>
          </cell>
          <cell r="B2474" t="str">
            <v>CR CORALAR ACR MAIS DES PEDRA PREC 3.6L</v>
          </cell>
          <cell r="C2474">
            <v>5828232</v>
          </cell>
          <cell r="D2474" t="str">
            <v>CORAL</v>
          </cell>
          <cell r="E2474">
            <v>30001</v>
          </cell>
          <cell r="F2474" t="str">
            <v>TINTA PAREDE</v>
          </cell>
          <cell r="G2474" t="str">
            <v>IMOBILIÁRIO</v>
          </cell>
        </row>
        <row r="2475">
          <cell r="A2475">
            <v>85784</v>
          </cell>
          <cell r="B2475" t="str">
            <v>CR CORALAR ACR MAIS DES PEROLA 18L</v>
          </cell>
          <cell r="C2475">
            <v>5202283</v>
          </cell>
          <cell r="D2475" t="str">
            <v>CORAL</v>
          </cell>
          <cell r="E2475">
            <v>30001</v>
          </cell>
          <cell r="F2475" t="str">
            <v>TINTA PAREDE</v>
          </cell>
          <cell r="G2475" t="str">
            <v>IMOBILIÁRIO</v>
          </cell>
        </row>
        <row r="2476">
          <cell r="A2476">
            <v>85783</v>
          </cell>
          <cell r="B2476" t="str">
            <v>CR CORALAR ACR MAIS DES PEROLA 3,6L</v>
          </cell>
          <cell r="C2476">
            <v>5202282</v>
          </cell>
          <cell r="D2476" t="str">
            <v>CORAL</v>
          </cell>
          <cell r="E2476">
            <v>30001</v>
          </cell>
          <cell r="F2476" t="str">
            <v>TINTA PAREDE</v>
          </cell>
          <cell r="G2476" t="str">
            <v>IMOBILIÁRIO</v>
          </cell>
        </row>
        <row r="2477">
          <cell r="A2477">
            <v>85816</v>
          </cell>
          <cell r="B2477" t="str">
            <v>CR CORALAR ACR MAIS DES PESSEGO 18L</v>
          </cell>
          <cell r="C2477">
            <v>5202329</v>
          </cell>
          <cell r="D2477" t="str">
            <v>CORAL</v>
          </cell>
          <cell r="E2477">
            <v>30001</v>
          </cell>
          <cell r="F2477" t="str">
            <v>TINTA PAREDE</v>
          </cell>
          <cell r="G2477" t="str">
            <v>IMOBILIÁRIO</v>
          </cell>
        </row>
        <row r="2478">
          <cell r="A2478">
            <v>85815</v>
          </cell>
          <cell r="B2478" t="str">
            <v>CR CORALAR ACR MAIS DES PESSEGO 3,6L</v>
          </cell>
          <cell r="C2478">
            <v>5202328</v>
          </cell>
          <cell r="D2478" t="str">
            <v>CORAL</v>
          </cell>
          <cell r="E2478">
            <v>30001</v>
          </cell>
          <cell r="F2478" t="str">
            <v>TINTA PAREDE</v>
          </cell>
          <cell r="G2478" t="str">
            <v>IMOBILIÁRIO</v>
          </cell>
        </row>
        <row r="2479">
          <cell r="A2479">
            <v>85794</v>
          </cell>
          <cell r="B2479" t="str">
            <v>CR CORALAR ACR MAIS DES RUBI 18L</v>
          </cell>
          <cell r="C2479">
            <v>5202295</v>
          </cell>
          <cell r="D2479" t="str">
            <v>CORAL</v>
          </cell>
          <cell r="E2479">
            <v>30001</v>
          </cell>
          <cell r="F2479" t="str">
            <v>TINTA PAREDE</v>
          </cell>
          <cell r="G2479" t="str">
            <v>IMOBILIÁRIO</v>
          </cell>
        </row>
        <row r="2480">
          <cell r="A2480">
            <v>85793</v>
          </cell>
          <cell r="B2480" t="str">
            <v>CR CORALAR ACR MAIS DES RUBI 3,6L</v>
          </cell>
          <cell r="C2480">
            <v>5202294</v>
          </cell>
          <cell r="D2480" t="str">
            <v>CORAL</v>
          </cell>
          <cell r="E2480">
            <v>30001</v>
          </cell>
          <cell r="F2480" t="str">
            <v>TINTA PAREDE</v>
          </cell>
          <cell r="G2480" t="str">
            <v>IMOBILIÁRIO</v>
          </cell>
        </row>
        <row r="2481">
          <cell r="A2481">
            <v>85808</v>
          </cell>
          <cell r="B2481" t="str">
            <v>CR CORALAR ACR MAIS DES VD KIWI 18L</v>
          </cell>
          <cell r="C2481">
            <v>5202321</v>
          </cell>
          <cell r="D2481" t="str">
            <v>CORAL</v>
          </cell>
          <cell r="E2481">
            <v>30001</v>
          </cell>
          <cell r="F2481" t="str">
            <v>TINTA PAREDE</v>
          </cell>
          <cell r="G2481" t="str">
            <v>IMOBILIÁRIO</v>
          </cell>
        </row>
        <row r="2482">
          <cell r="A2482">
            <v>85807</v>
          </cell>
          <cell r="B2482" t="str">
            <v>CR CORALAR ACR MAIS DES VD KIWI 3,6L</v>
          </cell>
          <cell r="C2482">
            <v>5202320</v>
          </cell>
          <cell r="D2482" t="str">
            <v>CORAL</v>
          </cell>
          <cell r="E2482">
            <v>30001</v>
          </cell>
          <cell r="F2482" t="str">
            <v>TINTA PAREDE</v>
          </cell>
          <cell r="G2482" t="str">
            <v>IMOBILIÁRIO</v>
          </cell>
        </row>
        <row r="2483">
          <cell r="A2483">
            <v>85804</v>
          </cell>
          <cell r="B2483" t="str">
            <v>CR CORALAR ACR MAIS DES VD LIMAO 18L</v>
          </cell>
          <cell r="C2483">
            <v>5202317</v>
          </cell>
          <cell r="D2483" t="str">
            <v>CORAL</v>
          </cell>
          <cell r="E2483">
            <v>30001</v>
          </cell>
          <cell r="F2483" t="str">
            <v>TINTA PAREDE</v>
          </cell>
          <cell r="G2483" t="str">
            <v>IMOBILIÁRIO</v>
          </cell>
        </row>
        <row r="2484">
          <cell r="A2484">
            <v>85803</v>
          </cell>
          <cell r="B2484" t="str">
            <v>CR CORALAR ACR MAIS DES VD LIMAO 3,6L</v>
          </cell>
          <cell r="C2484">
            <v>5202316</v>
          </cell>
          <cell r="D2484" t="str">
            <v>CORAL</v>
          </cell>
          <cell r="E2484">
            <v>30001</v>
          </cell>
          <cell r="F2484" t="str">
            <v>TINTA PAREDE</v>
          </cell>
          <cell r="G2484" t="str">
            <v>IMOBILIÁRIO</v>
          </cell>
        </row>
        <row r="2485">
          <cell r="A2485">
            <v>85812</v>
          </cell>
          <cell r="B2485" t="str">
            <v>CR CORALAR ACR MAIS DES VD PISCINA 18L</v>
          </cell>
          <cell r="C2485">
            <v>5202325</v>
          </cell>
          <cell r="D2485" t="str">
            <v>CORAL</v>
          </cell>
          <cell r="E2485">
            <v>30001</v>
          </cell>
          <cell r="F2485" t="str">
            <v>TINTA PAREDE</v>
          </cell>
          <cell r="G2485" t="str">
            <v>IMOBILIÁRIO</v>
          </cell>
        </row>
        <row r="2486">
          <cell r="A2486">
            <v>85811</v>
          </cell>
          <cell r="B2486" t="str">
            <v>CR CORALAR ACR MAIS DES VD PISCINA 3,6L</v>
          </cell>
          <cell r="C2486">
            <v>5202324</v>
          </cell>
          <cell r="D2486" t="str">
            <v>CORAL</v>
          </cell>
          <cell r="E2486">
            <v>30001</v>
          </cell>
          <cell r="F2486" t="str">
            <v>TINTA PAREDE</v>
          </cell>
          <cell r="G2486" t="str">
            <v>IMOBILIÁRIO</v>
          </cell>
        </row>
        <row r="2487">
          <cell r="A2487">
            <v>85806</v>
          </cell>
          <cell r="B2487" t="str">
            <v>CR CORALAR ACR MAIS DES VD TIMB 18L</v>
          </cell>
          <cell r="C2487">
            <v>5202319</v>
          </cell>
          <cell r="D2487" t="str">
            <v>CORAL</v>
          </cell>
          <cell r="E2487">
            <v>30001</v>
          </cell>
          <cell r="F2487" t="str">
            <v>TINTA PAREDE</v>
          </cell>
          <cell r="G2487" t="str">
            <v>IMOBILIÁRIO</v>
          </cell>
        </row>
        <row r="2488">
          <cell r="A2488">
            <v>85805</v>
          </cell>
          <cell r="B2488" t="str">
            <v>CR CORALAR ACR MAIS DES VD TIMB 3,6L</v>
          </cell>
          <cell r="C2488">
            <v>5202318</v>
          </cell>
          <cell r="D2488" t="str">
            <v>CORAL</v>
          </cell>
          <cell r="E2488">
            <v>30001</v>
          </cell>
          <cell r="F2488" t="str">
            <v>TINTA PAREDE</v>
          </cell>
          <cell r="G2488" t="str">
            <v>IMOBILIÁRIO</v>
          </cell>
        </row>
        <row r="2489">
          <cell r="A2489">
            <v>85810</v>
          </cell>
          <cell r="B2489" t="str">
            <v>CR CORALAR ACR MAIS DES VD VALE 18L</v>
          </cell>
          <cell r="C2489">
            <v>5202323</v>
          </cell>
          <cell r="D2489" t="str">
            <v>CORAL</v>
          </cell>
          <cell r="E2489">
            <v>30001</v>
          </cell>
          <cell r="F2489" t="str">
            <v>TINTA PAREDE</v>
          </cell>
          <cell r="G2489" t="str">
            <v>IMOBILIÁRIO</v>
          </cell>
        </row>
        <row r="2490">
          <cell r="A2490">
            <v>85809</v>
          </cell>
          <cell r="B2490" t="str">
            <v>CR CORALAR ACR MAIS DES VD VALE 3,6L</v>
          </cell>
          <cell r="C2490">
            <v>5202322</v>
          </cell>
          <cell r="D2490" t="str">
            <v>CORAL</v>
          </cell>
          <cell r="E2490">
            <v>30001</v>
          </cell>
          <cell r="F2490" t="str">
            <v>TINTA PAREDE</v>
          </cell>
          <cell r="G2490" t="str">
            <v>IMOBILIÁRIO</v>
          </cell>
        </row>
        <row r="2491">
          <cell r="A2491">
            <v>86169</v>
          </cell>
          <cell r="B2491" t="str">
            <v>CR CORALAR ACR MAIS RES AM FREVO 18L</v>
          </cell>
          <cell r="C2491">
            <v>5207258</v>
          </cell>
          <cell r="D2491" t="str">
            <v>CORAL</v>
          </cell>
          <cell r="E2491">
            <v>30001</v>
          </cell>
          <cell r="F2491" t="str">
            <v>TINTA PAREDE</v>
          </cell>
          <cell r="G2491" t="str">
            <v>IMOBILIÁRIO</v>
          </cell>
        </row>
        <row r="2492">
          <cell r="A2492">
            <v>86171</v>
          </cell>
          <cell r="B2492" t="str">
            <v>CR CORALAR ACR MAIS RES AM FREVO 3,6L</v>
          </cell>
          <cell r="C2492">
            <v>5207301</v>
          </cell>
          <cell r="D2492" t="str">
            <v>CORAL</v>
          </cell>
          <cell r="E2492">
            <v>30001</v>
          </cell>
          <cell r="F2492" t="str">
            <v>TINTA PAREDE</v>
          </cell>
          <cell r="G2492" t="str">
            <v>IMOBILIÁRIO</v>
          </cell>
        </row>
        <row r="2493">
          <cell r="A2493">
            <v>86247</v>
          </cell>
          <cell r="B2493" t="str">
            <v>CR CORALAR ACR MAIS RES AREIA 18L</v>
          </cell>
          <cell r="C2493">
            <v>5271670</v>
          </cell>
          <cell r="D2493" t="str">
            <v>CORAL</v>
          </cell>
          <cell r="E2493">
            <v>30001</v>
          </cell>
          <cell r="F2493" t="str">
            <v>TINTA PAREDE</v>
          </cell>
          <cell r="G2493" t="str">
            <v>IMOBILIÁRIO</v>
          </cell>
        </row>
        <row r="2494">
          <cell r="A2494">
            <v>86248</v>
          </cell>
          <cell r="B2494" t="str">
            <v>CR CORALAR ACR MAIS RES AREIA 3,6L</v>
          </cell>
          <cell r="C2494">
            <v>5271672</v>
          </cell>
          <cell r="D2494" t="str">
            <v>CORAL</v>
          </cell>
          <cell r="E2494">
            <v>30001</v>
          </cell>
          <cell r="F2494" t="str">
            <v>TINTA PAREDE</v>
          </cell>
          <cell r="G2494" t="str">
            <v>IMOBILIÁRIO</v>
          </cell>
        </row>
        <row r="2495">
          <cell r="A2495">
            <v>86174</v>
          </cell>
          <cell r="B2495" t="str">
            <v>CR CORALAR ACR MAIS RES BCO 18L</v>
          </cell>
          <cell r="C2495">
            <v>5207321</v>
          </cell>
          <cell r="D2495" t="str">
            <v>CORAL</v>
          </cell>
          <cell r="E2495">
            <v>30001</v>
          </cell>
          <cell r="F2495" t="str">
            <v>TINTA PAREDE</v>
          </cell>
          <cell r="G2495" t="str">
            <v>IMOBILIÁRIO</v>
          </cell>
        </row>
        <row r="2496">
          <cell r="A2496">
            <v>86175</v>
          </cell>
          <cell r="B2496" t="str">
            <v>CR CORALAR ACR MAIS RES BCO 3,6L</v>
          </cell>
          <cell r="C2496">
            <v>5207322</v>
          </cell>
          <cell r="D2496" t="str">
            <v>CORAL</v>
          </cell>
          <cell r="E2496">
            <v>30001</v>
          </cell>
          <cell r="F2496" t="str">
            <v>TINTA PAREDE</v>
          </cell>
          <cell r="G2496" t="str">
            <v>IMOBILIÁRIO</v>
          </cell>
        </row>
        <row r="2497">
          <cell r="A2497">
            <v>86168</v>
          </cell>
          <cell r="B2497" t="str">
            <v>CR CORALAR ACR MAIS RES BCO GELO 18L</v>
          </cell>
          <cell r="C2497">
            <v>5207257</v>
          </cell>
          <cell r="D2497" t="str">
            <v>CORAL</v>
          </cell>
          <cell r="E2497">
            <v>30001</v>
          </cell>
          <cell r="F2497" t="str">
            <v>TINTA PAREDE</v>
          </cell>
          <cell r="G2497" t="str">
            <v>IMOBILIÁRIO</v>
          </cell>
        </row>
        <row r="2498">
          <cell r="A2498">
            <v>86170</v>
          </cell>
          <cell r="B2498" t="str">
            <v>CR CORALAR ACR MAIS RES BCO GELO 3,6L</v>
          </cell>
          <cell r="C2498">
            <v>5207259</v>
          </cell>
          <cell r="D2498" t="str">
            <v>CORAL</v>
          </cell>
          <cell r="E2498">
            <v>30001</v>
          </cell>
          <cell r="F2498" t="str">
            <v>TINTA PAREDE</v>
          </cell>
          <cell r="G2498" t="str">
            <v>IMOBILIÁRIO</v>
          </cell>
        </row>
        <row r="2499">
          <cell r="A2499">
            <v>86734</v>
          </cell>
          <cell r="B2499" t="str">
            <v>CR CORALAR ACR MAIS RES BRANCO 15L</v>
          </cell>
          <cell r="C2499">
            <v>5830546</v>
          </cell>
          <cell r="D2499" t="str">
            <v>CORAL</v>
          </cell>
          <cell r="E2499">
            <v>30001</v>
          </cell>
          <cell r="F2499" t="str">
            <v>TINTA PAREDE</v>
          </cell>
          <cell r="G2499" t="str">
            <v>IMOBILIÁRIO</v>
          </cell>
        </row>
        <row r="2500">
          <cell r="A2500">
            <v>86239</v>
          </cell>
          <cell r="B2500" t="str">
            <v>CR CORALAR ACR MAIS RES CAMURCA 18L</v>
          </cell>
          <cell r="C2500">
            <v>5271385</v>
          </cell>
          <cell r="D2500" t="str">
            <v>CORAL</v>
          </cell>
          <cell r="E2500">
            <v>30001</v>
          </cell>
          <cell r="F2500" t="str">
            <v>TINTA PAREDE</v>
          </cell>
          <cell r="G2500" t="str">
            <v>IMOBILIÁRIO</v>
          </cell>
        </row>
        <row r="2501">
          <cell r="A2501">
            <v>86249</v>
          </cell>
          <cell r="B2501" t="str">
            <v>CR CORALAR ACR MAIS RES CAMURCA 3,6L</v>
          </cell>
          <cell r="C2501">
            <v>5271686</v>
          </cell>
          <cell r="D2501" t="str">
            <v>CORAL</v>
          </cell>
          <cell r="E2501">
            <v>30001</v>
          </cell>
          <cell r="F2501" t="str">
            <v>TINTA PAREDE</v>
          </cell>
          <cell r="G2501" t="str">
            <v>IMOBILIÁRIO</v>
          </cell>
        </row>
        <row r="2502">
          <cell r="A2502">
            <v>86725</v>
          </cell>
          <cell r="B2502" t="str">
            <v>CR CORALAR ACR MAIS RES DIA NUBLADO 18L</v>
          </cell>
          <cell r="C2502">
            <v>5828145</v>
          </cell>
          <cell r="D2502" t="str">
            <v>CORAL</v>
          </cell>
          <cell r="E2502">
            <v>30001</v>
          </cell>
          <cell r="F2502" t="str">
            <v>TINTA PAREDE</v>
          </cell>
          <cell r="G2502" t="str">
            <v>IMOBILIÁRIO</v>
          </cell>
        </row>
        <row r="2503">
          <cell r="A2503">
            <v>86724</v>
          </cell>
          <cell r="B2503" t="str">
            <v>CR CORALAR ACR MAIS RES DIA NUBLADO 3.6L</v>
          </cell>
          <cell r="C2503">
            <v>5828144</v>
          </cell>
          <cell r="D2503" t="str">
            <v>CORAL</v>
          </cell>
          <cell r="E2503">
            <v>30001</v>
          </cell>
          <cell r="F2503" t="str">
            <v>TINTA PAREDE</v>
          </cell>
          <cell r="G2503" t="str">
            <v>IMOBILIÁRIO</v>
          </cell>
        </row>
        <row r="2504">
          <cell r="A2504">
            <v>86245</v>
          </cell>
          <cell r="B2504" t="str">
            <v>CR CORALAR ACR MAIS RES LA MARACATU 18L</v>
          </cell>
          <cell r="C2504">
            <v>5271666</v>
          </cell>
          <cell r="D2504" t="str">
            <v>CORAL</v>
          </cell>
          <cell r="E2504">
            <v>30001</v>
          </cell>
          <cell r="F2504" t="str">
            <v>TINTA PAREDE</v>
          </cell>
          <cell r="G2504" t="str">
            <v>IMOBILIÁRIO</v>
          </cell>
        </row>
        <row r="2505">
          <cell r="A2505">
            <v>86246</v>
          </cell>
          <cell r="B2505" t="str">
            <v>CR CORALAR ACR MAIS RES LA MARACATU 3,6L</v>
          </cell>
          <cell r="C2505">
            <v>5271668</v>
          </cell>
          <cell r="D2505" t="str">
            <v>CORAL</v>
          </cell>
          <cell r="E2505">
            <v>30001</v>
          </cell>
          <cell r="F2505" t="str">
            <v>TINTA PAREDE</v>
          </cell>
          <cell r="G2505" t="str">
            <v>IMOBILIÁRIO</v>
          </cell>
        </row>
        <row r="2506">
          <cell r="A2506">
            <v>86172</v>
          </cell>
          <cell r="B2506" t="str">
            <v>CR CORALAR ACR MAIS RES MARFIM 18L</v>
          </cell>
          <cell r="C2506">
            <v>5207305</v>
          </cell>
          <cell r="D2506" t="str">
            <v>CORAL</v>
          </cell>
          <cell r="E2506">
            <v>30001</v>
          </cell>
          <cell r="F2506" t="str">
            <v>TINTA PAREDE</v>
          </cell>
          <cell r="G2506" t="str">
            <v>IMOBILIÁRIO</v>
          </cell>
        </row>
        <row r="2507">
          <cell r="A2507">
            <v>86173</v>
          </cell>
          <cell r="B2507" t="str">
            <v>CR CORALAR ACR MAIS RES MARFIM 3,6L</v>
          </cell>
          <cell r="C2507">
            <v>5207306</v>
          </cell>
          <cell r="D2507" t="str">
            <v>CORAL</v>
          </cell>
          <cell r="E2507">
            <v>30001</v>
          </cell>
          <cell r="F2507" t="str">
            <v>TINTA PAREDE</v>
          </cell>
          <cell r="G2507" t="str">
            <v>IMOBILIÁRIO</v>
          </cell>
        </row>
        <row r="2508">
          <cell r="A2508">
            <v>86240</v>
          </cell>
          <cell r="B2508" t="str">
            <v>CR CORALAR ACR MAIS RES OCEANO 18L</v>
          </cell>
          <cell r="C2508">
            <v>5271590</v>
          </cell>
          <cell r="D2508" t="str">
            <v>CORAL</v>
          </cell>
          <cell r="E2508">
            <v>30001</v>
          </cell>
          <cell r="F2508" t="str">
            <v>TINTA PAREDE</v>
          </cell>
          <cell r="G2508" t="str">
            <v>IMOBILIÁRIO</v>
          </cell>
        </row>
        <row r="2509">
          <cell r="A2509">
            <v>86243</v>
          </cell>
          <cell r="B2509" t="str">
            <v>CR CORALAR ACR MAIS RES OCEANO 3,6L</v>
          </cell>
          <cell r="C2509">
            <v>5271595</v>
          </cell>
          <cell r="D2509" t="str">
            <v>CORAL</v>
          </cell>
          <cell r="E2509">
            <v>30001</v>
          </cell>
          <cell r="F2509" t="str">
            <v>TINTA PAREDE</v>
          </cell>
          <cell r="G2509" t="str">
            <v>IMOBILIÁRIO</v>
          </cell>
        </row>
        <row r="2510">
          <cell r="A2510">
            <v>86241</v>
          </cell>
          <cell r="B2510" t="str">
            <v>CR CORALAR ACR MAIS RES PALHA 18L</v>
          </cell>
          <cell r="C2510">
            <v>5271592</v>
          </cell>
          <cell r="D2510" t="str">
            <v>CORAL</v>
          </cell>
          <cell r="E2510">
            <v>30001</v>
          </cell>
          <cell r="F2510" t="str">
            <v>TINTA PAREDE</v>
          </cell>
          <cell r="G2510" t="str">
            <v>IMOBILIÁRIO</v>
          </cell>
        </row>
        <row r="2511">
          <cell r="A2511">
            <v>86242</v>
          </cell>
          <cell r="B2511" t="str">
            <v>CR CORALAR ACR MAIS RES PALHA 3,6L</v>
          </cell>
          <cell r="C2511">
            <v>5271593</v>
          </cell>
          <cell r="D2511" t="str">
            <v>CORAL</v>
          </cell>
          <cell r="E2511">
            <v>30001</v>
          </cell>
          <cell r="F2511" t="str">
            <v>TINTA PAREDE</v>
          </cell>
          <cell r="G2511" t="str">
            <v>IMOBILIÁRIO</v>
          </cell>
        </row>
        <row r="2512">
          <cell r="A2512">
            <v>86722</v>
          </cell>
          <cell r="B2512" t="str">
            <v>CR CORALAR ACR MAIS RES PEDRA PREC 18L</v>
          </cell>
          <cell r="C2512">
            <v>5828124</v>
          </cell>
          <cell r="D2512" t="str">
            <v>CORAL</v>
          </cell>
          <cell r="E2512">
            <v>30001</v>
          </cell>
          <cell r="F2512" t="str">
            <v>TINTA PAREDE</v>
          </cell>
          <cell r="G2512" t="str">
            <v>IMOBILIÁRIO</v>
          </cell>
        </row>
        <row r="2513">
          <cell r="A2513">
            <v>86723</v>
          </cell>
          <cell r="B2513" t="str">
            <v>CR CORALAR ACR MAIS RES PEDRA PREC 3.6L</v>
          </cell>
          <cell r="C2513">
            <v>5828125</v>
          </cell>
          <cell r="D2513" t="str">
            <v>CORAL</v>
          </cell>
          <cell r="E2513">
            <v>30001</v>
          </cell>
          <cell r="F2513" t="str">
            <v>TINTA PAREDE</v>
          </cell>
          <cell r="G2513" t="str">
            <v>IMOBILIÁRIO</v>
          </cell>
        </row>
        <row r="2514">
          <cell r="A2514">
            <v>86721</v>
          </cell>
          <cell r="B2514" t="str">
            <v>CR CORALAR ACR MAIS RES PEROLA 18L</v>
          </cell>
          <cell r="C2514">
            <v>5828026</v>
          </cell>
          <cell r="D2514" t="str">
            <v>CORAL</v>
          </cell>
          <cell r="E2514">
            <v>30001</v>
          </cell>
          <cell r="F2514" t="str">
            <v>TINTA PAREDE</v>
          </cell>
          <cell r="G2514" t="str">
            <v>IMOBILIÁRIO</v>
          </cell>
        </row>
        <row r="2515">
          <cell r="A2515">
            <v>86733</v>
          </cell>
          <cell r="B2515" t="str">
            <v>CR CORALAR ACR MAIS RES PEROLA 3.6L</v>
          </cell>
          <cell r="C2515">
            <v>5828234</v>
          </cell>
          <cell r="D2515" t="str">
            <v>CORAL</v>
          </cell>
          <cell r="E2515">
            <v>30001</v>
          </cell>
          <cell r="F2515" t="str">
            <v>TINTA PAREDE</v>
          </cell>
          <cell r="G2515" t="str">
            <v>IMOBILIÁRIO</v>
          </cell>
        </row>
        <row r="2516">
          <cell r="A2516">
            <v>85823</v>
          </cell>
          <cell r="B2516" t="str">
            <v>CR CORALAR ACR MANGABA 18L</v>
          </cell>
          <cell r="C2516">
            <v>5202337</v>
          </cell>
          <cell r="D2516" t="str">
            <v>CORAL</v>
          </cell>
          <cell r="E2516">
            <v>30001</v>
          </cell>
          <cell r="F2516" t="str">
            <v>TINTA PAREDE</v>
          </cell>
          <cell r="G2516" t="str">
            <v>IMOBILIÁRIO</v>
          </cell>
        </row>
        <row r="2517">
          <cell r="A2517">
            <v>85802</v>
          </cell>
          <cell r="B2517" t="str">
            <v>CR CORALAR ACR REFRESCO 3.6L</v>
          </cell>
          <cell r="C2517">
            <v>5202314</v>
          </cell>
          <cell r="D2517" t="str">
            <v>CORAL</v>
          </cell>
          <cell r="E2517">
            <v>30001</v>
          </cell>
          <cell r="F2517" t="str">
            <v>TINTA PAREDE</v>
          </cell>
          <cell r="G2517" t="str">
            <v>IMOBILIÁRIO</v>
          </cell>
        </row>
        <row r="2518">
          <cell r="A2518">
            <v>86244</v>
          </cell>
          <cell r="B2518" t="str">
            <v>CR CORALAR DUO FO VERDE LIMAO 3.6L</v>
          </cell>
          <cell r="C2518">
            <v>5271597</v>
          </cell>
          <cell r="D2518" t="str">
            <v>CORAL</v>
          </cell>
          <cell r="E2518">
            <v>30001</v>
          </cell>
          <cell r="F2518" t="str">
            <v>TINTA PAREDE</v>
          </cell>
          <cell r="G2518" t="str">
            <v>IMOBILIÁRIO</v>
          </cell>
        </row>
        <row r="2519">
          <cell r="A2519">
            <v>86250</v>
          </cell>
          <cell r="B2519" t="str">
            <v>CR CORALAR DUO FO VERDE VALE 3.6L</v>
          </cell>
          <cell r="C2519">
            <v>5272007</v>
          </cell>
          <cell r="D2519" t="str">
            <v>CORAL</v>
          </cell>
          <cell r="E2519">
            <v>30001</v>
          </cell>
          <cell r="F2519" t="str">
            <v>TINTA PAREDE</v>
          </cell>
          <cell r="G2519" t="str">
            <v>IMOBILIÁRIO</v>
          </cell>
        </row>
        <row r="2520">
          <cell r="A2520">
            <v>85763</v>
          </cell>
          <cell r="B2520" t="str">
            <v>CR CORALAR LAT MAIS ECO AREIA DE COPACABANA 18L</v>
          </cell>
          <cell r="C2520">
            <v>5202062</v>
          </cell>
          <cell r="D2520" t="str">
            <v>CORAL</v>
          </cell>
          <cell r="E2520">
            <v>30001</v>
          </cell>
          <cell r="F2520" t="str">
            <v>TINTA PAREDE</v>
          </cell>
          <cell r="G2520" t="str">
            <v>IMOBILIÁRIO</v>
          </cell>
        </row>
        <row r="2521">
          <cell r="A2521">
            <v>85762</v>
          </cell>
          <cell r="B2521" t="str">
            <v>CR CORALAR LAT MAIS ECO AREIA DE COPACABANA 3,6L</v>
          </cell>
          <cell r="C2521">
            <v>5202061</v>
          </cell>
          <cell r="D2521" t="str">
            <v>CORAL</v>
          </cell>
          <cell r="E2521">
            <v>30001</v>
          </cell>
          <cell r="F2521" t="str">
            <v>TINTA PAREDE</v>
          </cell>
          <cell r="G2521" t="str">
            <v>IMOBILIÁRIO</v>
          </cell>
        </row>
        <row r="2522">
          <cell r="A2522">
            <v>85747</v>
          </cell>
          <cell r="B2522" t="str">
            <v>CR CORALAR LAT MAIS ECO BCO 18L</v>
          </cell>
          <cell r="C2522">
            <v>5202026</v>
          </cell>
          <cell r="D2522" t="str">
            <v>CORAL</v>
          </cell>
          <cell r="E2522">
            <v>30001</v>
          </cell>
          <cell r="F2522" t="str">
            <v>TINTA PAREDE</v>
          </cell>
          <cell r="G2522" t="str">
            <v>IMOBILIÁRIO</v>
          </cell>
        </row>
        <row r="2523">
          <cell r="A2523">
            <v>85746</v>
          </cell>
          <cell r="B2523" t="str">
            <v>CR CORALAR LAT MAIS ECO BCO 3,6L</v>
          </cell>
          <cell r="C2523">
            <v>5202025</v>
          </cell>
          <cell r="D2523" t="str">
            <v>CORAL</v>
          </cell>
          <cell r="E2523">
            <v>30001</v>
          </cell>
          <cell r="F2523" t="str">
            <v>TINTA PAREDE</v>
          </cell>
          <cell r="G2523" t="str">
            <v>IMOBILIÁRIO</v>
          </cell>
        </row>
        <row r="2524">
          <cell r="A2524">
            <v>86745</v>
          </cell>
          <cell r="B2524" t="str">
            <v>CR CORALAR LAT MAIS ECO BCO BD PLAST 15L</v>
          </cell>
          <cell r="C2524">
            <v>5849259</v>
          </cell>
          <cell r="D2524" t="str">
            <v>CORAL</v>
          </cell>
          <cell r="E2524">
            <v>30001</v>
          </cell>
          <cell r="F2524" t="str">
            <v>TINTA PAREDE</v>
          </cell>
          <cell r="G2524" t="str">
            <v>IMOBILIÁRIO</v>
          </cell>
        </row>
        <row r="2525">
          <cell r="A2525">
            <v>85755</v>
          </cell>
          <cell r="B2525" t="str">
            <v>CR CORALAR LAT MAIS ECO BCO GELO 18L</v>
          </cell>
          <cell r="C2525">
            <v>5202042</v>
          </cell>
          <cell r="D2525" t="str">
            <v>CORAL</v>
          </cell>
          <cell r="E2525">
            <v>30001</v>
          </cell>
          <cell r="F2525" t="str">
            <v>TINTA PAREDE</v>
          </cell>
          <cell r="G2525" t="str">
            <v>IMOBILIÁRIO</v>
          </cell>
        </row>
        <row r="2526">
          <cell r="A2526">
            <v>85754</v>
          </cell>
          <cell r="B2526" t="str">
            <v>CR CORALAR LAT MAIS ECO BCO GELO 3,6L</v>
          </cell>
          <cell r="C2526">
            <v>5202041</v>
          </cell>
          <cell r="D2526" t="str">
            <v>CORAL</v>
          </cell>
          <cell r="E2526">
            <v>30001</v>
          </cell>
          <cell r="F2526" t="str">
            <v>TINTA PAREDE</v>
          </cell>
          <cell r="G2526" t="str">
            <v>IMOBILIÁRIO</v>
          </cell>
        </row>
        <row r="2527">
          <cell r="A2527">
            <v>86166</v>
          </cell>
          <cell r="B2527" t="str">
            <v>CR CORALAR LAT MAIS ECO BCO GELO NE 3,6L</v>
          </cell>
          <cell r="C2527">
            <v>5206989</v>
          </cell>
          <cell r="D2527" t="str">
            <v>CORAL</v>
          </cell>
          <cell r="E2527">
            <v>30001</v>
          </cell>
          <cell r="F2527" t="str">
            <v>TINTA PAREDE</v>
          </cell>
          <cell r="G2527" t="str">
            <v>IMOBILIÁRIO</v>
          </cell>
        </row>
        <row r="2528">
          <cell r="A2528">
            <v>86165</v>
          </cell>
          <cell r="B2528" t="str">
            <v>CR CORALAR LAT MAIS ECO BCO NE 3,6L</v>
          </cell>
          <cell r="C2528">
            <v>5206985</v>
          </cell>
          <cell r="D2528" t="str">
            <v>CORAL</v>
          </cell>
          <cell r="E2528">
            <v>30001</v>
          </cell>
          <cell r="F2528" t="str">
            <v>TINTA PAREDE</v>
          </cell>
          <cell r="G2528" t="str">
            <v>IMOBILIÁRIO</v>
          </cell>
        </row>
        <row r="2529">
          <cell r="A2529">
            <v>86720</v>
          </cell>
          <cell r="B2529" t="str">
            <v>CR CORALAR LAT MAIS ECO NE BRANCO GELO 15L</v>
          </cell>
          <cell r="C2529">
            <v>5828025</v>
          </cell>
          <cell r="D2529" t="str">
            <v>CORAL</v>
          </cell>
          <cell r="E2529">
            <v>30001</v>
          </cell>
          <cell r="F2529" t="str">
            <v>TINTA PAREDE</v>
          </cell>
          <cell r="G2529" t="str">
            <v>IMOBILIÁRIO</v>
          </cell>
        </row>
        <row r="2530">
          <cell r="A2530">
            <v>86732</v>
          </cell>
          <cell r="B2530" t="str">
            <v>CR CORALAR LAT MAIS ECO NEBLINA PAULISTA 18L</v>
          </cell>
          <cell r="C2530">
            <v>5828233</v>
          </cell>
          <cell r="D2530" t="str">
            <v>CORAL</v>
          </cell>
          <cell r="E2530">
            <v>30001</v>
          </cell>
          <cell r="F2530" t="str">
            <v>TINTA PAREDE</v>
          </cell>
          <cell r="G2530" t="str">
            <v>IMOBILIÁRIO</v>
          </cell>
        </row>
        <row r="2531">
          <cell r="A2531">
            <v>86719</v>
          </cell>
          <cell r="B2531" t="str">
            <v>CR CORALAR LAT MAIS ECO NEBLINA PAULISTA 3,6L</v>
          </cell>
          <cell r="C2531">
            <v>5827773</v>
          </cell>
          <cell r="D2531" t="str">
            <v>CORAL</v>
          </cell>
          <cell r="E2531">
            <v>30001</v>
          </cell>
          <cell r="F2531" t="str">
            <v>TINTA PAREDE</v>
          </cell>
          <cell r="G2531" t="str">
            <v>IMOBILIÁRIO</v>
          </cell>
        </row>
        <row r="2532">
          <cell r="A2532">
            <v>85749</v>
          </cell>
          <cell r="B2532" t="str">
            <v>CR CORALAR LAT MAIS ECO PALHA DO SERTAO 18L</v>
          </cell>
          <cell r="C2532">
            <v>5202028</v>
          </cell>
          <cell r="D2532" t="str">
            <v>CORAL</v>
          </cell>
          <cell r="E2532">
            <v>30001</v>
          </cell>
          <cell r="F2532" t="str">
            <v>TINTA PAREDE</v>
          </cell>
          <cell r="G2532" t="str">
            <v>IMOBILIÁRIO</v>
          </cell>
        </row>
        <row r="2533">
          <cell r="A2533">
            <v>85748</v>
          </cell>
          <cell r="B2533" t="str">
            <v>CR CORALAR LAT MAIS ECO PALHA DO SERTAO 3,6L</v>
          </cell>
          <cell r="C2533">
            <v>5202027</v>
          </cell>
          <cell r="D2533" t="str">
            <v>CORAL</v>
          </cell>
          <cell r="E2533">
            <v>30001</v>
          </cell>
          <cell r="F2533" t="str">
            <v>TINTA PAREDE</v>
          </cell>
          <cell r="G2533" t="str">
            <v>IMOBILIÁRIO</v>
          </cell>
        </row>
        <row r="2534">
          <cell r="A2534">
            <v>86224</v>
          </cell>
          <cell r="B2534" t="str">
            <v>CR DECORA DIAMANTE SB BRANCO 18L</v>
          </cell>
          <cell r="C2534">
            <v>5239355</v>
          </cell>
          <cell r="D2534" t="str">
            <v>CORAL</v>
          </cell>
          <cell r="E2534">
            <v>30001</v>
          </cell>
          <cell r="F2534" t="str">
            <v>TINTA PAREDE</v>
          </cell>
          <cell r="G2534" t="str">
            <v>IMOBILIÁRIO</v>
          </cell>
        </row>
        <row r="2535">
          <cell r="A2535">
            <v>86225</v>
          </cell>
          <cell r="B2535" t="str">
            <v>CR DECORA DIAMANTE SB BRANCO 3.6L</v>
          </cell>
          <cell r="C2535">
            <v>5239390</v>
          </cell>
          <cell r="D2535" t="str">
            <v>CORAL</v>
          </cell>
          <cell r="E2535">
            <v>30001</v>
          </cell>
          <cell r="F2535" t="str">
            <v>TINTA PAREDE</v>
          </cell>
          <cell r="G2535" t="str">
            <v>IMOBILIÁRIO</v>
          </cell>
        </row>
        <row r="2536">
          <cell r="A2536">
            <v>86226</v>
          </cell>
          <cell r="B2536" t="str">
            <v>CR DECORA DIAMANTE SB BRANCO GELO 18L</v>
          </cell>
          <cell r="C2536">
            <v>5239392</v>
          </cell>
          <cell r="D2536" t="str">
            <v>CORAL</v>
          </cell>
          <cell r="E2536">
            <v>30001</v>
          </cell>
          <cell r="F2536" t="str">
            <v>TINTA PAREDE</v>
          </cell>
          <cell r="G2536" t="str">
            <v>IMOBILIÁRIO</v>
          </cell>
        </row>
        <row r="2537">
          <cell r="A2537">
            <v>86227</v>
          </cell>
          <cell r="B2537" t="str">
            <v>CR DECORA DIAMANTE SB BRANCO GELO 3.6L</v>
          </cell>
          <cell r="C2537">
            <v>5239393</v>
          </cell>
          <cell r="D2537" t="str">
            <v>CORAL</v>
          </cell>
          <cell r="E2537">
            <v>30001</v>
          </cell>
          <cell r="F2537" t="str">
            <v>TINTA PAREDE</v>
          </cell>
          <cell r="G2537" t="str">
            <v>IMOBILIÁRIO</v>
          </cell>
        </row>
        <row r="2538">
          <cell r="A2538">
            <v>86270</v>
          </cell>
          <cell r="B2538" t="str">
            <v>CR DECORA MATTE FO ALG CINZENTO 18L</v>
          </cell>
          <cell r="C2538">
            <v>5280811</v>
          </cell>
          <cell r="D2538" t="str">
            <v>CORAL</v>
          </cell>
          <cell r="E2538">
            <v>30001</v>
          </cell>
          <cell r="F2538" t="str">
            <v>TINTA PAREDE</v>
          </cell>
          <cell r="G2538" t="str">
            <v>IMOBILIÁRIO</v>
          </cell>
        </row>
        <row r="2539">
          <cell r="A2539">
            <v>86269</v>
          </cell>
          <cell r="B2539" t="str">
            <v>CR DECORA MATTE FO ALG CINZENTO 3.6L</v>
          </cell>
          <cell r="C2539">
            <v>5280810</v>
          </cell>
          <cell r="D2539" t="str">
            <v>CORAL</v>
          </cell>
          <cell r="E2539">
            <v>30001</v>
          </cell>
          <cell r="F2539" t="str">
            <v>TINTA PAREDE</v>
          </cell>
          <cell r="G2539" t="str">
            <v>IMOBILIÁRIO</v>
          </cell>
        </row>
        <row r="2540">
          <cell r="A2540">
            <v>86272</v>
          </cell>
          <cell r="B2540" t="str">
            <v>CR DECORA MATTE FO ALG EGIPCIO 18L</v>
          </cell>
          <cell r="C2540">
            <v>5280814</v>
          </cell>
          <cell r="D2540" t="str">
            <v>CORAL</v>
          </cell>
          <cell r="E2540">
            <v>30001</v>
          </cell>
          <cell r="F2540" t="str">
            <v>TINTA PAREDE</v>
          </cell>
          <cell r="G2540" t="str">
            <v>IMOBILIÁRIO</v>
          </cell>
        </row>
        <row r="2541">
          <cell r="A2541">
            <v>86271</v>
          </cell>
          <cell r="B2541" t="str">
            <v>CR DECORA MATTE FO ALG EGIPCIO 3.6L</v>
          </cell>
          <cell r="C2541">
            <v>5280813</v>
          </cell>
          <cell r="D2541" t="str">
            <v>CORAL</v>
          </cell>
          <cell r="E2541">
            <v>30001</v>
          </cell>
          <cell r="F2541" t="str">
            <v>TINTA PAREDE</v>
          </cell>
          <cell r="G2541" t="str">
            <v>IMOBILIÁRIO</v>
          </cell>
        </row>
        <row r="2542">
          <cell r="A2542">
            <v>86220</v>
          </cell>
          <cell r="B2542" t="str">
            <v>CR DECORA MATTE FO BRANCO 18L</v>
          </cell>
          <cell r="C2542">
            <v>5239241</v>
          </cell>
          <cell r="D2542" t="str">
            <v>CORAL</v>
          </cell>
          <cell r="E2542">
            <v>30001</v>
          </cell>
          <cell r="F2542" t="str">
            <v>TINTA PAREDE</v>
          </cell>
          <cell r="G2542" t="str">
            <v>IMOBILIÁRIO</v>
          </cell>
        </row>
        <row r="2543">
          <cell r="A2543">
            <v>86261</v>
          </cell>
          <cell r="B2543" t="str">
            <v>CR DECORA MATTE FO BRANCO 20L</v>
          </cell>
          <cell r="C2543">
            <v>5276401</v>
          </cell>
          <cell r="D2543" t="str">
            <v>CORAL</v>
          </cell>
          <cell r="E2543">
            <v>30001</v>
          </cell>
          <cell r="F2543" t="str">
            <v>TINTA PAREDE</v>
          </cell>
          <cell r="G2543" t="str">
            <v>IMOBILIÁRIO</v>
          </cell>
        </row>
        <row r="2544">
          <cell r="A2544">
            <v>86221</v>
          </cell>
          <cell r="B2544" t="str">
            <v>CR DECORA MATTE FO BRANCO 3.6L</v>
          </cell>
          <cell r="C2544">
            <v>5239242</v>
          </cell>
          <cell r="D2544" t="str">
            <v>CORAL</v>
          </cell>
          <cell r="E2544">
            <v>30001</v>
          </cell>
          <cell r="F2544" t="str">
            <v>TINTA PAREDE</v>
          </cell>
          <cell r="G2544" t="str">
            <v>IMOBILIÁRIO</v>
          </cell>
        </row>
        <row r="2545">
          <cell r="A2545">
            <v>86222</v>
          </cell>
          <cell r="B2545" t="str">
            <v>CR DECORA MATTE FO BRANCO GELO 18L</v>
          </cell>
          <cell r="C2545">
            <v>5239243</v>
          </cell>
          <cell r="D2545" t="str">
            <v>CORAL</v>
          </cell>
          <cell r="E2545">
            <v>30001</v>
          </cell>
          <cell r="F2545" t="str">
            <v>TINTA PAREDE</v>
          </cell>
          <cell r="G2545" t="str">
            <v>IMOBILIÁRIO</v>
          </cell>
        </row>
        <row r="2546">
          <cell r="A2546">
            <v>86223</v>
          </cell>
          <cell r="B2546" t="str">
            <v>CR DECORA MATTE FO BRANCO GELO 3.6L</v>
          </cell>
          <cell r="C2546">
            <v>5239244</v>
          </cell>
          <cell r="D2546" t="str">
            <v>CORAL</v>
          </cell>
          <cell r="E2546">
            <v>30001</v>
          </cell>
          <cell r="F2546" t="str">
            <v>TINTA PAREDE</v>
          </cell>
          <cell r="G2546" t="str">
            <v>IMOBILIÁRIO</v>
          </cell>
        </row>
        <row r="2547">
          <cell r="A2547">
            <v>86228</v>
          </cell>
          <cell r="B2547" t="str">
            <v>CR DECORA MATTE FO PALHA 18L</v>
          </cell>
          <cell r="C2547">
            <v>5239452</v>
          </cell>
          <cell r="D2547" t="str">
            <v>CORAL</v>
          </cell>
          <cell r="E2547">
            <v>30001</v>
          </cell>
          <cell r="F2547" t="str">
            <v>TINTA PAREDE</v>
          </cell>
          <cell r="G2547" t="str">
            <v>IMOBILIÁRIO</v>
          </cell>
        </row>
        <row r="2548">
          <cell r="A2548">
            <v>86229</v>
          </cell>
          <cell r="B2548" t="str">
            <v>CR DECORA MATTE FO PALHA 3.6L</v>
          </cell>
          <cell r="C2548">
            <v>5239487</v>
          </cell>
          <cell r="D2548" t="str">
            <v>CORAL</v>
          </cell>
          <cell r="E2548">
            <v>30001</v>
          </cell>
          <cell r="F2548" t="str">
            <v>TINTA PAREDE</v>
          </cell>
          <cell r="G2548" t="str">
            <v>IMOBILIÁRIO</v>
          </cell>
        </row>
        <row r="2549">
          <cell r="A2549">
            <v>86268</v>
          </cell>
          <cell r="B2549" t="str">
            <v>CR DECORA SEDA AC ALG EGIPCIO 18L</v>
          </cell>
          <cell r="C2549">
            <v>5280802</v>
          </cell>
          <cell r="D2549" t="str">
            <v>CORAL</v>
          </cell>
          <cell r="E2549">
            <v>30001</v>
          </cell>
          <cell r="F2549" t="str">
            <v>TINTA PAREDE</v>
          </cell>
          <cell r="G2549" t="str">
            <v>IMOBILIÁRIO</v>
          </cell>
        </row>
        <row r="2550">
          <cell r="A2550">
            <v>86267</v>
          </cell>
          <cell r="B2550" t="str">
            <v>CR DECORA SEDA AC ALG EGIPCIO 3.6L</v>
          </cell>
          <cell r="C2550">
            <v>5280801</v>
          </cell>
          <cell r="D2550" t="str">
            <v>CORAL</v>
          </cell>
          <cell r="E2550">
            <v>30001</v>
          </cell>
          <cell r="F2550" t="str">
            <v>TINTA PAREDE</v>
          </cell>
          <cell r="G2550" t="str">
            <v>IMOBILIÁRIO</v>
          </cell>
        </row>
        <row r="2551">
          <cell r="A2551">
            <v>86196</v>
          </cell>
          <cell r="B2551" t="str">
            <v>CR DECORA SEDA AC BRANCO 18L</v>
          </cell>
          <cell r="C2551">
            <v>5229669</v>
          </cell>
          <cell r="D2551" t="str">
            <v>CORAL</v>
          </cell>
          <cell r="E2551">
            <v>30001</v>
          </cell>
          <cell r="F2551" t="str">
            <v>TINTA PAREDE</v>
          </cell>
          <cell r="G2551" t="str">
            <v>IMOBILIÁRIO</v>
          </cell>
        </row>
        <row r="2552">
          <cell r="A2552">
            <v>86598</v>
          </cell>
          <cell r="B2552" t="str">
            <v>CR DECORA SEDA AC BRANCO 20L</v>
          </cell>
          <cell r="C2552">
            <v>5585893</v>
          </cell>
          <cell r="D2552" t="str">
            <v>CORAL</v>
          </cell>
          <cell r="E2552">
            <v>30001</v>
          </cell>
          <cell r="F2552" t="str">
            <v>TINTA PAREDE</v>
          </cell>
          <cell r="G2552" t="str">
            <v>IMOBILIÁRIO</v>
          </cell>
        </row>
        <row r="2553">
          <cell r="A2553">
            <v>86194</v>
          </cell>
          <cell r="B2553" t="str">
            <v>CR DECORA SEDA AC BRANCO 3.6L</v>
          </cell>
          <cell r="C2553">
            <v>5229659</v>
          </cell>
          <cell r="D2553" t="str">
            <v>CORAL</v>
          </cell>
          <cell r="E2553">
            <v>30001</v>
          </cell>
          <cell r="F2553" t="str">
            <v>TINTA PAREDE</v>
          </cell>
          <cell r="G2553" t="str">
            <v>IMOBILIÁRIO</v>
          </cell>
        </row>
        <row r="2554">
          <cell r="A2554">
            <v>86197</v>
          </cell>
          <cell r="B2554" t="str">
            <v>CR DECORA SEDA AC BRANCO GELO 18L</v>
          </cell>
          <cell r="C2554">
            <v>5229670</v>
          </cell>
          <cell r="D2554" t="str">
            <v>CORAL</v>
          </cell>
          <cell r="E2554">
            <v>30001</v>
          </cell>
          <cell r="F2554" t="str">
            <v>TINTA PAREDE</v>
          </cell>
          <cell r="G2554" t="str">
            <v>IMOBILIÁRIO</v>
          </cell>
        </row>
        <row r="2555">
          <cell r="A2555">
            <v>86195</v>
          </cell>
          <cell r="B2555" t="str">
            <v>CR DECORA SEDA AC BRANCO GELO 3,6L</v>
          </cell>
          <cell r="C2555">
            <v>5229667</v>
          </cell>
          <cell r="D2555" t="str">
            <v>CORAL</v>
          </cell>
          <cell r="E2555">
            <v>30001</v>
          </cell>
          <cell r="F2555" t="str">
            <v>TINTA PAREDE</v>
          </cell>
          <cell r="G2555" t="str">
            <v>IMOBILIÁRIO</v>
          </cell>
        </row>
        <row r="2556">
          <cell r="A2556">
            <v>86626</v>
          </cell>
          <cell r="B2556" t="str">
            <v>CR RENDE MUITO AM FREVO 16L</v>
          </cell>
          <cell r="C2556">
            <v>5763556</v>
          </cell>
          <cell r="D2556" t="str">
            <v>CORAL</v>
          </cell>
          <cell r="E2556">
            <v>30001</v>
          </cell>
          <cell r="F2556" t="str">
            <v>TINTA PAREDE</v>
          </cell>
          <cell r="G2556" t="str">
            <v>IMOBILIÁRIO</v>
          </cell>
        </row>
        <row r="2557">
          <cell r="A2557">
            <v>86625</v>
          </cell>
          <cell r="B2557" t="str">
            <v>CR RENDE MUITO AM FREVO 3,2L</v>
          </cell>
          <cell r="C2557">
            <v>5763555</v>
          </cell>
          <cell r="D2557" t="str">
            <v>CORAL</v>
          </cell>
          <cell r="E2557">
            <v>30001</v>
          </cell>
          <cell r="F2557" t="str">
            <v>TINTA PAREDE</v>
          </cell>
          <cell r="G2557" t="str">
            <v>IMOBILIÁRIO</v>
          </cell>
        </row>
        <row r="2558">
          <cell r="A2558">
            <v>86612</v>
          </cell>
          <cell r="B2558" t="str">
            <v>CR RENDE MUITO AREIA 16L</v>
          </cell>
          <cell r="C2558">
            <v>5761832</v>
          </cell>
          <cell r="D2558" t="str">
            <v>CORAL</v>
          </cell>
          <cell r="E2558">
            <v>30001</v>
          </cell>
          <cell r="F2558" t="str">
            <v>TINTA PAREDE</v>
          </cell>
          <cell r="G2558" t="str">
            <v>IMOBILIÁRIO</v>
          </cell>
        </row>
        <row r="2559">
          <cell r="A2559">
            <v>86613</v>
          </cell>
          <cell r="B2559" t="str">
            <v>CR RENDE MUITO AREIA 3,2L</v>
          </cell>
          <cell r="C2559">
            <v>5761833</v>
          </cell>
          <cell r="D2559" t="str">
            <v>CORAL</v>
          </cell>
          <cell r="E2559">
            <v>30001</v>
          </cell>
          <cell r="F2559" t="str">
            <v>TINTA PAREDE</v>
          </cell>
          <cell r="G2559" t="str">
            <v>IMOBILIÁRIO</v>
          </cell>
        </row>
        <row r="2560">
          <cell r="A2560">
            <v>86646</v>
          </cell>
          <cell r="B2560" t="str">
            <v>CR RENDE MUITO AZUL DOS ANDES 16L</v>
          </cell>
          <cell r="C2560">
            <v>5763972</v>
          </cell>
          <cell r="D2560" t="str">
            <v>CORAL</v>
          </cell>
          <cell r="E2560">
            <v>30001</v>
          </cell>
          <cell r="F2560" t="str">
            <v>TINTA PAREDE</v>
          </cell>
          <cell r="G2560" t="str">
            <v>IMOBILIÁRIO</v>
          </cell>
        </row>
        <row r="2561">
          <cell r="A2561">
            <v>86649</v>
          </cell>
          <cell r="B2561" t="str">
            <v>CR RENDE MUITO AZUL DOS ANDES 3,2L</v>
          </cell>
          <cell r="C2561">
            <v>5763977</v>
          </cell>
          <cell r="D2561" t="str">
            <v>CORAL</v>
          </cell>
          <cell r="E2561">
            <v>30001</v>
          </cell>
          <cell r="F2561" t="str">
            <v>TINTA PAREDE</v>
          </cell>
          <cell r="G2561" t="str">
            <v>IMOBILIÁRIO</v>
          </cell>
        </row>
        <row r="2562">
          <cell r="A2562">
            <v>86624</v>
          </cell>
          <cell r="B2562" t="str">
            <v>CR RENDE MUITO AZUL PROFUNDO 16L</v>
          </cell>
          <cell r="C2562">
            <v>5763554</v>
          </cell>
          <cell r="D2562" t="str">
            <v>CORAL</v>
          </cell>
          <cell r="E2562">
            <v>30001</v>
          </cell>
          <cell r="F2562" t="str">
            <v>TINTA PAREDE</v>
          </cell>
          <cell r="G2562" t="str">
            <v>IMOBILIÁRIO</v>
          </cell>
        </row>
        <row r="2563">
          <cell r="A2563">
            <v>86623</v>
          </cell>
          <cell r="B2563" t="str">
            <v>CR RENDE MUITO AZUL PROFUNDO 3,2L</v>
          </cell>
          <cell r="C2563">
            <v>5763553</v>
          </cell>
          <cell r="D2563" t="str">
            <v>CORAL</v>
          </cell>
          <cell r="E2563">
            <v>30001</v>
          </cell>
          <cell r="F2563" t="str">
            <v>TINTA PAREDE</v>
          </cell>
          <cell r="G2563" t="str">
            <v>IMOBILIÁRIO</v>
          </cell>
        </row>
        <row r="2564">
          <cell r="A2564">
            <v>86622</v>
          </cell>
          <cell r="B2564" t="str">
            <v>CR RENDE MUITO AZUL SERENO 16L</v>
          </cell>
          <cell r="C2564">
            <v>5763552</v>
          </cell>
          <cell r="D2564" t="str">
            <v>CORAL</v>
          </cell>
          <cell r="E2564">
            <v>30001</v>
          </cell>
          <cell r="F2564" t="str">
            <v>TINTA PAREDE</v>
          </cell>
          <cell r="G2564" t="str">
            <v>IMOBILIÁRIO</v>
          </cell>
        </row>
        <row r="2565">
          <cell r="A2565">
            <v>86621</v>
          </cell>
          <cell r="B2565" t="str">
            <v>CR RENDE MUITO AZUL SERENO 3,2L</v>
          </cell>
          <cell r="C2565">
            <v>5763551</v>
          </cell>
          <cell r="D2565" t="str">
            <v>CORAL</v>
          </cell>
          <cell r="E2565">
            <v>30001</v>
          </cell>
          <cell r="F2565" t="str">
            <v>TINTA PAREDE</v>
          </cell>
          <cell r="G2565" t="str">
            <v>IMOBILIÁRIO</v>
          </cell>
        </row>
        <row r="2566">
          <cell r="A2566">
            <v>86599</v>
          </cell>
          <cell r="B2566" t="str">
            <v>CR RENDE MUITO BCO BD PLAST 15L</v>
          </cell>
          <cell r="C2566">
            <v>5587792</v>
          </cell>
          <cell r="D2566" t="str">
            <v>CORAL</v>
          </cell>
          <cell r="E2566">
            <v>30001</v>
          </cell>
          <cell r="F2566" t="str">
            <v>TINTA PAREDE</v>
          </cell>
          <cell r="G2566" t="str">
            <v>IMOBILIÁRIO</v>
          </cell>
        </row>
        <row r="2567">
          <cell r="A2567">
            <v>86846</v>
          </cell>
          <cell r="B2567" t="str">
            <v>CR RENDE MUITO BCO GELO BAL PLAS 20L</v>
          </cell>
          <cell r="C2567">
            <v>5942772</v>
          </cell>
          <cell r="D2567" t="str">
            <v>CORAL</v>
          </cell>
          <cell r="E2567">
            <v>30001</v>
          </cell>
          <cell r="F2567" t="str">
            <v>TINTA PAREDE</v>
          </cell>
          <cell r="G2567" t="str">
            <v>IMOBILIÁRIO</v>
          </cell>
        </row>
        <row r="2568">
          <cell r="A2568">
            <v>85774</v>
          </cell>
          <cell r="B2568" t="str">
            <v>CR RENDE MUITO BRANCO 18L</v>
          </cell>
          <cell r="C2568">
            <v>5202145</v>
          </cell>
          <cell r="D2568" t="str">
            <v>CORAL</v>
          </cell>
          <cell r="E2568">
            <v>30001</v>
          </cell>
          <cell r="F2568" t="str">
            <v>TINTA PAREDE</v>
          </cell>
          <cell r="G2568" t="str">
            <v>IMOBILIÁRIO</v>
          </cell>
        </row>
        <row r="2569">
          <cell r="A2569">
            <v>85772</v>
          </cell>
          <cell r="B2569" t="str">
            <v>CR RENDE MUITO BRANCO 3.6L</v>
          </cell>
          <cell r="C2569">
            <v>5202143</v>
          </cell>
          <cell r="D2569" t="str">
            <v>CORAL</v>
          </cell>
          <cell r="E2569">
            <v>30001</v>
          </cell>
          <cell r="F2569" t="str">
            <v>TINTA PAREDE</v>
          </cell>
          <cell r="G2569" t="str">
            <v>IMOBILIÁRIO</v>
          </cell>
        </row>
        <row r="2570">
          <cell r="A2570">
            <v>85773</v>
          </cell>
          <cell r="B2570" t="str">
            <v>CR RENDE MUITO BRANCO 900ML</v>
          </cell>
          <cell r="C2570">
            <v>5202144</v>
          </cell>
          <cell r="D2570" t="str">
            <v>CORAL</v>
          </cell>
          <cell r="E2570">
            <v>30001</v>
          </cell>
          <cell r="F2570" t="str">
            <v>TINTA PAREDE</v>
          </cell>
          <cell r="G2570" t="str">
            <v>IMOBILIÁRIO</v>
          </cell>
        </row>
        <row r="2571">
          <cell r="A2571">
            <v>86230</v>
          </cell>
          <cell r="B2571" t="str">
            <v>CR RENDE MUITO BRANCO BAL PLAS 20L</v>
          </cell>
          <cell r="C2571">
            <v>5266120</v>
          </cell>
          <cell r="D2571" t="str">
            <v>CORAL</v>
          </cell>
          <cell r="E2571">
            <v>30001</v>
          </cell>
          <cell r="F2571" t="str">
            <v>TINTA PAREDE</v>
          </cell>
          <cell r="G2571" t="str">
            <v>IMOBILIÁRIO</v>
          </cell>
        </row>
        <row r="2572">
          <cell r="A2572">
            <v>86614</v>
          </cell>
          <cell r="B2572" t="str">
            <v>CR RENDE MUITO BRANCO GELO 16L</v>
          </cell>
          <cell r="C2572">
            <v>5761834</v>
          </cell>
          <cell r="D2572" t="str">
            <v>CORAL</v>
          </cell>
          <cell r="E2572">
            <v>30001</v>
          </cell>
          <cell r="F2572" t="str">
            <v>TINTA PAREDE</v>
          </cell>
          <cell r="G2572" t="str">
            <v>IMOBILIÁRIO</v>
          </cell>
        </row>
        <row r="2573">
          <cell r="A2573">
            <v>86615</v>
          </cell>
          <cell r="B2573" t="str">
            <v>CR RENDE MUITO BRANCO GELO 3,2L</v>
          </cell>
          <cell r="C2573">
            <v>5761835</v>
          </cell>
          <cell r="D2573" t="str">
            <v>CORAL</v>
          </cell>
          <cell r="E2573">
            <v>30001</v>
          </cell>
          <cell r="F2573" t="str">
            <v>TINTA PAREDE</v>
          </cell>
          <cell r="G2573" t="str">
            <v>IMOBILIÁRIO</v>
          </cell>
        </row>
        <row r="2574">
          <cell r="A2574">
            <v>85775</v>
          </cell>
          <cell r="B2574" t="str">
            <v>CR RENDE MUITO BRANCO GELO 900ML</v>
          </cell>
          <cell r="C2574">
            <v>5202150</v>
          </cell>
          <cell r="D2574" t="str">
            <v>CORAL</v>
          </cell>
          <cell r="E2574">
            <v>30001</v>
          </cell>
          <cell r="F2574" t="str">
            <v>TINTA PAREDE</v>
          </cell>
          <cell r="G2574" t="str">
            <v>IMOBILIÁRIO</v>
          </cell>
        </row>
        <row r="2575">
          <cell r="A2575">
            <v>86616</v>
          </cell>
          <cell r="B2575" t="str">
            <v>CR RENDE MUITO CAMURCA 16L</v>
          </cell>
          <cell r="C2575">
            <v>5761836</v>
          </cell>
          <cell r="D2575" t="str">
            <v>CORAL</v>
          </cell>
          <cell r="E2575">
            <v>30001</v>
          </cell>
          <cell r="F2575" t="str">
            <v>TINTA PAREDE</v>
          </cell>
          <cell r="G2575" t="str">
            <v>IMOBILIÁRIO</v>
          </cell>
        </row>
        <row r="2576">
          <cell r="A2576">
            <v>86619</v>
          </cell>
          <cell r="B2576" t="str">
            <v>CR RENDE MUITO CAMURCA 3,2L</v>
          </cell>
          <cell r="C2576">
            <v>5761919</v>
          </cell>
          <cell r="D2576" t="str">
            <v>CORAL</v>
          </cell>
          <cell r="E2576">
            <v>30001</v>
          </cell>
          <cell r="F2576" t="str">
            <v>TINTA PAREDE</v>
          </cell>
          <cell r="G2576" t="str">
            <v>IMOBILIÁRIO</v>
          </cell>
        </row>
        <row r="2577">
          <cell r="A2577">
            <v>86652</v>
          </cell>
          <cell r="B2577" t="str">
            <v>CR RENDE MUITO CAPIM LIMAO 16L</v>
          </cell>
          <cell r="C2577">
            <v>5764543</v>
          </cell>
          <cell r="D2577" t="str">
            <v>CORAL</v>
          </cell>
          <cell r="E2577">
            <v>30001</v>
          </cell>
          <cell r="F2577" t="str">
            <v>TINTA PAREDE</v>
          </cell>
          <cell r="G2577" t="str">
            <v>IMOBILIÁRIO</v>
          </cell>
        </row>
        <row r="2578">
          <cell r="A2578">
            <v>86653</v>
          </cell>
          <cell r="B2578" t="str">
            <v>CR RENDE MUITO CAPIM LIMAO 3,2L</v>
          </cell>
          <cell r="C2578">
            <v>5764545</v>
          </cell>
          <cell r="D2578" t="str">
            <v>CORAL</v>
          </cell>
          <cell r="E2578">
            <v>30001</v>
          </cell>
          <cell r="F2578" t="str">
            <v>TINTA PAREDE</v>
          </cell>
          <cell r="G2578" t="str">
            <v>IMOBILIÁRIO</v>
          </cell>
        </row>
        <row r="2579">
          <cell r="A2579">
            <v>86656</v>
          </cell>
          <cell r="B2579" t="str">
            <v>CR RENDE MUITO CINZA ALPINO 16L</v>
          </cell>
          <cell r="C2579">
            <v>5764552</v>
          </cell>
          <cell r="D2579" t="str">
            <v>CORAL</v>
          </cell>
          <cell r="E2579">
            <v>30001</v>
          </cell>
          <cell r="F2579" t="str">
            <v>TINTA PAREDE</v>
          </cell>
          <cell r="G2579" t="str">
            <v>IMOBILIÁRIO</v>
          </cell>
        </row>
        <row r="2580">
          <cell r="A2580">
            <v>86654</v>
          </cell>
          <cell r="B2580" t="str">
            <v>CR RENDE MUITO CINZA ALPINO 3,2L</v>
          </cell>
          <cell r="C2580">
            <v>5764550</v>
          </cell>
          <cell r="D2580" t="str">
            <v>CORAL</v>
          </cell>
          <cell r="E2580">
            <v>30001</v>
          </cell>
          <cell r="F2580" t="str">
            <v>TINTA PAREDE</v>
          </cell>
          <cell r="G2580" t="str">
            <v>IMOBILIÁRIO</v>
          </cell>
        </row>
        <row r="2581">
          <cell r="A2581">
            <v>86617</v>
          </cell>
          <cell r="B2581" t="str">
            <v>CR RENDE MUITO CONCRETO 16L</v>
          </cell>
          <cell r="C2581">
            <v>5761837</v>
          </cell>
          <cell r="D2581" t="str">
            <v>CORAL</v>
          </cell>
          <cell r="E2581">
            <v>30001</v>
          </cell>
          <cell r="F2581" t="str">
            <v>TINTA PAREDE</v>
          </cell>
          <cell r="G2581" t="str">
            <v>IMOBILIÁRIO</v>
          </cell>
        </row>
        <row r="2582">
          <cell r="A2582">
            <v>86618</v>
          </cell>
          <cell r="B2582" t="str">
            <v>CR RENDE MUITO CONCRETO 3,2L</v>
          </cell>
          <cell r="C2582">
            <v>5761918</v>
          </cell>
          <cell r="D2582" t="str">
            <v>CORAL</v>
          </cell>
          <cell r="E2582">
            <v>30001</v>
          </cell>
          <cell r="F2582" t="str">
            <v>TINTA PAREDE</v>
          </cell>
          <cell r="G2582" t="str">
            <v>IMOBILIÁRIO</v>
          </cell>
        </row>
        <row r="2583">
          <cell r="A2583">
            <v>86660</v>
          </cell>
          <cell r="B2583" t="str">
            <v>CR RENDE MUITO CROMIO 16L</v>
          </cell>
          <cell r="C2583">
            <v>5764556</v>
          </cell>
          <cell r="D2583" t="str">
            <v>CORAL</v>
          </cell>
          <cell r="E2583">
            <v>30001</v>
          </cell>
          <cell r="F2583" t="str">
            <v>TINTA PAREDE</v>
          </cell>
          <cell r="G2583" t="str">
            <v>IMOBILIÁRIO</v>
          </cell>
        </row>
        <row r="2584">
          <cell r="A2584">
            <v>86659</v>
          </cell>
          <cell r="B2584" t="str">
            <v>CR RENDE MUITO CROMIO 3,2L</v>
          </cell>
          <cell r="C2584">
            <v>5764555</v>
          </cell>
          <cell r="D2584" t="str">
            <v>CORAL</v>
          </cell>
          <cell r="E2584">
            <v>30001</v>
          </cell>
          <cell r="F2584" t="str">
            <v>TINTA PAREDE</v>
          </cell>
          <cell r="G2584" t="str">
            <v>IMOBILIÁRIO</v>
          </cell>
        </row>
        <row r="2585">
          <cell r="A2585">
            <v>86620</v>
          </cell>
          <cell r="B2585" t="str">
            <v>CR RENDE MUITO CROMO SV 16L</v>
          </cell>
          <cell r="C2585">
            <v>5763550</v>
          </cell>
          <cell r="D2585" t="str">
            <v>CORAL</v>
          </cell>
          <cell r="E2585">
            <v>30001</v>
          </cell>
          <cell r="F2585" t="str">
            <v>TINTA PAREDE</v>
          </cell>
          <cell r="G2585" t="str">
            <v>IMOBILIÁRIO</v>
          </cell>
        </row>
        <row r="2586">
          <cell r="A2586">
            <v>86636</v>
          </cell>
          <cell r="B2586" t="str">
            <v>CR RENDE MUITO CROMO SV 3,2L</v>
          </cell>
          <cell r="C2586">
            <v>5763574</v>
          </cell>
          <cell r="D2586" t="str">
            <v>CORAL</v>
          </cell>
          <cell r="E2586">
            <v>30001</v>
          </cell>
          <cell r="F2586" t="str">
            <v>TINTA PAREDE</v>
          </cell>
          <cell r="G2586" t="str">
            <v>IMOBILIÁRIO</v>
          </cell>
        </row>
        <row r="2587">
          <cell r="A2587">
            <v>86635</v>
          </cell>
          <cell r="B2587" t="str">
            <v>CR RENDE MUITO LJ IMPERIAL 16L</v>
          </cell>
          <cell r="C2587">
            <v>5763572</v>
          </cell>
          <cell r="D2587" t="str">
            <v>CORAL</v>
          </cell>
          <cell r="E2587">
            <v>30001</v>
          </cell>
          <cell r="F2587" t="str">
            <v>TINTA PAREDE</v>
          </cell>
          <cell r="G2587" t="str">
            <v>IMOBILIÁRIO</v>
          </cell>
        </row>
        <row r="2588">
          <cell r="A2588">
            <v>86634</v>
          </cell>
          <cell r="B2588" t="str">
            <v>CR RENDE MUITO LJ IMPERIAL 3,2L</v>
          </cell>
          <cell r="C2588">
            <v>5763570</v>
          </cell>
          <cell r="D2588" t="str">
            <v>CORAL</v>
          </cell>
          <cell r="E2588">
            <v>30001</v>
          </cell>
          <cell r="F2588" t="str">
            <v>TINTA PAREDE</v>
          </cell>
          <cell r="G2588" t="str">
            <v>IMOBILIÁRIO</v>
          </cell>
        </row>
        <row r="2589">
          <cell r="A2589">
            <v>86633</v>
          </cell>
          <cell r="B2589" t="str">
            <v>CR RENDE MUITO LJ MARACATU 16L</v>
          </cell>
          <cell r="C2589">
            <v>5763569</v>
          </cell>
          <cell r="D2589" t="str">
            <v>CORAL</v>
          </cell>
          <cell r="E2589">
            <v>30001</v>
          </cell>
          <cell r="F2589" t="str">
            <v>TINTA PAREDE</v>
          </cell>
          <cell r="G2589" t="str">
            <v>IMOBILIÁRIO</v>
          </cell>
        </row>
        <row r="2590">
          <cell r="A2590">
            <v>86632</v>
          </cell>
          <cell r="B2590" t="str">
            <v>CR RENDE MUITO LJ MARACATU 3,2L</v>
          </cell>
          <cell r="C2590">
            <v>5763568</v>
          </cell>
          <cell r="D2590" t="str">
            <v>CORAL</v>
          </cell>
          <cell r="E2590">
            <v>30001</v>
          </cell>
          <cell r="F2590" t="str">
            <v>TINTA PAREDE</v>
          </cell>
          <cell r="G2590" t="str">
            <v>IMOBILIÁRIO</v>
          </cell>
        </row>
        <row r="2591">
          <cell r="A2591">
            <v>86650</v>
          </cell>
          <cell r="B2591" t="str">
            <v>CR RENDE MUITO MADEIRA ACINZENTADA 16L</v>
          </cell>
          <cell r="C2591">
            <v>5764214</v>
          </cell>
          <cell r="D2591" t="str">
            <v>CORAL</v>
          </cell>
          <cell r="E2591">
            <v>30001</v>
          </cell>
          <cell r="F2591" t="str">
            <v>TINTA PAREDE</v>
          </cell>
          <cell r="G2591" t="str">
            <v>IMOBILIÁRIO</v>
          </cell>
        </row>
        <row r="2592">
          <cell r="A2592">
            <v>86663</v>
          </cell>
          <cell r="B2592" t="str">
            <v>CR RENDE MUITO MADEIRA ACINZENTADA 3,2L</v>
          </cell>
          <cell r="C2592">
            <v>5765536</v>
          </cell>
          <cell r="D2592" t="str">
            <v>CORAL</v>
          </cell>
          <cell r="E2592">
            <v>30001</v>
          </cell>
          <cell r="F2592" t="str">
            <v>TINTA PAREDE</v>
          </cell>
          <cell r="G2592" t="str">
            <v>IMOBILIÁRIO</v>
          </cell>
        </row>
        <row r="2593">
          <cell r="A2593">
            <v>86631</v>
          </cell>
          <cell r="B2593" t="str">
            <v>CR RENDE MUITO MARFIM 16L</v>
          </cell>
          <cell r="C2593">
            <v>5763566</v>
          </cell>
          <cell r="D2593" t="str">
            <v>CORAL</v>
          </cell>
          <cell r="E2593">
            <v>30001</v>
          </cell>
          <cell r="F2593" t="str">
            <v>TINTA PAREDE</v>
          </cell>
          <cell r="G2593" t="str">
            <v>IMOBILIÁRIO</v>
          </cell>
        </row>
        <row r="2594">
          <cell r="A2594">
            <v>86630</v>
          </cell>
          <cell r="B2594" t="str">
            <v>CR RENDE MUITO MARFIM 3,2L</v>
          </cell>
          <cell r="C2594">
            <v>5763564</v>
          </cell>
          <cell r="D2594" t="str">
            <v>CORAL</v>
          </cell>
          <cell r="E2594">
            <v>30001</v>
          </cell>
          <cell r="F2594" t="str">
            <v>TINTA PAREDE</v>
          </cell>
          <cell r="G2594" t="str">
            <v>IMOBILIÁRIO</v>
          </cell>
        </row>
        <row r="2595">
          <cell r="A2595">
            <v>86629</v>
          </cell>
          <cell r="B2595" t="str">
            <v>CR RENDE MUITO OCEANO 16L</v>
          </cell>
          <cell r="C2595">
            <v>5763562</v>
          </cell>
          <cell r="D2595" t="str">
            <v>CORAL</v>
          </cell>
          <cell r="E2595">
            <v>30001</v>
          </cell>
          <cell r="F2595" t="str">
            <v>TINTA PAREDE</v>
          </cell>
          <cell r="G2595" t="str">
            <v>IMOBILIÁRIO</v>
          </cell>
        </row>
        <row r="2596">
          <cell r="A2596">
            <v>86628</v>
          </cell>
          <cell r="B2596" t="str">
            <v>CR RENDE MUITO OCEANO 3,2L</v>
          </cell>
          <cell r="C2596">
            <v>5763559</v>
          </cell>
          <cell r="D2596" t="str">
            <v>CORAL</v>
          </cell>
          <cell r="E2596">
            <v>30001</v>
          </cell>
          <cell r="F2596" t="str">
            <v>TINTA PAREDE</v>
          </cell>
          <cell r="G2596" t="str">
            <v>IMOBILIÁRIO</v>
          </cell>
        </row>
        <row r="2597">
          <cell r="A2597">
            <v>86627</v>
          </cell>
          <cell r="B2597" t="str">
            <v>CR RENDE MUITO PALHA 16L</v>
          </cell>
          <cell r="C2597">
            <v>5763558</v>
          </cell>
          <cell r="D2597" t="str">
            <v>CORAL</v>
          </cell>
          <cell r="E2597">
            <v>30001</v>
          </cell>
          <cell r="F2597" t="str">
            <v>TINTA PAREDE</v>
          </cell>
          <cell r="G2597" t="str">
            <v>IMOBILIÁRIO</v>
          </cell>
        </row>
        <row r="2598">
          <cell r="A2598">
            <v>86645</v>
          </cell>
          <cell r="B2598" t="str">
            <v>CR RENDE MUITO PALHA 3,2L</v>
          </cell>
          <cell r="C2598">
            <v>5763585</v>
          </cell>
          <cell r="D2598" t="str">
            <v>CORAL</v>
          </cell>
          <cell r="E2598">
            <v>30001</v>
          </cell>
          <cell r="F2598" t="str">
            <v>TINTA PAREDE</v>
          </cell>
          <cell r="G2598" t="str">
            <v>IMOBILIÁRIO</v>
          </cell>
        </row>
        <row r="2599">
          <cell r="A2599">
            <v>86644</v>
          </cell>
          <cell r="B2599" t="str">
            <v>CR RENDE MUITO PEROLA 16L</v>
          </cell>
          <cell r="C2599">
            <v>5763584</v>
          </cell>
          <cell r="D2599" t="str">
            <v>CORAL</v>
          </cell>
          <cell r="E2599">
            <v>30001</v>
          </cell>
          <cell r="F2599" t="str">
            <v>TINTA PAREDE</v>
          </cell>
          <cell r="G2599" t="str">
            <v>IMOBILIÁRIO</v>
          </cell>
        </row>
        <row r="2600">
          <cell r="A2600">
            <v>86643</v>
          </cell>
          <cell r="B2600" t="str">
            <v>CR RENDE MUITO PEROLA 3,2L</v>
          </cell>
          <cell r="C2600">
            <v>5763583</v>
          </cell>
          <cell r="D2600" t="str">
            <v>CORAL</v>
          </cell>
          <cell r="E2600">
            <v>30001</v>
          </cell>
          <cell r="F2600" t="str">
            <v>TINTA PAREDE</v>
          </cell>
          <cell r="G2600" t="str">
            <v>IMOBILIÁRIO</v>
          </cell>
        </row>
        <row r="2601">
          <cell r="A2601">
            <v>86648</v>
          </cell>
          <cell r="B2601" t="str">
            <v>CR RENDE MUITO POTE DE ARGILA 16L</v>
          </cell>
          <cell r="C2601">
            <v>5763974</v>
          </cell>
          <cell r="D2601" t="str">
            <v>CORAL</v>
          </cell>
          <cell r="E2601">
            <v>30001</v>
          </cell>
          <cell r="F2601" t="str">
            <v>TINTA PAREDE</v>
          </cell>
          <cell r="G2601" t="str">
            <v>IMOBILIÁRIO</v>
          </cell>
        </row>
        <row r="2602">
          <cell r="A2602">
            <v>86647</v>
          </cell>
          <cell r="B2602" t="str">
            <v>CR RENDE MUITO POTE DE ARGILA 3,2L</v>
          </cell>
          <cell r="C2602">
            <v>5763973</v>
          </cell>
          <cell r="D2602" t="str">
            <v>CORAL</v>
          </cell>
          <cell r="E2602">
            <v>30001</v>
          </cell>
          <cell r="F2602" t="str">
            <v>TINTA PAREDE</v>
          </cell>
          <cell r="G2602" t="str">
            <v>IMOBILIÁRIO</v>
          </cell>
        </row>
        <row r="2603">
          <cell r="A2603">
            <v>86658</v>
          </cell>
          <cell r="B2603" t="str">
            <v>CR RENDE MUITO SINO 16L</v>
          </cell>
          <cell r="C2603">
            <v>5764554</v>
          </cell>
          <cell r="D2603" t="str">
            <v>CORAL</v>
          </cell>
          <cell r="E2603">
            <v>30001</v>
          </cell>
          <cell r="F2603" t="str">
            <v>TINTA PAREDE</v>
          </cell>
          <cell r="G2603" t="str">
            <v>IMOBILIÁRIO</v>
          </cell>
        </row>
        <row r="2604">
          <cell r="A2604">
            <v>86657</v>
          </cell>
          <cell r="B2604" t="str">
            <v>CR RENDE MUITO SINO 3,2L</v>
          </cell>
          <cell r="C2604">
            <v>5764553</v>
          </cell>
          <cell r="D2604" t="str">
            <v>CORAL</v>
          </cell>
          <cell r="E2604">
            <v>30001</v>
          </cell>
          <cell r="F2604" t="str">
            <v>TINTA PAREDE</v>
          </cell>
          <cell r="G2604" t="str">
            <v>IMOBILIÁRIO</v>
          </cell>
        </row>
        <row r="2605">
          <cell r="A2605">
            <v>86655</v>
          </cell>
          <cell r="B2605" t="str">
            <v>CR RENDE MUITO SUCO DE GOIABA 16L</v>
          </cell>
          <cell r="C2605">
            <v>5764551</v>
          </cell>
          <cell r="D2605" t="str">
            <v>CORAL</v>
          </cell>
          <cell r="E2605">
            <v>30001</v>
          </cell>
          <cell r="F2605" t="str">
            <v>TINTA PAREDE</v>
          </cell>
          <cell r="G2605" t="str">
            <v>IMOBILIÁRIO</v>
          </cell>
        </row>
        <row r="2606">
          <cell r="A2606">
            <v>86664</v>
          </cell>
          <cell r="B2606" t="str">
            <v>CR RENDE MUITO SUCO DE GOIABA 3,2L</v>
          </cell>
          <cell r="C2606">
            <v>5765537</v>
          </cell>
          <cell r="D2606" t="str">
            <v>CORAL</v>
          </cell>
          <cell r="E2606">
            <v>30001</v>
          </cell>
          <cell r="F2606" t="str">
            <v>TINTA PAREDE</v>
          </cell>
          <cell r="G2606" t="str">
            <v>IMOBILIÁRIO</v>
          </cell>
        </row>
        <row r="2607">
          <cell r="A2607">
            <v>86661</v>
          </cell>
          <cell r="B2607" t="str">
            <v>CR RENDE MUITO TUBARAO BRANCO 16L</v>
          </cell>
          <cell r="C2607">
            <v>5764557</v>
          </cell>
          <cell r="D2607" t="str">
            <v>CORAL</v>
          </cell>
          <cell r="E2607">
            <v>30001</v>
          </cell>
          <cell r="F2607" t="str">
            <v>TINTA PAREDE</v>
          </cell>
          <cell r="G2607" t="str">
            <v>IMOBILIÁRIO</v>
          </cell>
        </row>
        <row r="2608">
          <cell r="A2608">
            <v>86651</v>
          </cell>
          <cell r="B2608" t="str">
            <v>CR RENDE MUITO TUBARAO BRANCO 3,2L</v>
          </cell>
          <cell r="C2608">
            <v>5764542</v>
          </cell>
          <cell r="D2608" t="str">
            <v>CORAL</v>
          </cell>
          <cell r="E2608">
            <v>30001</v>
          </cell>
          <cell r="F2608" t="str">
            <v>TINTA PAREDE</v>
          </cell>
          <cell r="G2608" t="str">
            <v>IMOBILIÁRIO</v>
          </cell>
        </row>
        <row r="2609">
          <cell r="A2609">
            <v>86641</v>
          </cell>
          <cell r="B2609" t="str">
            <v>CR RENDE MUITO VERDE ANGRA 16L</v>
          </cell>
          <cell r="C2609">
            <v>5763581</v>
          </cell>
          <cell r="D2609" t="str">
            <v>CORAL</v>
          </cell>
          <cell r="E2609">
            <v>30001</v>
          </cell>
          <cell r="F2609" t="str">
            <v>TINTA PAREDE</v>
          </cell>
          <cell r="G2609" t="str">
            <v>IMOBILIÁRIO</v>
          </cell>
        </row>
        <row r="2610">
          <cell r="A2610">
            <v>86642</v>
          </cell>
          <cell r="B2610" t="str">
            <v>CR RENDE MUITO VERDE ANGRA 3,2L</v>
          </cell>
          <cell r="C2610">
            <v>5763582</v>
          </cell>
          <cell r="D2610" t="str">
            <v>CORAL</v>
          </cell>
          <cell r="E2610">
            <v>30001</v>
          </cell>
          <cell r="F2610" t="str">
            <v>TINTA PAREDE</v>
          </cell>
          <cell r="G2610" t="str">
            <v>IMOBILIÁRIO</v>
          </cell>
        </row>
        <row r="2611">
          <cell r="A2611">
            <v>86640</v>
          </cell>
          <cell r="B2611" t="str">
            <v>CR RENDE MUITO VERDE KIWI 16L</v>
          </cell>
          <cell r="C2611">
            <v>5763578</v>
          </cell>
          <cell r="D2611" t="str">
            <v>CORAL</v>
          </cell>
          <cell r="E2611">
            <v>30001</v>
          </cell>
          <cell r="F2611" t="str">
            <v>TINTA PAREDE</v>
          </cell>
          <cell r="G2611" t="str">
            <v>IMOBILIÁRIO</v>
          </cell>
        </row>
        <row r="2612">
          <cell r="A2612">
            <v>86639</v>
          </cell>
          <cell r="B2612" t="str">
            <v>CR RENDE MUITO VERDE KIWI 3,2L</v>
          </cell>
          <cell r="C2612">
            <v>5763577</v>
          </cell>
          <cell r="D2612" t="str">
            <v>CORAL</v>
          </cell>
          <cell r="E2612">
            <v>30001</v>
          </cell>
          <cell r="F2612" t="str">
            <v>TINTA PAREDE</v>
          </cell>
          <cell r="G2612" t="str">
            <v>IMOBILIÁRIO</v>
          </cell>
        </row>
        <row r="2613">
          <cell r="A2613">
            <v>86638</v>
          </cell>
          <cell r="B2613" t="str">
            <v>CR RENDE MUITO VERDE LIMAO 16L</v>
          </cell>
          <cell r="C2613">
            <v>5763576</v>
          </cell>
          <cell r="D2613" t="str">
            <v>CORAL</v>
          </cell>
          <cell r="E2613">
            <v>30001</v>
          </cell>
          <cell r="F2613" t="str">
            <v>TINTA PAREDE</v>
          </cell>
          <cell r="G2613" t="str">
            <v>IMOBILIÁRIO</v>
          </cell>
        </row>
        <row r="2614">
          <cell r="A2614">
            <v>86637</v>
          </cell>
          <cell r="B2614" t="str">
            <v>CR RENDE MUITO VERDE LIMAO 3,2L</v>
          </cell>
          <cell r="C2614">
            <v>5763575</v>
          </cell>
          <cell r="D2614" t="str">
            <v>CORAL</v>
          </cell>
          <cell r="E2614">
            <v>30001</v>
          </cell>
          <cell r="F2614" t="str">
            <v>TINTA PAREDE</v>
          </cell>
          <cell r="G2614" t="str">
            <v>IMOBILIÁRIO</v>
          </cell>
        </row>
        <row r="2615">
          <cell r="A2615">
            <v>86179</v>
          </cell>
          <cell r="B2615" t="str">
            <v>CR RENOVA AZULEJOS AC BRANCO 3.6L</v>
          </cell>
          <cell r="C2615">
            <v>5208360</v>
          </cell>
          <cell r="D2615" t="str">
            <v>CORAL</v>
          </cell>
          <cell r="E2615">
            <v>30001</v>
          </cell>
          <cell r="F2615" t="str">
            <v>TINTA PAREDE</v>
          </cell>
          <cell r="G2615" t="str">
            <v>IMOBILIÁRIO</v>
          </cell>
        </row>
        <row r="2616">
          <cell r="A2616">
            <v>86180</v>
          </cell>
          <cell r="B2616" t="str">
            <v>CR RENOVA AZULEJOS AC BRANCO 900ML</v>
          </cell>
          <cell r="C2616">
            <v>5208361</v>
          </cell>
          <cell r="D2616" t="str">
            <v>CORAL</v>
          </cell>
          <cell r="E2616">
            <v>30001</v>
          </cell>
          <cell r="F2616" t="str">
            <v>TINTA PAREDE</v>
          </cell>
          <cell r="G2616" t="str">
            <v>IMOBILIÁRIO</v>
          </cell>
        </row>
        <row r="2617">
          <cell r="A2617">
            <v>86177</v>
          </cell>
          <cell r="B2617" t="str">
            <v>CR RENOVA AZULEJOS BR BRANCO 3.6L</v>
          </cell>
          <cell r="C2617">
            <v>5208094</v>
          </cell>
          <cell r="D2617" t="str">
            <v>CORAL</v>
          </cell>
          <cell r="E2617">
            <v>30001</v>
          </cell>
          <cell r="F2617" t="str">
            <v>TINTA PAREDE</v>
          </cell>
          <cell r="G2617" t="str">
            <v>IMOBILIÁRIO</v>
          </cell>
        </row>
        <row r="2618">
          <cell r="A2618">
            <v>86178</v>
          </cell>
          <cell r="B2618" t="str">
            <v>CR RENOVA AZULEJOS BR BRANCO 900ML</v>
          </cell>
          <cell r="C2618">
            <v>5208096</v>
          </cell>
          <cell r="D2618" t="str">
            <v>CORAL</v>
          </cell>
          <cell r="E2618">
            <v>30001</v>
          </cell>
          <cell r="F2618" t="str">
            <v>TINTA PAREDE</v>
          </cell>
          <cell r="G2618" t="str">
            <v>IMOBILIÁRIO</v>
          </cell>
        </row>
        <row r="2619">
          <cell r="A2619">
            <v>85847</v>
          </cell>
          <cell r="B2619" t="str">
            <v>CR RENOVA GESSO DRYWALL BCO 18L</v>
          </cell>
          <cell r="C2619">
            <v>5202491</v>
          </cell>
          <cell r="D2619" t="str">
            <v>CORAL</v>
          </cell>
          <cell r="E2619">
            <v>30001</v>
          </cell>
          <cell r="F2619" t="str">
            <v>TINTA PAREDE</v>
          </cell>
          <cell r="G2619" t="str">
            <v>IMOBILIÁRIO</v>
          </cell>
        </row>
        <row r="2620">
          <cell r="A2620">
            <v>85846</v>
          </cell>
          <cell r="B2620" t="str">
            <v>CR RENOVA GESSO DRYWALL BCO 3.6L</v>
          </cell>
          <cell r="C2620">
            <v>5202490</v>
          </cell>
          <cell r="D2620" t="str">
            <v>CORAL</v>
          </cell>
          <cell r="E2620">
            <v>30001</v>
          </cell>
          <cell r="F2620" t="str">
            <v>TINTA PAREDE</v>
          </cell>
          <cell r="G2620" t="str">
            <v>IMOBILIÁRIO</v>
          </cell>
        </row>
        <row r="2621">
          <cell r="A2621">
            <v>86331</v>
          </cell>
          <cell r="B2621" t="str">
            <v>CR RENOVA PAREDES FO ALG EGÍPCIO 3.2L</v>
          </cell>
          <cell r="C2621">
            <v>5300336</v>
          </cell>
          <cell r="D2621" t="str">
            <v>CORAL</v>
          </cell>
          <cell r="E2621">
            <v>30001</v>
          </cell>
          <cell r="F2621" t="str">
            <v>TINTA PAREDE</v>
          </cell>
          <cell r="G2621" t="str">
            <v>IMOBILIÁRIO</v>
          </cell>
        </row>
        <row r="2622">
          <cell r="A2622">
            <v>86556</v>
          </cell>
          <cell r="B2622" t="str">
            <v>CR RENOVA PAREDES FO AREIA 3.2L</v>
          </cell>
          <cell r="C2622">
            <v>5317959</v>
          </cell>
          <cell r="D2622" t="str">
            <v>CORAL</v>
          </cell>
          <cell r="E2622">
            <v>30001</v>
          </cell>
          <cell r="F2622" t="str">
            <v>TINTA PAREDE</v>
          </cell>
          <cell r="G2622" t="str">
            <v>IMOBILIÁRIO</v>
          </cell>
        </row>
        <row r="2623">
          <cell r="A2623">
            <v>86310</v>
          </cell>
          <cell r="B2623" t="str">
            <v>CR RENOVA PAREDES FO BRANCO 0.8L</v>
          </cell>
          <cell r="C2623">
            <v>5299826</v>
          </cell>
          <cell r="D2623" t="str">
            <v>CORAL</v>
          </cell>
          <cell r="E2623">
            <v>30001</v>
          </cell>
          <cell r="F2623" t="str">
            <v>TINTA PAREDE</v>
          </cell>
          <cell r="G2623" t="str">
            <v>IMOBILIÁRIO</v>
          </cell>
        </row>
        <row r="2624">
          <cell r="A2624">
            <v>86308</v>
          </cell>
          <cell r="B2624" t="str">
            <v>CR RENOVA PAREDES FO BRANCO 16L</v>
          </cell>
          <cell r="C2624">
            <v>5299822</v>
          </cell>
          <cell r="D2624" t="str">
            <v>CORAL</v>
          </cell>
          <cell r="E2624">
            <v>30001</v>
          </cell>
          <cell r="F2624" t="str">
            <v>TINTA PAREDE</v>
          </cell>
          <cell r="G2624" t="str">
            <v>IMOBILIÁRIO</v>
          </cell>
        </row>
        <row r="2625">
          <cell r="A2625">
            <v>86575</v>
          </cell>
          <cell r="B2625" t="str">
            <v>CR RENOVA PAREDES FO BRANCO 18L PLAST</v>
          </cell>
          <cell r="C2625">
            <v>5362967</v>
          </cell>
          <cell r="D2625" t="str">
            <v>CORAL</v>
          </cell>
          <cell r="E2625">
            <v>30001</v>
          </cell>
          <cell r="F2625" t="str">
            <v>TINTA PAREDE</v>
          </cell>
          <cell r="G2625" t="str">
            <v>IMOBILIÁRIO</v>
          </cell>
        </row>
        <row r="2626">
          <cell r="A2626">
            <v>86309</v>
          </cell>
          <cell r="B2626" t="str">
            <v>CR RENOVA PAREDES FO BRANCO 3.2L</v>
          </cell>
          <cell r="C2626">
            <v>5299824</v>
          </cell>
          <cell r="D2626" t="str">
            <v>CORAL</v>
          </cell>
          <cell r="E2626">
            <v>30001</v>
          </cell>
          <cell r="F2626" t="str">
            <v>TINTA PAREDE</v>
          </cell>
          <cell r="G2626" t="str">
            <v>IMOBILIÁRIO</v>
          </cell>
        </row>
        <row r="2627">
          <cell r="A2627">
            <v>86555</v>
          </cell>
          <cell r="B2627" t="str">
            <v>CR RENOVA PAREDES FO PALHA 16L</v>
          </cell>
          <cell r="C2627">
            <v>5317958</v>
          </cell>
          <cell r="D2627" t="str">
            <v>CORAL</v>
          </cell>
          <cell r="E2627">
            <v>30001</v>
          </cell>
          <cell r="F2627" t="str">
            <v>TINTA PAREDE</v>
          </cell>
          <cell r="G2627" t="str">
            <v>IMOBILIÁRIO</v>
          </cell>
        </row>
        <row r="2628">
          <cell r="A2628">
            <v>86557</v>
          </cell>
          <cell r="B2628" t="str">
            <v>CR RENOVA PAREDES FO PALHA 3.2L</v>
          </cell>
          <cell r="C2628">
            <v>5317960</v>
          </cell>
          <cell r="D2628" t="str">
            <v>CORAL</v>
          </cell>
          <cell r="E2628">
            <v>30001</v>
          </cell>
          <cell r="F2628" t="str">
            <v>TINTA PAREDE</v>
          </cell>
          <cell r="G2628" t="str">
            <v>IMOBILIÁRIO</v>
          </cell>
        </row>
        <row r="2629">
          <cell r="A2629">
            <v>85766</v>
          </cell>
          <cell r="B2629" t="str">
            <v>CR RENOVA TETOS BRANCO 3.6L</v>
          </cell>
          <cell r="C2629">
            <v>5202135</v>
          </cell>
          <cell r="D2629" t="str">
            <v>CORAL</v>
          </cell>
          <cell r="E2629">
            <v>30001</v>
          </cell>
          <cell r="F2629" t="str">
            <v>TINTA PAREDE</v>
          </cell>
          <cell r="G2629" t="str">
            <v>IMOBILIÁRIO</v>
          </cell>
        </row>
        <row r="2630">
          <cell r="A2630">
            <v>85767</v>
          </cell>
          <cell r="B2630" t="str">
            <v>CR RENOVA TETOS BRANCO 900ML</v>
          </cell>
          <cell r="C2630">
            <v>5202136</v>
          </cell>
          <cell r="D2630" t="str">
            <v>CORAL</v>
          </cell>
          <cell r="E2630">
            <v>30001</v>
          </cell>
          <cell r="F2630" t="str">
            <v>TINTA PAREDE</v>
          </cell>
          <cell r="G2630" t="str">
            <v>IMOBILIÁRIO</v>
          </cell>
        </row>
        <row r="2631">
          <cell r="A2631">
            <v>86255</v>
          </cell>
          <cell r="B2631" t="str">
            <v>CR SUPER LAVAVEL BRANCO 18L</v>
          </cell>
          <cell r="C2631">
            <v>5273334</v>
          </cell>
          <cell r="D2631" t="str">
            <v>CORAL</v>
          </cell>
          <cell r="E2631">
            <v>30001</v>
          </cell>
          <cell r="F2631" t="str">
            <v>TINTA PAREDE</v>
          </cell>
          <cell r="G2631" t="str">
            <v>IMOBILIÁRIO</v>
          </cell>
        </row>
        <row r="2632">
          <cell r="A2632">
            <v>86256</v>
          </cell>
          <cell r="B2632" t="str">
            <v>CR SUPER LAVAVEL BRANCO 3.6L</v>
          </cell>
          <cell r="C2632">
            <v>5273335</v>
          </cell>
          <cell r="D2632" t="str">
            <v>CORAL</v>
          </cell>
          <cell r="E2632">
            <v>30001</v>
          </cell>
          <cell r="F2632" t="str">
            <v>TINTA PAREDE</v>
          </cell>
          <cell r="G2632" t="str">
            <v>IMOBILIÁRIO</v>
          </cell>
        </row>
        <row r="2633">
          <cell r="A2633">
            <v>86254</v>
          </cell>
          <cell r="B2633" t="str">
            <v>CR SUPER LAVAVEL BRANCO GELO 18L</v>
          </cell>
          <cell r="C2633">
            <v>5273333</v>
          </cell>
          <cell r="D2633" t="str">
            <v>CORAL</v>
          </cell>
          <cell r="E2633">
            <v>30001</v>
          </cell>
          <cell r="F2633" t="str">
            <v>TINTA PAREDE</v>
          </cell>
          <cell r="G2633" t="str">
            <v>IMOBILIÁRIO</v>
          </cell>
        </row>
        <row r="2634">
          <cell r="A2634">
            <v>86257</v>
          </cell>
          <cell r="B2634" t="str">
            <v>CR SUPER LAVAVEL BRANCO GELO 3.6L</v>
          </cell>
          <cell r="C2634">
            <v>5273336</v>
          </cell>
          <cell r="D2634" t="str">
            <v>CORAL</v>
          </cell>
          <cell r="E2634">
            <v>30001</v>
          </cell>
          <cell r="F2634" t="str">
            <v>TINTA PAREDE</v>
          </cell>
          <cell r="G2634" t="str">
            <v>IMOBILIÁRIO</v>
          </cell>
        </row>
        <row r="2635">
          <cell r="A2635">
            <v>86818</v>
          </cell>
          <cell r="B2635" t="str">
            <v>CR SUPER LAVAVEL BRANCO PLAST 20L</v>
          </cell>
          <cell r="C2635">
            <v>5897690</v>
          </cell>
          <cell r="D2635" t="str">
            <v>CORAL</v>
          </cell>
          <cell r="E2635">
            <v>30001</v>
          </cell>
          <cell r="F2635" t="str">
            <v>TINTA PAREDE</v>
          </cell>
          <cell r="G2635" t="str">
            <v>IMOBILIÁRIO</v>
          </cell>
        </row>
        <row r="2636">
          <cell r="A2636">
            <v>85759</v>
          </cell>
          <cell r="B2636" t="str">
            <v>PD PAREDEX VA BATIDA DE KIWI 18L</v>
          </cell>
          <cell r="C2636">
            <v>5202046</v>
          </cell>
          <cell r="D2636" t="str">
            <v>CORAL</v>
          </cell>
          <cell r="E2636">
            <v>30001</v>
          </cell>
          <cell r="F2636" t="str">
            <v>TINTA PAREDE</v>
          </cell>
          <cell r="G2636" t="str">
            <v>IMOBILIÁRIO</v>
          </cell>
        </row>
        <row r="2637">
          <cell r="A2637">
            <v>85758</v>
          </cell>
          <cell r="B2637" t="str">
            <v>PD PAREDEX VA BATIDA DE KIWI 3.6L</v>
          </cell>
          <cell r="C2637">
            <v>5202045</v>
          </cell>
          <cell r="D2637" t="str">
            <v>CORAL</v>
          </cell>
          <cell r="E2637">
            <v>30001</v>
          </cell>
          <cell r="F2637" t="str">
            <v>TINTA PAREDE</v>
          </cell>
          <cell r="G2637" t="str">
            <v>IMOBILIÁRIO</v>
          </cell>
        </row>
        <row r="2638">
          <cell r="A2638">
            <v>85760</v>
          </cell>
          <cell r="B2638" t="str">
            <v>PD PAREDEX VA CEU MARAGOGI 18L</v>
          </cell>
          <cell r="C2638">
            <v>5202052</v>
          </cell>
          <cell r="D2638" t="str">
            <v>CORAL</v>
          </cell>
          <cell r="E2638">
            <v>30001</v>
          </cell>
          <cell r="F2638" t="str">
            <v>TINTA PAREDE</v>
          </cell>
          <cell r="G2638" t="str">
            <v>IMOBILIÁRIO</v>
          </cell>
        </row>
        <row r="2639">
          <cell r="A2639">
            <v>85765</v>
          </cell>
          <cell r="B2639" t="str">
            <v>PD PAREDEX VA MARFIM BRASILEIRO 18L</v>
          </cell>
          <cell r="C2639">
            <v>5202064</v>
          </cell>
          <cell r="D2639" t="str">
            <v>CORAL</v>
          </cell>
          <cell r="E2639">
            <v>30001</v>
          </cell>
          <cell r="F2639" t="str">
            <v>TINTA PAREDE</v>
          </cell>
          <cell r="G2639" t="str">
            <v>IMOBILIÁRIO</v>
          </cell>
        </row>
        <row r="2640">
          <cell r="A2640">
            <v>85764</v>
          </cell>
          <cell r="B2640" t="str">
            <v>PD PAREDEX VA MARFIM BRASILEIRO 3.6L</v>
          </cell>
          <cell r="C2640">
            <v>5202063</v>
          </cell>
          <cell r="D2640" t="str">
            <v>CORAL</v>
          </cell>
          <cell r="E2640">
            <v>30001</v>
          </cell>
          <cell r="F2640" t="str">
            <v>TINTA PAREDE</v>
          </cell>
          <cell r="G2640" t="str">
            <v>IMOBILIÁRIO</v>
          </cell>
        </row>
        <row r="2641">
          <cell r="A2641">
            <v>85761</v>
          </cell>
          <cell r="B2641" t="str">
            <v>PD PAREDEX VA PEROLA DO ATLANTICO 3.6L</v>
          </cell>
          <cell r="C2641">
            <v>5202059</v>
          </cell>
          <cell r="D2641" t="str">
            <v>CORAL</v>
          </cell>
          <cell r="E2641">
            <v>30001</v>
          </cell>
          <cell r="F2641" t="str">
            <v>TINTA PAREDE</v>
          </cell>
          <cell r="G2641" t="str">
            <v>IMOBILIÁRIO</v>
          </cell>
        </row>
        <row r="2642">
          <cell r="A2642">
            <v>85751</v>
          </cell>
          <cell r="B2642" t="str">
            <v>PD PAREDEX VA PESSEGO TROPICAL 18L</v>
          </cell>
          <cell r="C2642">
            <v>5202030</v>
          </cell>
          <cell r="D2642" t="str">
            <v>CORAL</v>
          </cell>
          <cell r="E2642">
            <v>30001</v>
          </cell>
          <cell r="F2642" t="str">
            <v>TINTA PAREDE</v>
          </cell>
          <cell r="G2642" t="str">
            <v>IMOBILIÁRIO</v>
          </cell>
        </row>
        <row r="2643">
          <cell r="A2643">
            <v>85750</v>
          </cell>
          <cell r="B2643" t="str">
            <v>PD PAREDEX VA PESSEGO TROPICAL 3.6L</v>
          </cell>
          <cell r="C2643">
            <v>5202029</v>
          </cell>
          <cell r="D2643" t="str">
            <v>CORAL</v>
          </cell>
          <cell r="E2643">
            <v>30001</v>
          </cell>
          <cell r="F2643" t="str">
            <v>TINTA PAREDE</v>
          </cell>
          <cell r="G2643" t="str">
            <v>IMOBILIÁRIO</v>
          </cell>
        </row>
        <row r="2644">
          <cell r="A2644">
            <v>85753</v>
          </cell>
          <cell r="B2644" t="str">
            <v>PD PAREDEX VA SOL IPANEMA 18L</v>
          </cell>
          <cell r="C2644">
            <v>5202038</v>
          </cell>
          <cell r="D2644" t="str">
            <v>CORAL</v>
          </cell>
          <cell r="E2644">
            <v>30001</v>
          </cell>
          <cell r="F2644" t="str">
            <v>TINTA PAREDE</v>
          </cell>
          <cell r="G2644" t="str">
            <v>IMOBILIÁRIO</v>
          </cell>
        </row>
        <row r="2645">
          <cell r="A2645">
            <v>85757</v>
          </cell>
          <cell r="B2645" t="str">
            <v>PD PAREDEX VA VERDE NORONHA 18L</v>
          </cell>
          <cell r="C2645">
            <v>5202044</v>
          </cell>
          <cell r="D2645" t="str">
            <v>CORAL</v>
          </cell>
          <cell r="E2645">
            <v>30001</v>
          </cell>
          <cell r="F2645" t="str">
            <v>TINTA PAREDE</v>
          </cell>
          <cell r="G2645" t="str">
            <v>IMOBILIÁRIO</v>
          </cell>
        </row>
        <row r="2646">
          <cell r="A2646">
            <v>85756</v>
          </cell>
          <cell r="B2646" t="str">
            <v>PD PAREDEX VA VERDE NORONHA 3.6L</v>
          </cell>
          <cell r="C2646">
            <v>5202043</v>
          </cell>
          <cell r="D2646" t="str">
            <v>CORAL</v>
          </cell>
          <cell r="E2646">
            <v>30001</v>
          </cell>
          <cell r="F2646" t="str">
            <v>TINTA PAREDE</v>
          </cell>
          <cell r="G2646" t="str">
            <v>IMOBILIÁRIO</v>
          </cell>
        </row>
        <row r="2647">
          <cell r="A2647">
            <v>85752</v>
          </cell>
          <cell r="B2647" t="str">
            <v>PD PAREDEX VA VERMELHO FARROUPILHA 18L</v>
          </cell>
          <cell r="C2647">
            <v>5202036</v>
          </cell>
          <cell r="D2647" t="str">
            <v>CORAL</v>
          </cell>
          <cell r="E2647">
            <v>30001</v>
          </cell>
          <cell r="F2647" t="str">
            <v>TINTA PAREDE</v>
          </cell>
          <cell r="G2647" t="str">
            <v>IMOBILIÁRIO</v>
          </cell>
        </row>
        <row r="2648">
          <cell r="A2648">
            <v>85213</v>
          </cell>
          <cell r="B2648" t="str">
            <v>TINTA  ACRILICA RENDE COBRE MUITO AREIA 18LT SUVINIL</v>
          </cell>
          <cell r="C2648">
            <v>88017</v>
          </cell>
          <cell r="D2648" t="str">
            <v>SUVINIL</v>
          </cell>
          <cell r="E2648">
            <v>30001</v>
          </cell>
          <cell r="F2648" t="str">
            <v>TINTA PAREDE</v>
          </cell>
          <cell r="G2648" t="str">
            <v>IMOBILIÁRIO</v>
          </cell>
        </row>
        <row r="2649">
          <cell r="A2649">
            <v>85345</v>
          </cell>
          <cell r="B2649" t="str">
            <v>TINTA ACRILICA ECONOMICA GELO BALDE 16KG INOVE</v>
          </cell>
          <cell r="C2649">
            <v>115479</v>
          </cell>
          <cell r="D2649" t="str">
            <v>DÁVILA  INOVE</v>
          </cell>
          <cell r="E2649">
            <v>30001</v>
          </cell>
          <cell r="F2649" t="str">
            <v>TINTA PAREDE</v>
          </cell>
          <cell r="G2649" t="str">
            <v>IMOBILIÁRIO</v>
          </cell>
        </row>
        <row r="2650">
          <cell r="A2650">
            <v>85346</v>
          </cell>
          <cell r="B2650" t="str">
            <v>TINTA ACRILICA ECONOMICA NEVE BALDE 16KG INOVE</v>
          </cell>
          <cell r="C2650">
            <v>115478</v>
          </cell>
          <cell r="D2650" t="str">
            <v>DÁVILA  INOVE</v>
          </cell>
          <cell r="E2650">
            <v>30001</v>
          </cell>
          <cell r="F2650" t="str">
            <v>TINTA PAREDE</v>
          </cell>
          <cell r="G2650" t="str">
            <v>IMOBILIÁRIO</v>
          </cell>
        </row>
        <row r="2651">
          <cell r="A2651">
            <v>21341</v>
          </cell>
          <cell r="B2651" t="str">
            <v>CAVALETE DE PREPARAÇÃO AI 02</v>
          </cell>
          <cell r="C2651" t="str">
            <v>AI-02</v>
          </cell>
          <cell r="D2651" t="str">
            <v>ARCO IRIS (CAVELETES)</v>
          </cell>
          <cell r="E2651">
            <v>20065</v>
          </cell>
          <cell r="F2651" t="str">
            <v>CAVALETES</v>
          </cell>
          <cell r="G2651" t="str">
            <v>AUTOMOTIVO</v>
          </cell>
        </row>
        <row r="2652">
          <cell r="A2652">
            <v>85595</v>
          </cell>
          <cell r="B2652" t="str">
            <v>CAVALETE DE PREPARAÇÃO AI 08</v>
          </cell>
          <cell r="D2652" t="str">
            <v>ARCO IRIS (CAVELETES)</v>
          </cell>
          <cell r="E2652">
            <v>20065</v>
          </cell>
          <cell r="F2652" t="str">
            <v>CAVALETES</v>
          </cell>
          <cell r="G2652" t="str">
            <v>AUTOMOTIVO</v>
          </cell>
        </row>
        <row r="2653">
          <cell r="A2653">
            <v>85598</v>
          </cell>
          <cell r="B2653" t="str">
            <v>CAVALETE DE PREPARAÇÃO C/ RODIZIO AI 07</v>
          </cell>
          <cell r="C2653" t="str">
            <v>AI-07</v>
          </cell>
          <cell r="D2653" t="str">
            <v>ARCO IRIS (CAVELETES)</v>
          </cell>
          <cell r="E2653">
            <v>20065</v>
          </cell>
          <cell r="F2653" t="str">
            <v>CAVALETES</v>
          </cell>
          <cell r="G2653" t="str">
            <v>AUTOMOTIVO</v>
          </cell>
        </row>
        <row r="2654">
          <cell r="A2654">
            <v>23696</v>
          </cell>
          <cell r="B2654" t="str">
            <v>CAVALETE DE PREPARAÇÃO CPP-04</v>
          </cell>
          <cell r="C2654">
            <v>1953</v>
          </cell>
          <cell r="D2654" t="str">
            <v>ARCO IRIS (CAVELETES)</v>
          </cell>
          <cell r="E2654">
            <v>20065</v>
          </cell>
          <cell r="F2654" t="str">
            <v>CAVALETES</v>
          </cell>
          <cell r="G2654" t="str">
            <v>AUTOMOTIVO</v>
          </cell>
        </row>
        <row r="2655">
          <cell r="A2655">
            <v>85596</v>
          </cell>
          <cell r="B2655" t="str">
            <v>CAVALETE DISPENSADOR DE PAPEL AI 15</v>
          </cell>
          <cell r="C2655" t="str">
            <v>AI-15</v>
          </cell>
          <cell r="D2655" t="str">
            <v>ARCO IRIS (CAVELETES)</v>
          </cell>
          <cell r="E2655">
            <v>20065</v>
          </cell>
          <cell r="F2655" t="str">
            <v>CAVALETES</v>
          </cell>
          <cell r="G2655" t="str">
            <v>AUTOMOTIVO</v>
          </cell>
        </row>
        <row r="2656">
          <cell r="A2656">
            <v>23700</v>
          </cell>
          <cell r="B2656" t="str">
            <v>CAVALETE P/ PARACHOQUE AI 05</v>
          </cell>
          <cell r="C2656" t="str">
            <v>AI-05</v>
          </cell>
          <cell r="D2656" t="str">
            <v>ARCO IRIS (CAVELETES)</v>
          </cell>
          <cell r="E2656">
            <v>20065</v>
          </cell>
          <cell r="F2656" t="str">
            <v>CAVALETES</v>
          </cell>
          <cell r="G2656" t="str">
            <v>AUTOMOTIVO</v>
          </cell>
        </row>
        <row r="2657">
          <cell r="A2657">
            <v>23778</v>
          </cell>
          <cell r="B2657" t="str">
            <v>CAVALETE PREP AI-01 (FECHADO)</v>
          </cell>
          <cell r="C2657">
            <v>2333</v>
          </cell>
          <cell r="D2657" t="str">
            <v>ARCO IRIS (CAVELETES)</v>
          </cell>
          <cell r="E2657">
            <v>20065</v>
          </cell>
          <cell r="F2657" t="str">
            <v>CAVALETES</v>
          </cell>
          <cell r="G2657" t="str">
            <v>AUTOMOTIVO</v>
          </cell>
        </row>
        <row r="2658">
          <cell r="A2658">
            <v>85230</v>
          </cell>
          <cell r="B2658" t="str">
            <v>TINTA POLIESTER LISO 3,6L DILUIDO</v>
          </cell>
          <cell r="D2658" t="str">
            <v>TINTAS PRODUZIDAS</v>
          </cell>
          <cell r="E2658">
            <v>20064</v>
          </cell>
          <cell r="F2658" t="str">
            <v>TINTAS PRODUZIDAS</v>
          </cell>
          <cell r="G2658" t="str">
            <v>AUTOMOTIVO</v>
          </cell>
        </row>
        <row r="2659">
          <cell r="A2659">
            <v>85231</v>
          </cell>
          <cell r="B2659" t="str">
            <v>TINTA POLIESTER METALICO 3,6L DILUIDO</v>
          </cell>
          <cell r="D2659" t="str">
            <v>TINTAS PRODUZIDAS</v>
          </cell>
          <cell r="E2659">
            <v>20064</v>
          </cell>
          <cell r="F2659" t="str">
            <v>TINTAS PRODUZIDAS</v>
          </cell>
          <cell r="G2659" t="str">
            <v>AUTOMOTIVO</v>
          </cell>
        </row>
        <row r="2660">
          <cell r="A2660">
            <v>85232</v>
          </cell>
          <cell r="B2660" t="str">
            <v>TINTA PU BRANCO 3,6L CONCENTRADO</v>
          </cell>
          <cell r="D2660" t="str">
            <v>TINTAS PRODUZIDAS</v>
          </cell>
          <cell r="E2660">
            <v>20064</v>
          </cell>
          <cell r="F2660" t="str">
            <v>TINTAS PRODUZIDAS</v>
          </cell>
          <cell r="G2660" t="str">
            <v>AUTOMOTIVO</v>
          </cell>
        </row>
        <row r="2661">
          <cell r="A2661">
            <v>85028</v>
          </cell>
          <cell r="B2661" t="str">
            <v>TINTA</v>
          </cell>
          <cell r="D2661" t="str">
            <v>BRASILUX</v>
          </cell>
          <cell r="E2661">
            <v>20063</v>
          </cell>
          <cell r="F2661" t="str">
            <v>TINTA DE LABORATÓRIO</v>
          </cell>
          <cell r="G2661" t="str">
            <v>AUTOMOTIVO</v>
          </cell>
        </row>
        <row r="2662">
          <cell r="A2662">
            <v>20005</v>
          </cell>
          <cell r="B2662" t="str">
            <v>TINTA AKZO NOBEL</v>
          </cell>
          <cell r="C2662" t="str">
            <v>TINTA</v>
          </cell>
          <cell r="D2662" t="str">
            <v>WANDA</v>
          </cell>
          <cell r="E2662">
            <v>20063</v>
          </cell>
          <cell r="F2662" t="str">
            <v>TINTA DE LABORATÓRIO</v>
          </cell>
          <cell r="G2662" t="str">
            <v>AUTOMOTIVO</v>
          </cell>
        </row>
        <row r="2663">
          <cell r="A2663">
            <v>85135</v>
          </cell>
          <cell r="B2663" t="str">
            <v>TINTA BRASIMIX</v>
          </cell>
          <cell r="D2663" t="str">
            <v>BRASILUX</v>
          </cell>
          <cell r="E2663">
            <v>20063</v>
          </cell>
          <cell r="F2663" t="str">
            <v>TINTA DE LABORATÓRIO</v>
          </cell>
          <cell r="G2663" t="str">
            <v>AUTOMOTIVO</v>
          </cell>
        </row>
        <row r="2664">
          <cell r="A2664">
            <v>85136</v>
          </cell>
          <cell r="B2664" t="str">
            <v>TINTA SKYMIX</v>
          </cell>
          <cell r="D2664" t="str">
            <v>SKY</v>
          </cell>
          <cell r="E2664">
            <v>20063</v>
          </cell>
          <cell r="F2664" t="str">
            <v>TINTA DE LABORATÓRIO</v>
          </cell>
          <cell r="G2664" t="str">
            <v>AUTOMOTIVO</v>
          </cell>
        </row>
        <row r="2665">
          <cell r="A2665">
            <v>85638</v>
          </cell>
          <cell r="B2665" t="str">
            <v>DESCARBONIZANTE UNICAR80 LATA 300ML/170G UNIPEGA</v>
          </cell>
          <cell r="C2665" t="str">
            <v>AES0534.0036</v>
          </cell>
          <cell r="D2665" t="str">
            <v>UNIPEGA</v>
          </cell>
          <cell r="E2665">
            <v>20062</v>
          </cell>
          <cell r="F2665" t="str">
            <v>DESENGRIPANTE</v>
          </cell>
          <cell r="G2665" t="str">
            <v>AUTOMOTIVO</v>
          </cell>
        </row>
        <row r="2666">
          <cell r="A2666">
            <v>23737</v>
          </cell>
          <cell r="B2666" t="str">
            <v>DESENGRIPANTE 300ML PEROLA</v>
          </cell>
          <cell r="C2666">
            <v>290001</v>
          </cell>
          <cell r="D2666" t="str">
            <v>PEROLA</v>
          </cell>
          <cell r="E2666">
            <v>20062</v>
          </cell>
          <cell r="F2666" t="str">
            <v>DESENGRIPANTE</v>
          </cell>
          <cell r="G2666" t="str">
            <v>AUTOMOTIVO</v>
          </cell>
        </row>
        <row r="2667">
          <cell r="A2667">
            <v>85635</v>
          </cell>
          <cell r="B2667" t="str">
            <v>DESENGRIPANTE UNILUB 300ML/150G UNIPEGA</v>
          </cell>
          <cell r="C2667" t="str">
            <v>AES0534.0001</v>
          </cell>
          <cell r="D2667" t="str">
            <v>UNIPEGA</v>
          </cell>
          <cell r="E2667">
            <v>20062</v>
          </cell>
          <cell r="F2667" t="str">
            <v>DESENGRIPANTE</v>
          </cell>
          <cell r="G2667" t="str">
            <v>AUTOMOTIVO</v>
          </cell>
        </row>
        <row r="2668">
          <cell r="A2668">
            <v>85636</v>
          </cell>
          <cell r="B2668" t="str">
            <v>GRAFITE SPRAY LATA 300ML/150G UNIPEGA</v>
          </cell>
          <cell r="C2668" t="str">
            <v>AES0534.0068</v>
          </cell>
          <cell r="D2668" t="str">
            <v>UNIPEGA</v>
          </cell>
          <cell r="E2668">
            <v>20062</v>
          </cell>
          <cell r="F2668" t="str">
            <v>DESENGRIPANTE</v>
          </cell>
          <cell r="G2668" t="str">
            <v>AUTOMOTIVO</v>
          </cell>
        </row>
        <row r="2669">
          <cell r="A2669">
            <v>85637</v>
          </cell>
          <cell r="B2669" t="str">
            <v>LIMPA CONTATO LATA 300ML/170G UNIPEGA</v>
          </cell>
          <cell r="C2669" t="str">
            <v>AES0534.0012</v>
          </cell>
          <cell r="D2669" t="str">
            <v>UNIPEGA</v>
          </cell>
          <cell r="E2669">
            <v>20062</v>
          </cell>
          <cell r="F2669" t="str">
            <v>DESENGRIPANTE</v>
          </cell>
          <cell r="G2669" t="str">
            <v>AUTOMOTIVO</v>
          </cell>
        </row>
        <row r="2670">
          <cell r="A2670">
            <v>85626</v>
          </cell>
          <cell r="B2670" t="str">
            <v>OLEO DESENGRIPANTE 300ML/200G WD-40</v>
          </cell>
          <cell r="C2670">
            <v>912050</v>
          </cell>
          <cell r="D2670" t="str">
            <v>WD-40</v>
          </cell>
          <cell r="E2670">
            <v>20062</v>
          </cell>
          <cell r="F2670" t="str">
            <v>DESENGRIPANTE</v>
          </cell>
          <cell r="G2670" t="str">
            <v>AUTOMOTIVO</v>
          </cell>
        </row>
        <row r="2671">
          <cell r="A2671">
            <v>24377</v>
          </cell>
          <cell r="B2671" t="str">
            <v>WHITE LUB DESENGRIPANTE COMPLETO 300ML ORBI</v>
          </cell>
          <cell r="C2671">
            <v>146</v>
          </cell>
          <cell r="D2671" t="str">
            <v>ORBI</v>
          </cell>
          <cell r="E2671">
            <v>20062</v>
          </cell>
          <cell r="F2671" t="str">
            <v>DESENGRIPANTE</v>
          </cell>
          <cell r="G2671" t="str">
            <v>AUTOMOTIVO</v>
          </cell>
        </row>
        <row r="2672">
          <cell r="A2672">
            <v>85705</v>
          </cell>
          <cell r="B2672" t="str">
            <v>KIT MARCAÇÃO DE CHASSI EM VIDRO</v>
          </cell>
          <cell r="C2672">
            <v>1</v>
          </cell>
          <cell r="D2672" t="str">
            <v>BJC GRAVAÇÕES</v>
          </cell>
          <cell r="E2672">
            <v>20061</v>
          </cell>
          <cell r="F2672" t="str">
            <v xml:space="preserve">MANTA </v>
          </cell>
          <cell r="G2672" t="str">
            <v>AUTOMOTIVO</v>
          </cell>
        </row>
        <row r="2673">
          <cell r="A2673">
            <v>23922</v>
          </cell>
          <cell r="B2673" t="str">
            <v>MANTA DE FIBRA DE VIDRO 250G ROYAL</v>
          </cell>
          <cell r="C2673" t="str">
            <v>MANTA-250-CX1</v>
          </cell>
          <cell r="D2673" t="str">
            <v>ROYAL</v>
          </cell>
          <cell r="E2673">
            <v>20061</v>
          </cell>
          <cell r="F2673" t="str">
            <v xml:space="preserve">MANTA </v>
          </cell>
          <cell r="G2673" t="str">
            <v>AUTOMOTIVO</v>
          </cell>
        </row>
        <row r="2674">
          <cell r="A2674">
            <v>23369</v>
          </cell>
          <cell r="B2674" t="str">
            <v>MANTA DE FIBRA DE VIDRO 500G ROYAL</v>
          </cell>
          <cell r="C2674" t="str">
            <v>MANTA-500-CX1</v>
          </cell>
          <cell r="D2674" t="str">
            <v>ROYAL</v>
          </cell>
          <cell r="E2674">
            <v>20061</v>
          </cell>
          <cell r="F2674" t="str">
            <v xml:space="preserve">MANTA </v>
          </cell>
          <cell r="G2674" t="str">
            <v>AUTOMOTIVO</v>
          </cell>
        </row>
        <row r="2675">
          <cell r="A2675">
            <v>20041</v>
          </cell>
          <cell r="B2675" t="str">
            <v>MANTA DE VIDRO 300G RETOQUE</v>
          </cell>
          <cell r="C2675">
            <v>100500</v>
          </cell>
          <cell r="D2675" t="str">
            <v>RETOQUE</v>
          </cell>
          <cell r="E2675">
            <v>20061</v>
          </cell>
          <cell r="F2675" t="str">
            <v xml:space="preserve">MANTA </v>
          </cell>
          <cell r="G2675" t="str">
            <v>AUTOMOTIVO</v>
          </cell>
        </row>
        <row r="2676">
          <cell r="A2676">
            <v>21492</v>
          </cell>
          <cell r="B2676" t="str">
            <v>MANTA EM FIBRA VIDRO (PISO)</v>
          </cell>
          <cell r="C2676" t="str">
            <v>MVP190</v>
          </cell>
          <cell r="D2676" t="str">
            <v>YVYTU</v>
          </cell>
          <cell r="E2676">
            <v>20061</v>
          </cell>
          <cell r="F2676" t="str">
            <v xml:space="preserve">MANTA </v>
          </cell>
          <cell r="G2676" t="str">
            <v>AUTOMOTIVO</v>
          </cell>
        </row>
        <row r="2677">
          <cell r="A2677">
            <v>21438</v>
          </cell>
          <cell r="B2677" t="str">
            <v>MANTA FILTRANTE EM FIBRA - BRANCA (TETO)</v>
          </cell>
          <cell r="C2677" t="str">
            <v>MSPR</v>
          </cell>
          <cell r="D2677" t="str">
            <v>YVYTU</v>
          </cell>
          <cell r="E2677">
            <v>20061</v>
          </cell>
          <cell r="F2677" t="str">
            <v xml:space="preserve">MANTA </v>
          </cell>
          <cell r="G2677" t="str">
            <v>AUTOMOTIVO</v>
          </cell>
        </row>
        <row r="2678">
          <cell r="A2678">
            <v>24375</v>
          </cell>
          <cell r="B2678" t="str">
            <v>BATE PEDRA BRANCO PREMIUM 0,900ML MAXI RUBBER-20,55-ST</v>
          </cell>
          <cell r="C2678" t="str">
            <v>4MA029</v>
          </cell>
          <cell r="D2678" t="str">
            <v>MAXI RUBBER</v>
          </cell>
          <cell r="E2678">
            <v>20060</v>
          </cell>
          <cell r="F2678" t="str">
            <v>LAMINAÇÃO / PROTEÇÃO</v>
          </cell>
          <cell r="G2678" t="str">
            <v>AUTOMOTIVO</v>
          </cell>
        </row>
        <row r="2679">
          <cell r="A2679">
            <v>84542</v>
          </cell>
          <cell r="B2679" t="str">
            <v>MANTA DE FIBRA DE VIDRO MEDIDA 1,40M X 0,33M CARPLAST</v>
          </cell>
          <cell r="C2679" t="str">
            <v>CA253</v>
          </cell>
          <cell r="D2679" t="str">
            <v>MAXI RUBBER</v>
          </cell>
          <cell r="E2679">
            <v>20060</v>
          </cell>
          <cell r="F2679" t="str">
            <v>LAMINAÇÃO / PROTEÇÃO</v>
          </cell>
          <cell r="G2679" t="str">
            <v>AUTOMOTIVO</v>
          </cell>
        </row>
        <row r="2680">
          <cell r="A2680">
            <v>83923</v>
          </cell>
          <cell r="B2680" t="str">
            <v>MANTA DE FIBRA DE VIDRO MEDIDA 1,40M X 0,50M CARPLAST</v>
          </cell>
          <cell r="C2680" t="str">
            <v>CA049</v>
          </cell>
          <cell r="D2680" t="str">
            <v>MAXI RUBBER</v>
          </cell>
          <cell r="E2680">
            <v>20060</v>
          </cell>
          <cell r="F2680" t="str">
            <v>LAMINAÇÃO / PROTEÇÃO</v>
          </cell>
          <cell r="G2680" t="str">
            <v>AUTOMOTIVO</v>
          </cell>
        </row>
        <row r="2681">
          <cell r="A2681">
            <v>20115</v>
          </cell>
          <cell r="B2681" t="str">
            <v>MANTA DE FIBRA DE VIDRO MEDIDA 1,40M X 0,80M MAX RUBBER</v>
          </cell>
          <cell r="C2681" t="str">
            <v>8MP047</v>
          </cell>
          <cell r="D2681" t="str">
            <v>MAXI RUBBER</v>
          </cell>
          <cell r="E2681">
            <v>20060</v>
          </cell>
          <cell r="F2681" t="str">
            <v>LAMINAÇÃO / PROTEÇÃO</v>
          </cell>
          <cell r="G2681" t="str">
            <v>AUTOMOTIVO</v>
          </cell>
        </row>
        <row r="2682">
          <cell r="A2682">
            <v>10077</v>
          </cell>
          <cell r="B2682" t="str">
            <v>REV. PROT. TEXTURIZADO 900ML 3M</v>
          </cell>
          <cell r="C2682" t="str">
            <v>H0002218982</v>
          </cell>
          <cell r="D2682" t="str">
            <v>3M</v>
          </cell>
          <cell r="E2682">
            <v>20060</v>
          </cell>
          <cell r="F2682" t="str">
            <v>LAMINAÇÃO / PROTEÇÃO</v>
          </cell>
          <cell r="G2682" t="str">
            <v>AUTOMOTIVO</v>
          </cell>
        </row>
        <row r="2683">
          <cell r="A2683">
            <v>84875</v>
          </cell>
          <cell r="B2683" t="str">
            <v>ROBLINER NEGRO 600ML ROBERLO</v>
          </cell>
          <cell r="C2683">
            <v>66599</v>
          </cell>
          <cell r="D2683" t="str">
            <v>ROBERLO</v>
          </cell>
          <cell r="E2683">
            <v>20060</v>
          </cell>
          <cell r="F2683" t="str">
            <v>LAMINAÇÃO / PROTEÇÃO</v>
          </cell>
          <cell r="G2683" t="str">
            <v>AUTOMOTIVO</v>
          </cell>
        </row>
        <row r="2684">
          <cell r="A2684">
            <v>23585</v>
          </cell>
          <cell r="B2684" t="str">
            <v>SILTEX 400 PRETO 900G ROBERLO</v>
          </cell>
          <cell r="C2684">
            <v>66408</v>
          </cell>
          <cell r="D2684" t="str">
            <v>ROBERLO</v>
          </cell>
          <cell r="E2684">
            <v>20060</v>
          </cell>
          <cell r="F2684" t="str">
            <v>LAMINAÇÃO / PROTEÇÃO</v>
          </cell>
          <cell r="G2684" t="str">
            <v>AUTOMOTIVO</v>
          </cell>
        </row>
        <row r="2685">
          <cell r="A2685">
            <v>20949</v>
          </cell>
          <cell r="B2685" t="str">
            <v>SILTEX 800 NEGRO 1KG ROBERLO</v>
          </cell>
          <cell r="C2685">
            <v>63067</v>
          </cell>
          <cell r="D2685" t="str">
            <v>ROBERLO</v>
          </cell>
          <cell r="E2685">
            <v>20060</v>
          </cell>
          <cell r="F2685" t="str">
            <v>LAMINAÇÃO / PROTEÇÃO</v>
          </cell>
          <cell r="G2685" t="str">
            <v>AUTOMOTIVO</v>
          </cell>
        </row>
        <row r="2686">
          <cell r="A2686">
            <v>83924</v>
          </cell>
          <cell r="B2686" t="str">
            <v>SILTEX BRANCO 1KG ROBERLO</v>
          </cell>
          <cell r="C2686">
            <v>63069</v>
          </cell>
          <cell r="D2686" t="str">
            <v>ROBERLO</v>
          </cell>
          <cell r="E2686">
            <v>20060</v>
          </cell>
          <cell r="F2686" t="str">
            <v>LAMINAÇÃO / PROTEÇÃO</v>
          </cell>
          <cell r="G2686" t="str">
            <v>AUTOMOTIVO</v>
          </cell>
        </row>
        <row r="2687">
          <cell r="A2687">
            <v>21693</v>
          </cell>
          <cell r="B2687" t="str">
            <v>SILTEX CINZA 1KG ROBERLO</v>
          </cell>
          <cell r="C2687">
            <v>63068</v>
          </cell>
          <cell r="D2687" t="str">
            <v>ROBERLO</v>
          </cell>
          <cell r="E2687">
            <v>20060</v>
          </cell>
          <cell r="F2687" t="str">
            <v>LAMINAÇÃO / PROTEÇÃO</v>
          </cell>
          <cell r="G2687" t="str">
            <v>AUTOMOTIVO</v>
          </cell>
        </row>
        <row r="2688">
          <cell r="A2688">
            <v>20466</v>
          </cell>
          <cell r="B2688" t="str">
            <v>CONTROLE DE LIXAMENTO 100G NORTON</v>
          </cell>
          <cell r="C2688">
            <v>66261087601</v>
          </cell>
          <cell r="D2688" t="str">
            <v>NORTON</v>
          </cell>
          <cell r="E2688">
            <v>20059</v>
          </cell>
          <cell r="F2688" t="str">
            <v>CONTROLE LIXAMENTO</v>
          </cell>
          <cell r="G2688" t="str">
            <v>AUTOMOTIVO</v>
          </cell>
        </row>
        <row r="2689">
          <cell r="A2689">
            <v>21349</v>
          </cell>
          <cell r="B2689" t="str">
            <v>CONTROLE DE LIXAMENTO KIT 3M</v>
          </cell>
          <cell r="C2689" t="str">
            <v>HC000432373</v>
          </cell>
          <cell r="D2689" t="str">
            <v>3M</v>
          </cell>
          <cell r="E2689">
            <v>20059</v>
          </cell>
          <cell r="F2689" t="str">
            <v>CONTROLE LIXAMENTO</v>
          </cell>
          <cell r="G2689" t="str">
            <v>AUTOMOTIVO</v>
          </cell>
        </row>
        <row r="2690">
          <cell r="A2690">
            <v>23913</v>
          </cell>
          <cell r="B2690" t="str">
            <v>CONTROLE DE LIXAMENTO LIQUIDO 0,900ML SKY-21,94-ST</v>
          </cell>
          <cell r="C2690">
            <v>160000380122</v>
          </cell>
          <cell r="D2690" t="str">
            <v>SKY</v>
          </cell>
          <cell r="E2690">
            <v>20059</v>
          </cell>
          <cell r="F2690" t="str">
            <v>CONTROLE LIXAMENTO</v>
          </cell>
          <cell r="G2690" t="str">
            <v>AUTOMOTIVO</v>
          </cell>
        </row>
        <row r="2691">
          <cell r="A2691">
            <v>22568</v>
          </cell>
          <cell r="B2691" t="str">
            <v>CONTROLE DE LIXAMENTO REFIL 3M</v>
          </cell>
          <cell r="C2691" t="str">
            <v>HC000432381</v>
          </cell>
          <cell r="D2691" t="str">
            <v>3M</v>
          </cell>
          <cell r="E2691">
            <v>20059</v>
          </cell>
          <cell r="F2691" t="str">
            <v>CONTROLE LIXAMENTO</v>
          </cell>
          <cell r="G2691" t="str">
            <v>AUTOMOTIVO</v>
          </cell>
        </row>
        <row r="2692">
          <cell r="A2692">
            <v>83932</v>
          </cell>
          <cell r="B2692" t="str">
            <v>APARELHO DE DIAGNOSTICO VEICULAR- POL 4100- S/N: XF6RS9110N1124</v>
          </cell>
          <cell r="D2692" t="str">
            <v>.</v>
          </cell>
          <cell r="E2692">
            <v>20058</v>
          </cell>
          <cell r="F2692" t="str">
            <v>OUTRAS FERRAMENTAS / EQUIPAMENTOS</v>
          </cell>
          <cell r="G2692" t="str">
            <v>AUTOMOTIVO</v>
          </cell>
        </row>
        <row r="2693">
          <cell r="A2693">
            <v>83988</v>
          </cell>
          <cell r="B2693" t="str">
            <v>APARELHO ELETRICO DE ILUMINAÇÃO 226553627R</v>
          </cell>
          <cell r="D2693" t="str">
            <v>.</v>
          </cell>
          <cell r="E2693">
            <v>20058</v>
          </cell>
          <cell r="F2693" t="str">
            <v>OUTRAS FERRAMENTAS / EQUIPAMENTOS</v>
          </cell>
          <cell r="G2693" t="str">
            <v>AUTOMOTIVO</v>
          </cell>
        </row>
        <row r="2694">
          <cell r="A2694">
            <v>83989</v>
          </cell>
          <cell r="B2694" t="str">
            <v>APARELHO ELETRICO DE ILUMINAÇÃO 265505271R</v>
          </cell>
          <cell r="D2694" t="str">
            <v>.</v>
          </cell>
          <cell r="E2694">
            <v>20058</v>
          </cell>
          <cell r="F2694" t="str">
            <v>OUTRAS FERRAMENTAS / EQUIPAMENTOS</v>
          </cell>
          <cell r="G2694" t="str">
            <v>AUTOMOTIVO</v>
          </cell>
        </row>
        <row r="2695">
          <cell r="A2695">
            <v>23982</v>
          </cell>
          <cell r="B2695" t="str">
            <v>BALANCA SARTORIUS PMA7501QUALITY SKY</v>
          </cell>
          <cell r="C2695">
            <v>900935000189</v>
          </cell>
          <cell r="D2695" t="str">
            <v>SKY</v>
          </cell>
          <cell r="E2695">
            <v>20058</v>
          </cell>
          <cell r="F2695" t="str">
            <v>OUTRAS FERRAMENTAS / EQUIPAMENTOS</v>
          </cell>
          <cell r="G2695" t="str">
            <v>AUTOMOTIVO</v>
          </cell>
        </row>
        <row r="2696">
          <cell r="A2696">
            <v>23981</v>
          </cell>
          <cell r="B2696" t="str">
            <v>BANNER SKY</v>
          </cell>
          <cell r="C2696">
            <v>900999700187</v>
          </cell>
          <cell r="D2696" t="str">
            <v>SKY</v>
          </cell>
          <cell r="E2696">
            <v>20058</v>
          </cell>
          <cell r="F2696" t="str">
            <v>OUTRAS FERRAMENTAS / EQUIPAMENTOS</v>
          </cell>
          <cell r="G2696" t="str">
            <v>AUTOMOTIVO</v>
          </cell>
        </row>
        <row r="2697">
          <cell r="A2697">
            <v>83934</v>
          </cell>
          <cell r="B2697" t="str">
            <v>COMPRESSOR 60/425L - MSWV FPRT 380 V - S/N:2823670</v>
          </cell>
          <cell r="D2697" t="str">
            <v>.</v>
          </cell>
          <cell r="E2697">
            <v>20058</v>
          </cell>
          <cell r="F2697" t="str">
            <v>OUTRAS FERRAMENTAS / EQUIPAMENTOS</v>
          </cell>
          <cell r="G2697" t="str">
            <v>AUTOMOTIVO</v>
          </cell>
        </row>
        <row r="2698">
          <cell r="A2698">
            <v>85483</v>
          </cell>
          <cell r="B2698" t="str">
            <v>COMPRESSOR DE ALTA PRESSÃO CJ 30 PCM APV 250L TRIFÁSICO</v>
          </cell>
          <cell r="C2698">
            <v>702</v>
          </cell>
          <cell r="D2698" t="str">
            <v>CHIAPERINI</v>
          </cell>
          <cell r="E2698">
            <v>20058</v>
          </cell>
          <cell r="F2698" t="str">
            <v>OUTRAS FERRAMENTAS / EQUIPAMENTOS</v>
          </cell>
          <cell r="G2698" t="str">
            <v>AUTOMOTIVO</v>
          </cell>
        </row>
        <row r="2699">
          <cell r="A2699">
            <v>21446</v>
          </cell>
          <cell r="B2699" t="str">
            <v>COMPRESSOR DE AR 10 PES 110L C/MM 2HP 220V CHIAPERINI</v>
          </cell>
          <cell r="C2699">
            <v>19195</v>
          </cell>
          <cell r="D2699" t="str">
            <v>CHIAPERINI</v>
          </cell>
          <cell r="E2699">
            <v>20058</v>
          </cell>
          <cell r="F2699" t="str">
            <v>OUTRAS FERRAMENTAS / EQUIPAMENTOS</v>
          </cell>
          <cell r="G2699" t="str">
            <v>AUTOMOTIVO</v>
          </cell>
        </row>
        <row r="2700">
          <cell r="A2700">
            <v>85574</v>
          </cell>
          <cell r="B2700" t="str">
            <v>COMPRESSOR DE AR 20PES BLUE RCH250L C/MM 5HP 220V</v>
          </cell>
          <cell r="C2700">
            <v>26073</v>
          </cell>
          <cell r="D2700" t="str">
            <v>CHIAPERINI</v>
          </cell>
          <cell r="E2700">
            <v>20058</v>
          </cell>
          <cell r="F2700" t="str">
            <v>OUTRAS FERRAMENTAS / EQUIPAMENTOS</v>
          </cell>
          <cell r="G2700" t="str">
            <v>AUTOMOTIVO</v>
          </cell>
        </row>
        <row r="2701">
          <cell r="A2701">
            <v>24184</v>
          </cell>
          <cell r="B2701" t="str">
            <v>COMPRESSOR VDCSL 15/130 MONO 127/220V VONDER</v>
          </cell>
          <cell r="C2701">
            <v>6829715222</v>
          </cell>
          <cell r="D2701" t="str">
            <v>VONDER</v>
          </cell>
          <cell r="E2701">
            <v>20058</v>
          </cell>
          <cell r="F2701" t="str">
            <v>OUTRAS FERRAMENTAS / EQUIPAMENTOS</v>
          </cell>
          <cell r="G2701" t="str">
            <v>AUTOMOTIVO</v>
          </cell>
        </row>
        <row r="2702">
          <cell r="A2702">
            <v>85547</v>
          </cell>
          <cell r="B2702" t="str">
            <v>COPO CILINDRO P/ MAQ. ENVASE SPRAY</v>
          </cell>
          <cell r="C2702" t="str">
            <v>80.86.88744-290</v>
          </cell>
          <cell r="D2702" t="str">
            <v>SHERWIN WILLIAMS</v>
          </cell>
          <cell r="E2702">
            <v>20058</v>
          </cell>
          <cell r="F2702" t="str">
            <v>OUTRAS FERRAMENTAS / EQUIPAMENTOS</v>
          </cell>
          <cell r="G2702" t="str">
            <v>AUTOMOTIVO</v>
          </cell>
        </row>
        <row r="2703">
          <cell r="A2703">
            <v>83933</v>
          </cell>
          <cell r="B2703" t="str">
            <v>DESMONTADORA DE RODAS - STC210K - S/N: 1102376</v>
          </cell>
          <cell r="D2703" t="str">
            <v>.</v>
          </cell>
          <cell r="E2703">
            <v>20058</v>
          </cell>
          <cell r="F2703" t="str">
            <v>OUTRAS FERRAMENTAS / EQUIPAMENTOS</v>
          </cell>
          <cell r="G2703" t="str">
            <v>AUTOMOTIVO</v>
          </cell>
        </row>
        <row r="2704">
          <cell r="A2704">
            <v>23914</v>
          </cell>
          <cell r="B2704" t="str">
            <v>ESMERILHADEIRA 1377 220V BOSCH</v>
          </cell>
          <cell r="C2704">
            <v>6020137752</v>
          </cell>
          <cell r="D2704" t="str">
            <v>VONDER</v>
          </cell>
          <cell r="E2704">
            <v>20058</v>
          </cell>
          <cell r="F2704" t="str">
            <v>OUTRAS FERRAMENTAS / EQUIPAMENTOS</v>
          </cell>
          <cell r="G2704" t="str">
            <v>AUTOMOTIVO</v>
          </cell>
        </row>
        <row r="2705">
          <cell r="A2705">
            <v>201</v>
          </cell>
          <cell r="B2705" t="str">
            <v>ESMERILHADEIRA DWE4212B2 220V DEWALT</v>
          </cell>
          <cell r="C2705">
            <v>6055421220</v>
          </cell>
          <cell r="D2705" t="str">
            <v>DEWALT</v>
          </cell>
          <cell r="E2705">
            <v>20058</v>
          </cell>
          <cell r="F2705" t="str">
            <v>OUTRAS FERRAMENTAS / EQUIPAMENTOS</v>
          </cell>
          <cell r="G2705" t="str">
            <v>AUTOMOTIVO</v>
          </cell>
        </row>
        <row r="2706">
          <cell r="A2706">
            <v>83993</v>
          </cell>
          <cell r="B2706" t="str">
            <v>ESMERILHADEIRA GWS 850 220V BOSCH</v>
          </cell>
          <cell r="D2706" t="str">
            <v>VONDER</v>
          </cell>
          <cell r="E2706">
            <v>20058</v>
          </cell>
          <cell r="F2706" t="str">
            <v>OUTRAS FERRAMENTAS / EQUIPAMENTOS</v>
          </cell>
          <cell r="G2706" t="str">
            <v>AUTOMOTIVO</v>
          </cell>
        </row>
        <row r="2707">
          <cell r="A2707">
            <v>23938</v>
          </cell>
          <cell r="B2707" t="str">
            <v>FILTRO DE AR FA05 - 1/2 POL V8</v>
          </cell>
          <cell r="C2707">
            <v>2424</v>
          </cell>
          <cell r="D2707" t="str">
            <v>V8</v>
          </cell>
          <cell r="E2707">
            <v>20058</v>
          </cell>
          <cell r="F2707" t="str">
            <v>OUTRAS FERRAMENTAS / EQUIPAMENTOS</v>
          </cell>
          <cell r="G2707" t="str">
            <v>AUTOMOTIVO</v>
          </cell>
        </row>
        <row r="2708">
          <cell r="A2708">
            <v>23939</v>
          </cell>
          <cell r="B2708" t="str">
            <v>FILTRO DE AR FA07 - 1/4POL V8</v>
          </cell>
          <cell r="C2708">
            <v>2431</v>
          </cell>
          <cell r="D2708" t="str">
            <v>V8</v>
          </cell>
          <cell r="E2708">
            <v>20058</v>
          </cell>
          <cell r="F2708" t="str">
            <v>OUTRAS FERRAMENTAS / EQUIPAMENTOS</v>
          </cell>
          <cell r="G2708" t="str">
            <v>AUTOMOTIVO</v>
          </cell>
        </row>
        <row r="2709">
          <cell r="A2709">
            <v>83841</v>
          </cell>
          <cell r="B2709" t="str">
            <v>FILTRO REGULADOR DE AR 1/2 SIGMA</v>
          </cell>
          <cell r="D2709" t="str">
            <v>SIGMA</v>
          </cell>
          <cell r="E2709">
            <v>20058</v>
          </cell>
          <cell r="F2709" t="str">
            <v>OUTRAS FERRAMENTAS / EQUIPAMENTOS</v>
          </cell>
          <cell r="G2709" t="str">
            <v>AUTOMOTIVO</v>
          </cell>
        </row>
        <row r="2710">
          <cell r="A2710">
            <v>24387</v>
          </cell>
          <cell r="B2710" t="str">
            <v>FILTRO REGULADOR DE AR 2 SAIDAS 1/2 FRMP-6 WIMPEL</v>
          </cell>
          <cell r="C2710">
            <v>658</v>
          </cell>
          <cell r="D2710" t="str">
            <v>WINPEL</v>
          </cell>
          <cell r="E2710">
            <v>20058</v>
          </cell>
          <cell r="F2710" t="str">
            <v>OUTRAS FERRAMENTAS / EQUIPAMENTOS</v>
          </cell>
          <cell r="G2710" t="str">
            <v>AUTOMOTIVO</v>
          </cell>
        </row>
        <row r="2711">
          <cell r="A2711">
            <v>22528</v>
          </cell>
          <cell r="B2711" t="str">
            <v>FILTRO REGULADOR DE PRESSÃO 1/2 RP 120 VONDER-24,23-ST</v>
          </cell>
          <cell r="C2711">
            <v>6248120002</v>
          </cell>
          <cell r="D2711" t="str">
            <v>VONDER</v>
          </cell>
          <cell r="E2711">
            <v>20058</v>
          </cell>
          <cell r="F2711" t="str">
            <v>OUTRAS FERRAMENTAS / EQUIPAMENTOS</v>
          </cell>
          <cell r="G2711" t="str">
            <v>AUTOMOTIVO</v>
          </cell>
        </row>
        <row r="2712">
          <cell r="A2712">
            <v>85384</v>
          </cell>
          <cell r="B2712" t="str">
            <v>FROTA 4161 FULGURIS BATERIA 24V 324 AH EGV</v>
          </cell>
          <cell r="C2712">
            <v>13574</v>
          </cell>
          <cell r="D2712" t="str">
            <v>VONDER</v>
          </cell>
          <cell r="E2712">
            <v>20058</v>
          </cell>
          <cell r="F2712" t="str">
            <v>OUTRAS FERRAMENTAS / EQUIPAMENTOS</v>
          </cell>
          <cell r="G2712" t="str">
            <v>AUTOMOTIVO</v>
          </cell>
        </row>
        <row r="2713">
          <cell r="A2713">
            <v>85385</v>
          </cell>
          <cell r="B2713" t="str">
            <v>FROTA 833  STILL EGV 16 02621</v>
          </cell>
          <cell r="C2713">
            <v>13571</v>
          </cell>
          <cell r="D2713" t="str">
            <v>VONDER</v>
          </cell>
          <cell r="E2713">
            <v>20058</v>
          </cell>
          <cell r="F2713" t="str">
            <v>OUTRAS FERRAMENTAS / EQUIPAMENTOS</v>
          </cell>
          <cell r="G2713" t="str">
            <v>AUTOMOTIVO</v>
          </cell>
        </row>
        <row r="2714">
          <cell r="A2714">
            <v>21726</v>
          </cell>
          <cell r="B2714" t="str">
            <v>FURADEIRA 1228.1 IMP.1/2 VVR 220V BOSCH</v>
          </cell>
          <cell r="C2714">
            <v>6020122820</v>
          </cell>
          <cell r="D2714" t="str">
            <v>VONDER</v>
          </cell>
          <cell r="E2714">
            <v>20058</v>
          </cell>
          <cell r="F2714" t="str">
            <v>OUTRAS FERRAMENTAS / EQUIPAMENTOS</v>
          </cell>
          <cell r="G2714" t="str">
            <v>AUTOMOTIVO</v>
          </cell>
        </row>
        <row r="2715">
          <cell r="A2715">
            <v>23920</v>
          </cell>
          <cell r="B2715" t="str">
            <v>FURADEIRA IMP 3/8 220V VONDER</v>
          </cell>
          <cell r="C2715">
            <v>3118</v>
          </cell>
          <cell r="D2715" t="str">
            <v>VONDER</v>
          </cell>
          <cell r="E2715">
            <v>20058</v>
          </cell>
          <cell r="F2715" t="str">
            <v>OUTRAS FERRAMENTAS / EQUIPAMENTOS</v>
          </cell>
          <cell r="G2715" t="str">
            <v>AUTOMOTIVO</v>
          </cell>
        </row>
        <row r="2716">
          <cell r="A2716">
            <v>21488</v>
          </cell>
          <cell r="B2716" t="str">
            <v>FURADEIRA/PARAF. BATERIA 12V C/IMP KIT C/74 PV VONDER</v>
          </cell>
          <cell r="C2716">
            <v>6001074000</v>
          </cell>
          <cell r="D2716" t="str">
            <v>VONDER</v>
          </cell>
          <cell r="E2716">
            <v>20058</v>
          </cell>
          <cell r="F2716" t="str">
            <v>OUTRAS FERRAMENTAS / EQUIPAMENTOS</v>
          </cell>
          <cell r="G2716" t="str">
            <v>AUTOMOTIVO</v>
          </cell>
        </row>
        <row r="2717">
          <cell r="A2717">
            <v>85143</v>
          </cell>
          <cell r="B2717" t="str">
            <v>KIT UNIDADE COMPRESSORA 60-80-120 PES 2 ESTAGIO MOTOMIL</v>
          </cell>
          <cell r="C2717" t="str">
            <v>00015432.3</v>
          </cell>
          <cell r="D2717" t="str">
            <v>.</v>
          </cell>
          <cell r="E2717">
            <v>20058</v>
          </cell>
          <cell r="F2717" t="str">
            <v>OUTRAS FERRAMENTAS / EQUIPAMENTOS</v>
          </cell>
          <cell r="G2717" t="str">
            <v>AUTOMOTIVO</v>
          </cell>
        </row>
        <row r="2718">
          <cell r="A2718">
            <v>24328</v>
          </cell>
          <cell r="B2718" t="str">
            <v>LANTERNA DE INSPEÇÃO RECARREGAVEL 6W VONDER</v>
          </cell>
          <cell r="C2718" t="str">
            <v>80.75.096.005</v>
          </cell>
          <cell r="D2718" t="str">
            <v>VONDER</v>
          </cell>
          <cell r="E2718">
            <v>20058</v>
          </cell>
          <cell r="F2718" t="str">
            <v>OUTRAS FERRAMENTAS / EQUIPAMENTOS</v>
          </cell>
          <cell r="G2718" t="str">
            <v>AUTOMOTIVO</v>
          </cell>
        </row>
        <row r="2719">
          <cell r="A2719">
            <v>84508</v>
          </cell>
          <cell r="B2719" t="str">
            <v>LANTERNA LED ACERTO DE COR YANGUI</v>
          </cell>
          <cell r="C2719">
            <v>4202</v>
          </cell>
          <cell r="D2719" t="str">
            <v>YANGUI</v>
          </cell>
          <cell r="E2719">
            <v>20058</v>
          </cell>
          <cell r="F2719" t="str">
            <v>OUTRAS FERRAMENTAS / EQUIPAMENTOS</v>
          </cell>
          <cell r="G2719" t="str">
            <v>AUTOMOTIVO</v>
          </cell>
        </row>
        <row r="2720">
          <cell r="A2720">
            <v>23403</v>
          </cell>
          <cell r="B2720" t="str">
            <v>MANOMETRO COM REGULADOR DE AR</v>
          </cell>
          <cell r="C2720" t="str">
            <v>AJR-02S-VG</v>
          </cell>
          <cell r="D2720" t="str">
            <v>.</v>
          </cell>
          <cell r="E2720">
            <v>20058</v>
          </cell>
          <cell r="F2720" t="str">
            <v>OUTRAS FERRAMENTAS / EQUIPAMENTOS</v>
          </cell>
          <cell r="G2720" t="str">
            <v>AUTOMOTIVO</v>
          </cell>
        </row>
        <row r="2721">
          <cell r="A2721">
            <v>83844</v>
          </cell>
          <cell r="B2721" t="str">
            <v>MAQ. REPUXADORA SPOTTER MOD. 9000 DIGITAL BAND</v>
          </cell>
          <cell r="C2721">
            <v>5637</v>
          </cell>
          <cell r="D2721" t="str">
            <v>BAND EQUIPAMENTOS</v>
          </cell>
          <cell r="E2721">
            <v>20058</v>
          </cell>
          <cell r="F2721" t="str">
            <v>OUTRAS FERRAMENTAS / EQUIPAMENTOS</v>
          </cell>
          <cell r="G2721" t="str">
            <v>AUTOMOTIVO</v>
          </cell>
        </row>
        <row r="2722">
          <cell r="A2722">
            <v>22943</v>
          </cell>
          <cell r="B2722" t="str">
            <v>MAQUINA DE CORTE 3 3M</v>
          </cell>
          <cell r="C2722" t="str">
            <v>HB004495238</v>
          </cell>
          <cell r="D2722" t="str">
            <v>3M</v>
          </cell>
          <cell r="E2722">
            <v>20058</v>
          </cell>
          <cell r="F2722" t="str">
            <v>OUTRAS FERRAMENTAS / EQUIPAMENTOS</v>
          </cell>
          <cell r="G2722" t="str">
            <v>AUTOMOTIVO</v>
          </cell>
        </row>
        <row r="2723">
          <cell r="A2723">
            <v>85198</v>
          </cell>
          <cell r="B2723" t="str">
            <v>MAQUINA DE TINTA AKZO</v>
          </cell>
          <cell r="C2723">
            <v>2010250</v>
          </cell>
          <cell r="D2723" t="str">
            <v>WANDA</v>
          </cell>
          <cell r="E2723">
            <v>20058</v>
          </cell>
          <cell r="F2723" t="str">
            <v>OUTRAS FERRAMENTAS / EQUIPAMENTOS</v>
          </cell>
          <cell r="G2723" t="str">
            <v>AUTOMOTIVO</v>
          </cell>
        </row>
        <row r="2724">
          <cell r="A2724">
            <v>83855</v>
          </cell>
          <cell r="B2724" t="str">
            <v>MAQUINA FLEX220 (SEM MEXEDOR) (5PTQ+2PTG)(ESTR+MOTOR) SKY</v>
          </cell>
          <cell r="C2724" t="str">
            <v>9009000001Q1</v>
          </cell>
          <cell r="D2724" t="str">
            <v>SKY</v>
          </cell>
          <cell r="E2724">
            <v>20058</v>
          </cell>
          <cell r="F2724" t="str">
            <v>OUTRAS FERRAMENTAS / EQUIPAMENTOS</v>
          </cell>
          <cell r="G2724" t="str">
            <v>AUTOMOTIVO</v>
          </cell>
        </row>
        <row r="2725">
          <cell r="A2725">
            <v>23980</v>
          </cell>
          <cell r="B2725" t="str">
            <v>MAQUINA FLEX220(84Q+18G)(5PTQ+2PTG)(ESTR+MOTOR) SKY</v>
          </cell>
          <cell r="C2725" t="str">
            <v>9009841801Q8</v>
          </cell>
          <cell r="D2725" t="str">
            <v>SKY</v>
          </cell>
          <cell r="E2725">
            <v>20058</v>
          </cell>
          <cell r="F2725" t="str">
            <v>OUTRAS FERRAMENTAS / EQUIPAMENTOS</v>
          </cell>
          <cell r="G2725" t="str">
            <v>AUTOMOTIVO</v>
          </cell>
        </row>
        <row r="2726">
          <cell r="A2726">
            <v>23811</v>
          </cell>
          <cell r="B2726" t="str">
            <v>MAQUINA REPARADORA SPOTER BAND 1800 DIGITAL</v>
          </cell>
          <cell r="C2726">
            <v>185</v>
          </cell>
          <cell r="D2726" t="str">
            <v>.</v>
          </cell>
          <cell r="E2726">
            <v>20058</v>
          </cell>
          <cell r="F2726" t="str">
            <v>OUTRAS FERRAMENTAS / EQUIPAMENTOS</v>
          </cell>
          <cell r="G2726" t="str">
            <v>AUTOMOTIVO</v>
          </cell>
        </row>
        <row r="2727">
          <cell r="A2727">
            <v>21445</v>
          </cell>
          <cell r="B2727" t="str">
            <v>MOTOCOMPRESSOR 7.6 21L 127V CHIAPERINI</v>
          </cell>
          <cell r="C2727">
            <v>22832</v>
          </cell>
          <cell r="D2727" t="str">
            <v>CHIAPERINI</v>
          </cell>
          <cell r="E2727">
            <v>20058</v>
          </cell>
          <cell r="F2727" t="str">
            <v>OUTRAS FERRAMENTAS / EQUIPAMENTOS</v>
          </cell>
          <cell r="G2727" t="str">
            <v>AUTOMOTIVO</v>
          </cell>
        </row>
        <row r="2728">
          <cell r="A2728">
            <v>21531</v>
          </cell>
          <cell r="B2728" t="str">
            <v>MOTOCOMPRESSOR 7.6/21L 220V</v>
          </cell>
          <cell r="C2728">
            <v>22843</v>
          </cell>
          <cell r="D2728" t="str">
            <v>CHIAPERINI</v>
          </cell>
          <cell r="E2728">
            <v>20058</v>
          </cell>
          <cell r="F2728" t="str">
            <v>OUTRAS FERRAMENTAS / EQUIPAMENTOS</v>
          </cell>
          <cell r="G2728" t="str">
            <v>AUTOMOTIVO</v>
          </cell>
        </row>
        <row r="2729">
          <cell r="A2729">
            <v>23794</v>
          </cell>
          <cell r="B2729" t="str">
            <v>PULVERIZADOR PLASTICO 500ML</v>
          </cell>
          <cell r="C2729">
            <v>15439</v>
          </cell>
          <cell r="D2729" t="str">
            <v>BRILHOMAX</v>
          </cell>
          <cell r="E2729">
            <v>20058</v>
          </cell>
          <cell r="F2729" t="str">
            <v>OUTRAS FERRAMENTAS / EQUIPAMENTOS</v>
          </cell>
          <cell r="G2729" t="str">
            <v>AUTOMOTIVO</v>
          </cell>
        </row>
        <row r="2730">
          <cell r="A2730">
            <v>85093</v>
          </cell>
          <cell r="B2730" t="str">
            <v>REGULADOR ARGONIO RAR30 VONDER</v>
          </cell>
          <cell r="C2730">
            <v>84005</v>
          </cell>
          <cell r="D2730" t="str">
            <v>VONDER</v>
          </cell>
          <cell r="E2730">
            <v>20058</v>
          </cell>
          <cell r="F2730" t="str">
            <v>OUTRAS FERRAMENTAS / EQUIPAMENTOS</v>
          </cell>
          <cell r="G2730" t="str">
            <v>AUTOMOTIVO</v>
          </cell>
        </row>
        <row r="2731">
          <cell r="A2731">
            <v>21196</v>
          </cell>
          <cell r="B2731" t="str">
            <v>REGULADOR CAUDAL  AIRE RC2 MANOMETRO SAGOLA</v>
          </cell>
          <cell r="C2731">
            <v>40000335</v>
          </cell>
          <cell r="D2731" t="str">
            <v>.</v>
          </cell>
          <cell r="E2731">
            <v>20058</v>
          </cell>
          <cell r="F2731" t="str">
            <v>OUTRAS FERRAMENTAS / EQUIPAMENTOS</v>
          </cell>
          <cell r="G2731" t="str">
            <v>AUTOMOTIVO</v>
          </cell>
        </row>
        <row r="2732">
          <cell r="A2732">
            <v>24258</v>
          </cell>
          <cell r="B2732" t="str">
            <v>RODA DE CONTATO 13MM P/ CORREIA 3M</v>
          </cell>
          <cell r="C2732" t="str">
            <v>HB0014520647</v>
          </cell>
          <cell r="D2732" t="str">
            <v>3M</v>
          </cell>
          <cell r="E2732">
            <v>20058</v>
          </cell>
          <cell r="F2732" t="str">
            <v>OUTRAS FERRAMENTAS / EQUIPAMENTOS</v>
          </cell>
          <cell r="G2732" t="str">
            <v>AUTOMOTIVO</v>
          </cell>
        </row>
        <row r="2733">
          <cell r="A2733">
            <v>85563</v>
          </cell>
          <cell r="B2733" t="str">
            <v>SGT3290   PISTOLA AR DIRETO  USO GERAL</v>
          </cell>
          <cell r="C2733">
            <v>701329020</v>
          </cell>
          <cell r="D2733" t="str">
            <v>SIGMA</v>
          </cell>
          <cell r="E2733">
            <v>20058</v>
          </cell>
          <cell r="F2733" t="str">
            <v>OUTRAS FERRAMENTAS / EQUIPAMENTOS</v>
          </cell>
          <cell r="G2733" t="str">
            <v>AUTOMOTIVO</v>
          </cell>
        </row>
        <row r="2734">
          <cell r="A2734">
            <v>85567</v>
          </cell>
          <cell r="B2734" t="str">
            <v>SGT8502  LANTERNA DE INSPECAO LED COB RECARREGAVEL 10W  600L</v>
          </cell>
          <cell r="C2734">
            <v>703850200</v>
          </cell>
          <cell r="D2734" t="str">
            <v>SIGMA</v>
          </cell>
          <cell r="E2734">
            <v>20058</v>
          </cell>
          <cell r="F2734" t="str">
            <v>OUTRAS FERRAMENTAS / EQUIPAMENTOS</v>
          </cell>
          <cell r="G2734" t="str">
            <v>AUTOMOTIVO</v>
          </cell>
        </row>
        <row r="2735">
          <cell r="A2735">
            <v>23787</v>
          </cell>
          <cell r="B2735" t="str">
            <v>SOPRADOR TERMICO 2000N 220V VONDER</v>
          </cell>
          <cell r="C2735">
            <v>6001020220</v>
          </cell>
          <cell r="D2735" t="str">
            <v>VONDER</v>
          </cell>
          <cell r="E2735">
            <v>20058</v>
          </cell>
          <cell r="F2735" t="str">
            <v>OUTRAS FERRAMENTAS / EQUIPAMENTOS</v>
          </cell>
          <cell r="G2735" t="str">
            <v>AUTOMOTIVO</v>
          </cell>
        </row>
        <row r="2736">
          <cell r="A2736">
            <v>83818</v>
          </cell>
          <cell r="B2736" t="str">
            <v>SOPRADOR TERMICO 2000W DEWALT</v>
          </cell>
          <cell r="C2736" t="str">
            <v>10.03.49.0003</v>
          </cell>
          <cell r="D2736" t="str">
            <v>DEWALT</v>
          </cell>
          <cell r="E2736">
            <v>20058</v>
          </cell>
          <cell r="F2736" t="str">
            <v>OUTRAS FERRAMENTAS / EQUIPAMENTOS</v>
          </cell>
          <cell r="G2736" t="str">
            <v>AUTOMOTIVO</v>
          </cell>
        </row>
        <row r="2737">
          <cell r="A2737">
            <v>24389</v>
          </cell>
          <cell r="B2737" t="str">
            <v>SOPRADOR TERMICO ST200 127V VONDER</v>
          </cell>
          <cell r="C2737">
            <v>6001020127</v>
          </cell>
          <cell r="D2737" t="str">
            <v>VONDER</v>
          </cell>
          <cell r="E2737">
            <v>20058</v>
          </cell>
          <cell r="F2737" t="str">
            <v>OUTRAS FERRAMENTAS / EQUIPAMENTOS</v>
          </cell>
          <cell r="G2737" t="str">
            <v>AUTOMOTIVO</v>
          </cell>
        </row>
        <row r="2738">
          <cell r="A2738">
            <v>23979</v>
          </cell>
          <cell r="B2738" t="str">
            <v>TESTEIRA ADESIVA SKYMIX</v>
          </cell>
          <cell r="C2738">
            <v>900936080187</v>
          </cell>
          <cell r="D2738" t="str">
            <v>SKY</v>
          </cell>
          <cell r="E2738">
            <v>20058</v>
          </cell>
          <cell r="F2738" t="str">
            <v>OUTRAS FERRAMENTAS / EQUIPAMENTOS</v>
          </cell>
          <cell r="G2738" t="str">
            <v>AUTOMOTIVO</v>
          </cell>
        </row>
        <row r="2739">
          <cell r="A2739">
            <v>22036</v>
          </cell>
          <cell r="B2739" t="str">
            <v>TOCHA MIG 3M 250A</v>
          </cell>
          <cell r="C2739">
            <v>40605005</v>
          </cell>
          <cell r="D2739" t="str">
            <v>.</v>
          </cell>
          <cell r="E2739">
            <v>20058</v>
          </cell>
          <cell r="F2739" t="str">
            <v>OUTRAS FERRAMENTAS / EQUIPAMENTOS</v>
          </cell>
          <cell r="G2739" t="str">
            <v>AUTOMOTIVO</v>
          </cell>
        </row>
        <row r="2740">
          <cell r="A2740">
            <v>24334</v>
          </cell>
          <cell r="B2740" t="str">
            <v>LIMPA AR CONDICIONADO GRANADA CARRO NOVO 200ML ORBI AIR-20,92-ST</v>
          </cell>
          <cell r="C2740">
            <v>5977</v>
          </cell>
          <cell r="D2740" t="str">
            <v>ORBI</v>
          </cell>
          <cell r="E2740">
            <v>20057</v>
          </cell>
          <cell r="F2740" t="str">
            <v>LIMPA AR CONDICIONADO</v>
          </cell>
          <cell r="G2740" t="str">
            <v>AUTOMOTIVO</v>
          </cell>
        </row>
        <row r="2741">
          <cell r="A2741">
            <v>24380</v>
          </cell>
          <cell r="B2741" t="str">
            <v>LIMPA AR CONDICIONADO GRANADA CLASSIC 200ML ORBI AIR-20,92-ST</v>
          </cell>
          <cell r="C2741">
            <v>5979</v>
          </cell>
          <cell r="D2741" t="str">
            <v>ORBI</v>
          </cell>
          <cell r="E2741">
            <v>20057</v>
          </cell>
          <cell r="F2741" t="str">
            <v>LIMPA AR CONDICIONADO</v>
          </cell>
          <cell r="G2741" t="str">
            <v>AUTOMOTIVO</v>
          </cell>
        </row>
        <row r="2742">
          <cell r="A2742">
            <v>24378</v>
          </cell>
          <cell r="B2742" t="str">
            <v>LIMPA AR CONDICIONADO GRANADA FLORAL 200ML ORBI-20,92-ST</v>
          </cell>
          <cell r="C2742">
            <v>5976</v>
          </cell>
          <cell r="D2742" t="str">
            <v>ORBI</v>
          </cell>
          <cell r="E2742">
            <v>20057</v>
          </cell>
          <cell r="F2742" t="str">
            <v>LIMPA AR CONDICIONADO</v>
          </cell>
          <cell r="G2742" t="str">
            <v>AUTOMOTIVO</v>
          </cell>
        </row>
        <row r="2743">
          <cell r="A2743">
            <v>24379</v>
          </cell>
          <cell r="B2743" t="str">
            <v>LIMPA AR CONDICIONADO GRANADA LAVANDA 200ML ORBI-20,92-ST</v>
          </cell>
          <cell r="C2743">
            <v>5978</v>
          </cell>
          <cell r="D2743" t="str">
            <v>ORBI</v>
          </cell>
          <cell r="E2743">
            <v>20057</v>
          </cell>
          <cell r="F2743" t="str">
            <v>LIMPA AR CONDICIONADO</v>
          </cell>
          <cell r="G2743" t="str">
            <v>AUTOMOTIVO</v>
          </cell>
        </row>
        <row r="2744">
          <cell r="A2744">
            <v>85466</v>
          </cell>
          <cell r="B2744" t="str">
            <v>ADESIVO ARALDITE HOBBY 16G TEKBOND</v>
          </cell>
          <cell r="C2744">
            <v>69957366144</v>
          </cell>
          <cell r="D2744" t="str">
            <v>TEK BOND</v>
          </cell>
          <cell r="E2744">
            <v>20056</v>
          </cell>
          <cell r="F2744" t="str">
            <v>COLA INST./ ADESIVOS COLANTES</v>
          </cell>
          <cell r="G2744" t="str">
            <v>AUTOMOTIVO</v>
          </cell>
        </row>
        <row r="2745">
          <cell r="A2745">
            <v>85467</v>
          </cell>
          <cell r="B2745" t="str">
            <v>ADESIVO ARALDITE HOBBY 23G TEKBOND</v>
          </cell>
          <cell r="C2745">
            <v>69957366147</v>
          </cell>
          <cell r="D2745" t="str">
            <v>TEK BOND</v>
          </cell>
          <cell r="E2745">
            <v>20056</v>
          </cell>
          <cell r="F2745" t="str">
            <v>COLA INST./ ADESIVOS COLANTES</v>
          </cell>
          <cell r="G2745" t="str">
            <v>AUTOMOTIVO</v>
          </cell>
        </row>
        <row r="2746">
          <cell r="A2746">
            <v>39</v>
          </cell>
          <cell r="B2746" t="str">
            <v>ADESIVO DE COLAGEM PBA 240GR 3M</v>
          </cell>
          <cell r="C2746">
            <v>60980024479</v>
          </cell>
          <cell r="D2746" t="str">
            <v>3M</v>
          </cell>
          <cell r="E2746">
            <v>20056</v>
          </cell>
          <cell r="F2746" t="str">
            <v>COLA INST./ ADESIVOS COLANTES</v>
          </cell>
          <cell r="G2746" t="str">
            <v>AUTOMOTIVO</v>
          </cell>
        </row>
        <row r="2747">
          <cell r="A2747">
            <v>37</v>
          </cell>
          <cell r="B2747" t="str">
            <v>ADESIVO ESPELHO RETROVISOR DOSE UNICA 1G TEK BOND</v>
          </cell>
          <cell r="C2747">
            <v>12841000102</v>
          </cell>
          <cell r="D2747" t="str">
            <v>TEK BOND</v>
          </cell>
          <cell r="E2747">
            <v>20056</v>
          </cell>
          <cell r="F2747" t="str">
            <v>COLA INST./ ADESIVOS COLANTES</v>
          </cell>
          <cell r="G2747" t="str">
            <v>AUTOMOTIVO</v>
          </cell>
        </row>
        <row r="2748">
          <cell r="A2748">
            <v>23569</v>
          </cell>
          <cell r="B2748" t="str">
            <v>ADESIVO HIBRIDO 400 ML PU40R SACHE SOLUFIX</v>
          </cell>
          <cell r="C2748">
            <v>10050084</v>
          </cell>
          <cell r="D2748" t="str">
            <v>SOLUÇÃO ADESIVOS</v>
          </cell>
          <cell r="E2748">
            <v>20056</v>
          </cell>
          <cell r="F2748" t="str">
            <v>COLA INST./ ADESIVOS COLANTES</v>
          </cell>
          <cell r="G2748" t="str">
            <v>AUTOMOTIVO</v>
          </cell>
        </row>
        <row r="2749">
          <cell r="A2749">
            <v>85622</v>
          </cell>
          <cell r="B2749" t="str">
            <v>ADESIVO INST 100G 793 BICO ANTIENTUPIMENTO TEKBOND</v>
          </cell>
          <cell r="C2749">
            <v>69957321884</v>
          </cell>
          <cell r="D2749" t="str">
            <v>TEK BOND</v>
          </cell>
          <cell r="E2749">
            <v>20056</v>
          </cell>
          <cell r="F2749" t="str">
            <v>COLA INST./ ADESIVOS COLANTES</v>
          </cell>
          <cell r="G2749" t="str">
            <v>AUTOMOTIVO</v>
          </cell>
        </row>
        <row r="2750">
          <cell r="A2750">
            <v>85462</v>
          </cell>
          <cell r="B2750" t="str">
            <v>ADESIVO INST 20G 793 BICO ANTIENTUPIMENTO TEKBOND</v>
          </cell>
          <cell r="C2750">
            <v>69957321708</v>
          </cell>
          <cell r="D2750" t="str">
            <v>TEK BOND</v>
          </cell>
          <cell r="E2750">
            <v>20056</v>
          </cell>
          <cell r="F2750" t="str">
            <v>COLA INST./ ADESIVOS COLANTES</v>
          </cell>
          <cell r="G2750" t="str">
            <v>AUTOMOTIVO</v>
          </cell>
        </row>
        <row r="2751">
          <cell r="A2751">
            <v>23613</v>
          </cell>
          <cell r="B2751" t="str">
            <v>ADESIVO INSTANTANEO 793 TEKBOND 20G</v>
          </cell>
          <cell r="C2751" t="str">
            <v>0903 12 020</v>
          </cell>
          <cell r="D2751" t="str">
            <v>.</v>
          </cell>
          <cell r="E2751">
            <v>20056</v>
          </cell>
          <cell r="F2751" t="str">
            <v>COLA INST./ ADESIVOS COLANTES</v>
          </cell>
          <cell r="G2751" t="str">
            <v>AUTOMOTIVO</v>
          </cell>
        </row>
        <row r="2752">
          <cell r="A2752">
            <v>85672</v>
          </cell>
          <cell r="B2752" t="str">
            <v>ADESIVO INSTANTANEO BOND 007 SEG. FRASCO 100G UNIPEGA</v>
          </cell>
          <cell r="C2752" t="str">
            <v>AES0535.0074</v>
          </cell>
          <cell r="D2752" t="str">
            <v>UNIPEGA</v>
          </cell>
          <cell r="E2752">
            <v>20056</v>
          </cell>
          <cell r="F2752" t="str">
            <v>COLA INST./ ADESIVOS COLANTES</v>
          </cell>
          <cell r="G2752" t="str">
            <v>AUTOMOTIVO</v>
          </cell>
        </row>
        <row r="2753">
          <cell r="A2753">
            <v>85671</v>
          </cell>
          <cell r="B2753" t="str">
            <v>ADESIVO INSTANTANEO BOND 007 SEG. FRASCO 20G UNIPEGA</v>
          </cell>
          <cell r="C2753" t="str">
            <v>AES0535.0073</v>
          </cell>
          <cell r="D2753" t="str">
            <v>UNIPEGA</v>
          </cell>
          <cell r="E2753">
            <v>20056</v>
          </cell>
          <cell r="F2753" t="str">
            <v>COLA INST./ ADESIVOS COLANTES</v>
          </cell>
          <cell r="G2753" t="str">
            <v>AUTOMOTIVO</v>
          </cell>
        </row>
        <row r="2754">
          <cell r="A2754">
            <v>23671</v>
          </cell>
          <cell r="B2754" t="str">
            <v>ADESIVO P/ COLAR EMBLEMA 3M</v>
          </cell>
          <cell r="C2754" t="str">
            <v>HB004620173</v>
          </cell>
          <cell r="D2754" t="str">
            <v>3M</v>
          </cell>
          <cell r="E2754">
            <v>20056</v>
          </cell>
          <cell r="F2754" t="str">
            <v>COLA INST./ ADESIVOS COLANTES</v>
          </cell>
          <cell r="G2754" t="str">
            <v>AUTOMOTIVO</v>
          </cell>
        </row>
        <row r="2755">
          <cell r="A2755">
            <v>21643</v>
          </cell>
          <cell r="B2755" t="str">
            <v>ADESIVO P/ LAMINAÇÃO 880G CARPLAST</v>
          </cell>
          <cell r="C2755" t="str">
            <v>CA210</v>
          </cell>
          <cell r="D2755" t="str">
            <v>MAXI RUBBER</v>
          </cell>
          <cell r="E2755">
            <v>20056</v>
          </cell>
          <cell r="F2755" t="str">
            <v>COLA INST./ ADESIVOS COLANTES</v>
          </cell>
          <cell r="G2755" t="str">
            <v>AUTOMOTIVO</v>
          </cell>
        </row>
        <row r="2756">
          <cell r="A2756">
            <v>85691</v>
          </cell>
          <cell r="B2756" t="str">
            <v>ADESIVO PARA PARABRISA PRETO CARTUCHO 280ML UNIPEGA</v>
          </cell>
          <cell r="C2756" t="str">
            <v>AES0512.0194</v>
          </cell>
          <cell r="D2756" t="str">
            <v>UNIPEGA</v>
          </cell>
          <cell r="E2756">
            <v>20056</v>
          </cell>
          <cell r="F2756" t="str">
            <v>COLA INST./ ADESIVOS COLANTES</v>
          </cell>
          <cell r="G2756" t="str">
            <v>AUTOMOTIVO</v>
          </cell>
        </row>
        <row r="2757">
          <cell r="A2757">
            <v>23921</v>
          </cell>
          <cell r="B2757" t="str">
            <v>ADESIVO PARA PARABRISA PRETO SACHE 600ML BETASEAU</v>
          </cell>
          <cell r="C2757">
            <v>2000000000050</v>
          </cell>
          <cell r="D2757" t="str">
            <v>ATUAIS</v>
          </cell>
          <cell r="E2757">
            <v>20056</v>
          </cell>
          <cell r="F2757" t="str">
            <v>COLA INST./ ADESIVOS COLANTES</v>
          </cell>
          <cell r="G2757" t="str">
            <v>AUTOMOTIVO</v>
          </cell>
        </row>
        <row r="2758">
          <cell r="A2758">
            <v>23791</v>
          </cell>
          <cell r="B2758" t="str">
            <v>ADESIVO PARA PARABRISA PRETO TUBO 310ML BETASEAU</v>
          </cell>
          <cell r="C2758">
            <v>2000000000053</v>
          </cell>
          <cell r="D2758" t="str">
            <v>ATUAIS</v>
          </cell>
          <cell r="E2758">
            <v>20056</v>
          </cell>
          <cell r="F2758" t="str">
            <v>COLA INST./ ADESIVOS COLANTES</v>
          </cell>
          <cell r="G2758" t="str">
            <v>AUTOMOTIVO</v>
          </cell>
        </row>
        <row r="2759">
          <cell r="A2759">
            <v>84936</v>
          </cell>
          <cell r="B2759" t="str">
            <v>ADESIVO REFORÇADO PARA LAMINAÇÃO 800G CARPLAST</v>
          </cell>
          <cell r="C2759" t="str">
            <v>CA252</v>
          </cell>
          <cell r="D2759" t="str">
            <v>MAXI RUBBER</v>
          </cell>
          <cell r="E2759">
            <v>20056</v>
          </cell>
          <cell r="F2759" t="str">
            <v>COLA INST./ ADESIVOS COLANTES</v>
          </cell>
          <cell r="G2759" t="str">
            <v>AUTOMOTIVO</v>
          </cell>
        </row>
        <row r="2760">
          <cell r="A2760">
            <v>21814</v>
          </cell>
          <cell r="B2760" t="str">
            <v>ADESIVO SELACAO POL. 400ML SACHÊS SOLUFIX PU 40 FLEX CINZA</v>
          </cell>
          <cell r="C2760">
            <v>10020085</v>
          </cell>
          <cell r="D2760" t="str">
            <v>SOLUÇÃO ADESIVOS</v>
          </cell>
          <cell r="E2760">
            <v>20056</v>
          </cell>
          <cell r="F2760" t="str">
            <v>COLA INST./ ADESIVOS COLANTES</v>
          </cell>
          <cell r="G2760" t="str">
            <v>AUTOMOTIVO</v>
          </cell>
        </row>
        <row r="2761">
          <cell r="A2761">
            <v>85108</v>
          </cell>
          <cell r="B2761" t="str">
            <v>ADESIVO SELACAO POL. 600ML SACHÊ SOLUFIX PU 40 FLEX CINZA</v>
          </cell>
          <cell r="C2761">
            <v>10020087</v>
          </cell>
          <cell r="D2761" t="str">
            <v>SOLUÇÃO ADESIVOS</v>
          </cell>
          <cell r="E2761">
            <v>20056</v>
          </cell>
          <cell r="F2761" t="str">
            <v>COLA INST./ ADESIVOS COLANTES</v>
          </cell>
          <cell r="G2761" t="str">
            <v>AUTOMOTIVO</v>
          </cell>
        </row>
        <row r="2762">
          <cell r="A2762">
            <v>20064</v>
          </cell>
          <cell r="B2762" t="str">
            <v>ADESIVO SPRAY 76 LT 340G 3M</v>
          </cell>
          <cell r="C2762" t="str">
            <v>HB004539712</v>
          </cell>
          <cell r="D2762" t="str">
            <v>3M</v>
          </cell>
          <cell r="E2762">
            <v>20056</v>
          </cell>
          <cell r="F2762" t="str">
            <v>COLA INST./ ADESIVOS COLANTES</v>
          </cell>
          <cell r="G2762" t="str">
            <v>AUTOMOTIVO</v>
          </cell>
        </row>
        <row r="2763">
          <cell r="A2763">
            <v>10160</v>
          </cell>
          <cell r="B2763" t="str">
            <v>COLA INSTANTANEO 83 20G HS BOND</v>
          </cell>
          <cell r="C2763">
            <v>4032</v>
          </cell>
          <cell r="D2763" t="str">
            <v>HS BOND</v>
          </cell>
          <cell r="E2763">
            <v>20056</v>
          </cell>
          <cell r="F2763" t="str">
            <v>COLA INST./ ADESIVOS COLANTES</v>
          </cell>
          <cell r="G2763" t="str">
            <v>AUTOMOTIVO</v>
          </cell>
        </row>
        <row r="2764">
          <cell r="A2764">
            <v>10391</v>
          </cell>
          <cell r="B2764" t="str">
            <v>COLA UNIVERSAL 774G MAX RUBBER</v>
          </cell>
          <cell r="C2764" t="str">
            <v>7MA061</v>
          </cell>
          <cell r="D2764" t="str">
            <v>MAXI RUBBER</v>
          </cell>
          <cell r="E2764">
            <v>20056</v>
          </cell>
          <cell r="F2764" t="str">
            <v>COLA INST./ ADESIVOS COLANTES</v>
          </cell>
          <cell r="G2764" t="str">
            <v>AUTOMOTIVO</v>
          </cell>
        </row>
        <row r="2765">
          <cell r="A2765">
            <v>10085</v>
          </cell>
          <cell r="B2765" t="str">
            <v>REMOVEDOR ADESIVO AUTO 3M</v>
          </cell>
          <cell r="C2765" t="str">
            <v>HC000455739</v>
          </cell>
          <cell r="D2765" t="str">
            <v>3M</v>
          </cell>
          <cell r="E2765">
            <v>20056</v>
          </cell>
          <cell r="F2765" t="str">
            <v>COLA INST./ ADESIVOS COLANTES</v>
          </cell>
          <cell r="G2765" t="str">
            <v>AUTOMOTIVO</v>
          </cell>
        </row>
        <row r="2766">
          <cell r="A2766">
            <v>20189</v>
          </cell>
          <cell r="B2766" t="str">
            <v>REMOVEDOR DE ADESIVO NORTON</v>
          </cell>
          <cell r="C2766">
            <v>5539544804</v>
          </cell>
          <cell r="D2766" t="str">
            <v>NORTON</v>
          </cell>
          <cell r="E2766">
            <v>20056</v>
          </cell>
          <cell r="F2766" t="str">
            <v>COLA INST./ ADESIVOS COLANTES</v>
          </cell>
          <cell r="G2766" t="str">
            <v>AUTOMOTIVO</v>
          </cell>
        </row>
        <row r="2767">
          <cell r="A2767">
            <v>23892</v>
          </cell>
          <cell r="B2767" t="str">
            <v>REMOVEDOR DE ADESIVOS MXT-0632 SIGMA</v>
          </cell>
          <cell r="C2767">
            <v>16</v>
          </cell>
          <cell r="D2767" t="str">
            <v>.</v>
          </cell>
          <cell r="E2767">
            <v>20056</v>
          </cell>
          <cell r="F2767" t="str">
            <v>COLA INST./ ADESIVOS COLANTES</v>
          </cell>
          <cell r="G2767" t="str">
            <v>AUTOMOTIVO</v>
          </cell>
        </row>
        <row r="2768">
          <cell r="A2768">
            <v>20617</v>
          </cell>
          <cell r="B2768" t="str">
            <v>SIKAFLEX VEDAÇÃO CINZA 620GR SACHE SIKA</v>
          </cell>
          <cell r="D2768" t="str">
            <v>SIKA</v>
          </cell>
          <cell r="E2768">
            <v>20056</v>
          </cell>
          <cell r="F2768" t="str">
            <v>COLA INST./ ADESIVOS COLANTES</v>
          </cell>
          <cell r="G2768" t="str">
            <v>AUTOMOTIVO</v>
          </cell>
        </row>
        <row r="2769">
          <cell r="A2769">
            <v>20850</v>
          </cell>
          <cell r="B2769" t="str">
            <v>AUTOWAVE MM 00 BRANCO 1L-24,45-ST</v>
          </cell>
          <cell r="C2769">
            <v>530641</v>
          </cell>
          <cell r="D2769" t="str">
            <v>SIKKENS</v>
          </cell>
          <cell r="E2769">
            <v>20053</v>
          </cell>
          <cell r="F2769" t="str">
            <v>BASE DÁGUA</v>
          </cell>
          <cell r="G2769" t="str">
            <v>AUTOMOTIVO</v>
          </cell>
        </row>
        <row r="2770">
          <cell r="A2770">
            <v>20852</v>
          </cell>
          <cell r="B2770" t="str">
            <v>AUTOWAVE MM 245 PRETO PROFUNDO 1L-24,45-ST</v>
          </cell>
          <cell r="C2770">
            <v>530644</v>
          </cell>
          <cell r="D2770" t="str">
            <v>SIKKENS</v>
          </cell>
          <cell r="E2770">
            <v>20053</v>
          </cell>
          <cell r="F2770" t="str">
            <v>BASE DÁGUA</v>
          </cell>
          <cell r="G2770" t="str">
            <v>AUTOMOTIVO</v>
          </cell>
        </row>
        <row r="2771">
          <cell r="A2771">
            <v>20853</v>
          </cell>
          <cell r="B2771" t="str">
            <v>AUTOWAVE MM 254 LARANJA ESCURO 0,5L-24,45-ST</v>
          </cell>
          <cell r="C2771">
            <v>530645</v>
          </cell>
          <cell r="D2771" t="str">
            <v>SIKKENS</v>
          </cell>
          <cell r="E2771">
            <v>20053</v>
          </cell>
          <cell r="F2771" t="str">
            <v>BASE DÁGUA</v>
          </cell>
          <cell r="G2771" t="str">
            <v>AUTOMOTIVO</v>
          </cell>
        </row>
        <row r="2772">
          <cell r="A2772">
            <v>22262</v>
          </cell>
          <cell r="B2772" t="str">
            <v>AUTOWAVE MM 266 AMARELO ESVERDEADO 0,5L-24,45-ST</v>
          </cell>
          <cell r="C2772">
            <v>537690</v>
          </cell>
          <cell r="D2772" t="str">
            <v>SIKKENS</v>
          </cell>
          <cell r="E2772">
            <v>20053</v>
          </cell>
          <cell r="F2772" t="str">
            <v>BASE DÁGUA</v>
          </cell>
          <cell r="G2772" t="str">
            <v>AUTOMOTIVO</v>
          </cell>
        </row>
        <row r="2773">
          <cell r="A2773">
            <v>20855</v>
          </cell>
          <cell r="B2773" t="str">
            <v>AUTOWAVE MM 296 AMARELO CLARO 0,5L-24,45-ST</v>
          </cell>
          <cell r="C2773">
            <v>530647</v>
          </cell>
          <cell r="D2773" t="str">
            <v>SIKKENS</v>
          </cell>
          <cell r="E2773">
            <v>20053</v>
          </cell>
          <cell r="F2773" t="str">
            <v>BASE DÁGUA</v>
          </cell>
          <cell r="G2773" t="str">
            <v>AUTOMOTIVO</v>
          </cell>
        </row>
        <row r="2774">
          <cell r="A2774">
            <v>20894</v>
          </cell>
          <cell r="B2774" t="str">
            <v>AUTOWAVE MM 332BA PEROLA AZUL FINA 1L-24,45-ST</v>
          </cell>
          <cell r="C2774">
            <v>530648</v>
          </cell>
          <cell r="D2774" t="str">
            <v>SIKKENS</v>
          </cell>
          <cell r="E2774">
            <v>20053</v>
          </cell>
          <cell r="F2774" t="str">
            <v>BASE DÁGUA</v>
          </cell>
          <cell r="G2774" t="str">
            <v>AUTOMOTIVO</v>
          </cell>
        </row>
        <row r="2775">
          <cell r="A2775">
            <v>20895</v>
          </cell>
          <cell r="B2775" t="str">
            <v>AUTOWAVE MM 332GA PEROLA VERDE MEDIA 0,5L-24,45-ST</v>
          </cell>
          <cell r="C2775">
            <v>530649</v>
          </cell>
          <cell r="D2775" t="str">
            <v>SIKKENS</v>
          </cell>
          <cell r="E2775">
            <v>20053</v>
          </cell>
          <cell r="F2775" t="str">
            <v>BASE DÁGUA</v>
          </cell>
          <cell r="G2775" t="str">
            <v>AUTOMOTIVO</v>
          </cell>
        </row>
        <row r="2776">
          <cell r="A2776">
            <v>20896</v>
          </cell>
          <cell r="B2776" t="str">
            <v>AUTOWAVE MM 332GB PEROLA VERDE FINA 0,5L-24,45-ST</v>
          </cell>
          <cell r="C2776">
            <v>530650</v>
          </cell>
          <cell r="D2776" t="str">
            <v>SIKKENS</v>
          </cell>
          <cell r="E2776">
            <v>20053</v>
          </cell>
          <cell r="F2776" t="str">
            <v>BASE DÁGUA</v>
          </cell>
          <cell r="G2776" t="str">
            <v>AUTOMOTIVO</v>
          </cell>
        </row>
        <row r="2777">
          <cell r="A2777">
            <v>20897</v>
          </cell>
          <cell r="B2777" t="str">
            <v>AUTOWAVE MM 332RA PEROLA VERMELHA GRAUDA 0,5L-24,45-ST</v>
          </cell>
          <cell r="C2777">
            <v>530651</v>
          </cell>
          <cell r="D2777" t="str">
            <v>SIKKENS</v>
          </cell>
          <cell r="E2777">
            <v>20053</v>
          </cell>
          <cell r="F2777" t="str">
            <v>BASE DÁGUA</v>
          </cell>
          <cell r="G2777" t="str">
            <v>AUTOMOTIVO</v>
          </cell>
        </row>
        <row r="2778">
          <cell r="A2778">
            <v>20899</v>
          </cell>
          <cell r="B2778" t="str">
            <v>AUTOWAVE MM 332VA PEROLA VIOLETA 1L-24,45-ST</v>
          </cell>
          <cell r="C2778">
            <v>530652</v>
          </cell>
          <cell r="D2778" t="str">
            <v>SIKKENS</v>
          </cell>
          <cell r="E2778">
            <v>20053</v>
          </cell>
          <cell r="F2778" t="str">
            <v>BASE DÁGUA</v>
          </cell>
          <cell r="G2778" t="str">
            <v>AUTOMOTIVO</v>
          </cell>
        </row>
        <row r="2779">
          <cell r="A2779">
            <v>21103</v>
          </cell>
          <cell r="B2779" t="str">
            <v>AUTOWAVE MM 332XB EFEITO AZUL MEDIO 0,5L-24,45-ST</v>
          </cell>
          <cell r="C2779">
            <v>530653</v>
          </cell>
          <cell r="D2779" t="str">
            <v>SIKKENS</v>
          </cell>
          <cell r="E2779">
            <v>20053</v>
          </cell>
          <cell r="F2779" t="str">
            <v>BASE DÁGUA</v>
          </cell>
          <cell r="G2779" t="str">
            <v>AUTOMOTIVO</v>
          </cell>
        </row>
        <row r="2780">
          <cell r="A2780">
            <v>21104</v>
          </cell>
          <cell r="B2780" t="str">
            <v>AUTOWAVE MM 332XG EFEITO DOURADO 0,5L-24,45-ST</v>
          </cell>
          <cell r="C2780">
            <v>530654</v>
          </cell>
          <cell r="D2780" t="str">
            <v>SIKKENS</v>
          </cell>
          <cell r="E2780">
            <v>20053</v>
          </cell>
          <cell r="F2780" t="str">
            <v>BASE DÁGUA</v>
          </cell>
          <cell r="G2780" t="str">
            <v>AUTOMOTIVO</v>
          </cell>
        </row>
        <row r="2781">
          <cell r="A2781">
            <v>21105</v>
          </cell>
          <cell r="B2781" t="str">
            <v>AUTOWAVE MM 332XS EFEITO BRANCO GRAUDO 0,5L-24,45-ST</v>
          </cell>
          <cell r="C2781">
            <v>530655</v>
          </cell>
          <cell r="D2781" t="str">
            <v>SIKKENS</v>
          </cell>
          <cell r="E2781">
            <v>20053</v>
          </cell>
          <cell r="F2781" t="str">
            <v>BASE DÁGUA</v>
          </cell>
          <cell r="G2781" t="str">
            <v>AUTOMOTIVO</v>
          </cell>
        </row>
        <row r="2782">
          <cell r="A2782">
            <v>20900</v>
          </cell>
          <cell r="B2782" t="str">
            <v>AUTOWAVE MM 332YA PEROLA DOURADA 0,5L-24,45-ST</v>
          </cell>
          <cell r="C2782">
            <v>530656</v>
          </cell>
          <cell r="D2782" t="str">
            <v>SIKKENS</v>
          </cell>
          <cell r="E2782">
            <v>20053</v>
          </cell>
          <cell r="F2782" t="str">
            <v>BASE DÁGUA</v>
          </cell>
          <cell r="G2782" t="str">
            <v>AUTOMOTIVO</v>
          </cell>
        </row>
        <row r="2783">
          <cell r="A2783">
            <v>20889</v>
          </cell>
          <cell r="B2783" t="str">
            <v>AUTOWAVE MM 333P PEROLA BRANCA MEDIA 1L-24,45-ST</v>
          </cell>
          <cell r="C2783">
            <v>530657</v>
          </cell>
          <cell r="D2783" t="str">
            <v>SIKKENS</v>
          </cell>
          <cell r="E2783">
            <v>20053</v>
          </cell>
          <cell r="F2783" t="str">
            <v>BASE DÁGUA</v>
          </cell>
          <cell r="G2783" t="str">
            <v>AUTOMOTIVO</v>
          </cell>
        </row>
        <row r="2784">
          <cell r="A2784">
            <v>20890</v>
          </cell>
          <cell r="B2784" t="str">
            <v>AUTOWAVE MM 333PB PEROLA AZUL 1L-24,45-ST</v>
          </cell>
          <cell r="C2784">
            <v>530658</v>
          </cell>
          <cell r="D2784" t="str">
            <v>SIKKENS</v>
          </cell>
          <cell r="E2784">
            <v>20053</v>
          </cell>
          <cell r="F2784" t="str">
            <v>BASE DÁGUA</v>
          </cell>
          <cell r="G2784" t="str">
            <v>AUTOMOTIVO</v>
          </cell>
        </row>
        <row r="2785">
          <cell r="A2785">
            <v>20901</v>
          </cell>
          <cell r="B2785" t="str">
            <v>AUTOWAVE MM 333PG PEROLA DOURADA MEDIA 1L-24,45-ST</v>
          </cell>
          <cell r="C2785">
            <v>530659</v>
          </cell>
          <cell r="D2785" t="str">
            <v>SIKKENS</v>
          </cell>
          <cell r="E2785">
            <v>20053</v>
          </cell>
          <cell r="F2785" t="str">
            <v>BASE DÁGUA</v>
          </cell>
          <cell r="G2785" t="str">
            <v>AUTOMOTIVO</v>
          </cell>
        </row>
        <row r="2786">
          <cell r="A2786">
            <v>20903</v>
          </cell>
          <cell r="B2786" t="str">
            <v>AUTOWAVE MM 334GA PEROLA VERDE BRILHANTE 0,5L-24,45-ST</v>
          </cell>
          <cell r="C2786">
            <v>530661</v>
          </cell>
          <cell r="D2786" t="str">
            <v>SIKKENS</v>
          </cell>
          <cell r="E2786">
            <v>20053</v>
          </cell>
          <cell r="F2786" t="str">
            <v>BASE DÁGUA</v>
          </cell>
          <cell r="G2786" t="str">
            <v>AUTOMOTIVO</v>
          </cell>
        </row>
        <row r="2787">
          <cell r="A2787">
            <v>20904</v>
          </cell>
          <cell r="B2787" t="str">
            <v>AUTOWAVE MM 334GB PEROLA AZUL ESVERDEADA 0,5L-24,45-ST</v>
          </cell>
          <cell r="C2787">
            <v>530662</v>
          </cell>
          <cell r="D2787" t="str">
            <v>SIKKENS</v>
          </cell>
          <cell r="E2787">
            <v>20053</v>
          </cell>
          <cell r="F2787" t="str">
            <v>BASE DÁGUA</v>
          </cell>
          <cell r="G2787" t="str">
            <v>AUTOMOTIVO</v>
          </cell>
        </row>
        <row r="2788">
          <cell r="A2788">
            <v>20902</v>
          </cell>
          <cell r="B2788" t="str">
            <v>AUTOWAVE MM 334PR PEROLA VERMELHA FINA 0,5L-24,45-ST</v>
          </cell>
          <cell r="C2788">
            <v>530663</v>
          </cell>
          <cell r="D2788" t="str">
            <v>SIKKENS</v>
          </cell>
          <cell r="E2788">
            <v>20053</v>
          </cell>
          <cell r="F2788" t="str">
            <v>BASE DÁGUA</v>
          </cell>
          <cell r="G2788" t="str">
            <v>AUTOMOTIVO</v>
          </cell>
        </row>
        <row r="2789">
          <cell r="A2789">
            <v>20905</v>
          </cell>
          <cell r="B2789" t="str">
            <v>AUTOWAVE MM 334RA PEROLA MARRON FINA 0,5L-24,45-ST</v>
          </cell>
          <cell r="C2789">
            <v>530664</v>
          </cell>
          <cell r="D2789" t="str">
            <v>SIKKENS</v>
          </cell>
          <cell r="E2789">
            <v>20053</v>
          </cell>
          <cell r="F2789" t="str">
            <v>BASE DÁGUA</v>
          </cell>
          <cell r="G2789" t="str">
            <v>AUTOMOTIVO</v>
          </cell>
        </row>
        <row r="2790">
          <cell r="A2790">
            <v>20907</v>
          </cell>
          <cell r="B2790" t="str">
            <v>AUTOWAVE MM 334RC PEROLA VERDE MEDIA 0,5L</v>
          </cell>
          <cell r="C2790">
            <v>530666</v>
          </cell>
          <cell r="D2790" t="str">
            <v>SIKKENS</v>
          </cell>
          <cell r="E2790">
            <v>20053</v>
          </cell>
          <cell r="F2790" t="str">
            <v>BASE DÁGUA</v>
          </cell>
          <cell r="G2790" t="str">
            <v>AUTOMOTIVO</v>
          </cell>
        </row>
        <row r="2791">
          <cell r="A2791">
            <v>23659</v>
          </cell>
          <cell r="B2791" t="str">
            <v>AUTOWAVE MM 334RE 0,5L SIKKENS-24,45-ST</v>
          </cell>
          <cell r="C2791">
            <v>545985</v>
          </cell>
          <cell r="D2791" t="str">
            <v>SIKKENS</v>
          </cell>
          <cell r="E2791">
            <v>20053</v>
          </cell>
          <cell r="F2791" t="str">
            <v>BASE DÁGUA</v>
          </cell>
          <cell r="G2791" t="str">
            <v>AUTOMOTIVO</v>
          </cell>
        </row>
        <row r="2792">
          <cell r="A2792">
            <v>20909</v>
          </cell>
          <cell r="B2792" t="str">
            <v>AUTOWAVE MM 334WA PEROLA BRANCA EXTRA FINA 0,5L-24,45-ST</v>
          </cell>
          <cell r="C2792">
            <v>530667</v>
          </cell>
          <cell r="D2792" t="str">
            <v>SIKKENS</v>
          </cell>
          <cell r="E2792">
            <v>20053</v>
          </cell>
          <cell r="F2792" t="str">
            <v>BASE DÁGUA</v>
          </cell>
          <cell r="G2792" t="str">
            <v>AUTOMOTIVO</v>
          </cell>
        </row>
        <row r="2793">
          <cell r="A2793">
            <v>20910</v>
          </cell>
          <cell r="B2793" t="str">
            <v>AUTOWAVE MM 334WB PEROLA BRANCA CLARA FINA 0,5L-24,45-ST</v>
          </cell>
          <cell r="C2793">
            <v>530668</v>
          </cell>
          <cell r="D2793" t="str">
            <v>SIKKENS</v>
          </cell>
          <cell r="E2793">
            <v>20053</v>
          </cell>
          <cell r="F2793" t="str">
            <v>BASE DÁGUA</v>
          </cell>
          <cell r="G2793" t="str">
            <v>AUTOMOTIVO</v>
          </cell>
        </row>
        <row r="2794">
          <cell r="A2794">
            <v>20911</v>
          </cell>
          <cell r="B2794" t="str">
            <v>AUTOWAVE MM 334ZA GRAFITE PRETO 0,5L-24,45-ST</v>
          </cell>
          <cell r="C2794">
            <v>530670</v>
          </cell>
          <cell r="D2794" t="str">
            <v>SIKKENS</v>
          </cell>
          <cell r="E2794">
            <v>20053</v>
          </cell>
          <cell r="F2794" t="str">
            <v>BASE DÁGUA</v>
          </cell>
          <cell r="G2794" t="str">
            <v>AUTOMOTIVO</v>
          </cell>
        </row>
        <row r="2795">
          <cell r="A2795">
            <v>20856</v>
          </cell>
          <cell r="B2795" t="str">
            <v>AUTOWAVE MM 335 AMARELO BRILHANTE 0,5L-24,45-ST</v>
          </cell>
          <cell r="C2795">
            <v>530671</v>
          </cell>
          <cell r="D2795" t="str">
            <v>SIKKENS</v>
          </cell>
          <cell r="E2795">
            <v>20053</v>
          </cell>
          <cell r="F2795" t="str">
            <v>BASE DÁGUA</v>
          </cell>
          <cell r="G2795" t="str">
            <v>AUTOMOTIVO</v>
          </cell>
        </row>
        <row r="2796">
          <cell r="A2796">
            <v>20863</v>
          </cell>
          <cell r="B2796" t="str">
            <v>AUTOWAVE MM 342 AZUL AVIOLETADO 1L-24,45-ST</v>
          </cell>
          <cell r="C2796">
            <v>530672</v>
          </cell>
          <cell r="D2796" t="str">
            <v>SIKKENS</v>
          </cell>
          <cell r="E2796">
            <v>20053</v>
          </cell>
          <cell r="F2796" t="str">
            <v>BASE DÁGUA</v>
          </cell>
          <cell r="G2796" t="str">
            <v>AUTOMOTIVO</v>
          </cell>
        </row>
        <row r="2797">
          <cell r="A2797">
            <v>21317</v>
          </cell>
          <cell r="B2797" t="str">
            <v>AUTOWAVE MM 355 VERMELHO BRILHANTE 1L-24,45-ST</v>
          </cell>
          <cell r="C2797">
            <v>530674</v>
          </cell>
          <cell r="D2797" t="str">
            <v>SIKKENS</v>
          </cell>
          <cell r="E2797">
            <v>20053</v>
          </cell>
          <cell r="F2797" t="str">
            <v>BASE DÁGUA</v>
          </cell>
          <cell r="G2797" t="str">
            <v>AUTOMOTIVO</v>
          </cell>
        </row>
        <row r="2798">
          <cell r="A2798">
            <v>20868</v>
          </cell>
          <cell r="B2798" t="str">
            <v>AUTOWAVE MM 361 AMARELO ALARANJADO 0,5L-24,45-ST</v>
          </cell>
          <cell r="C2798">
            <v>530676</v>
          </cell>
          <cell r="D2798" t="str">
            <v>SIKKENS</v>
          </cell>
          <cell r="E2798">
            <v>20053</v>
          </cell>
          <cell r="F2798" t="str">
            <v>BASE DÁGUA</v>
          </cell>
          <cell r="G2798" t="str">
            <v>AUTOMOTIVO</v>
          </cell>
        </row>
        <row r="2799">
          <cell r="A2799">
            <v>20869</v>
          </cell>
          <cell r="B2799" t="str">
            <v>AUTOWAVE MM 379 AZUL ESVERDEADO 1L-24,45-ST</v>
          </cell>
          <cell r="C2799">
            <v>530677</v>
          </cell>
          <cell r="D2799" t="str">
            <v>SIKKENS</v>
          </cell>
          <cell r="E2799">
            <v>20053</v>
          </cell>
          <cell r="F2799" t="str">
            <v>BASE DÁGUA</v>
          </cell>
          <cell r="G2799" t="str">
            <v>AUTOMOTIVO</v>
          </cell>
        </row>
        <row r="2800">
          <cell r="A2800">
            <v>20870</v>
          </cell>
          <cell r="B2800" t="str">
            <v>AUTOWAVE MM 400 PRETO 1L-24,45-ST</v>
          </cell>
          <cell r="C2800">
            <v>530678</v>
          </cell>
          <cell r="D2800" t="str">
            <v>SIKKENS</v>
          </cell>
          <cell r="E2800">
            <v>20053</v>
          </cell>
          <cell r="F2800" t="str">
            <v>BASE DÁGUA</v>
          </cell>
          <cell r="G2800" t="str">
            <v>AUTOMOTIVO</v>
          </cell>
        </row>
        <row r="2801">
          <cell r="A2801">
            <v>24346</v>
          </cell>
          <cell r="B2801" t="str">
            <v>AUTOWAVE MM 535 1L-20,56-ST</v>
          </cell>
          <cell r="C2801">
            <v>585478</v>
          </cell>
          <cell r="D2801" t="str">
            <v>SIKKENS</v>
          </cell>
          <cell r="E2801">
            <v>20053</v>
          </cell>
          <cell r="F2801" t="str">
            <v>BASE DÁGUA</v>
          </cell>
          <cell r="G2801" t="str">
            <v>AUTOMOTIVO</v>
          </cell>
        </row>
        <row r="2802">
          <cell r="A2802">
            <v>20873</v>
          </cell>
          <cell r="B2802" t="str">
            <v>AUTOWAVE MM 537 MARRON BRILHANTE 1L-24,45-ST</v>
          </cell>
          <cell r="C2802">
            <v>530681</v>
          </cell>
          <cell r="D2802" t="str">
            <v>SIKKENS</v>
          </cell>
          <cell r="E2802">
            <v>20053</v>
          </cell>
          <cell r="F2802" t="str">
            <v>BASE DÁGUA</v>
          </cell>
          <cell r="G2802" t="str">
            <v>AUTOMOTIVO</v>
          </cell>
        </row>
        <row r="2803">
          <cell r="A2803">
            <v>20874</v>
          </cell>
          <cell r="B2803" t="str">
            <v>AUTOWAVE MM 558 AMARELO OXIDO 0,5L-24,45-ST</v>
          </cell>
          <cell r="C2803">
            <v>530682</v>
          </cell>
          <cell r="D2803" t="str">
            <v>SIKKENS</v>
          </cell>
          <cell r="E2803">
            <v>20053</v>
          </cell>
          <cell r="F2803" t="str">
            <v>BASE DÁGUA</v>
          </cell>
          <cell r="G2803" t="str">
            <v>AUTOMOTIVO</v>
          </cell>
        </row>
        <row r="2804">
          <cell r="A2804">
            <v>20875</v>
          </cell>
          <cell r="B2804" t="str">
            <v>AUTOWAVE MM 568 LARANJA AVERMELHADO 0,5L-24,45-ST</v>
          </cell>
          <cell r="C2804">
            <v>530683</v>
          </cell>
          <cell r="D2804" t="str">
            <v>SIKKENS</v>
          </cell>
          <cell r="E2804">
            <v>20053</v>
          </cell>
          <cell r="F2804" t="str">
            <v>BASE DÁGUA</v>
          </cell>
          <cell r="G2804" t="str">
            <v>AUTOMOTIVO</v>
          </cell>
        </row>
        <row r="2805">
          <cell r="A2805">
            <v>20877</v>
          </cell>
          <cell r="B2805" t="str">
            <v>AUTOWAVE MM 575 AZUL TRANSPARENTE 1L-24,45-ST</v>
          </cell>
          <cell r="C2805">
            <v>530684</v>
          </cell>
          <cell r="D2805" t="str">
            <v>SIKKENS</v>
          </cell>
          <cell r="E2805">
            <v>20053</v>
          </cell>
          <cell r="F2805" t="str">
            <v>BASE DÁGUA</v>
          </cell>
          <cell r="G2805" t="str">
            <v>AUTOMOTIVO</v>
          </cell>
        </row>
        <row r="2806">
          <cell r="A2806">
            <v>20878</v>
          </cell>
          <cell r="B2806" t="str">
            <v>AUTOWAVE MM 577 VERDE TRANSPARENTE 1L-24,45-ST</v>
          </cell>
          <cell r="C2806">
            <v>530685</v>
          </cell>
          <cell r="D2806" t="str">
            <v>SIKKENS</v>
          </cell>
          <cell r="E2806">
            <v>20053</v>
          </cell>
          <cell r="F2806" t="str">
            <v>BASE DÁGUA</v>
          </cell>
          <cell r="G2806" t="str">
            <v>AUTOMOTIVO</v>
          </cell>
        </row>
        <row r="2807">
          <cell r="A2807">
            <v>20879</v>
          </cell>
          <cell r="B2807" t="str">
            <v>AUTOWAVE MM 579 AMARELO ALARANJADO 0,5L-24,45-ST</v>
          </cell>
          <cell r="C2807">
            <v>530686</v>
          </cell>
          <cell r="D2807" t="str">
            <v>SIKKENS</v>
          </cell>
          <cell r="E2807">
            <v>20053</v>
          </cell>
          <cell r="F2807" t="str">
            <v>BASE DÁGUA</v>
          </cell>
          <cell r="G2807" t="str">
            <v>AUTOMOTIVO</v>
          </cell>
        </row>
        <row r="2808">
          <cell r="A2808">
            <v>20880</v>
          </cell>
          <cell r="B2808" t="str">
            <v>AUTOWAVE MM 599 VERMELHO MARROM 0,5L-24,45-ST</v>
          </cell>
          <cell r="C2808">
            <v>530687</v>
          </cell>
          <cell r="D2808" t="str">
            <v>SIKKENS</v>
          </cell>
          <cell r="E2808">
            <v>20053</v>
          </cell>
          <cell r="F2808" t="str">
            <v>BASE DÁGUA</v>
          </cell>
          <cell r="G2808" t="str">
            <v>AUTOMOTIVO</v>
          </cell>
        </row>
        <row r="2809">
          <cell r="A2809">
            <v>20881</v>
          </cell>
          <cell r="B2809" t="str">
            <v>AUTOWAVE MM 666 BINDER 3,75L-24,45-ST</v>
          </cell>
          <cell r="C2809">
            <v>530688</v>
          </cell>
          <cell r="D2809" t="str">
            <v>SIKKENS</v>
          </cell>
          <cell r="E2809">
            <v>20053</v>
          </cell>
          <cell r="F2809" t="str">
            <v>BASE DÁGUA</v>
          </cell>
          <cell r="G2809" t="str">
            <v>AUTOMOTIVO</v>
          </cell>
        </row>
        <row r="2810">
          <cell r="A2810">
            <v>21101</v>
          </cell>
          <cell r="B2810" t="str">
            <v>AUTOWAVE MM 732 VERDE ESCURO 1L-24,45-ST</v>
          </cell>
          <cell r="C2810">
            <v>530689</v>
          </cell>
          <cell r="D2810" t="str">
            <v>SIKKENS</v>
          </cell>
          <cell r="E2810">
            <v>20053</v>
          </cell>
          <cell r="F2810" t="str">
            <v>BASE DÁGUA</v>
          </cell>
          <cell r="G2810" t="str">
            <v>AUTOMOTIVO</v>
          </cell>
        </row>
        <row r="2811">
          <cell r="A2811">
            <v>20882</v>
          </cell>
          <cell r="B2811" t="str">
            <v>AUTOWAVE MM 744 PRETO 1L-24,45-ST</v>
          </cell>
          <cell r="C2811">
            <v>530690</v>
          </cell>
          <cell r="D2811" t="str">
            <v>SIKKENS</v>
          </cell>
          <cell r="E2811">
            <v>20053</v>
          </cell>
          <cell r="F2811" t="str">
            <v>BASE DÁGUA</v>
          </cell>
          <cell r="G2811" t="str">
            <v>AUTOMOTIVO</v>
          </cell>
        </row>
        <row r="2812">
          <cell r="A2812">
            <v>20883</v>
          </cell>
          <cell r="B2812" t="str">
            <v>AUTOWAVE MM 777 CONTROLADOR DE FLOP 1L-24,45-ST</v>
          </cell>
          <cell r="C2812">
            <v>530691</v>
          </cell>
          <cell r="D2812" t="str">
            <v>SIKKENS</v>
          </cell>
          <cell r="E2812">
            <v>20053</v>
          </cell>
          <cell r="F2812" t="str">
            <v>BASE DÁGUA</v>
          </cell>
          <cell r="G2812" t="str">
            <v>AUTOMOTIVO</v>
          </cell>
        </row>
        <row r="2813">
          <cell r="A2813">
            <v>20912</v>
          </cell>
          <cell r="B2813" t="str">
            <v>AUTOWAVE MM 888C ALUMINIO FINO 1L-25,87-ST</v>
          </cell>
          <cell r="C2813">
            <v>530692</v>
          </cell>
          <cell r="D2813" t="str">
            <v>SIKKENS</v>
          </cell>
          <cell r="E2813">
            <v>20053</v>
          </cell>
          <cell r="F2813" t="str">
            <v>BASE DÁGUA</v>
          </cell>
          <cell r="G2813" t="str">
            <v>AUTOMOTIVO</v>
          </cell>
        </row>
        <row r="2814">
          <cell r="A2814">
            <v>20891</v>
          </cell>
          <cell r="B2814" t="str">
            <v>AUTOWAVE MM 888CC ALUMINIO GRAUDO 1L-25,87-ST</v>
          </cell>
          <cell r="C2814">
            <v>530693</v>
          </cell>
          <cell r="D2814" t="str">
            <v>SIKKENS</v>
          </cell>
          <cell r="E2814">
            <v>20053</v>
          </cell>
          <cell r="F2814" t="str">
            <v>BASE DÁGUA</v>
          </cell>
          <cell r="G2814" t="str">
            <v>AUTOMOTIVO</v>
          </cell>
        </row>
        <row r="2815">
          <cell r="A2815">
            <v>20914</v>
          </cell>
          <cell r="B2815" t="str">
            <v>AUTOWAVE MM 888DF ALUMINIO MEDIO BRILHANTE 1L-25,87-ST</v>
          </cell>
          <cell r="C2815">
            <v>530695</v>
          </cell>
          <cell r="D2815" t="str">
            <v>SIKKENS</v>
          </cell>
          <cell r="E2815">
            <v>20053</v>
          </cell>
          <cell r="F2815" t="str">
            <v>BASE DÁGUA</v>
          </cell>
          <cell r="G2815" t="str">
            <v>AUTOMOTIVO</v>
          </cell>
        </row>
        <row r="2816">
          <cell r="A2816">
            <v>20916</v>
          </cell>
          <cell r="B2816" t="str">
            <v>AUTOWAVE MM 888MS ALUMINIO EXTRA FINO 1L-25,87-ST</v>
          </cell>
          <cell r="C2816">
            <v>530697</v>
          </cell>
          <cell r="D2816" t="str">
            <v>SIKKENS</v>
          </cell>
          <cell r="E2816">
            <v>20053</v>
          </cell>
          <cell r="F2816" t="str">
            <v>BASE DÁGUA</v>
          </cell>
          <cell r="G2816" t="str">
            <v>AUTOMOTIVO</v>
          </cell>
        </row>
        <row r="2817">
          <cell r="A2817">
            <v>21108</v>
          </cell>
          <cell r="B2817" t="str">
            <v>AUTOWAVE MM 888YA DOURADO METALICO 1L-25,87-ST</v>
          </cell>
          <cell r="C2817">
            <v>530698</v>
          </cell>
          <cell r="D2817" t="str">
            <v>SIKKENS</v>
          </cell>
          <cell r="E2817">
            <v>20053</v>
          </cell>
          <cell r="F2817" t="str">
            <v>BASE DÁGUA</v>
          </cell>
          <cell r="G2817" t="str">
            <v>AUTOMOTIVO</v>
          </cell>
        </row>
        <row r="2818">
          <cell r="A2818">
            <v>20885</v>
          </cell>
          <cell r="B2818" t="str">
            <v>AUTOWAVE MM 954 VIOLETA AVERMELHADO 1L-24,45-ST</v>
          </cell>
          <cell r="C2818">
            <v>530700</v>
          </cell>
          <cell r="D2818" t="str">
            <v>SIKKENS</v>
          </cell>
          <cell r="E2818">
            <v>20053</v>
          </cell>
          <cell r="F2818" t="str">
            <v>BASE DÁGUA</v>
          </cell>
          <cell r="G2818" t="str">
            <v>AUTOMOTIVO</v>
          </cell>
        </row>
        <row r="2819">
          <cell r="A2819">
            <v>20886</v>
          </cell>
          <cell r="B2819" t="str">
            <v>AUTOWAVE MM 971 VIOLETA AZULADO 1L-24,45-ST</v>
          </cell>
          <cell r="C2819">
            <v>530701</v>
          </cell>
          <cell r="D2819" t="str">
            <v>SIKKENS</v>
          </cell>
          <cell r="E2819">
            <v>20053</v>
          </cell>
          <cell r="F2819" t="str">
            <v>BASE DÁGUA</v>
          </cell>
          <cell r="G2819" t="str">
            <v>AUTOMOTIVO</v>
          </cell>
        </row>
        <row r="2820">
          <cell r="A2820">
            <v>20893</v>
          </cell>
          <cell r="B2820" t="str">
            <v>AUTOWAVE MM 980 AZUL ESCURO TRANSPARENTE 1L-24,45-ST</v>
          </cell>
          <cell r="C2820">
            <v>530703</v>
          </cell>
          <cell r="D2820" t="str">
            <v>SIKKENS</v>
          </cell>
          <cell r="E2820">
            <v>20053</v>
          </cell>
          <cell r="F2820" t="str">
            <v>BASE DÁGUA</v>
          </cell>
          <cell r="G2820" t="str">
            <v>AUTOMOTIVO</v>
          </cell>
        </row>
        <row r="2821">
          <cell r="A2821">
            <v>24309</v>
          </cell>
          <cell r="B2821" t="str">
            <v>DESENGRAXANTE 0,900ML THINSOL</v>
          </cell>
          <cell r="C2821" t="str">
            <v>120-027</v>
          </cell>
          <cell r="D2821" t="str">
            <v>THINSOL</v>
          </cell>
          <cell r="E2821">
            <v>20052</v>
          </cell>
          <cell r="F2821" t="str">
            <v>DESENGRAXANTE</v>
          </cell>
          <cell r="G2821" t="str">
            <v>AUTOMOTIVO</v>
          </cell>
        </row>
        <row r="2822">
          <cell r="A2822">
            <v>9804</v>
          </cell>
          <cell r="B2822" t="str">
            <v>DESENGRAXANTE 900ML WANDA</v>
          </cell>
          <cell r="C2822">
            <v>482035</v>
          </cell>
          <cell r="D2822" t="str">
            <v>WANDA</v>
          </cell>
          <cell r="E2822">
            <v>20052</v>
          </cell>
          <cell r="F2822" t="str">
            <v>DESENGRAXANTE</v>
          </cell>
          <cell r="G2822" t="str">
            <v>AUTOMOTIVO</v>
          </cell>
        </row>
        <row r="2823">
          <cell r="A2823">
            <v>24187</v>
          </cell>
          <cell r="B2823" t="str">
            <v>DX EXTREME 5L DESENGRAXANTE ALCALINO SOLUPAN</v>
          </cell>
          <cell r="C2823" t="str">
            <v>PB110</v>
          </cell>
          <cell r="D2823" t="str">
            <v>SAFIRA</v>
          </cell>
          <cell r="E2823">
            <v>20052</v>
          </cell>
          <cell r="F2823" t="str">
            <v>DESENGRAXANTE</v>
          </cell>
          <cell r="G2823" t="str">
            <v>AUTOMOTIVO</v>
          </cell>
        </row>
        <row r="2824">
          <cell r="A2824">
            <v>10296</v>
          </cell>
          <cell r="B2824" t="str">
            <v>SOLUCAO DESENGRAXANTE 900ML ANJO</v>
          </cell>
          <cell r="C2824" t="str">
            <v>001575-23</v>
          </cell>
          <cell r="D2824" t="str">
            <v>ANJO</v>
          </cell>
          <cell r="E2824">
            <v>20052</v>
          </cell>
          <cell r="F2824" t="str">
            <v>DESENGRAXANTE</v>
          </cell>
          <cell r="G2824" t="str">
            <v>AUTOMOTIVO</v>
          </cell>
        </row>
        <row r="2825">
          <cell r="A2825">
            <v>21172</v>
          </cell>
          <cell r="B2825" t="str">
            <v>SOLUCAO DESENGRAXANTE 900ML MAX RUBBER</v>
          </cell>
          <cell r="C2825" t="str">
            <v>7MP007</v>
          </cell>
          <cell r="D2825" t="str">
            <v>MAXI RUBBER</v>
          </cell>
          <cell r="E2825">
            <v>20052</v>
          </cell>
          <cell r="F2825" t="str">
            <v>DESENGRAXANTE</v>
          </cell>
          <cell r="G2825" t="str">
            <v>AUTOMOTIVO</v>
          </cell>
        </row>
        <row r="2826">
          <cell r="A2826">
            <v>72</v>
          </cell>
          <cell r="B2826" t="str">
            <v>SOLUÇÃO DESENGRAXANTE 900ML SKY</v>
          </cell>
          <cell r="C2826" t="str">
            <v>150TH7100122</v>
          </cell>
          <cell r="D2826" t="str">
            <v>SKY</v>
          </cell>
          <cell r="E2826">
            <v>20052</v>
          </cell>
          <cell r="F2826" t="str">
            <v>DESENGRAXANTE</v>
          </cell>
          <cell r="G2826" t="str">
            <v>AUTOMOTIVO</v>
          </cell>
        </row>
        <row r="2827">
          <cell r="A2827">
            <v>24327</v>
          </cell>
          <cell r="B2827" t="str">
            <v>CONVERTEDOR DE FERRUGEM 1L VONDER</v>
          </cell>
          <cell r="C2827">
            <v>5199710000</v>
          </cell>
          <cell r="D2827" t="str">
            <v>VONDER</v>
          </cell>
          <cell r="E2827">
            <v>20051</v>
          </cell>
          <cell r="F2827" t="str">
            <v>FERRUGEM</v>
          </cell>
          <cell r="G2827" t="str">
            <v>AUTOMOTIVO</v>
          </cell>
        </row>
        <row r="2828">
          <cell r="A2828">
            <v>9799</v>
          </cell>
          <cell r="B2828" t="str">
            <v>DESOXIDANTE 1L WANDA</v>
          </cell>
          <cell r="C2828">
            <v>529475</v>
          </cell>
          <cell r="D2828" t="str">
            <v>WANDA</v>
          </cell>
          <cell r="E2828">
            <v>20051</v>
          </cell>
          <cell r="F2828" t="str">
            <v>FERRUGEM</v>
          </cell>
          <cell r="G2828" t="str">
            <v>AUTOMOTIVO</v>
          </cell>
        </row>
        <row r="2829">
          <cell r="A2829">
            <v>84042</v>
          </cell>
          <cell r="B2829" t="str">
            <v>REMOVEDOR DE FERRUGEM 1L BRASILUX</v>
          </cell>
          <cell r="C2829" t="str">
            <v>RF 080062407</v>
          </cell>
          <cell r="D2829" t="str">
            <v>BRASILUX</v>
          </cell>
          <cell r="E2829">
            <v>20051</v>
          </cell>
          <cell r="F2829" t="str">
            <v>FERRUGEM</v>
          </cell>
          <cell r="G2829" t="str">
            <v>AUTOMOTIVO</v>
          </cell>
        </row>
        <row r="2830">
          <cell r="A2830">
            <v>84041</v>
          </cell>
          <cell r="B2830" t="str">
            <v>REMOVEDOR DE FERRUGEM 500ML BRASILUX</v>
          </cell>
          <cell r="C2830" t="str">
            <v>RF 080062468</v>
          </cell>
          <cell r="D2830" t="str">
            <v>BRASILUX</v>
          </cell>
          <cell r="E2830">
            <v>20051</v>
          </cell>
          <cell r="F2830" t="str">
            <v>FERRUGEM</v>
          </cell>
          <cell r="G2830" t="str">
            <v>AUTOMOTIVO</v>
          </cell>
        </row>
        <row r="2831">
          <cell r="A2831">
            <v>23138</v>
          </cell>
          <cell r="B2831" t="str">
            <v>2322S PROMOTOR ADERENCIA PLASTICO AXALTA-21,94-ST</v>
          </cell>
          <cell r="C2831" t="str">
            <v>K23229000/13</v>
          </cell>
          <cell r="D2831" t="str">
            <v>AXALTA</v>
          </cell>
          <cell r="E2831">
            <v>20050</v>
          </cell>
          <cell r="F2831" t="str">
            <v>SELADORA P/ PLASTICO</v>
          </cell>
          <cell r="G2831" t="str">
            <v>AUTOMOTIVO</v>
          </cell>
        </row>
        <row r="2832">
          <cell r="A2832">
            <v>20437</v>
          </cell>
          <cell r="B2832" t="str">
            <v>ELASTIFICANTE 5100 450ML WANDA-21,94-ST</v>
          </cell>
          <cell r="C2832">
            <v>397881</v>
          </cell>
          <cell r="D2832" t="str">
            <v>WANDA</v>
          </cell>
          <cell r="E2832">
            <v>20050</v>
          </cell>
          <cell r="F2832" t="str">
            <v>SELADORA P/ PLASTICO</v>
          </cell>
          <cell r="G2832" t="str">
            <v>AUTOMOTIVO</v>
          </cell>
        </row>
        <row r="2833">
          <cell r="A2833">
            <v>85295</v>
          </cell>
          <cell r="B2833" t="str">
            <v>SELADORA CINZA P/ PLASTICO 0,900ML SKY-21,94-ST</v>
          </cell>
          <cell r="C2833">
            <v>140006200130</v>
          </cell>
          <cell r="D2833" t="str">
            <v>SKY</v>
          </cell>
          <cell r="E2833">
            <v>20050</v>
          </cell>
          <cell r="F2833" t="str">
            <v>SELADORA P/ PLASTICO</v>
          </cell>
          <cell r="G2833" t="str">
            <v>AUTOMOTIVO</v>
          </cell>
        </row>
        <row r="2834">
          <cell r="A2834">
            <v>10334</v>
          </cell>
          <cell r="B2834" t="str">
            <v>SELADORA P/ PLASTICO 900ML ANJO</v>
          </cell>
          <cell r="C2834" t="str">
            <v>001201-23</v>
          </cell>
          <cell r="D2834" t="str">
            <v>ANJO</v>
          </cell>
          <cell r="E2834">
            <v>20050</v>
          </cell>
          <cell r="F2834" t="str">
            <v>SELADORA P/ PLASTICO</v>
          </cell>
          <cell r="G2834" t="str">
            <v>AUTOMOTIVO</v>
          </cell>
        </row>
        <row r="2835">
          <cell r="A2835">
            <v>9752</v>
          </cell>
          <cell r="B2835" t="str">
            <v>SELADORA P/ PLASTICO 900ML WANDA-22,35-ST</v>
          </cell>
          <cell r="C2835">
            <v>593659</v>
          </cell>
          <cell r="D2835" t="str">
            <v>WANDA</v>
          </cell>
          <cell r="E2835">
            <v>20050</v>
          </cell>
          <cell r="F2835" t="str">
            <v>SELADORA P/ PLASTICO</v>
          </cell>
          <cell r="G2835" t="str">
            <v>AUTOMOTIVO</v>
          </cell>
        </row>
        <row r="2836">
          <cell r="A2836">
            <v>20264</v>
          </cell>
          <cell r="B2836" t="str">
            <v>SELADORA PARA PLASTICO 500ML MAX RUBBER-22,35-ST</v>
          </cell>
          <cell r="C2836" t="str">
            <v>4MP005</v>
          </cell>
          <cell r="D2836" t="str">
            <v>MAXI RUBBER</v>
          </cell>
          <cell r="E2836">
            <v>20050</v>
          </cell>
          <cell r="F2836" t="str">
            <v>SELADORA P/ PLASTICO</v>
          </cell>
          <cell r="G2836" t="str">
            <v>AUTOMOTIVO</v>
          </cell>
        </row>
        <row r="2837">
          <cell r="A2837">
            <v>20212</v>
          </cell>
          <cell r="B2837" t="str">
            <v>SELADORA PARA PLASTICO 900ML MAX RUBBER</v>
          </cell>
          <cell r="C2837" t="str">
            <v>4MP006</v>
          </cell>
          <cell r="D2837" t="str">
            <v>MAXI RUBBER</v>
          </cell>
          <cell r="E2837">
            <v>20050</v>
          </cell>
          <cell r="F2837" t="str">
            <v>SELADORA P/ PLASTICO</v>
          </cell>
          <cell r="G2837" t="str">
            <v>AUTOMOTIVO</v>
          </cell>
        </row>
        <row r="2838">
          <cell r="A2838">
            <v>70</v>
          </cell>
          <cell r="B2838" t="str">
            <v>SELADORA TRANSP P/ PLASTICO 900ML SKY-21,94-ST</v>
          </cell>
          <cell r="C2838">
            <v>140006300130</v>
          </cell>
          <cell r="D2838" t="str">
            <v>SKY</v>
          </cell>
          <cell r="E2838">
            <v>20050</v>
          </cell>
          <cell r="F2838" t="str">
            <v>SELADORA P/ PLASTICO</v>
          </cell>
          <cell r="G2838" t="str">
            <v>AUTOMOTIVO</v>
          </cell>
        </row>
        <row r="2839">
          <cell r="A2839">
            <v>21376</v>
          </cell>
          <cell r="B2839" t="str">
            <v>SELADORA TRANSPARENTE P/ PLASTICO 0,450ML LAZZURIL</v>
          </cell>
          <cell r="C2839" t="str">
            <v>05.00.00081-224</v>
          </cell>
          <cell r="D2839" t="str">
            <v>SHERWIN WILLIAMS</v>
          </cell>
          <cell r="E2839">
            <v>20050</v>
          </cell>
          <cell r="F2839" t="str">
            <v>SELADORA P/ PLASTICO</v>
          </cell>
          <cell r="G2839" t="str">
            <v>AUTOMOTIVO</v>
          </cell>
        </row>
        <row r="2840">
          <cell r="A2840">
            <v>24410</v>
          </cell>
          <cell r="B2840" t="str">
            <v>SELADORA TRANSPARENTE P/ PLASTICO 081 0,900ML LAZZURIL</v>
          </cell>
          <cell r="C2840">
            <v>2660</v>
          </cell>
          <cell r="D2840" t="str">
            <v>SHERWIN WILLIAMS</v>
          </cell>
          <cell r="E2840">
            <v>20050</v>
          </cell>
          <cell r="F2840" t="str">
            <v>SELADORA P/ PLASTICO</v>
          </cell>
          <cell r="G2840" t="str">
            <v>AUTOMOTIVO</v>
          </cell>
        </row>
        <row r="2841">
          <cell r="A2841">
            <v>71</v>
          </cell>
          <cell r="B2841" t="str">
            <v>SELADORA TRANSPARENTE P/PLASTICO 0,450ML SKY-21,94-ST</v>
          </cell>
          <cell r="C2841">
            <v>140006300129</v>
          </cell>
          <cell r="D2841" t="str">
            <v>SKY</v>
          </cell>
          <cell r="E2841">
            <v>20050</v>
          </cell>
          <cell r="F2841" t="str">
            <v>SELADORA P/ PLASTICO</v>
          </cell>
          <cell r="G2841" t="str">
            <v>AUTOMOTIVO</v>
          </cell>
        </row>
        <row r="2842">
          <cell r="A2842">
            <v>85166</v>
          </cell>
          <cell r="B2842" t="str">
            <v>BRASIVED CAPO KPO CINZA 300G BRASILUX</v>
          </cell>
          <cell r="C2842" t="str">
            <v>VC 340000244</v>
          </cell>
          <cell r="D2842" t="str">
            <v>BRASILUX</v>
          </cell>
          <cell r="E2842">
            <v>20049</v>
          </cell>
          <cell r="F2842" t="str">
            <v>VEDADORES / SELANTES</v>
          </cell>
          <cell r="G2842" t="str">
            <v>AUTOMOTIVO</v>
          </cell>
        </row>
        <row r="2843">
          <cell r="A2843">
            <v>23881</v>
          </cell>
          <cell r="B2843" t="str">
            <v>KIT KPO ROYAL</v>
          </cell>
          <cell r="C2843" t="str">
            <v>FIXKPO-CX1</v>
          </cell>
          <cell r="D2843" t="str">
            <v>ROYAL</v>
          </cell>
          <cell r="E2843">
            <v>20049</v>
          </cell>
          <cell r="F2843" t="str">
            <v>VEDADORES / SELANTES</v>
          </cell>
          <cell r="G2843" t="str">
            <v>AUTOMOTIVO</v>
          </cell>
        </row>
        <row r="2844">
          <cell r="A2844">
            <v>20206</v>
          </cell>
          <cell r="B2844" t="str">
            <v>MASSA DE CALAFETAR CINZA 350GR CARPLAST</v>
          </cell>
          <cell r="C2844" t="str">
            <v>CA245</v>
          </cell>
          <cell r="D2844" t="str">
            <v>MAXI RUBBER</v>
          </cell>
          <cell r="E2844">
            <v>20049</v>
          </cell>
          <cell r="F2844" t="str">
            <v>VEDADORES / SELANTES</v>
          </cell>
          <cell r="G2844" t="str">
            <v>AUTOMOTIVO</v>
          </cell>
        </row>
        <row r="2845">
          <cell r="A2845">
            <v>20207</v>
          </cell>
          <cell r="B2845" t="str">
            <v>MASSA DE CALAFETAR PRETO 350GR CARPLAST</v>
          </cell>
          <cell r="C2845" t="str">
            <v>CA246</v>
          </cell>
          <cell r="D2845" t="str">
            <v>MAXI RUBBER</v>
          </cell>
          <cell r="E2845">
            <v>20049</v>
          </cell>
          <cell r="F2845" t="str">
            <v>VEDADORES / SELANTES</v>
          </cell>
          <cell r="G2845" t="str">
            <v>AUTOMOTIVO</v>
          </cell>
        </row>
        <row r="2846">
          <cell r="A2846">
            <v>21772</v>
          </cell>
          <cell r="B2846" t="str">
            <v>MULTIEXTENDER MASILLA 750ML ROBERLO</v>
          </cell>
          <cell r="C2846">
            <v>61003</v>
          </cell>
          <cell r="D2846" t="str">
            <v>ROBERLO</v>
          </cell>
          <cell r="E2846">
            <v>20049</v>
          </cell>
          <cell r="F2846" t="str">
            <v>VEDADORES / SELANTES</v>
          </cell>
          <cell r="G2846" t="str">
            <v>AUTOMOTIVO</v>
          </cell>
        </row>
        <row r="2847">
          <cell r="A2847">
            <v>23083</v>
          </cell>
          <cell r="B2847" t="str">
            <v>RESIN GLASS MASILLA FIBRAS 750G ROBERLO</v>
          </cell>
          <cell r="C2847">
            <v>66008</v>
          </cell>
          <cell r="D2847" t="str">
            <v>ROBERLO</v>
          </cell>
          <cell r="E2847">
            <v>20049</v>
          </cell>
          <cell r="F2847" t="str">
            <v>VEDADORES / SELANTES</v>
          </cell>
          <cell r="G2847" t="str">
            <v>AUTOMOTIVO</v>
          </cell>
        </row>
        <row r="2848">
          <cell r="A2848">
            <v>20239</v>
          </cell>
          <cell r="B2848" t="str">
            <v>SIKAFLEX VEDAÇÃO CINZA 400GR TUBO SIKA</v>
          </cell>
          <cell r="D2848" t="str">
            <v>SIKA</v>
          </cell>
          <cell r="E2848">
            <v>20049</v>
          </cell>
          <cell r="F2848" t="str">
            <v>VEDADORES / SELANTES</v>
          </cell>
          <cell r="G2848" t="str">
            <v>AUTOMOTIVO</v>
          </cell>
        </row>
        <row r="2849">
          <cell r="A2849">
            <v>10340</v>
          </cell>
          <cell r="B2849" t="str">
            <v>VEDA CAPO BRANCO 400GR ANJO</v>
          </cell>
          <cell r="C2849" t="str">
            <v>000313-07</v>
          </cell>
          <cell r="D2849" t="str">
            <v>ANJO</v>
          </cell>
          <cell r="E2849">
            <v>20049</v>
          </cell>
          <cell r="F2849" t="str">
            <v>VEDADORES / SELANTES</v>
          </cell>
          <cell r="G2849" t="str">
            <v>AUTOMOTIVO</v>
          </cell>
        </row>
        <row r="2850">
          <cell r="A2850">
            <v>83839</v>
          </cell>
          <cell r="B2850" t="str">
            <v>VEDA CHOQUE 150G CARPLAST</v>
          </cell>
          <cell r="C2850" t="str">
            <v>CA247</v>
          </cell>
          <cell r="D2850" t="str">
            <v>MAXI RUBBER</v>
          </cell>
          <cell r="E2850">
            <v>20049</v>
          </cell>
          <cell r="F2850" t="str">
            <v>VEDADORES / SELANTES</v>
          </cell>
          <cell r="G2850" t="str">
            <v>AUTOMOTIVO</v>
          </cell>
        </row>
        <row r="2851">
          <cell r="A2851">
            <v>84460</v>
          </cell>
          <cell r="B2851" t="str">
            <v>VEDA CHOQUE 300G BRASILUX</v>
          </cell>
          <cell r="C2851" t="str">
            <v>KT 870537844</v>
          </cell>
          <cell r="D2851" t="str">
            <v>BRASILUX</v>
          </cell>
          <cell r="E2851">
            <v>20049</v>
          </cell>
          <cell r="F2851" t="str">
            <v>VEDADORES / SELANTES</v>
          </cell>
          <cell r="G2851" t="str">
            <v>AUTOMOTIVO</v>
          </cell>
        </row>
        <row r="2852">
          <cell r="A2852">
            <v>23624</v>
          </cell>
          <cell r="B2852" t="str">
            <v>VEDA-CHOQUE 150 G MAXI RUBBER 2 UNIDADES COM 75GR.</v>
          </cell>
          <cell r="C2852" t="str">
            <v>4MP021</v>
          </cell>
          <cell r="D2852" t="str">
            <v>MAXI RUBBER</v>
          </cell>
          <cell r="E2852">
            <v>20049</v>
          </cell>
          <cell r="F2852" t="str">
            <v>VEDADORES / SELANTES</v>
          </cell>
          <cell r="G2852" t="str">
            <v>AUTOMOTIVO</v>
          </cell>
        </row>
        <row r="2853">
          <cell r="A2853">
            <v>24290</v>
          </cell>
          <cell r="B2853" t="str">
            <v>VEDA-CHOQUE 150GR 2 UNIDADES COM 75GR ROYAL</v>
          </cell>
          <cell r="C2853" t="str">
            <v>RPC0150-CX1</v>
          </cell>
          <cell r="D2853" t="str">
            <v>ROYAL</v>
          </cell>
          <cell r="E2853">
            <v>20049</v>
          </cell>
          <cell r="F2853" t="str">
            <v>VEDADORES / SELANTES</v>
          </cell>
          <cell r="G2853" t="str">
            <v>AUTOMOTIVO</v>
          </cell>
        </row>
        <row r="2854">
          <cell r="A2854">
            <v>10403</v>
          </cell>
          <cell r="B2854" t="str">
            <v>VEDA-CHOQUE 290G MAX RUBBER 2 UNIDADES DE 145G</v>
          </cell>
          <cell r="C2854" t="str">
            <v>4MP020</v>
          </cell>
          <cell r="D2854" t="str">
            <v>MAXI RUBBER</v>
          </cell>
          <cell r="E2854">
            <v>20049</v>
          </cell>
          <cell r="F2854" t="str">
            <v>VEDADORES / SELANTES</v>
          </cell>
          <cell r="G2854" t="str">
            <v>AUTOMOTIVO</v>
          </cell>
        </row>
        <row r="2855">
          <cell r="A2855">
            <v>10404</v>
          </cell>
          <cell r="B2855" t="str">
            <v>VEDADOR CAPO KPO A 400G + B 60G MAX RUBBER</v>
          </cell>
          <cell r="C2855" t="str">
            <v>4MG040</v>
          </cell>
          <cell r="D2855" t="str">
            <v>MAXI RUBBER</v>
          </cell>
          <cell r="E2855">
            <v>20049</v>
          </cell>
          <cell r="F2855" t="str">
            <v>VEDADORES / SELANTES</v>
          </cell>
          <cell r="G2855" t="str">
            <v>AUTOMOTIVO</v>
          </cell>
        </row>
        <row r="2856">
          <cell r="A2856">
            <v>85732</v>
          </cell>
          <cell r="B2856" t="str">
            <v>VEDADOR CAPO KPO SACHE 100G MAXIVED MAX RUBBER</v>
          </cell>
          <cell r="C2856" t="str">
            <v>4MG049</v>
          </cell>
          <cell r="D2856" t="str">
            <v>MAXI RUBBER</v>
          </cell>
          <cell r="E2856">
            <v>20049</v>
          </cell>
          <cell r="F2856" t="str">
            <v>VEDADORES / SELANTES</v>
          </cell>
          <cell r="G2856" t="str">
            <v>AUTOMOTIVO</v>
          </cell>
        </row>
        <row r="2857">
          <cell r="A2857">
            <v>28</v>
          </cell>
          <cell r="B2857" t="str">
            <v>VEDANTE PARA ESCAPAMENTO 100G TEK BOND</v>
          </cell>
          <cell r="C2857">
            <v>22201090100</v>
          </cell>
          <cell r="D2857" t="str">
            <v>TEK BOND</v>
          </cell>
          <cell r="E2857">
            <v>20049</v>
          </cell>
          <cell r="F2857" t="str">
            <v>VEDADORES / SELANTES</v>
          </cell>
          <cell r="G2857" t="str">
            <v>AUTOMOTIVO</v>
          </cell>
        </row>
        <row r="2858">
          <cell r="A2858">
            <v>23940</v>
          </cell>
          <cell r="B2858" t="str">
            <v>VERTEX 750G ROBERLO</v>
          </cell>
          <cell r="C2858">
            <v>66644</v>
          </cell>
          <cell r="D2858" t="str">
            <v>ROBERLO</v>
          </cell>
          <cell r="E2858">
            <v>20049</v>
          </cell>
          <cell r="F2858" t="str">
            <v>VEDADORES / SELANTES</v>
          </cell>
          <cell r="G2858" t="str">
            <v>AUTOMOTIVO</v>
          </cell>
        </row>
        <row r="2859">
          <cell r="A2859">
            <v>9818</v>
          </cell>
          <cell r="B2859" t="str">
            <v>AM 11-21,94-ST</v>
          </cell>
          <cell r="C2859">
            <v>22336659874</v>
          </cell>
          <cell r="D2859" t="str">
            <v>ANJO</v>
          </cell>
          <cell r="E2859">
            <v>20048</v>
          </cell>
          <cell r="F2859" t="str">
            <v>BASES - INATIVAS</v>
          </cell>
          <cell r="G2859" t="str">
            <v>AUTOMOTIVO</v>
          </cell>
        </row>
        <row r="2860">
          <cell r="A2860">
            <v>270</v>
          </cell>
          <cell r="B2860" t="str">
            <v>AM 17-21,94-ST</v>
          </cell>
          <cell r="C2860" t="str">
            <v>034802-23</v>
          </cell>
          <cell r="D2860" t="str">
            <v>ANJO</v>
          </cell>
          <cell r="E2860">
            <v>20048</v>
          </cell>
          <cell r="F2860" t="str">
            <v>BASES - INATIVAS</v>
          </cell>
          <cell r="G2860" t="str">
            <v>AUTOMOTIVO</v>
          </cell>
        </row>
        <row r="2861">
          <cell r="A2861">
            <v>271</v>
          </cell>
          <cell r="B2861" t="str">
            <v>AM 30-21,94-ST</v>
          </cell>
          <cell r="C2861" t="str">
            <v>034815-23</v>
          </cell>
          <cell r="D2861" t="str">
            <v>ANJO</v>
          </cell>
          <cell r="E2861">
            <v>20048</v>
          </cell>
          <cell r="F2861" t="str">
            <v>BASES - INATIVAS</v>
          </cell>
          <cell r="G2861" t="str">
            <v>AUTOMOTIVO</v>
          </cell>
        </row>
        <row r="2862">
          <cell r="A2862">
            <v>272</v>
          </cell>
          <cell r="B2862" t="str">
            <v>AM 37-21,94-ST</v>
          </cell>
          <cell r="C2862">
            <v>12457896325</v>
          </cell>
          <cell r="D2862" t="str">
            <v>ANJO</v>
          </cell>
          <cell r="E2862">
            <v>20048</v>
          </cell>
          <cell r="F2862" t="str">
            <v>BASES - INATIVAS</v>
          </cell>
          <cell r="G2862" t="str">
            <v>AUTOMOTIVO</v>
          </cell>
        </row>
        <row r="2863">
          <cell r="A2863">
            <v>22437</v>
          </cell>
          <cell r="B2863" t="str">
            <v>AM 42-21,94-ST</v>
          </cell>
          <cell r="C2863" t="str">
            <v>34827-27</v>
          </cell>
          <cell r="D2863" t="str">
            <v>ANJO</v>
          </cell>
          <cell r="E2863">
            <v>20048</v>
          </cell>
          <cell r="F2863" t="str">
            <v>BASES - INATIVAS</v>
          </cell>
          <cell r="G2863" t="str">
            <v>AUTOMOTIVO</v>
          </cell>
        </row>
        <row r="2864">
          <cell r="A2864">
            <v>9814</v>
          </cell>
          <cell r="B2864" t="str">
            <v>AM 46-21,94-ST</v>
          </cell>
          <cell r="C2864">
            <v>2200336988</v>
          </cell>
          <cell r="D2864" t="str">
            <v>ANJO</v>
          </cell>
          <cell r="E2864">
            <v>20048</v>
          </cell>
          <cell r="F2864" t="str">
            <v>BASES - INATIVAS</v>
          </cell>
          <cell r="G2864" t="str">
            <v>AUTOMOTIVO</v>
          </cell>
        </row>
        <row r="2865">
          <cell r="A2865">
            <v>9780</v>
          </cell>
          <cell r="B2865" t="str">
            <v>AM 49-21,94-ST</v>
          </cell>
          <cell r="C2865" t="str">
            <v>034834-23</v>
          </cell>
          <cell r="D2865" t="str">
            <v>ANJO</v>
          </cell>
          <cell r="E2865">
            <v>20048</v>
          </cell>
          <cell r="F2865" t="str">
            <v>BASES - INATIVAS</v>
          </cell>
          <cell r="G2865" t="str">
            <v>AUTOMOTIVO</v>
          </cell>
        </row>
        <row r="2866">
          <cell r="A2866">
            <v>265</v>
          </cell>
          <cell r="B2866" t="str">
            <v>AM 51-21,94-ST</v>
          </cell>
          <cell r="C2866" t="str">
            <v>034836-23</v>
          </cell>
          <cell r="D2866" t="str">
            <v>ANJO</v>
          </cell>
          <cell r="E2866">
            <v>20048</v>
          </cell>
          <cell r="F2866" t="str">
            <v>BASES - INATIVAS</v>
          </cell>
          <cell r="G2866" t="str">
            <v>AUTOMOTIVO</v>
          </cell>
        </row>
        <row r="2867">
          <cell r="A2867">
            <v>21392</v>
          </cell>
          <cell r="B2867" t="str">
            <v>AM 60-21,94-ST</v>
          </cell>
          <cell r="C2867">
            <v>5522663359</v>
          </cell>
          <cell r="D2867" t="str">
            <v>ANJO</v>
          </cell>
          <cell r="E2867">
            <v>20048</v>
          </cell>
          <cell r="F2867" t="str">
            <v>BASES - INATIVAS</v>
          </cell>
          <cell r="G2867" t="str">
            <v>AUTOMOTIVO</v>
          </cell>
        </row>
        <row r="2868">
          <cell r="A2868">
            <v>9825</v>
          </cell>
          <cell r="B2868" t="str">
            <v>AM 68-21,94-ST</v>
          </cell>
          <cell r="C2868" t="str">
            <v>035545-73</v>
          </cell>
          <cell r="D2868" t="str">
            <v>ANJO</v>
          </cell>
          <cell r="E2868">
            <v>20048</v>
          </cell>
          <cell r="F2868" t="str">
            <v>BASES - INATIVAS</v>
          </cell>
          <cell r="G2868" t="str">
            <v>AUTOMOTIVO</v>
          </cell>
        </row>
        <row r="2869">
          <cell r="A2869">
            <v>170</v>
          </cell>
          <cell r="B2869" t="str">
            <v>AM0001 ANJOMIX POLIESTER PRETO 3,6L-21,95-ST</v>
          </cell>
          <cell r="C2869" t="str">
            <v>034785-27</v>
          </cell>
          <cell r="D2869" t="str">
            <v>ANJO</v>
          </cell>
          <cell r="E2869">
            <v>20048</v>
          </cell>
          <cell r="F2869" t="str">
            <v>BASES - INATIVAS</v>
          </cell>
          <cell r="G2869" t="str">
            <v>AUTOMOTIVO</v>
          </cell>
        </row>
        <row r="2870">
          <cell r="A2870">
            <v>83769</v>
          </cell>
          <cell r="B2870" t="str">
            <v>AM0002-21,94-ST</v>
          </cell>
          <cell r="C2870">
            <v>11112222</v>
          </cell>
          <cell r="D2870" t="str">
            <v>ANJO</v>
          </cell>
          <cell r="E2870">
            <v>20048</v>
          </cell>
          <cell r="F2870" t="str">
            <v>BASES - INATIVAS</v>
          </cell>
          <cell r="G2870" t="str">
            <v>AUTOMOTIVO</v>
          </cell>
        </row>
        <row r="2871">
          <cell r="A2871">
            <v>178</v>
          </cell>
          <cell r="B2871" t="str">
            <v>AM0003 ANJOMIX POLIESTER BRANCO PURO 3,6L-21,94-ST</v>
          </cell>
          <cell r="C2871" t="str">
            <v>034787-27</v>
          </cell>
          <cell r="D2871" t="str">
            <v>ANJO</v>
          </cell>
          <cell r="E2871">
            <v>20048</v>
          </cell>
          <cell r="F2871" t="str">
            <v>BASES - INATIVAS</v>
          </cell>
          <cell r="G2871" t="str">
            <v>AUTOMOTIVO</v>
          </cell>
        </row>
        <row r="2872">
          <cell r="A2872">
            <v>83767</v>
          </cell>
          <cell r="B2872" t="str">
            <v>AM00031-21,94-ST</v>
          </cell>
          <cell r="C2872">
            <v>22225566</v>
          </cell>
          <cell r="D2872" t="str">
            <v>ANJO</v>
          </cell>
          <cell r="E2872">
            <v>20048</v>
          </cell>
          <cell r="F2872" t="str">
            <v>BASES - INATIVAS</v>
          </cell>
          <cell r="G2872" t="str">
            <v>AUTOMOTIVO</v>
          </cell>
        </row>
        <row r="2873">
          <cell r="A2873">
            <v>198</v>
          </cell>
          <cell r="B2873" t="str">
            <v>AM0005 ANJOMIX POLIESTER AZUL MEDIO 0,900ML-21,94-ST</v>
          </cell>
          <cell r="C2873" t="str">
            <v>034789-23</v>
          </cell>
          <cell r="D2873" t="str">
            <v>ANJO</v>
          </cell>
          <cell r="E2873">
            <v>20048</v>
          </cell>
          <cell r="F2873" t="str">
            <v>BASES - INATIVAS</v>
          </cell>
          <cell r="G2873" t="str">
            <v>AUTOMOTIVO</v>
          </cell>
        </row>
        <row r="2874">
          <cell r="A2874">
            <v>171</v>
          </cell>
          <cell r="B2874" t="str">
            <v>AM0007 ANJOMIX POLIESTER AZUL ESCURO 0,900ML-21,94-ST</v>
          </cell>
          <cell r="C2874" t="str">
            <v>034791-23</v>
          </cell>
          <cell r="D2874" t="str">
            <v>ANJO</v>
          </cell>
          <cell r="E2874">
            <v>20048</v>
          </cell>
          <cell r="F2874" t="str">
            <v>BASES - INATIVAS</v>
          </cell>
          <cell r="G2874" t="str">
            <v>AUTOMOTIVO</v>
          </cell>
        </row>
        <row r="2875">
          <cell r="A2875">
            <v>179</v>
          </cell>
          <cell r="B2875" t="str">
            <v>AM0008 ANJOMIX POLIESTER PRETO LIMPO 3,6L-21,94-ST</v>
          </cell>
          <cell r="C2875" t="str">
            <v>034792-27</v>
          </cell>
          <cell r="D2875" t="str">
            <v>ANJO</v>
          </cell>
          <cell r="E2875">
            <v>20048</v>
          </cell>
          <cell r="F2875" t="str">
            <v>BASES - INATIVAS</v>
          </cell>
          <cell r="G2875" t="str">
            <v>AUTOMOTIVO</v>
          </cell>
        </row>
        <row r="2876">
          <cell r="A2876">
            <v>83776</v>
          </cell>
          <cell r="B2876" t="str">
            <v>AM0009-21,94-ST</v>
          </cell>
          <cell r="C2876" t="str">
            <v>034793-23</v>
          </cell>
          <cell r="D2876" t="str">
            <v>ANJO</v>
          </cell>
          <cell r="E2876">
            <v>20048</v>
          </cell>
          <cell r="F2876" t="str">
            <v>BASES - INATIVAS</v>
          </cell>
          <cell r="G2876" t="str">
            <v>AUTOMOTIVO</v>
          </cell>
        </row>
        <row r="2877">
          <cell r="A2877">
            <v>199</v>
          </cell>
          <cell r="B2877" t="str">
            <v>AM0010 ANJOMIX POLIESTER VERMELHO LIMPO 0,900ML-21,94-ST</v>
          </cell>
          <cell r="C2877" t="str">
            <v>034794-23</v>
          </cell>
          <cell r="D2877" t="str">
            <v>ANJO</v>
          </cell>
          <cell r="E2877">
            <v>20048</v>
          </cell>
          <cell r="F2877" t="str">
            <v>BASES - INATIVAS</v>
          </cell>
          <cell r="G2877" t="str">
            <v>AUTOMOTIVO</v>
          </cell>
        </row>
        <row r="2878">
          <cell r="A2878">
            <v>172</v>
          </cell>
          <cell r="B2878" t="str">
            <v>AM0013 ANJOMIX POLIESTER VERMELHO TRANSPARENTE 0,900ML-21,94-ST</v>
          </cell>
          <cell r="C2878" t="str">
            <v>034798-23</v>
          </cell>
          <cell r="D2878" t="str">
            <v>ANJO</v>
          </cell>
          <cell r="E2878">
            <v>20048</v>
          </cell>
          <cell r="F2878" t="str">
            <v>BASES - INATIVAS</v>
          </cell>
          <cell r="G2878" t="str">
            <v>AUTOMOTIVO</v>
          </cell>
        </row>
        <row r="2879">
          <cell r="A2879">
            <v>173</v>
          </cell>
          <cell r="B2879" t="str">
            <v>AM0014 ANJOMIX POLIESTER VEREMLHO OXIDO 0,900ML-21,94-ST</v>
          </cell>
          <cell r="C2879" t="str">
            <v>034799-23</v>
          </cell>
          <cell r="D2879" t="str">
            <v>ANJO</v>
          </cell>
          <cell r="E2879">
            <v>20048</v>
          </cell>
          <cell r="F2879" t="str">
            <v>BASES - INATIVAS</v>
          </cell>
          <cell r="G2879" t="str">
            <v>AUTOMOTIVO</v>
          </cell>
        </row>
        <row r="2880">
          <cell r="A2880">
            <v>23080</v>
          </cell>
          <cell r="B2880" t="str">
            <v>AM0016-21,94-ST</v>
          </cell>
          <cell r="C2880" t="str">
            <v>CI59</v>
          </cell>
          <cell r="D2880" t="str">
            <v>ANJO</v>
          </cell>
          <cell r="E2880">
            <v>20048</v>
          </cell>
          <cell r="F2880" t="str">
            <v>BASES - INATIVAS</v>
          </cell>
          <cell r="G2880" t="str">
            <v>AUTOMOTIVO</v>
          </cell>
        </row>
        <row r="2881">
          <cell r="A2881">
            <v>204</v>
          </cell>
          <cell r="B2881" t="str">
            <v>AM0018 ANJOMIX POLIESTER AMARELO TRANSPARENTE 0,900ML-21,94-ST</v>
          </cell>
          <cell r="C2881" t="str">
            <v>034803-23</v>
          </cell>
          <cell r="D2881" t="str">
            <v>ANJO</v>
          </cell>
          <cell r="E2881">
            <v>20048</v>
          </cell>
          <cell r="F2881" t="str">
            <v>BASES - INATIVAS</v>
          </cell>
          <cell r="G2881" t="str">
            <v>AUTOMOTIVO</v>
          </cell>
        </row>
        <row r="2882">
          <cell r="A2882">
            <v>205</v>
          </cell>
          <cell r="B2882" t="str">
            <v>AM0019 ANJOMIX POLIESTER AMARELO OXIDO 0,900ML-21,94-ST</v>
          </cell>
          <cell r="C2882" t="str">
            <v>034804-23</v>
          </cell>
          <cell r="D2882" t="str">
            <v>ANJO</v>
          </cell>
          <cell r="E2882">
            <v>20048</v>
          </cell>
          <cell r="F2882" t="str">
            <v>BASES - INATIVAS</v>
          </cell>
          <cell r="G2882" t="str">
            <v>AUTOMOTIVO</v>
          </cell>
        </row>
        <row r="2883">
          <cell r="A2883">
            <v>180</v>
          </cell>
          <cell r="B2883" t="str">
            <v>AM0020 ANJOMIX POLIESTER AMARELO CROMO 0,900ML-21,94-ST</v>
          </cell>
          <cell r="C2883" t="str">
            <v>034805-23</v>
          </cell>
          <cell r="D2883" t="str">
            <v>ANJO</v>
          </cell>
          <cell r="E2883">
            <v>20048</v>
          </cell>
          <cell r="F2883" t="str">
            <v>BASES - INATIVAS</v>
          </cell>
          <cell r="G2883" t="str">
            <v>AUTOMOTIVO</v>
          </cell>
        </row>
        <row r="2884">
          <cell r="A2884">
            <v>200</v>
          </cell>
          <cell r="B2884" t="str">
            <v>AM0022 ANJOMIX POLIESTER VERMELHO VIVO 0,900ML-21,94-ST</v>
          </cell>
          <cell r="C2884" t="str">
            <v>034807-23</v>
          </cell>
          <cell r="D2884" t="str">
            <v>ANJO</v>
          </cell>
          <cell r="E2884">
            <v>20048</v>
          </cell>
          <cell r="F2884" t="str">
            <v>BASES - INATIVAS</v>
          </cell>
          <cell r="G2884" t="str">
            <v>AUTOMOTIVO</v>
          </cell>
        </row>
        <row r="2885">
          <cell r="A2885">
            <v>83772</v>
          </cell>
          <cell r="B2885" t="str">
            <v>AM0023-21,94-ST</v>
          </cell>
          <cell r="C2885" t="str">
            <v>034808-23</v>
          </cell>
          <cell r="D2885" t="str">
            <v>ANJO</v>
          </cell>
          <cell r="E2885">
            <v>20048</v>
          </cell>
          <cell r="F2885" t="str">
            <v>BASES - INATIVAS</v>
          </cell>
          <cell r="G2885" t="str">
            <v>AUTOMOTIVO</v>
          </cell>
        </row>
        <row r="2886">
          <cell r="A2886">
            <v>181</v>
          </cell>
          <cell r="B2886" t="str">
            <v>AM0027 ANJOMIX POLIESTER ROSA 0,900ML-21,94-ST</v>
          </cell>
          <cell r="C2886" t="str">
            <v>034812-23</v>
          </cell>
          <cell r="D2886" t="str">
            <v>ANJO</v>
          </cell>
          <cell r="E2886">
            <v>20048</v>
          </cell>
          <cell r="F2886" t="str">
            <v>BASES - INATIVAS</v>
          </cell>
          <cell r="G2886" t="str">
            <v>AUTOMOTIVO</v>
          </cell>
        </row>
        <row r="2887">
          <cell r="A2887">
            <v>182</v>
          </cell>
          <cell r="B2887" t="str">
            <v>AM0028 ANJOMIX POLIESTER VERDE LIMPO 0,900ML-21,94-ST</v>
          </cell>
          <cell r="C2887" t="str">
            <v>034813-23</v>
          </cell>
          <cell r="D2887" t="str">
            <v>ANJO</v>
          </cell>
          <cell r="E2887">
            <v>20048</v>
          </cell>
          <cell r="F2887" t="str">
            <v>BASES - INATIVAS</v>
          </cell>
          <cell r="G2887" t="str">
            <v>AUTOMOTIVO</v>
          </cell>
        </row>
        <row r="2888">
          <cell r="A2888">
            <v>183</v>
          </cell>
          <cell r="B2888" t="str">
            <v>AM0029 ANJOMIX POLIESTER VERDE INTENSO 0,900ML-21,94-ST</v>
          </cell>
          <cell r="C2888" t="str">
            <v>034814-23</v>
          </cell>
          <cell r="D2888" t="str">
            <v>ANJO</v>
          </cell>
          <cell r="E2888">
            <v>20048</v>
          </cell>
          <cell r="F2888" t="str">
            <v>BASES - INATIVAS</v>
          </cell>
          <cell r="G2888" t="str">
            <v>AUTOMOTIVO</v>
          </cell>
        </row>
        <row r="2889">
          <cell r="A2889">
            <v>83768</v>
          </cell>
          <cell r="B2889" t="str">
            <v>AM0032-21,94-ST</v>
          </cell>
          <cell r="C2889">
            <v>2221144</v>
          </cell>
          <cell r="D2889" t="str">
            <v>ANJO</v>
          </cell>
          <cell r="E2889">
            <v>20048</v>
          </cell>
          <cell r="F2889" t="str">
            <v>BASES - INATIVAS</v>
          </cell>
          <cell r="G2889" t="str">
            <v>AUTOMOTIVO</v>
          </cell>
        </row>
        <row r="2890">
          <cell r="A2890">
            <v>83775</v>
          </cell>
          <cell r="B2890" t="str">
            <v>AM0033-21,94-ST</v>
          </cell>
          <cell r="C2890" t="str">
            <v>0324816-23</v>
          </cell>
          <cell r="D2890" t="str">
            <v>ANJO</v>
          </cell>
          <cell r="E2890">
            <v>20048</v>
          </cell>
          <cell r="F2890" t="str">
            <v>BASES - INATIVAS</v>
          </cell>
          <cell r="G2890" t="str">
            <v>AUTOMOTIVO</v>
          </cell>
        </row>
        <row r="2891">
          <cell r="A2891">
            <v>174</v>
          </cell>
          <cell r="B2891" t="str">
            <v>AM0035 ADITIVO DE EFEITO METALIZADO 0,900ML-21,94-ST</v>
          </cell>
          <cell r="C2891" t="str">
            <v>034820-23</v>
          </cell>
          <cell r="D2891" t="str">
            <v>ANJO</v>
          </cell>
          <cell r="E2891">
            <v>20048</v>
          </cell>
          <cell r="F2891" t="str">
            <v>BASES - INATIVAS</v>
          </cell>
          <cell r="G2891" t="str">
            <v>AUTOMOTIVO</v>
          </cell>
        </row>
        <row r="2892">
          <cell r="A2892">
            <v>83771</v>
          </cell>
          <cell r="B2892" t="str">
            <v>AM0039-21,94-ST</v>
          </cell>
          <cell r="C2892">
            <v>11447788</v>
          </cell>
          <cell r="D2892" t="str">
            <v>ANJO</v>
          </cell>
          <cell r="E2892">
            <v>20048</v>
          </cell>
          <cell r="F2892" t="str">
            <v>BASES - INATIVAS</v>
          </cell>
          <cell r="G2892" t="str">
            <v>AUTOMOTIVO</v>
          </cell>
        </row>
        <row r="2893">
          <cell r="A2893">
            <v>83770</v>
          </cell>
          <cell r="B2893" t="str">
            <v>AM0043-21,94-ST</v>
          </cell>
          <cell r="C2893">
            <v>11122225</v>
          </cell>
          <cell r="D2893" t="str">
            <v>ANJO</v>
          </cell>
          <cell r="E2893">
            <v>20048</v>
          </cell>
          <cell r="F2893" t="str">
            <v>BASES - INATIVAS</v>
          </cell>
          <cell r="G2893" t="str">
            <v>AUTOMOTIVO</v>
          </cell>
        </row>
        <row r="2894">
          <cell r="A2894">
            <v>206</v>
          </cell>
          <cell r="B2894" t="str">
            <v>AM0044 ANJOMIX POLIESTER ALUMINIO BRILHANTE MEDIO 3,6L-21,94-ST</v>
          </cell>
          <cell r="C2894" t="str">
            <v>034829-27</v>
          </cell>
          <cell r="D2894" t="str">
            <v>ANJO</v>
          </cell>
          <cell r="E2894">
            <v>20048</v>
          </cell>
          <cell r="F2894" t="str">
            <v>BASES - INATIVAS</v>
          </cell>
          <cell r="G2894" t="str">
            <v>AUTOMOTIVO</v>
          </cell>
        </row>
        <row r="2895">
          <cell r="A2895">
            <v>223</v>
          </cell>
          <cell r="B2895" t="str">
            <v>AM0045 ANJOMIX POLIESTER ALUMINIO SUPER GRAUDO 3,600ML-21,94-ST</v>
          </cell>
          <cell r="C2895" t="str">
            <v>034730-27</v>
          </cell>
          <cell r="D2895" t="str">
            <v>ANJO</v>
          </cell>
          <cell r="E2895">
            <v>20048</v>
          </cell>
          <cell r="F2895" t="str">
            <v>BASES - INATIVAS</v>
          </cell>
          <cell r="G2895" t="str">
            <v>AUTOMOTIVO</v>
          </cell>
        </row>
        <row r="2896">
          <cell r="A2896">
            <v>217</v>
          </cell>
          <cell r="B2896" t="str">
            <v>AM006 ANJOMIX POLIESTER AZUL MEDIO ESCURO 0,900ML-21,94-ST</v>
          </cell>
          <cell r="C2896">
            <v>1245789</v>
          </cell>
          <cell r="D2896" t="str">
            <v>ANJO</v>
          </cell>
          <cell r="E2896">
            <v>20048</v>
          </cell>
          <cell r="F2896" t="str">
            <v>BASES - INATIVAS</v>
          </cell>
          <cell r="G2896" t="str">
            <v>AUTOMOTIVO</v>
          </cell>
        </row>
        <row r="2897">
          <cell r="A2897">
            <v>175</v>
          </cell>
          <cell r="B2897" t="str">
            <v>AM0062 ANJOMIX POLIESTER PEROLA CRISTAL 240ML-21,94-ST</v>
          </cell>
          <cell r="C2897" t="str">
            <v>034847-73</v>
          </cell>
          <cell r="D2897" t="str">
            <v>ANJO</v>
          </cell>
          <cell r="E2897">
            <v>20048</v>
          </cell>
          <cell r="F2897" t="str">
            <v>BASES - INATIVAS</v>
          </cell>
          <cell r="G2897" t="str">
            <v>AUTOMOTIVO</v>
          </cell>
        </row>
        <row r="2898">
          <cell r="A2898">
            <v>176</v>
          </cell>
          <cell r="B2898" t="str">
            <v>AP0019 ANJOMIX POLIURETANO BRANCO 3,6L-21,94-ST</v>
          </cell>
          <cell r="C2898" t="str">
            <v>035189-27</v>
          </cell>
          <cell r="D2898" t="str">
            <v>ANJO</v>
          </cell>
          <cell r="E2898">
            <v>20048</v>
          </cell>
          <cell r="F2898" t="str">
            <v>BASES - INATIVAS</v>
          </cell>
          <cell r="G2898" t="str">
            <v>AUTOMOTIVO</v>
          </cell>
        </row>
        <row r="2899">
          <cell r="A2899">
            <v>85078</v>
          </cell>
          <cell r="B2899" t="str">
            <v>BRASICAR-PRIMER BRANCO 3,6L BRASILUX</v>
          </cell>
          <cell r="C2899" t="str">
            <v>PR 040500702</v>
          </cell>
          <cell r="D2899" t="str">
            <v>BRASILUX</v>
          </cell>
          <cell r="E2899">
            <v>20047</v>
          </cell>
          <cell r="F2899" t="str">
            <v>TINTAS LACA</v>
          </cell>
          <cell r="G2899" t="str">
            <v>AUTOMOTIVO</v>
          </cell>
        </row>
        <row r="2900">
          <cell r="A2900">
            <v>85448</v>
          </cell>
          <cell r="B2900" t="str">
            <v>BRASICAR-PRIMER CINZA 3,6L BRASILUX</v>
          </cell>
          <cell r="C2900" t="str">
            <v>PR 040600002</v>
          </cell>
          <cell r="D2900" t="str">
            <v>BRASILUX</v>
          </cell>
          <cell r="E2900">
            <v>20047</v>
          </cell>
          <cell r="F2900" t="str">
            <v>TINTAS LACA</v>
          </cell>
          <cell r="G2900" t="str">
            <v>AUTOMOTIVO</v>
          </cell>
        </row>
        <row r="2901">
          <cell r="A2901">
            <v>84717</v>
          </cell>
          <cell r="B2901" t="str">
            <v>BRASICAR-PRIMER CINZA 900ML BRASILUX</v>
          </cell>
          <cell r="C2901" t="str">
            <v>PR 040600001</v>
          </cell>
          <cell r="D2901" t="str">
            <v>BRASILUX</v>
          </cell>
          <cell r="E2901">
            <v>20047</v>
          </cell>
          <cell r="F2901" t="str">
            <v>TINTAS LACA</v>
          </cell>
          <cell r="G2901" t="str">
            <v>AUTOMOTIVO</v>
          </cell>
        </row>
        <row r="2902">
          <cell r="A2902">
            <v>84757</v>
          </cell>
          <cell r="B2902" t="str">
            <v>BRASILACA-BRANCO 3,6L BRASILUX</v>
          </cell>
          <cell r="C2902" t="str">
            <v>BT 040500702</v>
          </cell>
          <cell r="D2902" t="str">
            <v>BRASILUX</v>
          </cell>
          <cell r="E2902">
            <v>20047</v>
          </cell>
          <cell r="F2902" t="str">
            <v>TINTAS LACA</v>
          </cell>
          <cell r="G2902" t="str">
            <v>AUTOMOTIVO</v>
          </cell>
        </row>
        <row r="2903">
          <cell r="A2903">
            <v>84106</v>
          </cell>
          <cell r="B2903" t="str">
            <v>BRASILACA-BRANCO 900ML BRASILUX</v>
          </cell>
          <cell r="C2903" t="str">
            <v>BT 040500701</v>
          </cell>
          <cell r="D2903" t="str">
            <v>BRASILUX</v>
          </cell>
          <cell r="E2903">
            <v>20047</v>
          </cell>
          <cell r="F2903" t="str">
            <v>TINTAS LACA</v>
          </cell>
          <cell r="G2903" t="str">
            <v>AUTOMOTIVO</v>
          </cell>
        </row>
        <row r="2904">
          <cell r="A2904">
            <v>84932</v>
          </cell>
          <cell r="B2904" t="str">
            <v>BRASIDUR PU ALIF. AUTOM - AMARELO CAT 77 675ML</v>
          </cell>
          <cell r="C2904" t="str">
            <v>BT 260201112</v>
          </cell>
          <cell r="D2904" t="str">
            <v>BRASILUX</v>
          </cell>
          <cell r="E2904">
            <v>20003</v>
          </cell>
          <cell r="F2904" t="str">
            <v>TINTAS PU</v>
          </cell>
          <cell r="G2904" t="str">
            <v>AUTOMOTIVO</v>
          </cell>
        </row>
        <row r="2905">
          <cell r="A2905">
            <v>84935</v>
          </cell>
          <cell r="B2905" t="str">
            <v>BRASIDUR PU ALIF. AUTOM - BRANCO BANCHISA FIAST 96 675ML</v>
          </cell>
          <cell r="C2905" t="str">
            <v>BT 260505612</v>
          </cell>
          <cell r="D2905" t="str">
            <v>BRASILUX</v>
          </cell>
          <cell r="E2905">
            <v>20003</v>
          </cell>
          <cell r="F2905" t="str">
            <v>TINTAS PU</v>
          </cell>
          <cell r="G2905" t="str">
            <v>AUTOMOTIVO</v>
          </cell>
        </row>
        <row r="2906">
          <cell r="A2906">
            <v>84107</v>
          </cell>
          <cell r="B2906" t="str">
            <v>BRASILACA-CINZA ALEUTA VW 81 900ML BRASILUX</v>
          </cell>
          <cell r="C2906" t="str">
            <v>BT 040600201</v>
          </cell>
          <cell r="D2906" t="str">
            <v>BRASILUX</v>
          </cell>
          <cell r="E2906">
            <v>20047</v>
          </cell>
          <cell r="F2906" t="str">
            <v>TINTAS LACA</v>
          </cell>
          <cell r="G2906" t="str">
            <v>AUTOMOTIVO</v>
          </cell>
        </row>
        <row r="2907">
          <cell r="A2907">
            <v>84487</v>
          </cell>
          <cell r="B2907" t="str">
            <v>BRASILACA-PRETO CADILACK 900ML BRASILUX</v>
          </cell>
          <cell r="C2907" t="str">
            <v>BT 041500901</v>
          </cell>
          <cell r="D2907" t="str">
            <v>BRASILUX</v>
          </cell>
          <cell r="E2907">
            <v>20047</v>
          </cell>
          <cell r="F2907" t="str">
            <v>TINTAS LACA</v>
          </cell>
          <cell r="G2907" t="str">
            <v>AUTOMOTIVO</v>
          </cell>
        </row>
        <row r="2908">
          <cell r="A2908">
            <v>85291</v>
          </cell>
          <cell r="B2908" t="str">
            <v>BRASILACA-PRETO FOSCO 3,6L BRASILUX</v>
          </cell>
          <cell r="C2908" t="str">
            <v>FO 041500102</v>
          </cell>
          <cell r="D2908" t="str">
            <v>BRASILUX</v>
          </cell>
          <cell r="E2908">
            <v>20047</v>
          </cell>
          <cell r="F2908" t="str">
            <v>TINTAS LACA</v>
          </cell>
          <cell r="G2908" t="str">
            <v>AUTOMOTIVO</v>
          </cell>
        </row>
        <row r="2909">
          <cell r="A2909">
            <v>84108</v>
          </cell>
          <cell r="B2909" t="str">
            <v>BRASILACA-PRETO FOSCO 900ML BRASILUX</v>
          </cell>
          <cell r="C2909" t="str">
            <v>FO 041500101</v>
          </cell>
          <cell r="D2909" t="str">
            <v>BRASILUX</v>
          </cell>
          <cell r="E2909">
            <v>20047</v>
          </cell>
          <cell r="F2909" t="str">
            <v>TINTAS LACA</v>
          </cell>
          <cell r="G2909" t="str">
            <v>AUTOMOTIVO</v>
          </cell>
        </row>
        <row r="2910">
          <cell r="A2910">
            <v>84923</v>
          </cell>
          <cell r="B2910" t="str">
            <v>BRASILACA-PRETO SEMI-BRILHO 3,6L BRASILUX</v>
          </cell>
          <cell r="C2910" t="str">
            <v>SB 041500102</v>
          </cell>
          <cell r="D2910" t="str">
            <v>BRASILUX</v>
          </cell>
          <cell r="E2910">
            <v>20047</v>
          </cell>
          <cell r="F2910" t="str">
            <v>TINTAS LACA</v>
          </cell>
          <cell r="G2910" t="str">
            <v>AUTOMOTIVO</v>
          </cell>
        </row>
        <row r="2911">
          <cell r="A2911">
            <v>84496</v>
          </cell>
          <cell r="B2911" t="str">
            <v>BRASILACA-PRETO SEMI-FOSCO 3,6L BRASILUX</v>
          </cell>
          <cell r="C2911" t="str">
            <v>SF 041500102</v>
          </cell>
          <cell r="D2911" t="str">
            <v>BRASILUX</v>
          </cell>
          <cell r="E2911">
            <v>20047</v>
          </cell>
          <cell r="F2911" t="str">
            <v>TINTAS LACA</v>
          </cell>
          <cell r="G2911" t="str">
            <v>AUTOMOTIVO</v>
          </cell>
        </row>
        <row r="2912">
          <cell r="A2912">
            <v>84109</v>
          </cell>
          <cell r="B2912" t="str">
            <v>BRASILACA-PRETO SEMI-FOSCO 900ML BRASILUX</v>
          </cell>
          <cell r="C2912" t="str">
            <v>SF 041500101</v>
          </cell>
          <cell r="D2912" t="str">
            <v>BRASILUX</v>
          </cell>
          <cell r="E2912">
            <v>20047</v>
          </cell>
          <cell r="F2912" t="str">
            <v>TINTAS LACA</v>
          </cell>
          <cell r="G2912" t="str">
            <v>AUTOMOTIVO</v>
          </cell>
        </row>
        <row r="2913">
          <cell r="A2913">
            <v>24119</v>
          </cell>
          <cell r="B2913" t="str">
            <v>LACA NITRO BRANCO PURO 900ML SKY-21,45-ST</v>
          </cell>
          <cell r="C2913">
            <v>510009500101</v>
          </cell>
          <cell r="D2913" t="str">
            <v>SKY</v>
          </cell>
          <cell r="E2913">
            <v>20047</v>
          </cell>
          <cell r="F2913" t="str">
            <v>TINTAS LACA</v>
          </cell>
          <cell r="G2913" t="str">
            <v>AUTOMOTIVO</v>
          </cell>
        </row>
        <row r="2914">
          <cell r="A2914">
            <v>118</v>
          </cell>
          <cell r="B2914" t="str">
            <v>LACA PRETO CADILLAC 3,600L SKY-21,94-ST</v>
          </cell>
          <cell r="C2914">
            <v>510009100113</v>
          </cell>
          <cell r="D2914" t="str">
            <v>SKY</v>
          </cell>
          <cell r="E2914">
            <v>20047</v>
          </cell>
          <cell r="F2914" t="str">
            <v>TINTAS LACA</v>
          </cell>
          <cell r="G2914" t="str">
            <v>AUTOMOTIVO</v>
          </cell>
        </row>
        <row r="2915">
          <cell r="A2915">
            <v>109</v>
          </cell>
          <cell r="B2915" t="str">
            <v>LACA PRETO FOSCO 0,900ML SKY-21,94-ST</v>
          </cell>
          <cell r="C2915" t="str">
            <v>5120090001B8</v>
          </cell>
          <cell r="D2915" t="str">
            <v>SKY</v>
          </cell>
          <cell r="E2915">
            <v>20047</v>
          </cell>
          <cell r="F2915" t="str">
            <v>TINTAS LACA</v>
          </cell>
          <cell r="G2915" t="str">
            <v>AUTOMOTIVO</v>
          </cell>
        </row>
        <row r="2916">
          <cell r="A2916">
            <v>119</v>
          </cell>
          <cell r="B2916" t="str">
            <v>LACA PRETO FOSCO 3,600L SKY-21,94-ST</v>
          </cell>
          <cell r="C2916">
            <v>512009000113</v>
          </cell>
          <cell r="D2916" t="str">
            <v>SKY</v>
          </cell>
          <cell r="E2916">
            <v>20047</v>
          </cell>
          <cell r="F2916" t="str">
            <v>TINTAS LACA</v>
          </cell>
          <cell r="G2916" t="str">
            <v>AUTOMOTIVO</v>
          </cell>
        </row>
        <row r="2917">
          <cell r="A2917">
            <v>20450</v>
          </cell>
          <cell r="B2917" t="str">
            <v>LAZZUMIX LACA NITRO AZUL-21,94-ST</v>
          </cell>
          <cell r="C2917" t="str">
            <v>LL136</v>
          </cell>
          <cell r="D2917" t="str">
            <v>SHERWIN WILLIAMS</v>
          </cell>
          <cell r="E2917">
            <v>20047</v>
          </cell>
          <cell r="F2917" t="str">
            <v>TINTAS LACA</v>
          </cell>
          <cell r="G2917" t="str">
            <v>AUTOMOTIVO</v>
          </cell>
        </row>
        <row r="2918">
          <cell r="A2918">
            <v>20446</v>
          </cell>
          <cell r="B2918" t="str">
            <v>LAZZUMIX LACA NITRO BRANCO-21,94-ST</v>
          </cell>
          <cell r="C2918" t="str">
            <v>LL130</v>
          </cell>
          <cell r="D2918" t="str">
            <v>SHERWIN WILLIAMS</v>
          </cell>
          <cell r="E2918">
            <v>20047</v>
          </cell>
          <cell r="F2918" t="str">
            <v>TINTAS LACA</v>
          </cell>
          <cell r="G2918" t="str">
            <v>AUTOMOTIVO</v>
          </cell>
        </row>
        <row r="2919">
          <cell r="A2919">
            <v>21228</v>
          </cell>
          <cell r="B2919" t="str">
            <v>TINTA LACA ALUMINIO OPALESCENTE 3,600ML ANJO</v>
          </cell>
          <cell r="C2919">
            <v>326598741</v>
          </cell>
          <cell r="D2919" t="str">
            <v>ANJO</v>
          </cell>
          <cell r="E2919">
            <v>20047</v>
          </cell>
          <cell r="F2919" t="str">
            <v>TINTAS LACA</v>
          </cell>
          <cell r="G2919" t="str">
            <v>AUTOMOTIVO</v>
          </cell>
        </row>
        <row r="2920">
          <cell r="A2920">
            <v>10324</v>
          </cell>
          <cell r="B2920" t="str">
            <v>TINTA LACA NC ALUMINIO OPALESCENTE 900ML ANJO-21,45-ST</v>
          </cell>
          <cell r="C2920" t="str">
            <v>000065-23</v>
          </cell>
          <cell r="D2920" t="str">
            <v>ANJO</v>
          </cell>
          <cell r="E2920">
            <v>20047</v>
          </cell>
          <cell r="F2920" t="str">
            <v>TINTAS LACA</v>
          </cell>
          <cell r="G2920" t="str">
            <v>AUTOMOTIVO</v>
          </cell>
        </row>
        <row r="2921">
          <cell r="A2921">
            <v>21717</v>
          </cell>
          <cell r="B2921" t="str">
            <v>TINTA LACA NC BRANCO PURO 3,6 L ANJO-21,46-ST</v>
          </cell>
          <cell r="C2921" t="str">
            <v>000457-27</v>
          </cell>
          <cell r="D2921" t="str">
            <v>ANJO</v>
          </cell>
          <cell r="E2921">
            <v>20047</v>
          </cell>
          <cell r="F2921" t="str">
            <v>TINTAS LACA</v>
          </cell>
          <cell r="G2921" t="str">
            <v>AUTOMOTIVO</v>
          </cell>
        </row>
        <row r="2922">
          <cell r="A2922">
            <v>10326</v>
          </cell>
          <cell r="B2922" t="str">
            <v>TINTA LACA NC PRETO CADILLAC 900ML ANJO-21,46-ST</v>
          </cell>
          <cell r="C2922" t="str">
            <v>000067-23</v>
          </cell>
          <cell r="D2922" t="str">
            <v>ANJO</v>
          </cell>
          <cell r="E2922">
            <v>20047</v>
          </cell>
          <cell r="F2922" t="str">
            <v>TINTAS LACA</v>
          </cell>
          <cell r="G2922" t="str">
            <v>AUTOMOTIVO</v>
          </cell>
        </row>
        <row r="2923">
          <cell r="A2923">
            <v>10325</v>
          </cell>
          <cell r="B2923" t="str">
            <v>TINTA LACA NC PRETO FOSCO 900ML  ANJO-21,46-ST</v>
          </cell>
          <cell r="C2923" t="str">
            <v>000068-23</v>
          </cell>
          <cell r="D2923" t="str">
            <v>ANJO</v>
          </cell>
          <cell r="E2923">
            <v>20047</v>
          </cell>
          <cell r="F2923" t="str">
            <v>TINTAS LACA</v>
          </cell>
          <cell r="G2923" t="str">
            <v>AUTOMOTIVO</v>
          </cell>
        </row>
        <row r="2924">
          <cell r="A2924">
            <v>23895</v>
          </cell>
          <cell r="B2924" t="str">
            <v>TINTA LACA PRETO FOSCO 900ML BRAZILIAN-21,46-ST</v>
          </cell>
          <cell r="C2924" t="str">
            <v>907182.02</v>
          </cell>
          <cell r="D2924" t="str">
            <v>BRAZILIAN</v>
          </cell>
          <cell r="E2924">
            <v>20047</v>
          </cell>
          <cell r="F2924" t="str">
            <v>TINTAS LACA</v>
          </cell>
          <cell r="G2924" t="str">
            <v>AUTOMOTIVO</v>
          </cell>
        </row>
        <row r="2925">
          <cell r="A2925">
            <v>63</v>
          </cell>
          <cell r="B2925" t="str">
            <v>DISCO REMOVEDOR DE FITA DUPLA FACE PURPLEX</v>
          </cell>
          <cell r="C2925">
            <v>170</v>
          </cell>
          <cell r="D2925" t="str">
            <v>PURPLEX</v>
          </cell>
          <cell r="E2925">
            <v>20046</v>
          </cell>
          <cell r="F2925" t="str">
            <v>FITA DUPLA FACE</v>
          </cell>
          <cell r="G2925" t="str">
            <v>AUTOMOTIVO</v>
          </cell>
        </row>
        <row r="2926">
          <cell r="A2926">
            <v>20261</v>
          </cell>
          <cell r="B2926" t="str">
            <v>FITA DUPLA FACE 12MMX20M VERDE 3M</v>
          </cell>
          <cell r="C2926" t="str">
            <v>H0002317883</v>
          </cell>
          <cell r="D2926" t="str">
            <v>3M</v>
          </cell>
          <cell r="E2926">
            <v>20046</v>
          </cell>
          <cell r="F2926" t="str">
            <v>FITA DUPLA FACE</v>
          </cell>
          <cell r="G2926" t="str">
            <v>AUTOMOTIVO</v>
          </cell>
        </row>
        <row r="2927">
          <cell r="A2927">
            <v>10081</v>
          </cell>
          <cell r="B2927" t="str">
            <v>FITA DUPLA FACE 12MMX3M 5369 CINZA 3M</v>
          </cell>
          <cell r="C2927" t="str">
            <v>HB004078893</v>
          </cell>
          <cell r="D2927" t="str">
            <v>3M</v>
          </cell>
          <cell r="E2927">
            <v>20046</v>
          </cell>
          <cell r="F2927" t="str">
            <v>FITA DUPLA FACE</v>
          </cell>
          <cell r="G2927" t="str">
            <v>AUTOMOTIVO</v>
          </cell>
        </row>
        <row r="2928">
          <cell r="A2928">
            <v>84407</v>
          </cell>
          <cell r="B2928" t="str">
            <v>FITA DUPLA FACE 4910 VHB 12MMX33M 3M</v>
          </cell>
          <cell r="C2928" t="str">
            <v>HB004669857</v>
          </cell>
          <cell r="D2928" t="str">
            <v>3M</v>
          </cell>
          <cell r="E2928">
            <v>20046</v>
          </cell>
          <cell r="F2928" t="str">
            <v>FITA DUPLA FACE</v>
          </cell>
          <cell r="G2928" t="str">
            <v>AUTOMOTIVO</v>
          </cell>
        </row>
        <row r="2929">
          <cell r="A2929">
            <v>22232</v>
          </cell>
          <cell r="B2929" t="str">
            <v>FITA DUPLA FACE 4910 VHB 19MMX20M VERDE 3M</v>
          </cell>
          <cell r="C2929" t="str">
            <v>H0002317875</v>
          </cell>
          <cell r="D2929" t="str">
            <v>3M</v>
          </cell>
          <cell r="E2929">
            <v>20046</v>
          </cell>
          <cell r="F2929" t="str">
            <v>FITA DUPLA FACE</v>
          </cell>
          <cell r="G2929" t="str">
            <v>AUTOMOTIVO</v>
          </cell>
        </row>
        <row r="2930">
          <cell r="A2930">
            <v>24183</v>
          </cell>
          <cell r="B2930" t="str">
            <v>FITA DUPLA FACE 4910 VHB 5MMX33M 3M</v>
          </cell>
          <cell r="C2930" t="str">
            <v>HB004669899</v>
          </cell>
          <cell r="D2930" t="str">
            <v>3M</v>
          </cell>
          <cell r="E2930">
            <v>20046</v>
          </cell>
          <cell r="F2930" t="str">
            <v>FITA DUPLA FACE</v>
          </cell>
          <cell r="G2930" t="str">
            <v>AUTOMOTIVO</v>
          </cell>
        </row>
        <row r="2931">
          <cell r="A2931">
            <v>84406</v>
          </cell>
          <cell r="B2931" t="str">
            <v>FITA DUPLA FACE 4910 VHB 9.5MMX33M 3M</v>
          </cell>
          <cell r="C2931" t="str">
            <v>HB004670632</v>
          </cell>
          <cell r="D2931" t="str">
            <v>3M</v>
          </cell>
          <cell r="E2931">
            <v>20046</v>
          </cell>
          <cell r="F2931" t="str">
            <v>FITA DUPLA FACE</v>
          </cell>
          <cell r="G2931" t="str">
            <v>AUTOMOTIVO</v>
          </cell>
        </row>
        <row r="2932">
          <cell r="A2932">
            <v>20640</v>
          </cell>
          <cell r="B2932" t="str">
            <v>FITA DUPLA FACE 5369 6MMX20M 3M</v>
          </cell>
          <cell r="C2932" t="str">
            <v>HB004083430</v>
          </cell>
          <cell r="D2932" t="str">
            <v>3M</v>
          </cell>
          <cell r="E2932">
            <v>20046</v>
          </cell>
          <cell r="F2932" t="str">
            <v>FITA DUPLA FACE</v>
          </cell>
          <cell r="G2932" t="str">
            <v>AUTOMOTIVO</v>
          </cell>
        </row>
        <row r="2933">
          <cell r="A2933">
            <v>10080</v>
          </cell>
          <cell r="B2933" t="str">
            <v>FITA DUPLA FACE 5369 9,5MMX20M CINZA 3M</v>
          </cell>
          <cell r="C2933" t="str">
            <v>HB004078935</v>
          </cell>
          <cell r="D2933" t="str">
            <v>3M</v>
          </cell>
          <cell r="E2933">
            <v>20046</v>
          </cell>
          <cell r="F2933" t="str">
            <v>FITA DUPLA FACE</v>
          </cell>
          <cell r="G2933" t="str">
            <v>AUTOMOTIVO</v>
          </cell>
        </row>
        <row r="2934">
          <cell r="A2934">
            <v>20478</v>
          </cell>
          <cell r="B2934" t="str">
            <v>FITA DUPLA FACE 5369T 12MMX20M 3M</v>
          </cell>
          <cell r="C2934" t="str">
            <v>HB004072789</v>
          </cell>
          <cell r="D2934" t="str">
            <v>3M</v>
          </cell>
          <cell r="E2934">
            <v>20046</v>
          </cell>
          <cell r="F2934" t="str">
            <v>FITA DUPLA FACE</v>
          </cell>
          <cell r="G2934" t="str">
            <v>AUTOMOTIVO</v>
          </cell>
        </row>
        <row r="2935">
          <cell r="A2935">
            <v>20484</v>
          </cell>
          <cell r="B2935" t="str">
            <v>FITA DUPLA FACE 5369T 12MMX3M 3M</v>
          </cell>
          <cell r="C2935" t="str">
            <v>HB004072771</v>
          </cell>
          <cell r="D2935" t="str">
            <v>3M</v>
          </cell>
          <cell r="E2935">
            <v>20046</v>
          </cell>
          <cell r="F2935" t="str">
            <v>FITA DUPLA FACE</v>
          </cell>
          <cell r="G2935" t="str">
            <v>AUTOMOTIVO</v>
          </cell>
        </row>
        <row r="2936">
          <cell r="A2936">
            <v>20477</v>
          </cell>
          <cell r="B2936" t="str">
            <v>FITA DUPLA FACE 5369T 9,5MMX20M 3M</v>
          </cell>
          <cell r="C2936" t="str">
            <v>HB004072797</v>
          </cell>
          <cell r="D2936" t="str">
            <v>3M</v>
          </cell>
          <cell r="E2936">
            <v>20046</v>
          </cell>
          <cell r="F2936" t="str">
            <v>FITA DUPLA FACE</v>
          </cell>
          <cell r="G2936" t="str">
            <v>AUTOMOTIVO</v>
          </cell>
        </row>
        <row r="2937">
          <cell r="A2937">
            <v>22233</v>
          </cell>
          <cell r="B2937" t="str">
            <v>FITA DUPLA FACE 9,5MMX20M VERDE 3M</v>
          </cell>
          <cell r="C2937" t="str">
            <v>HB004299705</v>
          </cell>
          <cell r="D2937" t="str">
            <v>3M</v>
          </cell>
          <cell r="E2937">
            <v>20046</v>
          </cell>
          <cell r="F2937" t="str">
            <v>FITA DUPLA FACE</v>
          </cell>
          <cell r="G2937" t="str">
            <v>AUTOMOTIVO</v>
          </cell>
        </row>
        <row r="2938">
          <cell r="A2938">
            <v>84564</v>
          </cell>
          <cell r="B2938" t="str">
            <v>BRASICAR-PRETO FOSCO VINILICO 600ML BRASILUX</v>
          </cell>
          <cell r="C2938" t="str">
            <v>FO 361519204</v>
          </cell>
          <cell r="D2938" t="str">
            <v>BRASILUX</v>
          </cell>
          <cell r="E2938">
            <v>20045</v>
          </cell>
          <cell r="F2938" t="str">
            <v>PRETO FOSCO VINÍLICO</v>
          </cell>
          <cell r="G2938" t="str">
            <v>AUTOMOTIVO</v>
          </cell>
        </row>
        <row r="2939">
          <cell r="A2939">
            <v>85362</v>
          </cell>
          <cell r="B2939" t="str">
            <v>BRASICAR-WASHPRIMER AMARELO 3,6L BRASILUX</v>
          </cell>
          <cell r="C2939" t="str">
            <v>WH 360281702</v>
          </cell>
          <cell r="D2939" t="str">
            <v>BRASILUX</v>
          </cell>
          <cell r="E2939">
            <v>20045</v>
          </cell>
          <cell r="F2939" t="str">
            <v>PRETO FOSCO VINÍLICO</v>
          </cell>
          <cell r="G2939" t="str">
            <v>AUTOMOTIVO</v>
          </cell>
        </row>
        <row r="2940">
          <cell r="A2940">
            <v>84565</v>
          </cell>
          <cell r="B2940" t="str">
            <v>CATALISADOR  P/ VINILICO 300ML BRASILUX</v>
          </cell>
          <cell r="C2940" t="str">
            <v>CT 365000191</v>
          </cell>
          <cell r="D2940" t="str">
            <v>BRASILUX</v>
          </cell>
          <cell r="E2940">
            <v>20045</v>
          </cell>
          <cell r="F2940" t="str">
            <v>PRETO FOSCO VINÍLICO</v>
          </cell>
          <cell r="G2940" t="str">
            <v>AUTOMOTIVO</v>
          </cell>
        </row>
        <row r="2941">
          <cell r="A2941">
            <v>85364</v>
          </cell>
          <cell r="B2941" t="str">
            <v>CATALISADOR ACIDO P/ VINILICOS 900ML BRASILUX</v>
          </cell>
          <cell r="C2941" t="str">
            <v>CT 365000101</v>
          </cell>
          <cell r="D2941" t="str">
            <v>BRASILUX</v>
          </cell>
          <cell r="E2941">
            <v>20045</v>
          </cell>
          <cell r="F2941" t="str">
            <v>PRETO FOSCO VINÍLICO</v>
          </cell>
          <cell r="G2941" t="str">
            <v>AUTOMOTIVO</v>
          </cell>
        </row>
        <row r="2942">
          <cell r="A2942">
            <v>20026</v>
          </cell>
          <cell r="B2942" t="str">
            <v>CATALISADOR P/ PRETO FOSCO VINILICO 300ML ANJO</v>
          </cell>
          <cell r="C2942" t="str">
            <v>002536-55</v>
          </cell>
          <cell r="D2942" t="str">
            <v>ANJO</v>
          </cell>
          <cell r="E2942">
            <v>20045</v>
          </cell>
          <cell r="F2942" t="str">
            <v>PRETO FOSCO VINÍLICO</v>
          </cell>
          <cell r="G2942" t="str">
            <v>AUTOMOTIVO</v>
          </cell>
        </row>
        <row r="2943">
          <cell r="A2943">
            <v>20464</v>
          </cell>
          <cell r="B2943" t="str">
            <v>CATALISADOR P/ PRETO FOSCO VINILICO 300ML LAZZURIL</v>
          </cell>
          <cell r="C2943" t="str">
            <v>05.00.00051-015</v>
          </cell>
          <cell r="D2943" t="str">
            <v>SHERWIN WILLIAMS</v>
          </cell>
          <cell r="E2943">
            <v>20045</v>
          </cell>
          <cell r="F2943" t="str">
            <v>PRETO FOSCO VINÍLICO</v>
          </cell>
          <cell r="G2943" t="str">
            <v>AUTOMOTIVO</v>
          </cell>
        </row>
        <row r="2944">
          <cell r="A2944">
            <v>9</v>
          </cell>
          <cell r="B2944" t="str">
            <v>CATALISADOR P/ PRETO FOSCO VINILICO 300ML WANDA</v>
          </cell>
          <cell r="C2944">
            <v>482012</v>
          </cell>
          <cell r="D2944" t="str">
            <v>WANDA</v>
          </cell>
          <cell r="E2944">
            <v>20045</v>
          </cell>
          <cell r="F2944" t="str">
            <v>PRETO FOSCO VINÍLICO</v>
          </cell>
          <cell r="G2944" t="str">
            <v>AUTOMOTIVO</v>
          </cell>
        </row>
        <row r="2945">
          <cell r="A2945">
            <v>24398</v>
          </cell>
          <cell r="B2945" t="str">
            <v>CATALISADOR P/ VINILICO RHAI</v>
          </cell>
          <cell r="C2945">
            <v>208517008</v>
          </cell>
          <cell r="D2945" t="str">
            <v>RHAI</v>
          </cell>
          <cell r="E2945">
            <v>20045</v>
          </cell>
          <cell r="F2945" t="str">
            <v>PRETO FOSCO VINÍLICO</v>
          </cell>
          <cell r="G2945" t="str">
            <v>AUTOMOTIVO</v>
          </cell>
        </row>
        <row r="2946">
          <cell r="A2946">
            <v>68</v>
          </cell>
          <cell r="B2946" t="str">
            <v>CATALISADOR WASH/VINILICO/FOSFATIZANTE 300ML SKY</v>
          </cell>
          <cell r="C2946">
            <v>130005550109</v>
          </cell>
          <cell r="D2946" t="str">
            <v>SKY</v>
          </cell>
          <cell r="E2946">
            <v>20045</v>
          </cell>
          <cell r="F2946" t="str">
            <v>PRETO FOSCO VINÍLICO</v>
          </cell>
          <cell r="G2946" t="str">
            <v>AUTOMOTIVO</v>
          </cell>
        </row>
        <row r="2947">
          <cell r="A2947">
            <v>95</v>
          </cell>
          <cell r="B2947" t="str">
            <v>PRETO FOSCO VINILICO 2:1 0,600ML SKY-21,94-ST</v>
          </cell>
          <cell r="C2947">
            <v>112005000103</v>
          </cell>
          <cell r="D2947" t="str">
            <v>SKY</v>
          </cell>
          <cell r="E2947">
            <v>20045</v>
          </cell>
          <cell r="F2947" t="str">
            <v>PRETO FOSCO VINÍLICO</v>
          </cell>
          <cell r="G2947" t="str">
            <v>AUTOMOTIVO</v>
          </cell>
        </row>
        <row r="2948">
          <cell r="A2948">
            <v>20279</v>
          </cell>
          <cell r="B2948" t="str">
            <v>PRETO FOSCO VINILICO 600ML ANJO-21,94-ST</v>
          </cell>
          <cell r="C2948" t="str">
            <v>021642-56</v>
          </cell>
          <cell r="D2948" t="str">
            <v>ANJO</v>
          </cell>
          <cell r="E2948">
            <v>20045</v>
          </cell>
          <cell r="F2948" t="str">
            <v>PRETO FOSCO VINÍLICO</v>
          </cell>
          <cell r="G2948" t="str">
            <v>AUTOMOTIVO</v>
          </cell>
        </row>
        <row r="2949">
          <cell r="A2949">
            <v>21039</v>
          </cell>
          <cell r="B2949" t="str">
            <v>PRETO FOSCO VINILICO 600ML LAZZURIL-21,46-ST</v>
          </cell>
          <cell r="C2949" t="str">
            <v>05.00.00049-016</v>
          </cell>
          <cell r="D2949" t="str">
            <v>SHERWIN WILLIAMS</v>
          </cell>
          <cell r="E2949">
            <v>20045</v>
          </cell>
          <cell r="F2949" t="str">
            <v>PRETO FOSCO VINÍLICO</v>
          </cell>
          <cell r="G2949" t="str">
            <v>AUTOMOTIVO</v>
          </cell>
        </row>
        <row r="2950">
          <cell r="A2950">
            <v>24397</v>
          </cell>
          <cell r="B2950" t="str">
            <v>PRETO FOSCO VINILICO 600ML RHAI-21,94-ST</v>
          </cell>
          <cell r="C2950">
            <v>203500001</v>
          </cell>
          <cell r="D2950" t="str">
            <v>RHAI</v>
          </cell>
          <cell r="E2950">
            <v>20045</v>
          </cell>
          <cell r="F2950" t="str">
            <v>PRETO FOSCO VINÍLICO</v>
          </cell>
          <cell r="G2950" t="str">
            <v>AUTOMOTIVO</v>
          </cell>
        </row>
        <row r="2951">
          <cell r="A2951">
            <v>9749</v>
          </cell>
          <cell r="B2951" t="str">
            <v>TINTA PRETO FOSCO VINILICO WANDA-21,46-ST</v>
          </cell>
          <cell r="C2951">
            <v>484007</v>
          </cell>
          <cell r="D2951" t="str">
            <v>WANDA</v>
          </cell>
          <cell r="E2951">
            <v>20045</v>
          </cell>
          <cell r="F2951" t="str">
            <v>PRETO FOSCO VINÍLICO</v>
          </cell>
          <cell r="G2951" t="str">
            <v>AUTOMOTIVO</v>
          </cell>
        </row>
        <row r="2952">
          <cell r="A2952">
            <v>85363</v>
          </cell>
          <cell r="B2952" t="str">
            <v>WASHPRIMER AMARELO 600ML BRASICAR</v>
          </cell>
          <cell r="C2952" t="str">
            <v>WH 360281704</v>
          </cell>
          <cell r="D2952" t="str">
            <v>BRASILUX</v>
          </cell>
          <cell r="E2952">
            <v>20045</v>
          </cell>
          <cell r="F2952" t="str">
            <v>PRETO FOSCO VINÍLICO</v>
          </cell>
          <cell r="G2952" t="str">
            <v>AUTOMOTIVO</v>
          </cell>
        </row>
        <row r="2953">
          <cell r="A2953">
            <v>158</v>
          </cell>
          <cell r="B2953" t="str">
            <v>SKYMIX SECANTE P/ ESMALTE SINTETICO 900ML SKY</v>
          </cell>
          <cell r="C2953" t="str">
            <v>410ES460133</v>
          </cell>
          <cell r="D2953" t="str">
            <v>SKY</v>
          </cell>
          <cell r="E2953">
            <v>20044</v>
          </cell>
          <cell r="F2953" t="str">
            <v>BASES SINTETICO</v>
          </cell>
          <cell r="G2953" t="str">
            <v>AUTOMOTIVO</v>
          </cell>
        </row>
        <row r="2954">
          <cell r="A2954">
            <v>156</v>
          </cell>
          <cell r="B2954" t="str">
            <v>SKYMIX SINTETICO AMARELO MEDIO 0,900ML-21,94-ST</v>
          </cell>
          <cell r="C2954" t="str">
            <v>410ES40801B4</v>
          </cell>
          <cell r="D2954" t="str">
            <v>SKY</v>
          </cell>
          <cell r="E2954">
            <v>20044</v>
          </cell>
          <cell r="F2954" t="str">
            <v>BASES SINTETICO</v>
          </cell>
          <cell r="G2954" t="str">
            <v>AUTOMOTIVO</v>
          </cell>
        </row>
        <row r="2955">
          <cell r="A2955">
            <v>137</v>
          </cell>
          <cell r="B2955" t="str">
            <v>SKYMIX SINTETICO AMARELO OURO 3,600ML-21,94-ST</v>
          </cell>
          <cell r="C2955" t="str">
            <v>410ES4090114</v>
          </cell>
          <cell r="D2955" t="str">
            <v>SKY</v>
          </cell>
          <cell r="E2955">
            <v>20044</v>
          </cell>
          <cell r="F2955" t="str">
            <v>BASES SINTETICO</v>
          </cell>
          <cell r="G2955" t="str">
            <v>AUTOMOTIVO</v>
          </cell>
        </row>
        <row r="2956">
          <cell r="A2956">
            <v>141</v>
          </cell>
          <cell r="B2956" t="str">
            <v>SKYMIX SINTETICO AMARELO OXIDO 3,600ML-21,94-ST</v>
          </cell>
          <cell r="C2956" t="str">
            <v>410ES4160114</v>
          </cell>
          <cell r="D2956" t="str">
            <v>SKY</v>
          </cell>
          <cell r="E2956">
            <v>20044</v>
          </cell>
          <cell r="F2956" t="str">
            <v>BASES SINTETICO</v>
          </cell>
          <cell r="G2956" t="str">
            <v>AUTOMOTIVO</v>
          </cell>
        </row>
        <row r="2957">
          <cell r="A2957">
            <v>153</v>
          </cell>
          <cell r="B2957" t="str">
            <v>SKYMIX SINTETICO AZUL ESCURO 0,900ML SKY-21,94-ST</v>
          </cell>
          <cell r="C2957" t="str">
            <v>410ES40601B4</v>
          </cell>
          <cell r="D2957" t="str">
            <v>SKY</v>
          </cell>
          <cell r="E2957">
            <v>20044</v>
          </cell>
          <cell r="F2957" t="str">
            <v>BASES SINTETICO</v>
          </cell>
          <cell r="G2957" t="str">
            <v>AUTOMOTIVO</v>
          </cell>
        </row>
        <row r="2958">
          <cell r="A2958">
            <v>140</v>
          </cell>
          <cell r="B2958" t="str">
            <v>SKYMIX SINTETICO AZUL ESVERDEADO 3,600ML-21,94-ST</v>
          </cell>
          <cell r="C2958" t="str">
            <v>410ES4050114</v>
          </cell>
          <cell r="D2958" t="str">
            <v>SKY</v>
          </cell>
          <cell r="E2958">
            <v>20044</v>
          </cell>
          <cell r="F2958" t="str">
            <v>BASES SINTETICO</v>
          </cell>
          <cell r="G2958" t="str">
            <v>AUTOMOTIVO</v>
          </cell>
        </row>
        <row r="2959">
          <cell r="A2959">
            <v>136</v>
          </cell>
          <cell r="B2959" t="str">
            <v>SKYMIX SINTETICO BRANCO PURO 3,600ML-21,94-ST</v>
          </cell>
          <cell r="C2959" t="str">
            <v>410ES4400114</v>
          </cell>
          <cell r="D2959" t="str">
            <v>SKY</v>
          </cell>
          <cell r="E2959">
            <v>20044</v>
          </cell>
          <cell r="F2959" t="str">
            <v>BASES SINTETICO</v>
          </cell>
          <cell r="G2959" t="str">
            <v>AUTOMOTIVO</v>
          </cell>
        </row>
        <row r="2960">
          <cell r="A2960">
            <v>161</v>
          </cell>
          <cell r="B2960" t="str">
            <v>SKYMIX SINTETICO LARANJA 3,600ML-21,94-ST</v>
          </cell>
          <cell r="C2960" t="str">
            <v>410ES4120114</v>
          </cell>
          <cell r="D2960" t="str">
            <v>SKY</v>
          </cell>
          <cell r="E2960">
            <v>20044</v>
          </cell>
          <cell r="F2960" t="str">
            <v>BASES SINTETICO</v>
          </cell>
          <cell r="G2960" t="str">
            <v>AUTOMOTIVO</v>
          </cell>
        </row>
        <row r="2961">
          <cell r="A2961">
            <v>163</v>
          </cell>
          <cell r="B2961" t="str">
            <v>SKYMIX SINTETICO PRETO 0,900ML-21,94-ST</v>
          </cell>
          <cell r="C2961" t="str">
            <v>410ES41801B4</v>
          </cell>
          <cell r="D2961" t="str">
            <v>SKY</v>
          </cell>
          <cell r="E2961">
            <v>20044</v>
          </cell>
          <cell r="F2961" t="str">
            <v>BASES SINTETICO</v>
          </cell>
          <cell r="G2961" t="str">
            <v>AUTOMOTIVO</v>
          </cell>
        </row>
        <row r="2962">
          <cell r="A2962">
            <v>145</v>
          </cell>
          <cell r="B2962" t="str">
            <v>SKYMIX SINTETICO VERDE 0,900ML-21,94-ST</v>
          </cell>
          <cell r="C2962" t="str">
            <v>410ES40701B4</v>
          </cell>
          <cell r="D2962" t="str">
            <v>SKY</v>
          </cell>
          <cell r="E2962">
            <v>20044</v>
          </cell>
          <cell r="F2962" t="str">
            <v>BASES SINTETICO</v>
          </cell>
          <cell r="G2962" t="str">
            <v>AUTOMOTIVO</v>
          </cell>
        </row>
        <row r="2963">
          <cell r="A2963">
            <v>147</v>
          </cell>
          <cell r="B2963" t="str">
            <v>SKYMIX SINTETICO VERMELHO 0,900ML-21,94-ST</v>
          </cell>
          <cell r="C2963" t="str">
            <v>410ES42901B4</v>
          </cell>
          <cell r="D2963" t="str">
            <v>SKY</v>
          </cell>
          <cell r="E2963">
            <v>20044</v>
          </cell>
          <cell r="F2963" t="str">
            <v>BASES SINTETICO</v>
          </cell>
          <cell r="G2963" t="str">
            <v>AUTOMOTIVO</v>
          </cell>
        </row>
        <row r="2964">
          <cell r="A2964">
            <v>154</v>
          </cell>
          <cell r="B2964" t="str">
            <v>SKYMIX SINTETICO VERMELHO ESCURO 0,900ML-21,94-ST</v>
          </cell>
          <cell r="C2964" t="str">
            <v>410ES43801B4</v>
          </cell>
          <cell r="D2964" t="str">
            <v>SKY</v>
          </cell>
          <cell r="E2964">
            <v>20044</v>
          </cell>
          <cell r="F2964" t="str">
            <v>BASES SINTETICO</v>
          </cell>
          <cell r="G2964" t="str">
            <v>AUTOMOTIVO</v>
          </cell>
        </row>
        <row r="2965">
          <cell r="A2965">
            <v>152</v>
          </cell>
          <cell r="B2965" t="str">
            <v>SKYMIX SINTETICO VERMELHO OXIDO 0,900ML SKY-21,94-ST</v>
          </cell>
          <cell r="C2965" t="str">
            <v>410ES41501B4</v>
          </cell>
          <cell r="D2965" t="str">
            <v>SKY</v>
          </cell>
          <cell r="E2965">
            <v>20044</v>
          </cell>
          <cell r="F2965" t="str">
            <v>BASES SINTETICO</v>
          </cell>
          <cell r="G2965" t="str">
            <v>AUTOMOTIVO</v>
          </cell>
        </row>
        <row r="2966">
          <cell r="A2966">
            <v>142</v>
          </cell>
          <cell r="B2966" t="str">
            <v>SKYMIX SINTETICO VIOLETA 0,900ML-21,94-ST</v>
          </cell>
          <cell r="C2966" t="str">
            <v>410ES42501B4</v>
          </cell>
          <cell r="D2966" t="str">
            <v>SKY</v>
          </cell>
          <cell r="E2966">
            <v>20044</v>
          </cell>
          <cell r="F2966" t="str">
            <v>BASES SINTETICO</v>
          </cell>
          <cell r="G2966" t="str">
            <v>AUTOMOTIVO</v>
          </cell>
        </row>
        <row r="2967">
          <cell r="A2967">
            <v>133</v>
          </cell>
          <cell r="B2967" t="str">
            <v>SKYMIX LACA NITRO AMARELO ESVERDEADO-21,93-ST</v>
          </cell>
          <cell r="C2967" t="str">
            <v>510LN5100114</v>
          </cell>
          <cell r="D2967" t="str">
            <v>SKY</v>
          </cell>
          <cell r="E2967">
            <v>20043</v>
          </cell>
          <cell r="F2967" t="str">
            <v xml:space="preserve">BASES LACA </v>
          </cell>
          <cell r="G2967" t="str">
            <v>AUTOMOTIVO</v>
          </cell>
        </row>
        <row r="2968">
          <cell r="A2968">
            <v>157</v>
          </cell>
          <cell r="B2968" t="str">
            <v>SKYMIX LACA NITRO AMARELO OURO 0,900ML-21,94-ST</v>
          </cell>
          <cell r="C2968" t="str">
            <v>510LN50901B4</v>
          </cell>
          <cell r="D2968" t="str">
            <v>SKY</v>
          </cell>
          <cell r="E2968">
            <v>20043</v>
          </cell>
          <cell r="F2968" t="str">
            <v xml:space="preserve">BASES LACA </v>
          </cell>
          <cell r="G2968" t="str">
            <v>AUTOMOTIVO</v>
          </cell>
        </row>
        <row r="2969">
          <cell r="A2969">
            <v>143</v>
          </cell>
          <cell r="B2969" t="str">
            <v>SKYMIX LACA NITRO AZUL ESCURO 0,900ML-21,94-ST</v>
          </cell>
          <cell r="C2969" t="str">
            <v>510LN50601B4</v>
          </cell>
          <cell r="D2969" t="str">
            <v>SKY</v>
          </cell>
          <cell r="E2969">
            <v>20043</v>
          </cell>
          <cell r="F2969" t="str">
            <v xml:space="preserve">BASES LACA </v>
          </cell>
          <cell r="G2969" t="str">
            <v>AUTOMOTIVO</v>
          </cell>
        </row>
        <row r="2970">
          <cell r="A2970">
            <v>146</v>
          </cell>
          <cell r="B2970" t="str">
            <v>SKYMIX LACA NITRO AZUL ESVERDEADO 0,900ML LN505</v>
          </cell>
          <cell r="C2970" t="str">
            <v>510LN50501B4</v>
          </cell>
          <cell r="D2970" t="str">
            <v>SKY</v>
          </cell>
          <cell r="E2970">
            <v>20043</v>
          </cell>
          <cell r="F2970" t="str">
            <v xml:space="preserve">BASES LACA </v>
          </cell>
          <cell r="G2970" t="str">
            <v>AUTOMOTIVO</v>
          </cell>
        </row>
        <row r="2971">
          <cell r="A2971">
            <v>160</v>
          </cell>
          <cell r="B2971" t="str">
            <v>SKYMIX LACA NITRO BRANCO PURO 3,600ML-21,94-ST</v>
          </cell>
          <cell r="C2971" t="str">
            <v>510LN5400114</v>
          </cell>
          <cell r="D2971" t="str">
            <v>SKY</v>
          </cell>
          <cell r="E2971">
            <v>20043</v>
          </cell>
          <cell r="F2971" t="str">
            <v xml:space="preserve">BASES LACA </v>
          </cell>
          <cell r="G2971" t="str">
            <v>AUTOMOTIVO</v>
          </cell>
        </row>
        <row r="2972">
          <cell r="A2972">
            <v>139</v>
          </cell>
          <cell r="B2972" t="str">
            <v>SKYMIX LACA NITRO LARANJA 3,600ML-21,94-ST</v>
          </cell>
          <cell r="C2972" t="str">
            <v>510LN5120114</v>
          </cell>
          <cell r="D2972" t="str">
            <v>SKY</v>
          </cell>
          <cell r="E2972">
            <v>20043</v>
          </cell>
          <cell r="F2972" t="str">
            <v xml:space="preserve">BASES LACA </v>
          </cell>
          <cell r="G2972" t="str">
            <v>AUTOMOTIVO</v>
          </cell>
        </row>
        <row r="2973">
          <cell r="A2973">
            <v>132</v>
          </cell>
          <cell r="B2973" t="str">
            <v>SKYMIX LACA NITRO PRETO-21,94-ST</v>
          </cell>
          <cell r="C2973" t="str">
            <v>510LN5180114</v>
          </cell>
          <cell r="D2973" t="str">
            <v>SKY</v>
          </cell>
          <cell r="E2973">
            <v>20043</v>
          </cell>
          <cell r="F2973" t="str">
            <v xml:space="preserve">BASES LACA </v>
          </cell>
          <cell r="G2973" t="str">
            <v>AUTOMOTIVO</v>
          </cell>
        </row>
        <row r="2974">
          <cell r="A2974">
            <v>148</v>
          </cell>
          <cell r="B2974" t="str">
            <v>SKYMIX LACA NITRO VERDE 0,900ML-21,94-ST</v>
          </cell>
          <cell r="C2974" t="str">
            <v>510LN50701B4</v>
          </cell>
          <cell r="D2974" t="str">
            <v>SKY</v>
          </cell>
          <cell r="E2974">
            <v>20043</v>
          </cell>
          <cell r="F2974" t="str">
            <v xml:space="preserve">BASES LACA </v>
          </cell>
          <cell r="G2974" t="str">
            <v>AUTOMOTIVO</v>
          </cell>
        </row>
        <row r="2975">
          <cell r="A2975">
            <v>150</v>
          </cell>
          <cell r="B2975" t="str">
            <v>SKYMIX LACA NITRO VERMELHO 0,900ML-21,94-ST</v>
          </cell>
          <cell r="C2975" t="str">
            <v>510LN52901B4</v>
          </cell>
          <cell r="D2975" t="str">
            <v>SKY</v>
          </cell>
          <cell r="E2975">
            <v>20043</v>
          </cell>
          <cell r="F2975" t="str">
            <v xml:space="preserve">BASES LACA </v>
          </cell>
          <cell r="G2975" t="str">
            <v>AUTOMOTIVO</v>
          </cell>
        </row>
        <row r="2976">
          <cell r="A2976">
            <v>151</v>
          </cell>
          <cell r="B2976" t="str">
            <v>SKYMIX LACA NITRO VERMELHO ESCURO 0,900ML SKY-21,94-ST</v>
          </cell>
          <cell r="C2976" t="str">
            <v>510LN53801B4</v>
          </cell>
          <cell r="D2976" t="str">
            <v>SKY</v>
          </cell>
          <cell r="E2976">
            <v>20043</v>
          </cell>
          <cell r="F2976" t="str">
            <v xml:space="preserve">BASES LACA </v>
          </cell>
          <cell r="G2976" t="str">
            <v>AUTOMOTIVO</v>
          </cell>
        </row>
        <row r="2977">
          <cell r="A2977">
            <v>144</v>
          </cell>
          <cell r="B2977" t="str">
            <v>SKYMIX LACA NITRO VERMELHO OXIDO 0,900ML-21,94-ST</v>
          </cell>
          <cell r="C2977" t="str">
            <v>510LN51501B4</v>
          </cell>
          <cell r="D2977" t="str">
            <v>SKY</v>
          </cell>
          <cell r="E2977">
            <v>20043</v>
          </cell>
          <cell r="F2977" t="str">
            <v xml:space="preserve">BASES LACA </v>
          </cell>
          <cell r="G2977" t="str">
            <v>AUTOMOTIVO</v>
          </cell>
        </row>
        <row r="2978">
          <cell r="A2978">
            <v>155</v>
          </cell>
          <cell r="B2978" t="str">
            <v>SKYMIX LACA NITRO VIOLETA 0,900ML-21,94-ST</v>
          </cell>
          <cell r="C2978" t="str">
            <v>510LN52501B4</v>
          </cell>
          <cell r="D2978" t="str">
            <v>SKY</v>
          </cell>
          <cell r="E2978">
            <v>20043</v>
          </cell>
          <cell r="F2978" t="str">
            <v xml:space="preserve">BASES LACA </v>
          </cell>
          <cell r="G2978" t="str">
            <v>AUTOMOTIVO</v>
          </cell>
        </row>
        <row r="2979">
          <cell r="A2979">
            <v>149</v>
          </cell>
          <cell r="B2979" t="str">
            <v>SKYMIX LACA NITRO VIOLETA AVERMELHADO 0,900ML-21,94-ST</v>
          </cell>
          <cell r="C2979" t="str">
            <v>510LN5320140</v>
          </cell>
          <cell r="D2979" t="str">
            <v>SKY</v>
          </cell>
          <cell r="E2979">
            <v>20043</v>
          </cell>
          <cell r="F2979" t="str">
            <v xml:space="preserve">BASES LACA </v>
          </cell>
          <cell r="G2979" t="str">
            <v>AUTOMOTIVO</v>
          </cell>
        </row>
        <row r="2980">
          <cell r="A2980">
            <v>22055</v>
          </cell>
          <cell r="B2980" t="str">
            <v>DISCO ROLOC CUBII 36+ 3M</v>
          </cell>
          <cell r="C2980" t="str">
            <v>HB004378566</v>
          </cell>
          <cell r="D2980" t="str">
            <v>3M</v>
          </cell>
          <cell r="E2980">
            <v>20041</v>
          </cell>
          <cell r="F2980" t="str">
            <v xml:space="preserve">DISCO ROLOC </v>
          </cell>
          <cell r="G2980" t="str">
            <v>AUTOMOTIVO</v>
          </cell>
        </row>
        <row r="2981">
          <cell r="A2981">
            <v>22057</v>
          </cell>
          <cell r="B2981" t="str">
            <v>DISCO ROLOC CUBII 60+ 3M</v>
          </cell>
          <cell r="C2981" t="str">
            <v>HB004378574</v>
          </cell>
          <cell r="D2981" t="str">
            <v>3M</v>
          </cell>
          <cell r="E2981">
            <v>20041</v>
          </cell>
          <cell r="F2981" t="str">
            <v xml:space="preserve">DISCO ROLOC </v>
          </cell>
          <cell r="G2981" t="str">
            <v>AUTOMOTIVO</v>
          </cell>
        </row>
        <row r="2982">
          <cell r="A2982">
            <v>22056</v>
          </cell>
          <cell r="B2982" t="str">
            <v>DISCO ROLOC CUBII 80+ 3M</v>
          </cell>
          <cell r="C2982" t="str">
            <v>HB004378558</v>
          </cell>
          <cell r="D2982" t="str">
            <v>3M</v>
          </cell>
          <cell r="E2982">
            <v>20041</v>
          </cell>
          <cell r="F2982" t="str">
            <v xml:space="preserve">DISCO ROLOC </v>
          </cell>
          <cell r="G2982" t="str">
            <v>AUTOMOTIVO</v>
          </cell>
        </row>
        <row r="2983">
          <cell r="A2983">
            <v>20079</v>
          </cell>
          <cell r="B2983" t="str">
            <v>DISCO ROLOC N.50 3M</v>
          </cell>
          <cell r="C2983" t="str">
            <v>H0001527813</v>
          </cell>
          <cell r="D2983" t="str">
            <v>3M</v>
          </cell>
          <cell r="E2983">
            <v>20041</v>
          </cell>
          <cell r="F2983" t="str">
            <v xml:space="preserve">DISCO ROLOC </v>
          </cell>
          <cell r="G2983" t="str">
            <v>AUTOMOTIVO</v>
          </cell>
        </row>
        <row r="2984">
          <cell r="A2984">
            <v>10055</v>
          </cell>
          <cell r="B2984" t="str">
            <v>DISCO ROLOC N.60 3M</v>
          </cell>
          <cell r="C2984" t="str">
            <v>H0001527763</v>
          </cell>
          <cell r="D2984" t="str">
            <v>3M</v>
          </cell>
          <cell r="E2984">
            <v>20041</v>
          </cell>
          <cell r="F2984" t="str">
            <v xml:space="preserve">DISCO ROLOC </v>
          </cell>
          <cell r="G2984" t="str">
            <v>AUTOMOTIVO</v>
          </cell>
        </row>
        <row r="2985">
          <cell r="A2985">
            <v>21354</v>
          </cell>
          <cell r="B2985" t="str">
            <v>CS P400 70MMX12M RL PN30703 3M</v>
          </cell>
          <cell r="C2985" t="str">
            <v>HC000621165</v>
          </cell>
          <cell r="D2985" t="str">
            <v>3M</v>
          </cell>
          <cell r="E2985">
            <v>20040</v>
          </cell>
          <cell r="F2985" t="str">
            <v xml:space="preserve">OUTROS DISCOS </v>
          </cell>
          <cell r="G2985" t="str">
            <v>AUTOMOTIVO</v>
          </cell>
        </row>
        <row r="2986">
          <cell r="A2986">
            <v>21177</v>
          </cell>
          <cell r="B2986" t="str">
            <v>CS P80 + CUBII 737U 70MMX12M RL PN30713 3M</v>
          </cell>
          <cell r="C2986" t="str">
            <v>HC000655361</v>
          </cell>
          <cell r="D2986" t="str">
            <v>3M</v>
          </cell>
          <cell r="E2986">
            <v>20040</v>
          </cell>
          <cell r="F2986" t="str">
            <v xml:space="preserve">OUTROS DISCOS </v>
          </cell>
          <cell r="G2986" t="str">
            <v>AUTOMOTIVO</v>
          </cell>
        </row>
        <row r="2987">
          <cell r="A2987">
            <v>85484</v>
          </cell>
          <cell r="B2987" t="str">
            <v>DISCO ABRASIVO TELADO 080 ATLAS</v>
          </cell>
          <cell r="C2987" t="str">
            <v>AT14/80</v>
          </cell>
          <cell r="D2987" t="str">
            <v>ATLAS</v>
          </cell>
          <cell r="E2987">
            <v>20040</v>
          </cell>
          <cell r="F2987" t="str">
            <v xml:space="preserve">OUTROS DISCOS </v>
          </cell>
          <cell r="G2987" t="str">
            <v>AUTOMOTIVO</v>
          </cell>
        </row>
        <row r="2988">
          <cell r="A2988">
            <v>85485</v>
          </cell>
          <cell r="B2988" t="str">
            <v>DISCO ABRASIVO TELADO 120 ATLAS</v>
          </cell>
          <cell r="C2988" t="str">
            <v>AT14/120</v>
          </cell>
          <cell r="D2988" t="str">
            <v>ATLAS</v>
          </cell>
          <cell r="E2988">
            <v>20040</v>
          </cell>
          <cell r="F2988" t="str">
            <v xml:space="preserve">OUTROS DISCOS </v>
          </cell>
          <cell r="G2988" t="str">
            <v>AUTOMOTIVO</v>
          </cell>
        </row>
        <row r="2989">
          <cell r="A2989">
            <v>85486</v>
          </cell>
          <cell r="B2989" t="str">
            <v>DISCO ABRASIVO TELADO 150 ATLAS</v>
          </cell>
          <cell r="C2989" t="str">
            <v>AT14/150</v>
          </cell>
          <cell r="D2989" t="str">
            <v>ATLAS</v>
          </cell>
          <cell r="E2989">
            <v>20040</v>
          </cell>
          <cell r="F2989" t="str">
            <v xml:space="preserve">OUTROS DISCOS </v>
          </cell>
          <cell r="G2989" t="str">
            <v>AUTOMOTIVO</v>
          </cell>
        </row>
        <row r="2990">
          <cell r="A2990">
            <v>85487</v>
          </cell>
          <cell r="B2990" t="str">
            <v>DISCO ABRASIVO TELADO 180 ATLAS</v>
          </cell>
          <cell r="C2990" t="str">
            <v>AT14/180</v>
          </cell>
          <cell r="D2990" t="str">
            <v>ATLAS</v>
          </cell>
          <cell r="E2990">
            <v>20040</v>
          </cell>
          <cell r="F2990" t="str">
            <v xml:space="preserve">OUTROS DISCOS </v>
          </cell>
          <cell r="G2990" t="str">
            <v>AUTOMOTIVO</v>
          </cell>
        </row>
        <row r="2991">
          <cell r="A2991">
            <v>85488</v>
          </cell>
          <cell r="B2991" t="str">
            <v>DISCO ABRASIVO TELADO 220 ATLAS</v>
          </cell>
          <cell r="C2991" t="str">
            <v>AT14/220</v>
          </cell>
          <cell r="D2991" t="str">
            <v>ATLAS</v>
          </cell>
          <cell r="E2991">
            <v>20040</v>
          </cell>
          <cell r="F2991" t="str">
            <v xml:space="preserve">OUTROS DISCOS </v>
          </cell>
          <cell r="G2991" t="str">
            <v>AUTOMOTIVO</v>
          </cell>
        </row>
        <row r="2992">
          <cell r="A2992">
            <v>21256</v>
          </cell>
          <cell r="B2992" t="str">
            <v>DISCO ABRASIVO VELCRO GOVA BLUE N. P600 ROBERLO</v>
          </cell>
          <cell r="C2992">
            <v>61551</v>
          </cell>
          <cell r="D2992" t="str">
            <v>.</v>
          </cell>
          <cell r="E2992">
            <v>20040</v>
          </cell>
          <cell r="F2992" t="str">
            <v xml:space="preserve">OUTROS DISCOS </v>
          </cell>
          <cell r="G2992" t="str">
            <v>AUTOMOTIVO</v>
          </cell>
        </row>
        <row r="2993">
          <cell r="A2993">
            <v>10209</v>
          </cell>
          <cell r="B2993" t="str">
            <v>DISCO AVOS F828 N. 024 NORTON</v>
          </cell>
          <cell r="C2993">
            <v>5539503090</v>
          </cell>
          <cell r="D2993" t="str">
            <v>NORTON</v>
          </cell>
          <cell r="E2993">
            <v>20040</v>
          </cell>
          <cell r="F2993" t="str">
            <v xml:space="preserve">OUTROS DISCOS </v>
          </cell>
          <cell r="G2993" t="str">
            <v>AUTOMOTIVO</v>
          </cell>
        </row>
        <row r="2994">
          <cell r="A2994">
            <v>10210</v>
          </cell>
          <cell r="B2994" t="str">
            <v>DISCO AVOS F828 N. 036 NORTON</v>
          </cell>
          <cell r="C2994">
            <v>5539503091</v>
          </cell>
          <cell r="D2994" t="str">
            <v>NORTON</v>
          </cell>
          <cell r="E2994">
            <v>20040</v>
          </cell>
          <cell r="F2994" t="str">
            <v xml:space="preserve">OUTROS DISCOS </v>
          </cell>
          <cell r="G2994" t="str">
            <v>AUTOMOTIVO</v>
          </cell>
        </row>
        <row r="2995">
          <cell r="A2995">
            <v>10211</v>
          </cell>
          <cell r="B2995" t="str">
            <v>DISCO AVOS F828 N. 050 NORTON</v>
          </cell>
          <cell r="C2995">
            <v>5539503092</v>
          </cell>
          <cell r="D2995" t="str">
            <v>NORTON</v>
          </cell>
          <cell r="E2995">
            <v>20040</v>
          </cell>
          <cell r="F2995" t="str">
            <v xml:space="preserve">OUTROS DISCOS </v>
          </cell>
          <cell r="G2995" t="str">
            <v>AUTOMOTIVO</v>
          </cell>
        </row>
        <row r="2996">
          <cell r="A2996">
            <v>20081</v>
          </cell>
          <cell r="B2996" t="str">
            <v>DISCO AVOS F828 N. 060 NORTON</v>
          </cell>
          <cell r="C2996">
            <v>5539503094</v>
          </cell>
          <cell r="D2996" t="str">
            <v>NORTON</v>
          </cell>
          <cell r="E2996">
            <v>20040</v>
          </cell>
          <cell r="F2996" t="str">
            <v xml:space="preserve">OUTROS DISCOS </v>
          </cell>
          <cell r="G2996" t="str">
            <v>AUTOMOTIVO</v>
          </cell>
        </row>
        <row r="2997">
          <cell r="A2997">
            <v>10212</v>
          </cell>
          <cell r="B2997" t="str">
            <v>DISCO AVOS F828 N. 080 NORTON</v>
          </cell>
          <cell r="C2997">
            <v>10058062</v>
          </cell>
          <cell r="D2997" t="str">
            <v>NORTON</v>
          </cell>
          <cell r="E2997">
            <v>20040</v>
          </cell>
          <cell r="F2997" t="str">
            <v xml:space="preserve">OUTROS DISCOS </v>
          </cell>
          <cell r="G2997" t="str">
            <v>AUTOMOTIVO</v>
          </cell>
        </row>
        <row r="2998">
          <cell r="A2998">
            <v>20179</v>
          </cell>
          <cell r="B2998" t="str">
            <v>DISCO AVOS F828 N. 100 NORTON</v>
          </cell>
          <cell r="C2998">
            <v>10058063</v>
          </cell>
          <cell r="D2998" t="str">
            <v>NORTON</v>
          </cell>
          <cell r="E2998">
            <v>20040</v>
          </cell>
          <cell r="F2998" t="str">
            <v xml:space="preserve">OUTROS DISCOS </v>
          </cell>
          <cell r="G2998" t="str">
            <v>AUTOMOTIVO</v>
          </cell>
        </row>
        <row r="2999">
          <cell r="A2999">
            <v>20180</v>
          </cell>
          <cell r="B2999" t="str">
            <v>DISCO AVOS F828 N. 120 NORTON</v>
          </cell>
          <cell r="C2999">
            <v>10058064</v>
          </cell>
          <cell r="D2999" t="str">
            <v>NORTON</v>
          </cell>
          <cell r="E2999">
            <v>20040</v>
          </cell>
          <cell r="F2999" t="str">
            <v xml:space="preserve">OUTROS DISCOS </v>
          </cell>
          <cell r="G2999" t="str">
            <v>AUTOMOTIVO</v>
          </cell>
        </row>
        <row r="3000">
          <cell r="A3000">
            <v>10162</v>
          </cell>
          <cell r="B3000" t="str">
            <v>DISCO AVOS F900 P 36 115X22.23 NORTON</v>
          </cell>
          <cell r="C3000">
            <v>78072755206</v>
          </cell>
          <cell r="D3000" t="str">
            <v>NORTON</v>
          </cell>
          <cell r="E3000">
            <v>20040</v>
          </cell>
          <cell r="F3000" t="str">
            <v xml:space="preserve">OUTROS DISCOS </v>
          </cell>
          <cell r="G3000" t="str">
            <v>AUTOMOTIVO</v>
          </cell>
        </row>
        <row r="3001">
          <cell r="A3001">
            <v>10163</v>
          </cell>
          <cell r="B3001" t="str">
            <v>DISCO AVOS F900 P 50 115X22.23 NORTON</v>
          </cell>
          <cell r="C3001">
            <v>78072755207</v>
          </cell>
          <cell r="D3001" t="str">
            <v>NORTON</v>
          </cell>
          <cell r="E3001">
            <v>20040</v>
          </cell>
          <cell r="F3001" t="str">
            <v xml:space="preserve">OUTROS DISCOS </v>
          </cell>
          <cell r="G3001" t="str">
            <v>AUTOMOTIVO</v>
          </cell>
        </row>
        <row r="3002">
          <cell r="A3002">
            <v>21279</v>
          </cell>
          <cell r="B3002" t="str">
            <v>DISCO AVOS F944 N. 36 115X22 NORTON</v>
          </cell>
          <cell r="C3002">
            <v>5539503104</v>
          </cell>
          <cell r="D3002" t="str">
            <v>NORTON</v>
          </cell>
          <cell r="E3002">
            <v>20040</v>
          </cell>
          <cell r="F3002" t="str">
            <v xml:space="preserve">OUTROS DISCOS </v>
          </cell>
          <cell r="G3002" t="str">
            <v>AUTOMOTIVO</v>
          </cell>
        </row>
        <row r="3003">
          <cell r="A3003">
            <v>21280</v>
          </cell>
          <cell r="B3003" t="str">
            <v>DISCO AVOS F944 N. 50 115X22 NORTON</v>
          </cell>
          <cell r="C3003">
            <v>5539503107</v>
          </cell>
          <cell r="D3003" t="str">
            <v>NORTON</v>
          </cell>
          <cell r="E3003">
            <v>20040</v>
          </cell>
          <cell r="F3003" t="str">
            <v xml:space="preserve">OUTROS DISCOS </v>
          </cell>
          <cell r="G3003" t="str">
            <v>AUTOMOTIVO</v>
          </cell>
        </row>
        <row r="3004">
          <cell r="A3004">
            <v>21619</v>
          </cell>
          <cell r="B3004" t="str">
            <v>DISCO AVOS F944 N. 80 115X22 NORTON</v>
          </cell>
          <cell r="C3004">
            <v>5539503113</v>
          </cell>
          <cell r="D3004" t="str">
            <v>NORTON</v>
          </cell>
          <cell r="E3004">
            <v>20040</v>
          </cell>
          <cell r="F3004" t="str">
            <v xml:space="preserve">OUTROS DISCOS </v>
          </cell>
          <cell r="G3004" t="str">
            <v>AUTOMOTIVO</v>
          </cell>
        </row>
        <row r="3005">
          <cell r="A3005">
            <v>10213</v>
          </cell>
          <cell r="B3005" t="str">
            <v>DISCO DE CORTE BNA 12 115X1,0X22,22 NORTON</v>
          </cell>
          <cell r="C3005">
            <v>66252843679</v>
          </cell>
          <cell r="D3005" t="str">
            <v>NORTON</v>
          </cell>
          <cell r="E3005">
            <v>20040</v>
          </cell>
          <cell r="F3005" t="str">
            <v xml:space="preserve">OUTROS DISCOS </v>
          </cell>
          <cell r="G3005" t="str">
            <v>AUTOMOTIVO</v>
          </cell>
        </row>
        <row r="3006">
          <cell r="A3006">
            <v>23434</v>
          </cell>
          <cell r="B3006" t="str">
            <v>DISCO DE CORTE CLASSIC 115X1.0 X 22,23MM  DC AR 102 NORTON</v>
          </cell>
          <cell r="C3006">
            <v>66253371670</v>
          </cell>
          <cell r="D3006" t="str">
            <v>NORTON</v>
          </cell>
          <cell r="E3006">
            <v>20040</v>
          </cell>
          <cell r="F3006" t="str">
            <v xml:space="preserve">OUTROS DISCOS </v>
          </cell>
          <cell r="G3006" t="str">
            <v>AUTOMOTIVO</v>
          </cell>
        </row>
        <row r="3007">
          <cell r="A3007">
            <v>23919</v>
          </cell>
          <cell r="B3007" t="str">
            <v>DISCO DE CORTE CLASSIC BASIC 180X1.6X22,2 NORTON</v>
          </cell>
          <cell r="C3007">
            <v>66252846362</v>
          </cell>
          <cell r="D3007" t="str">
            <v>NORTON</v>
          </cell>
          <cell r="E3007">
            <v>20040</v>
          </cell>
          <cell r="F3007" t="str">
            <v xml:space="preserve">OUTROS DISCOS </v>
          </cell>
          <cell r="G3007" t="str">
            <v>AUTOMOTIVO</v>
          </cell>
        </row>
        <row r="3008">
          <cell r="A3008">
            <v>23374</v>
          </cell>
          <cell r="B3008" t="str">
            <v>DISCO DE CORTE CUBII 75X1X9 3M</v>
          </cell>
          <cell r="C3008" t="str">
            <v>HB004378533</v>
          </cell>
          <cell r="D3008" t="str">
            <v>3M</v>
          </cell>
          <cell r="E3008">
            <v>20040</v>
          </cell>
          <cell r="F3008" t="str">
            <v xml:space="preserve">OUTROS DISCOS </v>
          </cell>
          <cell r="G3008" t="str">
            <v>AUTOMOTIVO</v>
          </cell>
        </row>
        <row r="3009">
          <cell r="A3009">
            <v>22024</v>
          </cell>
          <cell r="B3009" t="str">
            <v>DISCO DE DESBASTE BDA600 115X6.4X22.23 NORTON</v>
          </cell>
          <cell r="C3009">
            <v>66253370340</v>
          </cell>
          <cell r="D3009" t="str">
            <v>NORTON</v>
          </cell>
          <cell r="E3009">
            <v>20040</v>
          </cell>
          <cell r="F3009" t="str">
            <v xml:space="preserve">OUTROS DISCOS </v>
          </cell>
          <cell r="G3009" t="str">
            <v>AUTOMOTIVO</v>
          </cell>
        </row>
        <row r="3010">
          <cell r="A3010">
            <v>23683</v>
          </cell>
          <cell r="B3010" t="str">
            <v>DISCO DE DESBASTE BDA620</v>
          </cell>
          <cell r="C3010">
            <v>66252841272</v>
          </cell>
          <cell r="D3010" t="str">
            <v>NORTON</v>
          </cell>
          <cell r="E3010">
            <v>20040</v>
          </cell>
          <cell r="F3010" t="str">
            <v xml:space="preserve">OUTROS DISCOS </v>
          </cell>
          <cell r="G3010" t="str">
            <v>AUTOMOTIVO</v>
          </cell>
        </row>
        <row r="3011">
          <cell r="A3011">
            <v>83859</v>
          </cell>
          <cell r="B3011" t="str">
            <v>DISCO DE DESBASTE CUBITRON II 115X7.0X22.23 3M</v>
          </cell>
          <cell r="C3011" t="str">
            <v>HC000646162</v>
          </cell>
          <cell r="D3011" t="str">
            <v>3M</v>
          </cell>
          <cell r="E3011">
            <v>20040</v>
          </cell>
          <cell r="F3011" t="str">
            <v xml:space="preserve">OUTROS DISCOS </v>
          </cell>
          <cell r="G3011" t="str">
            <v>AUTOMOTIVO</v>
          </cell>
        </row>
        <row r="3012">
          <cell r="A3012">
            <v>23502</v>
          </cell>
          <cell r="B3012" t="str">
            <v>DISCO DE LIXA F-944 N.50 NORTON</v>
          </cell>
          <cell r="C3012">
            <v>5539537644</v>
          </cell>
          <cell r="D3012" t="str">
            <v>NORTON</v>
          </cell>
          <cell r="E3012">
            <v>20040</v>
          </cell>
          <cell r="F3012" t="str">
            <v xml:space="preserve">OUTROS DISCOS </v>
          </cell>
          <cell r="G3012" t="str">
            <v>AUTOMOTIVO</v>
          </cell>
        </row>
        <row r="3013">
          <cell r="A3013">
            <v>10042</v>
          </cell>
          <cell r="B3013" t="str">
            <v>DISCO DE LIXA N. 24 115MM X 22,3MM 3M</v>
          </cell>
          <cell r="C3013" t="str">
            <v>HC000618435</v>
          </cell>
          <cell r="D3013" t="str">
            <v>3M</v>
          </cell>
          <cell r="E3013">
            <v>20040</v>
          </cell>
          <cell r="F3013" t="str">
            <v xml:space="preserve">OUTROS DISCOS </v>
          </cell>
          <cell r="G3013" t="str">
            <v>AUTOMOTIVO</v>
          </cell>
        </row>
        <row r="3014">
          <cell r="A3014">
            <v>10043</v>
          </cell>
          <cell r="B3014" t="str">
            <v>DISCO DE LIXA N. 36 115MM X 22,3MM 3M</v>
          </cell>
          <cell r="C3014" t="str">
            <v>HC000618468</v>
          </cell>
          <cell r="D3014" t="str">
            <v>3M</v>
          </cell>
          <cell r="E3014">
            <v>20040</v>
          </cell>
          <cell r="F3014" t="str">
            <v xml:space="preserve">OUTROS DISCOS </v>
          </cell>
          <cell r="G3014" t="str">
            <v>AUTOMOTIVO</v>
          </cell>
        </row>
        <row r="3015">
          <cell r="A3015">
            <v>10218</v>
          </cell>
          <cell r="B3015" t="str">
            <v>DISCO DE LIXA N.036 NORTON</v>
          </cell>
          <cell r="C3015">
            <v>66261037164</v>
          </cell>
          <cell r="D3015" t="str">
            <v>.</v>
          </cell>
          <cell r="E3015">
            <v>20040</v>
          </cell>
          <cell r="F3015" t="str">
            <v xml:space="preserve">OUTROS DISCOS </v>
          </cell>
          <cell r="G3015" t="str">
            <v>AUTOMOTIVO</v>
          </cell>
        </row>
        <row r="3016">
          <cell r="A3016">
            <v>10044</v>
          </cell>
          <cell r="B3016" t="str">
            <v>DISCO DE LIXA Nº 80 115MM X 22,3MM 3M</v>
          </cell>
          <cell r="C3016" t="str">
            <v>HC000618559</v>
          </cell>
          <cell r="D3016" t="str">
            <v>3M</v>
          </cell>
          <cell r="E3016">
            <v>20040</v>
          </cell>
          <cell r="F3016" t="str">
            <v xml:space="preserve">OUTROS DISCOS </v>
          </cell>
          <cell r="G3016" t="str">
            <v>AUTOMOTIVO</v>
          </cell>
        </row>
        <row r="3017">
          <cell r="A3017">
            <v>23421</v>
          </cell>
          <cell r="B3017" t="str">
            <v>DISCO METALITE F247 080 DS 180X22 NORTON</v>
          </cell>
          <cell r="C3017" t="str">
            <v xml:space="preserve">VERIF </v>
          </cell>
          <cell r="D3017" t="str">
            <v>NORTON</v>
          </cell>
          <cell r="E3017">
            <v>20040</v>
          </cell>
          <cell r="F3017" t="str">
            <v xml:space="preserve">OUTROS DISCOS </v>
          </cell>
          <cell r="G3017" t="str">
            <v>AUTOMOTIVO</v>
          </cell>
        </row>
        <row r="3018">
          <cell r="A3018">
            <v>23422</v>
          </cell>
          <cell r="B3018" t="str">
            <v>DISCO METALITE F247 100 DS 180X22 NORTON</v>
          </cell>
          <cell r="C3018" t="str">
            <v>VERIF 1</v>
          </cell>
          <cell r="D3018" t="str">
            <v>NORTON</v>
          </cell>
          <cell r="E3018">
            <v>20040</v>
          </cell>
          <cell r="F3018" t="str">
            <v xml:space="preserve">OUTROS DISCOS </v>
          </cell>
          <cell r="G3018" t="str">
            <v>AUTOMOTIVO</v>
          </cell>
        </row>
        <row r="3019">
          <cell r="A3019">
            <v>23269</v>
          </cell>
          <cell r="B3019" t="str">
            <v>DISCO METALITE F247 120 DS 180X22 NORTON</v>
          </cell>
          <cell r="C3019">
            <v>5539503021</v>
          </cell>
          <cell r="D3019" t="str">
            <v>NORTON</v>
          </cell>
          <cell r="E3019">
            <v>20040</v>
          </cell>
          <cell r="F3019" t="str">
            <v xml:space="preserve">OUTROS DISCOS </v>
          </cell>
          <cell r="G3019" t="str">
            <v>AUTOMOTIVO</v>
          </cell>
        </row>
        <row r="3020">
          <cell r="A3020">
            <v>20007</v>
          </cell>
          <cell r="B3020" t="str">
            <v>DISCO MULTIAIR 125X18 400 NORTON</v>
          </cell>
          <cell r="C3020">
            <v>66261063318</v>
          </cell>
          <cell r="D3020" t="str">
            <v>NORTON</v>
          </cell>
          <cell r="E3020">
            <v>20040</v>
          </cell>
          <cell r="F3020" t="str">
            <v xml:space="preserve">OUTROS DISCOS </v>
          </cell>
          <cell r="G3020" t="str">
            <v>AUTOMOTIVO</v>
          </cell>
        </row>
        <row r="3021">
          <cell r="A3021">
            <v>20594</v>
          </cell>
          <cell r="B3021" t="str">
            <v>DISCO MULTIAIR 125X18 500 NORTON</v>
          </cell>
          <cell r="C3021">
            <v>66261063319</v>
          </cell>
          <cell r="D3021" t="str">
            <v>NORTON</v>
          </cell>
          <cell r="E3021">
            <v>20040</v>
          </cell>
          <cell r="F3021" t="str">
            <v xml:space="preserve">OUTROS DISCOS </v>
          </cell>
          <cell r="G3021" t="str">
            <v>AUTOMOTIVO</v>
          </cell>
        </row>
        <row r="3022">
          <cell r="A3022">
            <v>85559</v>
          </cell>
          <cell r="B3022" t="str">
            <v>DISCO MULTIAIR SOFT TOUCH A975 150X181 P400 NORTON</v>
          </cell>
          <cell r="C3022">
            <v>5539553792</v>
          </cell>
          <cell r="D3022" t="str">
            <v>NORTON</v>
          </cell>
          <cell r="E3022">
            <v>20040</v>
          </cell>
          <cell r="F3022" t="str">
            <v xml:space="preserve">OUTROS DISCOS </v>
          </cell>
          <cell r="G3022" t="str">
            <v>AUTOMOTIVO</v>
          </cell>
        </row>
        <row r="3023">
          <cell r="A3023">
            <v>22043</v>
          </cell>
          <cell r="B3023" t="str">
            <v>DISCO RESTAURADOR VR ABRASIVO 510MM</v>
          </cell>
          <cell r="C3023">
            <v>11051</v>
          </cell>
          <cell r="D3023" t="str">
            <v>.</v>
          </cell>
          <cell r="E3023">
            <v>20040</v>
          </cell>
          <cell r="F3023" t="str">
            <v xml:space="preserve">OUTROS DISCOS </v>
          </cell>
          <cell r="G3023" t="str">
            <v>AUTOMOTIVO</v>
          </cell>
        </row>
        <row r="3024">
          <cell r="A3024">
            <v>273</v>
          </cell>
          <cell r="B3024" t="str">
            <v>DISCO S/ FURO ROXO P1500 3M</v>
          </cell>
          <cell r="C3024" t="str">
            <v>HC000630877</v>
          </cell>
          <cell r="D3024" t="str">
            <v>3M</v>
          </cell>
          <cell r="E3024">
            <v>20040</v>
          </cell>
          <cell r="F3024" t="str">
            <v xml:space="preserve">OUTROS DISCOS </v>
          </cell>
          <cell r="G3024" t="str">
            <v>AUTOMOTIVO</v>
          </cell>
        </row>
        <row r="3025">
          <cell r="A3025">
            <v>24170</v>
          </cell>
          <cell r="B3025" t="str">
            <v>DISCO STRIP PRETO 115X22MM NORTON</v>
          </cell>
          <cell r="C3025">
            <v>69957</v>
          </cell>
          <cell r="D3025" t="str">
            <v>NORTON</v>
          </cell>
          <cell r="E3025">
            <v>20040</v>
          </cell>
          <cell r="F3025" t="str">
            <v xml:space="preserve">OUTROS DISCOS </v>
          </cell>
          <cell r="G3025" t="str">
            <v>AUTOMOTIVO</v>
          </cell>
        </row>
        <row r="3026">
          <cell r="A3026">
            <v>274</v>
          </cell>
          <cell r="B3026" t="str">
            <v>DISCO SURFACE STRIP PRETO 152X6MM NORTON</v>
          </cell>
          <cell r="C3026">
            <v>5539544130</v>
          </cell>
          <cell r="D3026" t="str">
            <v>NORTON</v>
          </cell>
          <cell r="E3026">
            <v>20040</v>
          </cell>
          <cell r="F3026" t="str">
            <v xml:space="preserve">OUTROS DISCOS </v>
          </cell>
          <cell r="G3026" t="str">
            <v>AUTOMOTIVO</v>
          </cell>
        </row>
        <row r="3027">
          <cell r="A3027">
            <v>83940</v>
          </cell>
          <cell r="B3027" t="str">
            <v>DISCO VERDE LIMPADOR</v>
          </cell>
          <cell r="C3027">
            <v>184</v>
          </cell>
          <cell r="D3027" t="str">
            <v>SAFIRA</v>
          </cell>
          <cell r="E3027">
            <v>20040</v>
          </cell>
          <cell r="F3027" t="str">
            <v xml:space="preserve">OUTROS DISCOS </v>
          </cell>
          <cell r="G3027" t="str">
            <v>AUTOMOTIVO</v>
          </cell>
        </row>
        <row r="3028">
          <cell r="A3028">
            <v>84554</v>
          </cell>
          <cell r="B3028" t="str">
            <v>DISCO VERMELHO LIMPADOR</v>
          </cell>
          <cell r="C3028">
            <v>1841</v>
          </cell>
          <cell r="D3028" t="str">
            <v>SAFIRA</v>
          </cell>
          <cell r="E3028">
            <v>20040</v>
          </cell>
          <cell r="F3028" t="str">
            <v xml:space="preserve">OUTROS DISCOS </v>
          </cell>
          <cell r="G3028" t="str">
            <v>AUTOMOTIVO</v>
          </cell>
        </row>
        <row r="3029">
          <cell r="A3029">
            <v>85743</v>
          </cell>
          <cell r="B3029" t="str">
            <v>FILME MASCARAMENTO C/ FITA CREPE 1,5MTX20MT ATLAS</v>
          </cell>
          <cell r="C3029" t="str">
            <v>AT2220/150</v>
          </cell>
          <cell r="D3029" t="str">
            <v>ATLAS</v>
          </cell>
          <cell r="E3029">
            <v>20040</v>
          </cell>
          <cell r="F3029" t="str">
            <v xml:space="preserve">OUTROS DISCOS </v>
          </cell>
          <cell r="G3029" t="str">
            <v>AUTOMOTIVO</v>
          </cell>
        </row>
        <row r="3030">
          <cell r="A3030">
            <v>85744</v>
          </cell>
          <cell r="B3030" t="str">
            <v>FILME MASCARAMENTO C/ FITA CREPE 2,4MTX20MT ATLAS</v>
          </cell>
          <cell r="C3030" t="str">
            <v>AT2220/240</v>
          </cell>
          <cell r="D3030" t="str">
            <v>ATLAS</v>
          </cell>
          <cell r="E3030">
            <v>20040</v>
          </cell>
          <cell r="F3030" t="str">
            <v xml:space="preserve">OUTROS DISCOS </v>
          </cell>
          <cell r="G3030" t="str">
            <v>AUTOMOTIVO</v>
          </cell>
        </row>
        <row r="3031">
          <cell r="A3031">
            <v>85741</v>
          </cell>
          <cell r="B3031" t="str">
            <v>FILME MASCARAMENTO C/ FITA CREPE 45CMX20MT ATLAS</v>
          </cell>
          <cell r="C3031" t="str">
            <v>AT2220/45</v>
          </cell>
          <cell r="D3031" t="str">
            <v>ATLAS</v>
          </cell>
          <cell r="E3031">
            <v>20040</v>
          </cell>
          <cell r="F3031" t="str">
            <v xml:space="preserve">OUTROS DISCOS </v>
          </cell>
          <cell r="G3031" t="str">
            <v>AUTOMOTIVO</v>
          </cell>
        </row>
        <row r="3032">
          <cell r="A3032">
            <v>85742</v>
          </cell>
          <cell r="B3032" t="str">
            <v>FILME MASCARAMENTO C/ FITA CREPE 90CMX20MT ATLAS</v>
          </cell>
          <cell r="C3032" t="str">
            <v>AT2220/90</v>
          </cell>
          <cell r="D3032" t="str">
            <v>ATLAS</v>
          </cell>
          <cell r="E3032">
            <v>20040</v>
          </cell>
          <cell r="F3032" t="str">
            <v xml:space="preserve">OUTROS DISCOS </v>
          </cell>
          <cell r="G3032" t="str">
            <v>AUTOMOTIVO</v>
          </cell>
        </row>
        <row r="3033">
          <cell r="A3033">
            <v>23396</v>
          </cell>
          <cell r="B3033" t="str">
            <v>FLAP DISCO P40 CLASSIC 115X22 NORTON</v>
          </cell>
          <cell r="C3033">
            <v>12</v>
          </cell>
          <cell r="D3033" t="str">
            <v>NORTON</v>
          </cell>
          <cell r="E3033">
            <v>20040</v>
          </cell>
          <cell r="F3033" t="str">
            <v xml:space="preserve">OUTROS DISCOS </v>
          </cell>
          <cell r="G3033" t="str">
            <v>AUTOMOTIVO</v>
          </cell>
        </row>
        <row r="3034">
          <cell r="A3034">
            <v>23425</v>
          </cell>
          <cell r="B3034" t="str">
            <v>FLAP DISCO P40 EVOLUTION 115X22 NORTON</v>
          </cell>
          <cell r="C3034">
            <v>66623313729</v>
          </cell>
          <cell r="D3034" t="str">
            <v>NORTON</v>
          </cell>
          <cell r="E3034">
            <v>20040</v>
          </cell>
          <cell r="F3034" t="str">
            <v xml:space="preserve">OUTROS DISCOS </v>
          </cell>
          <cell r="G3034" t="str">
            <v>AUTOMOTIVO</v>
          </cell>
        </row>
        <row r="3035">
          <cell r="A3035">
            <v>23406</v>
          </cell>
          <cell r="B3035" t="str">
            <v>FLAP DISCO P40 ORIGINAL 115X22 NORTON SIMPLES</v>
          </cell>
          <cell r="C3035">
            <v>69957320322</v>
          </cell>
          <cell r="D3035" t="str">
            <v>NORTON</v>
          </cell>
          <cell r="E3035">
            <v>20040</v>
          </cell>
          <cell r="F3035" t="str">
            <v xml:space="preserve">OUTROS DISCOS </v>
          </cell>
          <cell r="G3035" t="str">
            <v>AUTOMOTIVO</v>
          </cell>
        </row>
        <row r="3036">
          <cell r="A3036">
            <v>85142</v>
          </cell>
          <cell r="B3036" t="str">
            <v>FLAP DISCO P50 EVOLUTION 115X22 NORTON</v>
          </cell>
          <cell r="C3036">
            <v>66623313730</v>
          </cell>
          <cell r="D3036" t="str">
            <v>NORTON</v>
          </cell>
          <cell r="E3036">
            <v>20040</v>
          </cell>
          <cell r="F3036" t="str">
            <v xml:space="preserve">OUTROS DISCOS </v>
          </cell>
          <cell r="G3036" t="str">
            <v>AUTOMOTIVO</v>
          </cell>
        </row>
        <row r="3037">
          <cell r="A3037">
            <v>20276</v>
          </cell>
          <cell r="B3037" t="str">
            <v>FLAP DISCO P60 115X22MM NORTON</v>
          </cell>
          <cell r="C3037">
            <v>66623381305</v>
          </cell>
          <cell r="D3037" t="str">
            <v>NORTON</v>
          </cell>
          <cell r="E3037">
            <v>20040</v>
          </cell>
          <cell r="F3037" t="str">
            <v xml:space="preserve">OUTROS DISCOS </v>
          </cell>
          <cell r="G3037" t="str">
            <v>AUTOMOTIVO</v>
          </cell>
        </row>
        <row r="3038">
          <cell r="A3038">
            <v>23426</v>
          </cell>
          <cell r="B3038" t="str">
            <v>FLAP DISCO P60 CLASSIC 115X22 NORTON</v>
          </cell>
          <cell r="C3038">
            <v>69957316292</v>
          </cell>
          <cell r="D3038" t="str">
            <v>NORTON</v>
          </cell>
          <cell r="E3038">
            <v>20040</v>
          </cell>
          <cell r="F3038" t="str">
            <v xml:space="preserve">OUTROS DISCOS </v>
          </cell>
          <cell r="G3038" t="str">
            <v>AUTOMOTIVO</v>
          </cell>
        </row>
        <row r="3039">
          <cell r="A3039">
            <v>85197</v>
          </cell>
          <cell r="B3039" t="str">
            <v>FLAP DISCO P60 EVOLUTION 115X22 NORTON</v>
          </cell>
          <cell r="C3039">
            <v>66623313731</v>
          </cell>
          <cell r="D3039" t="str">
            <v>NORTON</v>
          </cell>
          <cell r="E3039">
            <v>20040</v>
          </cell>
          <cell r="F3039" t="str">
            <v xml:space="preserve">OUTROS DISCOS </v>
          </cell>
          <cell r="G3039" t="str">
            <v>AUTOMOTIVO</v>
          </cell>
        </row>
        <row r="3040">
          <cell r="A3040">
            <v>22538</v>
          </cell>
          <cell r="B3040" t="str">
            <v>FLAP DS P120 NORTON</v>
          </cell>
          <cell r="C3040">
            <v>643391</v>
          </cell>
          <cell r="D3040" t="str">
            <v>NORTON</v>
          </cell>
          <cell r="E3040">
            <v>20040</v>
          </cell>
          <cell r="F3040" t="str">
            <v xml:space="preserve">OUTROS DISCOS </v>
          </cell>
          <cell r="G3040" t="str">
            <v>AUTOMOTIVO</v>
          </cell>
        </row>
        <row r="3041">
          <cell r="A3041">
            <v>23703</v>
          </cell>
          <cell r="B3041" t="str">
            <v>FLAP ORIGINAL R822 P60 NORTON</v>
          </cell>
          <cell r="C3041">
            <v>69957320325</v>
          </cell>
          <cell r="D3041" t="str">
            <v>NORTON</v>
          </cell>
          <cell r="E3041">
            <v>20040</v>
          </cell>
          <cell r="F3041" t="str">
            <v xml:space="preserve">OUTROS DISCOS </v>
          </cell>
          <cell r="G3041" t="str">
            <v>AUTOMOTIVO</v>
          </cell>
        </row>
        <row r="3042">
          <cell r="A3042">
            <v>85296</v>
          </cell>
          <cell r="B3042" t="str">
            <v>PASSA CERA S/ CABO</v>
          </cell>
          <cell r="C3042">
            <v>7338</v>
          </cell>
          <cell r="D3042" t="str">
            <v>SAFIRA</v>
          </cell>
          <cell r="E3042">
            <v>20040</v>
          </cell>
          <cell r="F3042" t="str">
            <v xml:space="preserve">OUTROS DISCOS </v>
          </cell>
          <cell r="G3042" t="str">
            <v>AUTOMOTIVO</v>
          </cell>
        </row>
        <row r="3043">
          <cell r="A3043">
            <v>69</v>
          </cell>
          <cell r="B3043" t="str">
            <v>KIT DE REPARO PLASTICO 290GR SKY</v>
          </cell>
          <cell r="C3043" t="str">
            <v>14000KR50146</v>
          </cell>
          <cell r="D3043" t="str">
            <v>SKY</v>
          </cell>
          <cell r="E3043">
            <v>20039</v>
          </cell>
          <cell r="F3043" t="str">
            <v>CORREIAS</v>
          </cell>
          <cell r="G3043" t="str">
            <v>AUTOMOTIVO</v>
          </cell>
        </row>
        <row r="3044">
          <cell r="A3044">
            <v>83778</v>
          </cell>
          <cell r="B3044" t="str">
            <v>KIT REPARO DE PEÇAS PLASTICAS 150GR</v>
          </cell>
          <cell r="C3044">
            <v>179131</v>
          </cell>
          <cell r="D3044" t="str">
            <v>BRAZILIAN</v>
          </cell>
          <cell r="E3044">
            <v>20039</v>
          </cell>
          <cell r="F3044" t="str">
            <v>CORREIAS</v>
          </cell>
          <cell r="G3044" t="str">
            <v>AUTOMOTIVO</v>
          </cell>
        </row>
        <row r="3045">
          <cell r="A3045">
            <v>83779</v>
          </cell>
          <cell r="B3045" t="str">
            <v>KPO BRAZILIAN</v>
          </cell>
          <cell r="C3045" t="str">
            <v>100179.99</v>
          </cell>
          <cell r="D3045" t="str">
            <v>BRAZILIAN</v>
          </cell>
          <cell r="E3045">
            <v>20039</v>
          </cell>
          <cell r="F3045" t="str">
            <v>CORREIAS</v>
          </cell>
          <cell r="G3045" t="str">
            <v>AUTOMOTIVO</v>
          </cell>
        </row>
        <row r="3046">
          <cell r="A3046">
            <v>20188</v>
          </cell>
          <cell r="B3046" t="str">
            <v>RESTAURATUDO KIT REPARO MIX</v>
          </cell>
          <cell r="C3046">
            <v>903014</v>
          </cell>
          <cell r="D3046" t="str">
            <v>.</v>
          </cell>
          <cell r="E3046">
            <v>20039</v>
          </cell>
          <cell r="F3046" t="str">
            <v>CORREIAS</v>
          </cell>
          <cell r="G3046" t="str">
            <v>AUTOMOTIVO</v>
          </cell>
        </row>
        <row r="3047">
          <cell r="A3047">
            <v>23114</v>
          </cell>
          <cell r="B3047" t="str">
            <v>SOLDA PLASTICA INT COMP AB</v>
          </cell>
          <cell r="C3047" t="str">
            <v>800087873-529</v>
          </cell>
          <cell r="D3047" t="str">
            <v>SHERWIN WILLIAMS</v>
          </cell>
          <cell r="E3047">
            <v>20039</v>
          </cell>
          <cell r="F3047" t="str">
            <v>CORREIAS</v>
          </cell>
          <cell r="G3047" t="str">
            <v>AUTOMOTIVO</v>
          </cell>
        </row>
        <row r="3048">
          <cell r="A3048">
            <v>23924</v>
          </cell>
          <cell r="B3048" t="str">
            <v>BATIDA DE PEDRA (EMBORRACHAMENTO BRANCO) 3,6L MAXI RUBBER</v>
          </cell>
          <cell r="C3048">
            <v>125487</v>
          </cell>
          <cell r="D3048" t="str">
            <v>MAXI RUBBER</v>
          </cell>
          <cell r="E3048">
            <v>20038</v>
          </cell>
          <cell r="F3048" t="str">
            <v>BATIDA DE PEDRA</v>
          </cell>
          <cell r="G3048" t="str">
            <v>AUTOMOTIVO</v>
          </cell>
        </row>
        <row r="3049">
          <cell r="A3049">
            <v>23896</v>
          </cell>
          <cell r="B3049" t="str">
            <v>BATIDA DE PEDRA (EMBORRACHAMENTO PRETO) 3,6L ROYAL-19,03-ST</v>
          </cell>
          <cell r="C3049" t="str">
            <v>BAO-GL1</v>
          </cell>
          <cell r="D3049" t="str">
            <v>ROYAL</v>
          </cell>
          <cell r="E3049">
            <v>20038</v>
          </cell>
          <cell r="F3049" t="str">
            <v>BATIDA DE PEDRA</v>
          </cell>
          <cell r="G3049" t="str">
            <v>AUTOMOTIVO</v>
          </cell>
        </row>
        <row r="3050">
          <cell r="A3050">
            <v>20099</v>
          </cell>
          <cell r="B3050" t="str">
            <v>BATIDA DE PEDRA 900ML MAXI RUBBER</v>
          </cell>
          <cell r="C3050" t="str">
            <v>4MA031</v>
          </cell>
          <cell r="D3050" t="str">
            <v>MAXI RUBBER</v>
          </cell>
          <cell r="E3050">
            <v>20038</v>
          </cell>
          <cell r="F3050" t="str">
            <v>BATIDA DE PEDRA</v>
          </cell>
          <cell r="G3050" t="str">
            <v>AUTOMOTIVO</v>
          </cell>
        </row>
        <row r="3051">
          <cell r="A3051">
            <v>9801</v>
          </cell>
          <cell r="B3051" t="str">
            <v>BATIDA DE PEDRA 900ML WANDA-20,77-ST</v>
          </cell>
          <cell r="C3051">
            <v>482033</v>
          </cell>
          <cell r="D3051" t="str">
            <v>WANDA</v>
          </cell>
          <cell r="E3051">
            <v>20038</v>
          </cell>
          <cell r="F3051" t="str">
            <v>BATIDA DE PEDRA</v>
          </cell>
          <cell r="G3051" t="str">
            <v>AUTOMOTIVO</v>
          </cell>
        </row>
        <row r="3052">
          <cell r="A3052">
            <v>23882</v>
          </cell>
          <cell r="B3052" t="str">
            <v>BATIDA DE PEDRA BASE SOLVENTE CARTUCHO MAX RUBBER-21,46-ST</v>
          </cell>
          <cell r="C3052" t="str">
            <v>4MA047</v>
          </cell>
          <cell r="D3052" t="str">
            <v>MAXI RUBBER</v>
          </cell>
          <cell r="E3052">
            <v>20038</v>
          </cell>
          <cell r="F3052" t="str">
            <v>BATIDA DE PEDRA</v>
          </cell>
          <cell r="G3052" t="str">
            <v>AUTOMOTIVO</v>
          </cell>
        </row>
        <row r="3053">
          <cell r="A3053">
            <v>20018</v>
          </cell>
          <cell r="B3053" t="str">
            <v>BATIDA DE PEDRA BRANCO (EMBORRACHAMENTO BRANCO) 3,6L ROYAL-19,03-ST</v>
          </cell>
          <cell r="C3053" t="str">
            <v>BAP3600BR-GL1</v>
          </cell>
          <cell r="D3053" t="str">
            <v>ROYAL</v>
          </cell>
          <cell r="E3053">
            <v>20038</v>
          </cell>
          <cell r="F3053" t="str">
            <v>BATIDA DE PEDRA</v>
          </cell>
          <cell r="G3053" t="str">
            <v>AUTOMOTIVO</v>
          </cell>
        </row>
        <row r="3054">
          <cell r="A3054">
            <v>259</v>
          </cell>
          <cell r="B3054" t="str">
            <v>BATIDA DE PEDRA BRANCO 0,900ML ROYAL-19,03-ST</v>
          </cell>
          <cell r="C3054" t="str">
            <v>BAP0900BR</v>
          </cell>
          <cell r="D3054" t="str">
            <v>ROYAL</v>
          </cell>
          <cell r="E3054">
            <v>20038</v>
          </cell>
          <cell r="F3054" t="str">
            <v>BATIDA DE PEDRA</v>
          </cell>
          <cell r="G3054" t="str">
            <v>AUTOMOTIVO</v>
          </cell>
        </row>
        <row r="3055">
          <cell r="A3055">
            <v>242</v>
          </cell>
          <cell r="B3055" t="str">
            <v>BATIDA DE PEDRA PRETA 0,900ML ROYAL-19,02-ST</v>
          </cell>
          <cell r="C3055" t="str">
            <v>BAP-0900-CX2</v>
          </cell>
          <cell r="D3055" t="str">
            <v>ROYAL</v>
          </cell>
          <cell r="E3055">
            <v>20038</v>
          </cell>
          <cell r="F3055" t="str">
            <v>BATIDA DE PEDRA</v>
          </cell>
          <cell r="G3055" t="str">
            <v>AUTOMOTIVO</v>
          </cell>
        </row>
        <row r="3056">
          <cell r="A3056">
            <v>84958</v>
          </cell>
          <cell r="B3056" t="str">
            <v>BRASICAR-EMBORRACHAMENTO BRANCO 900ML BRASILUX</v>
          </cell>
          <cell r="C3056" t="str">
            <v>EB 080500801</v>
          </cell>
          <cell r="D3056" t="str">
            <v>BRASILUX</v>
          </cell>
          <cell r="E3056">
            <v>20038</v>
          </cell>
          <cell r="F3056" t="str">
            <v>BATIDA DE PEDRA</v>
          </cell>
          <cell r="G3056" t="str">
            <v>AUTOMOTIVO</v>
          </cell>
        </row>
        <row r="3057">
          <cell r="A3057">
            <v>84720</v>
          </cell>
          <cell r="B3057" t="str">
            <v>BRASICAR-EMBORRACHAMENTO PRETO 3,6L</v>
          </cell>
          <cell r="C3057" t="str">
            <v>EB 081500102</v>
          </cell>
          <cell r="D3057" t="str">
            <v>BRASILUX</v>
          </cell>
          <cell r="E3057">
            <v>20038</v>
          </cell>
          <cell r="F3057" t="str">
            <v>BATIDA DE PEDRA</v>
          </cell>
          <cell r="G3057" t="str">
            <v>AUTOMOTIVO</v>
          </cell>
        </row>
        <row r="3058">
          <cell r="A3058">
            <v>84959</v>
          </cell>
          <cell r="B3058" t="str">
            <v>BRASICAR-EMBORRACHAMENTO PRETO 900ML BRASILUX</v>
          </cell>
          <cell r="C3058" t="str">
            <v>EB 081500101</v>
          </cell>
          <cell r="D3058" t="str">
            <v>BRASILUX</v>
          </cell>
          <cell r="E3058">
            <v>20038</v>
          </cell>
          <cell r="F3058" t="str">
            <v>BATIDA DE PEDRA</v>
          </cell>
          <cell r="G3058" t="str">
            <v>AUTOMOTIVO</v>
          </cell>
        </row>
        <row r="3059">
          <cell r="A3059">
            <v>84719</v>
          </cell>
          <cell r="B3059" t="str">
            <v>BRASICAR-EMBORRACHHAMENTO BRANCO 3,6L BRASILUX</v>
          </cell>
          <cell r="C3059" t="str">
            <v>EB 080500802</v>
          </cell>
          <cell r="D3059" t="str">
            <v>BRASILUX</v>
          </cell>
          <cell r="E3059">
            <v>20038</v>
          </cell>
          <cell r="F3059" t="str">
            <v>BATIDA DE PEDRA</v>
          </cell>
          <cell r="G3059" t="str">
            <v>AUTOMOTIVO</v>
          </cell>
        </row>
        <row r="3060">
          <cell r="A3060">
            <v>85240</v>
          </cell>
          <cell r="B3060" t="str">
            <v>EMBORRACHAMENTO B'AGUA - EMBORRACHAMENTO BRANCO 18L</v>
          </cell>
          <cell r="C3060" t="str">
            <v>EB 080500803</v>
          </cell>
          <cell r="D3060" t="str">
            <v>BRASILUX</v>
          </cell>
          <cell r="E3060">
            <v>20038</v>
          </cell>
          <cell r="F3060" t="str">
            <v>BATIDA DE PEDRA</v>
          </cell>
          <cell r="G3060" t="str">
            <v>AUTOMOTIVO</v>
          </cell>
        </row>
        <row r="3061">
          <cell r="A3061">
            <v>24400</v>
          </cell>
          <cell r="B3061" t="str">
            <v>EMBORRACHAMENTO BATIDA DE PEDRA BRANCO 900ML RHAI</v>
          </cell>
          <cell r="C3061">
            <v>201203001</v>
          </cell>
          <cell r="D3061" t="str">
            <v>RHAI</v>
          </cell>
          <cell r="E3061">
            <v>20038</v>
          </cell>
          <cell r="F3061" t="str">
            <v>BATIDA DE PEDRA</v>
          </cell>
          <cell r="G3061" t="str">
            <v>AUTOMOTIVO</v>
          </cell>
        </row>
        <row r="3062">
          <cell r="A3062">
            <v>24399</v>
          </cell>
          <cell r="B3062" t="str">
            <v>EMBORRACHAMENTO BATIDA DE PEDRA PRETO 900ML RHAI</v>
          </cell>
          <cell r="C3062">
            <v>201202001</v>
          </cell>
          <cell r="D3062" t="str">
            <v>RHAI</v>
          </cell>
          <cell r="E3062">
            <v>20038</v>
          </cell>
          <cell r="F3062" t="str">
            <v>BATIDA DE PEDRA</v>
          </cell>
          <cell r="G3062" t="str">
            <v>AUTOMOTIVO</v>
          </cell>
        </row>
        <row r="3063">
          <cell r="A3063">
            <v>24289</v>
          </cell>
          <cell r="B3063" t="str">
            <v>EMBORRACHAMENTO BRANCO (BATIDA DE PEDRA) 18L ROYAL</v>
          </cell>
          <cell r="C3063" t="str">
            <v>BAP18000BR</v>
          </cell>
          <cell r="D3063" t="str">
            <v>ROYAL</v>
          </cell>
          <cell r="E3063">
            <v>20038</v>
          </cell>
          <cell r="F3063" t="str">
            <v>BATIDA DE PEDRA</v>
          </cell>
          <cell r="G3063" t="str">
            <v>AUTOMOTIVO</v>
          </cell>
        </row>
        <row r="3064">
          <cell r="A3064">
            <v>10317</v>
          </cell>
          <cell r="B3064" t="str">
            <v>EMBORRACHAMENTO BRANCO 900ML ANJO-20,55-ST</v>
          </cell>
          <cell r="C3064" t="str">
            <v>000062-22</v>
          </cell>
          <cell r="D3064" t="str">
            <v>ANJO</v>
          </cell>
          <cell r="E3064">
            <v>20038</v>
          </cell>
          <cell r="F3064" t="str">
            <v>BATIDA DE PEDRA</v>
          </cell>
          <cell r="G3064" t="str">
            <v>AUTOMOTIVO</v>
          </cell>
        </row>
        <row r="3065">
          <cell r="A3065">
            <v>10318</v>
          </cell>
          <cell r="B3065" t="str">
            <v>EMBORRACHAMENTO PRETO 900ML ANJO-20,56-ST</v>
          </cell>
          <cell r="C3065" t="str">
            <v>000072-22</v>
          </cell>
          <cell r="D3065" t="str">
            <v>ANJO</v>
          </cell>
          <cell r="E3065">
            <v>20038</v>
          </cell>
          <cell r="F3065" t="str">
            <v>BATIDA DE PEDRA</v>
          </cell>
          <cell r="G3065" t="str">
            <v>AUTOMOTIVO</v>
          </cell>
        </row>
        <row r="3066">
          <cell r="A3066">
            <v>10295</v>
          </cell>
          <cell r="B3066" t="str">
            <v>QUEROSENE 900ML ANJO-50,56-ST</v>
          </cell>
          <cell r="C3066" t="str">
            <v>000757-23</v>
          </cell>
          <cell r="D3066" t="str">
            <v>ANJO</v>
          </cell>
          <cell r="E3066">
            <v>20037</v>
          </cell>
          <cell r="F3066" t="str">
            <v>QUEROSENE</v>
          </cell>
          <cell r="G3066" t="str">
            <v>AUTOMOTIVO</v>
          </cell>
        </row>
        <row r="3067">
          <cell r="A3067">
            <v>85164</v>
          </cell>
          <cell r="B3067" t="str">
            <v>QUEROSENE 900ML BRASILUX</v>
          </cell>
          <cell r="C3067" t="str">
            <v>TN 060000101</v>
          </cell>
          <cell r="D3067" t="str">
            <v>BRASILUX</v>
          </cell>
          <cell r="E3067">
            <v>20037</v>
          </cell>
          <cell r="F3067" t="str">
            <v>QUEROSENE</v>
          </cell>
          <cell r="G3067" t="str">
            <v>AUTOMOTIVO</v>
          </cell>
        </row>
        <row r="3068">
          <cell r="A3068">
            <v>23725</v>
          </cell>
          <cell r="B3068" t="str">
            <v>QUEROSENE 900ML NATRIELLI-50,56-ST</v>
          </cell>
          <cell r="C3068" t="str">
            <v>Q90012</v>
          </cell>
          <cell r="D3068" t="str">
            <v>NATRIELLI</v>
          </cell>
          <cell r="E3068">
            <v>20037</v>
          </cell>
          <cell r="F3068" t="str">
            <v>QUEROSENE</v>
          </cell>
          <cell r="G3068" t="str">
            <v>AUTOMOTIVO</v>
          </cell>
        </row>
        <row r="3069">
          <cell r="A3069">
            <v>21160</v>
          </cell>
          <cell r="B3069" t="str">
            <v>QUEROSENE 900ML TEMPO-21,54-ST</v>
          </cell>
          <cell r="C3069">
            <v>108005002</v>
          </cell>
          <cell r="D3069" t="str">
            <v>TEMPO</v>
          </cell>
          <cell r="E3069">
            <v>20037</v>
          </cell>
          <cell r="F3069" t="str">
            <v>QUEROSENE</v>
          </cell>
          <cell r="G3069" t="str">
            <v>AUTOMOTIVO</v>
          </cell>
        </row>
        <row r="3070">
          <cell r="A3070">
            <v>24322</v>
          </cell>
          <cell r="B3070" t="str">
            <v>QUEROSENE 900ML THINSOL</v>
          </cell>
          <cell r="C3070" t="str">
            <v>00043-023</v>
          </cell>
          <cell r="D3070" t="str">
            <v>THINSOL</v>
          </cell>
          <cell r="E3070">
            <v>20037</v>
          </cell>
          <cell r="F3070" t="str">
            <v>QUEROSENE</v>
          </cell>
          <cell r="G3070" t="str">
            <v>AUTOMOTIVO</v>
          </cell>
        </row>
        <row r="3071">
          <cell r="A3071">
            <v>20826</v>
          </cell>
          <cell r="B3071" t="str">
            <v>1K ALL PLASTICS PRIMER SIKKENS-21,94-ST</v>
          </cell>
          <cell r="C3071">
            <v>529773</v>
          </cell>
          <cell r="D3071" t="str">
            <v>SIKKENS</v>
          </cell>
          <cell r="E3071">
            <v>20035</v>
          </cell>
          <cell r="F3071" t="str">
            <v>PRIMER AUTOMOTIVO</v>
          </cell>
          <cell r="G3071" t="str">
            <v>AUTOMOTIVO</v>
          </cell>
        </row>
        <row r="3072">
          <cell r="A3072">
            <v>84105</v>
          </cell>
          <cell r="B3072" t="str">
            <v>BRASICAR-PRIMER BRANCO 900ML BRASILUX</v>
          </cell>
          <cell r="C3072" t="str">
            <v>PR 040500701</v>
          </cell>
          <cell r="D3072" t="str">
            <v>BRASILUX</v>
          </cell>
          <cell r="E3072">
            <v>20035</v>
          </cell>
          <cell r="F3072" t="str">
            <v>PRIMER AUTOMOTIVO</v>
          </cell>
          <cell r="G3072" t="str">
            <v>AUTOMOTIVO</v>
          </cell>
        </row>
        <row r="3073">
          <cell r="A3073">
            <v>84708</v>
          </cell>
          <cell r="B3073" t="str">
            <v>BRASIDUR PU ALIF. AUTOM. PRETO CARGO SEMI-FOSCO 2,7L</v>
          </cell>
          <cell r="C3073" t="str">
            <v>SF 261500714</v>
          </cell>
          <cell r="D3073" t="str">
            <v>BRASILUX</v>
          </cell>
          <cell r="E3073">
            <v>20003</v>
          </cell>
          <cell r="F3073" t="str">
            <v>TINTAS PU</v>
          </cell>
          <cell r="G3073" t="str">
            <v>AUTOMOTIVO</v>
          </cell>
        </row>
        <row r="3074">
          <cell r="A3074">
            <v>84865</v>
          </cell>
          <cell r="B3074" t="str">
            <v>BRASIDUR PU ALIF. AUTOM. PRETO CHASSI MBB SEMI FOSCO 2,7L</v>
          </cell>
          <cell r="C3074" t="str">
            <v>SF 261501514</v>
          </cell>
          <cell r="D3074" t="str">
            <v>BRASILUX</v>
          </cell>
          <cell r="E3074">
            <v>20003</v>
          </cell>
          <cell r="F3074" t="str">
            <v>TINTAS PU</v>
          </cell>
          <cell r="G3074" t="str">
            <v>AUTOMOTIVO</v>
          </cell>
        </row>
        <row r="3075">
          <cell r="A3075">
            <v>22602</v>
          </cell>
          <cell r="B3075" t="str">
            <v>CATALISADOR P/ PRIMER PU 511 150ML</v>
          </cell>
          <cell r="C3075" t="str">
            <v>9MB021</v>
          </cell>
          <cell r="D3075" t="str">
            <v>MAXI RUBBER</v>
          </cell>
          <cell r="E3075">
            <v>20035</v>
          </cell>
          <cell r="F3075" t="str">
            <v>PRIMER AUTOMOTIVO</v>
          </cell>
          <cell r="G3075" t="str">
            <v>AUTOMOTIVO</v>
          </cell>
        </row>
        <row r="3076">
          <cell r="A3076">
            <v>21437</v>
          </cell>
          <cell r="B3076" t="str">
            <v>CATALISADOR P512 150ML ROBERLO</v>
          </cell>
          <cell r="C3076">
            <v>64657</v>
          </cell>
          <cell r="D3076" t="str">
            <v>ROBERLO</v>
          </cell>
          <cell r="E3076">
            <v>20035</v>
          </cell>
          <cell r="F3076" t="str">
            <v>PRIMER AUTOMOTIVO</v>
          </cell>
          <cell r="G3076" t="str">
            <v>AUTOMOTIVO</v>
          </cell>
        </row>
        <row r="3077">
          <cell r="A3077">
            <v>85250</v>
          </cell>
          <cell r="B3077" t="str">
            <v>CATALISADOR PRIMER P951 150ML ROBERLO</v>
          </cell>
          <cell r="C3077">
            <v>600159</v>
          </cell>
          <cell r="D3077" t="str">
            <v>ROBERLO</v>
          </cell>
          <cell r="E3077">
            <v>20035</v>
          </cell>
          <cell r="F3077" t="str">
            <v>PRIMER AUTOMOTIVO</v>
          </cell>
          <cell r="G3077" t="str">
            <v>AUTOMOTIVO</v>
          </cell>
        </row>
        <row r="3078">
          <cell r="A3078">
            <v>21113</v>
          </cell>
          <cell r="B3078" t="str">
            <v>CATALISADOR PRIMER PU HS FIT 5:1 150ML ANJO</v>
          </cell>
          <cell r="C3078" t="str">
            <v>029791-13</v>
          </cell>
          <cell r="D3078" t="str">
            <v>ANJO</v>
          </cell>
          <cell r="E3078">
            <v>20035</v>
          </cell>
          <cell r="F3078" t="str">
            <v>PRIMER AUTOMOTIVO</v>
          </cell>
          <cell r="G3078" t="str">
            <v>AUTOMOTIVO</v>
          </cell>
        </row>
        <row r="3079">
          <cell r="A3079">
            <v>20145</v>
          </cell>
          <cell r="B3079" t="str">
            <v>ENDURECEDOR H81 P/ PRIMER P81 100ML LAZZURIL</v>
          </cell>
          <cell r="C3079" t="str">
            <v>05.66.00H81-262</v>
          </cell>
          <cell r="D3079" t="str">
            <v>SHERWIN WILLIAMS</v>
          </cell>
          <cell r="E3079">
            <v>20035</v>
          </cell>
          <cell r="F3079" t="str">
            <v>PRIMER AUTOMOTIVO</v>
          </cell>
          <cell r="G3079" t="str">
            <v>AUTOMOTIVO</v>
          </cell>
        </row>
        <row r="3080">
          <cell r="A3080">
            <v>24248</v>
          </cell>
          <cell r="B3080" t="str">
            <v>ENDURECEDOR KP350 5:1 150ML LAZZURIL</v>
          </cell>
          <cell r="C3080" t="str">
            <v>05.66.H0035-261</v>
          </cell>
          <cell r="D3080" t="str">
            <v>SHERWIN WILLIAMS</v>
          </cell>
          <cell r="E3080">
            <v>20035</v>
          </cell>
          <cell r="F3080" t="str">
            <v>PRIMER AUTOMOTIVO</v>
          </cell>
          <cell r="G3080" t="str">
            <v>AUTOMOTIVO</v>
          </cell>
        </row>
        <row r="3081">
          <cell r="A3081">
            <v>22555</v>
          </cell>
          <cell r="B3081" t="str">
            <v>ENDURECEDOR P/ ALTA TEMP P/ PRIMER 8200 100ML LAZZURIL</v>
          </cell>
          <cell r="C3081" t="str">
            <v>05.66.08120-262</v>
          </cell>
          <cell r="D3081" t="str">
            <v>SHERWIN WILLIAMS</v>
          </cell>
          <cell r="E3081">
            <v>20035</v>
          </cell>
          <cell r="F3081" t="str">
            <v>PRIMER AUTOMOTIVO</v>
          </cell>
          <cell r="G3081" t="str">
            <v>AUTOMOTIVO</v>
          </cell>
        </row>
        <row r="3082">
          <cell r="A3082">
            <v>83982</v>
          </cell>
          <cell r="B3082" t="str">
            <v>ENDURECEDOR P/ PRIMER SKYFAST HS 4:1 0,225ML SKY</v>
          </cell>
          <cell r="D3082" t="str">
            <v>SKY</v>
          </cell>
          <cell r="E3082">
            <v>20035</v>
          </cell>
          <cell r="F3082" t="str">
            <v>PRIMER AUTOMOTIVO</v>
          </cell>
          <cell r="G3082" t="str">
            <v>AUTOMOTIVO</v>
          </cell>
        </row>
        <row r="3083">
          <cell r="A3083">
            <v>85234</v>
          </cell>
          <cell r="B3083" t="str">
            <v>ENDURECEDOR P/ SKYPRIMER PU 7:1 0,510ML SKY</v>
          </cell>
          <cell r="C3083" t="str">
            <v>630END710175</v>
          </cell>
          <cell r="D3083" t="str">
            <v>SKY</v>
          </cell>
          <cell r="E3083">
            <v>20035</v>
          </cell>
          <cell r="F3083" t="str">
            <v>PRIMER AUTOMOTIVO</v>
          </cell>
          <cell r="G3083" t="str">
            <v>AUTOMOTIVO</v>
          </cell>
        </row>
        <row r="3084">
          <cell r="A3084">
            <v>21987</v>
          </cell>
          <cell r="B3084" t="str">
            <v>ENDURECEDOR PARA SPECTRAPRIME P30 225ML LAZZURIL</v>
          </cell>
          <cell r="C3084" t="str">
            <v>04.66.00H38-133</v>
          </cell>
          <cell r="D3084" t="str">
            <v>SHERWIN WILLIAMS</v>
          </cell>
          <cell r="E3084">
            <v>20035</v>
          </cell>
          <cell r="F3084" t="str">
            <v>PRIMER AUTOMOTIVO</v>
          </cell>
          <cell r="G3084" t="str">
            <v>AUTOMOTIVO</v>
          </cell>
        </row>
        <row r="3085">
          <cell r="A3085">
            <v>21988</v>
          </cell>
          <cell r="B3085" t="str">
            <v>ENDURECEDOR PARA SPECTRAPRIME P30 900ML LAZZURIL</v>
          </cell>
          <cell r="C3085" t="str">
            <v>04.66.00H38-177</v>
          </cell>
          <cell r="D3085" t="str">
            <v>SHERWIN WILLIAMS</v>
          </cell>
          <cell r="E3085">
            <v>20035</v>
          </cell>
          <cell r="F3085" t="str">
            <v>PRIMER AUTOMOTIVO</v>
          </cell>
          <cell r="G3085" t="str">
            <v>AUTOMOTIVO</v>
          </cell>
        </row>
        <row r="3086">
          <cell r="A3086">
            <v>24403</v>
          </cell>
          <cell r="B3086" t="str">
            <v>ENDURECEDOR PRIMER A2810 100ML RHAI</v>
          </cell>
          <cell r="C3086">
            <v>208552012</v>
          </cell>
          <cell r="D3086" t="str">
            <v>RHAI</v>
          </cell>
          <cell r="E3086">
            <v>20035</v>
          </cell>
          <cell r="F3086" t="str">
            <v>PRIMER AUTOMOTIVO</v>
          </cell>
          <cell r="G3086" t="str">
            <v>AUTOMOTIVO</v>
          </cell>
        </row>
        <row r="3087">
          <cell r="A3087">
            <v>20625</v>
          </cell>
          <cell r="B3087" t="str">
            <v>HS ULTRA PRIMER MAX RUBBER-21,46-ST</v>
          </cell>
          <cell r="C3087" t="str">
            <v>2MA020</v>
          </cell>
          <cell r="D3087" t="str">
            <v>MAXI RUBBER</v>
          </cell>
          <cell r="E3087">
            <v>20035</v>
          </cell>
          <cell r="F3087" t="str">
            <v>PRIMER AUTOMOTIVO</v>
          </cell>
          <cell r="G3087" t="str">
            <v>AUTOMOTIVO</v>
          </cell>
        </row>
        <row r="3088">
          <cell r="A3088">
            <v>85409</v>
          </cell>
          <cell r="B3088" t="str">
            <v>KIT PRIMER 2500 E END 1091 112ML WANDA-21,46-ST</v>
          </cell>
          <cell r="C3088">
            <v>607011</v>
          </cell>
          <cell r="D3088" t="str">
            <v>WANDA</v>
          </cell>
          <cell r="E3088">
            <v>20035</v>
          </cell>
          <cell r="F3088" t="str">
            <v>PRIMER AUTOMOTIVO</v>
          </cell>
          <cell r="G3088" t="str">
            <v>AUTOMOTIVO</v>
          </cell>
        </row>
        <row r="3089">
          <cell r="A3089">
            <v>23076</v>
          </cell>
          <cell r="B3089" t="str">
            <v>KIT PRIMER 3100 E END 3093 100ML WANDA-21,46-ST</v>
          </cell>
          <cell r="C3089">
            <v>544377</v>
          </cell>
          <cell r="D3089" t="str">
            <v>WANDA</v>
          </cell>
          <cell r="E3089">
            <v>20035</v>
          </cell>
          <cell r="F3089" t="str">
            <v>PRIMER AUTOMOTIVO</v>
          </cell>
          <cell r="G3089" t="str">
            <v>AUTOMOTIVO</v>
          </cell>
        </row>
        <row r="3090">
          <cell r="A3090">
            <v>23073</v>
          </cell>
          <cell r="B3090" t="str">
            <v>KIT PRIMER 4100 E END 3093 100ML WANDA-21,46-ST</v>
          </cell>
          <cell r="C3090">
            <v>544382</v>
          </cell>
          <cell r="D3090" t="str">
            <v>WANDA</v>
          </cell>
          <cell r="E3090">
            <v>20035</v>
          </cell>
          <cell r="F3090" t="str">
            <v>PRIMER AUTOMOTIVO</v>
          </cell>
          <cell r="G3090" t="str">
            <v>AUTOMOTIVO</v>
          </cell>
        </row>
        <row r="3091">
          <cell r="A3091">
            <v>23077</v>
          </cell>
          <cell r="B3091" t="str">
            <v>KIT PRIMER 5100 BRANCO E END 3093 150ML-21,46-ST</v>
          </cell>
          <cell r="C3091">
            <v>544371</v>
          </cell>
          <cell r="D3091" t="str">
            <v>WANDA</v>
          </cell>
          <cell r="E3091">
            <v>20035</v>
          </cell>
          <cell r="F3091" t="str">
            <v>PRIMER AUTOMOTIVO</v>
          </cell>
          <cell r="G3091" t="str">
            <v>AUTOMOTIVO</v>
          </cell>
        </row>
        <row r="3092">
          <cell r="A3092">
            <v>23069</v>
          </cell>
          <cell r="B3092" t="str">
            <v>KIT PRIMER 5100 CINZA MEDIO E END 3093 150ML WANDA-21,46-ST</v>
          </cell>
          <cell r="C3092">
            <v>544372</v>
          </cell>
          <cell r="D3092" t="str">
            <v>WANDA</v>
          </cell>
          <cell r="E3092">
            <v>20035</v>
          </cell>
          <cell r="F3092" t="str">
            <v>PRIMER AUTOMOTIVO</v>
          </cell>
          <cell r="G3092" t="str">
            <v>AUTOMOTIVO</v>
          </cell>
        </row>
        <row r="3093">
          <cell r="A3093">
            <v>85410</v>
          </cell>
          <cell r="B3093" t="str">
            <v>KIT PRIMER 5500 CINZA MEDIO E END 3093 150ML WANDA</v>
          </cell>
          <cell r="C3093">
            <v>607071</v>
          </cell>
          <cell r="D3093" t="str">
            <v>WANDA</v>
          </cell>
          <cell r="E3093">
            <v>20035</v>
          </cell>
          <cell r="F3093" t="str">
            <v>PRIMER AUTOMOTIVO</v>
          </cell>
          <cell r="G3093" t="str">
            <v>AUTOMOTIVO</v>
          </cell>
        </row>
        <row r="3094">
          <cell r="A3094">
            <v>85456</v>
          </cell>
          <cell r="B3094" t="str">
            <v>KIT PRIMER A2810 CINZA 900ML RHAI</v>
          </cell>
          <cell r="C3094" t="str">
            <v>202810K09</v>
          </cell>
          <cell r="D3094" t="str">
            <v>RHAI</v>
          </cell>
          <cell r="E3094">
            <v>20035</v>
          </cell>
          <cell r="F3094" t="str">
            <v>PRIMER AUTOMOTIVO</v>
          </cell>
          <cell r="G3094" t="str">
            <v>AUTOMOTIVO</v>
          </cell>
        </row>
        <row r="3095">
          <cell r="A3095">
            <v>83959</v>
          </cell>
          <cell r="B3095" t="str">
            <v>KIT PRIMER SK800 E END SK080 900ML SKY-21,94-ST</v>
          </cell>
          <cell r="C3095" t="str">
            <v>640SK80001L</v>
          </cell>
          <cell r="D3095" t="str">
            <v>SKY</v>
          </cell>
          <cell r="E3095">
            <v>20035</v>
          </cell>
          <cell r="F3095" t="str">
            <v>PRIMER AUTOMOTIVO</v>
          </cell>
          <cell r="G3095" t="str">
            <v>AUTOMOTIVO</v>
          </cell>
        </row>
        <row r="3096">
          <cell r="A3096">
            <v>9766</v>
          </cell>
          <cell r="B3096" t="str">
            <v>MULTI USE FILLER HS CINZA CLARO 1LT SIKKENS-21,94-ST</v>
          </cell>
          <cell r="C3096">
            <v>529770</v>
          </cell>
          <cell r="D3096" t="str">
            <v>SIKKENS</v>
          </cell>
          <cell r="E3096">
            <v>20035</v>
          </cell>
          <cell r="F3096" t="str">
            <v>PRIMER AUTOMOTIVO</v>
          </cell>
          <cell r="G3096" t="str">
            <v>AUTOMOTIVO</v>
          </cell>
        </row>
        <row r="3097">
          <cell r="A3097">
            <v>9767</v>
          </cell>
          <cell r="B3097" t="str">
            <v>MULTI USE FILLER HS CINZA CLARO 3LT -21,94-ST</v>
          </cell>
          <cell r="C3097">
            <v>529771</v>
          </cell>
          <cell r="D3097" t="str">
            <v>SIKKENS</v>
          </cell>
          <cell r="E3097">
            <v>20035</v>
          </cell>
          <cell r="F3097" t="str">
            <v>PRIMER AUTOMOTIVO</v>
          </cell>
          <cell r="G3097" t="str">
            <v>AUTOMOTIVO</v>
          </cell>
        </row>
        <row r="3098">
          <cell r="A3098">
            <v>9768</v>
          </cell>
          <cell r="B3098" t="str">
            <v>MULTI USE FILLER HS CINZA ESCURO 3L  -21,94-ST</v>
          </cell>
          <cell r="C3098">
            <v>529772</v>
          </cell>
          <cell r="D3098" t="str">
            <v>SIKKENS</v>
          </cell>
          <cell r="E3098">
            <v>20035</v>
          </cell>
          <cell r="F3098" t="str">
            <v>PRIMER AUTOMOTIVO</v>
          </cell>
          <cell r="G3098" t="str">
            <v>AUTOMOTIVO</v>
          </cell>
        </row>
        <row r="3099">
          <cell r="A3099">
            <v>22454</v>
          </cell>
          <cell r="B3099" t="str">
            <v>PRIMER 2K-30 WEG-21,94-ST</v>
          </cell>
          <cell r="C3099">
            <v>15380092</v>
          </cell>
          <cell r="D3099" t="str">
            <v>.</v>
          </cell>
          <cell r="E3099">
            <v>20035</v>
          </cell>
          <cell r="F3099" t="str">
            <v>PRIMER AUTOMOTIVO</v>
          </cell>
          <cell r="G3099" t="str">
            <v>AUTOMOTIVO</v>
          </cell>
        </row>
        <row r="3100">
          <cell r="A3100">
            <v>21808</v>
          </cell>
          <cell r="B3100" t="str">
            <v>PRIMER 5100 CINZA MEDIO 3L WANDA-21,46-ST</v>
          </cell>
          <cell r="C3100">
            <v>545868</v>
          </cell>
          <cell r="D3100" t="str">
            <v>WANDA</v>
          </cell>
          <cell r="E3100">
            <v>20035</v>
          </cell>
          <cell r="F3100" t="str">
            <v>PRIMER AUTOMOTIVO</v>
          </cell>
          <cell r="G3100" t="str">
            <v>AUTOMOTIVO</v>
          </cell>
        </row>
        <row r="3101">
          <cell r="A3101">
            <v>24182</v>
          </cell>
          <cell r="B3101" t="str">
            <v>PRIMER CLASSIC BRANCO 3L SIKKENS-21,46-ST</v>
          </cell>
          <cell r="C3101">
            <v>584673</v>
          </cell>
          <cell r="D3101" t="str">
            <v>SIKKENS</v>
          </cell>
          <cell r="E3101">
            <v>20035</v>
          </cell>
          <cell r="F3101" t="str">
            <v>PRIMER AUTOMOTIVO</v>
          </cell>
          <cell r="G3101" t="str">
            <v>AUTOMOTIVO</v>
          </cell>
        </row>
        <row r="3102">
          <cell r="A3102">
            <v>23925</v>
          </cell>
          <cell r="B3102" t="str">
            <v>PRIMER CLASSIC CINZA CLARO 1L SIKKENS-21,94-ST</v>
          </cell>
          <cell r="C3102">
            <v>574404</v>
          </cell>
          <cell r="D3102" t="str">
            <v>SIKKENS</v>
          </cell>
          <cell r="E3102">
            <v>20035</v>
          </cell>
          <cell r="F3102" t="str">
            <v>PRIMER AUTOMOTIVO</v>
          </cell>
          <cell r="G3102" t="str">
            <v>AUTOMOTIVO</v>
          </cell>
        </row>
        <row r="3103">
          <cell r="A3103">
            <v>23926</v>
          </cell>
          <cell r="B3103" t="str">
            <v>PRIMER CLASSIC CINZA CLARO 3L SIKKENS-21,46-ST</v>
          </cell>
          <cell r="C3103">
            <v>574403</v>
          </cell>
          <cell r="D3103" t="str">
            <v>SIKKENS</v>
          </cell>
          <cell r="E3103">
            <v>20035</v>
          </cell>
          <cell r="F3103" t="str">
            <v>PRIMER AUTOMOTIVO</v>
          </cell>
          <cell r="G3103" t="str">
            <v>AUTOMOTIVO</v>
          </cell>
        </row>
        <row r="3104">
          <cell r="A3104">
            <v>23397</v>
          </cell>
          <cell r="B3104" t="str">
            <v>PRIMER CLASSIC FAST 3L SIKKENS-21,94-ST</v>
          </cell>
          <cell r="C3104">
            <v>529775</v>
          </cell>
          <cell r="D3104" t="str">
            <v>SIKKENS</v>
          </cell>
          <cell r="E3104">
            <v>20035</v>
          </cell>
          <cell r="F3104" t="str">
            <v>PRIMER AUTOMOTIVO</v>
          </cell>
          <cell r="G3104" t="str">
            <v>AUTOMOTIVO</v>
          </cell>
        </row>
        <row r="3105">
          <cell r="A3105">
            <v>21861</v>
          </cell>
          <cell r="B3105" t="str">
            <v>PRIMER CLASSIC FAST 900ML SIKKENS-21,46-ST</v>
          </cell>
          <cell r="C3105">
            <v>529774</v>
          </cell>
          <cell r="D3105" t="str">
            <v>SIKKENS</v>
          </cell>
          <cell r="E3105">
            <v>20035</v>
          </cell>
          <cell r="F3105" t="str">
            <v>PRIMER AUTOMOTIVO</v>
          </cell>
          <cell r="G3105" t="str">
            <v>AUTOMOTIVO</v>
          </cell>
        </row>
        <row r="3106">
          <cell r="A3106">
            <v>9765</v>
          </cell>
          <cell r="B3106" t="str">
            <v>PRIMER FILLER 680 GREY-13,65-ST</v>
          </cell>
          <cell r="C3106">
            <v>529768</v>
          </cell>
          <cell r="D3106" t="str">
            <v>SIKKENS</v>
          </cell>
          <cell r="E3106">
            <v>20035</v>
          </cell>
          <cell r="F3106" t="str">
            <v>PRIMER AUTOMOTIVO</v>
          </cell>
          <cell r="G3106" t="str">
            <v>AUTOMOTIVO</v>
          </cell>
        </row>
        <row r="3107">
          <cell r="A3107">
            <v>86</v>
          </cell>
          <cell r="B3107" t="str">
            <v>PRIMER FOSFATIZANTE ANTICORROSIVO 2:1 0,600ML SKY-21,94-ST</v>
          </cell>
          <cell r="C3107">
            <v>140005250103</v>
          </cell>
          <cell r="D3107" t="str">
            <v>SKY</v>
          </cell>
          <cell r="E3107">
            <v>20035</v>
          </cell>
          <cell r="F3107" t="str">
            <v>PRIMER AUTOMOTIVO</v>
          </cell>
          <cell r="G3107" t="str">
            <v>AUTOMOTIVO</v>
          </cell>
        </row>
        <row r="3108">
          <cell r="A3108">
            <v>21112</v>
          </cell>
          <cell r="B3108" t="str">
            <v>PRIMER HS FIT PU 5:1 750ML ANJO-21,94-ST</v>
          </cell>
          <cell r="C3108" t="str">
            <v>029788-19</v>
          </cell>
          <cell r="D3108" t="str">
            <v>ANJO</v>
          </cell>
          <cell r="E3108">
            <v>20035</v>
          </cell>
          <cell r="F3108" t="str">
            <v>PRIMER AUTOMOTIVO</v>
          </cell>
          <cell r="G3108" t="str">
            <v>AUTOMOTIVO</v>
          </cell>
        </row>
        <row r="3109">
          <cell r="A3109">
            <v>21439</v>
          </cell>
          <cell r="B3109" t="str">
            <v>PRIMER HS PU 511 1/4 MAX RUBBER-21,94-ST</v>
          </cell>
          <cell r="C3109" t="str">
            <v>2MG010</v>
          </cell>
          <cell r="D3109" t="str">
            <v>MAXI RUBBER</v>
          </cell>
          <cell r="E3109">
            <v>20035</v>
          </cell>
          <cell r="F3109" t="str">
            <v>PRIMER AUTOMOTIVO</v>
          </cell>
          <cell r="G3109" t="str">
            <v>AUTOMOTIVO</v>
          </cell>
        </row>
        <row r="3110">
          <cell r="A3110">
            <v>24247</v>
          </cell>
          <cell r="B3110" t="str">
            <v>PRIMER KP350 PU 5:1 750ML LAZZURIL-21,46-ST</v>
          </cell>
          <cell r="C3110" t="str">
            <v>05.30.KP350-276</v>
          </cell>
          <cell r="D3110" t="str">
            <v>SHERWIN WILLIAMS</v>
          </cell>
          <cell r="E3110">
            <v>20035</v>
          </cell>
          <cell r="F3110" t="str">
            <v>PRIMER AUTOMOTIVO</v>
          </cell>
          <cell r="G3110" t="str">
            <v>AUTOMOTIVO</v>
          </cell>
        </row>
        <row r="3111">
          <cell r="A3111">
            <v>10123</v>
          </cell>
          <cell r="B3111" t="str">
            <v>PRIMER MULTIFILL AUTOCOLOR PPG</v>
          </cell>
          <cell r="C3111" t="str">
            <v>C086-6405.04</v>
          </cell>
          <cell r="D3111" t="str">
            <v>AUTOCOLOR</v>
          </cell>
          <cell r="E3111">
            <v>20035</v>
          </cell>
          <cell r="F3111" t="str">
            <v>PRIMER AUTOMOTIVO</v>
          </cell>
          <cell r="G3111" t="str">
            <v>AUTOMOTIVO</v>
          </cell>
        </row>
        <row r="3112">
          <cell r="A3112">
            <v>20231</v>
          </cell>
          <cell r="B3112" t="str">
            <v>PRIMER P-8225A LATA 940ML 3M</v>
          </cell>
          <cell r="C3112" t="str">
            <v>H0001916560</v>
          </cell>
          <cell r="D3112" t="str">
            <v>3M</v>
          </cell>
          <cell r="E3112">
            <v>20035</v>
          </cell>
          <cell r="F3112" t="str">
            <v>PRIMER AUTOMOTIVO</v>
          </cell>
          <cell r="G3112" t="str">
            <v>AUTOMOTIVO</v>
          </cell>
        </row>
        <row r="3113">
          <cell r="A3113">
            <v>21436</v>
          </cell>
          <cell r="B3113" t="str">
            <v>PRIMER P512 PU 5:1 750ML ROBERLO</v>
          </cell>
          <cell r="C3113">
            <v>64656</v>
          </cell>
          <cell r="D3113" t="str">
            <v>ROBERLO</v>
          </cell>
          <cell r="E3113">
            <v>20035</v>
          </cell>
          <cell r="F3113" t="str">
            <v>PRIMER AUTOMOTIVO</v>
          </cell>
          <cell r="G3113" t="str">
            <v>AUTOMOTIVO</v>
          </cell>
        </row>
        <row r="3114">
          <cell r="A3114">
            <v>9771</v>
          </cell>
          <cell r="B3114" t="str">
            <v>PRIMER P81 800ML LAZZURIL-21,46-ST</v>
          </cell>
          <cell r="C3114" t="str">
            <v>05.30.00P81-280</v>
          </cell>
          <cell r="D3114" t="str">
            <v>SHERWIN WILLIAMS</v>
          </cell>
          <cell r="E3114">
            <v>20035</v>
          </cell>
          <cell r="F3114" t="str">
            <v>PRIMER AUTOMOTIVO</v>
          </cell>
          <cell r="G3114" t="str">
            <v>AUTOMOTIVO</v>
          </cell>
        </row>
        <row r="3115">
          <cell r="A3115">
            <v>85249</v>
          </cell>
          <cell r="B3115" t="str">
            <v>PRIMER P951 5:1 CINZA 750ML ROBERLO</v>
          </cell>
          <cell r="C3115">
            <v>600161</v>
          </cell>
          <cell r="D3115" t="str">
            <v>ROBERLO</v>
          </cell>
          <cell r="E3115">
            <v>20035</v>
          </cell>
          <cell r="F3115" t="str">
            <v>PRIMER AUTOMOTIVO</v>
          </cell>
          <cell r="G3115" t="str">
            <v>AUTOMOTIVO</v>
          </cell>
        </row>
        <row r="3116">
          <cell r="A3116">
            <v>21622</v>
          </cell>
          <cell r="B3116" t="str">
            <v>PRIMER POLIURETANO 8200 CINZA 800ML LAZZURIL-21,94-ST</v>
          </cell>
          <cell r="C3116" t="str">
            <v>05.00.08200-280</v>
          </cell>
          <cell r="D3116" t="str">
            <v>SHERWIN WILLIAMS</v>
          </cell>
          <cell r="E3116">
            <v>20035</v>
          </cell>
          <cell r="F3116" t="str">
            <v>PRIMER AUTOMOTIVO</v>
          </cell>
          <cell r="G3116" t="str">
            <v>AUTOMOTIVO</v>
          </cell>
        </row>
        <row r="3117">
          <cell r="A3117">
            <v>24175</v>
          </cell>
          <cell r="B3117" t="str">
            <v>PRIMER PU BRANCO 8:1+END81 0,900ML SKY-21,94-ST</v>
          </cell>
          <cell r="C3117">
            <v>124578</v>
          </cell>
          <cell r="D3117" t="str">
            <v>SKY</v>
          </cell>
          <cell r="E3117">
            <v>20035</v>
          </cell>
          <cell r="F3117" t="str">
            <v>PRIMER AUTOMOTIVO</v>
          </cell>
          <cell r="G3117" t="str">
            <v>AUTOMOTIVO</v>
          </cell>
        </row>
        <row r="3118">
          <cell r="A3118">
            <v>24176</v>
          </cell>
          <cell r="B3118" t="str">
            <v>PRIMER PU CINZA 8:1+END81 0,900ML SKY-21,94-ST</v>
          </cell>
          <cell r="C3118">
            <v>326598</v>
          </cell>
          <cell r="D3118" t="str">
            <v>SKY</v>
          </cell>
          <cell r="E3118">
            <v>20035</v>
          </cell>
          <cell r="F3118" t="str">
            <v>PRIMER AUTOMOTIVO</v>
          </cell>
          <cell r="G3118" t="str">
            <v>AUTOMOTIVO</v>
          </cell>
        </row>
        <row r="3119">
          <cell r="A3119">
            <v>24402</v>
          </cell>
          <cell r="B3119" t="str">
            <v>PRIMER PU HS A2810 PU 800ML RHAI-21,94-ST</v>
          </cell>
          <cell r="C3119">
            <v>32089010</v>
          </cell>
          <cell r="D3119" t="str">
            <v>RHAI</v>
          </cell>
          <cell r="E3119">
            <v>20035</v>
          </cell>
          <cell r="F3119" t="str">
            <v>PRIMER AUTOMOTIVO</v>
          </cell>
          <cell r="G3119" t="str">
            <v>AUTOMOTIVO</v>
          </cell>
        </row>
        <row r="3120">
          <cell r="A3120">
            <v>85504</v>
          </cell>
          <cell r="B3120" t="str">
            <v>PRIMER PU HS CINZA 9500 3,6L SKY</v>
          </cell>
          <cell r="C3120">
            <v>640095000113</v>
          </cell>
          <cell r="D3120" t="str">
            <v>SKY</v>
          </cell>
          <cell r="E3120">
            <v>20035</v>
          </cell>
          <cell r="F3120" t="str">
            <v>PRIMER AUTOMOTIVO</v>
          </cell>
          <cell r="G3120" t="str">
            <v>AUTOMOTIVO</v>
          </cell>
        </row>
        <row r="3121">
          <cell r="A3121">
            <v>24177</v>
          </cell>
          <cell r="B3121" t="str">
            <v>PRIMER PU PRETO 8:1+END81 0,900ML SKY-21,94-ST</v>
          </cell>
          <cell r="C3121">
            <v>951753</v>
          </cell>
          <cell r="D3121" t="str">
            <v>SKY</v>
          </cell>
          <cell r="E3121">
            <v>20035</v>
          </cell>
          <cell r="F3121" t="str">
            <v>PRIMER AUTOMOTIVO</v>
          </cell>
          <cell r="G3121" t="str">
            <v>AUTOMOTIVO</v>
          </cell>
        </row>
        <row r="3122">
          <cell r="A3122">
            <v>229</v>
          </cell>
          <cell r="B3122" t="str">
            <v>PRIMER PU W-2081 CINZA-21,94-ST</v>
          </cell>
          <cell r="C3122">
            <v>1245895</v>
          </cell>
          <cell r="D3122" t="str">
            <v>.</v>
          </cell>
          <cell r="E3122">
            <v>20035</v>
          </cell>
          <cell r="F3122" t="str">
            <v>PRIMER AUTOMOTIVO</v>
          </cell>
          <cell r="G3122" t="str">
            <v>AUTOMOTIVO</v>
          </cell>
        </row>
        <row r="3123">
          <cell r="A3123">
            <v>20040</v>
          </cell>
          <cell r="B3123" t="str">
            <v>PRIMER SELADOR 750ML WANDA-21,46-ST</v>
          </cell>
          <cell r="C3123">
            <v>483817</v>
          </cell>
          <cell r="D3123" t="str">
            <v>WANDA</v>
          </cell>
          <cell r="E3123">
            <v>20035</v>
          </cell>
          <cell r="F3123" t="str">
            <v>PRIMER AUTOMOTIVO</v>
          </cell>
          <cell r="G3123" t="str">
            <v>AUTOMOTIVO</v>
          </cell>
        </row>
        <row r="3124">
          <cell r="A3124">
            <v>83981</v>
          </cell>
          <cell r="B3124" t="str">
            <v>PRIMER SKYFAST HS CINZA 4:1 0,900 SKY</v>
          </cell>
          <cell r="D3124" t="str">
            <v>SKY</v>
          </cell>
          <cell r="E3124">
            <v>20035</v>
          </cell>
          <cell r="F3124" t="str">
            <v>PRIMER AUTOMOTIVO</v>
          </cell>
          <cell r="G3124" t="str">
            <v>AUTOMOTIVO</v>
          </cell>
        </row>
        <row r="3125">
          <cell r="A3125">
            <v>99</v>
          </cell>
          <cell r="B3125" t="str">
            <v>PRIMER SKYFILL 900ML SKY-21,94-ST</v>
          </cell>
          <cell r="C3125">
            <v>140002500101</v>
          </cell>
          <cell r="D3125" t="str">
            <v>SKY</v>
          </cell>
          <cell r="E3125">
            <v>20035</v>
          </cell>
          <cell r="F3125" t="str">
            <v>PRIMER AUTOMOTIVO</v>
          </cell>
          <cell r="G3125" t="str">
            <v>AUTOMOTIVO</v>
          </cell>
        </row>
        <row r="3126">
          <cell r="A3126">
            <v>208</v>
          </cell>
          <cell r="B3126" t="str">
            <v>PRIMER UNIVERSAL BRANCO 0,900ML BRAZILIAN</v>
          </cell>
          <cell r="C3126" t="str">
            <v>100385.02</v>
          </cell>
          <cell r="D3126" t="str">
            <v>BRAZILIAN</v>
          </cell>
          <cell r="E3126">
            <v>20035</v>
          </cell>
          <cell r="F3126" t="str">
            <v>PRIMER AUTOMOTIVO</v>
          </cell>
          <cell r="G3126" t="str">
            <v>AUTOMOTIVO</v>
          </cell>
        </row>
        <row r="3127">
          <cell r="A3127">
            <v>102</v>
          </cell>
          <cell r="B3127" t="str">
            <v>PRIMER UNIVERSAL BRANCO 0,900ML SKY-21,94-ST</v>
          </cell>
          <cell r="C3127">
            <v>140002010101</v>
          </cell>
          <cell r="D3127" t="str">
            <v>SKY</v>
          </cell>
          <cell r="E3127">
            <v>20035</v>
          </cell>
          <cell r="F3127" t="str">
            <v>PRIMER AUTOMOTIVO</v>
          </cell>
          <cell r="G3127" t="str">
            <v>AUTOMOTIVO</v>
          </cell>
        </row>
        <row r="3128">
          <cell r="A3128">
            <v>20028</v>
          </cell>
          <cell r="B3128" t="str">
            <v>PRIMER UNIVERSAL BRANCO 3,600ML ANJO-21,45-ST</v>
          </cell>
          <cell r="C3128" t="str">
            <v>000074-27</v>
          </cell>
          <cell r="D3128" t="str">
            <v>ANJO</v>
          </cell>
          <cell r="E3128">
            <v>20035</v>
          </cell>
          <cell r="F3128" t="str">
            <v>PRIMER AUTOMOTIVO</v>
          </cell>
          <cell r="G3128" t="str">
            <v>AUTOMOTIVO</v>
          </cell>
        </row>
        <row r="3129">
          <cell r="A3129">
            <v>10332</v>
          </cell>
          <cell r="B3129" t="str">
            <v>PRIMER UNIVERSAL BRANCO 900ML ANJO-21,46-ST</v>
          </cell>
          <cell r="C3129" t="str">
            <v>000074-22</v>
          </cell>
          <cell r="D3129" t="str">
            <v>ANJO</v>
          </cell>
          <cell r="E3129">
            <v>20035</v>
          </cell>
          <cell r="F3129" t="str">
            <v>PRIMER AUTOMOTIVO</v>
          </cell>
          <cell r="G3129" t="str">
            <v>AUTOMOTIVO</v>
          </cell>
        </row>
        <row r="3130">
          <cell r="A3130">
            <v>10401</v>
          </cell>
          <cell r="B3130" t="str">
            <v>PRIMER UNIVERSAL BRANCO MAX RUBBER-21,94-ST</v>
          </cell>
          <cell r="C3130" t="str">
            <v>2MA032</v>
          </cell>
          <cell r="D3130" t="str">
            <v>MAXI RUBBER</v>
          </cell>
          <cell r="E3130">
            <v>20035</v>
          </cell>
          <cell r="F3130" t="str">
            <v>PRIMER AUTOMOTIVO</v>
          </cell>
          <cell r="G3130" t="str">
            <v>AUTOMOTIVO</v>
          </cell>
        </row>
        <row r="3131">
          <cell r="A3131">
            <v>83761</v>
          </cell>
          <cell r="B3131" t="str">
            <v>PRIMER UNIVERSAL CINZA 0,900ML BRAZILIAN</v>
          </cell>
          <cell r="C3131" t="str">
            <v>700185.02</v>
          </cell>
          <cell r="D3131" t="str">
            <v>BRAZILIAN</v>
          </cell>
          <cell r="E3131">
            <v>20035</v>
          </cell>
          <cell r="F3131" t="str">
            <v>PRIMER AUTOMOTIVO</v>
          </cell>
          <cell r="G3131" t="str">
            <v>AUTOMOTIVO</v>
          </cell>
        </row>
        <row r="3132">
          <cell r="A3132">
            <v>10329</v>
          </cell>
          <cell r="B3132" t="str">
            <v>PRIMER UNIVERSAL CINZA 900ML ANJO-21,46-ST</v>
          </cell>
          <cell r="C3132" t="str">
            <v>000075-22</v>
          </cell>
          <cell r="D3132" t="str">
            <v>ANJO</v>
          </cell>
          <cell r="E3132">
            <v>20035</v>
          </cell>
          <cell r="F3132" t="str">
            <v>PRIMER AUTOMOTIVO</v>
          </cell>
          <cell r="G3132" t="str">
            <v>AUTOMOTIVO</v>
          </cell>
        </row>
        <row r="3133">
          <cell r="A3133">
            <v>91</v>
          </cell>
          <cell r="B3133" t="str">
            <v>PRIMER UNIVERSAL CINZA 900ML SKY-21,94-ST</v>
          </cell>
          <cell r="C3133">
            <v>140002000101</v>
          </cell>
          <cell r="D3133" t="str">
            <v>SKY</v>
          </cell>
          <cell r="E3133">
            <v>20035</v>
          </cell>
          <cell r="F3133" t="str">
            <v>PRIMER AUTOMOTIVO</v>
          </cell>
          <cell r="G3133" t="str">
            <v>AUTOMOTIVO</v>
          </cell>
        </row>
        <row r="3134">
          <cell r="A3134">
            <v>20524</v>
          </cell>
          <cell r="B3134" t="str">
            <v>PRIMER UNIVERSAL CINZA FARBEN</v>
          </cell>
          <cell r="C3134">
            <v>3269</v>
          </cell>
          <cell r="D3134" t="str">
            <v>.</v>
          </cell>
          <cell r="E3134">
            <v>20035</v>
          </cell>
          <cell r="F3134" t="str">
            <v>PRIMER AUTOMOTIVO</v>
          </cell>
          <cell r="G3134" t="str">
            <v>AUTOMOTIVO</v>
          </cell>
        </row>
        <row r="3135">
          <cell r="A3135">
            <v>10400</v>
          </cell>
          <cell r="B3135" t="str">
            <v>PRIMER UNIVERSAL CINZA MAX RUBBER-21,45-ST</v>
          </cell>
          <cell r="C3135" t="str">
            <v>2MA015</v>
          </cell>
          <cell r="D3135" t="str">
            <v>MAXI RUBBER</v>
          </cell>
          <cell r="E3135">
            <v>20035</v>
          </cell>
          <cell r="F3135" t="str">
            <v>PRIMER AUTOMOTIVO</v>
          </cell>
          <cell r="G3135" t="str">
            <v>AUTOMOTIVO</v>
          </cell>
        </row>
        <row r="3136">
          <cell r="A3136">
            <v>115</v>
          </cell>
          <cell r="B3136" t="str">
            <v>SKYPRIMER CINZA PU 5:1 + END51 0,900ML-21,94-ST</v>
          </cell>
          <cell r="C3136" t="str">
            <v>640SKY5101L3</v>
          </cell>
          <cell r="D3136" t="str">
            <v>SKY</v>
          </cell>
          <cell r="E3136">
            <v>20035</v>
          </cell>
          <cell r="F3136" t="str">
            <v>PRIMER AUTOMOTIVO</v>
          </cell>
          <cell r="G3136" t="str">
            <v>AUTOMOTIVO</v>
          </cell>
        </row>
        <row r="3137">
          <cell r="A3137">
            <v>85236</v>
          </cell>
          <cell r="B3137" t="str">
            <v>SKYPRIMER PU CINZA 7:1 3,6L-21,94-ST</v>
          </cell>
          <cell r="C3137" t="str">
            <v>640SKY710113</v>
          </cell>
          <cell r="D3137" t="str">
            <v>SKY</v>
          </cell>
          <cell r="E3137">
            <v>20035</v>
          </cell>
          <cell r="F3137" t="str">
            <v>PRIMER AUTOMOTIVO</v>
          </cell>
          <cell r="G3137" t="str">
            <v>AUTOMOTIVO</v>
          </cell>
        </row>
        <row r="3138">
          <cell r="A3138">
            <v>20489</v>
          </cell>
          <cell r="B3138" t="str">
            <v>SPECTRAPRIME-PRIMER HS 2K CINZA 0,900 ML LAZZURIL-25,87-ST</v>
          </cell>
          <cell r="C3138" t="str">
            <v>05.30.0P30A-004</v>
          </cell>
          <cell r="D3138" t="str">
            <v>SHERWIN WILLIAMS</v>
          </cell>
          <cell r="E3138">
            <v>20035</v>
          </cell>
          <cell r="F3138" t="str">
            <v>PRIMER AUTOMOTIVO</v>
          </cell>
          <cell r="G3138" t="str">
            <v>AUTOMOTIVO</v>
          </cell>
        </row>
        <row r="3139">
          <cell r="A3139">
            <v>22030</v>
          </cell>
          <cell r="B3139" t="str">
            <v>SPECTRAPRIME-PRIMER HS 2K CINZA 3,600ML LAZZURIL-25,87-ST</v>
          </cell>
          <cell r="C3139" t="str">
            <v>04.6600H38-177</v>
          </cell>
          <cell r="D3139" t="str">
            <v>SHERWIN WILLIAMS</v>
          </cell>
          <cell r="E3139">
            <v>20035</v>
          </cell>
          <cell r="F3139" t="str">
            <v>PRIMER AUTOMOTIVO</v>
          </cell>
          <cell r="G3139" t="str">
            <v>AUTOMOTIVO</v>
          </cell>
        </row>
        <row r="3140">
          <cell r="A3140">
            <v>9989</v>
          </cell>
          <cell r="B3140" t="str">
            <v>SPRAY SPOTPRIMER CINZA 400ML SIKKENS-25,63-ST</v>
          </cell>
          <cell r="C3140">
            <v>530708</v>
          </cell>
          <cell r="D3140" t="str">
            <v>SIKKENS</v>
          </cell>
          <cell r="E3140">
            <v>20035</v>
          </cell>
          <cell r="F3140" t="str">
            <v>PRIMER AUTOMOTIVO</v>
          </cell>
          <cell r="G3140" t="str">
            <v>AUTOMOTIVO</v>
          </cell>
        </row>
        <row r="3141">
          <cell r="A3141">
            <v>9753</v>
          </cell>
          <cell r="B3141" t="str">
            <v>WANDAFILL PRIMER ALTO SOLIDOS WANDA-21,94-ST</v>
          </cell>
          <cell r="C3141">
            <v>529460</v>
          </cell>
          <cell r="D3141" t="str">
            <v>WANDA</v>
          </cell>
          <cell r="E3141">
            <v>20035</v>
          </cell>
          <cell r="F3141" t="str">
            <v>PRIMER AUTOMOTIVO</v>
          </cell>
          <cell r="G3141" t="str">
            <v>AUTOMOTIVO</v>
          </cell>
        </row>
        <row r="3142">
          <cell r="A3142">
            <v>21800</v>
          </cell>
          <cell r="B3142" t="str">
            <v>WANDAPRIMER UNIVERSAL 3,600ML WANDA-21,94-ST</v>
          </cell>
          <cell r="C3142">
            <v>529458</v>
          </cell>
          <cell r="D3142" t="str">
            <v>WANDA</v>
          </cell>
          <cell r="E3142">
            <v>20035</v>
          </cell>
          <cell r="F3142" t="str">
            <v>PRIMER AUTOMOTIVO</v>
          </cell>
          <cell r="G3142" t="str">
            <v>AUTOMOTIVO</v>
          </cell>
        </row>
        <row r="3143">
          <cell r="A3143">
            <v>21262</v>
          </cell>
          <cell r="B3143" t="str">
            <v>WASH PRIMER 0,600ML RHAI-21,93-ST</v>
          </cell>
          <cell r="C3143">
            <v>202051001</v>
          </cell>
          <cell r="D3143" t="str">
            <v>RHAI</v>
          </cell>
          <cell r="E3143">
            <v>20035</v>
          </cell>
          <cell r="F3143" t="str">
            <v>PRIMER AUTOMOTIVO</v>
          </cell>
          <cell r="G3143" t="str">
            <v>AUTOMOTIVO</v>
          </cell>
        </row>
        <row r="3144">
          <cell r="A3144">
            <v>20025</v>
          </cell>
          <cell r="B3144" t="str">
            <v>WASH PRIMER 2:1 N-1261 600ML ANJO-21,46-ST</v>
          </cell>
          <cell r="C3144" t="str">
            <v>002535-56</v>
          </cell>
          <cell r="D3144" t="str">
            <v>ANJO</v>
          </cell>
          <cell r="E3144">
            <v>20035</v>
          </cell>
          <cell r="F3144" t="str">
            <v>PRIMER AUTOMOTIVO</v>
          </cell>
          <cell r="G3144" t="str">
            <v>AUTOMOTIVO</v>
          </cell>
        </row>
        <row r="3145">
          <cell r="A3145">
            <v>21038</v>
          </cell>
          <cell r="B3145" t="str">
            <v>WASH PRIMER FUNDO/FONDO FOSFATIZANTE LAZZURIL-21,94-ST</v>
          </cell>
          <cell r="C3145" t="str">
            <v>05.00.00045-016</v>
          </cell>
          <cell r="D3145" t="str">
            <v>SHERWIN WILLIAMS</v>
          </cell>
          <cell r="E3145">
            <v>20035</v>
          </cell>
          <cell r="F3145" t="str">
            <v>PRIMER AUTOMOTIVO</v>
          </cell>
          <cell r="G3145" t="str">
            <v>AUTOMOTIVO</v>
          </cell>
        </row>
        <row r="3146">
          <cell r="A3146">
            <v>9778</v>
          </cell>
          <cell r="B3146" t="str">
            <v>WASHPRIMER 1K CF SIKKENS-21,94-ST</v>
          </cell>
          <cell r="C3146">
            <v>530709</v>
          </cell>
          <cell r="D3146" t="str">
            <v>SIKKENS</v>
          </cell>
          <cell r="E3146">
            <v>20035</v>
          </cell>
          <cell r="F3146" t="str">
            <v>PRIMER AUTOMOTIVO</v>
          </cell>
          <cell r="G3146" t="str">
            <v>AUTOMOTIVO</v>
          </cell>
        </row>
        <row r="3147">
          <cell r="A3147">
            <v>21065</v>
          </cell>
          <cell r="B3147" t="str">
            <v>WASHPRIMER 600ML WANDA-21,46-ST</v>
          </cell>
          <cell r="C3147">
            <v>484008</v>
          </cell>
          <cell r="D3147" t="str">
            <v>WANDA</v>
          </cell>
          <cell r="E3147">
            <v>20035</v>
          </cell>
          <cell r="F3147" t="str">
            <v>PRIMER AUTOMOTIVO</v>
          </cell>
          <cell r="G3147" t="str">
            <v>AUTOMOTIVO</v>
          </cell>
        </row>
        <row r="3148">
          <cell r="A3148">
            <v>94</v>
          </cell>
          <cell r="B3148" t="str">
            <v>WASHPRIMER FOSFATIZANTE 2:1 0,600ML SKY-21,94-ST</v>
          </cell>
          <cell r="C3148">
            <v>140005500103</v>
          </cell>
          <cell r="D3148" t="str">
            <v>SKY</v>
          </cell>
          <cell r="E3148">
            <v>20035</v>
          </cell>
          <cell r="F3148" t="str">
            <v>PRIMER AUTOMOTIVO</v>
          </cell>
          <cell r="G3148" t="str">
            <v>AUTOMOTIVO</v>
          </cell>
        </row>
        <row r="3149">
          <cell r="A3149">
            <v>23158</v>
          </cell>
          <cell r="B3149" t="str">
            <v>ADITIVO VERMELHO PARA VERNIZ AXALTA</v>
          </cell>
          <cell r="C3149" t="str">
            <v>D96609641/4B</v>
          </cell>
          <cell r="D3149" t="str">
            <v>AXALTA</v>
          </cell>
          <cell r="E3149">
            <v>20034</v>
          </cell>
          <cell r="F3149" t="str">
            <v>VERNIZ AUTOMOTIVO</v>
          </cell>
          <cell r="G3149" t="str">
            <v>AUTOMOTIVO</v>
          </cell>
        </row>
        <row r="3150">
          <cell r="A3150">
            <v>23658</v>
          </cell>
          <cell r="B3150" t="str">
            <v>AUTOCLEAR CLASSIC 18L SIKKENS-21,46-ST</v>
          </cell>
          <cell r="C3150">
            <v>571604</v>
          </cell>
          <cell r="D3150" t="str">
            <v>SIKKENS</v>
          </cell>
          <cell r="E3150">
            <v>20034</v>
          </cell>
          <cell r="F3150" t="str">
            <v>VERNIZ AUTOMOTIVO</v>
          </cell>
          <cell r="G3150" t="str">
            <v>AUTOMOTIVO</v>
          </cell>
        </row>
        <row r="3151">
          <cell r="A3151">
            <v>23294</v>
          </cell>
          <cell r="B3151" t="str">
            <v>AUTOCLEAR CLASSIC 1L SIKKENS-21,45-ST</v>
          </cell>
          <cell r="C3151">
            <v>557498</v>
          </cell>
          <cell r="D3151" t="str">
            <v>SIKKENS</v>
          </cell>
          <cell r="E3151">
            <v>20034</v>
          </cell>
          <cell r="F3151" t="str">
            <v>VERNIZ AUTOMOTIVO</v>
          </cell>
          <cell r="G3151" t="str">
            <v>AUTOMOTIVO</v>
          </cell>
        </row>
        <row r="3152">
          <cell r="A3152">
            <v>23295</v>
          </cell>
          <cell r="B3152" t="str">
            <v>AUTOCLEAR CLASSIC 5L SIKKENS-21,46-ST</v>
          </cell>
          <cell r="C3152">
            <v>557499</v>
          </cell>
          <cell r="D3152" t="str">
            <v>SIKKENS</v>
          </cell>
          <cell r="E3152">
            <v>20034</v>
          </cell>
          <cell r="F3152" t="str">
            <v>VERNIZ AUTOMOTIVO</v>
          </cell>
          <cell r="G3152" t="str">
            <v>AUTOMOTIVO</v>
          </cell>
        </row>
        <row r="3153">
          <cell r="A3153">
            <v>23675</v>
          </cell>
          <cell r="B3153" t="str">
            <v>AUTOCLEAR CLASSIC FAST 5L SIKKENS-21,46-ST</v>
          </cell>
          <cell r="C3153">
            <v>529803</v>
          </cell>
          <cell r="D3153" t="str">
            <v>SIKKENS</v>
          </cell>
          <cell r="E3153">
            <v>20034</v>
          </cell>
          <cell r="F3153" t="str">
            <v>VERNIZ AUTOMOTIVO</v>
          </cell>
          <cell r="G3153" t="str">
            <v>AUTOMOTIVO</v>
          </cell>
        </row>
        <row r="3154">
          <cell r="A3154">
            <v>21860</v>
          </cell>
          <cell r="B3154" t="str">
            <v>AUTOCLEAR CLASSIC FAST 900ML SIKKENS-21,46-ST</v>
          </cell>
          <cell r="C3154">
            <v>529802</v>
          </cell>
          <cell r="D3154" t="str">
            <v>SIKKENS</v>
          </cell>
          <cell r="E3154">
            <v>20034</v>
          </cell>
          <cell r="F3154" t="str">
            <v>VERNIZ AUTOMOTIVO</v>
          </cell>
          <cell r="G3154" t="str">
            <v>AUTOMOTIVO</v>
          </cell>
        </row>
        <row r="3155">
          <cell r="A3155">
            <v>84551</v>
          </cell>
          <cell r="B3155" t="str">
            <v>AUTOCLEAR CLASSIC FOSCO 900ML SIKKENS 21,46-ST</v>
          </cell>
          <cell r="C3155">
            <v>595136</v>
          </cell>
          <cell r="D3155" t="str">
            <v>SIKKENS</v>
          </cell>
          <cell r="E3155">
            <v>20034</v>
          </cell>
          <cell r="F3155" t="str">
            <v>VERNIZ AUTOMOTIVO</v>
          </cell>
          <cell r="G3155" t="str">
            <v>AUTOMOTIVO</v>
          </cell>
        </row>
        <row r="3156">
          <cell r="A3156">
            <v>23970</v>
          </cell>
          <cell r="B3156" t="str">
            <v>AUTOCLEAR LIGHT 400ML AEROSOL SIKKENS -21,94-ST</v>
          </cell>
          <cell r="C3156">
            <v>562595</v>
          </cell>
          <cell r="D3156" t="str">
            <v>SIKKENS</v>
          </cell>
          <cell r="E3156">
            <v>20034</v>
          </cell>
          <cell r="F3156" t="str">
            <v>VERNIZ AUTOMOTIVO</v>
          </cell>
          <cell r="G3156" t="str">
            <v>AUTOMOTIVO</v>
          </cell>
        </row>
        <row r="3157">
          <cell r="A3157">
            <v>20204</v>
          </cell>
          <cell r="B3157" t="str">
            <v>AUTOCLEAR PLUS HS 18LTS SIKKENS-21,94-ST</v>
          </cell>
          <cell r="C3157">
            <v>529800</v>
          </cell>
          <cell r="D3157" t="str">
            <v>SIKKENS</v>
          </cell>
          <cell r="E3157">
            <v>20034</v>
          </cell>
          <cell r="F3157" t="str">
            <v>VERNIZ AUTOMOTIVO</v>
          </cell>
          <cell r="G3157" t="str">
            <v>AUTOMOTIVO</v>
          </cell>
        </row>
        <row r="3158">
          <cell r="A3158">
            <v>20241</v>
          </cell>
          <cell r="B3158" t="str">
            <v>AUTOCLEAR PLUS HS 1LT SIKKENS-21,46-ST</v>
          </cell>
          <cell r="C3158">
            <v>529799</v>
          </cell>
          <cell r="D3158" t="str">
            <v>SIKKENS</v>
          </cell>
          <cell r="E3158">
            <v>20034</v>
          </cell>
          <cell r="F3158" t="str">
            <v>VERNIZ AUTOMOTIVO</v>
          </cell>
          <cell r="G3158" t="str">
            <v>AUTOMOTIVO</v>
          </cell>
        </row>
        <row r="3159">
          <cell r="A3159">
            <v>20194</v>
          </cell>
          <cell r="B3159" t="str">
            <v>AUTOCLEAR PLUS HS 5LTS SIKKENS-21,46-ST</v>
          </cell>
          <cell r="C3159">
            <v>529801</v>
          </cell>
          <cell r="D3159" t="str">
            <v>SIKKENS</v>
          </cell>
          <cell r="E3159">
            <v>20034</v>
          </cell>
          <cell r="F3159" t="str">
            <v>VERNIZ AUTOMOTIVO</v>
          </cell>
          <cell r="G3159" t="str">
            <v>AUTOMOTIVO</v>
          </cell>
        </row>
        <row r="3160">
          <cell r="A3160">
            <v>23289</v>
          </cell>
          <cell r="B3160" t="str">
            <v>AUTOCLEAR RAPID 5L SIKKENS (NOVO)-25,37-ST</v>
          </cell>
          <cell r="C3160">
            <v>530637</v>
          </cell>
          <cell r="D3160" t="str">
            <v>SIKKENS</v>
          </cell>
          <cell r="E3160">
            <v>20034</v>
          </cell>
          <cell r="F3160" t="str">
            <v>VERNIZ AUTOMOTIVO</v>
          </cell>
          <cell r="G3160" t="str">
            <v>AUTOMOTIVO</v>
          </cell>
        </row>
        <row r="3161">
          <cell r="A3161">
            <v>85176</v>
          </cell>
          <cell r="B3161" t="str">
            <v>CATALISADOR P VERNIZ 9038 - CATALISADOR 045 450ML</v>
          </cell>
          <cell r="C3161" t="str">
            <v>CT 295004515</v>
          </cell>
          <cell r="D3161" t="str">
            <v>BRASILUX</v>
          </cell>
          <cell r="E3161">
            <v>20034</v>
          </cell>
          <cell r="F3161" t="str">
            <v>VERNIZ AUTOMOTIVO</v>
          </cell>
          <cell r="G3161" t="str">
            <v>AUTOMOTIVO</v>
          </cell>
        </row>
        <row r="3162">
          <cell r="A3162">
            <v>20433</v>
          </cell>
          <cell r="B3162" t="str">
            <v>ENDURECEDOR 065 P/ VERNIZ 8937 450ML LAZZURIL</v>
          </cell>
          <cell r="C3162" t="str">
            <v>15.66.00065-224</v>
          </cell>
          <cell r="D3162" t="str">
            <v>SHERWIN WILLIAMS</v>
          </cell>
          <cell r="E3162">
            <v>20034</v>
          </cell>
          <cell r="F3162" t="str">
            <v>VERNIZ AUTOMOTIVO</v>
          </cell>
          <cell r="G3162" t="str">
            <v>AUTOMOTIVO</v>
          </cell>
        </row>
        <row r="3163">
          <cell r="A3163">
            <v>20461</v>
          </cell>
          <cell r="B3163" t="str">
            <v>ENDURECEDOR 065 P/ VERNIZ 8937 834ML LAZZURIL</v>
          </cell>
          <cell r="C3163" t="str">
            <v>15.66.00065-497</v>
          </cell>
          <cell r="D3163" t="str">
            <v>SHERWIN WILLIAMS</v>
          </cell>
          <cell r="E3163">
            <v>20034</v>
          </cell>
          <cell r="F3163" t="str">
            <v>VERNIZ AUTOMOTIVO</v>
          </cell>
          <cell r="G3163" t="str">
            <v>AUTOMOTIVO</v>
          </cell>
        </row>
        <row r="3164">
          <cell r="A3164">
            <v>83874</v>
          </cell>
          <cell r="B3164" t="str">
            <v>ENDURECEDOR 130 ALTO SOLIDO 450ML 13.000 SKY</v>
          </cell>
          <cell r="C3164">
            <v>230001300129</v>
          </cell>
          <cell r="D3164" t="str">
            <v>SKY</v>
          </cell>
          <cell r="E3164">
            <v>20034</v>
          </cell>
          <cell r="F3164" t="str">
            <v>VERNIZ AUTOMOTIVO</v>
          </cell>
          <cell r="G3164" t="str">
            <v>AUTOMOTIVO</v>
          </cell>
        </row>
        <row r="3165">
          <cell r="A3165">
            <v>21627</v>
          </cell>
          <cell r="B3165" t="str">
            <v>ENDURECEDOR ACELERADO P/ VERNIZ 8937 450ML LAZZURIL</v>
          </cell>
          <cell r="C3165" t="str">
            <v>15.66.89120-175</v>
          </cell>
          <cell r="D3165" t="str">
            <v>SHERWIN WILLIAMS</v>
          </cell>
          <cell r="E3165">
            <v>20034</v>
          </cell>
          <cell r="F3165" t="str">
            <v>VERNIZ AUTOMOTIVO</v>
          </cell>
          <cell r="G3165" t="str">
            <v>AUTOMOTIVO</v>
          </cell>
        </row>
        <row r="3166">
          <cell r="A3166">
            <v>24195</v>
          </cell>
          <cell r="B3166" t="str">
            <v>ENDURECEDOR ALTO SOLIDO 130 0,834ML 13.000 SKY</v>
          </cell>
          <cell r="C3166">
            <v>230001300171</v>
          </cell>
          <cell r="D3166" t="str">
            <v>SKY</v>
          </cell>
          <cell r="E3166">
            <v>20034</v>
          </cell>
          <cell r="F3166" t="str">
            <v>VERNIZ AUTOMOTIVO</v>
          </cell>
          <cell r="G3166" t="str">
            <v>AUTOMOTIVO</v>
          </cell>
        </row>
        <row r="3167">
          <cell r="A3167">
            <v>96</v>
          </cell>
          <cell r="B3167" t="str">
            <v>ENDURECEDOR ALTO SOLIDO 150 0,625ML SKY</v>
          </cell>
          <cell r="C3167">
            <v>230001500173</v>
          </cell>
          <cell r="D3167" t="str">
            <v>SKY</v>
          </cell>
          <cell r="E3167">
            <v>20034</v>
          </cell>
          <cell r="F3167" t="str">
            <v>VERNIZ AUTOMOTIVO</v>
          </cell>
          <cell r="G3167" t="str">
            <v>AUTOMOTIVO</v>
          </cell>
        </row>
        <row r="3168">
          <cell r="A3168">
            <v>24090</v>
          </cell>
          <cell r="B3168" t="str">
            <v>ENDURECEDOR ALTO SOLIDO 150 225ML SKY</v>
          </cell>
          <cell r="C3168">
            <v>230001500118</v>
          </cell>
          <cell r="D3168" t="str">
            <v>SKY</v>
          </cell>
          <cell r="E3168">
            <v>20034</v>
          </cell>
          <cell r="F3168" t="str">
            <v>VERNIZ AUTOMOTIVO</v>
          </cell>
          <cell r="G3168" t="str">
            <v>AUTOMOTIVO</v>
          </cell>
        </row>
        <row r="3169">
          <cell r="A3169">
            <v>21226</v>
          </cell>
          <cell r="B3169" t="str">
            <v>ENDURECEDOR NORMAL VERNIZ CC900/910 0,834ML LAZZURIL</v>
          </cell>
          <cell r="C3169" t="str">
            <v>04.66.0UH40.497</v>
          </cell>
          <cell r="D3169" t="str">
            <v>SHERWIN WILLIAMS</v>
          </cell>
          <cell r="E3169">
            <v>20034</v>
          </cell>
          <cell r="F3169" t="str">
            <v>VERNIZ AUTOMOTIVO</v>
          </cell>
          <cell r="G3169" t="str">
            <v>AUTOMOTIVO</v>
          </cell>
        </row>
        <row r="3170">
          <cell r="A3170">
            <v>85505</v>
          </cell>
          <cell r="B3170" t="str">
            <v>ENDURECEDOR P/ PRIMER 9500 PU HS SKY</v>
          </cell>
          <cell r="C3170">
            <v>630009450174</v>
          </cell>
          <cell r="D3170" t="str">
            <v>SKY</v>
          </cell>
          <cell r="E3170">
            <v>20034</v>
          </cell>
          <cell r="F3170" t="str">
            <v>VERNIZ AUTOMOTIVO</v>
          </cell>
          <cell r="G3170" t="str">
            <v>AUTOMOTIVO</v>
          </cell>
        </row>
        <row r="3171">
          <cell r="A3171">
            <v>24091</v>
          </cell>
          <cell r="B3171" t="str">
            <v>ENDURECEDOR P/ VERNIZ 12.000 225ML SKY</v>
          </cell>
          <cell r="C3171">
            <v>230001200118</v>
          </cell>
          <cell r="D3171" t="str">
            <v>SKY</v>
          </cell>
          <cell r="E3171">
            <v>20034</v>
          </cell>
          <cell r="F3171" t="str">
            <v>VERNIZ AUTOMOTIVO</v>
          </cell>
          <cell r="G3171" t="str">
            <v>AUTOMOTIVO</v>
          </cell>
        </row>
        <row r="3172">
          <cell r="A3172">
            <v>24416</v>
          </cell>
          <cell r="B3172" t="str">
            <v>ENDURECEDOR P/ VERNIZ SKYFAST HS 5:1 0,180ML SKY</v>
          </cell>
          <cell r="C3172" t="str">
            <v>230RR0200142</v>
          </cell>
          <cell r="D3172" t="str">
            <v>SKY</v>
          </cell>
          <cell r="E3172">
            <v>20034</v>
          </cell>
          <cell r="F3172" t="str">
            <v>VERNIZ AUTOMOTIVO</v>
          </cell>
          <cell r="G3172" t="str">
            <v>AUTOMOTIVO</v>
          </cell>
        </row>
        <row r="3173">
          <cell r="A3173">
            <v>23260</v>
          </cell>
          <cell r="B3173" t="str">
            <v>G3 7500S VERNIZ MULTIUSO AXALTA 18L-25,87-ST</v>
          </cell>
          <cell r="C3173" t="str">
            <v>K75037097/51</v>
          </cell>
          <cell r="D3173" t="str">
            <v>AXALTA</v>
          </cell>
          <cell r="E3173">
            <v>20034</v>
          </cell>
          <cell r="F3173" t="str">
            <v>VERNIZ AUTOMOTIVO</v>
          </cell>
          <cell r="G3173" t="str">
            <v>AUTOMOTIVO</v>
          </cell>
        </row>
        <row r="3174">
          <cell r="A3174">
            <v>24063</v>
          </cell>
          <cell r="B3174" t="str">
            <v>KIT VERNIZ 10.000 BICOMP E END 100 900ML SKY-21,94-ST</v>
          </cell>
          <cell r="C3174" t="str">
            <v>2201000001L3</v>
          </cell>
          <cell r="D3174" t="str">
            <v>SKY</v>
          </cell>
          <cell r="E3174">
            <v>20034</v>
          </cell>
          <cell r="F3174" t="str">
            <v>VERNIZ AUTOMOTIVO</v>
          </cell>
          <cell r="G3174" t="str">
            <v>AUTOMOTIVO</v>
          </cell>
        </row>
        <row r="3175">
          <cell r="A3175">
            <v>21200</v>
          </cell>
          <cell r="B3175" t="str">
            <v>KIT VERNIZ 4100 E END 3093 150ML WANDA-21,46-ST</v>
          </cell>
          <cell r="C3175">
            <v>544369</v>
          </cell>
          <cell r="D3175" t="str">
            <v>WANDA</v>
          </cell>
          <cell r="E3175">
            <v>20034</v>
          </cell>
          <cell r="F3175" t="str">
            <v>VERNIZ AUTOMOTIVO</v>
          </cell>
          <cell r="G3175" t="str">
            <v>AUTOMOTIVO</v>
          </cell>
        </row>
        <row r="3176">
          <cell r="A3176">
            <v>24064</v>
          </cell>
          <cell r="B3176" t="str">
            <v>KIT VERNIZ 5.000 BICOMP E END 050 900ML SKY-21,94-ST</v>
          </cell>
          <cell r="C3176" t="str">
            <v>2200500001L3</v>
          </cell>
          <cell r="D3176" t="str">
            <v>SKY</v>
          </cell>
          <cell r="E3176">
            <v>20034</v>
          </cell>
          <cell r="F3176" t="str">
            <v>VERNIZ AUTOMOTIVO</v>
          </cell>
          <cell r="G3176" t="str">
            <v>AUTOMOTIVO</v>
          </cell>
        </row>
        <row r="3177">
          <cell r="A3177">
            <v>23063</v>
          </cell>
          <cell r="B3177" t="str">
            <v>KIT VERNIZ 5100 E END 3093 150ML WANDA-21,46-ST</v>
          </cell>
          <cell r="C3177">
            <v>544368</v>
          </cell>
          <cell r="D3177" t="str">
            <v>WANDA</v>
          </cell>
          <cell r="E3177">
            <v>20034</v>
          </cell>
          <cell r="F3177" t="str">
            <v>VERNIZ AUTOMOTIVO</v>
          </cell>
          <cell r="G3177" t="str">
            <v>AUTOMOTIVO</v>
          </cell>
        </row>
        <row r="3178">
          <cell r="A3178">
            <v>23690</v>
          </cell>
          <cell r="B3178" t="str">
            <v>KIT VERNIZ 5500 E END 3093 150ML WANDA-21,46-ST</v>
          </cell>
          <cell r="C3178">
            <v>575841</v>
          </cell>
          <cell r="D3178" t="str">
            <v>WANDA</v>
          </cell>
          <cell r="E3178">
            <v>20034</v>
          </cell>
          <cell r="F3178" t="str">
            <v>VERNIZ AUTOMOTIVO</v>
          </cell>
          <cell r="G3178" t="str">
            <v>AUTOMOTIVO</v>
          </cell>
        </row>
        <row r="3179">
          <cell r="A3179">
            <v>20455</v>
          </cell>
          <cell r="B3179" t="str">
            <v>KIT VERNIZ 6100 E END 610 150ML LAZZURIL-21,94-ST</v>
          </cell>
          <cell r="C3179" t="str">
            <v>04.50.06100-520</v>
          </cell>
          <cell r="D3179" t="str">
            <v>SHERWIN WILLIAMS</v>
          </cell>
          <cell r="E3179">
            <v>20034</v>
          </cell>
          <cell r="F3179" t="str">
            <v>VERNIZ AUTOMOTIVO</v>
          </cell>
          <cell r="G3179" t="str">
            <v>AUTOMOTIVO</v>
          </cell>
        </row>
        <row r="3180">
          <cell r="A3180">
            <v>23602</v>
          </cell>
          <cell r="B3180" t="str">
            <v>KIT VERNIZ 8000 E END 054 150ML LAZZURIL-21,94-ST</v>
          </cell>
          <cell r="C3180" t="str">
            <v>04.5N.08000-520</v>
          </cell>
          <cell r="D3180" t="str">
            <v>SHERWIN WILLIAMS</v>
          </cell>
          <cell r="E3180">
            <v>20034</v>
          </cell>
          <cell r="F3180" t="str">
            <v>VERNIZ AUTOMOTIVO</v>
          </cell>
          <cell r="G3180" t="str">
            <v>AUTOMOTIVO</v>
          </cell>
        </row>
        <row r="3181">
          <cell r="A3181">
            <v>20431</v>
          </cell>
          <cell r="B3181" t="str">
            <v>KIT VERNIZ 8050 E END 058 150ML LAZZURIL-21,94-ST</v>
          </cell>
          <cell r="C3181" t="str">
            <v>15.50.08050-520</v>
          </cell>
          <cell r="D3181" t="str">
            <v>SHERWIN WILLIAMS</v>
          </cell>
          <cell r="E3181">
            <v>20034</v>
          </cell>
          <cell r="F3181" t="str">
            <v>VERNIZ AUTOMOTIVO</v>
          </cell>
          <cell r="G3181" t="str">
            <v>AUTOMOTIVO</v>
          </cell>
        </row>
        <row r="3182">
          <cell r="A3182">
            <v>24067</v>
          </cell>
          <cell r="B3182" t="str">
            <v>KIT VERNIZ ALTO SOLIDO 13.000+130 0,900ML SKY-21,46-ST</v>
          </cell>
          <cell r="D3182" t="str">
            <v>SKY</v>
          </cell>
          <cell r="E3182">
            <v>20034</v>
          </cell>
          <cell r="F3182" t="str">
            <v>VERNIZ AUTOMOTIVO</v>
          </cell>
          <cell r="G3182" t="str">
            <v>AUTOMOTIVO</v>
          </cell>
        </row>
        <row r="3183">
          <cell r="A3183">
            <v>20960</v>
          </cell>
          <cell r="B3183" t="str">
            <v>KIT VERNIZ FOSCO VF001 E END H0010 150ML LAZZURIL-21,46-ST</v>
          </cell>
          <cell r="C3183" t="str">
            <v>75.50.VF001-520</v>
          </cell>
          <cell r="D3183" t="str">
            <v>SHERWIN WILLIAMS</v>
          </cell>
          <cell r="E3183">
            <v>20034</v>
          </cell>
          <cell r="F3183" t="str">
            <v>VERNIZ AUTOMOTIVO</v>
          </cell>
          <cell r="G3183" t="str">
            <v>AUTOMOTIVO</v>
          </cell>
        </row>
        <row r="3184">
          <cell r="A3184">
            <v>24196</v>
          </cell>
          <cell r="B3184" t="str">
            <v>KIT VERNIZ PU FOSCO 0,900ML SKY-21,46-ST</v>
          </cell>
          <cell r="C3184" t="str">
            <v>222SK28001L3</v>
          </cell>
          <cell r="D3184" t="str">
            <v>SKY</v>
          </cell>
          <cell r="E3184">
            <v>20034</v>
          </cell>
          <cell r="F3184" t="str">
            <v>VERNIZ AUTOMOTIVO</v>
          </cell>
          <cell r="G3184" t="str">
            <v>AUTOMOTIVO</v>
          </cell>
        </row>
        <row r="3185">
          <cell r="A3185">
            <v>21227</v>
          </cell>
          <cell r="B3185" t="str">
            <v>ULTRA 7000 -VERNIZ CC900 5L - APPEARANCE PLUS PERFO CLEARCOAT-21,94-S</v>
          </cell>
          <cell r="C3185" t="str">
            <v>04.50.CC900-402</v>
          </cell>
          <cell r="D3185" t="str">
            <v>SHERWIN WILLIAMS</v>
          </cell>
          <cell r="E3185">
            <v>20034</v>
          </cell>
          <cell r="F3185" t="str">
            <v>VERNIZ AUTOMOTIVO</v>
          </cell>
          <cell r="G3185" t="str">
            <v>AUTOMOTIVO</v>
          </cell>
        </row>
        <row r="3186">
          <cell r="A3186">
            <v>83925</v>
          </cell>
          <cell r="B3186" t="str">
            <v>VERNIZ 13.000 ALTO SOLIDOS 2:1 900ML SKY-21,46-ST</v>
          </cell>
          <cell r="C3186" t="str">
            <v>2201300001B8</v>
          </cell>
          <cell r="D3186" t="str">
            <v>SKY</v>
          </cell>
          <cell r="E3186">
            <v>20034</v>
          </cell>
          <cell r="F3186" t="str">
            <v>VERNIZ AUTOMOTIVO</v>
          </cell>
          <cell r="G3186" t="str">
            <v>AUTOMOTIVO</v>
          </cell>
        </row>
        <row r="3187">
          <cell r="A3187">
            <v>20454</v>
          </cell>
          <cell r="B3187" t="str">
            <v>VERNIZ 8937 5L LAZZURIL-21,94-ST</v>
          </cell>
          <cell r="C3187" t="str">
            <v>04.50.08937-641</v>
          </cell>
          <cell r="D3187" t="str">
            <v>SHERWIN WILLIAMS</v>
          </cell>
          <cell r="E3187">
            <v>20034</v>
          </cell>
          <cell r="F3187" t="str">
            <v>VERNIZ AUTOMOTIVO</v>
          </cell>
          <cell r="G3187" t="str">
            <v>AUTOMOTIVO</v>
          </cell>
        </row>
        <row r="3188">
          <cell r="A3188">
            <v>20399</v>
          </cell>
          <cell r="B3188" t="str">
            <v>VERNIZ 8937 900ML LAZZURIL-21,94-ST</v>
          </cell>
          <cell r="C3188" t="str">
            <v>04.50.08937-442</v>
          </cell>
          <cell r="D3188" t="str">
            <v>SHERWIN WILLIAMS</v>
          </cell>
          <cell r="E3188">
            <v>20034</v>
          </cell>
          <cell r="F3188" t="str">
            <v>VERNIZ AUTOMOTIVO</v>
          </cell>
          <cell r="G3188" t="str">
            <v>AUTOMOTIVO</v>
          </cell>
        </row>
        <row r="3189">
          <cell r="A3189">
            <v>21444</v>
          </cell>
          <cell r="B3189" t="str">
            <v>VERNIZ 9100 ALTO SOLIDOS 2:1 18L WANDA-21,46-ST</v>
          </cell>
          <cell r="C3189">
            <v>529594</v>
          </cell>
          <cell r="D3189" t="str">
            <v>WANDA</v>
          </cell>
          <cell r="E3189">
            <v>20034</v>
          </cell>
          <cell r="F3189" t="str">
            <v>VERNIZ AUTOMOTIVO</v>
          </cell>
          <cell r="G3189" t="str">
            <v>AUTOMOTIVO</v>
          </cell>
        </row>
        <row r="3190">
          <cell r="A3190">
            <v>21489</v>
          </cell>
          <cell r="B3190" t="str">
            <v>VERNIZ 9100 ALTO SOLIDOS 2:1 4L WANDA-21,46-ST</v>
          </cell>
          <cell r="C3190">
            <v>529595</v>
          </cell>
          <cell r="D3190" t="str">
            <v>WANDA</v>
          </cell>
          <cell r="E3190">
            <v>20034</v>
          </cell>
          <cell r="F3190" t="str">
            <v>VERNIZ AUTOMOTIVO</v>
          </cell>
          <cell r="G3190" t="str">
            <v>AUTOMOTIVO</v>
          </cell>
        </row>
        <row r="3191">
          <cell r="A3191">
            <v>21073</v>
          </cell>
          <cell r="B3191" t="str">
            <v>VERNIZ 9100 ALTO SOLIDOS 2:1 900ML WANDA-21,46-ST</v>
          </cell>
          <cell r="C3191">
            <v>529593</v>
          </cell>
          <cell r="D3191" t="str">
            <v>WANDA</v>
          </cell>
          <cell r="E3191">
            <v>20034</v>
          </cell>
          <cell r="F3191" t="str">
            <v>VERNIZ AUTOMOTIVO</v>
          </cell>
          <cell r="G3191" t="str">
            <v>AUTOMOTIVO</v>
          </cell>
        </row>
        <row r="3192">
          <cell r="A3192">
            <v>85282</v>
          </cell>
          <cell r="B3192" t="str">
            <v>VERNIZ 9500 ALTO SOLIDOS 2:1 900ML WANDA</v>
          </cell>
          <cell r="C3192">
            <v>605546</v>
          </cell>
          <cell r="D3192" t="str">
            <v>WANDA</v>
          </cell>
          <cell r="E3192">
            <v>20034</v>
          </cell>
          <cell r="F3192" t="str">
            <v>VERNIZ AUTOMOTIVO</v>
          </cell>
          <cell r="G3192" t="str">
            <v>AUTOMOTIVO</v>
          </cell>
        </row>
        <row r="3193">
          <cell r="A3193">
            <v>17</v>
          </cell>
          <cell r="B3193" t="str">
            <v>VERNIZ ACR. P/USO 7000 WANDA-21,94-ST</v>
          </cell>
          <cell r="C3193">
            <v>529589</v>
          </cell>
          <cell r="D3193" t="str">
            <v>WANDA</v>
          </cell>
          <cell r="E3193">
            <v>20034</v>
          </cell>
          <cell r="F3193" t="str">
            <v>VERNIZ AUTOMOTIVO</v>
          </cell>
          <cell r="G3193" t="str">
            <v>AUTOMOTIVO</v>
          </cell>
        </row>
        <row r="3194">
          <cell r="A3194">
            <v>24127</v>
          </cell>
          <cell r="B3194" t="str">
            <v>VERNIZ ALTO SOLIDO 12.000 0,675ML SKY-21,94-ST</v>
          </cell>
          <cell r="C3194">
            <v>220120000119</v>
          </cell>
          <cell r="D3194" t="str">
            <v>SKY</v>
          </cell>
          <cell r="E3194">
            <v>20034</v>
          </cell>
          <cell r="F3194" t="str">
            <v>VERNIZ AUTOMOTIVO</v>
          </cell>
          <cell r="G3194" t="str">
            <v>AUTOMOTIVO</v>
          </cell>
        </row>
        <row r="3195">
          <cell r="A3195">
            <v>24197</v>
          </cell>
          <cell r="B3195" t="str">
            <v>VERNIZ ALTO SOLIDO 13.000 5L SKY-21,94-ST</v>
          </cell>
          <cell r="C3195">
            <v>220130000123</v>
          </cell>
          <cell r="D3195" t="str">
            <v>SKY</v>
          </cell>
          <cell r="E3195">
            <v>20034</v>
          </cell>
          <cell r="F3195" t="str">
            <v>VERNIZ AUTOMOTIVO</v>
          </cell>
          <cell r="G3195" t="str">
            <v>AUTOMOTIVO</v>
          </cell>
        </row>
        <row r="3196">
          <cell r="A3196">
            <v>24130</v>
          </cell>
          <cell r="B3196" t="str">
            <v>VERNIZ ALTO SOLIDO 4:1 15.000 0,900ML SKY-21,94-ST</v>
          </cell>
          <cell r="C3196">
            <v>220150000101</v>
          </cell>
          <cell r="D3196" t="str">
            <v>SKY</v>
          </cell>
          <cell r="E3196">
            <v>20034</v>
          </cell>
          <cell r="F3196" t="str">
            <v>VERNIZ AUTOMOTIVO</v>
          </cell>
          <cell r="G3196" t="str">
            <v>AUTOMOTIVO</v>
          </cell>
        </row>
        <row r="3197">
          <cell r="A3197">
            <v>116</v>
          </cell>
          <cell r="B3197" t="str">
            <v>VERNIZ ALTO SOLIDOS 15.000 4:1 5L SKY-21,94-ST</v>
          </cell>
          <cell r="C3197">
            <v>220150000123</v>
          </cell>
          <cell r="D3197" t="str">
            <v>SKY</v>
          </cell>
          <cell r="E3197">
            <v>20034</v>
          </cell>
          <cell r="F3197" t="str">
            <v>VERNIZ AUTOMOTIVO</v>
          </cell>
          <cell r="G3197" t="str">
            <v>AUTOMOTIVO</v>
          </cell>
        </row>
        <row r="3198">
          <cell r="A3198">
            <v>85163</v>
          </cell>
          <cell r="B3198" t="str">
            <v>VERNIZ ALTO SOLIDOS 9038 900ML</v>
          </cell>
          <cell r="C3198" t="str">
            <v>VN 220093801</v>
          </cell>
          <cell r="D3198" t="str">
            <v>BRASILUX</v>
          </cell>
          <cell r="E3198">
            <v>20034</v>
          </cell>
          <cell r="F3198" t="str">
            <v>VERNIZ AUTOMOTIVO</v>
          </cell>
          <cell r="G3198" t="str">
            <v>AUTOMOTIVO</v>
          </cell>
        </row>
        <row r="3199">
          <cell r="A3199">
            <v>23941</v>
          </cell>
          <cell r="B3199" t="str">
            <v>VERNIZ GLOBAL 50 5L ROBERLO-21,94-ST</v>
          </cell>
          <cell r="C3199">
            <v>66402</v>
          </cell>
          <cell r="D3199" t="str">
            <v>ROBERLO</v>
          </cell>
          <cell r="E3199">
            <v>20034</v>
          </cell>
          <cell r="F3199" t="str">
            <v>VERNIZ AUTOMOTIVO</v>
          </cell>
          <cell r="G3199" t="str">
            <v>AUTOMOTIVO</v>
          </cell>
        </row>
        <row r="3200">
          <cell r="A3200">
            <v>218</v>
          </cell>
          <cell r="B3200" t="str">
            <v>VERNIZ HT W-20 0,750ML WEQ-21,94-ST</v>
          </cell>
          <cell r="C3200">
            <v>147258</v>
          </cell>
          <cell r="D3200" t="str">
            <v>.</v>
          </cell>
          <cell r="E3200">
            <v>20034</v>
          </cell>
          <cell r="F3200" t="str">
            <v>VERNIZ AUTOMOTIVO</v>
          </cell>
          <cell r="G3200" t="str">
            <v>AUTOMOTIVO</v>
          </cell>
        </row>
        <row r="3201">
          <cell r="A3201">
            <v>84562</v>
          </cell>
          <cell r="B3201" t="str">
            <v>BRASIDUR-PRIMER PU CINZA POLIURETANO 8X1 800ML BRASILUX</v>
          </cell>
          <cell r="C3201" t="str">
            <v>PR 260680027</v>
          </cell>
          <cell r="D3201" t="str">
            <v>BRASILUX</v>
          </cell>
          <cell r="E3201">
            <v>20035</v>
          </cell>
          <cell r="F3201" t="str">
            <v>PRIMER AUTOMOTIVO</v>
          </cell>
          <cell r="G3201" t="str">
            <v>AUTOMOTIVO</v>
          </cell>
        </row>
        <row r="3202">
          <cell r="A3202">
            <v>21490</v>
          </cell>
          <cell r="B3202" t="str">
            <v>VERNIZ PU 5100 HS 5LTS WANDA-21,94-ST</v>
          </cell>
          <cell r="C3202">
            <v>510439</v>
          </cell>
          <cell r="D3202" t="str">
            <v>WANDA</v>
          </cell>
          <cell r="E3202">
            <v>20034</v>
          </cell>
          <cell r="F3202" t="str">
            <v>VERNIZ AUTOMOTIVO</v>
          </cell>
          <cell r="G3202" t="str">
            <v>AUTOMOTIVO</v>
          </cell>
        </row>
        <row r="3203">
          <cell r="A3203">
            <v>21084</v>
          </cell>
          <cell r="B3203" t="str">
            <v>VERNIZ PU CARBON 2:1 0,900ML ANJO-21,94-ST</v>
          </cell>
          <cell r="C3203" t="str">
            <v>035403-22</v>
          </cell>
          <cell r="D3203" t="str">
            <v>ANJO</v>
          </cell>
          <cell r="E3203">
            <v>20034</v>
          </cell>
          <cell r="F3203" t="str">
            <v>VERNIZ AUTOMOTIVO</v>
          </cell>
          <cell r="G3203" t="str">
            <v>AUTOMOTIVO</v>
          </cell>
        </row>
        <row r="3204">
          <cell r="A3204">
            <v>239</v>
          </cell>
          <cell r="B3204" t="str">
            <v>VERNIZ PU CARBON HS 2:1 5L ANJO-21,94-ST</v>
          </cell>
          <cell r="C3204">
            <v>125478963</v>
          </cell>
          <cell r="D3204" t="str">
            <v>ANJO</v>
          </cell>
          <cell r="E3204">
            <v>20034</v>
          </cell>
          <cell r="F3204" t="str">
            <v>VERNIZ AUTOMOTIVO</v>
          </cell>
          <cell r="G3204" t="str">
            <v>AUTOMOTIVO</v>
          </cell>
        </row>
        <row r="3205">
          <cell r="A3205">
            <v>202</v>
          </cell>
          <cell r="B3205" t="str">
            <v>VERNIZ PU CARBON MS 5:1 0,750ML ANJO-21,94-ST</v>
          </cell>
          <cell r="C3205" t="str">
            <v>035404-19</v>
          </cell>
          <cell r="D3205" t="str">
            <v>ANJO</v>
          </cell>
          <cell r="E3205">
            <v>20034</v>
          </cell>
          <cell r="F3205" t="str">
            <v>VERNIZ AUTOMOTIVO</v>
          </cell>
          <cell r="G3205" t="str">
            <v>AUTOMOTIVO</v>
          </cell>
        </row>
        <row r="3206">
          <cell r="A3206">
            <v>79</v>
          </cell>
          <cell r="B3206" t="str">
            <v>VERNIZ RAPIDO PRONTO PARA USO 0,900ML SKY-21,94-ST</v>
          </cell>
          <cell r="C3206">
            <v>150009400101</v>
          </cell>
          <cell r="D3206" t="str">
            <v>SKY</v>
          </cell>
          <cell r="E3206">
            <v>20034</v>
          </cell>
          <cell r="F3206" t="str">
            <v>VERNIZ AUTOMOTIVO</v>
          </cell>
          <cell r="G3206" t="str">
            <v>AUTOMOTIVO</v>
          </cell>
        </row>
        <row r="3207">
          <cell r="A3207">
            <v>24415</v>
          </cell>
          <cell r="B3207" t="str">
            <v>VERNIZ SKYFAST HS 5:1 0,900 SKY-21,94-ST</v>
          </cell>
          <cell r="C3207" t="str">
            <v>220RR2000101</v>
          </cell>
          <cell r="D3207" t="str">
            <v>SKY</v>
          </cell>
          <cell r="E3207">
            <v>20034</v>
          </cell>
          <cell r="F3207" t="str">
            <v>VERNIZ AUTOMOTIVO</v>
          </cell>
          <cell r="G3207" t="str">
            <v>AUTOMOTIVO</v>
          </cell>
        </row>
        <row r="3208">
          <cell r="A3208">
            <v>21939</v>
          </cell>
          <cell r="B3208" t="str">
            <v>VERNIZ V311 750ML ROBERLO-21,94-ST</v>
          </cell>
          <cell r="C3208">
            <v>65177</v>
          </cell>
          <cell r="D3208" t="str">
            <v>ROBERLO</v>
          </cell>
          <cell r="E3208">
            <v>20034</v>
          </cell>
          <cell r="F3208" t="str">
            <v>VERNIZ AUTOMOTIVO</v>
          </cell>
          <cell r="G3208" t="str">
            <v>AUTOMOTIVO</v>
          </cell>
        </row>
        <row r="3209">
          <cell r="A3209">
            <v>23022</v>
          </cell>
          <cell r="B3209" t="str">
            <v>AUTOCOAT BT SL - ALUMINIO FENOLICO 3L -21,46-ST</v>
          </cell>
          <cell r="C3209">
            <v>529876</v>
          </cell>
          <cell r="D3209" t="str">
            <v>SIKKENS</v>
          </cell>
          <cell r="E3209">
            <v>20033</v>
          </cell>
          <cell r="F3209" t="str">
            <v>BASES LACA / SINTETICO / TECH FLEET</v>
          </cell>
          <cell r="G3209" t="str">
            <v>AUTOMOTIVO</v>
          </cell>
        </row>
        <row r="3210">
          <cell r="A3210">
            <v>22642</v>
          </cell>
          <cell r="B3210" t="str">
            <v>Autocoat BT Techfleet MM 5007 Base Epoxi 3,6L-21,94-ST</v>
          </cell>
          <cell r="C3210">
            <v>530513</v>
          </cell>
          <cell r="D3210" t="str">
            <v>TECH FLEET</v>
          </cell>
          <cell r="E3210">
            <v>20033</v>
          </cell>
          <cell r="F3210" t="str">
            <v>BASES LACA / SINTETICO / TECH FLEET</v>
          </cell>
          <cell r="G3210" t="str">
            <v>AUTOMOTIVO</v>
          </cell>
        </row>
        <row r="3211">
          <cell r="A3211">
            <v>22643</v>
          </cell>
          <cell r="B3211" t="str">
            <v>Autocoat BT Techfleet MM 5008 Base Epoxi Fosco 3,6L-21,94-ST</v>
          </cell>
          <cell r="C3211">
            <v>530514</v>
          </cell>
          <cell r="D3211" t="str">
            <v>TECH FLEET</v>
          </cell>
          <cell r="E3211">
            <v>20033</v>
          </cell>
          <cell r="F3211" t="str">
            <v>BASES LACA / SINTETICO / TECH FLEET</v>
          </cell>
          <cell r="G3211" t="str">
            <v>AUTOMOTIVO</v>
          </cell>
        </row>
        <row r="3212">
          <cell r="A3212">
            <v>22621</v>
          </cell>
          <cell r="B3212" t="str">
            <v>Autocoat BT Techfleet MM 7000 Base PU 18L-21,94-ST</v>
          </cell>
          <cell r="C3212">
            <v>529932</v>
          </cell>
          <cell r="D3212" t="str">
            <v>TECH FLEET</v>
          </cell>
          <cell r="E3212">
            <v>20033</v>
          </cell>
          <cell r="F3212" t="str">
            <v>BASES LACA / SINTETICO / TECH FLEET</v>
          </cell>
          <cell r="G3212" t="str">
            <v>AUTOMOTIVO</v>
          </cell>
        </row>
        <row r="3213">
          <cell r="A3213">
            <v>22636</v>
          </cell>
          <cell r="B3213" t="str">
            <v>Autocoat BT Techfleet MM 7002 Base PU Fosca 3.6L-21,94-ST</v>
          </cell>
          <cell r="C3213">
            <v>529933</v>
          </cell>
          <cell r="D3213" t="str">
            <v>TECH FLEET</v>
          </cell>
          <cell r="E3213">
            <v>20033</v>
          </cell>
          <cell r="F3213" t="str">
            <v>BASES LACA / SINTETICO / TECH FLEET</v>
          </cell>
          <cell r="G3213" t="str">
            <v>AUTOMOTIVO</v>
          </cell>
        </row>
        <row r="3214">
          <cell r="A3214">
            <v>22622</v>
          </cell>
          <cell r="B3214" t="str">
            <v>Autocoat BT Techfleet MM 7100 Branco 3,6L-21,94-ST</v>
          </cell>
          <cell r="C3214">
            <v>529934</v>
          </cell>
          <cell r="D3214" t="str">
            <v>TECH FLEET</v>
          </cell>
          <cell r="E3214">
            <v>20033</v>
          </cell>
          <cell r="F3214" t="str">
            <v>BASES LACA / SINTETICO / TECH FLEET</v>
          </cell>
          <cell r="G3214" t="str">
            <v>AUTOMOTIVO</v>
          </cell>
        </row>
        <row r="3215">
          <cell r="A3215">
            <v>22627</v>
          </cell>
          <cell r="B3215" t="str">
            <v>Autocoat BT Techfleet MM 7210 Vermelho Oxido 3.6L-21,94-ST</v>
          </cell>
          <cell r="C3215">
            <v>529935</v>
          </cell>
          <cell r="D3215" t="str">
            <v>TECH FLEET</v>
          </cell>
          <cell r="E3215">
            <v>20033</v>
          </cell>
          <cell r="F3215" t="str">
            <v>BASES LACA / SINTETICO / TECH FLEET</v>
          </cell>
          <cell r="G3215" t="str">
            <v>AUTOMOTIVO</v>
          </cell>
        </row>
        <row r="3216">
          <cell r="A3216">
            <v>22628</v>
          </cell>
          <cell r="B3216" t="str">
            <v>Autocoat BT Techfleet MM 7220 Vermelho Limpo 3.6L-21,94-ST</v>
          </cell>
          <cell r="C3216">
            <v>529936</v>
          </cell>
          <cell r="D3216" t="str">
            <v>TECH FLEET</v>
          </cell>
          <cell r="E3216">
            <v>20033</v>
          </cell>
          <cell r="F3216" t="str">
            <v>BASES LACA / SINTETICO / TECH FLEET</v>
          </cell>
          <cell r="G3216" t="str">
            <v>AUTOMOTIVO</v>
          </cell>
        </row>
        <row r="3217">
          <cell r="A3217">
            <v>22635</v>
          </cell>
          <cell r="B3217" t="str">
            <v>Autocoat BT Techfleet MM 7300 Laranja 3.6L-21,94-ST</v>
          </cell>
          <cell r="C3217">
            <v>529937</v>
          </cell>
          <cell r="D3217" t="str">
            <v>TECH FLEET</v>
          </cell>
          <cell r="E3217">
            <v>20033</v>
          </cell>
          <cell r="F3217" t="str">
            <v>BASES LACA / SINTETICO / TECH FLEET</v>
          </cell>
          <cell r="G3217" t="str">
            <v>AUTOMOTIVO</v>
          </cell>
        </row>
        <row r="3218">
          <cell r="A3218">
            <v>22629</v>
          </cell>
          <cell r="B3218" t="str">
            <v>Autocoat BT Techfleet MM 7400 Amarelo Oxido 3.6L-21,94-ST</v>
          </cell>
          <cell r="C3218">
            <v>529938</v>
          </cell>
          <cell r="D3218" t="str">
            <v>TECH FLEET</v>
          </cell>
          <cell r="E3218">
            <v>20033</v>
          </cell>
          <cell r="F3218" t="str">
            <v>BASES LACA / SINTETICO / TECH FLEET</v>
          </cell>
          <cell r="G3218" t="str">
            <v>AUTOMOTIVO</v>
          </cell>
        </row>
        <row r="3219">
          <cell r="A3219">
            <v>22630</v>
          </cell>
          <cell r="B3219" t="str">
            <v>Autocoat BT Techfleet MM 7440 Amarelo Avermelhado 3.6L-21,94-ST</v>
          </cell>
          <cell r="C3219">
            <v>529939</v>
          </cell>
          <cell r="D3219" t="str">
            <v>TECH FLEET</v>
          </cell>
          <cell r="E3219">
            <v>20033</v>
          </cell>
          <cell r="F3219" t="str">
            <v>BASES LACA / SINTETICO / TECH FLEET</v>
          </cell>
          <cell r="G3219" t="str">
            <v>AUTOMOTIVO</v>
          </cell>
        </row>
        <row r="3220">
          <cell r="A3220">
            <v>22624</v>
          </cell>
          <cell r="B3220" t="str">
            <v>Autocoat BT Techfleet MM 7450 Amarelo Brilhante 3.6L-21,94-ST</v>
          </cell>
          <cell r="C3220">
            <v>529940</v>
          </cell>
          <cell r="D3220" t="str">
            <v>TECH FLEET</v>
          </cell>
          <cell r="E3220">
            <v>20033</v>
          </cell>
          <cell r="F3220" t="str">
            <v>BASES LACA / SINTETICO / TECH FLEET</v>
          </cell>
          <cell r="G3220" t="str">
            <v>AUTOMOTIVO</v>
          </cell>
        </row>
        <row r="3221">
          <cell r="A3221">
            <v>22631</v>
          </cell>
          <cell r="B3221" t="str">
            <v>Autocoat BT Techfleet MM 7460 Amarelo Medio 3.6L-21,94-ST</v>
          </cell>
          <cell r="C3221">
            <v>529941</v>
          </cell>
          <cell r="D3221" t="str">
            <v>TECH FLEET</v>
          </cell>
          <cell r="E3221">
            <v>20033</v>
          </cell>
          <cell r="F3221" t="str">
            <v>BASES LACA / SINTETICO / TECH FLEET</v>
          </cell>
          <cell r="G3221" t="str">
            <v>AUTOMOTIVO</v>
          </cell>
        </row>
        <row r="3222">
          <cell r="A3222">
            <v>22658</v>
          </cell>
          <cell r="B3222" t="str">
            <v>Autocoat BT Techfleet MM 7500 Verde 3.6L-21,94-ST</v>
          </cell>
          <cell r="C3222">
            <v>529942</v>
          </cell>
          <cell r="D3222" t="str">
            <v>TECH FLEET</v>
          </cell>
          <cell r="E3222">
            <v>20033</v>
          </cell>
          <cell r="F3222" t="str">
            <v>BASES LACA / SINTETICO / TECH FLEET</v>
          </cell>
          <cell r="G3222" t="str">
            <v>AUTOMOTIVO</v>
          </cell>
        </row>
        <row r="3223">
          <cell r="A3223">
            <v>22625</v>
          </cell>
          <cell r="B3223" t="str">
            <v>Autocoat BT Techfleet MM 7600 Azul Esverdeado 3.6L-21,94-ST</v>
          </cell>
          <cell r="C3223">
            <v>529943</v>
          </cell>
          <cell r="D3223" t="str">
            <v>TECH FLEET</v>
          </cell>
          <cell r="E3223">
            <v>20033</v>
          </cell>
          <cell r="F3223" t="str">
            <v>BASES LACA / SINTETICO / TECH FLEET</v>
          </cell>
          <cell r="G3223" t="str">
            <v>AUTOMOTIVO</v>
          </cell>
        </row>
        <row r="3224">
          <cell r="A3224">
            <v>22626</v>
          </cell>
          <cell r="B3224" t="str">
            <v>Autocoat BT Techfleet MM 7610 Azul Avermelhado 3.6L-21,94-ST</v>
          </cell>
          <cell r="C3224">
            <v>529944</v>
          </cell>
          <cell r="D3224" t="str">
            <v>TECH FLEET</v>
          </cell>
          <cell r="E3224">
            <v>20033</v>
          </cell>
          <cell r="F3224" t="str">
            <v>BASES LACA / SINTETICO / TECH FLEET</v>
          </cell>
          <cell r="G3224" t="str">
            <v>AUTOMOTIVO</v>
          </cell>
        </row>
        <row r="3225">
          <cell r="A3225">
            <v>22632</v>
          </cell>
          <cell r="B3225" t="str">
            <v>Autocoat BT Techfleet MM 7730 Rosa 3.6L-21,94-ST</v>
          </cell>
          <cell r="C3225">
            <v>529945</v>
          </cell>
          <cell r="D3225" t="str">
            <v>TECH FLEET</v>
          </cell>
          <cell r="E3225">
            <v>20033</v>
          </cell>
          <cell r="F3225" t="str">
            <v>BASES LACA / SINTETICO / TECH FLEET</v>
          </cell>
          <cell r="G3225" t="str">
            <v>AUTOMOTIVO</v>
          </cell>
        </row>
        <row r="3226">
          <cell r="A3226">
            <v>22633</v>
          </cell>
          <cell r="B3226" t="str">
            <v>Autocoat BT Techfleet MM 7750 Violeta 3.6L-21,94-ST</v>
          </cell>
          <cell r="C3226">
            <v>529946</v>
          </cell>
          <cell r="D3226" t="str">
            <v>TECH FLEET</v>
          </cell>
          <cell r="E3226">
            <v>20033</v>
          </cell>
          <cell r="F3226" t="str">
            <v>BASES LACA / SINTETICO / TECH FLEET</v>
          </cell>
          <cell r="G3226" t="str">
            <v>AUTOMOTIVO</v>
          </cell>
        </row>
        <row r="3227">
          <cell r="A3227">
            <v>22634</v>
          </cell>
          <cell r="B3227" t="str">
            <v>Autocoat BT Techfleet MM 7760 Violeta Avermelhado 3.6L-21,94-ST</v>
          </cell>
          <cell r="C3227">
            <v>529947</v>
          </cell>
          <cell r="D3227" t="str">
            <v>TECH FLEET</v>
          </cell>
          <cell r="E3227">
            <v>20033</v>
          </cell>
          <cell r="F3227" t="str">
            <v>BASES LACA / SINTETICO / TECH FLEET</v>
          </cell>
          <cell r="G3227" t="str">
            <v>AUTOMOTIVO</v>
          </cell>
        </row>
        <row r="3228">
          <cell r="A3228">
            <v>22623</v>
          </cell>
          <cell r="B3228" t="str">
            <v>Autocoat BT Techfleet MM 7800 Preto 3.6L-21,94-ST</v>
          </cell>
          <cell r="C3228">
            <v>529948</v>
          </cell>
          <cell r="D3228" t="str">
            <v>TECH FLEET</v>
          </cell>
          <cell r="E3228">
            <v>20033</v>
          </cell>
          <cell r="F3228" t="str">
            <v>BASES LACA / SINTETICO / TECH FLEET</v>
          </cell>
          <cell r="G3228" t="str">
            <v>AUTOMOTIVO</v>
          </cell>
        </row>
        <row r="3229">
          <cell r="A3229">
            <v>22637</v>
          </cell>
          <cell r="B3229" t="str">
            <v>Autocoat BT Techfleet MM 7910 Aluminio Fino 3.6L-21,94-ST</v>
          </cell>
          <cell r="C3229">
            <v>529949</v>
          </cell>
          <cell r="D3229" t="str">
            <v>TECH FLEET</v>
          </cell>
          <cell r="E3229">
            <v>20033</v>
          </cell>
          <cell r="F3229" t="str">
            <v>BASES LACA / SINTETICO / TECH FLEET</v>
          </cell>
          <cell r="G3229" t="str">
            <v>AUTOMOTIVO</v>
          </cell>
        </row>
        <row r="3230">
          <cell r="A3230">
            <v>22638</v>
          </cell>
          <cell r="B3230" t="str">
            <v>Autocoat BT Techfleet MM 7920 Aluminio Medio 3.6L-21,94-ST</v>
          </cell>
          <cell r="C3230">
            <v>529950</v>
          </cell>
          <cell r="D3230" t="str">
            <v>TECH FLEET</v>
          </cell>
          <cell r="E3230">
            <v>20033</v>
          </cell>
          <cell r="F3230" t="str">
            <v>BASES LACA / SINTETICO / TECH FLEET</v>
          </cell>
          <cell r="G3230" t="str">
            <v>AUTOMOTIVO</v>
          </cell>
        </row>
        <row r="3231">
          <cell r="A3231">
            <v>22639</v>
          </cell>
          <cell r="B3231" t="str">
            <v>Autocoat BT Techfleet MM 7930 Aluminio Graudo 3.6L-21,94-ST</v>
          </cell>
          <cell r="C3231">
            <v>529951</v>
          </cell>
          <cell r="D3231" t="str">
            <v>TECH FLEET</v>
          </cell>
          <cell r="E3231">
            <v>20033</v>
          </cell>
          <cell r="F3231" t="str">
            <v>BASES LACA / SINTETICO / TECH FLEET</v>
          </cell>
          <cell r="G3231" t="str">
            <v>AUTOMOTIVO</v>
          </cell>
        </row>
        <row r="3232">
          <cell r="A3232">
            <v>22645</v>
          </cell>
          <cell r="B3232" t="str">
            <v>Autocoat BT Techfleet MM 8004 Base Sintetico 18L-21,94-ST</v>
          </cell>
          <cell r="C3232">
            <v>530515</v>
          </cell>
          <cell r="D3232" t="str">
            <v>TECH FLEET</v>
          </cell>
          <cell r="E3232">
            <v>20033</v>
          </cell>
          <cell r="F3232" t="str">
            <v>BASES LACA / SINTETICO / TECH FLEET</v>
          </cell>
          <cell r="G3232" t="str">
            <v>AUTOMOTIVO</v>
          </cell>
        </row>
        <row r="3233">
          <cell r="A3233">
            <v>22646</v>
          </cell>
          <cell r="B3233" t="str">
            <v>Autocoat BT Techfleet MM 8005 Binder Sintetico Fosco 3.6L-21,94-ST</v>
          </cell>
          <cell r="C3233">
            <v>529952</v>
          </cell>
          <cell r="D3233" t="str">
            <v>TECH FLEET</v>
          </cell>
          <cell r="E3233">
            <v>20033</v>
          </cell>
          <cell r="F3233" t="str">
            <v>BASES LACA / SINTETICO / TECH FLEET</v>
          </cell>
          <cell r="G3233" t="str">
            <v>AUTOMOTIVO</v>
          </cell>
        </row>
        <row r="3234">
          <cell r="A3234">
            <v>22640</v>
          </cell>
          <cell r="B3234" t="str">
            <v>AUTOCOAT BT TECHFLEET MM 9006 BINDER LACA NITRO 18L-21,94-STA</v>
          </cell>
          <cell r="C3234">
            <v>529953</v>
          </cell>
          <cell r="D3234" t="str">
            <v>TECH FLEET</v>
          </cell>
          <cell r="E3234">
            <v>20033</v>
          </cell>
          <cell r="F3234" t="str">
            <v>BASES LACA / SINTETICO / TECH FLEET</v>
          </cell>
          <cell r="G3234" t="str">
            <v>AUTOMOTIVO</v>
          </cell>
        </row>
        <row r="3235">
          <cell r="A3235">
            <v>243</v>
          </cell>
          <cell r="B3235" t="str">
            <v>AUTOCOAT BT TECHFLEET MM 9007 BINDER LACA FOSCO 3,600ML-21,94-ST</v>
          </cell>
          <cell r="C3235">
            <v>571783</v>
          </cell>
          <cell r="D3235" t="str">
            <v>TECH FLEET</v>
          </cell>
          <cell r="E3235">
            <v>20033</v>
          </cell>
          <cell r="F3235" t="str">
            <v>BASES LACA / SINTETICO / TECH FLEET</v>
          </cell>
          <cell r="G3235" t="str">
            <v>AUTOMOTIVO</v>
          </cell>
        </row>
        <row r="3236">
          <cell r="A3236">
            <v>84714</v>
          </cell>
          <cell r="B3236" t="str">
            <v>AUTOCOAT BT 090 MM 01 - BINDER 18L UN 1263 TINTA 3 II</v>
          </cell>
          <cell r="C3236">
            <v>541210</v>
          </cell>
          <cell r="D3236" t="str">
            <v>WANDA</v>
          </cell>
          <cell r="E3236">
            <v>20032</v>
          </cell>
          <cell r="F3236" t="str">
            <v>BASES PU</v>
          </cell>
          <cell r="G3236" t="str">
            <v>AUTOMOTIVO</v>
          </cell>
        </row>
        <row r="3237">
          <cell r="A3237">
            <v>23027</v>
          </cell>
          <cell r="B3237" t="str">
            <v>AUTOCOAT BT 100 MM 00 - FOSQUEANTE 3,75L</v>
          </cell>
          <cell r="C3237">
            <v>529811</v>
          </cell>
          <cell r="D3237" t="str">
            <v>WANDA</v>
          </cell>
          <cell r="E3237">
            <v>20032</v>
          </cell>
          <cell r="F3237" t="str">
            <v>BASES PU</v>
          </cell>
          <cell r="G3237" t="str">
            <v>AUTOMOTIVO</v>
          </cell>
        </row>
        <row r="3238">
          <cell r="A3238">
            <v>23001</v>
          </cell>
          <cell r="B3238" t="str">
            <v>AUTOCOAT BT 100 MM 05 - BINDER 18L</v>
          </cell>
          <cell r="C3238">
            <v>529813</v>
          </cell>
          <cell r="D3238" t="str">
            <v>WANDA</v>
          </cell>
          <cell r="E3238">
            <v>20032</v>
          </cell>
          <cell r="F3238" t="str">
            <v>BASES PU</v>
          </cell>
          <cell r="G3238" t="str">
            <v>AUTOMOTIVO</v>
          </cell>
        </row>
        <row r="3239">
          <cell r="A3239">
            <v>84685</v>
          </cell>
          <cell r="B3239" t="str">
            <v>AUTOCOAT BT 100 MM 05 - BINDER 3,75L</v>
          </cell>
          <cell r="C3239">
            <v>529815</v>
          </cell>
          <cell r="D3239" t="str">
            <v>WANDA</v>
          </cell>
          <cell r="E3239">
            <v>20032</v>
          </cell>
          <cell r="F3239" t="str">
            <v>BASES PU</v>
          </cell>
          <cell r="G3239" t="str">
            <v>AUTOMOTIVO</v>
          </cell>
        </row>
        <row r="3240">
          <cell r="A3240">
            <v>23002</v>
          </cell>
          <cell r="B3240" t="str">
            <v>AUTOCOAT BT 100 MM 10 - BRANCO 3,75L</v>
          </cell>
          <cell r="C3240">
            <v>529819</v>
          </cell>
          <cell r="D3240" t="str">
            <v>WANDA</v>
          </cell>
          <cell r="E3240">
            <v>20032</v>
          </cell>
          <cell r="F3240" t="str">
            <v>BASES PU</v>
          </cell>
          <cell r="G3240" t="str">
            <v>AUTOMOTIVO</v>
          </cell>
        </row>
        <row r="3241">
          <cell r="A3241">
            <v>23003</v>
          </cell>
          <cell r="B3241" t="str">
            <v>AUTOCOAT BT 100 MM 15 - PRETO 3,75L</v>
          </cell>
          <cell r="C3241">
            <v>529821</v>
          </cell>
          <cell r="D3241" t="str">
            <v>WANDA</v>
          </cell>
          <cell r="E3241">
            <v>20032</v>
          </cell>
          <cell r="F3241" t="str">
            <v>BASES PU</v>
          </cell>
          <cell r="G3241" t="str">
            <v>AUTOMOTIVO</v>
          </cell>
        </row>
        <row r="3242">
          <cell r="A3242">
            <v>23004</v>
          </cell>
          <cell r="B3242" t="str">
            <v>AUTOCOAT BT 100 MM 16 - PRETO PROFUNDO 3,75L</v>
          </cell>
          <cell r="C3242">
            <v>529822</v>
          </cell>
          <cell r="D3242" t="str">
            <v>WANDA</v>
          </cell>
          <cell r="E3242">
            <v>20032</v>
          </cell>
          <cell r="F3242" t="str">
            <v>BASES PU</v>
          </cell>
          <cell r="G3242" t="str">
            <v>AUTOMOTIVO</v>
          </cell>
        </row>
        <row r="3243">
          <cell r="A3243">
            <v>23005</v>
          </cell>
          <cell r="B3243" t="str">
            <v>AUTOCOAT BT 100 MM 19 - PRETO ESPECIAL 3,75L</v>
          </cell>
          <cell r="C3243">
            <v>529823</v>
          </cell>
          <cell r="D3243" t="str">
            <v>WANDA</v>
          </cell>
          <cell r="E3243">
            <v>20032</v>
          </cell>
          <cell r="F3243" t="str">
            <v>BASES PU</v>
          </cell>
          <cell r="G3243" t="str">
            <v>AUTOMOTIVO</v>
          </cell>
        </row>
        <row r="3244">
          <cell r="A3244">
            <v>23006</v>
          </cell>
          <cell r="B3244" t="str">
            <v>AUTOCOAT BT 100 MM 23 - VERMELHO OXIDO 3,75L</v>
          </cell>
          <cell r="C3244">
            <v>529824</v>
          </cell>
          <cell r="D3244" t="str">
            <v>WANDA</v>
          </cell>
          <cell r="E3244">
            <v>20032</v>
          </cell>
          <cell r="F3244" t="str">
            <v>BASES PU</v>
          </cell>
          <cell r="G3244" t="str">
            <v>AUTOMOTIVO</v>
          </cell>
        </row>
        <row r="3245">
          <cell r="A3245">
            <v>23007</v>
          </cell>
          <cell r="B3245" t="str">
            <v>AUTOCOAT BT 100 MM 28 - VERMELHO LIMPO 3,75L</v>
          </cell>
          <cell r="C3245">
            <v>529825</v>
          </cell>
          <cell r="D3245" t="str">
            <v>WANDA</v>
          </cell>
          <cell r="E3245">
            <v>20032</v>
          </cell>
          <cell r="F3245" t="str">
            <v>BASES PU</v>
          </cell>
          <cell r="G3245" t="str">
            <v>AUTOMOTIVO</v>
          </cell>
        </row>
        <row r="3246">
          <cell r="A3246">
            <v>23008</v>
          </cell>
          <cell r="B3246" t="str">
            <v>AUTOCOAT BT 100 MM 29 - VERMELHO INTENSO 3,75L</v>
          </cell>
          <cell r="C3246">
            <v>529826</v>
          </cell>
          <cell r="D3246" t="str">
            <v>WANDA</v>
          </cell>
          <cell r="E3246">
            <v>20032</v>
          </cell>
          <cell r="F3246" t="str">
            <v>BASES PU</v>
          </cell>
          <cell r="G3246" t="str">
            <v>AUTOMOTIVO</v>
          </cell>
        </row>
        <row r="3247">
          <cell r="A3247">
            <v>23009</v>
          </cell>
          <cell r="B3247" t="str">
            <v>AUTOCOAT BT 100 MM 34 - LARANJA 3,75L</v>
          </cell>
          <cell r="C3247">
            <v>529828</v>
          </cell>
          <cell r="D3247" t="str">
            <v>WANDA</v>
          </cell>
          <cell r="E3247">
            <v>20032</v>
          </cell>
          <cell r="F3247" t="str">
            <v>BASES PU</v>
          </cell>
          <cell r="G3247" t="str">
            <v>AUTOMOTIVO</v>
          </cell>
        </row>
        <row r="3248">
          <cell r="A3248">
            <v>23010</v>
          </cell>
          <cell r="B3248" t="str">
            <v>AUTOCOAT BT 100 MM 40 - AMARELO CLARO 3,75L-21,94-ST</v>
          </cell>
          <cell r="C3248">
            <v>529830</v>
          </cell>
          <cell r="D3248" t="str">
            <v>WANDA</v>
          </cell>
          <cell r="E3248">
            <v>20032</v>
          </cell>
          <cell r="F3248" t="str">
            <v>BASES PU</v>
          </cell>
          <cell r="G3248" t="str">
            <v>AUTOMOTIVO</v>
          </cell>
        </row>
        <row r="3249">
          <cell r="A3249">
            <v>23011</v>
          </cell>
          <cell r="B3249" t="str">
            <v>AUTOCOAT BT 100 MM 42 - AMARELO OXIDO 3,75L</v>
          </cell>
          <cell r="C3249">
            <v>529832</v>
          </cell>
          <cell r="D3249" t="str">
            <v>WANDA</v>
          </cell>
          <cell r="E3249">
            <v>20032</v>
          </cell>
          <cell r="F3249" t="str">
            <v>BASES PU</v>
          </cell>
          <cell r="G3249" t="str">
            <v>AUTOMOTIVO</v>
          </cell>
        </row>
        <row r="3250">
          <cell r="A3250">
            <v>23012</v>
          </cell>
          <cell r="B3250" t="str">
            <v>AUTOCOAT BT 100 MM 43 - AMARELO AVERMELHADO 3,75L-21,94-ST</v>
          </cell>
          <cell r="C3250">
            <v>529834</v>
          </cell>
          <cell r="D3250" t="str">
            <v>WANDA</v>
          </cell>
          <cell r="E3250">
            <v>20032</v>
          </cell>
          <cell r="F3250" t="str">
            <v>BASES PU</v>
          </cell>
          <cell r="G3250" t="str">
            <v>AUTOMOTIVO</v>
          </cell>
        </row>
        <row r="3251">
          <cell r="A3251">
            <v>23013</v>
          </cell>
          <cell r="B3251" t="str">
            <v>AUTOCOAT BT 100 MM 45 - AMARELO BRILHANTE 3,75L</v>
          </cell>
          <cell r="C3251">
            <v>529836</v>
          </cell>
          <cell r="D3251" t="str">
            <v>WANDA</v>
          </cell>
          <cell r="E3251">
            <v>20032</v>
          </cell>
          <cell r="F3251" t="str">
            <v>BASES PU</v>
          </cell>
          <cell r="G3251" t="str">
            <v>AUTOMOTIVO</v>
          </cell>
        </row>
        <row r="3252">
          <cell r="A3252">
            <v>23050</v>
          </cell>
          <cell r="B3252" t="str">
            <v>AUTOCOAT BT 100 MM 56 - VERDE 3,75L</v>
          </cell>
          <cell r="C3252">
            <v>529838</v>
          </cell>
          <cell r="D3252" t="str">
            <v>WANDA</v>
          </cell>
          <cell r="E3252">
            <v>20032</v>
          </cell>
          <cell r="F3252" t="str">
            <v>BASES PU</v>
          </cell>
          <cell r="G3252" t="str">
            <v>AUTOMOTIVO</v>
          </cell>
        </row>
        <row r="3253">
          <cell r="A3253">
            <v>23014</v>
          </cell>
          <cell r="B3253" t="str">
            <v>AUTOCOAT BT 100 MM 61 - AZUL AVERMELHADO II 3,75L</v>
          </cell>
          <cell r="C3253">
            <v>529839</v>
          </cell>
          <cell r="D3253" t="str">
            <v>WANDA</v>
          </cell>
          <cell r="E3253">
            <v>20032</v>
          </cell>
          <cell r="F3253" t="str">
            <v>BASES PU</v>
          </cell>
          <cell r="G3253" t="str">
            <v>AUTOMOTIVO</v>
          </cell>
        </row>
        <row r="3254">
          <cell r="A3254">
            <v>23015</v>
          </cell>
          <cell r="B3254" t="str">
            <v>AUTOCOAT BT 100 MM 65 - AZUL 3,75L</v>
          </cell>
          <cell r="C3254">
            <v>529841</v>
          </cell>
          <cell r="D3254" t="str">
            <v>WANDA</v>
          </cell>
          <cell r="E3254">
            <v>20032</v>
          </cell>
          <cell r="F3254" t="str">
            <v>BASES PU</v>
          </cell>
          <cell r="G3254" t="str">
            <v>AUTOMOTIVO</v>
          </cell>
        </row>
        <row r="3255">
          <cell r="A3255">
            <v>23016</v>
          </cell>
          <cell r="B3255" t="str">
            <v>AUTOCOAT BT 100 MM 71 - ROSA 3,75L-21,94-ST</v>
          </cell>
          <cell r="C3255">
            <v>529842</v>
          </cell>
          <cell r="D3255" t="str">
            <v>WANDA</v>
          </cell>
          <cell r="E3255">
            <v>20032</v>
          </cell>
          <cell r="F3255" t="str">
            <v>BASES PU</v>
          </cell>
          <cell r="G3255" t="str">
            <v>AUTOMOTIVO</v>
          </cell>
        </row>
        <row r="3256">
          <cell r="A3256">
            <v>23017</v>
          </cell>
          <cell r="B3256" t="str">
            <v>AUTOCOAT BT 100 MM 72 - VIOLETA AVERMELHADO 3,75L</v>
          </cell>
          <cell r="C3256">
            <v>529843</v>
          </cell>
          <cell r="D3256" t="str">
            <v>WANDA</v>
          </cell>
          <cell r="E3256">
            <v>20032</v>
          </cell>
          <cell r="F3256" t="str">
            <v>BASES PU</v>
          </cell>
          <cell r="G3256" t="str">
            <v>AUTOMOTIVO</v>
          </cell>
        </row>
        <row r="3257">
          <cell r="A3257">
            <v>23019</v>
          </cell>
          <cell r="B3257" t="str">
            <v>AUTOCOAT BT 100 MM 76 - VIOLETA 3,75L</v>
          </cell>
          <cell r="C3257">
            <v>529845</v>
          </cell>
          <cell r="D3257" t="str">
            <v>WANDA</v>
          </cell>
          <cell r="E3257">
            <v>20032</v>
          </cell>
          <cell r="F3257" t="str">
            <v>BASES PU</v>
          </cell>
          <cell r="G3257" t="str">
            <v>AUTOMOTIVO</v>
          </cell>
        </row>
        <row r="3258">
          <cell r="A3258">
            <v>85091</v>
          </cell>
          <cell r="B3258" t="str">
            <v>AUTOCOAT BT 100 RM PRETO FOSCO 18L</v>
          </cell>
          <cell r="C3258">
            <v>545383</v>
          </cell>
          <cell r="D3258" t="str">
            <v>WANDA</v>
          </cell>
          <cell r="E3258">
            <v>20032</v>
          </cell>
          <cell r="F3258" t="str">
            <v>BASES PU</v>
          </cell>
          <cell r="G3258" t="str">
            <v>AUTOMOTIVO</v>
          </cell>
        </row>
        <row r="3259">
          <cell r="A3259">
            <v>23023</v>
          </cell>
          <cell r="B3259" t="str">
            <v>AUTOCOAT BT 302 - VERNIZ 5L</v>
          </cell>
          <cell r="C3259">
            <v>529895</v>
          </cell>
          <cell r="D3259" t="str">
            <v>WANDA</v>
          </cell>
          <cell r="E3259">
            <v>20032</v>
          </cell>
          <cell r="F3259" t="str">
            <v>BASES PU</v>
          </cell>
          <cell r="G3259" t="str">
            <v>AUTOMOTIVO</v>
          </cell>
        </row>
        <row r="3260">
          <cell r="A3260">
            <v>23031</v>
          </cell>
          <cell r="B3260" t="str">
            <v>AUTOCOAT BT 322 - THINNER EXTRA SLOW 5L</v>
          </cell>
          <cell r="C3260">
            <v>529920</v>
          </cell>
          <cell r="D3260" t="str">
            <v>WANDA</v>
          </cell>
          <cell r="E3260">
            <v>20032</v>
          </cell>
          <cell r="F3260" t="str">
            <v>BASES PU</v>
          </cell>
          <cell r="G3260" t="str">
            <v>AUTOMOTIVO</v>
          </cell>
        </row>
        <row r="3261">
          <cell r="A3261">
            <v>23032</v>
          </cell>
          <cell r="B3261" t="str">
            <v>AUTOCOAT BT 362 - THINNER 5L</v>
          </cell>
          <cell r="C3261">
            <v>529923</v>
          </cell>
          <cell r="D3261" t="str">
            <v>TECH FLEET</v>
          </cell>
          <cell r="E3261">
            <v>20032</v>
          </cell>
          <cell r="F3261" t="str">
            <v>BASES PU</v>
          </cell>
          <cell r="G3261" t="str">
            <v>AUTOMOTIVO</v>
          </cell>
        </row>
        <row r="3262">
          <cell r="A3262">
            <v>23024</v>
          </cell>
          <cell r="B3262" t="str">
            <v>AUTOCOAT BT 527 - PRIMER CINZA 2K 3,6L</v>
          </cell>
          <cell r="C3262">
            <v>529878</v>
          </cell>
          <cell r="D3262" t="str">
            <v>WANDA</v>
          </cell>
          <cell r="E3262">
            <v>20032</v>
          </cell>
          <cell r="F3262" t="str">
            <v>BASES PU</v>
          </cell>
          <cell r="G3262" t="str">
            <v>AUTOMOTIVO</v>
          </cell>
        </row>
        <row r="3263">
          <cell r="A3263">
            <v>23030</v>
          </cell>
          <cell r="B3263" t="str">
            <v>AUTOCOAT BT 548 - ENDURECEDOR 1,8L</v>
          </cell>
          <cell r="C3263">
            <v>529914</v>
          </cell>
          <cell r="D3263" t="str">
            <v>WANDA</v>
          </cell>
          <cell r="E3263">
            <v>20032</v>
          </cell>
          <cell r="F3263" t="str">
            <v>BASES PU</v>
          </cell>
          <cell r="G3263" t="str">
            <v>AUTOMOTIVO</v>
          </cell>
        </row>
        <row r="3264">
          <cell r="A3264">
            <v>22649</v>
          </cell>
          <cell r="B3264" t="str">
            <v>AUTOCOAT BT 550 - ENDURECEDOR 1L</v>
          </cell>
          <cell r="C3264">
            <v>529915</v>
          </cell>
          <cell r="D3264" t="str">
            <v>TECH FLEET</v>
          </cell>
          <cell r="E3264">
            <v>20032</v>
          </cell>
          <cell r="F3264" t="str">
            <v>BASES PU</v>
          </cell>
          <cell r="G3264" t="str">
            <v>AUTOMOTIVO</v>
          </cell>
        </row>
        <row r="3265">
          <cell r="A3265">
            <v>23025</v>
          </cell>
          <cell r="B3265" t="str">
            <v>AUTOCOAT BT 78 - TEXTURA 3,6L</v>
          </cell>
          <cell r="C3265">
            <v>529880</v>
          </cell>
          <cell r="D3265" t="str">
            <v>WANDA</v>
          </cell>
          <cell r="E3265">
            <v>20032</v>
          </cell>
          <cell r="F3265" t="str">
            <v>BASES PU</v>
          </cell>
          <cell r="G3265" t="str">
            <v>AUTOMOTIVO</v>
          </cell>
        </row>
        <row r="3266">
          <cell r="A3266">
            <v>22650</v>
          </cell>
          <cell r="B3266" t="str">
            <v>AUTOCOAT BT ADITIVO SECAGEM P/ SINTETICO 0,9L</v>
          </cell>
          <cell r="C3266">
            <v>529929</v>
          </cell>
          <cell r="D3266" t="str">
            <v>TECH FLEET</v>
          </cell>
          <cell r="E3266">
            <v>20032</v>
          </cell>
          <cell r="F3266" t="str">
            <v>BASES PU</v>
          </cell>
          <cell r="G3266" t="str">
            <v>AUTOMOTIVO</v>
          </cell>
        </row>
        <row r="3267">
          <cell r="A3267">
            <v>20759</v>
          </cell>
          <cell r="B3267" t="str">
            <v>MIXING FLEET COLOR P. U AMARELO CLARO FC611-21,94-ST</v>
          </cell>
          <cell r="C3267" t="str">
            <v>67.00.FC611-027</v>
          </cell>
          <cell r="D3267" t="str">
            <v>.</v>
          </cell>
          <cell r="E3267">
            <v>20032</v>
          </cell>
          <cell r="F3267" t="str">
            <v>BASES PU</v>
          </cell>
          <cell r="G3267" t="str">
            <v>AUTOMOTIVO</v>
          </cell>
        </row>
        <row r="3268">
          <cell r="A3268">
            <v>20769</v>
          </cell>
          <cell r="B3268" t="str">
            <v>MIXING FLEET COLOR P. U BRANCO FC650-21,94-ST</v>
          </cell>
          <cell r="C3268" t="str">
            <v>67.00.FC650-001</v>
          </cell>
          <cell r="D3268" t="str">
            <v>SHERWIN WILLIAMS</v>
          </cell>
          <cell r="E3268">
            <v>20032</v>
          </cell>
          <cell r="F3268" t="str">
            <v>BASES PU</v>
          </cell>
          <cell r="G3268" t="str">
            <v>AUTOMOTIVO</v>
          </cell>
        </row>
        <row r="3269">
          <cell r="A3269">
            <v>20755</v>
          </cell>
          <cell r="B3269" t="str">
            <v>MIXING FLEET COLOR P. U OCRE FC605-21,94-ST</v>
          </cell>
          <cell r="C3269" t="str">
            <v>67.00.FC605-027</v>
          </cell>
          <cell r="D3269" t="str">
            <v>.</v>
          </cell>
          <cell r="E3269">
            <v>20032</v>
          </cell>
          <cell r="F3269" t="str">
            <v>BASES PU</v>
          </cell>
          <cell r="G3269" t="str">
            <v>AUTOMOTIVO</v>
          </cell>
        </row>
        <row r="3270">
          <cell r="A3270">
            <v>20760</v>
          </cell>
          <cell r="B3270" t="str">
            <v>MIXING FLEET COLOR P. U VERDE ESCURO FC615-21,94-ST</v>
          </cell>
          <cell r="C3270" t="str">
            <v>67.00.FC615-027</v>
          </cell>
          <cell r="D3270" t="str">
            <v>.</v>
          </cell>
          <cell r="E3270">
            <v>20032</v>
          </cell>
          <cell r="F3270" t="str">
            <v>BASES PU</v>
          </cell>
          <cell r="G3270" t="str">
            <v>AUTOMOTIVO</v>
          </cell>
        </row>
        <row r="3271">
          <cell r="A3271">
            <v>20762</v>
          </cell>
          <cell r="B3271" t="str">
            <v>MIXING FLEET COLOR P. U VERMELHO CARMIN FC621-21,94-ST</v>
          </cell>
          <cell r="C3271" t="str">
            <v>67.00.FC621-027</v>
          </cell>
          <cell r="D3271" t="str">
            <v>.</v>
          </cell>
          <cell r="E3271">
            <v>20032</v>
          </cell>
          <cell r="F3271" t="str">
            <v>BASES PU</v>
          </cell>
          <cell r="G3271" t="str">
            <v>AUTOMOTIVO</v>
          </cell>
        </row>
        <row r="3272">
          <cell r="A3272">
            <v>20765</v>
          </cell>
          <cell r="B3272" t="str">
            <v>MIXING FLEET COLOR P. U VERMELHO ESCURO FC624</v>
          </cell>
          <cell r="C3272" t="str">
            <v>67.00.FC624-027</v>
          </cell>
          <cell r="D3272" t="str">
            <v>.</v>
          </cell>
          <cell r="E3272">
            <v>20032</v>
          </cell>
          <cell r="F3272" t="str">
            <v>BASES PU</v>
          </cell>
          <cell r="G3272" t="str">
            <v>AUTOMOTIVO</v>
          </cell>
        </row>
        <row r="3273">
          <cell r="A3273">
            <v>20764</v>
          </cell>
          <cell r="B3273" t="str">
            <v>MIXING FLEET COLOR P. U VERMELHO OXIDO FC623-21,94-ST</v>
          </cell>
          <cell r="C3273" t="str">
            <v>67.00.FC623-027</v>
          </cell>
          <cell r="D3273" t="str">
            <v>.</v>
          </cell>
          <cell r="E3273">
            <v>20032</v>
          </cell>
          <cell r="F3273" t="str">
            <v>BASES PU</v>
          </cell>
          <cell r="G3273" t="str">
            <v>AUTOMOTIVO</v>
          </cell>
        </row>
        <row r="3274">
          <cell r="A3274">
            <v>20767</v>
          </cell>
          <cell r="B3274" t="str">
            <v>MIXING FLEET COLOR P. U VIOLETA AZULADO FC626-21,94-ST</v>
          </cell>
          <cell r="C3274" t="str">
            <v>67.00.FC626-027</v>
          </cell>
          <cell r="D3274" t="str">
            <v>.</v>
          </cell>
          <cell r="E3274">
            <v>20032</v>
          </cell>
          <cell r="F3274" t="str">
            <v>BASES PU</v>
          </cell>
          <cell r="G3274" t="str">
            <v>AUTOMOTIVO</v>
          </cell>
        </row>
        <row r="3275">
          <cell r="A3275">
            <v>20766</v>
          </cell>
          <cell r="B3275" t="str">
            <v>MIXING FLEET COLOR P. U VIOLETA FC625</v>
          </cell>
          <cell r="C3275" t="str">
            <v>67.00.FC625-027</v>
          </cell>
          <cell r="D3275" t="str">
            <v>.</v>
          </cell>
          <cell r="E3275">
            <v>20032</v>
          </cell>
          <cell r="F3275" t="str">
            <v>BASES PU</v>
          </cell>
          <cell r="G3275" t="str">
            <v>AUTOMOTIVO</v>
          </cell>
        </row>
        <row r="3276">
          <cell r="A3276">
            <v>22595</v>
          </cell>
          <cell r="B3276" t="str">
            <v>MIXING FLEET COLOR PU PRETO INTENSO FC612-21,94-ST</v>
          </cell>
          <cell r="C3276" t="str">
            <v>67.00.FC612-027</v>
          </cell>
          <cell r="D3276" t="str">
            <v>.</v>
          </cell>
          <cell r="E3276">
            <v>20032</v>
          </cell>
          <cell r="F3276" t="str">
            <v>BASES PU</v>
          </cell>
          <cell r="G3276" t="str">
            <v>AUTOMOTIVO</v>
          </cell>
        </row>
        <row r="3277">
          <cell r="A3277">
            <v>138</v>
          </cell>
          <cell r="B3277" t="str">
            <v>SKYMIX BP299 ADITIVO BASE 3,600ML-21,46-ST</v>
          </cell>
          <cell r="C3277" t="str">
            <v>210BP29901B5</v>
          </cell>
          <cell r="D3277" t="str">
            <v>SKY</v>
          </cell>
          <cell r="E3277">
            <v>20032</v>
          </cell>
          <cell r="F3277" t="str">
            <v>BASES PU</v>
          </cell>
          <cell r="G3277" t="str">
            <v>AUTOMOTIVO</v>
          </cell>
        </row>
        <row r="3278">
          <cell r="A3278">
            <v>134</v>
          </cell>
          <cell r="B3278" t="str">
            <v>SKYMIX LACA NITRO AMARELO OXIDO 3,600ML-21,94-ST</v>
          </cell>
          <cell r="C3278" t="str">
            <v>510LN5160114</v>
          </cell>
          <cell r="D3278" t="str">
            <v>SKY</v>
          </cell>
          <cell r="E3278">
            <v>20032</v>
          </cell>
          <cell r="F3278" t="str">
            <v>BASES PU</v>
          </cell>
          <cell r="G3278" t="str">
            <v>AUTOMOTIVO</v>
          </cell>
        </row>
        <row r="3279">
          <cell r="A3279">
            <v>85482</v>
          </cell>
          <cell r="B3279" t="str">
            <v>SKYMIX PU 318 PRETO 3,6L</v>
          </cell>
          <cell r="C3279" t="str">
            <v>610PU31801B5</v>
          </cell>
          <cell r="D3279" t="str">
            <v>SKY</v>
          </cell>
          <cell r="E3279">
            <v>20032</v>
          </cell>
          <cell r="F3279" t="str">
            <v>BASES PU</v>
          </cell>
          <cell r="G3279" t="str">
            <v>AUTOMOTIVO</v>
          </cell>
        </row>
        <row r="3280">
          <cell r="A3280">
            <v>216</v>
          </cell>
          <cell r="B3280" t="str">
            <v>SKYMIX PU 318 PRETO 900 ML</v>
          </cell>
          <cell r="C3280" t="str">
            <v>610PU31801B4</v>
          </cell>
          <cell r="D3280" t="str">
            <v>SKY</v>
          </cell>
          <cell r="E3280">
            <v>20032</v>
          </cell>
          <cell r="F3280" t="str">
            <v>BASES PU</v>
          </cell>
          <cell r="G3280" t="str">
            <v>AUTOMOTIVO</v>
          </cell>
        </row>
        <row r="3281">
          <cell r="A3281">
            <v>20602</v>
          </cell>
          <cell r="B3281" t="str">
            <v>SKYMIX PU 338 VERMELHO ESCURO 0,900ML SKY</v>
          </cell>
          <cell r="C3281" t="str">
            <v>610PU33801B4</v>
          </cell>
          <cell r="D3281" t="str">
            <v>SKY</v>
          </cell>
          <cell r="E3281">
            <v>20032</v>
          </cell>
          <cell r="F3281" t="str">
            <v>BASES PU</v>
          </cell>
          <cell r="G3281" t="str">
            <v>AUTOMOTIVO</v>
          </cell>
        </row>
        <row r="3282">
          <cell r="A3282">
            <v>9769</v>
          </cell>
          <cell r="B3282" t="str">
            <v>SKYMIX PU ADITIVO BASE 18L 399</v>
          </cell>
          <cell r="C3282" t="str">
            <v>610PU3990125</v>
          </cell>
          <cell r="D3282" t="str">
            <v>SKY</v>
          </cell>
          <cell r="E3282">
            <v>20032</v>
          </cell>
          <cell r="F3282" t="str">
            <v>BASES PU</v>
          </cell>
          <cell r="G3282" t="str">
            <v>AUTOMOTIVO</v>
          </cell>
        </row>
        <row r="3283">
          <cell r="A3283">
            <v>21746</v>
          </cell>
          <cell r="B3283" t="str">
            <v>SKYMIX PU ALUMINIO EXTRA GRAUDO BRILHANTE 3,600ML 358</v>
          </cell>
          <cell r="C3283" t="str">
            <v>611PU3580114</v>
          </cell>
          <cell r="D3283" t="str">
            <v>SKY</v>
          </cell>
          <cell r="E3283">
            <v>20032</v>
          </cell>
          <cell r="F3283" t="str">
            <v>BASES PU</v>
          </cell>
          <cell r="G3283" t="str">
            <v>AUTOMOTIVO</v>
          </cell>
        </row>
        <row r="3284">
          <cell r="A3284">
            <v>9833</v>
          </cell>
          <cell r="B3284" t="str">
            <v>SKYMIX PU ALUMINIO GRAUDO BRILHANTE 3,600ML 334-21,94-ST</v>
          </cell>
          <cell r="C3284" t="str">
            <v>611PU3340114</v>
          </cell>
          <cell r="D3284" t="str">
            <v>SKY</v>
          </cell>
          <cell r="E3284">
            <v>20032</v>
          </cell>
          <cell r="F3284" t="str">
            <v>BASES PU</v>
          </cell>
          <cell r="G3284" t="str">
            <v>AUTOMOTIVO</v>
          </cell>
        </row>
        <row r="3285">
          <cell r="A3285">
            <v>10141</v>
          </cell>
          <cell r="B3285" t="str">
            <v>SKYMIX PU ALUMINIO MEDIO FINO 3,600ML 337</v>
          </cell>
          <cell r="C3285" t="str">
            <v>611PU3370114</v>
          </cell>
          <cell r="D3285" t="str">
            <v>SKY</v>
          </cell>
          <cell r="E3285">
            <v>20032</v>
          </cell>
          <cell r="F3285" t="str">
            <v>BASES PU</v>
          </cell>
          <cell r="G3285" t="str">
            <v>AUTOMOTIVO</v>
          </cell>
        </row>
        <row r="3286">
          <cell r="A3286">
            <v>22760</v>
          </cell>
          <cell r="B3286" t="str">
            <v>SKYMIX PU AMARELO CLARO 0,900ML 350</v>
          </cell>
          <cell r="C3286" t="str">
            <v>610PU35001B4</v>
          </cell>
          <cell r="D3286" t="str">
            <v>SKY</v>
          </cell>
          <cell r="E3286">
            <v>20032</v>
          </cell>
          <cell r="F3286" t="str">
            <v>BASES PU</v>
          </cell>
          <cell r="G3286" t="str">
            <v>AUTOMOTIVO</v>
          </cell>
        </row>
        <row r="3287">
          <cell r="A3287">
            <v>9816</v>
          </cell>
          <cell r="B3287" t="str">
            <v>SKYMIX PU AMARELO LIMÃO 0,900ML 341</v>
          </cell>
          <cell r="C3287" t="str">
            <v>610PU34101B4</v>
          </cell>
          <cell r="D3287" t="str">
            <v>SKY</v>
          </cell>
          <cell r="E3287">
            <v>20032</v>
          </cell>
          <cell r="F3287" t="str">
            <v>BASES PU</v>
          </cell>
          <cell r="G3287" t="str">
            <v>AUTOMOTIVO</v>
          </cell>
        </row>
        <row r="3288">
          <cell r="A3288">
            <v>214</v>
          </cell>
          <cell r="B3288" t="str">
            <v>SKYMIX PU AMARELO MEDIO 3,600ML 308-21,94-ST</v>
          </cell>
          <cell r="C3288" t="str">
            <v>610PU3080114</v>
          </cell>
          <cell r="D3288" t="str">
            <v>SKY</v>
          </cell>
          <cell r="E3288">
            <v>20032</v>
          </cell>
          <cell r="F3288" t="str">
            <v>BASES PU</v>
          </cell>
          <cell r="G3288" t="str">
            <v>AUTOMOTIVO</v>
          </cell>
        </row>
        <row r="3289">
          <cell r="A3289">
            <v>228</v>
          </cell>
          <cell r="B3289" t="str">
            <v>SKYMIX PU AMARELO OURO 3,600ML 309</v>
          </cell>
          <cell r="C3289" t="str">
            <v>610PU3090114</v>
          </cell>
          <cell r="D3289" t="str">
            <v>SKY</v>
          </cell>
          <cell r="E3289">
            <v>20032</v>
          </cell>
          <cell r="F3289" t="str">
            <v>BASES PU</v>
          </cell>
          <cell r="G3289" t="str">
            <v>AUTOMOTIVO</v>
          </cell>
        </row>
        <row r="3290">
          <cell r="A3290">
            <v>215</v>
          </cell>
          <cell r="B3290" t="str">
            <v>SKYMIX PU AMARELO OXIDO 0,900ML 316-21,94-ST</v>
          </cell>
          <cell r="C3290" t="str">
            <v>610PU31601B</v>
          </cell>
          <cell r="D3290" t="str">
            <v>SKY</v>
          </cell>
          <cell r="E3290">
            <v>20032</v>
          </cell>
          <cell r="F3290" t="str">
            <v>BASES PU</v>
          </cell>
          <cell r="G3290" t="str">
            <v>AUTOMOTIVO</v>
          </cell>
        </row>
        <row r="3291">
          <cell r="A3291">
            <v>209</v>
          </cell>
          <cell r="B3291" t="str">
            <v>SKYMIX PU AZUL ESCURO 0,900ML 306</v>
          </cell>
          <cell r="C3291" t="str">
            <v>610PU30601B</v>
          </cell>
          <cell r="D3291" t="str">
            <v>SKY</v>
          </cell>
          <cell r="E3291">
            <v>20032</v>
          </cell>
          <cell r="F3291" t="str">
            <v>BASES PU</v>
          </cell>
          <cell r="G3291" t="str">
            <v>AUTOMOTIVO</v>
          </cell>
        </row>
        <row r="3292">
          <cell r="A3292">
            <v>225</v>
          </cell>
          <cell r="B3292" t="str">
            <v>SKYMIX PU AZUL ESVERDEADO 0,900ML 305</v>
          </cell>
          <cell r="C3292" t="str">
            <v>610PU30501B</v>
          </cell>
          <cell r="D3292" t="str">
            <v>SKY</v>
          </cell>
          <cell r="E3292">
            <v>20032</v>
          </cell>
          <cell r="F3292" t="str">
            <v>BASES PU</v>
          </cell>
          <cell r="G3292" t="str">
            <v>AUTOMOTIVO</v>
          </cell>
        </row>
        <row r="3293">
          <cell r="A3293">
            <v>224</v>
          </cell>
          <cell r="B3293" t="str">
            <v>SKYMIX PU LARANJA 3,600ML 312</v>
          </cell>
          <cell r="C3293" t="str">
            <v>610PU31201B5</v>
          </cell>
          <cell r="D3293" t="str">
            <v>SKY</v>
          </cell>
          <cell r="E3293">
            <v>20032</v>
          </cell>
          <cell r="F3293" t="str">
            <v>BASES PU</v>
          </cell>
          <cell r="G3293" t="str">
            <v>AUTOMOTIVO</v>
          </cell>
        </row>
        <row r="3294">
          <cell r="A3294">
            <v>22776</v>
          </cell>
          <cell r="B3294" t="str">
            <v>SKYMIX PU PRETO AZULADO 3,600ML 323</v>
          </cell>
          <cell r="C3294" t="str">
            <v>610PU3230114</v>
          </cell>
          <cell r="D3294" t="str">
            <v>SKY</v>
          </cell>
          <cell r="E3294">
            <v>20032</v>
          </cell>
          <cell r="F3294" t="str">
            <v>BASES PU</v>
          </cell>
          <cell r="G3294" t="str">
            <v>AUTOMOTIVO</v>
          </cell>
        </row>
        <row r="3295">
          <cell r="A3295">
            <v>226</v>
          </cell>
          <cell r="B3295" t="str">
            <v>SKYMIX PU PRETO INTENSO 3,600ML 348</v>
          </cell>
          <cell r="C3295" t="str">
            <v>610PU3480114</v>
          </cell>
          <cell r="D3295" t="str">
            <v>SKY</v>
          </cell>
          <cell r="E3295">
            <v>20032</v>
          </cell>
          <cell r="F3295" t="str">
            <v>BASES PU</v>
          </cell>
          <cell r="G3295" t="str">
            <v>AUTOMOTIVO</v>
          </cell>
        </row>
        <row r="3296">
          <cell r="A3296">
            <v>9813</v>
          </cell>
          <cell r="B3296" t="str">
            <v>SKYMIX PU ROSA 0,900ML 324</v>
          </cell>
          <cell r="C3296" t="str">
            <v>610PU32401B4</v>
          </cell>
          <cell r="D3296" t="str">
            <v>SKY</v>
          </cell>
          <cell r="E3296">
            <v>20032</v>
          </cell>
          <cell r="F3296" t="str">
            <v>BASES PU</v>
          </cell>
          <cell r="G3296" t="str">
            <v>AUTOMOTIVO</v>
          </cell>
        </row>
        <row r="3297">
          <cell r="A3297">
            <v>212</v>
          </cell>
          <cell r="B3297" t="str">
            <v>SKYMIX PU VERDE 0,900ML 307-21,94-ST</v>
          </cell>
          <cell r="C3297" t="str">
            <v>610PU30701B4</v>
          </cell>
          <cell r="D3297" t="str">
            <v>SKY</v>
          </cell>
          <cell r="E3297">
            <v>20032</v>
          </cell>
          <cell r="F3297" t="str">
            <v>BASES PU</v>
          </cell>
          <cell r="G3297" t="str">
            <v>AUTOMOTIVO</v>
          </cell>
        </row>
        <row r="3298">
          <cell r="A3298">
            <v>234</v>
          </cell>
          <cell r="B3298" t="str">
            <v>SKYMIX PU VERMELHO FORTE 0,900ML 335</v>
          </cell>
          <cell r="C3298" t="str">
            <v>610PU33501B4</v>
          </cell>
          <cell r="D3298" t="str">
            <v>SKY</v>
          </cell>
          <cell r="E3298">
            <v>20032</v>
          </cell>
          <cell r="F3298" t="str">
            <v>BASES PU</v>
          </cell>
          <cell r="G3298" t="str">
            <v>AUTOMOTIVO</v>
          </cell>
        </row>
        <row r="3299">
          <cell r="A3299">
            <v>22352</v>
          </cell>
          <cell r="B3299" t="str">
            <v>SKYMIX PU VERMELHO LIMPO 0,900ML 329</v>
          </cell>
          <cell r="C3299" t="str">
            <v>610PU32901B4</v>
          </cell>
          <cell r="D3299" t="str">
            <v>SKY</v>
          </cell>
          <cell r="E3299">
            <v>20032</v>
          </cell>
          <cell r="F3299" t="str">
            <v>BASES PU</v>
          </cell>
          <cell r="G3299" t="str">
            <v>AUTOMOTIVO</v>
          </cell>
        </row>
        <row r="3300">
          <cell r="A3300">
            <v>233</v>
          </cell>
          <cell r="B3300" t="str">
            <v>SKYMIX PU VERMELHO LIMPO 3,600ML 329</v>
          </cell>
          <cell r="C3300" t="str">
            <v>610PU3290114</v>
          </cell>
          <cell r="D3300" t="str">
            <v>SKY</v>
          </cell>
          <cell r="E3300">
            <v>20032</v>
          </cell>
          <cell r="F3300" t="str">
            <v>BASES PU</v>
          </cell>
          <cell r="G3300" t="str">
            <v>AUTOMOTIVO</v>
          </cell>
        </row>
        <row r="3301">
          <cell r="A3301">
            <v>213</v>
          </cell>
          <cell r="B3301" t="str">
            <v>SKYMIX PU VERMELHO MAGENTA 0,900ML 336</v>
          </cell>
          <cell r="C3301" t="str">
            <v>610PU33601B4</v>
          </cell>
          <cell r="D3301" t="str">
            <v>SKY</v>
          </cell>
          <cell r="E3301">
            <v>20032</v>
          </cell>
          <cell r="F3301" t="str">
            <v>BASES PU</v>
          </cell>
          <cell r="G3301" t="str">
            <v>AUTOMOTIVO</v>
          </cell>
        </row>
        <row r="3302">
          <cell r="A3302">
            <v>268</v>
          </cell>
          <cell r="B3302" t="str">
            <v>SKYMIX PU VERMELHO OXIDO 0,900ML 315</v>
          </cell>
          <cell r="C3302" t="str">
            <v>610PU31501B4</v>
          </cell>
          <cell r="D3302" t="str">
            <v>SKY</v>
          </cell>
          <cell r="E3302">
            <v>20032</v>
          </cell>
          <cell r="F3302" t="str">
            <v>BASES PU</v>
          </cell>
          <cell r="G3302" t="str">
            <v>AUTOMOTIVO</v>
          </cell>
        </row>
        <row r="3303">
          <cell r="A3303">
            <v>269</v>
          </cell>
          <cell r="B3303" t="str">
            <v>SKYMIX PU VERMELHO RUBI 0,900ML 331</v>
          </cell>
          <cell r="C3303" t="str">
            <v>610PU33101B4</v>
          </cell>
          <cell r="D3303" t="str">
            <v>SKY</v>
          </cell>
          <cell r="E3303">
            <v>20032</v>
          </cell>
          <cell r="F3303" t="str">
            <v>BASES PU</v>
          </cell>
          <cell r="G3303" t="str">
            <v>AUTOMOTIVO</v>
          </cell>
        </row>
        <row r="3304">
          <cell r="A3304">
            <v>235</v>
          </cell>
          <cell r="B3304" t="str">
            <v>SKYMIX PU VERMELHO VIVO 0,900ML 339-21,94-ST</v>
          </cell>
          <cell r="C3304" t="str">
            <v>610PU33901B</v>
          </cell>
          <cell r="D3304" t="str">
            <v>SKY</v>
          </cell>
          <cell r="E3304">
            <v>20032</v>
          </cell>
          <cell r="F3304" t="str">
            <v>BASES PU</v>
          </cell>
          <cell r="G3304" t="str">
            <v>AUTOMOTIVO</v>
          </cell>
        </row>
        <row r="3305">
          <cell r="A3305">
            <v>264</v>
          </cell>
          <cell r="B3305" t="str">
            <v>SKYMIX PU VIOLETA 0,900ML 325</v>
          </cell>
          <cell r="C3305" t="str">
            <v>610PU32501B4</v>
          </cell>
          <cell r="D3305" t="str">
            <v>SKY</v>
          </cell>
          <cell r="E3305">
            <v>20032</v>
          </cell>
          <cell r="F3305" t="str">
            <v>BASES PU</v>
          </cell>
          <cell r="G3305" t="str">
            <v>AUTOMOTIVO</v>
          </cell>
        </row>
        <row r="3306">
          <cell r="A3306">
            <v>211</v>
          </cell>
          <cell r="B3306" t="str">
            <v>SKYMIX PU340 BRANCO PURO 3,600ML</v>
          </cell>
          <cell r="C3306" t="str">
            <v>610PU34001B</v>
          </cell>
          <cell r="D3306" t="str">
            <v>SKY</v>
          </cell>
          <cell r="E3306">
            <v>20032</v>
          </cell>
          <cell r="F3306" t="str">
            <v>BASES PU</v>
          </cell>
          <cell r="G3306" t="str">
            <v>AUTOMOTIVO</v>
          </cell>
        </row>
        <row r="3307">
          <cell r="A3307">
            <v>210</v>
          </cell>
          <cell r="B3307" t="str">
            <v>SKYMIX PU399 ADITIVO BASE 3,600ML</v>
          </cell>
          <cell r="C3307" t="str">
            <v>610PU3990114</v>
          </cell>
          <cell r="D3307" t="str">
            <v>SKY</v>
          </cell>
          <cell r="E3307">
            <v>20032</v>
          </cell>
          <cell r="F3307" t="str">
            <v>BASES PU</v>
          </cell>
          <cell r="G3307" t="str">
            <v>AUTOMOTIVO</v>
          </cell>
        </row>
        <row r="3308">
          <cell r="A3308">
            <v>9840</v>
          </cell>
          <cell r="B3308" t="str">
            <v>WANDAPU MM 9000 PASTA FOSQUEANTE 0,9L-21,46-ST</v>
          </cell>
          <cell r="C3308">
            <v>391767</v>
          </cell>
          <cell r="D3308" t="str">
            <v>WANDA</v>
          </cell>
          <cell r="E3308">
            <v>20032</v>
          </cell>
          <cell r="F3308" t="str">
            <v>BASES PU</v>
          </cell>
          <cell r="G3308" t="str">
            <v>AUTOMOTIVO</v>
          </cell>
        </row>
        <row r="3309">
          <cell r="A3309">
            <v>20046</v>
          </cell>
          <cell r="B3309" t="str">
            <v>WANDAPU MM 9010 BINDER MS 3,6L-21,67-ST</v>
          </cell>
          <cell r="C3309">
            <v>529649</v>
          </cell>
          <cell r="D3309" t="str">
            <v>WANDA</v>
          </cell>
          <cell r="E3309">
            <v>20032</v>
          </cell>
          <cell r="F3309" t="str">
            <v>BASES PU</v>
          </cell>
          <cell r="G3309" t="str">
            <v>AUTOMOTIVO</v>
          </cell>
        </row>
        <row r="3310">
          <cell r="A3310">
            <v>9841</v>
          </cell>
          <cell r="B3310" t="str">
            <v>WANDAPU MM 9050 BINDER 3,6L-21,46-ST</v>
          </cell>
          <cell r="C3310">
            <v>391768</v>
          </cell>
          <cell r="D3310" t="str">
            <v>WANDA</v>
          </cell>
          <cell r="E3310">
            <v>20032</v>
          </cell>
          <cell r="F3310" t="str">
            <v>BASES PU</v>
          </cell>
          <cell r="G3310" t="str">
            <v>AUTOMOTIVO</v>
          </cell>
        </row>
        <row r="3311">
          <cell r="A3311">
            <v>9842</v>
          </cell>
          <cell r="B3311" t="str">
            <v>WANDAPU MM 9100 BRANCO 3,6L-21,67-ST</v>
          </cell>
          <cell r="C3311">
            <v>391769</v>
          </cell>
          <cell r="D3311" t="str">
            <v>WANDA</v>
          </cell>
          <cell r="E3311">
            <v>20032</v>
          </cell>
          <cell r="F3311" t="str">
            <v>BASES PU</v>
          </cell>
          <cell r="G3311" t="str">
            <v>AUTOMOTIVO</v>
          </cell>
        </row>
        <row r="3312">
          <cell r="A3312">
            <v>9843</v>
          </cell>
          <cell r="B3312" t="str">
            <v>WANDAPU MM 9150 PRETO 3,6L-21,46-ST</v>
          </cell>
          <cell r="C3312">
            <v>391770</v>
          </cell>
          <cell r="D3312" t="str">
            <v>WANDA</v>
          </cell>
          <cell r="E3312">
            <v>20032</v>
          </cell>
          <cell r="F3312" t="str">
            <v>BASES PU</v>
          </cell>
          <cell r="G3312" t="str">
            <v>AUTOMOTIVO</v>
          </cell>
        </row>
        <row r="3313">
          <cell r="A3313">
            <v>20462</v>
          </cell>
          <cell r="B3313" t="str">
            <v>WANDAPU MM 9160 PRETO PROFUNDO 3,6L-21,46-ST</v>
          </cell>
          <cell r="C3313">
            <v>530497</v>
          </cell>
          <cell r="D3313" t="str">
            <v>WANDA</v>
          </cell>
          <cell r="E3313">
            <v>20032</v>
          </cell>
          <cell r="F3313" t="str">
            <v>BASES PU</v>
          </cell>
          <cell r="G3313" t="str">
            <v>AUTOMOTIVO</v>
          </cell>
        </row>
        <row r="3314">
          <cell r="A3314">
            <v>9847</v>
          </cell>
          <cell r="B3314" t="str">
            <v>WANDAPU MM 9190 PRETO ESPECIAL 3,6L-21,46-ST</v>
          </cell>
          <cell r="C3314">
            <v>391773</v>
          </cell>
          <cell r="D3314" t="str">
            <v>WANDA</v>
          </cell>
          <cell r="E3314">
            <v>20032</v>
          </cell>
          <cell r="F3314" t="str">
            <v>BASES PU</v>
          </cell>
          <cell r="G3314" t="str">
            <v>AUTOMOTIVO</v>
          </cell>
        </row>
        <row r="3315">
          <cell r="A3315">
            <v>9849</v>
          </cell>
          <cell r="B3315" t="str">
            <v>WANDAPU MM 9230 VERMELHO OXIDO 3,6L-21,94-ST</v>
          </cell>
          <cell r="C3315">
            <v>391775</v>
          </cell>
          <cell r="D3315" t="str">
            <v>WANDA</v>
          </cell>
          <cell r="E3315">
            <v>20032</v>
          </cell>
          <cell r="F3315" t="str">
            <v>BASES PU</v>
          </cell>
          <cell r="G3315" t="str">
            <v>AUTOMOTIVO</v>
          </cell>
        </row>
        <row r="3316">
          <cell r="A3316">
            <v>9851</v>
          </cell>
          <cell r="B3316" t="str">
            <v>WANDAPU MM 9280 VERMELHO LIMPO 0,9L-21,45-ST</v>
          </cell>
          <cell r="C3316">
            <v>391777</v>
          </cell>
          <cell r="D3316" t="str">
            <v>WANDA</v>
          </cell>
          <cell r="E3316">
            <v>20032</v>
          </cell>
          <cell r="F3316" t="str">
            <v>BASES PU</v>
          </cell>
          <cell r="G3316" t="str">
            <v>AUTOMOTIVO</v>
          </cell>
        </row>
        <row r="3317">
          <cell r="A3317">
            <v>20242</v>
          </cell>
          <cell r="B3317" t="str">
            <v>WANDAPU MM 9340 LARANJA 0,9L-21,67-ST</v>
          </cell>
          <cell r="C3317">
            <v>482030</v>
          </cell>
          <cell r="D3317" t="str">
            <v>WANDA</v>
          </cell>
          <cell r="E3317">
            <v>20032</v>
          </cell>
          <cell r="F3317" t="str">
            <v>BASES PU</v>
          </cell>
          <cell r="G3317" t="str">
            <v>AUTOMOTIVO</v>
          </cell>
        </row>
        <row r="3318">
          <cell r="A3318">
            <v>9852</v>
          </cell>
          <cell r="B3318" t="str">
            <v>WANDAPU MM 9420 AMARELO OXIDO 0,9L-21,67-ST</v>
          </cell>
          <cell r="C3318">
            <v>391778</v>
          </cell>
          <cell r="D3318" t="str">
            <v>WANDA</v>
          </cell>
          <cell r="E3318">
            <v>20032</v>
          </cell>
          <cell r="F3318" t="str">
            <v>BASES PU</v>
          </cell>
          <cell r="G3318" t="str">
            <v>AUTOMOTIVO</v>
          </cell>
        </row>
        <row r="3319">
          <cell r="A3319">
            <v>20156</v>
          </cell>
          <cell r="B3319" t="str">
            <v>WANDAPU MM 9430 AMARELO AVERMELHADO 0,9L-21,46-ST</v>
          </cell>
          <cell r="C3319">
            <v>482031</v>
          </cell>
          <cell r="D3319" t="str">
            <v>WANDA</v>
          </cell>
          <cell r="E3319">
            <v>20032</v>
          </cell>
          <cell r="F3319" t="str">
            <v>BASES PU</v>
          </cell>
          <cell r="G3319" t="str">
            <v>AUTOMOTIVO</v>
          </cell>
        </row>
        <row r="3320">
          <cell r="A3320">
            <v>20155</v>
          </cell>
          <cell r="B3320" t="str">
            <v>WANDAPU MM 9450 AMARELO BRILHANTE 0,9L-21,67-ST</v>
          </cell>
          <cell r="C3320">
            <v>482032</v>
          </cell>
          <cell r="D3320" t="str">
            <v>WANDA</v>
          </cell>
          <cell r="E3320">
            <v>20032</v>
          </cell>
          <cell r="F3320" t="str">
            <v>BASES PU</v>
          </cell>
          <cell r="G3320" t="str">
            <v>AUTOMOTIVO</v>
          </cell>
        </row>
        <row r="3321">
          <cell r="A3321">
            <v>9853</v>
          </cell>
          <cell r="B3321" t="str">
            <v>WANDAPU MM 9560 VERDE 0,9L-21,67-ST</v>
          </cell>
          <cell r="C3321">
            <v>391779</v>
          </cell>
          <cell r="D3321" t="str">
            <v>WANDA</v>
          </cell>
          <cell r="E3321">
            <v>20032</v>
          </cell>
          <cell r="F3321" t="str">
            <v>BASES PU</v>
          </cell>
          <cell r="G3321" t="str">
            <v>AUTOMOTIVO</v>
          </cell>
        </row>
        <row r="3322">
          <cell r="A3322">
            <v>21278</v>
          </cell>
          <cell r="B3322" t="str">
            <v>WANDAPU MM 9610 AZUL AVERM. II 0,9L-21,67-ST</v>
          </cell>
          <cell r="C3322">
            <v>484303</v>
          </cell>
          <cell r="D3322" t="str">
            <v>WANDA</v>
          </cell>
          <cell r="E3322">
            <v>20032</v>
          </cell>
          <cell r="F3322" t="str">
            <v>BASES PU</v>
          </cell>
          <cell r="G3322" t="str">
            <v>AUTOMOTIVO</v>
          </cell>
        </row>
        <row r="3323">
          <cell r="A3323">
            <v>9855</v>
          </cell>
          <cell r="B3323" t="str">
            <v>WANDAPU MM 9650 AZUL 3,6L-21,67-ST</v>
          </cell>
          <cell r="C3323">
            <v>391781</v>
          </cell>
          <cell r="D3323" t="str">
            <v>WANDA</v>
          </cell>
          <cell r="E3323">
            <v>20032</v>
          </cell>
          <cell r="F3323" t="str">
            <v>BASES PU</v>
          </cell>
          <cell r="G3323" t="str">
            <v>AUTOMOTIVO</v>
          </cell>
        </row>
        <row r="3324">
          <cell r="A3324">
            <v>9856</v>
          </cell>
          <cell r="B3324" t="str">
            <v>WANDAPU MM 9710 ROSA TRANSPARENTE 0,9L-21,67-ST</v>
          </cell>
          <cell r="C3324">
            <v>391782</v>
          </cell>
          <cell r="D3324" t="str">
            <v>WANDA</v>
          </cell>
          <cell r="E3324">
            <v>20032</v>
          </cell>
          <cell r="F3324" t="str">
            <v>BASES PU</v>
          </cell>
          <cell r="G3324" t="str">
            <v>AUTOMOTIVO</v>
          </cell>
        </row>
        <row r="3325">
          <cell r="A3325">
            <v>9857</v>
          </cell>
          <cell r="B3325" t="str">
            <v>WANDAPU MM 9720 VIOLETA AVERMELHADO 0,9L-21,67-ST</v>
          </cell>
          <cell r="C3325">
            <v>391783</v>
          </cell>
          <cell r="D3325" t="str">
            <v>WANDA</v>
          </cell>
          <cell r="E3325">
            <v>20032</v>
          </cell>
          <cell r="F3325" t="str">
            <v>BASES PU</v>
          </cell>
          <cell r="G3325" t="str">
            <v>AUTOMOTIVO</v>
          </cell>
        </row>
        <row r="3326">
          <cell r="A3326">
            <v>9858</v>
          </cell>
          <cell r="B3326" t="str">
            <v>WANDAPU MM 9760 VIOLETA TRANSPARENTE 0,9L-21,46-ST</v>
          </cell>
          <cell r="C3326">
            <v>391784</v>
          </cell>
          <cell r="D3326" t="str">
            <v>WANDA</v>
          </cell>
          <cell r="E3326">
            <v>20032</v>
          </cell>
          <cell r="F3326" t="str">
            <v>BASES PU</v>
          </cell>
          <cell r="G3326" t="str">
            <v>AUTOMOTIVO</v>
          </cell>
        </row>
        <row r="3327">
          <cell r="A3327">
            <v>184</v>
          </cell>
          <cell r="B3327" t="str">
            <v>AM0063 ANJOMIX POLIESTER BASE TRANSPARENTE 3,6L-21,94-ST</v>
          </cell>
          <cell r="C3327" t="str">
            <v>035254-27</v>
          </cell>
          <cell r="D3327" t="str">
            <v>ANJO</v>
          </cell>
          <cell r="E3327">
            <v>20031</v>
          </cell>
          <cell r="F3327" t="str">
            <v>BASES POLIÉSTER</v>
          </cell>
          <cell r="G3327" t="str">
            <v>AUTOMOTIVO</v>
          </cell>
        </row>
        <row r="3328">
          <cell r="A3328">
            <v>194</v>
          </cell>
          <cell r="B3328" t="str">
            <v>ANJODUR POLIESTER AZUL BUZIOS FIAT 01 0,900ML-21,94-ST</v>
          </cell>
          <cell r="C3328" t="str">
            <v>034367-23</v>
          </cell>
          <cell r="D3328" t="str">
            <v>ANJO</v>
          </cell>
          <cell r="E3328">
            <v>20031</v>
          </cell>
          <cell r="F3328" t="str">
            <v>BASES POLIÉSTER</v>
          </cell>
          <cell r="G3328" t="str">
            <v>AUTOMOTIVO</v>
          </cell>
        </row>
        <row r="3329">
          <cell r="A3329">
            <v>177</v>
          </cell>
          <cell r="B3329" t="str">
            <v>ANJODUR POLIESTER BRANCO BANCHISA FIAT 96 0,900ML-21,94-ST</v>
          </cell>
          <cell r="C3329" t="str">
            <v>034336-23</v>
          </cell>
          <cell r="D3329" t="str">
            <v>ANJO</v>
          </cell>
          <cell r="E3329">
            <v>20031</v>
          </cell>
          <cell r="F3329" t="str">
            <v>BASES POLIÉSTER</v>
          </cell>
          <cell r="G3329" t="str">
            <v>AUTOMOTIVO</v>
          </cell>
        </row>
        <row r="3330">
          <cell r="A3330">
            <v>195</v>
          </cell>
          <cell r="B3330" t="str">
            <v>ANJODUR POLIESTER PRETO EBONY FORD 98 0,900ML-21,94-ST</v>
          </cell>
          <cell r="C3330" t="str">
            <v>034392-23</v>
          </cell>
          <cell r="D3330" t="str">
            <v>ANJO</v>
          </cell>
          <cell r="E3330">
            <v>20031</v>
          </cell>
          <cell r="F3330" t="str">
            <v>BASES POLIÉSTER</v>
          </cell>
          <cell r="G3330" t="str">
            <v>AUTOMOTIVO</v>
          </cell>
        </row>
        <row r="3331">
          <cell r="A3331">
            <v>83764</v>
          </cell>
          <cell r="B3331" t="str">
            <v>ANJODUR POLIESTER VERMELHO ARPOADOR FORD 08 900ML-21,94-ST</v>
          </cell>
          <cell r="C3331">
            <v>2222</v>
          </cell>
          <cell r="D3331" t="str">
            <v>ANJO</v>
          </cell>
          <cell r="E3331">
            <v>20031</v>
          </cell>
          <cell r="F3331" t="str">
            <v>BASES POLIÉSTER</v>
          </cell>
          <cell r="G3331" t="str">
            <v>AUTOMOTIVO</v>
          </cell>
        </row>
        <row r="3332">
          <cell r="A3332">
            <v>197</v>
          </cell>
          <cell r="B3332" t="str">
            <v>ANJODUR POLIESTER VERMELHO LYRA GM 04 0,900ML-21,94-ST</v>
          </cell>
          <cell r="C3332" t="str">
            <v>034343-23</v>
          </cell>
          <cell r="D3332" t="str">
            <v>ANJO</v>
          </cell>
          <cell r="E3332">
            <v>20031</v>
          </cell>
          <cell r="F3332" t="str">
            <v>BASES POLIÉSTER</v>
          </cell>
          <cell r="G3332" t="str">
            <v>AUTOMOTIVO</v>
          </cell>
        </row>
        <row r="3333">
          <cell r="A3333">
            <v>196</v>
          </cell>
          <cell r="B3333" t="str">
            <v>ANJODUR POLIURETANO PRETO NINJA VW 95 0,675ML-21,94-ST</v>
          </cell>
          <cell r="C3333" t="str">
            <v>035458-23</v>
          </cell>
          <cell r="D3333" t="str">
            <v>ANJO</v>
          </cell>
          <cell r="E3333">
            <v>20031</v>
          </cell>
          <cell r="F3333" t="str">
            <v>BASES POLIÉSTER</v>
          </cell>
          <cell r="G3333" t="str">
            <v>AUTOMOTIVO</v>
          </cell>
        </row>
        <row r="3334">
          <cell r="A3334">
            <v>21708</v>
          </cell>
          <cell r="B3334" t="str">
            <v>AUTOBASE PLUS MM Q040 BINDER 3,75L-21,67-ST</v>
          </cell>
          <cell r="C3334">
            <v>529652</v>
          </cell>
          <cell r="D3334" t="str">
            <v>SIKKENS</v>
          </cell>
          <cell r="E3334">
            <v>20031</v>
          </cell>
          <cell r="F3334" t="str">
            <v>BASES POLIÉSTER</v>
          </cell>
          <cell r="G3334" t="str">
            <v>AUTOMOTIVO</v>
          </cell>
        </row>
        <row r="3335">
          <cell r="A3335">
            <v>9915</v>
          </cell>
          <cell r="B3335" t="str">
            <v>AUTOBASE PLUS MM Q065 3,75L-21,67-ST</v>
          </cell>
          <cell r="C3335">
            <v>529653</v>
          </cell>
          <cell r="D3335" t="str">
            <v>SIKKENS</v>
          </cell>
          <cell r="E3335">
            <v>20031</v>
          </cell>
          <cell r="F3335" t="str">
            <v>BASES POLIÉSTER</v>
          </cell>
          <cell r="G3335" t="str">
            <v>AUTOMOTIVO</v>
          </cell>
        </row>
        <row r="3336">
          <cell r="A3336">
            <v>9916</v>
          </cell>
          <cell r="B3336" t="str">
            <v>AUTOBASE PLUS MM Q070 POTENCIALIZADOR DE TRANSPARENCIA 1L-21,45-ST</v>
          </cell>
          <cell r="C3336">
            <v>529654</v>
          </cell>
          <cell r="D3336" t="str">
            <v>SIKKENS</v>
          </cell>
          <cell r="E3336">
            <v>20031</v>
          </cell>
          <cell r="F3336" t="str">
            <v>BASES POLIÉSTER</v>
          </cell>
          <cell r="G3336" t="str">
            <v>AUTOMOTIVO</v>
          </cell>
        </row>
        <row r="3337">
          <cell r="A3337">
            <v>9918</v>
          </cell>
          <cell r="B3337" t="str">
            <v>AUTOBASE PLUS MM Q110 BRANCO 3,75L-21,46-ST</v>
          </cell>
          <cell r="C3337">
            <v>529655</v>
          </cell>
          <cell r="D3337" t="str">
            <v>SIKKENS</v>
          </cell>
          <cell r="E3337">
            <v>20031</v>
          </cell>
          <cell r="F3337" t="str">
            <v>BASES POLIÉSTER</v>
          </cell>
          <cell r="G3337" t="str">
            <v>AUTOMOTIVO</v>
          </cell>
        </row>
        <row r="3338">
          <cell r="A3338">
            <v>9919</v>
          </cell>
          <cell r="B3338" t="str">
            <v>AUTOBASE PLUS MM Q120 BRANCO CONCENTRADO 3,75L-25,63-ST</v>
          </cell>
          <cell r="C3338">
            <v>530585</v>
          </cell>
          <cell r="D3338" t="str">
            <v>SIKKENS</v>
          </cell>
          <cell r="E3338">
            <v>20031</v>
          </cell>
          <cell r="F3338" t="str">
            <v>BASES POLIÉSTER</v>
          </cell>
          <cell r="G3338" t="str">
            <v>AUTOMOTIVO</v>
          </cell>
        </row>
        <row r="3339">
          <cell r="A3339">
            <v>9920</v>
          </cell>
          <cell r="B3339" t="str">
            <v>AUTOBASE PLUS MM Q140 PRETO PROFUNDO 3,75L-21,67-ST</v>
          </cell>
          <cell r="C3339">
            <v>529656</v>
          </cell>
          <cell r="D3339" t="str">
            <v>SIKKENS</v>
          </cell>
          <cell r="E3339">
            <v>20031</v>
          </cell>
          <cell r="F3339" t="str">
            <v>BASES POLIÉSTER</v>
          </cell>
          <cell r="G3339" t="str">
            <v>AUTOMOTIVO</v>
          </cell>
        </row>
        <row r="3340">
          <cell r="A3340">
            <v>9921</v>
          </cell>
          <cell r="B3340" t="str">
            <v>AUTOBASE PLUS MM Q160 PRETO 3,75L-21,46-ST</v>
          </cell>
          <cell r="C3340">
            <v>529657</v>
          </cell>
          <cell r="D3340" t="str">
            <v>SIKKENS</v>
          </cell>
          <cell r="E3340">
            <v>20031</v>
          </cell>
          <cell r="F3340" t="str">
            <v>BASES POLIÉSTER</v>
          </cell>
          <cell r="G3340" t="str">
            <v>AUTOMOTIVO</v>
          </cell>
        </row>
        <row r="3341">
          <cell r="A3341">
            <v>9922</v>
          </cell>
          <cell r="B3341" t="str">
            <v>AUTOBASE PLUS MM Q190 CONTROLADOR DE FLOP 1L-21,67-ST</v>
          </cell>
          <cell r="C3341">
            <v>529658</v>
          </cell>
          <cell r="D3341" t="str">
            <v>SIKKENS</v>
          </cell>
          <cell r="E3341">
            <v>20031</v>
          </cell>
          <cell r="F3341" t="str">
            <v>BASES POLIÉSTER</v>
          </cell>
          <cell r="G3341" t="str">
            <v>AUTOMOTIVO</v>
          </cell>
        </row>
        <row r="3342">
          <cell r="A3342">
            <v>9923</v>
          </cell>
          <cell r="B3342" t="str">
            <v>AUTOBASE PLUS MM Q191 CONTROLADOR DE FLOP FORTE 1L-21,67-ST</v>
          </cell>
          <cell r="C3342">
            <v>529659</v>
          </cell>
          <cell r="D3342" t="str">
            <v>SIKKENS</v>
          </cell>
          <cell r="E3342">
            <v>20031</v>
          </cell>
          <cell r="F3342" t="str">
            <v>BASES POLIÉSTER</v>
          </cell>
          <cell r="G3342" t="str">
            <v>AUTOMOTIVO</v>
          </cell>
        </row>
        <row r="3343">
          <cell r="A3343">
            <v>9924</v>
          </cell>
          <cell r="B3343" t="str">
            <v>AUTOBASE PLUS MM Q195 BRANCO TRANSPARENTE 1L</v>
          </cell>
          <cell r="C3343">
            <v>530586</v>
          </cell>
          <cell r="D3343" t="str">
            <v>SIKKENS</v>
          </cell>
          <cell r="E3343">
            <v>20031</v>
          </cell>
          <cell r="F3343" t="str">
            <v>BASES POLIÉSTER</v>
          </cell>
          <cell r="G3343" t="str">
            <v>AUTOMOTIVO</v>
          </cell>
        </row>
        <row r="3344">
          <cell r="A3344">
            <v>23410</v>
          </cell>
          <cell r="B3344" t="str">
            <v>AUTOBASE PLUS MM Q196 BRANCO TRANSPARENTE 1L-25,37-ST</v>
          </cell>
          <cell r="C3344">
            <v>556386</v>
          </cell>
          <cell r="D3344" t="str">
            <v>SIKKENS</v>
          </cell>
          <cell r="E3344">
            <v>20031</v>
          </cell>
          <cell r="F3344" t="str">
            <v>BASES POLIÉSTER</v>
          </cell>
          <cell r="G3344" t="str">
            <v>AUTOMOTIVO</v>
          </cell>
        </row>
        <row r="3345">
          <cell r="A3345">
            <v>9925</v>
          </cell>
          <cell r="B3345" t="str">
            <v>AUTOBASE PLUS MM Q198 GRAFITE PRETO 1L-25,87-ST</v>
          </cell>
          <cell r="C3345">
            <v>530587</v>
          </cell>
          <cell r="D3345" t="str">
            <v>SIKKENS</v>
          </cell>
          <cell r="E3345">
            <v>20031</v>
          </cell>
          <cell r="F3345" t="str">
            <v>BASES POLIÉSTER</v>
          </cell>
          <cell r="G3345" t="str">
            <v>AUTOMOTIVO</v>
          </cell>
        </row>
        <row r="3346">
          <cell r="A3346">
            <v>9926</v>
          </cell>
          <cell r="B3346" t="str">
            <v>AUTOBASE PLUS MM Q231 VERMELHO BRILHANTE 1L-25,37-ST</v>
          </cell>
          <cell r="C3346">
            <v>530588</v>
          </cell>
          <cell r="D3346" t="str">
            <v>SIKKENS</v>
          </cell>
          <cell r="E3346">
            <v>20031</v>
          </cell>
          <cell r="F3346" t="str">
            <v>BASES POLIÉSTER</v>
          </cell>
          <cell r="G3346" t="str">
            <v>AUTOMOTIVO</v>
          </cell>
        </row>
        <row r="3347">
          <cell r="A3347">
            <v>9927</v>
          </cell>
          <cell r="B3347" t="str">
            <v>AUTOBASE PLUS MM Q232 VERMELHO TRANSPARENTE 1L-25,87-ST</v>
          </cell>
          <cell r="C3347">
            <v>530589</v>
          </cell>
          <cell r="D3347" t="str">
            <v>SIKKENS</v>
          </cell>
          <cell r="E3347">
            <v>20031</v>
          </cell>
          <cell r="F3347" t="str">
            <v>BASES POLIÉSTER</v>
          </cell>
          <cell r="G3347" t="str">
            <v>AUTOMOTIVO</v>
          </cell>
        </row>
        <row r="3348">
          <cell r="A3348">
            <v>9928</v>
          </cell>
          <cell r="B3348" t="str">
            <v>AUTOBASE PLUS MM Q235 VERMELHO ALARANJADO 1L-25,63-ST</v>
          </cell>
          <cell r="C3348">
            <v>530590</v>
          </cell>
          <cell r="D3348" t="str">
            <v>SIKKENS</v>
          </cell>
          <cell r="E3348">
            <v>20031</v>
          </cell>
          <cell r="F3348" t="str">
            <v>BASES POLIÉSTER</v>
          </cell>
          <cell r="G3348" t="str">
            <v>AUTOMOTIVO</v>
          </cell>
        </row>
        <row r="3349">
          <cell r="A3349">
            <v>9929</v>
          </cell>
          <cell r="B3349" t="str">
            <v>AUTOBASE PLUS MM Q239 VERMELHO OXIDO 1L-21,94-ST</v>
          </cell>
          <cell r="C3349">
            <v>530591</v>
          </cell>
          <cell r="D3349" t="str">
            <v>SIKKENS</v>
          </cell>
          <cell r="E3349">
            <v>20031</v>
          </cell>
          <cell r="F3349" t="str">
            <v>BASES POLIÉSTER</v>
          </cell>
          <cell r="G3349" t="str">
            <v>AUTOMOTIVO</v>
          </cell>
        </row>
        <row r="3350">
          <cell r="A3350">
            <v>9930</v>
          </cell>
          <cell r="B3350" t="str">
            <v>AUTOBASE PLUS MM Q271 VERMELHO MARRON 1L-25,37-ST</v>
          </cell>
          <cell r="C3350">
            <v>530592</v>
          </cell>
          <cell r="D3350" t="str">
            <v>SIKKENS</v>
          </cell>
          <cell r="E3350">
            <v>20031</v>
          </cell>
          <cell r="F3350" t="str">
            <v>BASES POLIÉSTER</v>
          </cell>
          <cell r="G3350" t="str">
            <v>AUTOMOTIVO</v>
          </cell>
        </row>
        <row r="3351">
          <cell r="A3351">
            <v>9931</v>
          </cell>
          <cell r="B3351" t="str">
            <v>AUTOBASE PLUS MM Q279 VERMELHO TRANSPARENTE 1L-25,87-ST</v>
          </cell>
          <cell r="C3351">
            <v>530593</v>
          </cell>
          <cell r="D3351" t="str">
            <v>SIKKENS</v>
          </cell>
          <cell r="E3351">
            <v>20031</v>
          </cell>
          <cell r="F3351" t="str">
            <v>BASES POLIÉSTER</v>
          </cell>
          <cell r="G3351" t="str">
            <v>AUTOMOTIVO</v>
          </cell>
        </row>
        <row r="3352">
          <cell r="A3352">
            <v>9932</v>
          </cell>
          <cell r="B3352" t="str">
            <v>AUTOBASE PLUS MM Q325 LARANJA ESCURO 1L-25,87-ST</v>
          </cell>
          <cell r="C3352">
            <v>530594</v>
          </cell>
          <cell r="D3352" t="str">
            <v>SIKKENS</v>
          </cell>
          <cell r="E3352">
            <v>20031</v>
          </cell>
          <cell r="F3352" t="str">
            <v>BASES POLIÉSTER</v>
          </cell>
          <cell r="G3352" t="str">
            <v>AUTOMOTIVO</v>
          </cell>
        </row>
        <row r="3353">
          <cell r="A3353">
            <v>9934</v>
          </cell>
          <cell r="B3353" t="str">
            <v>AUTOBASE PLUS MM Q328 LARANJA  AVERMELHADO TRANSP 1L-25,63-ST</v>
          </cell>
          <cell r="C3353">
            <v>530595</v>
          </cell>
          <cell r="D3353" t="str">
            <v>SIKKENS</v>
          </cell>
          <cell r="E3353">
            <v>20031</v>
          </cell>
          <cell r="F3353" t="str">
            <v>BASES POLIÉSTER</v>
          </cell>
          <cell r="G3353" t="str">
            <v>AUTOMOTIVO</v>
          </cell>
        </row>
        <row r="3354">
          <cell r="A3354">
            <v>9935</v>
          </cell>
          <cell r="B3354" t="str">
            <v>AUTOBASE PLUS MM Q348 AMARELO ALARANJADO 1L-21,94-ST</v>
          </cell>
          <cell r="C3354">
            <v>530596</v>
          </cell>
          <cell r="D3354" t="str">
            <v>SIKKENS</v>
          </cell>
          <cell r="E3354">
            <v>20031</v>
          </cell>
          <cell r="F3354" t="str">
            <v>BASES POLIÉSTER</v>
          </cell>
          <cell r="G3354" t="str">
            <v>AUTOMOTIVO</v>
          </cell>
        </row>
        <row r="3355">
          <cell r="A3355">
            <v>22328</v>
          </cell>
          <cell r="B3355" t="str">
            <v>AUTOBASE PLUS MM Q432 AMARELO ESVERDEADO 1L-25,87-ST</v>
          </cell>
          <cell r="C3355">
            <v>537689</v>
          </cell>
          <cell r="D3355" t="str">
            <v>SIKKENS</v>
          </cell>
          <cell r="E3355">
            <v>20031</v>
          </cell>
          <cell r="F3355" t="str">
            <v>BASES POLIÉSTER</v>
          </cell>
          <cell r="G3355" t="str">
            <v>AUTOMOTIVO</v>
          </cell>
        </row>
        <row r="3356">
          <cell r="A3356">
            <v>9937</v>
          </cell>
          <cell r="B3356" t="str">
            <v>AUTOBASE PLUS MM Q436 AMARELO OXIDO ESCURO 1L-25,37-ST</v>
          </cell>
          <cell r="C3356">
            <v>530598</v>
          </cell>
          <cell r="D3356" t="str">
            <v>SIKKENS</v>
          </cell>
          <cell r="E3356">
            <v>20031</v>
          </cell>
          <cell r="F3356" t="str">
            <v>BASES POLIÉSTER</v>
          </cell>
          <cell r="G3356" t="str">
            <v>AUTOMOTIVO</v>
          </cell>
        </row>
        <row r="3357">
          <cell r="A3357">
            <v>9938</v>
          </cell>
          <cell r="B3357" t="str">
            <v>AUTOBASE PLUS MM Q437 AMARELO OXIDO BRILHANTE 1L-25,37-ST</v>
          </cell>
          <cell r="C3357">
            <v>530599</v>
          </cell>
          <cell r="D3357" t="str">
            <v>SIKKENS</v>
          </cell>
          <cell r="E3357">
            <v>20031</v>
          </cell>
          <cell r="F3357" t="str">
            <v>BASES POLIÉSTER</v>
          </cell>
          <cell r="G3357" t="str">
            <v>AUTOMOTIVO</v>
          </cell>
        </row>
        <row r="3358">
          <cell r="A3358">
            <v>9939</v>
          </cell>
          <cell r="B3358" t="str">
            <v>AUTOBASE PLUS MM Q439 AMARELO ALARANJADO 1L-25,63-ST</v>
          </cell>
          <cell r="C3358">
            <v>530600</v>
          </cell>
          <cell r="D3358" t="str">
            <v>SIKKENS</v>
          </cell>
          <cell r="E3358">
            <v>20031</v>
          </cell>
          <cell r="F3358" t="str">
            <v>BASES POLIÉSTER</v>
          </cell>
          <cell r="G3358" t="str">
            <v>AUTOMOTIVO</v>
          </cell>
        </row>
        <row r="3359">
          <cell r="A3359">
            <v>9940</v>
          </cell>
          <cell r="B3359" t="str">
            <v>AUTOBASE PLUS MM Q452 AMARELO CLARO 1L-21,94-ST</v>
          </cell>
          <cell r="C3359">
            <v>530601</v>
          </cell>
          <cell r="D3359" t="str">
            <v>SIKKENS</v>
          </cell>
          <cell r="E3359">
            <v>20031</v>
          </cell>
          <cell r="F3359" t="str">
            <v>BASES POLIÉSTER</v>
          </cell>
          <cell r="G3359" t="str">
            <v>AUTOMOTIVO</v>
          </cell>
        </row>
        <row r="3360">
          <cell r="A3360">
            <v>9941</v>
          </cell>
          <cell r="B3360" t="str">
            <v>AUTOBASE PLUS MM Q455 AMARELO BRILHANTE 1L-25,37-ST</v>
          </cell>
          <cell r="C3360">
            <v>530602</v>
          </cell>
          <cell r="D3360" t="str">
            <v>SIKKENS</v>
          </cell>
          <cell r="E3360">
            <v>20031</v>
          </cell>
          <cell r="F3360" t="str">
            <v>BASES POLIÉSTER</v>
          </cell>
          <cell r="G3360" t="str">
            <v>AUTOMOTIVO</v>
          </cell>
        </row>
        <row r="3361">
          <cell r="A3361">
            <v>9942</v>
          </cell>
          <cell r="B3361" t="str">
            <v>AUTOBASE PLUS MM Q550 VERDE TRANSPARENTE 1L-21,94-ST</v>
          </cell>
          <cell r="C3361">
            <v>530603</v>
          </cell>
          <cell r="D3361" t="str">
            <v>SIKKENS</v>
          </cell>
          <cell r="E3361">
            <v>20031</v>
          </cell>
          <cell r="F3361" t="str">
            <v>BASES POLIÉSTER</v>
          </cell>
          <cell r="G3361" t="str">
            <v>AUTOMOTIVO</v>
          </cell>
        </row>
        <row r="3362">
          <cell r="A3362">
            <v>9943</v>
          </cell>
          <cell r="B3362" t="str">
            <v>AUTOBASE PLUS MM Q564 VERDE ESCURO 1L-21,94-ST</v>
          </cell>
          <cell r="C3362">
            <v>530604</v>
          </cell>
          <cell r="D3362" t="str">
            <v>SIKKENS</v>
          </cell>
          <cell r="E3362">
            <v>20031</v>
          </cell>
          <cell r="F3362" t="str">
            <v>BASES POLIÉSTER</v>
          </cell>
          <cell r="G3362" t="str">
            <v>AUTOMOTIVO</v>
          </cell>
        </row>
        <row r="3363">
          <cell r="A3363">
            <v>9944</v>
          </cell>
          <cell r="B3363" t="str">
            <v>AUTOBASE PLUS MM Q652 AZUL ESVERDEADO 1L-25,37-ST</v>
          </cell>
          <cell r="C3363">
            <v>530605</v>
          </cell>
          <cell r="D3363" t="str">
            <v>SIKKENS</v>
          </cell>
          <cell r="E3363">
            <v>20031</v>
          </cell>
          <cell r="F3363" t="str">
            <v>BASES POLIÉSTER</v>
          </cell>
          <cell r="G3363" t="str">
            <v>AUTOMOTIVO</v>
          </cell>
        </row>
        <row r="3364">
          <cell r="A3364">
            <v>85032</v>
          </cell>
          <cell r="B3364" t="str">
            <v>AUTOBASE PLUS MM Q653 AZUL ESVERDEADO 1L-25,37-ST</v>
          </cell>
          <cell r="C3364">
            <v>599623</v>
          </cell>
          <cell r="D3364" t="str">
            <v>SIKKENS</v>
          </cell>
          <cell r="E3364">
            <v>20031</v>
          </cell>
          <cell r="F3364" t="str">
            <v>BASES POLIÉSTER</v>
          </cell>
          <cell r="G3364" t="str">
            <v>AUTOMOTIVO</v>
          </cell>
        </row>
        <row r="3365">
          <cell r="A3365">
            <v>9945</v>
          </cell>
          <cell r="B3365" t="str">
            <v>AUTOBASE PLUS MM Q671 AZUL TRANSPARENTE 1L-25,37-ST</v>
          </cell>
          <cell r="C3365">
            <v>530606</v>
          </cell>
          <cell r="D3365" t="str">
            <v>SIKKENS</v>
          </cell>
          <cell r="E3365">
            <v>20031</v>
          </cell>
          <cell r="F3365" t="str">
            <v>BASES POLIÉSTER</v>
          </cell>
          <cell r="G3365" t="str">
            <v>AUTOMOTIVO</v>
          </cell>
        </row>
        <row r="3366">
          <cell r="A3366">
            <v>9946</v>
          </cell>
          <cell r="B3366" t="str">
            <v>AUTOBASE PLUS MM Q673 AZUL BRILHANTE 1L-25,63-ST</v>
          </cell>
          <cell r="C3366">
            <v>530607</v>
          </cell>
          <cell r="D3366" t="str">
            <v>SIKKENS</v>
          </cell>
          <cell r="E3366">
            <v>20031</v>
          </cell>
          <cell r="F3366" t="str">
            <v>BASES POLIÉSTER</v>
          </cell>
          <cell r="G3366" t="str">
            <v>AUTOMOTIVO</v>
          </cell>
        </row>
        <row r="3367">
          <cell r="A3367">
            <v>9947</v>
          </cell>
          <cell r="B3367" t="str">
            <v>AUTOBASE PLUS MM Q678 AZUL AVIOLETADO 1L-21,94-ST</v>
          </cell>
          <cell r="C3367">
            <v>530608</v>
          </cell>
          <cell r="D3367" t="str">
            <v>SIKKENS</v>
          </cell>
          <cell r="E3367">
            <v>20031</v>
          </cell>
          <cell r="F3367" t="str">
            <v>BASES POLIÉSTER</v>
          </cell>
          <cell r="G3367" t="str">
            <v>AUTOMOTIVO</v>
          </cell>
        </row>
        <row r="3368">
          <cell r="A3368">
            <v>22686</v>
          </cell>
          <cell r="B3368" t="str">
            <v>AUTOBASE PLUS MM Q679 VIOLETADA TRANSP 1L-25,87-ST</v>
          </cell>
          <cell r="C3368">
            <v>540475</v>
          </cell>
          <cell r="D3368" t="str">
            <v>SIKKENS</v>
          </cell>
          <cell r="E3368">
            <v>20031</v>
          </cell>
          <cell r="F3368" t="str">
            <v>BASES POLIÉSTER</v>
          </cell>
          <cell r="G3368" t="str">
            <v>AUTOMOTIVO</v>
          </cell>
        </row>
        <row r="3369">
          <cell r="A3369">
            <v>23785</v>
          </cell>
          <cell r="B3369" t="str">
            <v>AUTOBASE PLUS MM Q680 VIOLETA TRANSPARENTE 1L -  25,63-ST</v>
          </cell>
          <cell r="C3369">
            <v>576629</v>
          </cell>
          <cell r="D3369" t="str">
            <v>SIKKENS</v>
          </cell>
          <cell r="E3369">
            <v>20031</v>
          </cell>
          <cell r="F3369" t="str">
            <v>BASES POLIÉSTER</v>
          </cell>
          <cell r="G3369" t="str">
            <v>AUTOMOTIVO</v>
          </cell>
        </row>
        <row r="3370">
          <cell r="A3370">
            <v>9949</v>
          </cell>
          <cell r="B3370" t="str">
            <v>AUTOBASE PLUS MM Q725 MARRON BRILHANTE 1L-25,37-ST</v>
          </cell>
          <cell r="C3370">
            <v>530609</v>
          </cell>
          <cell r="D3370" t="str">
            <v>SIKKENS</v>
          </cell>
          <cell r="E3370">
            <v>20031</v>
          </cell>
          <cell r="F3370" t="str">
            <v>BASES POLIÉSTER</v>
          </cell>
          <cell r="G3370" t="str">
            <v>AUTOMOTIVO</v>
          </cell>
        </row>
        <row r="3371">
          <cell r="A3371">
            <v>9950</v>
          </cell>
          <cell r="B3371" t="str">
            <v>AUTOBASE PLUS MM Q726 VIOLETA AVERMELHADO 1L-25,63-ST</v>
          </cell>
          <cell r="C3371">
            <v>530610</v>
          </cell>
          <cell r="D3371" t="str">
            <v>SIKKENS</v>
          </cell>
          <cell r="E3371">
            <v>20031</v>
          </cell>
          <cell r="F3371" t="str">
            <v>BASES POLIÉSTER</v>
          </cell>
          <cell r="G3371" t="str">
            <v>AUTOMOTIVO</v>
          </cell>
        </row>
        <row r="3372">
          <cell r="A3372">
            <v>9951</v>
          </cell>
          <cell r="B3372" t="str">
            <v>AUTOBASE PLUS MM Q766 VIOLETA AZULADO 1L-25,63-ST</v>
          </cell>
          <cell r="C3372">
            <v>530611</v>
          </cell>
          <cell r="D3372" t="str">
            <v>SIKKENS</v>
          </cell>
          <cell r="E3372">
            <v>20031</v>
          </cell>
          <cell r="F3372" t="str">
            <v>BASES POLIÉSTER</v>
          </cell>
          <cell r="G3372" t="str">
            <v>AUTOMOTIVO</v>
          </cell>
        </row>
        <row r="3373">
          <cell r="A3373">
            <v>9952</v>
          </cell>
          <cell r="B3373" t="str">
            <v>AUTOBASE PLUS MM Q811B METALICO EXTRA FINO 1L-21,94-ST</v>
          </cell>
          <cell r="C3373">
            <v>529660</v>
          </cell>
          <cell r="D3373" t="str">
            <v>SIKKENS</v>
          </cell>
          <cell r="E3373">
            <v>20031</v>
          </cell>
          <cell r="F3373" t="str">
            <v>BASES POLIÉSTER</v>
          </cell>
          <cell r="G3373" t="str">
            <v>AUTOMOTIVO</v>
          </cell>
        </row>
        <row r="3374">
          <cell r="A3374">
            <v>9953</v>
          </cell>
          <cell r="B3374" t="str">
            <v>AUTOBASE PLUS MM Q811E METALICO FINO 3,75 L-21,67-ST</v>
          </cell>
          <cell r="C3374">
            <v>529661</v>
          </cell>
          <cell r="D3374" t="str">
            <v>SIKKENS</v>
          </cell>
          <cell r="E3374">
            <v>20031</v>
          </cell>
          <cell r="F3374" t="str">
            <v>BASES POLIÉSTER</v>
          </cell>
          <cell r="G3374" t="str">
            <v>AUTOMOTIVO</v>
          </cell>
        </row>
        <row r="3375">
          <cell r="A3375">
            <v>9954</v>
          </cell>
          <cell r="B3375" t="str">
            <v>AUTOBASE PLUS MM Q811J METALICO MEDIO 3,75L-21,67-ST</v>
          </cell>
          <cell r="C3375">
            <v>529662</v>
          </cell>
          <cell r="D3375" t="str">
            <v>SIKKENS</v>
          </cell>
          <cell r="E3375">
            <v>20031</v>
          </cell>
          <cell r="F3375" t="str">
            <v>BASES POLIÉSTER</v>
          </cell>
          <cell r="G3375" t="str">
            <v>AUTOMOTIVO</v>
          </cell>
        </row>
        <row r="3376">
          <cell r="A3376">
            <v>9955</v>
          </cell>
          <cell r="B3376" t="str">
            <v>AUTOBASE PLUS MM Q811M METALICO GRAUDO BRILHANTE 1L-21,67-ST</v>
          </cell>
          <cell r="C3376">
            <v>529663</v>
          </cell>
          <cell r="D3376" t="str">
            <v>SIKKENS</v>
          </cell>
          <cell r="E3376">
            <v>20031</v>
          </cell>
          <cell r="F3376" t="str">
            <v>BASES POLIÉSTER</v>
          </cell>
          <cell r="G3376" t="str">
            <v>AUTOMOTIVO</v>
          </cell>
        </row>
        <row r="3377">
          <cell r="A3377">
            <v>9956</v>
          </cell>
          <cell r="B3377" t="str">
            <v>AUTOBASE PLUS MM Q811P METALICO GRAUDO 3,75L-21,67-ST</v>
          </cell>
          <cell r="C3377">
            <v>529664</v>
          </cell>
          <cell r="D3377" t="str">
            <v>SIKKENS</v>
          </cell>
          <cell r="E3377">
            <v>20031</v>
          </cell>
          <cell r="F3377" t="str">
            <v>BASES POLIÉSTER</v>
          </cell>
          <cell r="G3377" t="str">
            <v>AUTOMOTIVO</v>
          </cell>
        </row>
        <row r="3378">
          <cell r="A3378">
            <v>9957</v>
          </cell>
          <cell r="B3378" t="str">
            <v>AUTOBASE PLUS MM Q811R METALICO MUITO GRAUDO 1L-21,67-ST</v>
          </cell>
          <cell r="C3378">
            <v>529665</v>
          </cell>
          <cell r="D3378" t="str">
            <v>SIKKENS</v>
          </cell>
          <cell r="E3378">
            <v>20031</v>
          </cell>
          <cell r="F3378" t="str">
            <v>BASES POLIÉSTER</v>
          </cell>
          <cell r="G3378" t="str">
            <v>AUTOMOTIVO</v>
          </cell>
        </row>
        <row r="3379">
          <cell r="A3379">
            <v>9960</v>
          </cell>
          <cell r="B3379" t="str">
            <v>AUTOBASE PLUS MM Q843H DOURADO METALICO 1L-25,37-ST</v>
          </cell>
          <cell r="C3379">
            <v>530613</v>
          </cell>
          <cell r="D3379" t="str">
            <v>SIKKENS</v>
          </cell>
          <cell r="E3379">
            <v>20031</v>
          </cell>
          <cell r="F3379" t="str">
            <v>BASES POLIÉSTER</v>
          </cell>
          <cell r="G3379" t="str">
            <v>AUTOMOTIVO</v>
          </cell>
        </row>
        <row r="3380">
          <cell r="A3380">
            <v>85582</v>
          </cell>
          <cell r="B3380" t="str">
            <v>Autobase Plus MM Q879NG SEC Turquoise To Gold 0.5L UN 1263 T</v>
          </cell>
          <cell r="C3380">
            <v>531126</v>
          </cell>
          <cell r="D3380" t="str">
            <v>SIKKENS</v>
          </cell>
          <cell r="E3380">
            <v>20031</v>
          </cell>
          <cell r="F3380" t="str">
            <v>BASES POLIÉSTER</v>
          </cell>
          <cell r="G3380" t="str">
            <v>AUTOMOTIVO</v>
          </cell>
        </row>
        <row r="3381">
          <cell r="A3381">
            <v>9961</v>
          </cell>
          <cell r="B3381" t="str">
            <v>AUTOBASE PLUS MM Q911H PRATA GRAUDO 1L-25,63-ST</v>
          </cell>
          <cell r="C3381">
            <v>530614</v>
          </cell>
          <cell r="D3381" t="str">
            <v>SIKKENS</v>
          </cell>
          <cell r="E3381">
            <v>20031</v>
          </cell>
          <cell r="F3381" t="str">
            <v>BASES POLIÉSTER</v>
          </cell>
          <cell r="G3381" t="str">
            <v>AUTOMOTIVO</v>
          </cell>
        </row>
        <row r="3382">
          <cell r="A3382">
            <v>9962</v>
          </cell>
          <cell r="B3382" t="str">
            <v>AUTOBASE PLUS MM Q911M PEROLA BRANCA 1L-21,67-ST</v>
          </cell>
          <cell r="C3382">
            <v>529666</v>
          </cell>
          <cell r="D3382" t="str">
            <v>SIKKENS</v>
          </cell>
          <cell r="E3382">
            <v>20031</v>
          </cell>
          <cell r="F3382" t="str">
            <v>BASES POLIÉSTER</v>
          </cell>
          <cell r="G3382" t="str">
            <v>AUTOMOTIVO</v>
          </cell>
        </row>
        <row r="3383">
          <cell r="A3383">
            <v>9963</v>
          </cell>
          <cell r="B3383" t="str">
            <v>AUTOBASE PLUS MM Q914C PEROLA BRANCA FINA 1L-21,94-ST</v>
          </cell>
          <cell r="C3383">
            <v>530615</v>
          </cell>
          <cell r="D3383" t="str">
            <v>SIKKENS</v>
          </cell>
          <cell r="E3383">
            <v>20031</v>
          </cell>
          <cell r="F3383" t="str">
            <v>BASES POLIÉSTER</v>
          </cell>
          <cell r="G3383" t="str">
            <v>AUTOMOTIVO</v>
          </cell>
        </row>
        <row r="3384">
          <cell r="A3384">
            <v>9964</v>
          </cell>
          <cell r="B3384" t="str">
            <v>AUTOBASE PLUS MM Q914F PEROLA BRANCA CLARA 1L-21,94-ST</v>
          </cell>
          <cell r="C3384">
            <v>530616</v>
          </cell>
          <cell r="D3384" t="str">
            <v>SIKKENS</v>
          </cell>
          <cell r="E3384">
            <v>20031</v>
          </cell>
          <cell r="F3384" t="str">
            <v>BASES POLIÉSTER</v>
          </cell>
          <cell r="G3384" t="str">
            <v>AUTOMOTIVO</v>
          </cell>
        </row>
        <row r="3385">
          <cell r="A3385">
            <v>9965</v>
          </cell>
          <cell r="B3385" t="str">
            <v>AUTOBASE PLUS MM Q922F PEROLA VERMELHA 1L-21,94-ST</v>
          </cell>
          <cell r="C3385">
            <v>530617</v>
          </cell>
          <cell r="D3385" t="str">
            <v>SIKKENS</v>
          </cell>
          <cell r="E3385">
            <v>20031</v>
          </cell>
          <cell r="F3385" t="str">
            <v>BASES POLIÉSTER</v>
          </cell>
          <cell r="G3385" t="str">
            <v>AUTOMOTIVO</v>
          </cell>
        </row>
        <row r="3386">
          <cell r="A3386">
            <v>9966</v>
          </cell>
          <cell r="B3386" t="str">
            <v>AUTOBASE PLUS MM Q922M PEROLA VERMELHA MEDIA 1L-21,94-ST</v>
          </cell>
          <cell r="C3386">
            <v>529667</v>
          </cell>
          <cell r="D3386" t="str">
            <v>SIKKENS</v>
          </cell>
          <cell r="E3386">
            <v>20031</v>
          </cell>
          <cell r="F3386" t="str">
            <v>BASES POLIÉSTER</v>
          </cell>
          <cell r="G3386" t="str">
            <v>AUTOMOTIVO</v>
          </cell>
        </row>
        <row r="3387">
          <cell r="A3387">
            <v>9967</v>
          </cell>
          <cell r="B3387" t="str">
            <v>AUTOBASE PLUS MM Q923H PEROLA VERMELHA GRAUDA 1L-25,63-ST</v>
          </cell>
          <cell r="C3387">
            <v>530618</v>
          </cell>
          <cell r="D3387" t="str">
            <v>SIKKENS</v>
          </cell>
          <cell r="E3387">
            <v>20031</v>
          </cell>
          <cell r="F3387" t="str">
            <v>BASES POLIÉSTER</v>
          </cell>
          <cell r="G3387" t="str">
            <v>AUTOMOTIVO</v>
          </cell>
        </row>
        <row r="3388">
          <cell r="A3388">
            <v>9968</v>
          </cell>
          <cell r="B3388" t="str">
            <v>AUTOBASE PLUS MM Q925M PEROLA VERMELHA 1L-21,94-ST</v>
          </cell>
          <cell r="C3388">
            <v>530619</v>
          </cell>
          <cell r="D3388" t="str">
            <v>SIKKENS</v>
          </cell>
          <cell r="E3388">
            <v>20031</v>
          </cell>
          <cell r="F3388" t="str">
            <v>BASES POLIÉSTER</v>
          </cell>
          <cell r="G3388" t="str">
            <v>AUTOMOTIVO</v>
          </cell>
        </row>
        <row r="3389">
          <cell r="A3389">
            <v>9970</v>
          </cell>
          <cell r="B3389" t="str">
            <v>AUTOBASE PLUS MM Q933F PEROLA MARROM AVERMELHADA 1L-21,94-ST</v>
          </cell>
          <cell r="C3389">
            <v>530621</v>
          </cell>
          <cell r="D3389" t="str">
            <v>SIKKENS</v>
          </cell>
          <cell r="E3389">
            <v>20031</v>
          </cell>
          <cell r="F3389" t="str">
            <v>BASES POLIÉSTER</v>
          </cell>
          <cell r="G3389" t="str">
            <v>AUTOMOTIVO</v>
          </cell>
        </row>
        <row r="3390">
          <cell r="A3390">
            <v>9971</v>
          </cell>
          <cell r="B3390" t="str">
            <v>AUTOBASE PLUS MM Q933M PEROLA MARRON MEDIA 1L-25,37-ST</v>
          </cell>
          <cell r="C3390">
            <v>530622</v>
          </cell>
          <cell r="D3390" t="str">
            <v>SIKKENS</v>
          </cell>
          <cell r="E3390">
            <v>20031</v>
          </cell>
          <cell r="F3390" t="str">
            <v>BASES POLIÉSTER</v>
          </cell>
          <cell r="G3390" t="str">
            <v>AUTOMOTIVO</v>
          </cell>
        </row>
        <row r="3391">
          <cell r="A3391">
            <v>9972</v>
          </cell>
          <cell r="B3391" t="str">
            <v>AUTOBASE PLUS MM Q941F PEROLA OURO FINA 1L-21,94-ST</v>
          </cell>
          <cell r="C3391">
            <v>530623</v>
          </cell>
          <cell r="D3391" t="str">
            <v>SIKKENS</v>
          </cell>
          <cell r="E3391">
            <v>20031</v>
          </cell>
          <cell r="F3391" t="str">
            <v>BASES POLIÉSTER</v>
          </cell>
          <cell r="G3391" t="str">
            <v>AUTOMOTIVO</v>
          </cell>
        </row>
        <row r="3392">
          <cell r="A3392">
            <v>9973</v>
          </cell>
          <cell r="B3392" t="str">
            <v>AUTOBASE PLUS MM Q941H EFEITO OURO 1L-25,63-ST</v>
          </cell>
          <cell r="C3392">
            <v>530624</v>
          </cell>
          <cell r="D3392" t="str">
            <v>SIKKENS</v>
          </cell>
          <cell r="E3392">
            <v>20031</v>
          </cell>
          <cell r="F3392" t="str">
            <v>BASES POLIÉSTER</v>
          </cell>
          <cell r="G3392" t="str">
            <v>AUTOMOTIVO</v>
          </cell>
        </row>
        <row r="3393">
          <cell r="A3393">
            <v>9974</v>
          </cell>
          <cell r="B3393" t="str">
            <v>AUTOBASE PLUS MM Q941M PEROLA OURO MEDIA 1L-25,63-ST</v>
          </cell>
          <cell r="C3393">
            <v>530625</v>
          </cell>
          <cell r="D3393" t="str">
            <v>SIKKENS</v>
          </cell>
          <cell r="E3393">
            <v>20031</v>
          </cell>
          <cell r="F3393" t="str">
            <v>BASES POLIÉSTER</v>
          </cell>
          <cell r="G3393" t="str">
            <v>AUTOMOTIVO</v>
          </cell>
        </row>
        <row r="3394">
          <cell r="A3394">
            <v>9975</v>
          </cell>
          <cell r="B3394" t="str">
            <v>AUTOBASE PLUS MM Q943M PEROLA DOURADA 1L-21,94-ST</v>
          </cell>
          <cell r="C3394">
            <v>530626</v>
          </cell>
          <cell r="D3394" t="str">
            <v>SIKKENS</v>
          </cell>
          <cell r="E3394">
            <v>20031</v>
          </cell>
          <cell r="F3394" t="str">
            <v>BASES POLIÉSTER</v>
          </cell>
          <cell r="G3394" t="str">
            <v>AUTOMOTIVO</v>
          </cell>
        </row>
        <row r="3395">
          <cell r="A3395">
            <v>9976</v>
          </cell>
          <cell r="B3395" t="str">
            <v>AUTOBASE PLUS MM Q951F PEROLA VERDE MEDIA 1L-21,94-ST</v>
          </cell>
          <cell r="C3395">
            <v>530627</v>
          </cell>
          <cell r="D3395" t="str">
            <v>SIKKENS</v>
          </cell>
          <cell r="E3395">
            <v>20031</v>
          </cell>
          <cell r="F3395" t="str">
            <v>BASES POLIÉSTER</v>
          </cell>
          <cell r="G3395" t="str">
            <v>AUTOMOTIVO</v>
          </cell>
        </row>
        <row r="3396">
          <cell r="A3396">
            <v>9977</v>
          </cell>
          <cell r="B3396" t="str">
            <v>AUTOBASE PLUS MM Q951H PEROLA VERDE 1L-21,94-ST</v>
          </cell>
          <cell r="C3396">
            <v>530628</v>
          </cell>
          <cell r="D3396" t="str">
            <v>SIKKENS</v>
          </cell>
          <cell r="E3396">
            <v>20031</v>
          </cell>
          <cell r="F3396" t="str">
            <v>BASES POLIÉSTER</v>
          </cell>
          <cell r="G3396" t="str">
            <v>AUTOMOTIVO</v>
          </cell>
        </row>
        <row r="3397">
          <cell r="A3397">
            <v>9978</v>
          </cell>
          <cell r="B3397" t="str">
            <v>AUTOBASE PLUS MM Q952M PEROLA VERDE VERMELHA 1L-21,94-ST</v>
          </cell>
          <cell r="C3397">
            <v>530629</v>
          </cell>
          <cell r="D3397" t="str">
            <v>SIKKENS</v>
          </cell>
          <cell r="E3397">
            <v>20031</v>
          </cell>
          <cell r="F3397" t="str">
            <v>BASES POLIÉSTER</v>
          </cell>
          <cell r="G3397" t="str">
            <v>AUTOMOTIVO</v>
          </cell>
        </row>
        <row r="3398">
          <cell r="A3398">
            <v>24306</v>
          </cell>
          <cell r="B3398" t="str">
            <v>AUTOBASE PLUS MM Q952N PEROLA VERDE AZUL SIKKENS-25,87-ST</v>
          </cell>
          <cell r="C3398">
            <v>546430</v>
          </cell>
          <cell r="D3398" t="str">
            <v>SIKKENS</v>
          </cell>
          <cell r="E3398">
            <v>20031</v>
          </cell>
          <cell r="F3398" t="str">
            <v>BASES POLIÉSTER</v>
          </cell>
          <cell r="G3398" t="str">
            <v>AUTOMOTIVO</v>
          </cell>
        </row>
        <row r="3399">
          <cell r="A3399">
            <v>21369</v>
          </cell>
          <cell r="B3399" t="str">
            <v>AUTOBASE PLUS MM Q954G PEROLA AZUL ESVERDEADA 1L-25,87-ST</v>
          </cell>
          <cell r="C3399">
            <v>530630</v>
          </cell>
          <cell r="D3399" t="str">
            <v>SIKKENS</v>
          </cell>
          <cell r="E3399">
            <v>20031</v>
          </cell>
          <cell r="F3399" t="str">
            <v>BASES POLIÉSTER</v>
          </cell>
          <cell r="G3399" t="str">
            <v>AUTOMOTIVO</v>
          </cell>
        </row>
        <row r="3400">
          <cell r="A3400">
            <v>9980</v>
          </cell>
          <cell r="B3400" t="str">
            <v>AUTOBASE PLUS MM Q954M PEROLA VERDE BRILHANTE 1L-21,94-ST</v>
          </cell>
          <cell r="C3400">
            <v>530631</v>
          </cell>
          <cell r="D3400" t="str">
            <v>SIKKENS</v>
          </cell>
          <cell r="E3400">
            <v>20031</v>
          </cell>
          <cell r="F3400" t="str">
            <v>BASES POLIÉSTER</v>
          </cell>
          <cell r="G3400" t="str">
            <v>AUTOMOTIVO</v>
          </cell>
        </row>
        <row r="3401">
          <cell r="A3401">
            <v>9981</v>
          </cell>
          <cell r="B3401" t="str">
            <v>AUTOBASE PLUS MM Q954S PEROLA VERDE MEDIA 1L-21,94-ST</v>
          </cell>
          <cell r="C3401">
            <v>530632</v>
          </cell>
          <cell r="D3401" t="str">
            <v>SIKKENS</v>
          </cell>
          <cell r="E3401">
            <v>20031</v>
          </cell>
          <cell r="F3401" t="str">
            <v>BASES POLIÉSTER</v>
          </cell>
          <cell r="G3401" t="str">
            <v>AUTOMOTIVO</v>
          </cell>
        </row>
        <row r="3402">
          <cell r="A3402">
            <v>9982</v>
          </cell>
          <cell r="B3402" t="str">
            <v>AUTOBASE PLUS MM Q961H EFEITO AZUL 1L-25,37-ST</v>
          </cell>
          <cell r="C3402">
            <v>530633</v>
          </cell>
          <cell r="D3402" t="str">
            <v>SIKKENS</v>
          </cell>
          <cell r="E3402">
            <v>20031</v>
          </cell>
          <cell r="F3402" t="str">
            <v>BASES POLIÉSTER</v>
          </cell>
          <cell r="G3402" t="str">
            <v>AUTOMOTIVO</v>
          </cell>
        </row>
        <row r="3403">
          <cell r="A3403">
            <v>21030</v>
          </cell>
          <cell r="B3403" t="str">
            <v>AUTOBASE PLUS MM Q964H PEROLA AZUL FINA 1L-25,37-ST</v>
          </cell>
          <cell r="C3403">
            <v>530634</v>
          </cell>
          <cell r="D3403" t="str">
            <v>SIKKENS</v>
          </cell>
          <cell r="E3403">
            <v>20031</v>
          </cell>
          <cell r="F3403" t="str">
            <v>BASES POLIÉSTER</v>
          </cell>
          <cell r="G3403" t="str">
            <v>AUTOMOTIVO</v>
          </cell>
        </row>
        <row r="3404">
          <cell r="A3404">
            <v>9984</v>
          </cell>
          <cell r="B3404" t="str">
            <v>AUTOBASE PLUS MM Q964R PEROLA AZUL 1L-21,67-ST</v>
          </cell>
          <cell r="C3404">
            <v>529668</v>
          </cell>
          <cell r="D3404" t="str">
            <v>SIKKENS</v>
          </cell>
          <cell r="E3404">
            <v>20031</v>
          </cell>
          <cell r="F3404" t="str">
            <v>BASES POLIÉSTER</v>
          </cell>
          <cell r="G3404" t="str">
            <v>AUTOMOTIVO</v>
          </cell>
        </row>
        <row r="3405">
          <cell r="A3405">
            <v>9985</v>
          </cell>
          <cell r="B3405" t="str">
            <v>AUTOBASE PLUS MM Q975S PEROLA VIOLETA 1L-21,94-ST</v>
          </cell>
          <cell r="C3405">
            <v>530635</v>
          </cell>
          <cell r="D3405" t="str">
            <v>SIKKENS</v>
          </cell>
          <cell r="E3405">
            <v>20031</v>
          </cell>
          <cell r="F3405" t="str">
            <v>BASES POLIÉSTER</v>
          </cell>
          <cell r="G3405" t="str">
            <v>AUTOMOTIVO</v>
          </cell>
        </row>
        <row r="3406">
          <cell r="A3406">
            <v>85270</v>
          </cell>
          <cell r="B3406" t="str">
            <v>BASE EFEITO MARMORE 4KG BRASILUX</v>
          </cell>
          <cell r="C3406" t="str">
            <v>TM 460000135</v>
          </cell>
          <cell r="D3406" t="str">
            <v>BRASILUX</v>
          </cell>
          <cell r="E3406">
            <v>20031</v>
          </cell>
          <cell r="F3406" t="str">
            <v>BASES POLIÉSTER</v>
          </cell>
          <cell r="G3406" t="str">
            <v>AUTOMOTIVO</v>
          </cell>
        </row>
        <row r="3407">
          <cell r="A3407">
            <v>10001</v>
          </cell>
          <cell r="B3407" t="str">
            <v>BASEFIX SIKKENS</v>
          </cell>
          <cell r="C3407">
            <v>529809</v>
          </cell>
          <cell r="D3407" t="str">
            <v>SIKKENS</v>
          </cell>
          <cell r="E3407">
            <v>20031</v>
          </cell>
          <cell r="F3407" t="str">
            <v>BASES POLIÉSTER</v>
          </cell>
          <cell r="G3407" t="str">
            <v>AUTOMOTIVO</v>
          </cell>
        </row>
        <row r="3408">
          <cell r="A3408">
            <v>84491</v>
          </cell>
          <cell r="B3408" t="str">
            <v>BRASCOAT POLIESTER 3,6L</v>
          </cell>
          <cell r="C3408" t="str">
            <v>BA 350005002</v>
          </cell>
          <cell r="D3408" t="str">
            <v>BRASILUX</v>
          </cell>
          <cell r="E3408">
            <v>20031</v>
          </cell>
          <cell r="F3408" t="str">
            <v>BASES POLIÉSTER</v>
          </cell>
          <cell r="G3408" t="str">
            <v>AUTOMOTIVO</v>
          </cell>
        </row>
        <row r="3409">
          <cell r="A3409">
            <v>84493</v>
          </cell>
          <cell r="B3409" t="str">
            <v>BRASCOAT POLIESTER PREMIUM 18L</v>
          </cell>
          <cell r="C3409" t="str">
            <v>BA 350030003</v>
          </cell>
          <cell r="D3409" t="str">
            <v>BRASILUX</v>
          </cell>
          <cell r="E3409">
            <v>20031</v>
          </cell>
          <cell r="F3409" t="str">
            <v>BASES POLIÉSTER</v>
          </cell>
          <cell r="G3409" t="str">
            <v>AUTOMOTIVO</v>
          </cell>
        </row>
        <row r="3410">
          <cell r="A3410">
            <v>84492</v>
          </cell>
          <cell r="B3410" t="str">
            <v>BRASCOAT POLIESTER PREMIUM 3,6L</v>
          </cell>
          <cell r="C3410" t="str">
            <v>BA 350030002</v>
          </cell>
          <cell r="D3410" t="str">
            <v>BRASILUX</v>
          </cell>
          <cell r="E3410">
            <v>20031</v>
          </cell>
          <cell r="F3410" t="str">
            <v>BASES POLIÉSTER</v>
          </cell>
          <cell r="G3410" t="str">
            <v>AUTOMOTIVO</v>
          </cell>
        </row>
        <row r="3411">
          <cell r="A3411">
            <v>84649</v>
          </cell>
          <cell r="B3411" t="str">
            <v>BRASIMIX BP-ALUMINIO FINO 150ML BRASILUX</v>
          </cell>
          <cell r="C3411" t="str">
            <v>BM 000110110</v>
          </cell>
          <cell r="D3411" t="str">
            <v>BRASILUX</v>
          </cell>
          <cell r="E3411">
            <v>20031</v>
          </cell>
          <cell r="F3411" t="str">
            <v>BASES POLIÉSTER</v>
          </cell>
          <cell r="G3411" t="str">
            <v>AUTOMOTIVO</v>
          </cell>
        </row>
        <row r="3412">
          <cell r="A3412">
            <v>84854</v>
          </cell>
          <cell r="B3412" t="str">
            <v>BRASIMIX BP-ALUMINIO FINO BRILHANTE 800ML BRASILUX</v>
          </cell>
          <cell r="C3412" t="str">
            <v>BM 000110088</v>
          </cell>
          <cell r="D3412" t="str">
            <v>BRASILUX</v>
          </cell>
          <cell r="E3412">
            <v>20031</v>
          </cell>
          <cell r="F3412" t="str">
            <v>BASES POLIÉSTER</v>
          </cell>
          <cell r="G3412" t="str">
            <v>AUTOMOTIVO</v>
          </cell>
        </row>
        <row r="3413">
          <cell r="A3413">
            <v>84650</v>
          </cell>
          <cell r="B3413" t="str">
            <v>BRASIMIX BP-ALUMINIO GRAUDO 150ML BRASILUX</v>
          </cell>
          <cell r="C3413" t="str">
            <v>BM 000110210</v>
          </cell>
          <cell r="D3413" t="str">
            <v>BRASILUX</v>
          </cell>
          <cell r="E3413">
            <v>20031</v>
          </cell>
          <cell r="F3413" t="str">
            <v>BASES POLIÉSTER</v>
          </cell>
          <cell r="G3413" t="str">
            <v>AUTOMOTIVO</v>
          </cell>
        </row>
        <row r="3414">
          <cell r="A3414">
            <v>84651</v>
          </cell>
          <cell r="B3414" t="str">
            <v>BRASIMIX BP-ALUMINIO MEDIO 150ML BRASILUX</v>
          </cell>
          <cell r="C3414" t="str">
            <v>BM 000110310</v>
          </cell>
          <cell r="D3414" t="str">
            <v>BRASILUX</v>
          </cell>
          <cell r="E3414">
            <v>20031</v>
          </cell>
          <cell r="F3414" t="str">
            <v>BASES POLIÉSTER</v>
          </cell>
          <cell r="G3414" t="str">
            <v>AUTOMOTIVO</v>
          </cell>
        </row>
        <row r="3415">
          <cell r="A3415">
            <v>84855</v>
          </cell>
          <cell r="B3415" t="str">
            <v>BRASIMIX BP-ALUMINIO MEDIO 800ML BRASILUX</v>
          </cell>
          <cell r="C3415" t="str">
            <v>BM 000110388</v>
          </cell>
          <cell r="D3415" t="str">
            <v>BRASILUX</v>
          </cell>
          <cell r="E3415">
            <v>20031</v>
          </cell>
          <cell r="F3415" t="str">
            <v>BASES POLIÉSTER</v>
          </cell>
          <cell r="G3415" t="str">
            <v>AUTOMOTIVO</v>
          </cell>
        </row>
        <row r="3416">
          <cell r="A3416">
            <v>84657</v>
          </cell>
          <cell r="B3416" t="str">
            <v>BRASIMIX BP-AMARELO LIMAO 150ML BRASILUX</v>
          </cell>
          <cell r="C3416" t="str">
            <v>BM 000210510</v>
          </cell>
          <cell r="D3416" t="str">
            <v>BRASILUX</v>
          </cell>
          <cell r="E3416">
            <v>20031</v>
          </cell>
          <cell r="F3416" t="str">
            <v>BASES POLIÉSTER</v>
          </cell>
          <cell r="G3416" t="str">
            <v>AUTOMOTIVO</v>
          </cell>
        </row>
        <row r="3417">
          <cell r="A3417">
            <v>84653</v>
          </cell>
          <cell r="B3417" t="str">
            <v>BRASIMIX BP-AMARELO OXIDO 150ML BRASILUX</v>
          </cell>
          <cell r="C3417" t="str">
            <v>BM 000213610</v>
          </cell>
          <cell r="D3417" t="str">
            <v>BRASILUX</v>
          </cell>
          <cell r="E3417">
            <v>20031</v>
          </cell>
          <cell r="F3417" t="str">
            <v>BASES POLIÉSTER</v>
          </cell>
          <cell r="G3417" t="str">
            <v>AUTOMOTIVO</v>
          </cell>
        </row>
        <row r="3418">
          <cell r="A3418">
            <v>84655</v>
          </cell>
          <cell r="B3418" t="str">
            <v>BRASIMIX BP-AZUL INTENSO 150ML BRASILUX</v>
          </cell>
          <cell r="C3418" t="str">
            <v>BM 000313910</v>
          </cell>
          <cell r="D3418" t="str">
            <v>BRASILUX</v>
          </cell>
          <cell r="E3418">
            <v>20031</v>
          </cell>
          <cell r="F3418" t="str">
            <v>BASES POLIÉSTER</v>
          </cell>
          <cell r="G3418" t="str">
            <v>AUTOMOTIVO</v>
          </cell>
        </row>
        <row r="3419">
          <cell r="A3419">
            <v>84857</v>
          </cell>
          <cell r="B3419" t="str">
            <v>BRASIMIX BP-AZUL INTENSO 800ML BRASILUX</v>
          </cell>
          <cell r="C3419" t="str">
            <v>BM 000313988</v>
          </cell>
          <cell r="D3419" t="str">
            <v>BRASILUX</v>
          </cell>
          <cell r="E3419">
            <v>20031</v>
          </cell>
          <cell r="F3419" t="str">
            <v>BASES POLIÉSTER</v>
          </cell>
          <cell r="G3419" t="str">
            <v>AUTOMOTIVO</v>
          </cell>
        </row>
        <row r="3420">
          <cell r="A3420">
            <v>84803</v>
          </cell>
          <cell r="B3420" t="str">
            <v>BRASIDUR-PU ALIF. AUTOM CINZA CHASSI SCANIA 78 (675ML)</v>
          </cell>
          <cell r="C3420" t="str">
            <v>BT 260606912</v>
          </cell>
          <cell r="D3420" t="str">
            <v>BRASILUX</v>
          </cell>
          <cell r="E3420">
            <v>20003</v>
          </cell>
          <cell r="F3420" t="str">
            <v>TINTAS PU</v>
          </cell>
          <cell r="G3420" t="str">
            <v>AUTOMOTIVO</v>
          </cell>
        </row>
        <row r="3421">
          <cell r="A3421">
            <v>85246</v>
          </cell>
          <cell r="B3421" t="str">
            <v>BRASILACA-BRANCO N9,5 PURO 3,6L BRASILUX</v>
          </cell>
          <cell r="C3421" t="str">
            <v>BT 040504702</v>
          </cell>
          <cell r="D3421" t="str">
            <v>BRASILUX</v>
          </cell>
          <cell r="E3421">
            <v>20047</v>
          </cell>
          <cell r="F3421" t="str">
            <v>TINTAS LACA</v>
          </cell>
          <cell r="G3421" t="str">
            <v>AUTOMOTIVO</v>
          </cell>
        </row>
        <row r="3422">
          <cell r="A3422">
            <v>84851</v>
          </cell>
          <cell r="B3422" t="str">
            <v>BRASIMIX BP-BRANCO TRANSPARENTE 800ML BRASILUX</v>
          </cell>
          <cell r="C3422" t="str">
            <v>BM 000510988</v>
          </cell>
          <cell r="D3422" t="str">
            <v>BRASILUX</v>
          </cell>
          <cell r="E3422">
            <v>20031</v>
          </cell>
          <cell r="F3422" t="str">
            <v>BASES POLIÉSTER</v>
          </cell>
          <cell r="G3422" t="str">
            <v>AUTOMOTIVO</v>
          </cell>
        </row>
        <row r="3423">
          <cell r="A3423">
            <v>84853</v>
          </cell>
          <cell r="B3423" t="str">
            <v>BRASIMIX BP-EFEITO METALICO 800ML BRASILUX</v>
          </cell>
          <cell r="C3423" t="str">
            <v>BM 000011088</v>
          </cell>
          <cell r="D3423" t="str">
            <v>BRASILUX</v>
          </cell>
          <cell r="E3423">
            <v>20031</v>
          </cell>
          <cell r="F3423" t="str">
            <v>BASES POLIÉSTER</v>
          </cell>
          <cell r="G3423" t="str">
            <v>AUTOMOTIVO</v>
          </cell>
        </row>
        <row r="3424">
          <cell r="A3424">
            <v>84652</v>
          </cell>
          <cell r="B3424" t="str">
            <v>BRASIMIX BP-PEROLA DE EFEITO BRANCA 150ML BRASILUX</v>
          </cell>
          <cell r="C3424" t="str">
            <v>BM 000590010</v>
          </cell>
          <cell r="D3424" t="str">
            <v>BRASILUX</v>
          </cell>
          <cell r="E3424">
            <v>20031</v>
          </cell>
          <cell r="F3424" t="str">
            <v>BASES POLIÉSTER</v>
          </cell>
          <cell r="G3424" t="str">
            <v>AUTOMOTIVO</v>
          </cell>
        </row>
        <row r="3425">
          <cell r="A3425">
            <v>84861</v>
          </cell>
          <cell r="B3425" t="str">
            <v>BRASIMIX BP-PEROLA PRATA 150ML BRASILUX</v>
          </cell>
          <cell r="C3425" t="str">
            <v>BM 003511810</v>
          </cell>
          <cell r="D3425" t="str">
            <v>BRASILUX</v>
          </cell>
          <cell r="E3425">
            <v>20031</v>
          </cell>
          <cell r="F3425" t="str">
            <v>BASES POLIÉSTER</v>
          </cell>
          <cell r="G3425" t="str">
            <v>AUTOMOTIVO</v>
          </cell>
        </row>
        <row r="3426">
          <cell r="A3426">
            <v>84852</v>
          </cell>
          <cell r="B3426" t="str">
            <v>BRASIMIX BP-PRETO CLARO 800ML BRASILUX</v>
          </cell>
          <cell r="C3426" t="str">
            <v>BM 001513288</v>
          </cell>
          <cell r="D3426" t="str">
            <v>BRASILUX</v>
          </cell>
          <cell r="E3426">
            <v>20031</v>
          </cell>
          <cell r="F3426" t="str">
            <v>BASES POLIÉSTER</v>
          </cell>
          <cell r="G3426" t="str">
            <v>AUTOMOTIVO</v>
          </cell>
        </row>
        <row r="3427">
          <cell r="A3427">
            <v>84555</v>
          </cell>
          <cell r="B3427" t="str">
            <v>BRASIMIX BP-PRETO PROFUNDO 150ML BRASILUX</v>
          </cell>
          <cell r="C3427" t="str">
            <v>BM 001512210</v>
          </cell>
          <cell r="D3427" t="str">
            <v>BRASILUX</v>
          </cell>
          <cell r="E3427">
            <v>20031</v>
          </cell>
          <cell r="F3427" t="str">
            <v>BASES POLIÉSTER</v>
          </cell>
          <cell r="G3427" t="str">
            <v>AUTOMOTIVO</v>
          </cell>
        </row>
        <row r="3428">
          <cell r="A3428">
            <v>84856</v>
          </cell>
          <cell r="B3428" t="str">
            <v>BRASIMIX BP-PRETO PROFUNDO 800ML BRASILUX</v>
          </cell>
          <cell r="C3428" t="str">
            <v>BM 001512288</v>
          </cell>
          <cell r="D3428" t="str">
            <v>BRASILUX</v>
          </cell>
          <cell r="E3428">
            <v>20031</v>
          </cell>
          <cell r="F3428" t="str">
            <v>BASES POLIÉSTER</v>
          </cell>
          <cell r="G3428" t="str">
            <v>AUTOMOTIVO</v>
          </cell>
        </row>
        <row r="3429">
          <cell r="A3429">
            <v>84862</v>
          </cell>
          <cell r="B3429" t="str">
            <v>BRASIMIX BP-ROSA 150ML BRASILUX</v>
          </cell>
          <cell r="C3429" t="str">
            <v>BM 001812310</v>
          </cell>
          <cell r="D3429" t="str">
            <v>BRASILUX</v>
          </cell>
          <cell r="E3429">
            <v>20031</v>
          </cell>
          <cell r="F3429" t="str">
            <v>BASES POLIÉSTER</v>
          </cell>
          <cell r="G3429" t="str">
            <v>AUTOMOTIVO</v>
          </cell>
        </row>
        <row r="3430">
          <cell r="A3430">
            <v>84858</v>
          </cell>
          <cell r="B3430" t="str">
            <v>BRASIMIX BP-VERMELHO 800ML BRASILUX</v>
          </cell>
          <cell r="C3430" t="str">
            <v>BM 002312588</v>
          </cell>
          <cell r="D3430" t="str">
            <v>BRASILUX</v>
          </cell>
          <cell r="E3430">
            <v>20031</v>
          </cell>
          <cell r="F3430" t="str">
            <v>BASES POLIÉSTER</v>
          </cell>
          <cell r="G3430" t="str">
            <v>AUTOMOTIVO</v>
          </cell>
        </row>
        <row r="3431">
          <cell r="A3431">
            <v>84654</v>
          </cell>
          <cell r="B3431" t="str">
            <v>BRASIMIX BP-VERMELHO OXIDO 150ML BRASILUX</v>
          </cell>
          <cell r="C3431" t="str">
            <v>BM 002313810</v>
          </cell>
          <cell r="D3431" t="str">
            <v>BRASILUX</v>
          </cell>
          <cell r="E3431">
            <v>20031</v>
          </cell>
          <cell r="F3431" t="str">
            <v>BASES POLIÉSTER</v>
          </cell>
          <cell r="G3431" t="str">
            <v>AUTOMOTIVO</v>
          </cell>
        </row>
        <row r="3432">
          <cell r="A3432">
            <v>84860</v>
          </cell>
          <cell r="B3432" t="str">
            <v>BRASIMIX BP-VERMELHO TRANSPARENTE 150ML BRASILUX</v>
          </cell>
          <cell r="C3432" t="str">
            <v>BM 002312710</v>
          </cell>
          <cell r="D3432" t="str">
            <v>BRASILUX</v>
          </cell>
          <cell r="E3432">
            <v>20031</v>
          </cell>
          <cell r="F3432" t="str">
            <v>BASES POLIÉSTER</v>
          </cell>
          <cell r="G3432" t="str">
            <v>AUTOMOTIVO</v>
          </cell>
        </row>
        <row r="3433">
          <cell r="A3433">
            <v>84859</v>
          </cell>
          <cell r="B3433" t="str">
            <v>BRASIMIX BP-VIOLETA 150ML BRASILUX</v>
          </cell>
          <cell r="C3433" t="str">
            <v>BM 004312810</v>
          </cell>
          <cell r="D3433" t="str">
            <v>BRASILUX</v>
          </cell>
          <cell r="E3433">
            <v>20031</v>
          </cell>
          <cell r="F3433" t="str">
            <v>BASES POLIÉSTER</v>
          </cell>
          <cell r="G3433" t="str">
            <v>AUTOMOTIVO</v>
          </cell>
        </row>
        <row r="3434">
          <cell r="A3434">
            <v>84656</v>
          </cell>
          <cell r="B3434" t="str">
            <v>BRASIMIX BP-VIOLETA AVERMELHADO 150ML BRASILUX</v>
          </cell>
          <cell r="C3434" t="str">
            <v>BM 004312910</v>
          </cell>
          <cell r="D3434" t="str">
            <v>BRASILUX</v>
          </cell>
          <cell r="E3434">
            <v>20031</v>
          </cell>
          <cell r="F3434" t="str">
            <v>BASES POLIÉSTER</v>
          </cell>
          <cell r="G3434" t="str">
            <v>AUTOMOTIVO</v>
          </cell>
        </row>
        <row r="3435">
          <cell r="A3435">
            <v>20743</v>
          </cell>
          <cell r="B3435" t="str">
            <v>LAZZUMIX POL. ALUMINIO BRILHANTE MEDIO LM492-21,94-ST</v>
          </cell>
          <cell r="C3435" t="str">
            <v>LM492</v>
          </cell>
          <cell r="D3435" t="str">
            <v>SHERWIN WILLIAMS</v>
          </cell>
          <cell r="E3435">
            <v>20031</v>
          </cell>
          <cell r="F3435" t="str">
            <v>BASES POLIÉSTER</v>
          </cell>
          <cell r="G3435" t="str">
            <v>AUTOMOTIVO</v>
          </cell>
        </row>
        <row r="3436">
          <cell r="A3436">
            <v>20744</v>
          </cell>
          <cell r="B3436" t="str">
            <v>LAZZUMIX POL. ALUMINIO EXTRA GRAUDO LM493-25,87-ST</v>
          </cell>
          <cell r="C3436" t="str">
            <v>LM493</v>
          </cell>
          <cell r="D3436" t="str">
            <v>SHERWIN WILLIAMS</v>
          </cell>
          <cell r="E3436">
            <v>20031</v>
          </cell>
          <cell r="F3436" t="str">
            <v>BASES POLIÉSTER</v>
          </cell>
          <cell r="G3436" t="str">
            <v>AUTOMOTIVO</v>
          </cell>
        </row>
        <row r="3437">
          <cell r="A3437">
            <v>20688</v>
          </cell>
          <cell r="B3437" t="str">
            <v>LAZZUMIX POL. ALUMINIO MEDIO FINO LM462-21,93-ST</v>
          </cell>
          <cell r="C3437" t="str">
            <v>LM462</v>
          </cell>
          <cell r="D3437" t="str">
            <v>SHERWIN WILLIAMS</v>
          </cell>
          <cell r="E3437">
            <v>20031</v>
          </cell>
          <cell r="F3437" t="str">
            <v>BASES POLIÉSTER</v>
          </cell>
          <cell r="G3437" t="str">
            <v>AUTOMOTIVO</v>
          </cell>
        </row>
        <row r="3438">
          <cell r="A3438">
            <v>20742</v>
          </cell>
          <cell r="B3438" t="str">
            <v>LAZZUMIX POLIESTER ALUMINIO FINO LM491-21,94-ST</v>
          </cell>
          <cell r="C3438" t="str">
            <v>LM491</v>
          </cell>
          <cell r="D3438" t="str">
            <v>SHERWIN WILLIAMS</v>
          </cell>
          <cell r="E3438">
            <v>20031</v>
          </cell>
          <cell r="F3438" t="str">
            <v>BASES POLIÉSTER</v>
          </cell>
          <cell r="G3438" t="str">
            <v>AUTOMOTIVO</v>
          </cell>
        </row>
        <row r="3439">
          <cell r="A3439">
            <v>20723</v>
          </cell>
          <cell r="B3439" t="str">
            <v>LAZZUMIX POLIESTER ALUMINIO GRAUDO BRILHANTE 3,600 LM456-21,94-ST</v>
          </cell>
          <cell r="C3439" t="str">
            <v>LM456</v>
          </cell>
          <cell r="D3439" t="str">
            <v>SHERWIN WILLIAMS</v>
          </cell>
          <cell r="E3439">
            <v>20031</v>
          </cell>
          <cell r="F3439" t="str">
            <v>BASES POLIÉSTER</v>
          </cell>
          <cell r="G3439" t="str">
            <v>AUTOMOTIVO</v>
          </cell>
        </row>
        <row r="3440">
          <cell r="A3440">
            <v>20721</v>
          </cell>
          <cell r="B3440" t="str">
            <v>LAZZUMIX POLIESTER ALUMINIO MEDIO GRAUDO LM453-21,94-ST</v>
          </cell>
          <cell r="C3440" t="str">
            <v>LM453</v>
          </cell>
          <cell r="D3440" t="str">
            <v>SHERWIN WILLIAMS</v>
          </cell>
          <cell r="E3440">
            <v>20031</v>
          </cell>
          <cell r="F3440" t="str">
            <v>BASES POLIÉSTER</v>
          </cell>
          <cell r="G3440" t="str">
            <v>AUTOMOTIVO</v>
          </cell>
        </row>
        <row r="3441">
          <cell r="A3441">
            <v>20720</v>
          </cell>
          <cell r="B3441" t="str">
            <v>LAZZUMIX POLIESTER ALUMINIO MEDIO LM451-21,94-ST</v>
          </cell>
          <cell r="C3441" t="str">
            <v>LM451</v>
          </cell>
          <cell r="D3441" t="str">
            <v>SHERWIN WILLIAMS</v>
          </cell>
          <cell r="E3441">
            <v>20031</v>
          </cell>
          <cell r="F3441" t="str">
            <v>BASES POLIÉSTER</v>
          </cell>
          <cell r="G3441" t="str">
            <v>AUTOMOTIVO</v>
          </cell>
        </row>
        <row r="3442">
          <cell r="A3442">
            <v>20724</v>
          </cell>
          <cell r="B3442" t="str">
            <v>LAZZUMIX POLIESTER ALUMINIO SUPER FINO LM457-21,94-ST</v>
          </cell>
          <cell r="C3442" t="str">
            <v>LM457</v>
          </cell>
          <cell r="D3442" t="str">
            <v>SHERWIN WILLIAMS</v>
          </cell>
          <cell r="E3442">
            <v>20031</v>
          </cell>
          <cell r="F3442" t="str">
            <v>BASES POLIÉSTER</v>
          </cell>
          <cell r="G3442" t="str">
            <v>AUTOMOTIVO</v>
          </cell>
        </row>
        <row r="3443">
          <cell r="A3443">
            <v>20702</v>
          </cell>
          <cell r="B3443" t="str">
            <v>LAZZUMIX POLIESTER AMARELO CLARO LM418-21,95-ST</v>
          </cell>
          <cell r="C3443" t="str">
            <v>LM418</v>
          </cell>
          <cell r="D3443" t="str">
            <v>SHERWIN WILLIAMS</v>
          </cell>
          <cell r="E3443">
            <v>20031</v>
          </cell>
          <cell r="F3443" t="str">
            <v>BASES POLIÉSTER</v>
          </cell>
          <cell r="G3443" t="str">
            <v>AUTOMOTIVO</v>
          </cell>
        </row>
        <row r="3444">
          <cell r="A3444">
            <v>20706</v>
          </cell>
          <cell r="B3444" t="str">
            <v>LAZZUMIX POLIESTER AMARELO CROMATO LM421-21,94-ST</v>
          </cell>
          <cell r="C3444" t="str">
            <v>LM421</v>
          </cell>
          <cell r="D3444" t="str">
            <v>SHERWIN WILLIAMS</v>
          </cell>
          <cell r="E3444">
            <v>20031</v>
          </cell>
          <cell r="F3444" t="str">
            <v>BASES POLIÉSTER</v>
          </cell>
          <cell r="G3444" t="str">
            <v>AUTOMOTIVO</v>
          </cell>
        </row>
        <row r="3445">
          <cell r="A3445">
            <v>20707</v>
          </cell>
          <cell r="B3445" t="str">
            <v>LAZZUMIX POLIESTER AMARELO ESVEDEADO LM422-21,46-ST</v>
          </cell>
          <cell r="C3445" t="str">
            <v>LM422</v>
          </cell>
          <cell r="D3445" t="str">
            <v>SHERWIN WILLIAMS</v>
          </cell>
          <cell r="E3445">
            <v>20031</v>
          </cell>
          <cell r="F3445" t="str">
            <v>BASES POLIÉSTER</v>
          </cell>
          <cell r="G3445" t="str">
            <v>AUTOMOTIVO</v>
          </cell>
        </row>
        <row r="3446">
          <cell r="A3446">
            <v>20703</v>
          </cell>
          <cell r="B3446" t="str">
            <v>LAZZUMIX POLIESTER AMARELO TR. LM419-21,45-ST</v>
          </cell>
          <cell r="C3446" t="str">
            <v>LM419</v>
          </cell>
          <cell r="D3446" t="str">
            <v>SHERWIN WILLIAMS</v>
          </cell>
          <cell r="E3446">
            <v>20031</v>
          </cell>
          <cell r="F3446" t="str">
            <v>BASES POLIÉSTER</v>
          </cell>
          <cell r="G3446" t="str">
            <v>AUTOMOTIVO</v>
          </cell>
        </row>
        <row r="3447">
          <cell r="A3447">
            <v>20690</v>
          </cell>
          <cell r="B3447" t="str">
            <v>LAZZUMIX POLIESTER AZUL CLARO LM403-21,94-ST</v>
          </cell>
          <cell r="C3447" t="str">
            <v>07.00.LM403-004</v>
          </cell>
          <cell r="D3447" t="str">
            <v>SHERWIN WILLIAMS</v>
          </cell>
          <cell r="E3447">
            <v>20031</v>
          </cell>
          <cell r="F3447" t="str">
            <v>BASES POLIÉSTER</v>
          </cell>
          <cell r="G3447" t="str">
            <v>AUTOMOTIVO</v>
          </cell>
        </row>
        <row r="3448">
          <cell r="A3448">
            <v>20693</v>
          </cell>
          <cell r="B3448" t="str">
            <v>LAZZUMIX POLIESTER AZUL ESCURO LM406-21,94-ST</v>
          </cell>
          <cell r="C3448" t="str">
            <v>07.00.LM406-004</v>
          </cell>
          <cell r="D3448" t="str">
            <v>SHERWIN WILLIAMS</v>
          </cell>
          <cell r="E3448">
            <v>20031</v>
          </cell>
          <cell r="F3448" t="str">
            <v>BASES POLIÉSTER</v>
          </cell>
          <cell r="G3448" t="str">
            <v>AUTOMOTIVO</v>
          </cell>
        </row>
        <row r="3449">
          <cell r="A3449">
            <v>20694</v>
          </cell>
          <cell r="B3449" t="str">
            <v>LAZZUMIX POLIESTER AZUL LM408-21,94-ST</v>
          </cell>
          <cell r="C3449" t="str">
            <v>07.00.LM408-004</v>
          </cell>
          <cell r="D3449" t="str">
            <v>SHERWIN WILLIAMS</v>
          </cell>
          <cell r="E3449">
            <v>20031</v>
          </cell>
          <cell r="F3449" t="str">
            <v>BASES POLIÉSTER</v>
          </cell>
          <cell r="G3449" t="str">
            <v>AUTOMOTIVO</v>
          </cell>
        </row>
        <row r="3450">
          <cell r="A3450">
            <v>20692</v>
          </cell>
          <cell r="B3450" t="str">
            <v>LAZZUMIX POLIESTER AZUL MEDIO ESCURO LM405-21,94-ST</v>
          </cell>
          <cell r="C3450" t="str">
            <v>LM405</v>
          </cell>
          <cell r="D3450" t="str">
            <v>SHERWIN WILLIAMS</v>
          </cell>
          <cell r="E3450">
            <v>20031</v>
          </cell>
          <cell r="F3450" t="str">
            <v>BASES POLIÉSTER</v>
          </cell>
          <cell r="G3450" t="str">
            <v>AUTOMOTIVO</v>
          </cell>
        </row>
        <row r="3451">
          <cell r="A3451">
            <v>20691</v>
          </cell>
          <cell r="B3451" t="str">
            <v>LAZZUMIX POLIESTER AZUL MEDIO LM404-21,94-ST</v>
          </cell>
          <cell r="C3451" t="str">
            <v>LM404</v>
          </cell>
          <cell r="D3451" t="str">
            <v>SHERWIN WILLIAMS</v>
          </cell>
          <cell r="E3451">
            <v>20031</v>
          </cell>
          <cell r="F3451" t="str">
            <v>BASES POLIÉSTER</v>
          </cell>
          <cell r="G3451" t="str">
            <v>AUTOMOTIVO</v>
          </cell>
        </row>
        <row r="3452">
          <cell r="A3452">
            <v>21787</v>
          </cell>
          <cell r="B3452" t="str">
            <v>LAZZUMIX POLIESTER AZUL OCEANO LM446-21,94-ST</v>
          </cell>
          <cell r="C3452" t="str">
            <v>LM446</v>
          </cell>
          <cell r="D3452" t="str">
            <v>SHERWIN WILLIAMS</v>
          </cell>
          <cell r="E3452">
            <v>20031</v>
          </cell>
          <cell r="F3452" t="str">
            <v>BASES POLIÉSTER</v>
          </cell>
          <cell r="G3452" t="str">
            <v>AUTOMOTIVO</v>
          </cell>
        </row>
        <row r="3453">
          <cell r="A3453">
            <v>21633</v>
          </cell>
          <cell r="B3453" t="str">
            <v>LAZZUMIX POLIESTER BASE P/ TRICOAT LAZZURIL LM 447-21,94-ST</v>
          </cell>
          <cell r="C3453" t="str">
            <v>LM447</v>
          </cell>
          <cell r="D3453" t="str">
            <v>SHERWIN WILLIAMS</v>
          </cell>
          <cell r="E3453">
            <v>20031</v>
          </cell>
          <cell r="F3453" t="str">
            <v>BASES POLIÉSTER</v>
          </cell>
          <cell r="G3453" t="str">
            <v>AUTOMOTIVO</v>
          </cell>
        </row>
        <row r="3454">
          <cell r="A3454">
            <v>20689</v>
          </cell>
          <cell r="B3454" t="str">
            <v>LAZZUMIX POLIESTER BRANCO LM402-21,94-ST</v>
          </cell>
          <cell r="C3454" t="str">
            <v>LM402</v>
          </cell>
          <cell r="D3454" t="str">
            <v>SHERWIN WILLIAMS</v>
          </cell>
          <cell r="E3454">
            <v>20031</v>
          </cell>
          <cell r="F3454" t="str">
            <v>BASES POLIÉSTER</v>
          </cell>
          <cell r="G3454" t="str">
            <v>AUTOMOTIVO</v>
          </cell>
        </row>
        <row r="3455">
          <cell r="A3455">
            <v>20718</v>
          </cell>
          <cell r="B3455" t="str">
            <v>LAZZUMIX POLIESTER BRANCO MICRONIZADO LM440-25,87-ST</v>
          </cell>
          <cell r="C3455" t="str">
            <v>LM440</v>
          </cell>
          <cell r="D3455" t="str">
            <v>SHERWIN WILLIAMS</v>
          </cell>
          <cell r="E3455">
            <v>20031</v>
          </cell>
          <cell r="F3455" t="str">
            <v>BASES POLIÉSTER</v>
          </cell>
          <cell r="G3455" t="str">
            <v>AUTOMOTIVO</v>
          </cell>
        </row>
        <row r="3456">
          <cell r="A3456">
            <v>20687</v>
          </cell>
          <cell r="B3456" t="str">
            <v>LAZZUMIX POLIESTER BRANCO PURO LM430-21,94-ST</v>
          </cell>
          <cell r="C3456" t="str">
            <v>LM430</v>
          </cell>
          <cell r="D3456" t="str">
            <v>SHERWIN WILLIAMS</v>
          </cell>
          <cell r="E3456">
            <v>20031</v>
          </cell>
          <cell r="F3456" t="str">
            <v>BASES POLIÉSTER</v>
          </cell>
          <cell r="G3456" t="str">
            <v>AUTOMOTIVO</v>
          </cell>
        </row>
        <row r="3457">
          <cell r="A3457">
            <v>20725</v>
          </cell>
          <cell r="B3457" t="str">
            <v>LAZZUMIX POLIESTER GOLD LM460-21,94-ST</v>
          </cell>
          <cell r="C3457" t="str">
            <v>LM460</v>
          </cell>
          <cell r="D3457" t="str">
            <v>SHERWIN WILLIAMS</v>
          </cell>
          <cell r="E3457">
            <v>20031</v>
          </cell>
          <cell r="F3457" t="str">
            <v>BASES POLIÉSTER</v>
          </cell>
          <cell r="G3457" t="str">
            <v>AUTOMOTIVO</v>
          </cell>
        </row>
        <row r="3458">
          <cell r="A3458">
            <v>20741</v>
          </cell>
          <cell r="B3458" t="str">
            <v>LAZZUMIX POLIESTER GRAFITE LM479-21,94-ST</v>
          </cell>
          <cell r="C3458" t="str">
            <v>LM479</v>
          </cell>
          <cell r="D3458" t="str">
            <v>SHERWIN WILLIAMS</v>
          </cell>
          <cell r="E3458">
            <v>20031</v>
          </cell>
          <cell r="F3458" t="str">
            <v>BASES POLIÉSTER</v>
          </cell>
          <cell r="G3458" t="str">
            <v>AUTOMOTIVO</v>
          </cell>
        </row>
        <row r="3459">
          <cell r="A3459">
            <v>20700</v>
          </cell>
          <cell r="B3459" t="str">
            <v>LAZZUMIX POLIESTER LARANJA CLARO LM415-21,94-ST</v>
          </cell>
          <cell r="C3459" t="str">
            <v>LM415</v>
          </cell>
          <cell r="D3459" t="str">
            <v>SHERWIN WILLIAMS</v>
          </cell>
          <cell r="E3459">
            <v>20031</v>
          </cell>
          <cell r="F3459" t="str">
            <v>BASES POLIÉSTER</v>
          </cell>
          <cell r="G3459" t="str">
            <v>AUTOMOTIVO</v>
          </cell>
        </row>
        <row r="3460">
          <cell r="A3460">
            <v>20697</v>
          </cell>
          <cell r="B3460" t="str">
            <v>LAZZUMIX POLIESTER LARANJA LM412-25,87-ST</v>
          </cell>
          <cell r="C3460" t="str">
            <v>LM412</v>
          </cell>
          <cell r="D3460" t="str">
            <v>SHERWIN WILLIAMS</v>
          </cell>
          <cell r="E3460">
            <v>20031</v>
          </cell>
          <cell r="F3460" t="str">
            <v>BASES POLIÉSTER</v>
          </cell>
          <cell r="G3460" t="str">
            <v>AUTOMOTIVO</v>
          </cell>
        </row>
        <row r="3461">
          <cell r="A3461">
            <v>83830</v>
          </cell>
          <cell r="B3461" t="str">
            <v>LAZZUMIX POLIESTER LM470-21,94-ST</v>
          </cell>
          <cell r="D3461" t="str">
            <v>SHERWIN WILLIAMS</v>
          </cell>
          <cell r="E3461">
            <v>20031</v>
          </cell>
          <cell r="F3461" t="str">
            <v>BASES POLIÉSTER</v>
          </cell>
          <cell r="G3461" t="str">
            <v>AUTOMOTIVO</v>
          </cell>
        </row>
        <row r="3462">
          <cell r="A3462">
            <v>83831</v>
          </cell>
          <cell r="B3462" t="str">
            <v>LAZZUMIX POLIESTER LM472-21,94-ST</v>
          </cell>
          <cell r="D3462" t="str">
            <v>SHERWIN WILLIAMS</v>
          </cell>
          <cell r="E3462">
            <v>20031</v>
          </cell>
          <cell r="F3462" t="str">
            <v>BASES POLIÉSTER</v>
          </cell>
          <cell r="G3462" t="str">
            <v>AUTOMOTIVO</v>
          </cell>
        </row>
        <row r="3463">
          <cell r="A3463">
            <v>83832</v>
          </cell>
          <cell r="B3463" t="str">
            <v>LAZZUMIX POLIESTER LM487-21,94-ST</v>
          </cell>
          <cell r="D3463" t="str">
            <v>SHERWIN WILLIAMS</v>
          </cell>
          <cell r="E3463">
            <v>20031</v>
          </cell>
          <cell r="F3463" t="str">
            <v>BASES POLIÉSTER</v>
          </cell>
          <cell r="G3463" t="str">
            <v>AUTOMOTIVO</v>
          </cell>
        </row>
        <row r="3464">
          <cell r="A3464">
            <v>20710</v>
          </cell>
          <cell r="B3464" t="str">
            <v>LAZZUMIX POLIESTER MARROM CLARO LM425-21,94-ST</v>
          </cell>
          <cell r="C3464" t="str">
            <v>LM425</v>
          </cell>
          <cell r="D3464" t="str">
            <v>SHERWIN WILLIAMS</v>
          </cell>
          <cell r="E3464">
            <v>20031</v>
          </cell>
          <cell r="F3464" t="str">
            <v>BASES POLIÉSTER</v>
          </cell>
          <cell r="G3464" t="str">
            <v>AUTOMOTIVO</v>
          </cell>
        </row>
        <row r="3465">
          <cell r="A3465">
            <v>20711</v>
          </cell>
          <cell r="B3465" t="str">
            <v>LAZZUMIX POLIESTER MARROM MEDIO LM 426-21,95-ST</v>
          </cell>
          <cell r="C3465" t="str">
            <v>LM426</v>
          </cell>
          <cell r="D3465" t="str">
            <v>SHERWIN WILLIAMS</v>
          </cell>
          <cell r="E3465">
            <v>20031</v>
          </cell>
          <cell r="F3465" t="str">
            <v>BASES POLIÉSTER</v>
          </cell>
          <cell r="G3465" t="str">
            <v>AUTOMOTIVO</v>
          </cell>
        </row>
        <row r="3466">
          <cell r="A3466">
            <v>20712</v>
          </cell>
          <cell r="B3466" t="str">
            <v>LAZZUMIX POLIESTER MARROM OURO LM428-21,94-ST</v>
          </cell>
          <cell r="C3466" t="str">
            <v>LM428</v>
          </cell>
          <cell r="D3466" t="str">
            <v>SHERWIN WILLIAMS</v>
          </cell>
          <cell r="E3466">
            <v>20031</v>
          </cell>
          <cell r="F3466" t="str">
            <v>BASES POLIÉSTER</v>
          </cell>
          <cell r="G3466" t="str">
            <v>AUTOMOTIVO</v>
          </cell>
        </row>
        <row r="3467">
          <cell r="A3467">
            <v>20705</v>
          </cell>
          <cell r="B3467" t="str">
            <v>LAZZUMIX POLIESTER OXIDO FERRO AMARELO LM420-21,95-ST</v>
          </cell>
          <cell r="C3467" t="str">
            <v>LM420</v>
          </cell>
          <cell r="D3467" t="str">
            <v>SHERWIN WILLIAMS</v>
          </cell>
          <cell r="E3467">
            <v>20031</v>
          </cell>
          <cell r="F3467" t="str">
            <v>BASES POLIÉSTER</v>
          </cell>
          <cell r="G3467" t="str">
            <v>AUTOMOTIVO</v>
          </cell>
        </row>
        <row r="3468">
          <cell r="A3468">
            <v>20699</v>
          </cell>
          <cell r="B3468" t="str">
            <v>LAZZUMIX POLIESTER OXIDO FERRO VERM. LM414-21,95-ST</v>
          </cell>
          <cell r="C3468" t="str">
            <v>LM414</v>
          </cell>
          <cell r="D3468" t="str">
            <v>SHERWIN WILLIAMS</v>
          </cell>
          <cell r="E3468">
            <v>20031</v>
          </cell>
          <cell r="F3468" t="str">
            <v>BASES POLIÉSTER</v>
          </cell>
          <cell r="G3468" t="str">
            <v>AUTOMOTIVO</v>
          </cell>
        </row>
        <row r="3469">
          <cell r="A3469">
            <v>20728</v>
          </cell>
          <cell r="B3469" t="str">
            <v>LAZZUMIX POLIESTER PEROLA AZUL FINA LM465-25,87-ST</v>
          </cell>
          <cell r="C3469" t="str">
            <v>LM465</v>
          </cell>
          <cell r="D3469" t="str">
            <v>SHERWIN WILLIAMS</v>
          </cell>
          <cell r="E3469">
            <v>20031</v>
          </cell>
          <cell r="F3469" t="str">
            <v>BASES POLIÉSTER</v>
          </cell>
          <cell r="G3469" t="str">
            <v>AUTOMOTIVO</v>
          </cell>
        </row>
        <row r="3470">
          <cell r="A3470">
            <v>20730</v>
          </cell>
          <cell r="B3470" t="str">
            <v>LAZZUMIX POLIESTER PEROLA AZUL GRAUDA LM467-25,87-ST</v>
          </cell>
          <cell r="C3470" t="str">
            <v>LM467</v>
          </cell>
          <cell r="D3470" t="str">
            <v>SHERWIN WILLIAMS</v>
          </cell>
          <cell r="E3470">
            <v>20031</v>
          </cell>
          <cell r="F3470" t="str">
            <v>BASES POLIÉSTER</v>
          </cell>
          <cell r="G3470" t="str">
            <v>AUTOMOTIVO</v>
          </cell>
        </row>
        <row r="3471">
          <cell r="A3471">
            <v>20727</v>
          </cell>
          <cell r="B3471" t="str">
            <v>LAZZUMIX POLIESTER PEROLA BRANCA FINA LM464-21,94-ST</v>
          </cell>
          <cell r="C3471" t="str">
            <v>LM464</v>
          </cell>
          <cell r="D3471" t="str">
            <v>SHERWIN WILLIAMS</v>
          </cell>
          <cell r="E3471">
            <v>20031</v>
          </cell>
          <cell r="F3471" t="str">
            <v>BASES POLIÉSTER</v>
          </cell>
          <cell r="G3471" t="str">
            <v>AUTOMOTIVO</v>
          </cell>
        </row>
        <row r="3472">
          <cell r="A3472">
            <v>20732</v>
          </cell>
          <cell r="B3472" t="str">
            <v>LAZZUMIX POLIESTER PEROLA DOURADA MEDIA LM469-21,94-ST</v>
          </cell>
          <cell r="C3472" t="str">
            <v>LM469</v>
          </cell>
          <cell r="D3472" t="str">
            <v>SHERWIN WILLIAMS</v>
          </cell>
          <cell r="E3472">
            <v>20031</v>
          </cell>
          <cell r="F3472" t="str">
            <v>BASES POLIÉSTER</v>
          </cell>
          <cell r="G3472" t="str">
            <v>AUTOMOTIVO</v>
          </cell>
        </row>
        <row r="3473">
          <cell r="A3473">
            <v>20740</v>
          </cell>
          <cell r="B3473" t="str">
            <v>LAZZUMIX POLIESTER PEROLA OURO LM478-21,94-ST</v>
          </cell>
          <cell r="C3473" t="str">
            <v>LM478</v>
          </cell>
          <cell r="D3473" t="str">
            <v>SHERWIN WILLIAMS</v>
          </cell>
          <cell r="E3473">
            <v>20031</v>
          </cell>
          <cell r="F3473" t="str">
            <v>BASES POLIÉSTER</v>
          </cell>
          <cell r="G3473" t="str">
            <v>AUTOMOTIVO</v>
          </cell>
        </row>
        <row r="3474">
          <cell r="A3474">
            <v>20731</v>
          </cell>
          <cell r="B3474" t="str">
            <v>LAZZUMIX POLIESTER PEROLA PRATA BRILHANTE LM468-21,95-ST</v>
          </cell>
          <cell r="C3474" t="str">
            <v>LM468</v>
          </cell>
          <cell r="D3474" t="str">
            <v>SHERWIN WILLIAMS</v>
          </cell>
          <cell r="E3474">
            <v>20031</v>
          </cell>
          <cell r="F3474" t="str">
            <v>BASES POLIÉSTER</v>
          </cell>
          <cell r="G3474" t="str">
            <v>AUTOMOTIVO</v>
          </cell>
        </row>
        <row r="3475">
          <cell r="A3475">
            <v>20739</v>
          </cell>
          <cell r="B3475" t="str">
            <v>LAZZUMIX POLIESTER PEROLA ROSA 240ML-21,94-ST</v>
          </cell>
          <cell r="C3475" t="str">
            <v>LM477</v>
          </cell>
          <cell r="D3475" t="str">
            <v>SHERWIN WILLIAMS</v>
          </cell>
          <cell r="E3475">
            <v>20031</v>
          </cell>
          <cell r="F3475" t="str">
            <v>BASES POLIÉSTER</v>
          </cell>
          <cell r="G3475" t="str">
            <v>AUTOMOTIVO</v>
          </cell>
        </row>
        <row r="3476">
          <cell r="A3476">
            <v>20737</v>
          </cell>
          <cell r="B3476" t="str">
            <v>LAZZUMIX POLIESTER PEROLA VERDE AZULAD LM475-21,94-ST</v>
          </cell>
          <cell r="C3476" t="str">
            <v>LM475</v>
          </cell>
          <cell r="D3476" t="str">
            <v>SHERWIN WILLIAMS</v>
          </cell>
          <cell r="E3476">
            <v>20031</v>
          </cell>
          <cell r="F3476" t="str">
            <v>BASES POLIÉSTER</v>
          </cell>
          <cell r="G3476" t="str">
            <v>AUTOMOTIVO</v>
          </cell>
        </row>
        <row r="3477">
          <cell r="A3477">
            <v>23286</v>
          </cell>
          <cell r="B3477" t="str">
            <v>LAZZUMIX POLIESTER PEROLA VERDE ESTELAR 240 ML - LM 487-21,95-ST</v>
          </cell>
          <cell r="C3477" t="str">
            <v>07.21.LM487-471</v>
          </cell>
          <cell r="D3477" t="str">
            <v>SHERWIN WILLIAMS</v>
          </cell>
          <cell r="E3477">
            <v>20031</v>
          </cell>
          <cell r="F3477" t="str">
            <v>BASES POLIÉSTER</v>
          </cell>
          <cell r="G3477" t="str">
            <v>AUTOMOTIVO</v>
          </cell>
        </row>
        <row r="3478">
          <cell r="A3478">
            <v>20735</v>
          </cell>
          <cell r="B3478" t="str">
            <v>LAZZUMIX POLIESTER PEROLA VERDE LM473-21,94-ST</v>
          </cell>
          <cell r="C3478" t="str">
            <v>LM473</v>
          </cell>
          <cell r="D3478" t="str">
            <v>SHERWIN WILLIAMS</v>
          </cell>
          <cell r="E3478">
            <v>20031</v>
          </cell>
          <cell r="F3478" t="str">
            <v>BASES POLIÉSTER</v>
          </cell>
          <cell r="G3478" t="str">
            <v>AUTOMOTIVO</v>
          </cell>
        </row>
        <row r="3479">
          <cell r="A3479">
            <v>20726</v>
          </cell>
          <cell r="B3479" t="str">
            <v>LAZZUMIX POLIESTER PEROLA VERM. FINA-25,87-ST</v>
          </cell>
          <cell r="C3479" t="str">
            <v>LM463</v>
          </cell>
          <cell r="D3479" t="str">
            <v>SHERWIN WILLIAMS</v>
          </cell>
          <cell r="E3479">
            <v>20031</v>
          </cell>
          <cell r="F3479" t="str">
            <v>BASES POLIÉSTER</v>
          </cell>
          <cell r="G3479" t="str">
            <v>AUTOMOTIVO</v>
          </cell>
        </row>
        <row r="3480">
          <cell r="A3480">
            <v>20729</v>
          </cell>
          <cell r="B3480" t="str">
            <v>LAZZUMIX POLIESTER PEROLA VERM. GRAUDA LM 466-21,94-ST</v>
          </cell>
          <cell r="C3480" t="str">
            <v>LM466</v>
          </cell>
          <cell r="D3480" t="str">
            <v>SHERWIN WILLIAMS</v>
          </cell>
          <cell r="E3480">
            <v>20031</v>
          </cell>
          <cell r="F3480" t="str">
            <v>BASES POLIÉSTER</v>
          </cell>
          <cell r="G3480" t="str">
            <v>AUTOMOTIVO</v>
          </cell>
        </row>
        <row r="3481">
          <cell r="A3481">
            <v>23366</v>
          </cell>
          <cell r="B3481" t="str">
            <v>LAZZUMIX POLIESTER PEROLA VIOLETA 240ML-21,94-ST</v>
          </cell>
          <cell r="C3481" t="str">
            <v>LM470 240</v>
          </cell>
          <cell r="D3481" t="str">
            <v>SHERWIN WILLIAMS</v>
          </cell>
          <cell r="E3481">
            <v>20031</v>
          </cell>
          <cell r="F3481" t="str">
            <v>BASES POLIÉSTER</v>
          </cell>
          <cell r="G3481" t="str">
            <v>AUTOMOTIVO</v>
          </cell>
        </row>
        <row r="3482">
          <cell r="A3482">
            <v>20736</v>
          </cell>
          <cell r="B3482" t="str">
            <v>LAZZUMIX POLIESTER PEROLA VIOLETA AZUL LM474-21,46-ST</v>
          </cell>
          <cell r="C3482" t="str">
            <v>07.21.LM474-017</v>
          </cell>
          <cell r="D3482" t="str">
            <v>SHERWIN WILLIAMS</v>
          </cell>
          <cell r="E3482">
            <v>20031</v>
          </cell>
          <cell r="F3482" t="str">
            <v>BASES POLIÉSTER</v>
          </cell>
          <cell r="G3482" t="str">
            <v>AUTOMOTIVO</v>
          </cell>
        </row>
        <row r="3483">
          <cell r="A3483">
            <v>20733</v>
          </cell>
          <cell r="B3483" t="str">
            <v>LAZZUMIX POLIESTER PEROLA VIOLETA-21,94-ST</v>
          </cell>
          <cell r="C3483" t="str">
            <v>LM470</v>
          </cell>
          <cell r="D3483" t="str">
            <v>SHERWIN WILLIAMS</v>
          </cell>
          <cell r="E3483">
            <v>20031</v>
          </cell>
          <cell r="F3483" t="str">
            <v>BASES POLIÉSTER</v>
          </cell>
          <cell r="G3483" t="str">
            <v>AUTOMOTIVO</v>
          </cell>
        </row>
        <row r="3484">
          <cell r="A3484">
            <v>20719</v>
          </cell>
          <cell r="B3484" t="str">
            <v>LAZZUMIX POLIESTER PRETO AZULADO LM441-25,87-ST</v>
          </cell>
          <cell r="C3484" t="str">
            <v>LM441</v>
          </cell>
          <cell r="D3484" t="str">
            <v>SHERWIN WILLIAMS</v>
          </cell>
          <cell r="E3484">
            <v>20031</v>
          </cell>
          <cell r="F3484" t="str">
            <v>BASES POLIÉSTER</v>
          </cell>
          <cell r="G3484" t="str">
            <v>AUTOMOTIVO</v>
          </cell>
        </row>
        <row r="3485">
          <cell r="A3485">
            <v>20686</v>
          </cell>
          <cell r="B3485" t="str">
            <v>LAZZUMIX POLIESTER PRETO CLARO LM407-21,94-ST</v>
          </cell>
          <cell r="C3485" t="str">
            <v>LM407</v>
          </cell>
          <cell r="D3485" t="str">
            <v>SHERWIN WILLIAMS</v>
          </cell>
          <cell r="E3485">
            <v>20031</v>
          </cell>
          <cell r="F3485" t="str">
            <v>BASES POLIÉSTER</v>
          </cell>
          <cell r="G3485" t="str">
            <v>AUTOMOTIVO</v>
          </cell>
        </row>
        <row r="3486">
          <cell r="A3486">
            <v>20685</v>
          </cell>
          <cell r="B3486" t="str">
            <v>LAZZUMIX POLIESTER PRETO LM401-21,94-ST</v>
          </cell>
          <cell r="C3486" t="str">
            <v>07.00.LM401-001</v>
          </cell>
          <cell r="D3486" t="str">
            <v>SHERWIN WILLIAMS</v>
          </cell>
          <cell r="E3486">
            <v>20031</v>
          </cell>
          <cell r="F3486" t="str">
            <v>BASES POLIÉSTER</v>
          </cell>
          <cell r="G3486" t="str">
            <v>AUTOMOTIVO</v>
          </cell>
        </row>
        <row r="3487">
          <cell r="A3487">
            <v>21691</v>
          </cell>
          <cell r="B3487" t="str">
            <v>LAZZUMIX POLIESTER PRETO PROFUNDO LM442-21,95-ST</v>
          </cell>
          <cell r="C3487" t="str">
            <v>07.00.LM442-027</v>
          </cell>
          <cell r="D3487" t="str">
            <v>SHERWIN WILLIAMS</v>
          </cell>
          <cell r="E3487">
            <v>20031</v>
          </cell>
          <cell r="F3487" t="str">
            <v>BASES POLIÉSTER</v>
          </cell>
          <cell r="G3487" t="str">
            <v>AUTOMOTIVO</v>
          </cell>
        </row>
        <row r="3488">
          <cell r="A3488">
            <v>20713</v>
          </cell>
          <cell r="B3488" t="str">
            <v>LAZZUMIX POLIESTER ROSA LM429-21,94-ST</v>
          </cell>
          <cell r="C3488" t="str">
            <v>LM429</v>
          </cell>
          <cell r="D3488" t="str">
            <v>SHERWIN WILLIAMS</v>
          </cell>
          <cell r="E3488">
            <v>20031</v>
          </cell>
          <cell r="F3488" t="str">
            <v>BASES POLIÉSTER</v>
          </cell>
          <cell r="G3488" t="str">
            <v>AUTOMOTIVO</v>
          </cell>
        </row>
        <row r="3489">
          <cell r="A3489">
            <v>20714</v>
          </cell>
          <cell r="B3489" t="str">
            <v>LAZZUMIX POLIESTER VERDE CLARO LM432-21,94-ST</v>
          </cell>
          <cell r="C3489" t="str">
            <v>LM432</v>
          </cell>
          <cell r="D3489" t="str">
            <v>SHERWIN WILLIAMS</v>
          </cell>
          <cell r="E3489">
            <v>20031</v>
          </cell>
          <cell r="F3489" t="str">
            <v>BASES POLIÉSTER</v>
          </cell>
          <cell r="G3489" t="str">
            <v>AUTOMOTIVO</v>
          </cell>
        </row>
        <row r="3490">
          <cell r="A3490">
            <v>20715</v>
          </cell>
          <cell r="B3490" t="str">
            <v>LAZZUMIX POLIESTER VERDE ESCURO LM433-21,94-ST</v>
          </cell>
          <cell r="C3490" t="str">
            <v>LM433</v>
          </cell>
          <cell r="D3490" t="str">
            <v>SHERWIN WILLIAMS</v>
          </cell>
          <cell r="E3490">
            <v>20031</v>
          </cell>
          <cell r="F3490" t="str">
            <v>BASES POLIÉSTER</v>
          </cell>
          <cell r="G3490" t="str">
            <v>AUTOMOTIVO</v>
          </cell>
        </row>
        <row r="3491">
          <cell r="A3491">
            <v>20695</v>
          </cell>
          <cell r="B3491" t="str">
            <v>LAZZUMIX POLIESTER VERMELHO CLARO LM409-21,94-ST</v>
          </cell>
          <cell r="C3491" t="str">
            <v>LM409</v>
          </cell>
          <cell r="D3491" t="str">
            <v>SHERWIN WILLIAMS</v>
          </cell>
          <cell r="E3491">
            <v>20031</v>
          </cell>
          <cell r="F3491" t="str">
            <v>BASES POLIÉSTER</v>
          </cell>
          <cell r="G3491" t="str">
            <v>AUTOMOTIVO</v>
          </cell>
        </row>
        <row r="3492">
          <cell r="A3492">
            <v>20709</v>
          </cell>
          <cell r="B3492" t="str">
            <v>LAZZUMIX POLIESTER VERMELHO ESCARLATE LM424-21,94-ST</v>
          </cell>
          <cell r="C3492" t="str">
            <v>07.00.LM424-017</v>
          </cell>
          <cell r="D3492" t="str">
            <v>SHERWIN WILLIAMS</v>
          </cell>
          <cell r="E3492">
            <v>20031</v>
          </cell>
          <cell r="F3492" t="str">
            <v>BASES POLIÉSTER</v>
          </cell>
          <cell r="G3492" t="str">
            <v>AUTOMOTIVO</v>
          </cell>
        </row>
        <row r="3493">
          <cell r="A3493">
            <v>20696</v>
          </cell>
          <cell r="B3493" t="str">
            <v>LAZZUMIX POLIESTER VERMELHO MEDIO LM410-21,94-ST</v>
          </cell>
          <cell r="C3493" t="str">
            <v>LM410</v>
          </cell>
          <cell r="D3493" t="str">
            <v>SHERWIN WILLIAMS</v>
          </cell>
          <cell r="E3493">
            <v>20031</v>
          </cell>
          <cell r="F3493" t="str">
            <v>BASES POLIÉSTER</v>
          </cell>
          <cell r="G3493" t="str">
            <v>AUTOMOTIVO</v>
          </cell>
        </row>
        <row r="3494">
          <cell r="A3494">
            <v>20701</v>
          </cell>
          <cell r="B3494" t="str">
            <v>LAZZUMIX POLIESTER VERMELHO RUBI LM417-21,94-ST</v>
          </cell>
          <cell r="C3494" t="str">
            <v>LM417</v>
          </cell>
          <cell r="D3494" t="str">
            <v>SHERWIN WILLIAMS</v>
          </cell>
          <cell r="E3494">
            <v>20031</v>
          </cell>
          <cell r="F3494" t="str">
            <v>BASES POLIÉSTER</v>
          </cell>
          <cell r="G3494" t="str">
            <v>AUTOMOTIVO</v>
          </cell>
        </row>
        <row r="3495">
          <cell r="A3495">
            <v>20698</v>
          </cell>
          <cell r="B3495" t="str">
            <v>LAZZUMIX POLIESTER VERMELHO TR. LM413-21,95-ST</v>
          </cell>
          <cell r="C3495" t="str">
            <v>LM413</v>
          </cell>
          <cell r="D3495" t="str">
            <v>SHERWIN WILLIAMS</v>
          </cell>
          <cell r="E3495">
            <v>20031</v>
          </cell>
          <cell r="F3495" t="str">
            <v>BASES POLIÉSTER</v>
          </cell>
          <cell r="G3495" t="str">
            <v>AUTOMOTIVO</v>
          </cell>
        </row>
        <row r="3496">
          <cell r="A3496">
            <v>20708</v>
          </cell>
          <cell r="B3496" t="str">
            <v>LAZZUMIX POLIESTER VERMELHO VIVO LM423-21,93-ST</v>
          </cell>
          <cell r="C3496" t="str">
            <v>LM423</v>
          </cell>
          <cell r="D3496" t="str">
            <v>SHERWIN WILLIAMS</v>
          </cell>
          <cell r="E3496">
            <v>20031</v>
          </cell>
          <cell r="F3496" t="str">
            <v>BASES POLIÉSTER</v>
          </cell>
          <cell r="G3496" t="str">
            <v>AUTOMOTIVO</v>
          </cell>
        </row>
        <row r="3497">
          <cell r="A3497">
            <v>20717</v>
          </cell>
          <cell r="B3497" t="str">
            <v>LAZZUMIX POLIESTER VIOLETA LM439-21,94-ST</v>
          </cell>
          <cell r="C3497" t="str">
            <v>07.00.LM439-017</v>
          </cell>
          <cell r="D3497" t="str">
            <v>SHERWIN WILLIAMS</v>
          </cell>
          <cell r="E3497">
            <v>20031</v>
          </cell>
          <cell r="F3497" t="str">
            <v>BASES POLIÉSTER</v>
          </cell>
          <cell r="G3497" t="str">
            <v>AUTOMOTIVO</v>
          </cell>
        </row>
        <row r="3498">
          <cell r="A3498">
            <v>23626</v>
          </cell>
          <cell r="B3498" t="str">
            <v>MIX 581 AMARELO DOURADO INTENSO AXALTA</v>
          </cell>
          <cell r="C3498">
            <v>274</v>
          </cell>
          <cell r="D3498" t="str">
            <v>AXALTA</v>
          </cell>
          <cell r="E3498">
            <v>20031</v>
          </cell>
          <cell r="F3498" t="str">
            <v>BASES POLIÉSTER</v>
          </cell>
          <cell r="G3498" t="str">
            <v>AUTOMOTIVO</v>
          </cell>
        </row>
        <row r="3499">
          <cell r="A3499">
            <v>83833</v>
          </cell>
          <cell r="B3499" t="str">
            <v>MIXING FLEET COLOR FC622-21,94-ST</v>
          </cell>
          <cell r="D3499" t="str">
            <v>.</v>
          </cell>
          <cell r="E3499">
            <v>20031</v>
          </cell>
          <cell r="F3499" t="str">
            <v>BASES POLIÉSTER</v>
          </cell>
          <cell r="G3499" t="str">
            <v>AUTOMOTIVO</v>
          </cell>
        </row>
        <row r="3500">
          <cell r="A3500">
            <v>24050</v>
          </cell>
          <cell r="B3500" t="str">
            <v>SKYMIX AE650 ADITIVO PARA EFEITO METALICO 0,900ML-21,45-ST</v>
          </cell>
          <cell r="C3500" t="str">
            <v>160AE65001B4</v>
          </cell>
          <cell r="D3500" t="str">
            <v>SKY</v>
          </cell>
          <cell r="E3500">
            <v>20031</v>
          </cell>
          <cell r="F3500" t="str">
            <v>BASES POLIÉSTER</v>
          </cell>
          <cell r="G3500" t="str">
            <v>AUTOMOTIVO</v>
          </cell>
        </row>
        <row r="3501">
          <cell r="A3501">
            <v>24072</v>
          </cell>
          <cell r="B3501" t="str">
            <v>SKYMIX BP200 BRANCO 0,900ML -21,94-ST</v>
          </cell>
          <cell r="C3501" t="str">
            <v>210BP20001B4</v>
          </cell>
          <cell r="D3501" t="str">
            <v>SKY</v>
          </cell>
          <cell r="E3501">
            <v>20031</v>
          </cell>
          <cell r="F3501" t="str">
            <v>BASES POLIÉSTER</v>
          </cell>
          <cell r="G3501" t="str">
            <v>AUTOMOTIVO</v>
          </cell>
        </row>
        <row r="3502">
          <cell r="A3502">
            <v>24058</v>
          </cell>
          <cell r="B3502" t="str">
            <v>SKYMIX BP201 MARROM MEDIO 0,900ML-21,94-ST</v>
          </cell>
          <cell r="C3502" t="str">
            <v>210BP2010140</v>
          </cell>
          <cell r="D3502" t="str">
            <v>SKY</v>
          </cell>
          <cell r="E3502">
            <v>20031</v>
          </cell>
          <cell r="F3502" t="str">
            <v>BASES POLIÉSTER</v>
          </cell>
          <cell r="G3502" t="str">
            <v>AUTOMOTIVO</v>
          </cell>
        </row>
        <row r="3503">
          <cell r="A3503">
            <v>24069</v>
          </cell>
          <cell r="B3503" t="str">
            <v>SKYMIX BP202 MARROM CLARO 0,900ML-21,94-ST</v>
          </cell>
          <cell r="C3503" t="str">
            <v>210BP2020140</v>
          </cell>
          <cell r="D3503" t="str">
            <v>SKY</v>
          </cell>
          <cell r="E3503">
            <v>20031</v>
          </cell>
          <cell r="F3503" t="str">
            <v>BASES POLIÉSTER</v>
          </cell>
          <cell r="G3503" t="str">
            <v>AUTOMOTIVO</v>
          </cell>
        </row>
        <row r="3504">
          <cell r="A3504">
            <v>24085</v>
          </cell>
          <cell r="B3504" t="str">
            <v>SKYMIX BP203 BRANCO BASE 3,600ML-21,94-ST</v>
          </cell>
          <cell r="C3504" t="str">
            <v>210BP2030114</v>
          </cell>
          <cell r="D3504" t="str">
            <v>SKY</v>
          </cell>
          <cell r="E3504">
            <v>20031</v>
          </cell>
          <cell r="F3504" t="str">
            <v>BASES POLIÉSTER</v>
          </cell>
          <cell r="G3504" t="str">
            <v>AUTOMOTIVO</v>
          </cell>
        </row>
        <row r="3505">
          <cell r="A3505">
            <v>24102</v>
          </cell>
          <cell r="B3505" t="str">
            <v>SKYMIX BP204 AZUL AVIOLETADO 0,900ML-21,94-ST</v>
          </cell>
          <cell r="C3505" t="str">
            <v>210BP2040140</v>
          </cell>
          <cell r="D3505" t="str">
            <v>SKY</v>
          </cell>
          <cell r="E3505">
            <v>20031</v>
          </cell>
          <cell r="F3505" t="str">
            <v>BASES POLIÉSTER</v>
          </cell>
          <cell r="G3505" t="str">
            <v>AUTOMOTIVO</v>
          </cell>
        </row>
        <row r="3506">
          <cell r="A3506">
            <v>24103</v>
          </cell>
          <cell r="B3506" t="str">
            <v>SKYMIX BP205 AZUL ESVERDEADO 0,900ML -21,45-ST</v>
          </cell>
          <cell r="C3506" t="str">
            <v>210BP20501B4</v>
          </cell>
          <cell r="D3506" t="str">
            <v>SKY</v>
          </cell>
          <cell r="E3506">
            <v>20031</v>
          </cell>
          <cell r="F3506" t="str">
            <v>BASES POLIÉSTER</v>
          </cell>
          <cell r="G3506" t="str">
            <v>AUTOMOTIVO</v>
          </cell>
        </row>
        <row r="3507">
          <cell r="A3507">
            <v>23990</v>
          </cell>
          <cell r="B3507" t="str">
            <v>SKYMIX BP206 AZUL ESCURO 0,900ML -21,94-ST</v>
          </cell>
          <cell r="C3507" t="str">
            <v>210BP2060140</v>
          </cell>
          <cell r="D3507" t="str">
            <v>SKY</v>
          </cell>
          <cell r="E3507">
            <v>20031</v>
          </cell>
          <cell r="F3507" t="str">
            <v>BASES POLIÉSTER</v>
          </cell>
          <cell r="G3507" t="str">
            <v>AUTOMOTIVO</v>
          </cell>
        </row>
        <row r="3508">
          <cell r="A3508">
            <v>24104</v>
          </cell>
          <cell r="B3508" t="str">
            <v>SKYMIX BP207 VERDE 0,900ML-21,94-ST</v>
          </cell>
          <cell r="C3508" t="str">
            <v>210BP2070140</v>
          </cell>
          <cell r="D3508" t="str">
            <v>SKY</v>
          </cell>
          <cell r="E3508">
            <v>20031</v>
          </cell>
          <cell r="F3508" t="str">
            <v>BASES POLIÉSTER</v>
          </cell>
          <cell r="G3508" t="str">
            <v>AUTOMOTIVO</v>
          </cell>
        </row>
        <row r="3509">
          <cell r="A3509">
            <v>24061</v>
          </cell>
          <cell r="B3509" t="str">
            <v>SKYMIX BP208 AMARELO MEDIO 0,900ML -21,94-ST</v>
          </cell>
          <cell r="C3509" t="str">
            <v>210BP2080140</v>
          </cell>
          <cell r="D3509" t="str">
            <v>SKY</v>
          </cell>
          <cell r="E3509">
            <v>20031</v>
          </cell>
          <cell r="F3509" t="str">
            <v>BASES POLIÉSTER</v>
          </cell>
          <cell r="G3509" t="str">
            <v>AUTOMOTIVO</v>
          </cell>
        </row>
        <row r="3510">
          <cell r="A3510">
            <v>24070</v>
          </cell>
          <cell r="B3510" t="str">
            <v>SKYMIX BP209 AMARELO OURO 0,900ML -21,94-ST</v>
          </cell>
          <cell r="C3510" t="str">
            <v>210BP20901B4</v>
          </cell>
          <cell r="D3510" t="str">
            <v>SKY</v>
          </cell>
          <cell r="E3510">
            <v>20031</v>
          </cell>
          <cell r="F3510" t="str">
            <v>BASES POLIÉSTER</v>
          </cell>
          <cell r="G3510" t="str">
            <v>AUTOMOTIVO</v>
          </cell>
        </row>
        <row r="3511">
          <cell r="A3511">
            <v>24059</v>
          </cell>
          <cell r="B3511" t="str">
            <v>SKYMIX BP210 AMARELO ESVERDEADO 0,900ML -21,94-ST</v>
          </cell>
          <cell r="C3511" t="str">
            <v>210BP21001b4</v>
          </cell>
          <cell r="D3511" t="str">
            <v>SKY</v>
          </cell>
          <cell r="E3511">
            <v>20031</v>
          </cell>
          <cell r="F3511" t="str">
            <v>BASES POLIÉSTER</v>
          </cell>
          <cell r="G3511" t="str">
            <v>AUTOMOTIVO</v>
          </cell>
        </row>
        <row r="3512">
          <cell r="A3512">
            <v>24071</v>
          </cell>
          <cell r="B3512" t="str">
            <v>SKYMIX BP211 AMARELO TRANSPARENTE 0,900ML 1-21,94-ST</v>
          </cell>
          <cell r="C3512" t="str">
            <v>210BP21101b4</v>
          </cell>
          <cell r="D3512" t="str">
            <v>SKY</v>
          </cell>
          <cell r="E3512">
            <v>20031</v>
          </cell>
          <cell r="F3512" t="str">
            <v>BASES POLIÉSTER</v>
          </cell>
          <cell r="G3512" t="str">
            <v>AUTOMOTIVO</v>
          </cell>
        </row>
        <row r="3513">
          <cell r="A3513">
            <v>24055</v>
          </cell>
          <cell r="B3513" t="str">
            <v>SKYMIX BP212 LARANJA 0,900ML-21,94-ST</v>
          </cell>
          <cell r="C3513" t="str">
            <v>210BP2120140</v>
          </cell>
          <cell r="D3513" t="str">
            <v>SKY</v>
          </cell>
          <cell r="E3513">
            <v>20031</v>
          </cell>
          <cell r="F3513" t="str">
            <v>BASES POLIÉSTER</v>
          </cell>
          <cell r="G3513" t="str">
            <v>AUTOMOTIVO</v>
          </cell>
        </row>
        <row r="3514">
          <cell r="A3514">
            <v>23993</v>
          </cell>
          <cell r="B3514" t="str">
            <v>SKYMIX BP213 VERMELHO MEDIO 0,900ML -21,94-ST</v>
          </cell>
          <cell r="C3514" t="str">
            <v>210BP2130140</v>
          </cell>
          <cell r="D3514" t="str">
            <v>SKY</v>
          </cell>
          <cell r="E3514">
            <v>20031</v>
          </cell>
          <cell r="F3514" t="str">
            <v>BASES POLIÉSTER</v>
          </cell>
          <cell r="G3514" t="str">
            <v>AUTOMOTIVO</v>
          </cell>
        </row>
        <row r="3515">
          <cell r="A3515">
            <v>24100</v>
          </cell>
          <cell r="B3515" t="str">
            <v>SKYMIX BP214 VERMELHO TRANSPARENTE 0,900ML-21,94-ST</v>
          </cell>
          <cell r="C3515" t="str">
            <v>210BP21401B4</v>
          </cell>
          <cell r="D3515" t="str">
            <v>SKY</v>
          </cell>
          <cell r="E3515">
            <v>20031</v>
          </cell>
          <cell r="F3515" t="str">
            <v>BASES POLIÉSTER</v>
          </cell>
          <cell r="G3515" t="str">
            <v>AUTOMOTIVO</v>
          </cell>
        </row>
        <row r="3516">
          <cell r="A3516">
            <v>24101</v>
          </cell>
          <cell r="B3516" t="str">
            <v>SKYMIX BP215 VERMELHO OXIDO 0,900ML -21,94-ST</v>
          </cell>
          <cell r="C3516" t="str">
            <v>210BP21501B4</v>
          </cell>
          <cell r="D3516" t="str">
            <v>SKY</v>
          </cell>
          <cell r="E3516">
            <v>20031</v>
          </cell>
          <cell r="F3516" t="str">
            <v>BASES POLIÉSTER</v>
          </cell>
          <cell r="G3516" t="str">
            <v>AUTOMOTIVO</v>
          </cell>
        </row>
        <row r="3517">
          <cell r="A3517">
            <v>24169</v>
          </cell>
          <cell r="B3517" t="str">
            <v>SKYMIX BP216 AMARELO OXIDO 0,900ML -21,46-ST</v>
          </cell>
          <cell r="C3517" t="str">
            <v>210BP21601b4</v>
          </cell>
          <cell r="D3517" t="str">
            <v>SKY</v>
          </cell>
          <cell r="E3517">
            <v>20031</v>
          </cell>
          <cell r="F3517" t="str">
            <v>BASES POLIÉSTER</v>
          </cell>
          <cell r="G3517" t="str">
            <v>AUTOMOTIVO</v>
          </cell>
        </row>
        <row r="3518">
          <cell r="A3518">
            <v>24107</v>
          </cell>
          <cell r="B3518" t="str">
            <v>SKYMIX BP217 VERMELHO CLARO 0,900ML -21,46-ST</v>
          </cell>
          <cell r="C3518" t="str">
            <v>210BP21701B4</v>
          </cell>
          <cell r="D3518" t="str">
            <v>SKY</v>
          </cell>
          <cell r="E3518">
            <v>20031</v>
          </cell>
          <cell r="F3518" t="str">
            <v>BASES POLIÉSTER</v>
          </cell>
          <cell r="G3518" t="str">
            <v>AUTOMOTIVO</v>
          </cell>
        </row>
        <row r="3519">
          <cell r="A3519">
            <v>24066</v>
          </cell>
          <cell r="B3519" t="str">
            <v>SKYMIX BP218 PRETO 3,600ML -21,46-ST</v>
          </cell>
          <cell r="C3519" t="str">
            <v>210BP21801B5</v>
          </cell>
          <cell r="D3519" t="str">
            <v>SKY</v>
          </cell>
          <cell r="E3519">
            <v>20031</v>
          </cell>
          <cell r="F3519" t="str">
            <v>BASES POLIÉSTER</v>
          </cell>
          <cell r="G3519" t="str">
            <v>AUTOMOTIVO</v>
          </cell>
        </row>
        <row r="3520">
          <cell r="A3520">
            <v>24079</v>
          </cell>
          <cell r="B3520" t="str">
            <v>SKYMIX BP219 BRANCO MICRONIZADO 0,900ML-21,94-ST</v>
          </cell>
          <cell r="C3520" t="str">
            <v>210BP21901B4</v>
          </cell>
          <cell r="D3520" t="str">
            <v>SKY</v>
          </cell>
          <cell r="E3520">
            <v>20031</v>
          </cell>
          <cell r="F3520" t="str">
            <v>BASES POLIÉSTER</v>
          </cell>
          <cell r="G3520" t="str">
            <v>AUTOMOTIVO</v>
          </cell>
        </row>
        <row r="3521">
          <cell r="A3521">
            <v>23983</v>
          </cell>
          <cell r="B3521" t="str">
            <v>SKYMIX BP220 VERDE AMARELADO 0,900ML -21,94-ST</v>
          </cell>
          <cell r="C3521" t="str">
            <v>210BP22001B4</v>
          </cell>
          <cell r="D3521" t="str">
            <v>SKY</v>
          </cell>
          <cell r="E3521">
            <v>20031</v>
          </cell>
          <cell r="F3521" t="str">
            <v>BASES POLIÉSTER</v>
          </cell>
          <cell r="G3521" t="str">
            <v>AUTOMOTIVO</v>
          </cell>
        </row>
        <row r="3522">
          <cell r="A3522">
            <v>24113</v>
          </cell>
          <cell r="B3522" t="str">
            <v>SKYMIX BP221 AZUL ESCURO AVIOLETADO 0,900ML -21,46-ST</v>
          </cell>
          <cell r="C3522" t="str">
            <v>210BP22101B4</v>
          </cell>
          <cell r="D3522" t="str">
            <v>SKY</v>
          </cell>
          <cell r="E3522">
            <v>20031</v>
          </cell>
          <cell r="F3522" t="str">
            <v>BASES POLIÉSTER</v>
          </cell>
          <cell r="G3522" t="str">
            <v>AUTOMOTIVO</v>
          </cell>
        </row>
        <row r="3523">
          <cell r="A3523">
            <v>24076</v>
          </cell>
          <cell r="B3523" t="str">
            <v>SKYMIX BP222 VIOLETA AVERMELHADO 0,900ML -21,45-ST</v>
          </cell>
          <cell r="C3523" t="str">
            <v>210BP22201B4</v>
          </cell>
          <cell r="D3523" t="str">
            <v>SKY</v>
          </cell>
          <cell r="E3523">
            <v>20031</v>
          </cell>
          <cell r="F3523" t="str">
            <v>BASES POLIÉSTER</v>
          </cell>
          <cell r="G3523" t="str">
            <v>AUTOMOTIVO</v>
          </cell>
        </row>
        <row r="3524">
          <cell r="A3524">
            <v>24110</v>
          </cell>
          <cell r="B3524" t="str">
            <v>SKYMIX BP223 PRETO AZULADO 0,900ML -21,94-ST</v>
          </cell>
          <cell r="C3524" t="str">
            <v>210BP2230140</v>
          </cell>
          <cell r="D3524" t="str">
            <v>SKY</v>
          </cell>
          <cell r="E3524">
            <v>20031</v>
          </cell>
          <cell r="F3524" t="str">
            <v>BASES POLIÉSTER</v>
          </cell>
          <cell r="G3524" t="str">
            <v>AUTOMOTIVO</v>
          </cell>
        </row>
        <row r="3525">
          <cell r="A3525">
            <v>23988</v>
          </cell>
          <cell r="B3525" t="str">
            <v>SKYMIX BP224 ROSA 0,900ML -21,45-ST</v>
          </cell>
          <cell r="C3525">
            <v>32081010</v>
          </cell>
          <cell r="D3525" t="str">
            <v>SKY</v>
          </cell>
          <cell r="E3525">
            <v>20031</v>
          </cell>
          <cell r="F3525" t="str">
            <v>BASES POLIÉSTER</v>
          </cell>
          <cell r="G3525" t="str">
            <v>AUTOMOTIVO</v>
          </cell>
        </row>
        <row r="3526">
          <cell r="A3526">
            <v>23987</v>
          </cell>
          <cell r="B3526" t="str">
            <v>SKYMIX BP225 VIOLETA 0,900ML -21,45-ST</v>
          </cell>
          <cell r="C3526" t="str">
            <v>210BP22501B4</v>
          </cell>
          <cell r="D3526" t="str">
            <v>SKY</v>
          </cell>
          <cell r="E3526">
            <v>20031</v>
          </cell>
          <cell r="F3526" t="str">
            <v>BASES POLIÉSTER</v>
          </cell>
          <cell r="G3526" t="str">
            <v>AUTOMOTIVO</v>
          </cell>
        </row>
        <row r="3527">
          <cell r="A3527">
            <v>23984</v>
          </cell>
          <cell r="B3527" t="str">
            <v>SKYMIX BP226 AZUL 0,900ML-21,94-ST</v>
          </cell>
          <cell r="C3527" t="str">
            <v>210BP22601B4</v>
          </cell>
          <cell r="D3527" t="str">
            <v>SKY</v>
          </cell>
          <cell r="E3527">
            <v>20031</v>
          </cell>
          <cell r="F3527" t="str">
            <v>BASES POLIÉSTER</v>
          </cell>
          <cell r="G3527" t="str">
            <v>AUTOMOTIVO</v>
          </cell>
        </row>
        <row r="3528">
          <cell r="A3528">
            <v>24048</v>
          </cell>
          <cell r="B3528" t="str">
            <v>SKYMIX BP227 LARANJA CLARO 0,900ML-21,94-ST</v>
          </cell>
          <cell r="C3528" t="str">
            <v>210BP2270140</v>
          </cell>
          <cell r="D3528" t="str">
            <v>SKY</v>
          </cell>
          <cell r="E3528">
            <v>20031</v>
          </cell>
          <cell r="F3528" t="str">
            <v>BASES POLIÉSTER</v>
          </cell>
          <cell r="G3528" t="str">
            <v>AUTOMOTIVO</v>
          </cell>
        </row>
        <row r="3529">
          <cell r="A3529">
            <v>24109</v>
          </cell>
          <cell r="B3529" t="str">
            <v>SKYMIX BP229 VERMELHO 0,900ML -21,94-ST</v>
          </cell>
          <cell r="C3529" t="str">
            <v>210BP2290140</v>
          </cell>
          <cell r="D3529" t="str">
            <v>SKY</v>
          </cell>
          <cell r="E3529">
            <v>20031</v>
          </cell>
          <cell r="F3529" t="str">
            <v>BASES POLIÉSTER</v>
          </cell>
          <cell r="G3529" t="str">
            <v>AUTOMOTIVO</v>
          </cell>
        </row>
        <row r="3530">
          <cell r="A3530">
            <v>24053</v>
          </cell>
          <cell r="B3530" t="str">
            <v>SKYMIX BP230 VERMELHO ESCARLATE 0,900ML-21,94-ST</v>
          </cell>
          <cell r="C3530" t="str">
            <v>210BP2300140</v>
          </cell>
          <cell r="D3530" t="str">
            <v>SKY</v>
          </cell>
          <cell r="E3530">
            <v>20031</v>
          </cell>
          <cell r="F3530" t="str">
            <v>BASES POLIÉSTER</v>
          </cell>
          <cell r="G3530" t="str">
            <v>AUTOMOTIVO</v>
          </cell>
        </row>
        <row r="3531">
          <cell r="A3531">
            <v>24114</v>
          </cell>
          <cell r="B3531" t="str">
            <v>SKYMIX BP231 VERMELHO RUBI 0,900ML -21,94-ST</v>
          </cell>
          <cell r="C3531" t="str">
            <v>210BP23101B4</v>
          </cell>
          <cell r="D3531" t="str">
            <v>SKY</v>
          </cell>
          <cell r="E3531">
            <v>20031</v>
          </cell>
          <cell r="F3531" t="str">
            <v>BASES POLIÉSTER</v>
          </cell>
          <cell r="G3531" t="str">
            <v>AUTOMOTIVO</v>
          </cell>
        </row>
        <row r="3532">
          <cell r="A3532">
            <v>24106</v>
          </cell>
          <cell r="B3532" t="str">
            <v>SKYMIX BP235 VERMELHO FORTE 0,900ML -21,94-ST</v>
          </cell>
          <cell r="C3532" t="str">
            <v>210BP23501B4</v>
          </cell>
          <cell r="D3532" t="str">
            <v>SKY</v>
          </cell>
          <cell r="E3532">
            <v>20031</v>
          </cell>
          <cell r="F3532" t="str">
            <v>BASES POLIÉSTER</v>
          </cell>
          <cell r="G3532" t="str">
            <v>AUTOMOTIVO</v>
          </cell>
        </row>
        <row r="3533">
          <cell r="A3533">
            <v>23991</v>
          </cell>
          <cell r="B3533" t="str">
            <v>SKYMIX BP239 VERMELHO VIVO 0,900ML -21,46-ST</v>
          </cell>
          <cell r="C3533" t="str">
            <v>210BP2390140</v>
          </cell>
          <cell r="D3533" t="str">
            <v>SKY</v>
          </cell>
          <cell r="E3533">
            <v>20031</v>
          </cell>
          <cell r="F3533" t="str">
            <v>BASES POLIÉSTER</v>
          </cell>
          <cell r="G3533" t="str">
            <v>AUTOMOTIVO</v>
          </cell>
        </row>
        <row r="3534">
          <cell r="A3534">
            <v>24068</v>
          </cell>
          <cell r="B3534" t="str">
            <v>SKYMIX BP240 BRANCO PURO 3,600ML-21,94-ST</v>
          </cell>
          <cell r="C3534" t="str">
            <v>210BP24001B5</v>
          </cell>
          <cell r="D3534" t="str">
            <v>SKY</v>
          </cell>
          <cell r="E3534">
            <v>20031</v>
          </cell>
          <cell r="F3534" t="str">
            <v>BASES POLIÉSTER</v>
          </cell>
          <cell r="G3534" t="str">
            <v>AUTOMOTIVO</v>
          </cell>
        </row>
        <row r="3535">
          <cell r="A3535">
            <v>23992</v>
          </cell>
          <cell r="B3535" t="str">
            <v>SKYMIX BP242 LARANJA INTENSO 0,900ML-21,46-ST</v>
          </cell>
          <cell r="C3535" t="str">
            <v>210BP24201B4</v>
          </cell>
          <cell r="D3535" t="str">
            <v>SKY</v>
          </cell>
          <cell r="E3535">
            <v>20031</v>
          </cell>
          <cell r="F3535" t="str">
            <v>BASES POLIÉSTER</v>
          </cell>
          <cell r="G3535" t="str">
            <v>AUTOMOTIVO</v>
          </cell>
        </row>
        <row r="3536">
          <cell r="A3536">
            <v>24080</v>
          </cell>
          <cell r="B3536" t="str">
            <v>SKYMIX BP244 ROSA INTENSO 0,900ML -21,45-ST</v>
          </cell>
          <cell r="C3536" t="str">
            <v>210BP24401B4</v>
          </cell>
          <cell r="D3536" t="str">
            <v>SKY</v>
          </cell>
          <cell r="E3536">
            <v>20031</v>
          </cell>
          <cell r="F3536" t="str">
            <v>BASES POLIÉSTER</v>
          </cell>
          <cell r="G3536" t="str">
            <v>AUTOMOTIVO</v>
          </cell>
        </row>
        <row r="3537">
          <cell r="A3537">
            <v>24105</v>
          </cell>
          <cell r="B3537" t="str">
            <v>SKYMIX BP247 AMARELO MEDIO INTENSO 0,900ML -21,94-ST</v>
          </cell>
          <cell r="C3537" t="str">
            <v>210BP24701B4</v>
          </cell>
          <cell r="D3537" t="str">
            <v>SKY</v>
          </cell>
          <cell r="E3537">
            <v>20031</v>
          </cell>
          <cell r="F3537" t="str">
            <v>BASES POLIÉSTER</v>
          </cell>
          <cell r="G3537" t="str">
            <v>AUTOMOTIVO</v>
          </cell>
        </row>
        <row r="3538">
          <cell r="A3538">
            <v>24086</v>
          </cell>
          <cell r="B3538" t="str">
            <v>SKYMIX BP248 PRETO INTENSO 3,600ML-21,94-ST</v>
          </cell>
          <cell r="C3538" t="str">
            <v>210BP2480114</v>
          </cell>
          <cell r="D3538" t="str">
            <v>SKY</v>
          </cell>
          <cell r="E3538">
            <v>20031</v>
          </cell>
          <cell r="F3538" t="str">
            <v>BASES POLIÉSTER</v>
          </cell>
          <cell r="G3538" t="str">
            <v>AUTOMOTIVO</v>
          </cell>
        </row>
        <row r="3539">
          <cell r="A3539">
            <v>24084</v>
          </cell>
          <cell r="B3539" t="str">
            <v>SKYMIX BP249 VERMELHO VIVO INTENSO 0,900ML -21,45-ST</v>
          </cell>
          <cell r="C3539" t="str">
            <v>210BP24901B4</v>
          </cell>
          <cell r="D3539" t="str">
            <v>SKY</v>
          </cell>
          <cell r="E3539">
            <v>20031</v>
          </cell>
          <cell r="F3539" t="str">
            <v>BASES POLIÉSTER</v>
          </cell>
          <cell r="G3539" t="str">
            <v>AUTOMOTIVO</v>
          </cell>
        </row>
        <row r="3540">
          <cell r="A3540">
            <v>24112</v>
          </cell>
          <cell r="B3540" t="str">
            <v>SKYMIX BP250 AMARELO CLARO 0,900ML -21,94-ST</v>
          </cell>
          <cell r="C3540" t="str">
            <v>210BP25001B4</v>
          </cell>
          <cell r="D3540" t="str">
            <v>SKY</v>
          </cell>
          <cell r="E3540">
            <v>20031</v>
          </cell>
          <cell r="F3540" t="str">
            <v>BASES POLIÉSTER</v>
          </cell>
          <cell r="G3540" t="str">
            <v>AUTOMOTIVO</v>
          </cell>
        </row>
        <row r="3541">
          <cell r="A3541">
            <v>24082</v>
          </cell>
          <cell r="B3541" t="str">
            <v>SKYMIX BP251 AMARELO ALARANJADO 0,900ML -21,94-ST</v>
          </cell>
          <cell r="C3541" t="str">
            <v>210BP2510140</v>
          </cell>
          <cell r="D3541" t="str">
            <v>SKY</v>
          </cell>
          <cell r="E3541">
            <v>20031</v>
          </cell>
          <cell r="F3541" t="str">
            <v>BASES POLIÉSTER</v>
          </cell>
          <cell r="G3541" t="str">
            <v>AUTOMOTIVO</v>
          </cell>
        </row>
        <row r="3542">
          <cell r="A3542">
            <v>24094</v>
          </cell>
          <cell r="B3542" t="str">
            <v>SKYMIX BP254 PRETO SUPER INTENSO 3,600ML -21,94-ST</v>
          </cell>
          <cell r="C3542" t="str">
            <v>210BP25401B5</v>
          </cell>
          <cell r="D3542" t="str">
            <v>SKY</v>
          </cell>
          <cell r="E3542">
            <v>20031</v>
          </cell>
          <cell r="F3542" t="str">
            <v>BASES POLIÉSTER</v>
          </cell>
          <cell r="G3542" t="str">
            <v>AUTOMOTIVO</v>
          </cell>
        </row>
        <row r="3543">
          <cell r="A3543">
            <v>24093</v>
          </cell>
          <cell r="B3543" t="str">
            <v>SKYMIX BP261 ALUMINIO MEDIO 3,600ML -21,94-ST</v>
          </cell>
          <cell r="C3543" t="str">
            <v>211BP2610114</v>
          </cell>
          <cell r="D3543" t="str">
            <v>SKY</v>
          </cell>
          <cell r="E3543">
            <v>20031</v>
          </cell>
          <cell r="F3543" t="str">
            <v>BASES POLIÉSTER</v>
          </cell>
          <cell r="G3543" t="str">
            <v>AUTOMOTIVO</v>
          </cell>
        </row>
        <row r="3544">
          <cell r="A3544">
            <v>24095</v>
          </cell>
          <cell r="B3544" t="str">
            <v>SKYMIX BP262 ALUMINIO MEDIO GRAUDO 3,600ML -21,94-ST</v>
          </cell>
          <cell r="C3544" t="str">
            <v>211BP26201B5</v>
          </cell>
          <cell r="D3544" t="str">
            <v>SKY</v>
          </cell>
          <cell r="E3544">
            <v>20031</v>
          </cell>
          <cell r="F3544" t="str">
            <v>BASES POLIÉSTER</v>
          </cell>
          <cell r="G3544" t="str">
            <v>AUTOMOTIVO</v>
          </cell>
        </row>
        <row r="3545">
          <cell r="A3545">
            <v>24056</v>
          </cell>
          <cell r="B3545" t="str">
            <v>SKYMIX BP263 ALUMINIO BRILHANTE 0,900ML -21,94-ST</v>
          </cell>
          <cell r="C3545" t="str">
            <v>211BP2630140</v>
          </cell>
          <cell r="D3545" t="str">
            <v>SKY</v>
          </cell>
          <cell r="E3545">
            <v>20031</v>
          </cell>
          <cell r="F3545" t="str">
            <v>BASES POLIÉSTER</v>
          </cell>
          <cell r="G3545" t="str">
            <v>AUTOMOTIVO</v>
          </cell>
        </row>
        <row r="3546">
          <cell r="A3546">
            <v>24096</v>
          </cell>
          <cell r="B3546" t="str">
            <v>SKYMIX BP264 ALUMINIO GRAUDO BRILHANTE 3,600ML -21,45-ST</v>
          </cell>
          <cell r="C3546" t="str">
            <v>211BP26401B5</v>
          </cell>
          <cell r="D3546" t="str">
            <v>SKY</v>
          </cell>
          <cell r="E3546">
            <v>20031</v>
          </cell>
          <cell r="F3546" t="str">
            <v>BASES POLIÉSTER</v>
          </cell>
          <cell r="G3546" t="str">
            <v>AUTOMOTIVO</v>
          </cell>
        </row>
        <row r="3547">
          <cell r="A3547">
            <v>24060</v>
          </cell>
          <cell r="B3547" t="str">
            <v>SKYMIX BP265 ALUMINIO SUPER FINO 0,900ML -21,94-ST</v>
          </cell>
          <cell r="C3547" t="str">
            <v>211BP2650140</v>
          </cell>
          <cell r="D3547" t="str">
            <v>SKY</v>
          </cell>
          <cell r="E3547">
            <v>20031</v>
          </cell>
          <cell r="F3547" t="str">
            <v>BASES POLIÉSTER</v>
          </cell>
          <cell r="G3547" t="str">
            <v>AUTOMOTIVO</v>
          </cell>
        </row>
        <row r="3548">
          <cell r="A3548">
            <v>24098</v>
          </cell>
          <cell r="B3548" t="str">
            <v>SKYMIX BP266 GOLD 0,900ML-21,46-ST</v>
          </cell>
          <cell r="C3548" t="str">
            <v>211BP26601B4</v>
          </cell>
          <cell r="D3548" t="str">
            <v>SKY</v>
          </cell>
          <cell r="E3548">
            <v>20031</v>
          </cell>
          <cell r="F3548" t="str">
            <v>BASES POLIÉSTER</v>
          </cell>
          <cell r="G3548" t="str">
            <v>AUTOMOTIVO</v>
          </cell>
        </row>
        <row r="3549">
          <cell r="A3549">
            <v>24092</v>
          </cell>
          <cell r="B3549" t="str">
            <v>SKYMIX BP267 ALUMINIO MEDIO FINO 3,600ML -21,94-ST</v>
          </cell>
          <cell r="C3549" t="str">
            <v>211BP26701B5</v>
          </cell>
          <cell r="D3549" t="str">
            <v>SKY</v>
          </cell>
          <cell r="E3549">
            <v>20031</v>
          </cell>
          <cell r="F3549" t="str">
            <v>BASES POLIÉSTER</v>
          </cell>
          <cell r="G3549" t="str">
            <v>AUTOMOTIVO</v>
          </cell>
        </row>
        <row r="3550">
          <cell r="A3550">
            <v>24115</v>
          </cell>
          <cell r="B3550" t="str">
            <v>SKYMIX BP268 ALUMINIO EXTRA GRAUDO 0,900ML -21,94-ST</v>
          </cell>
          <cell r="C3550" t="str">
            <v>211BP26801B4</v>
          </cell>
          <cell r="D3550" t="str">
            <v>SKY</v>
          </cell>
          <cell r="E3550">
            <v>20031</v>
          </cell>
          <cell r="F3550" t="str">
            <v>BASES POLIÉSTER</v>
          </cell>
          <cell r="G3550" t="str">
            <v>AUTOMOTIVO</v>
          </cell>
        </row>
        <row r="3551">
          <cell r="A3551">
            <v>24065</v>
          </cell>
          <cell r="B3551" t="str">
            <v>SKYMIX BP269 ALUMINIO BRILHANTE MEDIO 3,600ML -21,94-ST</v>
          </cell>
          <cell r="C3551" t="str">
            <v>211BP2690114</v>
          </cell>
          <cell r="D3551" t="str">
            <v>SKY</v>
          </cell>
          <cell r="E3551">
            <v>20031</v>
          </cell>
          <cell r="F3551" t="str">
            <v>BASES POLIÉSTER</v>
          </cell>
          <cell r="G3551" t="str">
            <v>AUTOMOTIVO</v>
          </cell>
        </row>
        <row r="3552">
          <cell r="A3552">
            <v>23994</v>
          </cell>
          <cell r="B3552" t="str">
            <v>SKYMIX BP270 ALUMINIO FINO 0,900ML -21,94-ST</v>
          </cell>
          <cell r="C3552" t="str">
            <v>211BP27001B4</v>
          </cell>
          <cell r="D3552" t="str">
            <v>SKY</v>
          </cell>
          <cell r="E3552">
            <v>20031</v>
          </cell>
          <cell r="F3552" t="str">
            <v>BASES POLIÉSTER</v>
          </cell>
          <cell r="G3552" t="str">
            <v>AUTOMOTIVO</v>
          </cell>
        </row>
        <row r="3553">
          <cell r="A3553">
            <v>24081</v>
          </cell>
          <cell r="B3553" t="str">
            <v>SKYMIX BP271 ALUMINIO FINO BRILHANTE 0,900ML -21,94-ST</v>
          </cell>
          <cell r="C3553" t="str">
            <v>211BP27101B4</v>
          </cell>
          <cell r="D3553" t="str">
            <v>SKY</v>
          </cell>
          <cell r="E3553">
            <v>20031</v>
          </cell>
          <cell r="F3553" t="str">
            <v>BASES POLIÉSTER</v>
          </cell>
          <cell r="G3553" t="str">
            <v>AUTOMOTIVO</v>
          </cell>
        </row>
        <row r="3554">
          <cell r="A3554">
            <v>23996</v>
          </cell>
          <cell r="B3554" t="str">
            <v>SKYMIX BP272 ALUMINIO ORANGE EXP 0,900ML -21,94-ST</v>
          </cell>
          <cell r="C3554" t="str">
            <v>2E1BP2720140</v>
          </cell>
          <cell r="D3554" t="str">
            <v>SKY</v>
          </cell>
          <cell r="E3554">
            <v>20031</v>
          </cell>
          <cell r="F3554" t="str">
            <v>BASES POLIÉSTER</v>
          </cell>
          <cell r="G3554" t="str">
            <v>AUTOMOTIVO</v>
          </cell>
        </row>
        <row r="3555">
          <cell r="A3555">
            <v>24099</v>
          </cell>
          <cell r="B3555" t="str">
            <v>SKYMIX BP277 PEROLA COBRE BRILHANTE 0,450ML-21,46-ST</v>
          </cell>
          <cell r="C3555" t="str">
            <v>213BP2770149</v>
          </cell>
          <cell r="D3555" t="str">
            <v>SKY</v>
          </cell>
          <cell r="E3555">
            <v>20031</v>
          </cell>
          <cell r="F3555" t="str">
            <v>BASES POLIÉSTER</v>
          </cell>
          <cell r="G3555" t="str">
            <v>AUTOMOTIVO</v>
          </cell>
        </row>
        <row r="3556">
          <cell r="A3556">
            <v>24047</v>
          </cell>
          <cell r="B3556" t="str">
            <v>SKYMIX BP278 PEROLA OURO BRILHANTE 0,450ML-21,45-ST</v>
          </cell>
          <cell r="C3556" t="str">
            <v>213BP27801B6</v>
          </cell>
          <cell r="D3556" t="str">
            <v>SKY</v>
          </cell>
          <cell r="E3556">
            <v>20031</v>
          </cell>
          <cell r="F3556" t="str">
            <v>BASES POLIÉSTER</v>
          </cell>
          <cell r="G3556" t="str">
            <v>AUTOMOTIVO</v>
          </cell>
        </row>
        <row r="3557">
          <cell r="A3557">
            <v>24054</v>
          </cell>
          <cell r="B3557" t="str">
            <v>SKYMIX BP279 PEROLA VERDE BRILHANTE 0,450ML -21,94-ST</v>
          </cell>
          <cell r="C3557" t="str">
            <v>213BP2790149</v>
          </cell>
          <cell r="D3557" t="str">
            <v>SKY</v>
          </cell>
          <cell r="E3557">
            <v>20031</v>
          </cell>
          <cell r="F3557" t="str">
            <v>BASES POLIÉSTER</v>
          </cell>
          <cell r="G3557" t="str">
            <v>AUTOMOTIVO</v>
          </cell>
        </row>
        <row r="3558">
          <cell r="A3558">
            <v>24075</v>
          </cell>
          <cell r="B3558" t="str">
            <v>SKYMIX BP280 PEROLA VERMELHA FINA 0,900ML-21,94-ST</v>
          </cell>
          <cell r="C3558" t="str">
            <v>213BP2800140</v>
          </cell>
          <cell r="D3558" t="str">
            <v>SKY</v>
          </cell>
          <cell r="E3558">
            <v>20031</v>
          </cell>
          <cell r="F3558" t="str">
            <v>BASES POLIÉSTER</v>
          </cell>
          <cell r="G3558" t="str">
            <v>AUTOMOTIVO</v>
          </cell>
        </row>
        <row r="3559">
          <cell r="A3559">
            <v>24057</v>
          </cell>
          <cell r="B3559" t="str">
            <v>SKYMIX BP281 PEROLA BRANCA FINA 0,900ML-21,94-ST</v>
          </cell>
          <cell r="C3559" t="str">
            <v>213BP2810140</v>
          </cell>
          <cell r="D3559" t="str">
            <v>SKY</v>
          </cell>
          <cell r="E3559">
            <v>20031</v>
          </cell>
          <cell r="F3559" t="str">
            <v>BASES POLIÉSTER</v>
          </cell>
          <cell r="G3559" t="str">
            <v>AUTOMOTIVO</v>
          </cell>
        </row>
        <row r="3560">
          <cell r="A3560">
            <v>24074</v>
          </cell>
          <cell r="B3560" t="str">
            <v>SKYMIX BP282 PEROLA AZUL FINA 0,900ML-21,94-ST</v>
          </cell>
          <cell r="C3560" t="str">
            <v>213BP28201B4</v>
          </cell>
          <cell r="D3560" t="str">
            <v>SKY</v>
          </cell>
          <cell r="E3560">
            <v>20031</v>
          </cell>
          <cell r="F3560" t="str">
            <v>BASES POLIÉSTER</v>
          </cell>
          <cell r="G3560" t="str">
            <v>AUTOMOTIVO</v>
          </cell>
        </row>
        <row r="3561">
          <cell r="A3561">
            <v>24052</v>
          </cell>
          <cell r="B3561" t="str">
            <v>SKYMIX BP283 PEROLA VERMELHA GRAUDA 0,900ML -21,46-ST</v>
          </cell>
          <cell r="C3561" t="str">
            <v>213BP2830140</v>
          </cell>
          <cell r="D3561" t="str">
            <v>SKY</v>
          </cell>
          <cell r="E3561">
            <v>20031</v>
          </cell>
          <cell r="F3561" t="str">
            <v>BASES POLIÉSTER</v>
          </cell>
          <cell r="G3561" t="str">
            <v>AUTOMOTIVO</v>
          </cell>
        </row>
        <row r="3562">
          <cell r="A3562">
            <v>24077</v>
          </cell>
          <cell r="B3562" t="str">
            <v>SKYMIX BP284 PEROLA AZUL GRAUDA 0,900ML-21,45-ST</v>
          </cell>
          <cell r="C3562" t="str">
            <v>213BP2840140</v>
          </cell>
          <cell r="D3562" t="str">
            <v>SKY</v>
          </cell>
          <cell r="E3562">
            <v>20031</v>
          </cell>
          <cell r="F3562" t="str">
            <v>BASES POLIÉSTER</v>
          </cell>
          <cell r="G3562" t="str">
            <v>AUTOMOTIVO</v>
          </cell>
        </row>
        <row r="3563">
          <cell r="A3563">
            <v>24111</v>
          </cell>
          <cell r="B3563" t="str">
            <v>SKYMIX BP285 PEROLA PRATA BRILHANTE 0,900ML -21,46-ST</v>
          </cell>
          <cell r="C3563" t="str">
            <v>213BP28501B4</v>
          </cell>
          <cell r="D3563" t="str">
            <v>SKY</v>
          </cell>
          <cell r="E3563">
            <v>20031</v>
          </cell>
          <cell r="F3563" t="str">
            <v>BASES POLIÉSTER</v>
          </cell>
          <cell r="G3563" t="str">
            <v>AUTOMOTIVO</v>
          </cell>
        </row>
        <row r="3564">
          <cell r="A3564">
            <v>23985</v>
          </cell>
          <cell r="B3564" t="str">
            <v>SKYMIX BP286 PEROLA DOURADA MEDIA 0,900ML -21,46-ST</v>
          </cell>
          <cell r="C3564" t="str">
            <v>213BP2860140</v>
          </cell>
          <cell r="D3564" t="str">
            <v>SKY</v>
          </cell>
          <cell r="E3564">
            <v>20031</v>
          </cell>
          <cell r="F3564" t="str">
            <v>BASES POLIÉSTER</v>
          </cell>
          <cell r="G3564" t="str">
            <v>AUTOMOTIVO</v>
          </cell>
        </row>
        <row r="3565">
          <cell r="A3565">
            <v>23989</v>
          </cell>
          <cell r="B3565" t="str">
            <v>SKYMIX BP287 PEROLA VIOLETA 0,900ML -21,94-ST</v>
          </cell>
          <cell r="C3565" t="str">
            <v>213BP2870140</v>
          </cell>
          <cell r="D3565" t="str">
            <v>SKY</v>
          </cell>
          <cell r="E3565">
            <v>20031</v>
          </cell>
          <cell r="F3565" t="str">
            <v>BASES POLIÉSTER</v>
          </cell>
          <cell r="G3565" t="str">
            <v>AUTOMOTIVO</v>
          </cell>
        </row>
        <row r="3566">
          <cell r="A3566">
            <v>24078</v>
          </cell>
          <cell r="B3566" t="str">
            <v>SKYMIX BP288 PEROLA VIOLETA GRAUDA 0,900ML -21,94-ST</v>
          </cell>
          <cell r="C3566" t="str">
            <v>213BP2880140</v>
          </cell>
          <cell r="D3566" t="str">
            <v>SKY</v>
          </cell>
          <cell r="E3566">
            <v>20031</v>
          </cell>
          <cell r="F3566" t="str">
            <v>BASES POLIÉSTER</v>
          </cell>
          <cell r="G3566" t="str">
            <v>AUTOMOTIVO</v>
          </cell>
        </row>
        <row r="3567">
          <cell r="A3567">
            <v>24051</v>
          </cell>
          <cell r="B3567" t="str">
            <v>SKYMIX BP289 PEROLA VERDE 0,900ML -21,94-ST</v>
          </cell>
          <cell r="C3567" t="str">
            <v>213BP2890140</v>
          </cell>
          <cell r="D3567" t="str">
            <v>SKY</v>
          </cell>
          <cell r="E3567">
            <v>20031</v>
          </cell>
          <cell r="F3567" t="str">
            <v>BASES POLIÉSTER</v>
          </cell>
          <cell r="G3567" t="str">
            <v>AUTOMOTIVO</v>
          </cell>
        </row>
        <row r="3568">
          <cell r="A3568">
            <v>24108</v>
          </cell>
          <cell r="B3568" t="str">
            <v>SKYMIX BP290 PEROLA VIOLETA AZULADA 0,900ML -21,94-ST</v>
          </cell>
          <cell r="C3568" t="str">
            <v>213BP29001B4</v>
          </cell>
          <cell r="D3568" t="str">
            <v>SKY</v>
          </cell>
          <cell r="E3568">
            <v>20031</v>
          </cell>
          <cell r="F3568" t="str">
            <v>BASES POLIÉSTER</v>
          </cell>
          <cell r="G3568" t="str">
            <v>AUTOMOTIVO</v>
          </cell>
        </row>
        <row r="3569">
          <cell r="A3569">
            <v>24073</v>
          </cell>
          <cell r="B3569" t="str">
            <v>SKYMIX BP291 PEROLA VERDE AZULADA 0,900ML -21,94-ST</v>
          </cell>
          <cell r="C3569" t="str">
            <v>213BP2910140</v>
          </cell>
          <cell r="D3569" t="str">
            <v>SKY</v>
          </cell>
          <cell r="E3569">
            <v>20031</v>
          </cell>
          <cell r="F3569" t="str">
            <v>BASES POLIÉSTER</v>
          </cell>
          <cell r="G3569" t="str">
            <v>AUTOMOTIVO</v>
          </cell>
        </row>
        <row r="3570">
          <cell r="A3570">
            <v>24097</v>
          </cell>
          <cell r="B3570" t="str">
            <v>SKYMIX BP292 PEROLA BRONZE 0,900ML-21,94-ST</v>
          </cell>
          <cell r="C3570" t="str">
            <v>213BP2920140</v>
          </cell>
          <cell r="D3570" t="str">
            <v>SKY</v>
          </cell>
          <cell r="E3570">
            <v>20031</v>
          </cell>
          <cell r="F3570" t="str">
            <v>BASES POLIÉSTER</v>
          </cell>
          <cell r="G3570" t="str">
            <v>AUTOMOTIVO</v>
          </cell>
        </row>
        <row r="3571">
          <cell r="A3571">
            <v>24045</v>
          </cell>
          <cell r="B3571" t="str">
            <v>SKYMIX BP293 PEROLA ROSA 0,900ML -21,94-ST</v>
          </cell>
          <cell r="C3571" t="str">
            <v>213BP2930140</v>
          </cell>
          <cell r="D3571" t="str">
            <v>SKY</v>
          </cell>
          <cell r="E3571">
            <v>20031</v>
          </cell>
          <cell r="F3571" t="str">
            <v>BASES POLIÉSTER</v>
          </cell>
          <cell r="G3571" t="str">
            <v>AUTOMOTIVO</v>
          </cell>
        </row>
        <row r="3572">
          <cell r="A3572">
            <v>24083</v>
          </cell>
          <cell r="B3572" t="str">
            <v>SKYMIX BP294 PEROLA OURO 0,900ML -21,45-ST</v>
          </cell>
          <cell r="C3572" t="str">
            <v>213BP2940140</v>
          </cell>
          <cell r="D3572" t="str">
            <v>SKY</v>
          </cell>
          <cell r="E3572">
            <v>20031</v>
          </cell>
          <cell r="F3572" t="str">
            <v>BASES POLIÉSTER</v>
          </cell>
          <cell r="G3572" t="str">
            <v>AUTOMOTIVO</v>
          </cell>
        </row>
        <row r="3573">
          <cell r="A3573">
            <v>24046</v>
          </cell>
          <cell r="B3573" t="str">
            <v>SKYMIX BP295 GRAFITE 0,900ML-21,94-ST</v>
          </cell>
          <cell r="C3573" t="str">
            <v>213BP2950140</v>
          </cell>
          <cell r="D3573" t="str">
            <v>SKY</v>
          </cell>
          <cell r="E3573">
            <v>20031</v>
          </cell>
          <cell r="F3573" t="str">
            <v>BASES POLIÉSTER</v>
          </cell>
          <cell r="G3573" t="str">
            <v>AUTOMOTIVO</v>
          </cell>
        </row>
        <row r="3574">
          <cell r="A3574">
            <v>23995</v>
          </cell>
          <cell r="B3574" t="str">
            <v>SKYMIX BP296 PEROLA VERMELHA BRILHANTE 0,450ML -21,46-ST</v>
          </cell>
          <cell r="C3574" t="str">
            <v>213BP2960149</v>
          </cell>
          <cell r="D3574" t="str">
            <v>SKY</v>
          </cell>
          <cell r="E3574">
            <v>20031</v>
          </cell>
          <cell r="F3574" t="str">
            <v>BASES POLIÉSTER</v>
          </cell>
          <cell r="G3574" t="str">
            <v>AUTOMOTIVO</v>
          </cell>
        </row>
        <row r="3575">
          <cell r="A3575">
            <v>23986</v>
          </cell>
          <cell r="B3575" t="str">
            <v>SKYMIX BP297 PEROLA BRANCA BRILHANTE 0,450ML-21,46-ST</v>
          </cell>
          <cell r="C3575" t="str">
            <v>213BP29701B6</v>
          </cell>
          <cell r="D3575" t="str">
            <v>SKY</v>
          </cell>
          <cell r="E3575">
            <v>20031</v>
          </cell>
          <cell r="F3575" t="str">
            <v>BASES POLIÉSTER</v>
          </cell>
          <cell r="G3575" t="str">
            <v>AUTOMOTIVO</v>
          </cell>
        </row>
        <row r="3576">
          <cell r="A3576">
            <v>24049</v>
          </cell>
          <cell r="B3576" t="str">
            <v>SKYMIX BP298 PEROLA AZUL BRILHANTE 0,450ML-21,94-ST</v>
          </cell>
          <cell r="C3576" t="str">
            <v>213BP29801B6</v>
          </cell>
          <cell r="D3576" t="str">
            <v>SKY</v>
          </cell>
          <cell r="E3576">
            <v>20031</v>
          </cell>
          <cell r="F3576" t="str">
            <v>BASES POLIÉSTER</v>
          </cell>
          <cell r="G3576" t="str">
            <v>AUTOMOTIVO</v>
          </cell>
        </row>
        <row r="3577">
          <cell r="A3577">
            <v>24116</v>
          </cell>
          <cell r="B3577" t="str">
            <v>SKYMIX BP299 ADITIVO BASE 18L -21,94-ST</v>
          </cell>
          <cell r="C3577" t="str">
            <v>210BP2990125</v>
          </cell>
          <cell r="D3577" t="str">
            <v>SKY</v>
          </cell>
          <cell r="E3577">
            <v>20031</v>
          </cell>
          <cell r="F3577" t="str">
            <v>BASES POLIÉSTER</v>
          </cell>
          <cell r="G3577" t="str">
            <v>AUTOMOTIVO</v>
          </cell>
        </row>
        <row r="3578">
          <cell r="A3578">
            <v>135</v>
          </cell>
          <cell r="B3578" t="str">
            <v>SKYMIX LACA NITRO ADITIVO BASE 3,600ML-21,94-ST</v>
          </cell>
          <cell r="C3578" t="str">
            <v>510LN5990114</v>
          </cell>
          <cell r="D3578" t="str">
            <v>SKY</v>
          </cell>
          <cell r="E3578">
            <v>20031</v>
          </cell>
          <cell r="F3578" t="str">
            <v>BASES POLIÉSTER</v>
          </cell>
          <cell r="G3578" t="str">
            <v>AUTOMOTIVO</v>
          </cell>
        </row>
        <row r="3579">
          <cell r="A3579">
            <v>159</v>
          </cell>
          <cell r="B3579" t="str">
            <v>SKYMIX SINTETICO ADITIVO BASE 3,600ML-21,94-ST</v>
          </cell>
          <cell r="C3579" t="str">
            <v>410ES4990114</v>
          </cell>
          <cell r="D3579" t="str">
            <v>SKY</v>
          </cell>
          <cell r="E3579">
            <v>20031</v>
          </cell>
          <cell r="F3579" t="str">
            <v>BASES POLIÉSTER</v>
          </cell>
          <cell r="G3579" t="str">
            <v>AUTOMOTIVO</v>
          </cell>
        </row>
        <row r="3580">
          <cell r="A3580">
            <v>23186</v>
          </cell>
          <cell r="B3580" t="str">
            <v>STANDOBLUE AJUSTE DE VISCOSIDADE AXALTA 3,5L-24,45-ST</v>
          </cell>
          <cell r="C3580" t="str">
            <v>T00292000/1S</v>
          </cell>
          <cell r="D3580" t="str">
            <v>AXALTA</v>
          </cell>
          <cell r="E3580">
            <v>20031</v>
          </cell>
          <cell r="F3580" t="str">
            <v>BASES POLIÉSTER</v>
          </cell>
          <cell r="G3580" t="str">
            <v>AUTOMOTIVO</v>
          </cell>
        </row>
        <row r="3581">
          <cell r="A3581">
            <v>23215</v>
          </cell>
          <cell r="B3581" t="str">
            <v>STANDOBLUE MIX 101 PEROLA BRANCA ACETI AXALTA</v>
          </cell>
          <cell r="C3581" t="str">
            <v>T01018142/4C</v>
          </cell>
          <cell r="D3581" t="str">
            <v>AXALTA</v>
          </cell>
          <cell r="E3581">
            <v>20031</v>
          </cell>
          <cell r="F3581" t="str">
            <v>BASES POLIÉSTER</v>
          </cell>
          <cell r="G3581" t="str">
            <v>AUTOMOTIVO</v>
          </cell>
        </row>
        <row r="3582">
          <cell r="A3582">
            <v>23204</v>
          </cell>
          <cell r="B3582" t="str">
            <v>STANDOBLUE MIX 105 PEROLA AZUL ACETINA AXALA</v>
          </cell>
          <cell r="C3582" t="str">
            <v>T01058442/4A</v>
          </cell>
          <cell r="D3582" t="str">
            <v>AXALTA</v>
          </cell>
          <cell r="E3582">
            <v>20031</v>
          </cell>
          <cell r="F3582" t="str">
            <v>BASES POLIÉSTER</v>
          </cell>
          <cell r="G3582" t="str">
            <v>AUTOMOTIVO</v>
          </cell>
        </row>
        <row r="3583">
          <cell r="A3583">
            <v>23216</v>
          </cell>
          <cell r="B3583" t="str">
            <v>STANDOBLUE MIX 110 EFEITO BRANCO AXALTA-24,45-ST</v>
          </cell>
          <cell r="C3583" t="str">
            <v>T01108142/4C</v>
          </cell>
          <cell r="D3583" t="str">
            <v>AXALTA</v>
          </cell>
          <cell r="E3583">
            <v>20031</v>
          </cell>
          <cell r="F3583" t="str">
            <v>BASES POLIÉSTER</v>
          </cell>
          <cell r="G3583" t="str">
            <v>AUTOMOTIVO</v>
          </cell>
        </row>
        <row r="3584">
          <cell r="A3584">
            <v>23217</v>
          </cell>
          <cell r="B3584" t="str">
            <v>STANDOBLUE MIX 111 PEROLA BRANCA AXALTA-24,45-ST</v>
          </cell>
          <cell r="C3584" t="str">
            <v>T01118143/4C</v>
          </cell>
          <cell r="D3584" t="str">
            <v>AXALTA</v>
          </cell>
          <cell r="E3584">
            <v>20031</v>
          </cell>
          <cell r="F3584" t="str">
            <v>BASES POLIÉSTER</v>
          </cell>
          <cell r="G3584" t="str">
            <v>AUTOMOTIVO</v>
          </cell>
        </row>
        <row r="3585">
          <cell r="A3585">
            <v>23238</v>
          </cell>
          <cell r="B3585" t="str">
            <v>STANDOBLUE MIX 113 PEROLA AMARELA AXALTA-24,45-ST</v>
          </cell>
          <cell r="C3585" t="str">
            <v>T01138242/4C</v>
          </cell>
          <cell r="D3585" t="str">
            <v>AXALTA</v>
          </cell>
          <cell r="E3585">
            <v>20031</v>
          </cell>
          <cell r="F3585" t="str">
            <v>BASES POLIÉSTER</v>
          </cell>
          <cell r="G3585" t="str">
            <v>AUTOMOTIVO</v>
          </cell>
        </row>
        <row r="3586">
          <cell r="A3586">
            <v>23221</v>
          </cell>
          <cell r="B3586" t="str">
            <v>STANDOBLUE MIX 118 PEROLA VIOLETA AXALTA</v>
          </cell>
          <cell r="C3586" t="str">
            <v>T01188441/4C</v>
          </cell>
          <cell r="D3586" t="str">
            <v>AXALTA</v>
          </cell>
          <cell r="E3586">
            <v>20031</v>
          </cell>
          <cell r="F3586" t="str">
            <v>BASES POLIÉSTER</v>
          </cell>
          <cell r="G3586" t="str">
            <v>AUTOMOTIVO</v>
          </cell>
        </row>
        <row r="3587">
          <cell r="A3587">
            <v>23222</v>
          </cell>
          <cell r="B3587" t="str">
            <v>STANDOBLUE MIX 119 PEROLA AZUL FINA AXALTA</v>
          </cell>
          <cell r="C3587" t="str">
            <v>T01198442/4C</v>
          </cell>
          <cell r="D3587" t="str">
            <v>AXALTA</v>
          </cell>
          <cell r="E3587">
            <v>20031</v>
          </cell>
          <cell r="F3587" t="str">
            <v>BASES POLIÉSTER</v>
          </cell>
          <cell r="G3587" t="str">
            <v>AUTOMOTIVO</v>
          </cell>
        </row>
        <row r="3588">
          <cell r="A3588">
            <v>23223</v>
          </cell>
          <cell r="B3588" t="str">
            <v>STANDOBLUE MIX 120 PEROLA AZUL GRAUDA AXALTA-24,45-ST</v>
          </cell>
          <cell r="C3588" t="str">
            <v>T01208442/4C</v>
          </cell>
          <cell r="D3588" t="str">
            <v>AXALTA</v>
          </cell>
          <cell r="E3588">
            <v>20031</v>
          </cell>
          <cell r="F3588" t="str">
            <v>BASES POLIÉSTER</v>
          </cell>
          <cell r="G3588" t="str">
            <v>AUTOMOTIVO</v>
          </cell>
        </row>
        <row r="3589">
          <cell r="A3589">
            <v>23226</v>
          </cell>
          <cell r="B3589" t="str">
            <v>STANDOBLUE MIX 130 SILK SILVER AXALTA</v>
          </cell>
          <cell r="C3589" t="str">
            <v>T01308842/4C</v>
          </cell>
          <cell r="D3589" t="str">
            <v>AXALTA</v>
          </cell>
          <cell r="E3589">
            <v>20031</v>
          </cell>
          <cell r="F3589" t="str">
            <v>BASES POLIÉSTER</v>
          </cell>
          <cell r="G3589" t="str">
            <v>AUTOMOTIVO</v>
          </cell>
        </row>
        <row r="3590">
          <cell r="A3590">
            <v>23191</v>
          </cell>
          <cell r="B3590" t="str">
            <v>STANDOBLUE MIX 131 ALUMINIO EXTRA FINO AXALTA</v>
          </cell>
          <cell r="C3590" t="str">
            <v>T01318842/40</v>
          </cell>
          <cell r="D3590" t="str">
            <v>AXALTA</v>
          </cell>
          <cell r="E3590">
            <v>20031</v>
          </cell>
          <cell r="F3590" t="str">
            <v>BASES POLIÉSTER</v>
          </cell>
          <cell r="G3590" t="str">
            <v>AUTOMOTIVO</v>
          </cell>
        </row>
        <row r="3591">
          <cell r="A3591">
            <v>23237</v>
          </cell>
          <cell r="B3591" t="str">
            <v>STANDOBLUE MIX 132 ALUMINIO FINO AXALTA-24,45-ST</v>
          </cell>
          <cell r="C3591" t="str">
            <v>T01328842/40</v>
          </cell>
          <cell r="D3591" t="str">
            <v>AXALTA</v>
          </cell>
          <cell r="E3591">
            <v>20031</v>
          </cell>
          <cell r="F3591" t="str">
            <v>BASES POLIÉSTER</v>
          </cell>
          <cell r="G3591" t="str">
            <v>AUTOMOTIVO</v>
          </cell>
        </row>
        <row r="3592">
          <cell r="A3592">
            <v>23193</v>
          </cell>
          <cell r="B3592" t="str">
            <v>STANDOBLUE MIX 133 ALUMINIO AXALTA-24,45-ST</v>
          </cell>
          <cell r="C3592" t="str">
            <v>T01338842/40</v>
          </cell>
          <cell r="D3592" t="str">
            <v>AXALTA</v>
          </cell>
          <cell r="E3592">
            <v>20031</v>
          </cell>
          <cell r="F3592" t="str">
            <v>BASES POLIÉSTER</v>
          </cell>
          <cell r="G3592" t="str">
            <v>AUTOMOTIVO</v>
          </cell>
        </row>
        <row r="3593">
          <cell r="A3593">
            <v>23194</v>
          </cell>
          <cell r="B3593" t="str">
            <v>STANDOBLUE MIX 134 ALUMINIO GRAUDO AXALTA</v>
          </cell>
          <cell r="C3593" t="str">
            <v>T01348842/40</v>
          </cell>
          <cell r="D3593" t="str">
            <v>AXALTA</v>
          </cell>
          <cell r="E3593">
            <v>20031</v>
          </cell>
          <cell r="F3593" t="str">
            <v>BASES POLIÉSTER</v>
          </cell>
          <cell r="G3593" t="str">
            <v>AUTOMOTIVO</v>
          </cell>
        </row>
        <row r="3594">
          <cell r="A3594">
            <v>23187</v>
          </cell>
          <cell r="B3594" t="str">
            <v>STANDOBLUE MIX 135 ALUMINIO DOLAR FINO AXALTA-24,45-ST</v>
          </cell>
          <cell r="C3594" t="str">
            <v>T01358842/1S</v>
          </cell>
          <cell r="D3594" t="str">
            <v>AXALTA</v>
          </cell>
          <cell r="E3594">
            <v>20031</v>
          </cell>
          <cell r="F3594" t="str">
            <v>BASES POLIÉSTER</v>
          </cell>
          <cell r="G3594" t="str">
            <v>AUTOMOTIVO</v>
          </cell>
        </row>
        <row r="3595">
          <cell r="A3595">
            <v>23188</v>
          </cell>
          <cell r="B3595" t="str">
            <v>STANDOBLUE MIX 136 ALUMINIO DOLAR AXALTA-24,45-ST</v>
          </cell>
          <cell r="C3595" t="str">
            <v>T01368842/1S</v>
          </cell>
          <cell r="D3595" t="str">
            <v>AXALTA</v>
          </cell>
          <cell r="E3595">
            <v>20031</v>
          </cell>
          <cell r="F3595" t="str">
            <v>BASES POLIÉSTER</v>
          </cell>
          <cell r="G3595" t="str">
            <v>AUTOMOTIVO</v>
          </cell>
        </row>
        <row r="3596">
          <cell r="A3596">
            <v>23195</v>
          </cell>
          <cell r="B3596" t="str">
            <v>STANDOBLUE MIX 137 ALUMINIO EXTRA GRAUDO AXALTA-24,45-ST</v>
          </cell>
          <cell r="C3596" t="str">
            <v>T01378842/40</v>
          </cell>
          <cell r="D3596" t="str">
            <v>AXALTA</v>
          </cell>
          <cell r="E3596">
            <v>20031</v>
          </cell>
          <cell r="F3596" t="str">
            <v>BASES POLIÉSTER</v>
          </cell>
          <cell r="G3596" t="str">
            <v>AUTOMOTIVO</v>
          </cell>
        </row>
        <row r="3597">
          <cell r="A3597">
            <v>23197</v>
          </cell>
          <cell r="B3597" t="str">
            <v>STANDOBLUE MIX 140 SILVERDOLLAR BRIGHT F AXALTA</v>
          </cell>
          <cell r="C3597" t="str">
            <v>T01408842/40</v>
          </cell>
          <cell r="D3597" t="str">
            <v>AXALTA</v>
          </cell>
          <cell r="E3597">
            <v>20031</v>
          </cell>
          <cell r="F3597" t="str">
            <v>BASES POLIÉSTER</v>
          </cell>
          <cell r="G3597" t="str">
            <v>AUTOMOTIVO</v>
          </cell>
        </row>
        <row r="3598">
          <cell r="A3598">
            <v>23198</v>
          </cell>
          <cell r="B3598" t="str">
            <v>STANDOBLUE MIX 141 SILVERDOLLAR BRIGHT C AXALTA</v>
          </cell>
          <cell r="C3598" t="str">
            <v>T01418842/40</v>
          </cell>
          <cell r="D3598" t="str">
            <v>AXALTA</v>
          </cell>
          <cell r="E3598">
            <v>20031</v>
          </cell>
          <cell r="F3598" t="str">
            <v>BASES POLIÉSTER</v>
          </cell>
          <cell r="G3598" t="str">
            <v>AUTOMOTIVO</v>
          </cell>
        </row>
        <row r="3599">
          <cell r="A3599">
            <v>23199</v>
          </cell>
          <cell r="B3599" t="str">
            <v>STANDOBLUE MIX 148 PRETO INTENSO AXALTA-24,45-ST</v>
          </cell>
          <cell r="C3599" t="str">
            <v>T01488742/40</v>
          </cell>
          <cell r="D3599" t="str">
            <v>AXALTA</v>
          </cell>
          <cell r="E3599">
            <v>20031</v>
          </cell>
          <cell r="F3599" t="str">
            <v>BASES POLIÉSTER</v>
          </cell>
          <cell r="G3599" t="str">
            <v>AUTOMOTIVO</v>
          </cell>
        </row>
        <row r="3600">
          <cell r="A3600">
            <v>23239</v>
          </cell>
          <cell r="B3600" t="str">
            <v>STANDOBLUE MIX 151 BRANCO AXALTA-24,45-ST</v>
          </cell>
          <cell r="C3600" t="str">
            <v>T01518142/40</v>
          </cell>
          <cell r="D3600" t="str">
            <v>AXALTA</v>
          </cell>
          <cell r="E3600">
            <v>20031</v>
          </cell>
          <cell r="F3600" t="str">
            <v>BASES POLIÉSTER</v>
          </cell>
          <cell r="G3600" t="str">
            <v>AUTOMOTIVO</v>
          </cell>
        </row>
        <row r="3601">
          <cell r="A3601">
            <v>23189</v>
          </cell>
          <cell r="B3601" t="str">
            <v>STANDOBLUE MIX 152 PRETO AXALTA</v>
          </cell>
          <cell r="C3601" t="str">
            <v>T01528742/1S</v>
          </cell>
          <cell r="D3601" t="str">
            <v>AXALTA</v>
          </cell>
          <cell r="E3601">
            <v>20031</v>
          </cell>
          <cell r="F3601" t="str">
            <v>BASES POLIÉSTER</v>
          </cell>
          <cell r="G3601" t="str">
            <v>AUTOMOTIVO</v>
          </cell>
        </row>
        <row r="3602">
          <cell r="A3602">
            <v>23228</v>
          </cell>
          <cell r="B3602" t="str">
            <v>STANDOBLUE MIX 153 AMARELO DOURADO AXALTA</v>
          </cell>
          <cell r="C3602" t="str">
            <v>T01538242/4A</v>
          </cell>
          <cell r="D3602" t="str">
            <v>AXALTA</v>
          </cell>
          <cell r="E3602">
            <v>20031</v>
          </cell>
          <cell r="F3602" t="str">
            <v>BASES POLIÉSTER</v>
          </cell>
          <cell r="G3602" t="str">
            <v>AUTOMOTIVO</v>
          </cell>
        </row>
        <row r="3603">
          <cell r="A3603">
            <v>23236</v>
          </cell>
          <cell r="B3603" t="str">
            <v>STANDOBLUE MIX 156 OCRE AXALTA</v>
          </cell>
          <cell r="C3603" t="str">
            <v>T01568242/4C</v>
          </cell>
          <cell r="D3603" t="str">
            <v>AXALTA</v>
          </cell>
          <cell r="E3603">
            <v>20031</v>
          </cell>
          <cell r="F3603" t="str">
            <v>BASES POLIÉSTER</v>
          </cell>
          <cell r="G3603" t="str">
            <v>AUTOMOTIVO</v>
          </cell>
        </row>
        <row r="3604">
          <cell r="A3604">
            <v>23231</v>
          </cell>
          <cell r="B3604" t="str">
            <v>STANDOBLUE MIX 157 AMARELO BRILHANTE AXALTA</v>
          </cell>
          <cell r="C3604" t="str">
            <v>T01578241/4C</v>
          </cell>
          <cell r="D3604" t="str">
            <v>AXALTA</v>
          </cell>
          <cell r="E3604">
            <v>20031</v>
          </cell>
          <cell r="F3604" t="str">
            <v>BASES POLIÉSTER</v>
          </cell>
          <cell r="G3604" t="str">
            <v>AUTOMOTIVO</v>
          </cell>
        </row>
        <row r="3605">
          <cell r="A3605">
            <v>23234</v>
          </cell>
          <cell r="B3605" t="str">
            <v>STANDOBLUE MIX 161 VERMELHO OXIDO AXALTA</v>
          </cell>
          <cell r="C3605" t="str">
            <v>T01618642/4C</v>
          </cell>
          <cell r="D3605" t="str">
            <v>AXALTA</v>
          </cell>
          <cell r="E3605">
            <v>20031</v>
          </cell>
          <cell r="F3605" t="str">
            <v>BASES POLIÉSTER</v>
          </cell>
          <cell r="G3605" t="str">
            <v>AUTOMOTIVO</v>
          </cell>
        </row>
        <row r="3606">
          <cell r="A3606">
            <v>23159</v>
          </cell>
          <cell r="B3606" t="str">
            <v>STANDOBLUE MIX 164 MARROM BRILHANTE AXALTA</v>
          </cell>
          <cell r="C3606" t="str">
            <v>T01648642/4C</v>
          </cell>
          <cell r="D3606" t="str">
            <v>AXALTA</v>
          </cell>
          <cell r="E3606">
            <v>20031</v>
          </cell>
          <cell r="F3606" t="str">
            <v>BASES POLIÉSTER</v>
          </cell>
          <cell r="G3606" t="str">
            <v>AUTOMOTIVO</v>
          </cell>
        </row>
        <row r="3607">
          <cell r="A3607">
            <v>23160</v>
          </cell>
          <cell r="B3607" t="str">
            <v>STANDOBLUE MIX 165 VERMELHO BRILHANTE AXALTA</v>
          </cell>
          <cell r="C3607" t="str">
            <v>T01658342/4C</v>
          </cell>
          <cell r="D3607" t="str">
            <v>AXALTA</v>
          </cell>
          <cell r="E3607">
            <v>20031</v>
          </cell>
          <cell r="F3607" t="str">
            <v>BASES POLIÉSTER</v>
          </cell>
          <cell r="G3607" t="str">
            <v>AUTOMOTIVO</v>
          </cell>
        </row>
        <row r="3608">
          <cell r="A3608">
            <v>23161</v>
          </cell>
          <cell r="B3608" t="str">
            <v>STANDOBLUE MIX 166 VERMELHO AXALTA</v>
          </cell>
          <cell r="C3608" t="str">
            <v>T01668342/4C</v>
          </cell>
          <cell r="D3608" t="str">
            <v>AXALTA</v>
          </cell>
          <cell r="E3608">
            <v>20031</v>
          </cell>
          <cell r="F3608" t="str">
            <v>BASES POLIÉSTER</v>
          </cell>
          <cell r="G3608" t="str">
            <v>AUTOMOTIVO</v>
          </cell>
        </row>
        <row r="3609">
          <cell r="A3609">
            <v>23162</v>
          </cell>
          <cell r="B3609" t="str">
            <v>STANDOBLUE MIX 167 VERMELHO ESCURO AXALTA</v>
          </cell>
          <cell r="C3609" t="str">
            <v>T01678342/4C</v>
          </cell>
          <cell r="D3609" t="str">
            <v>AXALTA</v>
          </cell>
          <cell r="E3609">
            <v>20031</v>
          </cell>
          <cell r="F3609" t="str">
            <v>BASES POLIÉSTER</v>
          </cell>
          <cell r="G3609" t="str">
            <v>AUTOMOTIVO</v>
          </cell>
        </row>
        <row r="3610">
          <cell r="A3610">
            <v>23163</v>
          </cell>
          <cell r="B3610" t="str">
            <v>STANDOBLUE MIX 168 MAGENTA AXALTA-24,45-ST</v>
          </cell>
          <cell r="C3610" t="str">
            <v>T01688342/4C</v>
          </cell>
          <cell r="D3610" t="str">
            <v>AXALTA</v>
          </cell>
          <cell r="E3610">
            <v>20031</v>
          </cell>
          <cell r="F3610" t="str">
            <v>BASES POLIÉSTER</v>
          </cell>
          <cell r="G3610" t="str">
            <v>AUTOMOTIVO</v>
          </cell>
        </row>
        <row r="3611">
          <cell r="A3611">
            <v>23164</v>
          </cell>
          <cell r="B3611" t="str">
            <v>STANDOBLUE MIX 169 ROXO AXALTA-24,45-ST</v>
          </cell>
          <cell r="C3611" t="str">
            <v>T01698442/4C</v>
          </cell>
          <cell r="D3611" t="str">
            <v>AXALTA</v>
          </cell>
          <cell r="E3611">
            <v>20031</v>
          </cell>
          <cell r="F3611" t="str">
            <v>BASES POLIÉSTER</v>
          </cell>
          <cell r="G3611" t="str">
            <v>AUTOMOTIVO</v>
          </cell>
        </row>
        <row r="3612">
          <cell r="A3612">
            <v>23165</v>
          </cell>
          <cell r="B3612" t="str">
            <v>STANDOBLUE MIX 170 VIOLETA AXALTA</v>
          </cell>
          <cell r="C3612" t="str">
            <v>T01708442/4C</v>
          </cell>
          <cell r="D3612" t="str">
            <v>AXALTA</v>
          </cell>
          <cell r="E3612">
            <v>20031</v>
          </cell>
          <cell r="F3612" t="str">
            <v>BASES POLIÉSTER</v>
          </cell>
          <cell r="G3612" t="str">
            <v>AUTOMOTIVO</v>
          </cell>
        </row>
        <row r="3613">
          <cell r="A3613">
            <v>23166</v>
          </cell>
          <cell r="B3613" t="str">
            <v>STANDOBLUE MIX 171 AZUL OCEANO AXALTA</v>
          </cell>
          <cell r="C3613" t="str">
            <v>T01718442/4C</v>
          </cell>
          <cell r="D3613" t="str">
            <v>AXALTA</v>
          </cell>
          <cell r="E3613">
            <v>20031</v>
          </cell>
          <cell r="F3613" t="str">
            <v>BASES POLIÉSTER</v>
          </cell>
          <cell r="G3613" t="str">
            <v>AUTOMOTIVO</v>
          </cell>
        </row>
        <row r="3614">
          <cell r="A3614">
            <v>23167</v>
          </cell>
          <cell r="B3614" t="str">
            <v>STANDOBLUE MIX 172 AZUL AXALTA</v>
          </cell>
          <cell r="C3614" t="str">
            <v>T01728442/4C</v>
          </cell>
          <cell r="D3614" t="str">
            <v>AXALTA</v>
          </cell>
          <cell r="E3614">
            <v>20031</v>
          </cell>
          <cell r="F3614" t="str">
            <v>BASES POLIÉSTER</v>
          </cell>
          <cell r="G3614" t="str">
            <v>AUTOMOTIVO</v>
          </cell>
        </row>
        <row r="3615">
          <cell r="A3615">
            <v>23147</v>
          </cell>
          <cell r="B3615" t="str">
            <v>STANDOBLUE MIX 175 AZUL TURQUESA AXALTA</v>
          </cell>
          <cell r="C3615" t="str">
            <v>T01758442/40</v>
          </cell>
          <cell r="D3615" t="str">
            <v>AXALTA</v>
          </cell>
          <cell r="E3615">
            <v>20031</v>
          </cell>
          <cell r="F3615" t="str">
            <v>BASES POLIÉSTER</v>
          </cell>
          <cell r="G3615" t="str">
            <v>AUTOMOTIVO</v>
          </cell>
        </row>
        <row r="3616">
          <cell r="A3616">
            <v>23174</v>
          </cell>
          <cell r="B3616" t="str">
            <v>STANDOBLUE MIX 186 LARANJA BRILHANTE AXALTA</v>
          </cell>
          <cell r="C3616" t="str">
            <v>T01868342/4C</v>
          </cell>
          <cell r="D3616" t="str">
            <v>AXALTA</v>
          </cell>
          <cell r="E3616">
            <v>20031</v>
          </cell>
          <cell r="F3616" t="str">
            <v>BASES POLIÉSTER</v>
          </cell>
          <cell r="G3616" t="str">
            <v>AUTOMOTIVO</v>
          </cell>
        </row>
        <row r="3617">
          <cell r="A3617">
            <v>23149</v>
          </cell>
          <cell r="B3617" t="str">
            <v>STANDOBLUE MIX 188 SILVERDOLLAR ULTRA F AXALTA</v>
          </cell>
          <cell r="C3617" t="str">
            <v>T01888842/40</v>
          </cell>
          <cell r="D3617" t="str">
            <v>AXALTA</v>
          </cell>
          <cell r="E3617">
            <v>20031</v>
          </cell>
          <cell r="F3617" t="str">
            <v>BASES POLIÉSTER</v>
          </cell>
          <cell r="G3617" t="str">
            <v>AUTOMOTIVO</v>
          </cell>
        </row>
        <row r="3618">
          <cell r="A3618">
            <v>23175</v>
          </cell>
          <cell r="B3618" t="str">
            <v>STANDOBLUE MIX 189 VERMELHO CEREJA AXALTA</v>
          </cell>
          <cell r="C3618" t="str">
            <v>T01898342/4C</v>
          </cell>
          <cell r="D3618" t="str">
            <v>AXALTA</v>
          </cell>
          <cell r="E3618">
            <v>20031</v>
          </cell>
          <cell r="F3618" t="str">
            <v>BASES POLIÉSTER</v>
          </cell>
          <cell r="G3618" t="str">
            <v>AUTOMOTIVO</v>
          </cell>
        </row>
        <row r="3619">
          <cell r="A3619">
            <v>23143</v>
          </cell>
          <cell r="B3619" t="str">
            <v>STANDOBLUE MIX 190 ADITIVO ESPECIAL 3,5L AXALTA</v>
          </cell>
          <cell r="C3619" t="str">
            <v>T01909000/1S</v>
          </cell>
          <cell r="D3619" t="str">
            <v>AXALTA</v>
          </cell>
          <cell r="E3619">
            <v>20031</v>
          </cell>
          <cell r="F3619" t="str">
            <v>BASES POLIÉSTER</v>
          </cell>
          <cell r="G3619" t="str">
            <v>AUTOMOTIVO</v>
          </cell>
        </row>
        <row r="3620">
          <cell r="A3620">
            <v>23144</v>
          </cell>
          <cell r="B3620" t="str">
            <v>STANDOBLUE MIX 191 TRANSPARENTE AXALTA</v>
          </cell>
          <cell r="C3620" t="str">
            <v>T01919000/1S</v>
          </cell>
          <cell r="D3620" t="str">
            <v>AXALTA</v>
          </cell>
          <cell r="E3620">
            <v>20031</v>
          </cell>
          <cell r="F3620" t="str">
            <v>BASES POLIÉSTER</v>
          </cell>
          <cell r="G3620" t="str">
            <v>AUTOMOTIVO</v>
          </cell>
        </row>
        <row r="3621">
          <cell r="A3621">
            <v>23145</v>
          </cell>
          <cell r="B3621" t="str">
            <v>STANDOBLUE VISCOSITY ADJUSTER SLOW AXALTA-24,45-ST</v>
          </cell>
          <cell r="C3621" t="str">
            <v>T03012000/1S</v>
          </cell>
          <cell r="D3621" t="str">
            <v>AXALTA</v>
          </cell>
          <cell r="E3621">
            <v>20031</v>
          </cell>
          <cell r="F3621" t="str">
            <v>BASES POLIÉSTER</v>
          </cell>
          <cell r="G3621" t="str">
            <v>AUTOMOTIVO</v>
          </cell>
        </row>
        <row r="3622">
          <cell r="A3622">
            <v>24062</v>
          </cell>
          <cell r="B3622" t="str">
            <v>THINNER TH700 P/ PU/POLIESTER 18L SKY</v>
          </cell>
          <cell r="C3622" t="str">
            <v>150TH7000125</v>
          </cell>
          <cell r="D3622" t="str">
            <v>SKY</v>
          </cell>
          <cell r="E3622">
            <v>20031</v>
          </cell>
          <cell r="F3622" t="str">
            <v>BASES POLIÉSTER</v>
          </cell>
          <cell r="G3622" t="str">
            <v>AUTOMOTIVO</v>
          </cell>
        </row>
        <row r="3623">
          <cell r="A3623">
            <v>20790</v>
          </cell>
          <cell r="B3623" t="str">
            <v>ULTRABASE PEROLA BRONZE BRILHANTE HS783-21,95-ST</v>
          </cell>
          <cell r="C3623" t="str">
            <v>7721HS783</v>
          </cell>
          <cell r="D3623" t="str">
            <v>SHERWIN WILLIAMS</v>
          </cell>
          <cell r="E3623">
            <v>20031</v>
          </cell>
          <cell r="F3623" t="str">
            <v>BASES POLIÉSTER</v>
          </cell>
          <cell r="G3623" t="str">
            <v>AUTOMOTIVO</v>
          </cell>
        </row>
        <row r="3624">
          <cell r="A3624">
            <v>20789</v>
          </cell>
          <cell r="B3624" t="str">
            <v>ULTRABASE PEROLA CRISTAL HS782-23,62-ST</v>
          </cell>
          <cell r="C3624" t="str">
            <v>77.21.HS782-092</v>
          </cell>
          <cell r="D3624" t="str">
            <v>SHERWIN WILLIAMS</v>
          </cell>
          <cell r="E3624">
            <v>20031</v>
          </cell>
          <cell r="F3624" t="str">
            <v>BASES POLIÉSTER</v>
          </cell>
          <cell r="G3624" t="str">
            <v>AUTOMOTIVO</v>
          </cell>
        </row>
        <row r="3625">
          <cell r="A3625">
            <v>20791</v>
          </cell>
          <cell r="B3625" t="str">
            <v>ULTRABASE PEROLA DOURADA BRILHANTE-21,95-ST</v>
          </cell>
          <cell r="C3625" t="str">
            <v>77.21.HS784-092</v>
          </cell>
          <cell r="D3625" t="str">
            <v>SHERWIN WILLIAMS</v>
          </cell>
          <cell r="E3625">
            <v>20031</v>
          </cell>
          <cell r="F3625" t="str">
            <v>BASES POLIÉSTER</v>
          </cell>
          <cell r="G3625" t="str">
            <v>AUTOMOTIVO</v>
          </cell>
        </row>
        <row r="3626">
          <cell r="A3626">
            <v>9859</v>
          </cell>
          <cell r="B3626" t="str">
            <v>WANDABASE MM 1990 CONTROLE UNIVERSAL DE EFEITO 0,9L-21,46-ST</v>
          </cell>
          <cell r="C3626">
            <v>391718</v>
          </cell>
          <cell r="D3626" t="str">
            <v>WANDA</v>
          </cell>
          <cell r="E3626">
            <v>20031</v>
          </cell>
          <cell r="F3626" t="str">
            <v>BASES POLIÉSTER</v>
          </cell>
          <cell r="G3626" t="str">
            <v>AUTOMOTIVO</v>
          </cell>
        </row>
        <row r="3627">
          <cell r="A3627">
            <v>23398</v>
          </cell>
          <cell r="B3627" t="str">
            <v>WANDABASE MM 1991 CONTROLE DE EFEITO METALICO 0,9 L-21,67-ST</v>
          </cell>
          <cell r="C3627">
            <v>529638</v>
          </cell>
          <cell r="D3627" t="str">
            <v>WANDA</v>
          </cell>
          <cell r="E3627">
            <v>20031</v>
          </cell>
          <cell r="F3627" t="str">
            <v>BASES POLIÉSTER</v>
          </cell>
          <cell r="G3627" t="str">
            <v>AUTOMOTIVO</v>
          </cell>
        </row>
        <row r="3628">
          <cell r="A3628">
            <v>9860</v>
          </cell>
          <cell r="B3628" t="str">
            <v>WANDABASE MM 2000 BINDER 18L-21,45-ST</v>
          </cell>
          <cell r="C3628">
            <v>529639</v>
          </cell>
          <cell r="D3628" t="str">
            <v>WANDA</v>
          </cell>
          <cell r="E3628">
            <v>20031</v>
          </cell>
          <cell r="F3628" t="str">
            <v>BASES POLIÉSTER</v>
          </cell>
          <cell r="G3628" t="str">
            <v>AUTOMOTIVO</v>
          </cell>
        </row>
        <row r="3629">
          <cell r="A3629">
            <v>20312</v>
          </cell>
          <cell r="B3629" t="str">
            <v>WANDABASE MM 2000 BINDER 3,6L-21,67-ST</v>
          </cell>
          <cell r="C3629">
            <v>391719</v>
          </cell>
          <cell r="D3629" t="str">
            <v>WANDA</v>
          </cell>
          <cell r="E3629">
            <v>20031</v>
          </cell>
          <cell r="F3629" t="str">
            <v>BASES POLIÉSTER</v>
          </cell>
          <cell r="G3629" t="str">
            <v>AUTOMOTIVO</v>
          </cell>
        </row>
        <row r="3630">
          <cell r="A3630">
            <v>9861</v>
          </cell>
          <cell r="B3630" t="str">
            <v>WANDABASE MM 2001 ALUMINIO FINO 3,6L-21,46-ST</v>
          </cell>
          <cell r="C3630">
            <v>391720</v>
          </cell>
          <cell r="D3630" t="str">
            <v>WANDA</v>
          </cell>
          <cell r="E3630">
            <v>20031</v>
          </cell>
          <cell r="F3630" t="str">
            <v>BASES POLIÉSTER</v>
          </cell>
          <cell r="G3630" t="str">
            <v>AUTOMOTIVO</v>
          </cell>
        </row>
        <row r="3631">
          <cell r="A3631">
            <v>9863</v>
          </cell>
          <cell r="B3631" t="str">
            <v>WANDABASE MM 2003 ALUMINIO GRAUDO 0,9L-21,45-ST</v>
          </cell>
          <cell r="C3631">
            <v>391721</v>
          </cell>
          <cell r="D3631" t="str">
            <v>WANDA</v>
          </cell>
          <cell r="E3631">
            <v>20031</v>
          </cell>
          <cell r="F3631" t="str">
            <v>BASES POLIÉSTER</v>
          </cell>
          <cell r="G3631" t="str">
            <v>AUTOMOTIVO</v>
          </cell>
        </row>
        <row r="3632">
          <cell r="A3632">
            <v>20114</v>
          </cell>
          <cell r="B3632" t="str">
            <v>WANDABASE MM 2004 ALUMINIO BRILHANTE 3,6L-21,67-ST</v>
          </cell>
          <cell r="C3632">
            <v>389732</v>
          </cell>
          <cell r="D3632" t="str">
            <v>WANDA</v>
          </cell>
          <cell r="E3632">
            <v>20031</v>
          </cell>
          <cell r="F3632" t="str">
            <v>BASES POLIÉSTER</v>
          </cell>
          <cell r="G3632" t="str">
            <v>AUTOMOTIVO</v>
          </cell>
        </row>
        <row r="3633">
          <cell r="A3633">
            <v>9865</v>
          </cell>
          <cell r="B3633" t="str">
            <v>WANDABASE MM 2005 ALUMINIO DOURADO 0,9L-21,67-ST</v>
          </cell>
          <cell r="C3633">
            <v>391723</v>
          </cell>
          <cell r="D3633" t="str">
            <v>WANDA</v>
          </cell>
          <cell r="E3633">
            <v>20031</v>
          </cell>
          <cell r="F3633" t="str">
            <v>BASES POLIÉSTER</v>
          </cell>
          <cell r="G3633" t="str">
            <v>AUTOMOTIVO</v>
          </cell>
        </row>
        <row r="3634">
          <cell r="A3634">
            <v>21250</v>
          </cell>
          <cell r="B3634" t="str">
            <v>WANDABASE MM 2006 ALUMINIO MEDIO/FINO 3,6L-21,67-ST</v>
          </cell>
          <cell r="C3634">
            <v>484326</v>
          </cell>
          <cell r="D3634" t="str">
            <v>WANDA</v>
          </cell>
          <cell r="E3634">
            <v>20031</v>
          </cell>
          <cell r="F3634" t="str">
            <v>BASES POLIÉSTER</v>
          </cell>
          <cell r="G3634" t="str">
            <v>AUTOMOTIVO</v>
          </cell>
        </row>
        <row r="3635">
          <cell r="A3635">
            <v>9867</v>
          </cell>
          <cell r="B3635" t="str">
            <v>WANDABASE MM 2007 ALUMINIO MEDIO II 3,6L-21,46-ST</v>
          </cell>
          <cell r="C3635">
            <v>391725</v>
          </cell>
          <cell r="D3635" t="str">
            <v>WANDA</v>
          </cell>
          <cell r="E3635">
            <v>20031</v>
          </cell>
          <cell r="F3635" t="str">
            <v>BASES POLIÉSTER</v>
          </cell>
          <cell r="G3635" t="str">
            <v>AUTOMOTIVO</v>
          </cell>
        </row>
        <row r="3636">
          <cell r="A3636">
            <v>9868</v>
          </cell>
          <cell r="B3636" t="str">
            <v>WANDABASE MM 2008 ALUMINIO GR. BRILHANTE 0,9L-21,46-ST</v>
          </cell>
          <cell r="C3636">
            <v>391726</v>
          </cell>
          <cell r="D3636" t="str">
            <v>WANDA</v>
          </cell>
          <cell r="E3636">
            <v>20031</v>
          </cell>
          <cell r="F3636" t="str">
            <v>BASES POLIÉSTER</v>
          </cell>
          <cell r="G3636" t="str">
            <v>AUTOMOTIVO</v>
          </cell>
        </row>
        <row r="3637">
          <cell r="A3637">
            <v>9869</v>
          </cell>
          <cell r="B3637" t="str">
            <v>WANDABASE MM 2009 ALUMINIO EXTRA FINO 0,9L-21,46-ST</v>
          </cell>
          <cell r="C3637">
            <v>391727</v>
          </cell>
          <cell r="D3637" t="str">
            <v>WANDA</v>
          </cell>
          <cell r="E3637">
            <v>20031</v>
          </cell>
          <cell r="F3637" t="str">
            <v>BASES POLIÉSTER</v>
          </cell>
          <cell r="G3637" t="str">
            <v>AUTOMOTIVO</v>
          </cell>
        </row>
        <row r="3638">
          <cell r="A3638">
            <v>9870</v>
          </cell>
          <cell r="B3638" t="str">
            <v>WANDABASE MM 2100 BRANCO 0,9L-21,46-ST</v>
          </cell>
          <cell r="C3638">
            <v>391728</v>
          </cell>
          <cell r="D3638" t="str">
            <v>WANDA</v>
          </cell>
          <cell r="E3638">
            <v>20031</v>
          </cell>
          <cell r="F3638" t="str">
            <v>BASES POLIÉSTER</v>
          </cell>
          <cell r="G3638" t="str">
            <v>AUTOMOTIVO</v>
          </cell>
        </row>
        <row r="3639">
          <cell r="A3639">
            <v>9871</v>
          </cell>
          <cell r="B3639" t="str">
            <v>WANDABASE MM 2102 BRANCO TR. II 0,9L-21,46-ST</v>
          </cell>
          <cell r="C3639">
            <v>391729</v>
          </cell>
          <cell r="D3639" t="str">
            <v>WANDA</v>
          </cell>
          <cell r="E3639">
            <v>20031</v>
          </cell>
          <cell r="F3639" t="str">
            <v>BASES POLIÉSTER</v>
          </cell>
          <cell r="G3639" t="str">
            <v>AUTOMOTIVO</v>
          </cell>
        </row>
        <row r="3640">
          <cell r="A3640">
            <v>9872</v>
          </cell>
          <cell r="B3640" t="str">
            <v>WANDABASE MM 2200 MARROM TR. 0,9L-21,67-ST</v>
          </cell>
          <cell r="C3640">
            <v>391730</v>
          </cell>
          <cell r="D3640" t="str">
            <v>WANDA</v>
          </cell>
          <cell r="E3640">
            <v>20031</v>
          </cell>
          <cell r="F3640" t="str">
            <v>BASES POLIÉSTER</v>
          </cell>
          <cell r="G3640" t="str">
            <v>AUTOMOTIVO</v>
          </cell>
        </row>
        <row r="3641">
          <cell r="A3641">
            <v>9873</v>
          </cell>
          <cell r="B3641" t="str">
            <v>WANDABASE MM 2203 VERMELHO VINHO TR. 3,6L-21,67-ST</v>
          </cell>
          <cell r="C3641">
            <v>391731</v>
          </cell>
          <cell r="D3641" t="str">
            <v>WANDA</v>
          </cell>
          <cell r="E3641">
            <v>20031</v>
          </cell>
          <cell r="F3641" t="str">
            <v>BASES POLIÉSTER</v>
          </cell>
          <cell r="G3641" t="str">
            <v>AUTOMOTIVO</v>
          </cell>
        </row>
        <row r="3642">
          <cell r="A3642">
            <v>9874</v>
          </cell>
          <cell r="B3642" t="str">
            <v>WANDABASE MM 2232 VERMELHO ALARANJADO TRANSPARENTE 0,9L-21,67-ST</v>
          </cell>
          <cell r="C3642">
            <v>391732</v>
          </cell>
          <cell r="D3642" t="str">
            <v>WANDA</v>
          </cell>
          <cell r="E3642">
            <v>20031</v>
          </cell>
          <cell r="F3642" t="str">
            <v>BASES POLIÉSTER</v>
          </cell>
          <cell r="G3642" t="str">
            <v>AUTOMOTIVO</v>
          </cell>
        </row>
        <row r="3643">
          <cell r="A3643">
            <v>9875</v>
          </cell>
          <cell r="B3643" t="str">
            <v>WANDABASE MM 2233 VERMELHO OXIDO 0,9L-21,67-ST</v>
          </cell>
          <cell r="C3643">
            <v>391733</v>
          </cell>
          <cell r="D3643" t="str">
            <v>WANDA</v>
          </cell>
          <cell r="E3643">
            <v>20031</v>
          </cell>
          <cell r="F3643" t="str">
            <v>BASES POLIÉSTER</v>
          </cell>
          <cell r="G3643" t="str">
            <v>AUTOMOTIVO</v>
          </cell>
        </row>
        <row r="3644">
          <cell r="A3644">
            <v>9876</v>
          </cell>
          <cell r="B3644" t="str">
            <v>WANDABASE MM 2236 VERMELHO LIMPO 3,6L-21,46-ST</v>
          </cell>
          <cell r="C3644">
            <v>391734</v>
          </cell>
          <cell r="D3644" t="str">
            <v>WANDA</v>
          </cell>
          <cell r="E3644">
            <v>20031</v>
          </cell>
          <cell r="F3644" t="str">
            <v>BASES POLIÉSTER</v>
          </cell>
          <cell r="G3644" t="str">
            <v>AUTOMOTIVO</v>
          </cell>
        </row>
        <row r="3645">
          <cell r="A3645">
            <v>9877</v>
          </cell>
          <cell r="B3645" t="str">
            <v>WANDABASE MM 2244 VERMELHO OXIDO TR. 3,6L-21,46-ST</v>
          </cell>
          <cell r="C3645">
            <v>391735</v>
          </cell>
          <cell r="D3645" t="str">
            <v>WANDA</v>
          </cell>
          <cell r="E3645">
            <v>20031</v>
          </cell>
          <cell r="F3645" t="str">
            <v>BASES POLIÉSTER</v>
          </cell>
          <cell r="G3645" t="str">
            <v>AUTOMOTIVO</v>
          </cell>
        </row>
        <row r="3646">
          <cell r="A3646">
            <v>9878</v>
          </cell>
          <cell r="B3646" t="str">
            <v>WANDABASE MM 2246 LARANJA II 0,9L-21,46-ST</v>
          </cell>
          <cell r="C3646">
            <v>391736</v>
          </cell>
          <cell r="D3646" t="str">
            <v>WANDA</v>
          </cell>
          <cell r="E3646">
            <v>20031</v>
          </cell>
          <cell r="F3646" t="str">
            <v>BASES POLIÉSTER</v>
          </cell>
          <cell r="G3646" t="str">
            <v>AUTOMOTIVO</v>
          </cell>
        </row>
        <row r="3647">
          <cell r="A3647">
            <v>9882</v>
          </cell>
          <cell r="B3647" t="str">
            <v>WANDABASE MM 2276 ROSA TR. II 0,9L-21,46-ST</v>
          </cell>
          <cell r="C3647">
            <v>391738</v>
          </cell>
          <cell r="D3647" t="str">
            <v>WANDA</v>
          </cell>
          <cell r="E3647">
            <v>20031</v>
          </cell>
          <cell r="F3647" t="str">
            <v>BASES POLIÉSTER</v>
          </cell>
          <cell r="G3647" t="str">
            <v>AUTOMOTIVO</v>
          </cell>
        </row>
        <row r="3648">
          <cell r="A3648">
            <v>9883</v>
          </cell>
          <cell r="B3648" t="str">
            <v>WANDABASE MM 2400 AMARELO TR. 0,9L-21,46-ST</v>
          </cell>
          <cell r="C3648">
            <v>391739</v>
          </cell>
          <cell r="D3648" t="str">
            <v>WANDA</v>
          </cell>
          <cell r="E3648">
            <v>20031</v>
          </cell>
          <cell r="F3648" t="str">
            <v>BASES POLIÉSTER</v>
          </cell>
          <cell r="G3648" t="str">
            <v>AUTOMOTIVO</v>
          </cell>
        </row>
        <row r="3649">
          <cell r="A3649">
            <v>9884</v>
          </cell>
          <cell r="B3649" t="str">
            <v>WANDABASE MM 2434 AMARELO OXIDO 0,9L-21,46-ST</v>
          </cell>
          <cell r="C3649">
            <v>391740</v>
          </cell>
          <cell r="D3649" t="str">
            <v>WANDA</v>
          </cell>
          <cell r="E3649">
            <v>20031</v>
          </cell>
          <cell r="F3649" t="str">
            <v>BASES POLIÉSTER</v>
          </cell>
          <cell r="G3649" t="str">
            <v>AUTOMOTIVO</v>
          </cell>
        </row>
        <row r="3650">
          <cell r="A3650">
            <v>9885</v>
          </cell>
          <cell r="B3650" t="str">
            <v>WANDABASE MM 2435 AMARELO ALARANJADO TRANSPARENTE  0,9L-21,46-ST</v>
          </cell>
          <cell r="C3650">
            <v>391741</v>
          </cell>
          <cell r="D3650" t="str">
            <v>WANDA</v>
          </cell>
          <cell r="E3650">
            <v>20031</v>
          </cell>
          <cell r="F3650" t="str">
            <v>BASES POLIÉSTER</v>
          </cell>
          <cell r="G3650" t="str">
            <v>AUTOMOTIVO</v>
          </cell>
        </row>
        <row r="3651">
          <cell r="A3651">
            <v>9886</v>
          </cell>
          <cell r="B3651" t="str">
            <v>WANDABASE MM 2455 AMARELO ESVERDEADO TR. 0,9L-21,67-ST</v>
          </cell>
          <cell r="C3651">
            <v>391742</v>
          </cell>
          <cell r="D3651" t="str">
            <v>WANDA</v>
          </cell>
          <cell r="E3651">
            <v>20031</v>
          </cell>
          <cell r="F3651" t="str">
            <v>BASES POLIÉSTER</v>
          </cell>
          <cell r="G3651" t="str">
            <v>AUTOMOTIVO</v>
          </cell>
        </row>
        <row r="3652">
          <cell r="A3652">
            <v>9887</v>
          </cell>
          <cell r="B3652" t="str">
            <v>WANDABASE MM 2456 AMARELO ESVERDEADO 0,9L-21,45-ST</v>
          </cell>
          <cell r="C3652">
            <v>391743</v>
          </cell>
          <cell r="D3652" t="str">
            <v>WANDA</v>
          </cell>
          <cell r="E3652">
            <v>20031</v>
          </cell>
          <cell r="F3652" t="str">
            <v>BASES POLIÉSTER</v>
          </cell>
          <cell r="G3652" t="str">
            <v>AUTOMOTIVO</v>
          </cell>
        </row>
        <row r="3653">
          <cell r="A3653">
            <v>9888</v>
          </cell>
          <cell r="B3653" t="str">
            <v>WANDABASE MM 2457 AMARELO BRILHANTE 0,9L-21,45-ST</v>
          </cell>
          <cell r="C3653">
            <v>391744</v>
          </cell>
          <cell r="D3653" t="str">
            <v>WANDA</v>
          </cell>
          <cell r="E3653">
            <v>20031</v>
          </cell>
          <cell r="F3653" t="str">
            <v>BASES POLIÉSTER</v>
          </cell>
          <cell r="G3653" t="str">
            <v>AUTOMOTIVO</v>
          </cell>
        </row>
        <row r="3654">
          <cell r="A3654">
            <v>9889</v>
          </cell>
          <cell r="B3654" t="str">
            <v>WANDABASE MM 2545 VERDE AMARELADO TR. 3,6L-21,67-ST</v>
          </cell>
          <cell r="C3654">
            <v>391745</v>
          </cell>
          <cell r="D3654" t="str">
            <v>WANDA</v>
          </cell>
          <cell r="E3654">
            <v>20031</v>
          </cell>
          <cell r="F3654" t="str">
            <v>BASES POLIÉSTER</v>
          </cell>
          <cell r="G3654" t="str">
            <v>AUTOMOTIVO</v>
          </cell>
        </row>
        <row r="3655">
          <cell r="A3655">
            <v>9890</v>
          </cell>
          <cell r="B3655" t="str">
            <v>WANDABASE MM 2565 VERDE AZULADO TR. 0,9L-21,46-ST</v>
          </cell>
          <cell r="C3655">
            <v>391746</v>
          </cell>
          <cell r="D3655" t="str">
            <v>WANDA</v>
          </cell>
          <cell r="E3655">
            <v>20031</v>
          </cell>
          <cell r="F3655" t="str">
            <v>BASES POLIÉSTER</v>
          </cell>
          <cell r="G3655" t="str">
            <v>AUTOMOTIVO</v>
          </cell>
        </row>
        <row r="3656">
          <cell r="A3656">
            <v>21254</v>
          </cell>
          <cell r="B3656" t="str">
            <v>WANDABASE MM 2624 AZUL RUBIN TR. II 3,6L-21,45-ST</v>
          </cell>
          <cell r="C3656">
            <v>484302</v>
          </cell>
          <cell r="D3656" t="str">
            <v>WANDA</v>
          </cell>
          <cell r="E3656">
            <v>20031</v>
          </cell>
          <cell r="F3656" t="str">
            <v>BASES POLIÉSTER</v>
          </cell>
          <cell r="G3656" t="str">
            <v>AUTOMOTIVO</v>
          </cell>
        </row>
        <row r="3657">
          <cell r="A3657">
            <v>9892</v>
          </cell>
          <cell r="B3657" t="str">
            <v>WANDABASE MM 2654 AZUL BETA 0,9L-21,45-ST</v>
          </cell>
          <cell r="C3657">
            <v>391748</v>
          </cell>
          <cell r="D3657" t="str">
            <v>WANDA</v>
          </cell>
          <cell r="E3657">
            <v>20031</v>
          </cell>
          <cell r="F3657" t="str">
            <v>BASES POLIÉSTER</v>
          </cell>
          <cell r="G3657" t="str">
            <v>AUTOMOTIVO</v>
          </cell>
        </row>
        <row r="3658">
          <cell r="A3658">
            <v>9893</v>
          </cell>
          <cell r="B3658" t="str">
            <v>WANDABASE MM 2655 AZUL INTENSO 0,9L-21,46-ST</v>
          </cell>
          <cell r="C3658">
            <v>391749</v>
          </cell>
          <cell r="D3658" t="str">
            <v>WANDA</v>
          </cell>
          <cell r="E3658">
            <v>20031</v>
          </cell>
          <cell r="F3658" t="str">
            <v>BASES POLIÉSTER</v>
          </cell>
          <cell r="G3658" t="str">
            <v>AUTOMOTIVO</v>
          </cell>
        </row>
        <row r="3659">
          <cell r="A3659">
            <v>9894</v>
          </cell>
          <cell r="B3659" t="str">
            <v>WANDABASE MM 2670 AZUL PURPURA TRANSPARENTE 3,6L-21,46-ST</v>
          </cell>
          <cell r="C3659">
            <v>482029</v>
          </cell>
          <cell r="D3659" t="str">
            <v>WANDA</v>
          </cell>
          <cell r="E3659">
            <v>20031</v>
          </cell>
          <cell r="F3659" t="str">
            <v>BASES POLIÉSTER</v>
          </cell>
          <cell r="G3659" t="str">
            <v>AUTOMOTIVO</v>
          </cell>
        </row>
        <row r="3660">
          <cell r="A3660">
            <v>9895</v>
          </cell>
          <cell r="B3660" t="str">
            <v>WANDABASE MM 2700 VIOLETA TR. 0,9L-21,46-ST</v>
          </cell>
          <cell r="C3660">
            <v>391751</v>
          </cell>
          <cell r="D3660" t="str">
            <v>WANDA</v>
          </cell>
          <cell r="E3660">
            <v>20031</v>
          </cell>
          <cell r="F3660" t="str">
            <v>BASES POLIÉSTER</v>
          </cell>
          <cell r="G3660" t="str">
            <v>AUTOMOTIVO</v>
          </cell>
        </row>
        <row r="3661">
          <cell r="A3661">
            <v>9897</v>
          </cell>
          <cell r="B3661" t="str">
            <v>WANDABASE MM 2723 VIOLETA AVERMELHADO TR. II 3,6L-21,46-ST</v>
          </cell>
          <cell r="C3661">
            <v>391752</v>
          </cell>
          <cell r="D3661" t="str">
            <v>WANDA</v>
          </cell>
          <cell r="E3661">
            <v>20031</v>
          </cell>
          <cell r="F3661" t="str">
            <v>BASES POLIÉSTER</v>
          </cell>
          <cell r="G3661" t="str">
            <v>AUTOMOTIVO</v>
          </cell>
        </row>
        <row r="3662">
          <cell r="A3662">
            <v>9898</v>
          </cell>
          <cell r="B3662" t="str">
            <v>WANDABASE MM 2800 PRETO PROFUNDO 0,9L-21,45-ST</v>
          </cell>
          <cell r="C3662">
            <v>391753</v>
          </cell>
          <cell r="D3662" t="str">
            <v>WANDA</v>
          </cell>
          <cell r="E3662">
            <v>20031</v>
          </cell>
          <cell r="F3662" t="str">
            <v>BASES POLIÉSTER</v>
          </cell>
          <cell r="G3662" t="str">
            <v>AUTOMOTIVO</v>
          </cell>
        </row>
        <row r="3663">
          <cell r="A3663">
            <v>9899</v>
          </cell>
          <cell r="B3663" t="str">
            <v>WANDABASE MM 2840 PRETO 3,6L-21,46-ST</v>
          </cell>
          <cell r="C3663">
            <v>391754</v>
          </cell>
          <cell r="D3663" t="str">
            <v>WANDA</v>
          </cell>
          <cell r="E3663">
            <v>20031</v>
          </cell>
          <cell r="F3663" t="str">
            <v>BASES POLIÉSTER</v>
          </cell>
          <cell r="G3663" t="str">
            <v>AUTOMOTIVO</v>
          </cell>
        </row>
        <row r="3664">
          <cell r="A3664">
            <v>83843</v>
          </cell>
          <cell r="B3664" t="str">
            <v>WANDABASE MM 2850 PRETO AZULADO 3,6L-21,46-ST</v>
          </cell>
          <cell r="C3664">
            <v>567722</v>
          </cell>
          <cell r="D3664" t="str">
            <v>WANDA</v>
          </cell>
          <cell r="E3664">
            <v>20031</v>
          </cell>
          <cell r="F3664" t="str">
            <v>BASES POLIÉSTER</v>
          </cell>
          <cell r="G3664" t="str">
            <v>AUTOMOTIVO</v>
          </cell>
        </row>
        <row r="3665">
          <cell r="A3665">
            <v>20426</v>
          </cell>
          <cell r="B3665" t="str">
            <v>WANDABASE MM 2903 BRANCO EFFECT COLOR 0,9L-21,46-ST</v>
          </cell>
          <cell r="C3665">
            <v>482025</v>
          </cell>
          <cell r="D3665" t="str">
            <v>WANDA</v>
          </cell>
          <cell r="E3665">
            <v>20031</v>
          </cell>
          <cell r="F3665" t="str">
            <v>BASES POLIÉSTER</v>
          </cell>
          <cell r="G3665" t="str">
            <v>AUTOMOTIVO</v>
          </cell>
        </row>
        <row r="3666">
          <cell r="A3666">
            <v>9900</v>
          </cell>
          <cell r="B3666" t="str">
            <v>WANDABASE MM 2910 PEROLA BRANCA 0,9L-21,46-ST</v>
          </cell>
          <cell r="C3666">
            <v>391755</v>
          </cell>
          <cell r="D3666" t="str">
            <v>WANDA</v>
          </cell>
          <cell r="E3666">
            <v>20031</v>
          </cell>
          <cell r="F3666" t="str">
            <v>BASES POLIÉSTER</v>
          </cell>
          <cell r="G3666" t="str">
            <v>AUTOMOTIVO</v>
          </cell>
        </row>
        <row r="3667">
          <cell r="A3667">
            <v>9901</v>
          </cell>
          <cell r="B3667" t="str">
            <v>WANDABASE MM 2911 PEROLA BRANCA PRATEADA 0,9L-21,46-ST</v>
          </cell>
          <cell r="C3667">
            <v>391756</v>
          </cell>
          <cell r="D3667" t="str">
            <v>WANDA</v>
          </cell>
          <cell r="E3667">
            <v>20031</v>
          </cell>
          <cell r="F3667" t="str">
            <v>BASES POLIÉSTER</v>
          </cell>
          <cell r="G3667" t="str">
            <v>AUTOMOTIVO</v>
          </cell>
        </row>
        <row r="3668">
          <cell r="A3668">
            <v>9902</v>
          </cell>
          <cell r="B3668" t="str">
            <v>WANDABASE MM 2923 PEROLA MARROM 0,9L-21,67-ST</v>
          </cell>
          <cell r="C3668">
            <v>391757</v>
          </cell>
          <cell r="D3668" t="str">
            <v>WANDA</v>
          </cell>
          <cell r="E3668">
            <v>20031</v>
          </cell>
          <cell r="F3668" t="str">
            <v>BASES POLIÉSTER</v>
          </cell>
          <cell r="G3668" t="str">
            <v>AUTOMOTIVO</v>
          </cell>
        </row>
        <row r="3669">
          <cell r="A3669">
            <v>9903</v>
          </cell>
          <cell r="B3669" t="str">
            <v>WANDABASE MM 2924 PEROLA VERMELHA 0,9L-21,46-ST</v>
          </cell>
          <cell r="C3669">
            <v>391758</v>
          </cell>
          <cell r="D3669" t="str">
            <v>WANDA</v>
          </cell>
          <cell r="E3669">
            <v>20031</v>
          </cell>
          <cell r="F3669" t="str">
            <v>BASES POLIÉSTER</v>
          </cell>
          <cell r="G3669" t="str">
            <v>AUTOMOTIVO</v>
          </cell>
        </row>
        <row r="3670">
          <cell r="A3670">
            <v>9904</v>
          </cell>
          <cell r="B3670" t="str">
            <v>WANDABASE MM 2925 PEROLA VERMELHA ESPECIAL 0,9L-21,45-ST</v>
          </cell>
          <cell r="C3670">
            <v>391759</v>
          </cell>
          <cell r="D3670" t="str">
            <v>WANDA</v>
          </cell>
          <cell r="E3670">
            <v>20031</v>
          </cell>
          <cell r="F3670" t="str">
            <v>BASES POLIÉSTER</v>
          </cell>
          <cell r="G3670" t="str">
            <v>AUTOMOTIVO</v>
          </cell>
        </row>
        <row r="3671">
          <cell r="A3671">
            <v>20424</v>
          </cell>
          <cell r="B3671" t="str">
            <v>WANDABASE MM 2926 VERMELHO EFFECT COLOR 0,9L-21,45-ST</v>
          </cell>
          <cell r="C3671">
            <v>482026</v>
          </cell>
          <cell r="D3671" t="str">
            <v>WANDA</v>
          </cell>
          <cell r="E3671">
            <v>20031</v>
          </cell>
          <cell r="F3671" t="str">
            <v>BASES POLIÉSTER</v>
          </cell>
          <cell r="G3671" t="str">
            <v>AUTOMOTIVO</v>
          </cell>
        </row>
        <row r="3672">
          <cell r="A3672">
            <v>20192</v>
          </cell>
          <cell r="B3672" t="str">
            <v>WANDABASE MM 2941 PEROLA DOURADA MEDIA 0,9L-21,46-ST</v>
          </cell>
          <cell r="C3672">
            <v>389306</v>
          </cell>
          <cell r="D3672" t="str">
            <v>WANDA</v>
          </cell>
          <cell r="E3672">
            <v>20031</v>
          </cell>
          <cell r="F3672" t="str">
            <v>BASES POLIÉSTER</v>
          </cell>
          <cell r="G3672" t="str">
            <v>AUTOMOTIVO</v>
          </cell>
        </row>
        <row r="3673">
          <cell r="A3673">
            <v>9905</v>
          </cell>
          <cell r="B3673" t="str">
            <v>WANDABASE MM 2942 PEROLA DOURADA 0,9L-21,67-ST</v>
          </cell>
          <cell r="C3673">
            <v>391760</v>
          </cell>
          <cell r="D3673" t="str">
            <v>WANDA</v>
          </cell>
          <cell r="E3673">
            <v>20031</v>
          </cell>
          <cell r="F3673" t="str">
            <v>BASES POLIÉSTER</v>
          </cell>
          <cell r="G3673" t="str">
            <v>AUTOMOTIVO</v>
          </cell>
        </row>
        <row r="3674">
          <cell r="A3674">
            <v>22422</v>
          </cell>
          <cell r="B3674" t="str">
            <v>WANDABASE MM 2947 DOURADO EFFECT COLOR 0,9L-21,67-ST</v>
          </cell>
          <cell r="C3674">
            <v>482027</v>
          </cell>
          <cell r="D3674" t="str">
            <v>WANDA</v>
          </cell>
          <cell r="E3674">
            <v>20031</v>
          </cell>
          <cell r="F3674" t="str">
            <v>BASES POLIÉSTER</v>
          </cell>
          <cell r="G3674" t="str">
            <v>AUTOMOTIVO</v>
          </cell>
        </row>
        <row r="3675">
          <cell r="A3675">
            <v>9906</v>
          </cell>
          <cell r="B3675" t="str">
            <v>WANDABASE MM 2952 PEROLA VERDE 0,9L-21,67-ST</v>
          </cell>
          <cell r="C3675">
            <v>391761</v>
          </cell>
          <cell r="D3675" t="str">
            <v>WANDA</v>
          </cell>
          <cell r="E3675">
            <v>20031</v>
          </cell>
          <cell r="F3675" t="str">
            <v>BASES POLIÉSTER</v>
          </cell>
          <cell r="G3675" t="str">
            <v>AUTOMOTIVO</v>
          </cell>
        </row>
        <row r="3676">
          <cell r="A3676">
            <v>20193</v>
          </cell>
          <cell r="B3676" t="str">
            <v>WANDABASE MM 2954 PEROLA VERDE MEDIA 0,9L-21,67-ST</v>
          </cell>
          <cell r="C3676">
            <v>389288</v>
          </cell>
          <cell r="D3676" t="str">
            <v>WANDA</v>
          </cell>
          <cell r="E3676">
            <v>20031</v>
          </cell>
          <cell r="F3676" t="str">
            <v>BASES POLIÉSTER</v>
          </cell>
          <cell r="G3676" t="str">
            <v>AUTOMOTIVO</v>
          </cell>
        </row>
        <row r="3677">
          <cell r="A3677">
            <v>9907</v>
          </cell>
          <cell r="B3677" t="str">
            <v>WANDABASE MM 2963 PEROLA AZUL ESPECIAL 0,9L-21,46-ST</v>
          </cell>
          <cell r="C3677">
            <v>391762</v>
          </cell>
          <cell r="D3677" t="str">
            <v>WANDA</v>
          </cell>
          <cell r="E3677">
            <v>20031</v>
          </cell>
          <cell r="F3677" t="str">
            <v>BASES POLIÉSTER</v>
          </cell>
          <cell r="G3677" t="str">
            <v>AUTOMOTIVO</v>
          </cell>
        </row>
        <row r="3678">
          <cell r="A3678">
            <v>9908</v>
          </cell>
          <cell r="B3678" t="str">
            <v>WANDABASE MM 2964 PEROLA AZUL 0,9L-21,46-ST</v>
          </cell>
          <cell r="C3678">
            <v>391763</v>
          </cell>
          <cell r="D3678" t="str">
            <v>WANDA</v>
          </cell>
          <cell r="E3678">
            <v>20031</v>
          </cell>
          <cell r="F3678" t="str">
            <v>BASES POLIÉSTER</v>
          </cell>
          <cell r="G3678" t="str">
            <v>AUTOMOTIVO</v>
          </cell>
        </row>
        <row r="3679">
          <cell r="A3679">
            <v>20423</v>
          </cell>
          <cell r="B3679" t="str">
            <v>WANDABASE MM 2968 AZUL EFFECT COLOR 0,9L-21,46-ST</v>
          </cell>
          <cell r="C3679">
            <v>482028</v>
          </cell>
          <cell r="D3679" t="str">
            <v>WANDA</v>
          </cell>
          <cell r="E3679">
            <v>20031</v>
          </cell>
          <cell r="F3679" t="str">
            <v>BASES POLIÉSTER</v>
          </cell>
          <cell r="G3679" t="str">
            <v>AUTOMOTIVO</v>
          </cell>
        </row>
        <row r="3680">
          <cell r="A3680">
            <v>9909</v>
          </cell>
          <cell r="B3680" t="str">
            <v>WANDABASE MM 2975 PEROLA LILAS 0,9L-21,46-ST</v>
          </cell>
          <cell r="C3680">
            <v>391764</v>
          </cell>
          <cell r="D3680" t="str">
            <v>WANDA</v>
          </cell>
          <cell r="E3680">
            <v>20031</v>
          </cell>
          <cell r="F3680" t="str">
            <v>BASES POLIÉSTER</v>
          </cell>
          <cell r="G3680" t="str">
            <v>AUTOMOTIVO</v>
          </cell>
        </row>
        <row r="3681">
          <cell r="A3681">
            <v>23408</v>
          </cell>
          <cell r="B3681" t="str">
            <v>WANDABASE MM 2998 ATIV ALTA TEMP 18L WANDA</v>
          </cell>
          <cell r="C3681">
            <v>529640</v>
          </cell>
          <cell r="D3681" t="str">
            <v>WANDA</v>
          </cell>
          <cell r="E3681">
            <v>20031</v>
          </cell>
          <cell r="F3681" t="str">
            <v>BASES POLIÉSTER</v>
          </cell>
          <cell r="G3681" t="str">
            <v>AUTOMOTIVO</v>
          </cell>
        </row>
        <row r="3682">
          <cell r="A3682">
            <v>9911</v>
          </cell>
          <cell r="B3682" t="str">
            <v>WANDABASE MM 3200 BRANCO HS 3,6L-21,46-ST</v>
          </cell>
          <cell r="C3682">
            <v>391766</v>
          </cell>
          <cell r="D3682" t="str">
            <v>WANDA</v>
          </cell>
          <cell r="E3682">
            <v>20031</v>
          </cell>
          <cell r="F3682" t="str">
            <v>BASES POLIÉSTER</v>
          </cell>
          <cell r="G3682" t="str">
            <v>AUTOMOTIVO</v>
          </cell>
        </row>
        <row r="3683">
          <cell r="A3683">
            <v>23392</v>
          </cell>
          <cell r="B3683" t="str">
            <v>WANDABASE MM 3210 BRANCO LIMPO 3,6L-21,67-ST</v>
          </cell>
          <cell r="C3683">
            <v>543193</v>
          </cell>
          <cell r="D3683" t="str">
            <v>WANDA</v>
          </cell>
          <cell r="E3683">
            <v>20031</v>
          </cell>
          <cell r="F3683" t="str">
            <v>BASES POLIÉSTER</v>
          </cell>
          <cell r="G3683" t="str">
            <v>AUTOMOTIVO</v>
          </cell>
        </row>
        <row r="3684">
          <cell r="A3684">
            <v>21274</v>
          </cell>
          <cell r="B3684" t="str">
            <v>COADOR CONICO USO GERAL 190 MICRONS</v>
          </cell>
          <cell r="C3684" t="str">
            <v>80.79.99939-491</v>
          </cell>
          <cell r="D3684" t="str">
            <v>SHERWIN WILLIAMS</v>
          </cell>
          <cell r="E3684">
            <v>20030</v>
          </cell>
          <cell r="F3684" t="str">
            <v>COADORES</v>
          </cell>
          <cell r="G3684" t="str">
            <v>AUTOMOTIVO</v>
          </cell>
        </row>
        <row r="3685">
          <cell r="A3685">
            <v>23580</v>
          </cell>
          <cell r="B3685" t="str">
            <v>COADOR DESCARTAVEL DAUTO</v>
          </cell>
          <cell r="C3685">
            <v>8</v>
          </cell>
          <cell r="D3685" t="str">
            <v>RENOVA COADORES</v>
          </cell>
          <cell r="E3685">
            <v>20030</v>
          </cell>
          <cell r="F3685" t="str">
            <v>COADORES</v>
          </cell>
          <cell r="G3685" t="str">
            <v>AUTOMOTIVO</v>
          </cell>
        </row>
        <row r="3686">
          <cell r="A3686">
            <v>24372</v>
          </cell>
          <cell r="B3686" t="str">
            <v>BRASIMIX EMBALAGEM 3,6L BRASILUX</v>
          </cell>
          <cell r="C3686">
            <v>5049</v>
          </cell>
          <cell r="D3686" t="str">
            <v>BRASILUX</v>
          </cell>
          <cell r="E3686">
            <v>20029</v>
          </cell>
          <cell r="F3686" t="str">
            <v>EMBALAGEM</v>
          </cell>
          <cell r="G3686" t="str">
            <v>AUTOMOTIVO</v>
          </cell>
        </row>
        <row r="3687">
          <cell r="A3687">
            <v>24371</v>
          </cell>
          <cell r="B3687" t="str">
            <v>BRASIMIX EMBALAGEM 900ML BRASILUX</v>
          </cell>
          <cell r="C3687">
            <v>5048</v>
          </cell>
          <cell r="D3687" t="str">
            <v>BRASILUX</v>
          </cell>
          <cell r="E3687">
            <v>20029</v>
          </cell>
          <cell r="F3687" t="str">
            <v>EMBALAGEM</v>
          </cell>
          <cell r="G3687" t="str">
            <v>AUTOMOTIVO</v>
          </cell>
        </row>
        <row r="3688">
          <cell r="A3688">
            <v>24088</v>
          </cell>
          <cell r="B3688" t="str">
            <v>EMBALAGEM 0,900ML SKY</v>
          </cell>
          <cell r="C3688">
            <v>900980000177</v>
          </cell>
          <cell r="D3688" t="str">
            <v>SKY</v>
          </cell>
          <cell r="E3688">
            <v>20029</v>
          </cell>
          <cell r="F3688" t="str">
            <v>EMBALAGEM</v>
          </cell>
          <cell r="G3688" t="str">
            <v>AUTOMOTIVO</v>
          </cell>
        </row>
        <row r="3689">
          <cell r="A3689">
            <v>10004</v>
          </cell>
          <cell r="B3689" t="str">
            <v>EMBALAGEM 1LT SIKKENS</v>
          </cell>
          <cell r="C3689">
            <v>2004458</v>
          </cell>
          <cell r="D3689" t="str">
            <v>SIKKENS</v>
          </cell>
          <cell r="E3689">
            <v>20029</v>
          </cell>
          <cell r="F3689" t="str">
            <v>EMBALAGEM</v>
          </cell>
          <cell r="G3689" t="str">
            <v>AUTOMOTIVO</v>
          </cell>
        </row>
        <row r="3690">
          <cell r="A3690">
            <v>24089</v>
          </cell>
          <cell r="B3690" t="str">
            <v>EMBALAGEM 3,600ML SKY</v>
          </cell>
          <cell r="C3690">
            <v>900980000178</v>
          </cell>
          <cell r="D3690" t="str">
            <v>SKY</v>
          </cell>
          <cell r="E3690">
            <v>20029</v>
          </cell>
          <cell r="F3690" t="str">
            <v>EMBALAGEM</v>
          </cell>
          <cell r="G3690" t="str">
            <v>AUTOMOTIVO</v>
          </cell>
        </row>
        <row r="3691">
          <cell r="A3691">
            <v>9912</v>
          </cell>
          <cell r="B3691" t="str">
            <v>EMBALAGEM 3,600ML WANDA</v>
          </cell>
          <cell r="C3691">
            <v>2004454</v>
          </cell>
          <cell r="D3691" t="str">
            <v>WANDA</v>
          </cell>
          <cell r="E3691">
            <v>20029</v>
          </cell>
          <cell r="F3691" t="str">
            <v>EMBALAGEM</v>
          </cell>
          <cell r="G3691" t="str">
            <v>AUTOMOTIVO</v>
          </cell>
        </row>
        <row r="3692">
          <cell r="A3692">
            <v>22653</v>
          </cell>
          <cell r="B3692" t="str">
            <v>EMBALAGEM 3,6L AUTOCOAT BT WANDA</v>
          </cell>
          <cell r="C3692">
            <v>2004319</v>
          </cell>
          <cell r="D3692" t="str">
            <v>WANDA</v>
          </cell>
          <cell r="E3692">
            <v>20029</v>
          </cell>
          <cell r="F3692" t="str">
            <v>EMBALAGEM</v>
          </cell>
          <cell r="G3692" t="str">
            <v>AUTOMOTIVO</v>
          </cell>
        </row>
        <row r="3693">
          <cell r="A3693">
            <v>9913</v>
          </cell>
          <cell r="B3693" t="str">
            <v>EMBALAGEM 900ML WANDA</v>
          </cell>
          <cell r="C3693">
            <v>2004455</v>
          </cell>
          <cell r="D3693" t="str">
            <v>WANDA</v>
          </cell>
          <cell r="E3693">
            <v>20029</v>
          </cell>
          <cell r="F3693" t="str">
            <v>EMBALAGEM</v>
          </cell>
          <cell r="G3693" t="str">
            <v>AUTOMOTIVO</v>
          </cell>
        </row>
        <row r="3694">
          <cell r="A3694">
            <v>22654</v>
          </cell>
          <cell r="B3694" t="str">
            <v>EMBALAGEM AUTOCOAT BT 0,9L</v>
          </cell>
          <cell r="C3694">
            <v>2004320</v>
          </cell>
          <cell r="D3694" t="str">
            <v>TECH FLEET</v>
          </cell>
          <cell r="E3694">
            <v>20029</v>
          </cell>
          <cell r="F3694" t="str">
            <v>EMBALAGEM</v>
          </cell>
          <cell r="G3694" t="str">
            <v>AUTOMOTIVO</v>
          </cell>
        </row>
        <row r="3695">
          <cell r="A3695">
            <v>85238</v>
          </cell>
          <cell r="B3695" t="str">
            <v>EMBALAGEM MAZA 3,6L</v>
          </cell>
          <cell r="C3695">
            <v>27544</v>
          </cell>
          <cell r="D3695" t="str">
            <v>.</v>
          </cell>
          <cell r="E3695">
            <v>20029</v>
          </cell>
          <cell r="F3695" t="str">
            <v>EMBALAGEM</v>
          </cell>
          <cell r="G3695" t="str">
            <v>AUTOMOTIVO</v>
          </cell>
        </row>
        <row r="3696">
          <cell r="A3696">
            <v>85388</v>
          </cell>
          <cell r="B3696" t="str">
            <v>EMBALAGEM MAZA 900ML</v>
          </cell>
          <cell r="C3696">
            <v>24658</v>
          </cell>
          <cell r="D3696" t="str">
            <v>.</v>
          </cell>
          <cell r="E3696">
            <v>20029</v>
          </cell>
          <cell r="F3696" t="str">
            <v>EMBALAGEM</v>
          </cell>
          <cell r="G3696" t="str">
            <v>AUTOMOTIVO</v>
          </cell>
        </row>
        <row r="3697">
          <cell r="A3697">
            <v>21785</v>
          </cell>
          <cell r="B3697" t="str">
            <v>EMBALAGEM SPRAY COLOR MIXING TUBO SPRAY</v>
          </cell>
          <cell r="C3697" t="str">
            <v>56.96.50000-274</v>
          </cell>
          <cell r="D3697" t="str">
            <v>SHERWIN WILLIAMS</v>
          </cell>
          <cell r="E3697">
            <v>20029</v>
          </cell>
          <cell r="F3697" t="str">
            <v>EMBALAGEM</v>
          </cell>
          <cell r="G3697" t="str">
            <v>AUTOMOTIVO</v>
          </cell>
        </row>
        <row r="3698">
          <cell r="A3698">
            <v>187</v>
          </cell>
          <cell r="B3698" t="str">
            <v>EMBALAGEM VAZIA ANJOMIX 0,900ML</v>
          </cell>
          <cell r="C3698" t="str">
            <v>035481-23</v>
          </cell>
          <cell r="D3698" t="str">
            <v>ANJO</v>
          </cell>
          <cell r="E3698">
            <v>20029</v>
          </cell>
          <cell r="F3698" t="str">
            <v>EMBALAGEM</v>
          </cell>
          <cell r="G3698" t="str">
            <v>AUTOMOTIVO</v>
          </cell>
        </row>
        <row r="3699">
          <cell r="A3699">
            <v>186</v>
          </cell>
          <cell r="B3699" t="str">
            <v>EMBALAGEM VAZIA ANJOMIX 3,6L</v>
          </cell>
          <cell r="C3699" t="str">
            <v>035481-27</v>
          </cell>
          <cell r="D3699" t="str">
            <v>ANJO</v>
          </cell>
          <cell r="E3699">
            <v>20029</v>
          </cell>
          <cell r="F3699" t="str">
            <v>EMBALAGEM</v>
          </cell>
          <cell r="G3699" t="str">
            <v>AUTOMOTIVO</v>
          </cell>
        </row>
        <row r="3700">
          <cell r="A3700">
            <v>84743</v>
          </cell>
          <cell r="B3700" t="str">
            <v>33750 EXTRATORA 30L 230V 3M EXTRATORA 30L 230V</v>
          </cell>
          <cell r="C3700" t="str">
            <v>HB004718928</v>
          </cell>
          <cell r="D3700" t="str">
            <v>3M</v>
          </cell>
          <cell r="E3700">
            <v>20028</v>
          </cell>
          <cell r="F3700" t="str">
            <v>APLICADORES / ADAPTADORES / ENGATES / SUPORTES</v>
          </cell>
          <cell r="G3700" t="str">
            <v>AUTOMOTIVO</v>
          </cell>
        </row>
        <row r="3701">
          <cell r="A3701">
            <v>22678</v>
          </cell>
          <cell r="B3701" t="str">
            <v>ABRAÇADEIRA DE FITA 13/19 SCHWEERS</v>
          </cell>
          <cell r="C3701" t="str">
            <v>ABRA 13-19 (50)</v>
          </cell>
          <cell r="D3701" t="str">
            <v>SCHWEERS</v>
          </cell>
          <cell r="E3701">
            <v>20028</v>
          </cell>
          <cell r="F3701" t="str">
            <v>APLICADORES / ADAPTADORES / ENGATES / SUPORTES</v>
          </cell>
          <cell r="G3701" t="str">
            <v>AUTOMOTIVO</v>
          </cell>
        </row>
        <row r="3702">
          <cell r="A3702">
            <v>24341</v>
          </cell>
          <cell r="B3702" t="str">
            <v>ABRACADEIRA DE FITA 19/25 SCHWEERS</v>
          </cell>
          <cell r="C3702" t="str">
            <v>ABRA 19-25(50)</v>
          </cell>
          <cell r="D3702" t="str">
            <v>SCHWEERS</v>
          </cell>
          <cell r="E3702">
            <v>20028</v>
          </cell>
          <cell r="F3702" t="str">
            <v>APLICADORES / ADAPTADORES / ENGATES / SUPORTES</v>
          </cell>
          <cell r="G3702" t="str">
            <v>AUTOMOTIVO</v>
          </cell>
        </row>
        <row r="3703">
          <cell r="A3703">
            <v>22679</v>
          </cell>
          <cell r="B3703" t="str">
            <v>ABRAÇADEIRA DE FITA 5/8 SCHWEERS</v>
          </cell>
          <cell r="C3703" t="str">
            <v>ABRA 14-22(50)</v>
          </cell>
          <cell r="D3703" t="str">
            <v>SCHWEERS</v>
          </cell>
          <cell r="E3703">
            <v>20028</v>
          </cell>
          <cell r="F3703" t="str">
            <v>APLICADORES / ADAPTADORES / ENGATES / SUPORTES</v>
          </cell>
          <cell r="G3703" t="str">
            <v>AUTOMOTIVO</v>
          </cell>
        </row>
        <row r="3704">
          <cell r="A3704">
            <v>22620</v>
          </cell>
          <cell r="B3704" t="str">
            <v>ABRACADEIRA DE FITA 7/8 SCHWEERS</v>
          </cell>
          <cell r="C3704" t="str">
            <v>ABRA 13-16(50)</v>
          </cell>
          <cell r="D3704" t="str">
            <v>SCHWEERS</v>
          </cell>
          <cell r="E3704">
            <v>20028</v>
          </cell>
          <cell r="F3704" t="str">
            <v>APLICADORES / ADAPTADORES / ENGATES / SUPORTES</v>
          </cell>
          <cell r="G3704" t="str">
            <v>AUTOMOTIVO</v>
          </cell>
        </row>
        <row r="3705">
          <cell r="A3705">
            <v>24342</v>
          </cell>
          <cell r="B3705" t="str">
            <v>ABRACADEIRA DE FITA 8/13 SCHWEERS</v>
          </cell>
          <cell r="C3705" t="str">
            <v>ABRA 8-13(50)</v>
          </cell>
          <cell r="D3705" t="str">
            <v>SCHWEERS</v>
          </cell>
          <cell r="E3705">
            <v>20028</v>
          </cell>
          <cell r="F3705" t="str">
            <v>APLICADORES / ADAPTADORES / ENGATES / SUPORTES</v>
          </cell>
          <cell r="G3705" t="str">
            <v>AUTOMOTIVO</v>
          </cell>
        </row>
        <row r="3706">
          <cell r="A3706">
            <v>21858</v>
          </cell>
          <cell r="B3706" t="str">
            <v>ABRIDOR DE LATAS LOGOTIPO LAZZURIL</v>
          </cell>
          <cell r="C3706" t="str">
            <v>80.79.80997-082</v>
          </cell>
          <cell r="D3706" t="str">
            <v>SHERWIN WILLIAMS</v>
          </cell>
          <cell r="E3706">
            <v>20028</v>
          </cell>
          <cell r="F3706" t="str">
            <v>APLICADORES / ADAPTADORES / ENGATES / SUPORTES</v>
          </cell>
          <cell r="G3706" t="str">
            <v>AUTOMOTIVO</v>
          </cell>
        </row>
        <row r="3707">
          <cell r="A3707">
            <v>10263</v>
          </cell>
          <cell r="B3707" t="str">
            <v>ADAPTADOR DISCO REMOVEDOR DE ADESIVO NORTON</v>
          </cell>
          <cell r="C3707">
            <v>5539544805</v>
          </cell>
          <cell r="D3707" t="str">
            <v>NORTON</v>
          </cell>
          <cell r="E3707">
            <v>20028</v>
          </cell>
          <cell r="F3707" t="str">
            <v>APLICADORES / ADAPTADORES / ENGATES / SUPORTES</v>
          </cell>
          <cell r="G3707" t="str">
            <v>AUTOMOTIVO</v>
          </cell>
        </row>
        <row r="3708">
          <cell r="A3708">
            <v>23773</v>
          </cell>
          <cell r="B3708" t="str">
            <v>ADAPTADOR ENGATE RAPIDO (767 FEMEA 1/4)</v>
          </cell>
          <cell r="C3708" t="str">
            <v>767 F</v>
          </cell>
          <cell r="D3708" t="str">
            <v>SCHWEERS</v>
          </cell>
          <cell r="E3708">
            <v>20028</v>
          </cell>
          <cell r="F3708" t="str">
            <v>APLICADORES / ADAPTADORES / ENGATES / SUPORTES</v>
          </cell>
          <cell r="G3708" t="str">
            <v>AUTOMOTIVO</v>
          </cell>
        </row>
        <row r="3709">
          <cell r="A3709">
            <v>23774</v>
          </cell>
          <cell r="B3709" t="str">
            <v>ADAPTADOR ENGATE RAPIDO (767 MACHO 1/4)</v>
          </cell>
          <cell r="C3709" t="str">
            <v>AD 767 M</v>
          </cell>
          <cell r="D3709" t="str">
            <v>SCHWEERS</v>
          </cell>
          <cell r="E3709">
            <v>20028</v>
          </cell>
          <cell r="F3709" t="str">
            <v>APLICADORES / ADAPTADORES / ENGATES / SUPORTES</v>
          </cell>
          <cell r="G3709" t="str">
            <v>AUTOMOTIVO</v>
          </cell>
        </row>
        <row r="3710">
          <cell r="A3710">
            <v>23771</v>
          </cell>
          <cell r="B3710" t="str">
            <v>ADAPTADOR ENGATE RAPIDO (AD 500 FEMEA 1/2)</v>
          </cell>
          <cell r="C3710" t="str">
            <v>AD 500 F 1/2</v>
          </cell>
          <cell r="D3710" t="str">
            <v>SCHWEERS</v>
          </cell>
          <cell r="E3710">
            <v>20028</v>
          </cell>
          <cell r="F3710" t="str">
            <v>APLICADORES / ADAPTADORES / ENGATES / SUPORTES</v>
          </cell>
          <cell r="G3710" t="str">
            <v>AUTOMOTIVO</v>
          </cell>
        </row>
        <row r="3711">
          <cell r="A3711">
            <v>23772</v>
          </cell>
          <cell r="B3711" t="str">
            <v>ADAPTADOR ENGATE RAPIDO (AD 500 MACHO 1/2)</v>
          </cell>
          <cell r="C3711" t="str">
            <v>AD 500 M 1/2</v>
          </cell>
          <cell r="D3711" t="str">
            <v>SCHWEERS</v>
          </cell>
          <cell r="E3711">
            <v>20028</v>
          </cell>
          <cell r="F3711" t="str">
            <v>APLICADORES / ADAPTADORES / ENGATES / SUPORTES</v>
          </cell>
          <cell r="G3711" t="str">
            <v>AUTOMOTIVO</v>
          </cell>
        </row>
        <row r="3712">
          <cell r="A3712">
            <v>23775</v>
          </cell>
          <cell r="B3712" t="str">
            <v>ADAPTADOR ENGATE RAPIDO (ER 500 FEMEA 1/2)</v>
          </cell>
          <cell r="C3712" t="str">
            <v>ER 500 F 1/2</v>
          </cell>
          <cell r="D3712" t="str">
            <v>SCHWEERS</v>
          </cell>
          <cell r="E3712">
            <v>20028</v>
          </cell>
          <cell r="F3712" t="str">
            <v>APLICADORES / ADAPTADORES / ENGATES / SUPORTES</v>
          </cell>
          <cell r="G3712" t="str">
            <v>AUTOMOTIVO</v>
          </cell>
        </row>
        <row r="3713">
          <cell r="A3713">
            <v>20984</v>
          </cell>
          <cell r="B3713" t="str">
            <v>ADAPTADOR ENGATE RAPIDO 3M-28,77-ST</v>
          </cell>
          <cell r="C3713" t="str">
            <v>HB004155956</v>
          </cell>
          <cell r="D3713" t="str">
            <v>3M</v>
          </cell>
          <cell r="E3713">
            <v>20028</v>
          </cell>
          <cell r="F3713" t="str">
            <v>APLICADORES / ADAPTADORES / ENGATES / SUPORTES</v>
          </cell>
          <cell r="G3713" t="str">
            <v>AUTOMOTIVO</v>
          </cell>
        </row>
        <row r="3714">
          <cell r="A3714">
            <v>23944</v>
          </cell>
          <cell r="B3714" t="str">
            <v>ADAPTADOR P/ BOINA 14MM OU 5/8 NEW PAD</v>
          </cell>
          <cell r="D3714" t="str">
            <v>NEW PAD</v>
          </cell>
          <cell r="E3714">
            <v>20028</v>
          </cell>
          <cell r="F3714" t="str">
            <v>APLICADORES / ADAPTADORES / ENGATES / SUPORTES</v>
          </cell>
          <cell r="G3714" t="str">
            <v>AUTOMOTIVO</v>
          </cell>
        </row>
        <row r="3715">
          <cell r="A3715">
            <v>23709</v>
          </cell>
          <cell r="B3715" t="str">
            <v>ADAPTADOR P/ BOINA 14MM OU 5/8 NEWPAD</v>
          </cell>
          <cell r="C3715" t="str">
            <v>A14</v>
          </cell>
          <cell r="D3715" t="str">
            <v>NEW PAD</v>
          </cell>
          <cell r="E3715">
            <v>20028</v>
          </cell>
          <cell r="F3715" t="str">
            <v>APLICADORES / ADAPTADORES / ENGATES / SUPORTES</v>
          </cell>
          <cell r="G3715" t="str">
            <v>AUTOMOTIVO</v>
          </cell>
        </row>
        <row r="3716">
          <cell r="A3716">
            <v>83976</v>
          </cell>
          <cell r="B3716" t="str">
            <v>ALICATE BICO CHATO 6"</v>
          </cell>
          <cell r="C3716">
            <v>3662061507</v>
          </cell>
          <cell r="D3716" t="str">
            <v>VONDER</v>
          </cell>
          <cell r="E3716">
            <v>20028</v>
          </cell>
          <cell r="F3716" t="str">
            <v>APLICADORES / ADAPTADORES / ENGATES / SUPORTES</v>
          </cell>
          <cell r="G3716" t="str">
            <v>AUTOMOTIVO</v>
          </cell>
        </row>
        <row r="3717">
          <cell r="A3717">
            <v>83977</v>
          </cell>
          <cell r="B3717" t="str">
            <v>ALICATE BOMBA D AGUA  12"</v>
          </cell>
          <cell r="C3717">
            <v>3662000300</v>
          </cell>
          <cell r="D3717" t="str">
            <v>VONDER</v>
          </cell>
          <cell r="E3717">
            <v>20028</v>
          </cell>
          <cell r="F3717" t="str">
            <v>APLICADORES / ADAPTADORES / ENGATES / SUPORTES</v>
          </cell>
          <cell r="G3717" t="str">
            <v>AUTOMOTIVO</v>
          </cell>
        </row>
        <row r="3718">
          <cell r="A3718">
            <v>21467</v>
          </cell>
          <cell r="B3718" t="str">
            <v>ALICATE CORTE DIAGONAL 6"</v>
          </cell>
          <cell r="C3718">
            <v>3662061503</v>
          </cell>
          <cell r="D3718" t="str">
            <v>VONDER</v>
          </cell>
          <cell r="E3718">
            <v>20028</v>
          </cell>
          <cell r="F3718" t="str">
            <v>APLICADORES / ADAPTADORES / ENGATES / SUPORTES</v>
          </cell>
          <cell r="G3718" t="str">
            <v>AUTOMOTIVO</v>
          </cell>
        </row>
        <row r="3719">
          <cell r="A3719">
            <v>22319</v>
          </cell>
          <cell r="B3719" t="str">
            <v>ALICATE UNIVERSAL 8"</v>
          </cell>
          <cell r="C3719">
            <v>3662000008</v>
          </cell>
          <cell r="D3719" t="str">
            <v>VONDER</v>
          </cell>
          <cell r="E3719">
            <v>20028</v>
          </cell>
          <cell r="F3719" t="str">
            <v>APLICADORES / ADAPTADORES / ENGATES / SUPORTES</v>
          </cell>
          <cell r="G3719" t="str">
            <v>AUTOMOTIVO</v>
          </cell>
        </row>
        <row r="3720">
          <cell r="A3720">
            <v>84768</v>
          </cell>
          <cell r="B3720" t="str">
            <v>AN ColorScala Selector VR Set</v>
          </cell>
          <cell r="C3720">
            <v>2007989</v>
          </cell>
          <cell r="D3720" t="str">
            <v>WANDA</v>
          </cell>
          <cell r="E3720">
            <v>20028</v>
          </cell>
          <cell r="F3720" t="str">
            <v>APLICADORES / ADAPTADORES / ENGATES / SUPORTES</v>
          </cell>
          <cell r="G3720" t="str">
            <v>AUTOMOTIVO</v>
          </cell>
        </row>
        <row r="3721">
          <cell r="A3721">
            <v>23751</v>
          </cell>
          <cell r="B3721" t="str">
            <v>APLICADOR DE MASSA CELULOIDE ROYAL (VERMELHO)</v>
          </cell>
          <cell r="C3721" t="str">
            <v>APLICADOR-CX</v>
          </cell>
          <cell r="D3721" t="str">
            <v>ROYAL</v>
          </cell>
          <cell r="E3721">
            <v>20028</v>
          </cell>
          <cell r="F3721" t="str">
            <v>APLICADORES / ADAPTADORES / ENGATES / SUPORTES</v>
          </cell>
          <cell r="G3721" t="str">
            <v>AUTOMOTIVO</v>
          </cell>
        </row>
        <row r="3722">
          <cell r="A3722">
            <v>23627</v>
          </cell>
          <cell r="B3722" t="str">
            <v>APLICADOR MANUAL TUBO/SACHE VONDER</v>
          </cell>
          <cell r="C3722">
            <v>3408</v>
          </cell>
          <cell r="D3722" t="str">
            <v>.</v>
          </cell>
          <cell r="E3722">
            <v>20028</v>
          </cell>
          <cell r="F3722" t="str">
            <v>APLICADORES / ADAPTADORES / ENGATES / SUPORTES</v>
          </cell>
          <cell r="G3722" t="str">
            <v>AUTOMOTIVO</v>
          </cell>
        </row>
        <row r="3723">
          <cell r="A3723">
            <v>23783</v>
          </cell>
          <cell r="B3723" t="str">
            <v>APLICADOR P/ SILICONE AMARELO/PRETO VONDER</v>
          </cell>
          <cell r="C3723">
            <v>3599500500</v>
          </cell>
          <cell r="D3723" t="str">
            <v>VONDER</v>
          </cell>
          <cell r="E3723">
            <v>20028</v>
          </cell>
          <cell r="F3723" t="str">
            <v>APLICADORES / ADAPTADORES / ENGATES / SUPORTES</v>
          </cell>
          <cell r="G3723" t="str">
            <v>AUTOMOTIVO</v>
          </cell>
        </row>
        <row r="3724">
          <cell r="A3724">
            <v>23789</v>
          </cell>
          <cell r="B3724" t="str">
            <v>APLICADOR P/ SILICONE PNEUMATICO APV 310</v>
          </cell>
          <cell r="C3724">
            <v>6257310000</v>
          </cell>
          <cell r="D3724" t="str">
            <v>VONDER</v>
          </cell>
          <cell r="E3724">
            <v>20028</v>
          </cell>
          <cell r="F3724" t="str">
            <v>APLICADORES / ADAPTADORES / ENGATES / SUPORTES</v>
          </cell>
          <cell r="G3724" t="str">
            <v>AUTOMOTIVO</v>
          </cell>
        </row>
        <row r="3725">
          <cell r="A3725">
            <v>23786</v>
          </cell>
          <cell r="B3725" t="str">
            <v>APLICADOR PARA SILICONE VERMELHO 954</v>
          </cell>
          <cell r="C3725">
            <v>3599100140</v>
          </cell>
          <cell r="D3725" t="str">
            <v>VONDER</v>
          </cell>
          <cell r="E3725">
            <v>20028</v>
          </cell>
          <cell r="F3725" t="str">
            <v>APLICADORES / ADAPTADORES / ENGATES / SUPORTES</v>
          </cell>
          <cell r="G3725" t="str">
            <v>AUTOMOTIVO</v>
          </cell>
        </row>
        <row r="3726">
          <cell r="A3726">
            <v>85571</v>
          </cell>
          <cell r="B3726" t="str">
            <v>APLICADOR PNEUMATICO SACHE 1013 SIGMA</v>
          </cell>
          <cell r="D3726" t="str">
            <v>SIGMA</v>
          </cell>
          <cell r="E3726">
            <v>20028</v>
          </cell>
          <cell r="F3726" t="str">
            <v>APLICADORES / ADAPTADORES / ENGATES / SUPORTES</v>
          </cell>
          <cell r="G3726" t="str">
            <v>AUTOMOTIVO</v>
          </cell>
        </row>
        <row r="3727">
          <cell r="A3727">
            <v>23278</v>
          </cell>
          <cell r="B3727" t="str">
            <v>APLICADOR VX45 DE MICROFIBRA SUPER MACIO 7X10CM ALCANCE</v>
          </cell>
          <cell r="C3727">
            <v>1210</v>
          </cell>
          <cell r="D3727" t="str">
            <v>ALCANCE</v>
          </cell>
          <cell r="E3727">
            <v>20028</v>
          </cell>
          <cell r="F3727" t="str">
            <v>APLICADORES / ADAPTADORES / ENGATES / SUPORTES</v>
          </cell>
          <cell r="G3727" t="str">
            <v>AUTOMOTIVO</v>
          </cell>
        </row>
        <row r="3728">
          <cell r="A3728">
            <v>23875</v>
          </cell>
          <cell r="B3728" t="str">
            <v>ARAME MIG 0,8MM 5KG VONDER</v>
          </cell>
          <cell r="C3728">
            <v>3202</v>
          </cell>
          <cell r="D3728" t="str">
            <v>.</v>
          </cell>
          <cell r="E3728">
            <v>20028</v>
          </cell>
          <cell r="F3728" t="str">
            <v>APLICADORES / ADAPTADORES / ENGATES / SUPORTES</v>
          </cell>
          <cell r="G3728" t="str">
            <v>AUTOMOTIVO</v>
          </cell>
        </row>
        <row r="3729">
          <cell r="A3729">
            <v>20084</v>
          </cell>
          <cell r="B3729" t="str">
            <v>ARAME SOLDA COBREADO FINO 1KG</v>
          </cell>
          <cell r="C3729">
            <v>7436008015</v>
          </cell>
          <cell r="D3729" t="str">
            <v>VONDER</v>
          </cell>
          <cell r="E3729">
            <v>20028</v>
          </cell>
          <cell r="F3729" t="str">
            <v>APLICADORES / ADAPTADORES / ENGATES / SUPORTES</v>
          </cell>
          <cell r="G3729" t="str">
            <v>AUTOMOTIVO</v>
          </cell>
        </row>
        <row r="3730">
          <cell r="A3730">
            <v>20467</v>
          </cell>
          <cell r="B3730" t="str">
            <v>ARAME SOLDA MIG RL C/ 15KG 0,8MM</v>
          </cell>
          <cell r="C3730">
            <v>4968</v>
          </cell>
          <cell r="D3730" t="str">
            <v>VONDER</v>
          </cell>
          <cell r="E3730">
            <v>20028</v>
          </cell>
          <cell r="F3730" t="str">
            <v>APLICADORES / ADAPTADORES / ENGATES / SUPORTES</v>
          </cell>
          <cell r="G3730" t="str">
            <v>AUTOMOTIVO</v>
          </cell>
        </row>
        <row r="3731">
          <cell r="A3731">
            <v>20833</v>
          </cell>
          <cell r="B3731" t="str">
            <v>AVENTAL PVC KP400 1,20X0,70 BRANCO 954</v>
          </cell>
          <cell r="C3731">
            <v>7008127400</v>
          </cell>
          <cell r="D3731" t="str">
            <v>VONDER</v>
          </cell>
          <cell r="E3731">
            <v>20028</v>
          </cell>
          <cell r="F3731" t="str">
            <v>APLICADORES / ADAPTADORES / ENGATES / SUPORTES</v>
          </cell>
          <cell r="G3731" t="str">
            <v>AUTOMOTIVO</v>
          </cell>
        </row>
        <row r="3732">
          <cell r="A3732">
            <v>22239</v>
          </cell>
          <cell r="B3732" t="str">
            <v>BALANÇA SARTORIUS PMA7501 EVOLUTION</v>
          </cell>
          <cell r="C3732">
            <v>900934990189</v>
          </cell>
          <cell r="D3732" t="str">
            <v>.</v>
          </cell>
          <cell r="E3732">
            <v>20028</v>
          </cell>
          <cell r="F3732" t="str">
            <v>APLICADORES / ADAPTADORES / ENGATES / SUPORTES</v>
          </cell>
          <cell r="G3732" t="str">
            <v>AUTOMOTIVO</v>
          </cell>
        </row>
        <row r="3733">
          <cell r="A3733">
            <v>23559</v>
          </cell>
          <cell r="B3733" t="str">
            <v>BALANÇA TOLEDO</v>
          </cell>
          <cell r="C3733">
            <v>2004659</v>
          </cell>
          <cell r="D3733" t="str">
            <v>WANDA</v>
          </cell>
          <cell r="E3733">
            <v>20028</v>
          </cell>
          <cell r="F3733" t="str">
            <v>APLICADORES / ADAPTADORES / ENGATES / SUPORTES</v>
          </cell>
          <cell r="G3733" t="str">
            <v>AUTOMOTIVO</v>
          </cell>
        </row>
        <row r="3734">
          <cell r="A3734">
            <v>22964</v>
          </cell>
          <cell r="B3734" t="str">
            <v>BANDEJA ACRILICA  - CRISTAL</v>
          </cell>
          <cell r="C3734">
            <v>43010</v>
          </cell>
          <cell r="D3734" t="str">
            <v>.</v>
          </cell>
          <cell r="E3734">
            <v>20028</v>
          </cell>
          <cell r="F3734" t="str">
            <v>APLICADORES / ADAPTADORES / ENGATES / SUPORTES</v>
          </cell>
          <cell r="G3734" t="str">
            <v>AUTOMOTIVO</v>
          </cell>
        </row>
        <row r="3735">
          <cell r="A3735">
            <v>24343</v>
          </cell>
          <cell r="B3735" t="str">
            <v>BICO DE LIMPEZA C/TERM. RODO-AR PRETO C/ PORCA SCHWEERS</v>
          </cell>
          <cell r="C3735" t="str">
            <v>BS 02 RA P PORCA</v>
          </cell>
          <cell r="D3735" t="str">
            <v>SCHWEERS</v>
          </cell>
          <cell r="E3735">
            <v>20028</v>
          </cell>
          <cell r="F3735" t="str">
            <v>APLICADORES / ADAPTADORES / ENGATES / SUPORTES</v>
          </cell>
          <cell r="G3735" t="str">
            <v>AUTOMOTIVO</v>
          </cell>
        </row>
        <row r="3736">
          <cell r="A3736">
            <v>64</v>
          </cell>
          <cell r="B3736" t="str">
            <v>BLOCO DE ESPUMA 60MMX130MMX225MM PURPLEX</v>
          </cell>
          <cell r="C3736">
            <v>90</v>
          </cell>
          <cell r="D3736" t="str">
            <v>PURPLEX</v>
          </cell>
          <cell r="E3736">
            <v>20028</v>
          </cell>
          <cell r="F3736" t="str">
            <v>APLICADORES / ADAPTADORES / ENGATES / SUPORTES</v>
          </cell>
          <cell r="G3736" t="str">
            <v>AUTOMOTIVO</v>
          </cell>
        </row>
        <row r="3737">
          <cell r="A3737">
            <v>83840</v>
          </cell>
          <cell r="B3737" t="str">
            <v>BRACO DE CONTATO P/ CORREIAS 13MM CORR PC 3M</v>
          </cell>
          <cell r="C3737" t="str">
            <v>HB004520639</v>
          </cell>
          <cell r="D3737" t="str">
            <v>3M</v>
          </cell>
          <cell r="E3737">
            <v>20028</v>
          </cell>
          <cell r="F3737" t="str">
            <v>APLICADORES / ADAPTADORES / ENGATES / SUPORTES</v>
          </cell>
          <cell r="G3737" t="str">
            <v>AUTOMOTIVO</v>
          </cell>
        </row>
        <row r="3738">
          <cell r="A3738">
            <v>83985</v>
          </cell>
          <cell r="B3738" t="str">
            <v>BROCA ACO 3,17MM</v>
          </cell>
          <cell r="C3738" t="str">
            <v>02.06.01.0082</v>
          </cell>
          <cell r="D3738" t="str">
            <v>.</v>
          </cell>
          <cell r="E3738">
            <v>20028</v>
          </cell>
          <cell r="F3738" t="str">
            <v>APLICADORES / ADAPTADORES / ENGATES / SUPORTES</v>
          </cell>
          <cell r="G3738" t="str">
            <v>AUTOMOTIVO</v>
          </cell>
        </row>
        <row r="3739">
          <cell r="A3739">
            <v>83984</v>
          </cell>
          <cell r="B3739" t="str">
            <v>BROCA ACO 6,00MM</v>
          </cell>
          <cell r="C3739" t="str">
            <v>02.06.01.0032</v>
          </cell>
          <cell r="D3739" t="str">
            <v>.</v>
          </cell>
          <cell r="E3739">
            <v>20028</v>
          </cell>
          <cell r="F3739" t="str">
            <v>APLICADORES / ADAPTADORES / ENGATES / SUPORTES</v>
          </cell>
          <cell r="G3739" t="str">
            <v>AUTOMOTIVO</v>
          </cell>
        </row>
        <row r="3740">
          <cell r="A3740">
            <v>83986</v>
          </cell>
          <cell r="B3740" t="str">
            <v>BROCA ACO 6,35MM</v>
          </cell>
          <cell r="C3740" t="str">
            <v>02.06.01.0090</v>
          </cell>
          <cell r="D3740" t="str">
            <v>.</v>
          </cell>
          <cell r="E3740">
            <v>20028</v>
          </cell>
          <cell r="F3740" t="str">
            <v>APLICADORES / ADAPTADORES / ENGATES / SUPORTES</v>
          </cell>
          <cell r="G3740" t="str">
            <v>AUTOMOTIVO</v>
          </cell>
        </row>
        <row r="3741">
          <cell r="A3741">
            <v>83983</v>
          </cell>
          <cell r="B3741" t="str">
            <v>BROCA ACO 7,00MM</v>
          </cell>
          <cell r="C3741" t="str">
            <v>02.06.01.0034</v>
          </cell>
          <cell r="D3741" t="str">
            <v>.</v>
          </cell>
          <cell r="E3741">
            <v>20028</v>
          </cell>
          <cell r="F3741" t="str">
            <v>APLICADORES / ADAPTADORES / ENGATES / SUPORTES</v>
          </cell>
          <cell r="G3741" t="str">
            <v>AUTOMOTIVO</v>
          </cell>
        </row>
        <row r="3742">
          <cell r="A3742">
            <v>83987</v>
          </cell>
          <cell r="B3742" t="str">
            <v>BROCA ACO 7,93MM</v>
          </cell>
          <cell r="C3742" t="str">
            <v>02.06.01.0094</v>
          </cell>
          <cell r="D3742" t="str">
            <v>.</v>
          </cell>
          <cell r="E3742">
            <v>20028</v>
          </cell>
          <cell r="F3742" t="str">
            <v>APLICADORES / ADAPTADORES / ENGATES / SUPORTES</v>
          </cell>
          <cell r="G3742" t="str">
            <v>AUTOMOTIVO</v>
          </cell>
        </row>
        <row r="3743">
          <cell r="A3743">
            <v>21469</v>
          </cell>
          <cell r="B3743" t="str">
            <v>CADEADO 50MM PADO</v>
          </cell>
          <cell r="C3743">
            <v>3251050000</v>
          </cell>
          <cell r="D3743" t="str">
            <v>.</v>
          </cell>
          <cell r="E3743">
            <v>20028</v>
          </cell>
          <cell r="F3743" t="str">
            <v>APLICADORES / ADAPTADORES / ENGATES / SUPORTES</v>
          </cell>
          <cell r="G3743" t="str">
            <v>AUTOMOTIVO</v>
          </cell>
        </row>
        <row r="3744">
          <cell r="A3744">
            <v>24329</v>
          </cell>
          <cell r="B3744" t="str">
            <v>CAIXA DE FERRAMENTA METALICA 5 GAVETAS 40X18X20 VONDER</v>
          </cell>
          <cell r="C3744">
            <v>6115402021</v>
          </cell>
          <cell r="D3744" t="str">
            <v>VONDER</v>
          </cell>
          <cell r="E3744">
            <v>20028</v>
          </cell>
          <cell r="F3744" t="str">
            <v>APLICADORES / ADAPTADORES / ENGATES / SUPORTES</v>
          </cell>
          <cell r="G3744" t="str">
            <v>AUTOMOTIVO</v>
          </cell>
        </row>
        <row r="3745">
          <cell r="A3745">
            <v>84919</v>
          </cell>
          <cell r="B3745" t="str">
            <v>CAIXA DE FERRAMENTA METALICA 5 GAVETAS 50X19X20 VONDER</v>
          </cell>
          <cell r="C3745">
            <v>6115502021</v>
          </cell>
          <cell r="D3745" t="str">
            <v>VONDER</v>
          </cell>
          <cell r="E3745">
            <v>20028</v>
          </cell>
          <cell r="F3745" t="str">
            <v>APLICADORES / ADAPTADORES / ENGATES / SUPORTES</v>
          </cell>
          <cell r="G3745" t="str">
            <v>AUTOMOTIVO</v>
          </cell>
        </row>
        <row r="3746">
          <cell r="A3746">
            <v>24344</v>
          </cell>
          <cell r="B3746" t="str">
            <v>CALIBRADOR PEQUENO 5 A 50 LBS SCHWEERS</v>
          </cell>
          <cell r="C3746">
            <v>7750</v>
          </cell>
          <cell r="D3746" t="str">
            <v>SCHWEERS</v>
          </cell>
          <cell r="E3746">
            <v>20028</v>
          </cell>
          <cell r="F3746" t="str">
            <v>APLICADORES / ADAPTADORES / ENGATES / SUPORTES</v>
          </cell>
          <cell r="G3746" t="str">
            <v>AUTOMOTIVO</v>
          </cell>
        </row>
        <row r="3747">
          <cell r="A3747">
            <v>83860</v>
          </cell>
          <cell r="B3747" t="str">
            <v>CAMISA SISTEMA PPS 2.0 650ML 3M-28,96-ST</v>
          </cell>
          <cell r="C3747" t="str">
            <v>HB004668453</v>
          </cell>
          <cell r="D3747" t="str">
            <v>3M</v>
          </cell>
          <cell r="E3747">
            <v>20028</v>
          </cell>
          <cell r="F3747" t="str">
            <v>APLICADORES / ADAPTADORES / ENGATES / SUPORTES</v>
          </cell>
          <cell r="G3747" t="str">
            <v>AUTOMOTIVO</v>
          </cell>
        </row>
        <row r="3748">
          <cell r="A3748">
            <v>83845</v>
          </cell>
          <cell r="B3748" t="str">
            <v>CAPA DE AR P/ W-400WB</v>
          </cell>
          <cell r="C3748">
            <v>93624620</v>
          </cell>
          <cell r="D3748" t="str">
            <v>ANEST</v>
          </cell>
          <cell r="E3748">
            <v>20028</v>
          </cell>
          <cell r="F3748" t="str">
            <v>APLICADORES / ADAPTADORES / ENGATES / SUPORTES</v>
          </cell>
          <cell r="G3748" t="str">
            <v>AUTOMOTIVO</v>
          </cell>
        </row>
        <row r="3749">
          <cell r="A3749">
            <v>131</v>
          </cell>
          <cell r="B3749" t="str">
            <v>CAPA DE AR P/ W/WA-200</v>
          </cell>
          <cell r="C3749">
            <v>93816611</v>
          </cell>
          <cell r="D3749" t="str">
            <v>ANEST</v>
          </cell>
          <cell r="E3749">
            <v>20028</v>
          </cell>
          <cell r="F3749" t="str">
            <v>APLICADORES / ADAPTADORES / ENGATES / SUPORTES</v>
          </cell>
          <cell r="G3749" t="str">
            <v>AUTOMOTIVO</v>
          </cell>
        </row>
        <row r="3750">
          <cell r="A3750">
            <v>21692</v>
          </cell>
          <cell r="B3750" t="str">
            <v>CAPA PVC C/FORRO G AMARELA 954</v>
          </cell>
          <cell r="C3750">
            <v>7015022954</v>
          </cell>
          <cell r="D3750" t="str">
            <v>VONDER</v>
          </cell>
          <cell r="E3750">
            <v>20028</v>
          </cell>
          <cell r="F3750" t="str">
            <v>APLICADORES / ADAPTADORES / ENGATES / SUPORTES</v>
          </cell>
          <cell r="G3750" t="str">
            <v>AUTOMOTIVO</v>
          </cell>
        </row>
        <row r="3751">
          <cell r="A3751">
            <v>85594</v>
          </cell>
          <cell r="B3751" t="str">
            <v>CAVALETE DE PREPARAÇÃO DOBRAVEL AI 06</v>
          </cell>
          <cell r="C3751" t="str">
            <v>AI-06</v>
          </cell>
          <cell r="D3751" t="str">
            <v>ARCO IRIS (CAVELETES)</v>
          </cell>
          <cell r="E3751">
            <v>20028</v>
          </cell>
          <cell r="F3751" t="str">
            <v>APLICADORES / ADAPTADORES / ENGATES / SUPORTES</v>
          </cell>
          <cell r="G3751" t="str">
            <v>AUTOMOTIVO</v>
          </cell>
        </row>
        <row r="3752">
          <cell r="A3752">
            <v>83995</v>
          </cell>
          <cell r="B3752" t="str">
            <v>CESTO METALICO</v>
          </cell>
          <cell r="C3752">
            <v>17812</v>
          </cell>
          <cell r="D3752" t="str">
            <v>.</v>
          </cell>
          <cell r="E3752">
            <v>20028</v>
          </cell>
          <cell r="F3752" t="str">
            <v>APLICADORES / ADAPTADORES / ENGATES / SUPORTES</v>
          </cell>
          <cell r="G3752" t="str">
            <v>AUTOMOTIVO</v>
          </cell>
        </row>
        <row r="3753">
          <cell r="A3753">
            <v>83978</v>
          </cell>
          <cell r="B3753" t="str">
            <v>CH ALLEN 10MM</v>
          </cell>
          <cell r="C3753">
            <v>3573100101</v>
          </cell>
          <cell r="D3753" t="str">
            <v>VONDER</v>
          </cell>
          <cell r="E3753">
            <v>20028</v>
          </cell>
          <cell r="F3753" t="str">
            <v>APLICADORES / ADAPTADORES / ENGATES / SUPORTES</v>
          </cell>
          <cell r="G3753" t="str">
            <v>AUTOMOTIVO</v>
          </cell>
        </row>
        <row r="3754">
          <cell r="A3754">
            <v>22314</v>
          </cell>
          <cell r="B3754" t="str">
            <v>CH ALLEN JG 1,5A10MM 9PC</v>
          </cell>
          <cell r="C3754">
            <v>3573151000</v>
          </cell>
          <cell r="D3754" t="str">
            <v>VONDER</v>
          </cell>
          <cell r="E3754">
            <v>20028</v>
          </cell>
          <cell r="F3754" t="str">
            <v>APLICADORES / ADAPTADORES / ENGATES / SUPORTES</v>
          </cell>
          <cell r="G3754" t="str">
            <v>AUTOMOTIVO</v>
          </cell>
        </row>
        <row r="3755">
          <cell r="A3755">
            <v>22315</v>
          </cell>
          <cell r="B3755" t="str">
            <v>CH FENDA 1/4X4</v>
          </cell>
          <cell r="C3755">
            <v>10524007</v>
          </cell>
          <cell r="D3755" t="str">
            <v>.</v>
          </cell>
          <cell r="E3755">
            <v>20028</v>
          </cell>
          <cell r="F3755" t="str">
            <v>APLICADORES / ADAPTADORES / ENGATES / SUPORTES</v>
          </cell>
          <cell r="G3755" t="str">
            <v>AUTOMOTIVO</v>
          </cell>
        </row>
        <row r="3756">
          <cell r="A3756">
            <v>83971</v>
          </cell>
          <cell r="B3756" t="str">
            <v>CH FENDA 1/8X4</v>
          </cell>
          <cell r="C3756">
            <v>3070218400</v>
          </cell>
          <cell r="D3756" t="str">
            <v>VONDER</v>
          </cell>
          <cell r="E3756">
            <v>20028</v>
          </cell>
          <cell r="F3756" t="str">
            <v>APLICADORES / ADAPTADORES / ENGATES / SUPORTES</v>
          </cell>
          <cell r="G3756" t="str">
            <v>AUTOMOTIVO</v>
          </cell>
        </row>
        <row r="3757">
          <cell r="A3757">
            <v>83972</v>
          </cell>
          <cell r="B3757" t="str">
            <v>CH FENDA 3/16X4</v>
          </cell>
          <cell r="C3757">
            <v>3070236400</v>
          </cell>
          <cell r="D3757" t="str">
            <v>VONDER</v>
          </cell>
          <cell r="E3757">
            <v>20028</v>
          </cell>
          <cell r="F3757" t="str">
            <v>APLICADORES / ADAPTADORES / ENGATES / SUPORTES</v>
          </cell>
          <cell r="G3757" t="str">
            <v>AUTOMOTIVO</v>
          </cell>
        </row>
        <row r="3758">
          <cell r="A3758">
            <v>85190</v>
          </cell>
          <cell r="B3758" t="str">
            <v>CH FENDA 3/16X6 VONDER</v>
          </cell>
          <cell r="C3758">
            <v>3070703166</v>
          </cell>
          <cell r="D3758" t="str">
            <v>VONDER</v>
          </cell>
          <cell r="E3758">
            <v>20028</v>
          </cell>
          <cell r="F3758" t="str">
            <v>APLICADORES / ADAPTADORES / ENGATES / SUPORTES</v>
          </cell>
          <cell r="G3758" t="str">
            <v>AUTOMOTIVO</v>
          </cell>
        </row>
        <row r="3759">
          <cell r="A3759">
            <v>83973</v>
          </cell>
          <cell r="B3759" t="str">
            <v>CH PHILIPS 1/4X4</v>
          </cell>
          <cell r="C3759">
            <v>3072214400</v>
          </cell>
          <cell r="D3759" t="str">
            <v>.</v>
          </cell>
          <cell r="E3759">
            <v>20028</v>
          </cell>
          <cell r="F3759" t="str">
            <v>APLICADORES / ADAPTADORES / ENGATES / SUPORTES</v>
          </cell>
          <cell r="G3759" t="str">
            <v>AUTOMOTIVO</v>
          </cell>
        </row>
        <row r="3760">
          <cell r="A3760">
            <v>83974</v>
          </cell>
          <cell r="B3760" t="str">
            <v>CH PHILIPS 1/8X4</v>
          </cell>
          <cell r="C3760">
            <v>3072218400</v>
          </cell>
          <cell r="D3760" t="str">
            <v>VONDER</v>
          </cell>
          <cell r="E3760">
            <v>20028</v>
          </cell>
          <cell r="F3760" t="str">
            <v>APLICADORES / ADAPTADORES / ENGATES / SUPORTES</v>
          </cell>
          <cell r="G3760" t="str">
            <v>AUTOMOTIVO</v>
          </cell>
        </row>
        <row r="3761">
          <cell r="A3761">
            <v>85191</v>
          </cell>
          <cell r="B3761" t="str">
            <v>CH PHILIPS 3/16X6 CRV VONDER</v>
          </cell>
          <cell r="C3761">
            <v>3072703166</v>
          </cell>
          <cell r="D3761" t="str">
            <v>VONDER</v>
          </cell>
          <cell r="E3761">
            <v>20028</v>
          </cell>
          <cell r="F3761" t="str">
            <v>APLICADORES / ADAPTADORES / ENGATES / SUPORTES</v>
          </cell>
          <cell r="G3761" t="str">
            <v>AUTOMOTIVO</v>
          </cell>
        </row>
        <row r="3762">
          <cell r="A3762">
            <v>23347</v>
          </cell>
          <cell r="B3762" t="str">
            <v>CHAPINHA P/ ACERTO DE COR SEM FURO</v>
          </cell>
          <cell r="C3762" t="str">
            <v>80.79.92762-419</v>
          </cell>
          <cell r="D3762" t="str">
            <v>SHERWIN WILLIAMS</v>
          </cell>
          <cell r="E3762">
            <v>20028</v>
          </cell>
          <cell r="F3762" t="str">
            <v>APLICADORES / ADAPTADORES / ENGATES / SUPORTES</v>
          </cell>
          <cell r="G3762" t="str">
            <v>AUTOMOTIVO</v>
          </cell>
        </row>
        <row r="3763">
          <cell r="A3763">
            <v>21313</v>
          </cell>
          <cell r="B3763" t="str">
            <v>CHAPINHA P/ ACERTO DE COR SEM FURO PURPLEX</v>
          </cell>
          <cell r="C3763">
            <v>111</v>
          </cell>
          <cell r="D3763" t="str">
            <v>PURPLEX</v>
          </cell>
          <cell r="E3763">
            <v>20028</v>
          </cell>
          <cell r="F3763" t="str">
            <v>APLICADORES / ADAPTADORES / ENGATES / SUPORTES</v>
          </cell>
          <cell r="G3763" t="str">
            <v>AUTOMOTIVO</v>
          </cell>
        </row>
        <row r="3764">
          <cell r="A3764">
            <v>84820</v>
          </cell>
          <cell r="B3764" t="str">
            <v>CHAVE BIELA 10MM</v>
          </cell>
          <cell r="C3764">
            <v>3698010000</v>
          </cell>
          <cell r="D3764" t="str">
            <v>.</v>
          </cell>
          <cell r="E3764">
            <v>20028</v>
          </cell>
          <cell r="F3764" t="str">
            <v>APLICADORES / ADAPTADORES / ENGATES / SUPORTES</v>
          </cell>
          <cell r="G3764" t="str">
            <v>AUTOMOTIVO</v>
          </cell>
        </row>
        <row r="3765">
          <cell r="A3765">
            <v>84821</v>
          </cell>
          <cell r="B3765" t="str">
            <v>CHAVE BIELA 13MM</v>
          </cell>
          <cell r="C3765">
            <v>3698013000</v>
          </cell>
          <cell r="D3765" t="str">
            <v>.</v>
          </cell>
          <cell r="E3765">
            <v>20028</v>
          </cell>
          <cell r="F3765" t="str">
            <v>APLICADORES / ADAPTADORES / ENGATES / SUPORTES</v>
          </cell>
          <cell r="G3765" t="str">
            <v>AUTOMOTIVO</v>
          </cell>
        </row>
        <row r="3766">
          <cell r="A3766">
            <v>21478</v>
          </cell>
          <cell r="B3766" t="str">
            <v>CHAVE CANHAO 10MM</v>
          </cell>
          <cell r="C3766">
            <v>1291010</v>
          </cell>
          <cell r="D3766" t="str">
            <v>.</v>
          </cell>
          <cell r="E3766">
            <v>20028</v>
          </cell>
          <cell r="F3766" t="str">
            <v>APLICADORES / ADAPTADORES / ENGATES / SUPORTES</v>
          </cell>
          <cell r="G3766" t="str">
            <v>AUTOMOTIVO</v>
          </cell>
        </row>
        <row r="3767">
          <cell r="A3767">
            <v>83966</v>
          </cell>
          <cell r="B3767" t="str">
            <v>CHAVE CANHAO 13MM</v>
          </cell>
          <cell r="C3767">
            <v>3670013000</v>
          </cell>
          <cell r="D3767" t="str">
            <v>.</v>
          </cell>
          <cell r="E3767">
            <v>20028</v>
          </cell>
          <cell r="F3767" t="str">
            <v>APLICADORES / ADAPTADORES / ENGATES / SUPORTES</v>
          </cell>
          <cell r="G3767" t="str">
            <v>AUTOMOTIVO</v>
          </cell>
        </row>
        <row r="3768">
          <cell r="A3768">
            <v>21464</v>
          </cell>
          <cell r="B3768" t="str">
            <v>CHAVE COMBINADA 08MM</v>
          </cell>
          <cell r="C3768">
            <v>2723</v>
          </cell>
          <cell r="D3768" t="str">
            <v>.</v>
          </cell>
          <cell r="E3768">
            <v>20028</v>
          </cell>
          <cell r="F3768" t="str">
            <v>APLICADORES / ADAPTADORES / ENGATES / SUPORTES</v>
          </cell>
          <cell r="G3768" t="str">
            <v>AUTOMOTIVO</v>
          </cell>
        </row>
        <row r="3769">
          <cell r="A3769">
            <v>83968</v>
          </cell>
          <cell r="B3769" t="str">
            <v>CHAVE COMBINADA 08MM CATRACA</v>
          </cell>
          <cell r="C3769">
            <v>3606300008</v>
          </cell>
          <cell r="D3769" t="str">
            <v>.</v>
          </cell>
          <cell r="E3769">
            <v>20028</v>
          </cell>
          <cell r="F3769" t="str">
            <v>APLICADORES / ADAPTADORES / ENGATES / SUPORTES</v>
          </cell>
          <cell r="G3769" t="str">
            <v>AUTOMOTIVO</v>
          </cell>
        </row>
        <row r="3770">
          <cell r="A3770">
            <v>21465</v>
          </cell>
          <cell r="B3770" t="str">
            <v>CHAVE COMBINADA 10MM</v>
          </cell>
          <cell r="C3770">
            <v>2725</v>
          </cell>
          <cell r="D3770" t="str">
            <v>.</v>
          </cell>
          <cell r="E3770">
            <v>20028</v>
          </cell>
          <cell r="F3770" t="str">
            <v>APLICADORES / ADAPTADORES / ENGATES / SUPORTES</v>
          </cell>
          <cell r="G3770" t="str">
            <v>AUTOMOTIVO</v>
          </cell>
        </row>
        <row r="3771">
          <cell r="A3771">
            <v>83969</v>
          </cell>
          <cell r="B3771" t="str">
            <v>CHAVE COMBINADA 10MM CATRACA</v>
          </cell>
          <cell r="C3771">
            <v>3606300010</v>
          </cell>
          <cell r="D3771" t="str">
            <v>.</v>
          </cell>
          <cell r="E3771">
            <v>20028</v>
          </cell>
          <cell r="F3771" t="str">
            <v>APLICADORES / ADAPTADORES / ENGATES / SUPORTES</v>
          </cell>
          <cell r="G3771" t="str">
            <v>AUTOMOTIVO</v>
          </cell>
        </row>
        <row r="3772">
          <cell r="A3772">
            <v>21487</v>
          </cell>
          <cell r="B3772" t="str">
            <v>CHAVE COMBINADA 13MM</v>
          </cell>
          <cell r="C3772">
            <v>5147</v>
          </cell>
          <cell r="D3772" t="str">
            <v>.</v>
          </cell>
          <cell r="E3772">
            <v>20028</v>
          </cell>
          <cell r="F3772" t="str">
            <v>APLICADORES / ADAPTADORES / ENGATES / SUPORTES</v>
          </cell>
          <cell r="G3772" t="str">
            <v>AUTOMOTIVO</v>
          </cell>
        </row>
        <row r="3773">
          <cell r="A3773">
            <v>83967</v>
          </cell>
          <cell r="B3773" t="str">
            <v>CHAVE COMBINADA 15MM</v>
          </cell>
          <cell r="C3773">
            <v>3739150000</v>
          </cell>
          <cell r="D3773" t="str">
            <v>.</v>
          </cell>
          <cell r="E3773">
            <v>20028</v>
          </cell>
          <cell r="F3773" t="str">
            <v>APLICADORES / ADAPTADORES / ENGATES / SUPORTES</v>
          </cell>
          <cell r="G3773" t="str">
            <v>AUTOMOTIVO</v>
          </cell>
        </row>
        <row r="3774">
          <cell r="A3774">
            <v>23899</v>
          </cell>
          <cell r="B3774" t="str">
            <v>CHAVE DE PARTIDA MONO IEC 2CV 220V-14,66-ST</v>
          </cell>
          <cell r="C3774">
            <v>7851338130</v>
          </cell>
          <cell r="D3774" t="str">
            <v>VONDER</v>
          </cell>
          <cell r="E3774">
            <v>20028</v>
          </cell>
          <cell r="F3774" t="str">
            <v>APLICADORES / ADAPTADORES / ENGATES / SUPORTES</v>
          </cell>
          <cell r="G3774" t="str">
            <v>AUTOMOTIVO</v>
          </cell>
        </row>
        <row r="3775">
          <cell r="A3775">
            <v>83980</v>
          </cell>
          <cell r="B3775" t="str">
            <v>CHAVE TORX JG 9PC</v>
          </cell>
          <cell r="C3775">
            <v>3573010050</v>
          </cell>
          <cell r="D3775" t="str">
            <v>VONDER</v>
          </cell>
          <cell r="E3775">
            <v>20028</v>
          </cell>
          <cell r="F3775" t="str">
            <v>APLICADORES / ADAPTADORES / ENGATES / SUPORTES</v>
          </cell>
          <cell r="G3775" t="str">
            <v>AUTOMOTIVO</v>
          </cell>
        </row>
        <row r="3776">
          <cell r="A3776">
            <v>22677</v>
          </cell>
          <cell r="B3776" t="str">
            <v>CHAVE TORX T20 X 4"</v>
          </cell>
          <cell r="C3776">
            <v>3573110020</v>
          </cell>
          <cell r="D3776" t="str">
            <v>VONDER</v>
          </cell>
          <cell r="E3776">
            <v>20028</v>
          </cell>
          <cell r="F3776" t="str">
            <v>APLICADORES / ADAPTADORES / ENGATES / SUPORTES</v>
          </cell>
          <cell r="G3776" t="str">
            <v>AUTOMOTIVO</v>
          </cell>
        </row>
        <row r="3777">
          <cell r="A3777">
            <v>83979</v>
          </cell>
          <cell r="B3777" t="str">
            <v>CHAVE TORX T40 X 4"</v>
          </cell>
          <cell r="C3777">
            <v>3573110040</v>
          </cell>
          <cell r="D3777" t="str">
            <v>VONDER</v>
          </cell>
          <cell r="E3777">
            <v>20028</v>
          </cell>
          <cell r="F3777" t="str">
            <v>APLICADORES / ADAPTADORES / ENGATES / SUPORTES</v>
          </cell>
          <cell r="G3777" t="str">
            <v>AUTOMOTIVO</v>
          </cell>
        </row>
        <row r="3778">
          <cell r="A3778">
            <v>84450</v>
          </cell>
          <cell r="B3778" t="str">
            <v>CINTA ERGONOMICA C ELASTICO VM G</v>
          </cell>
          <cell r="C3778">
            <v>13354</v>
          </cell>
          <cell r="D3778" t="str">
            <v>.</v>
          </cell>
          <cell r="E3778">
            <v>20028</v>
          </cell>
          <cell r="F3778" t="str">
            <v>APLICADORES / ADAPTADORES / ENGATES / SUPORTES</v>
          </cell>
          <cell r="G3778" t="str">
            <v>AUTOMOTIVO</v>
          </cell>
        </row>
        <row r="3779">
          <cell r="A3779">
            <v>84451</v>
          </cell>
          <cell r="B3779" t="str">
            <v>CINTA ERGONOMICA C ELASTICO VM M</v>
          </cell>
          <cell r="C3779">
            <v>13353</v>
          </cell>
          <cell r="D3779" t="str">
            <v>.</v>
          </cell>
          <cell r="E3779">
            <v>20028</v>
          </cell>
          <cell r="F3779" t="str">
            <v>APLICADORES / ADAPTADORES / ENGATES / SUPORTES</v>
          </cell>
          <cell r="G3779" t="str">
            <v>AUTOMOTIVO</v>
          </cell>
        </row>
        <row r="3780">
          <cell r="A3780">
            <v>23630</v>
          </cell>
          <cell r="B3780" t="str">
            <v>CLICHE NOVO</v>
          </cell>
          <cell r="C3780">
            <v>131</v>
          </cell>
          <cell r="D3780" t="str">
            <v>ETITEC</v>
          </cell>
          <cell r="E3780">
            <v>20028</v>
          </cell>
          <cell r="F3780" t="str">
            <v>APLICADORES / ADAPTADORES / ENGATES / SUPORTES</v>
          </cell>
          <cell r="G3780" t="str">
            <v>AUTOMOTIVO</v>
          </cell>
        </row>
        <row r="3781">
          <cell r="A3781">
            <v>23876</v>
          </cell>
          <cell r="B3781" t="str">
            <v>COMPRESSOR VDCSV 10/100 MONO 127/220</v>
          </cell>
          <cell r="C3781">
            <v>6829710122</v>
          </cell>
          <cell r="D3781" t="str">
            <v>VONDER</v>
          </cell>
          <cell r="E3781">
            <v>20028</v>
          </cell>
          <cell r="F3781" t="str">
            <v>APLICADORES / ADAPTADORES / ENGATES / SUPORTES</v>
          </cell>
          <cell r="G3781" t="str">
            <v>AUTOMOTIVO</v>
          </cell>
        </row>
        <row r="3782">
          <cell r="A3782">
            <v>130</v>
          </cell>
          <cell r="B3782" t="str">
            <v>CONJ BICO E AGULHA P/ W-400G/W-200S 1.80MM</v>
          </cell>
          <cell r="C3782">
            <v>93821610</v>
          </cell>
          <cell r="D3782" t="str">
            <v>ANEST</v>
          </cell>
          <cell r="E3782">
            <v>20028</v>
          </cell>
          <cell r="F3782" t="str">
            <v>APLICADORES / ADAPTADORES / ENGATES / SUPORTES</v>
          </cell>
          <cell r="G3782" t="str">
            <v>AUTOMOTIVO</v>
          </cell>
        </row>
        <row r="3783">
          <cell r="A3783">
            <v>23270</v>
          </cell>
          <cell r="B3783" t="str">
            <v>COPO 1L PLASZOM</v>
          </cell>
          <cell r="C3783">
            <v>179598</v>
          </cell>
          <cell r="D3783" t="str">
            <v>ATUAIS</v>
          </cell>
          <cell r="E3783">
            <v>20028</v>
          </cell>
          <cell r="F3783" t="str">
            <v>APLICADORES / ADAPTADORES / ENGATES / SUPORTES</v>
          </cell>
          <cell r="G3783" t="str">
            <v>AUTOMOTIVO</v>
          </cell>
        </row>
        <row r="3784">
          <cell r="A3784">
            <v>23272</v>
          </cell>
          <cell r="B3784" t="str">
            <v>COPO 2L PLASZOM</v>
          </cell>
          <cell r="C3784">
            <v>129998</v>
          </cell>
          <cell r="D3784" t="str">
            <v>ATUAIS</v>
          </cell>
          <cell r="E3784">
            <v>20028</v>
          </cell>
          <cell r="F3784" t="str">
            <v>APLICADORES / ADAPTADORES / ENGATES / SUPORTES</v>
          </cell>
          <cell r="G3784" t="str">
            <v>AUTOMOTIVO</v>
          </cell>
        </row>
        <row r="3785">
          <cell r="A3785">
            <v>22339</v>
          </cell>
          <cell r="B3785" t="str">
            <v>COPO DE MISTURA 1,5L WANDA</v>
          </cell>
          <cell r="C3785">
            <v>2004314</v>
          </cell>
          <cell r="D3785" t="str">
            <v>WANDA</v>
          </cell>
          <cell r="E3785">
            <v>20028</v>
          </cell>
          <cell r="F3785" t="str">
            <v>APLICADORES / ADAPTADORES / ENGATES / SUPORTES</v>
          </cell>
          <cell r="G3785" t="str">
            <v>AUTOMOTIVO</v>
          </cell>
        </row>
        <row r="3786">
          <cell r="A3786">
            <v>20217</v>
          </cell>
          <cell r="B3786" t="str">
            <v>COPO DE MISTURA 450ML WANDA</v>
          </cell>
          <cell r="C3786">
            <v>2004315</v>
          </cell>
          <cell r="D3786" t="str">
            <v>WANDA</v>
          </cell>
          <cell r="E3786">
            <v>20028</v>
          </cell>
          <cell r="F3786" t="str">
            <v>APLICADORES / ADAPTADORES / ENGATES / SUPORTES</v>
          </cell>
          <cell r="G3786" t="str">
            <v>AUTOMOTIVO</v>
          </cell>
        </row>
        <row r="3787">
          <cell r="A3787">
            <v>23509</v>
          </cell>
          <cell r="B3787" t="str">
            <v>COPO DESCARTAVEL 200ML</v>
          </cell>
          <cell r="C3787">
            <v>206</v>
          </cell>
          <cell r="D3787" t="str">
            <v>BRILHOMAX</v>
          </cell>
          <cell r="E3787">
            <v>20028</v>
          </cell>
          <cell r="F3787" t="str">
            <v>APLICADORES / ADAPTADORES / ENGATES / SUPORTES</v>
          </cell>
          <cell r="G3787" t="str">
            <v>AUTOMOTIVO</v>
          </cell>
        </row>
        <row r="3788">
          <cell r="A3788">
            <v>84779</v>
          </cell>
          <cell r="B3788" t="str">
            <v>COPO PARA SISTEMA PPS 2 650ML 3M</v>
          </cell>
          <cell r="C3788">
            <v>4833</v>
          </cell>
          <cell r="D3788" t="str">
            <v>3M</v>
          </cell>
          <cell r="E3788">
            <v>20028</v>
          </cell>
          <cell r="F3788" t="str">
            <v>APLICADORES / ADAPTADORES / ENGATES / SUPORTES</v>
          </cell>
          <cell r="G3788" t="str">
            <v>AUTOMOTIVO</v>
          </cell>
        </row>
        <row r="3789">
          <cell r="A3789">
            <v>10062</v>
          </cell>
          <cell r="B3789" t="str">
            <v>COPO PARA SISTEMA PPS 600ML 3M</v>
          </cell>
          <cell r="C3789" t="str">
            <v>H0002109009</v>
          </cell>
          <cell r="D3789" t="str">
            <v>3M</v>
          </cell>
          <cell r="E3789">
            <v>20028</v>
          </cell>
          <cell r="F3789" t="str">
            <v>APLICADORES / ADAPTADORES / ENGATES / SUPORTES</v>
          </cell>
          <cell r="G3789" t="str">
            <v>AUTOMOTIVO</v>
          </cell>
        </row>
        <row r="3790">
          <cell r="A3790">
            <v>21661</v>
          </cell>
          <cell r="B3790" t="str">
            <v>COPO SISTEMA DE PINTURA 750ML NORTON</v>
          </cell>
          <cell r="C3790">
            <v>66623315995</v>
          </cell>
          <cell r="D3790" t="str">
            <v>NORTON</v>
          </cell>
          <cell r="E3790">
            <v>20028</v>
          </cell>
          <cell r="F3790" t="str">
            <v>APLICADORES / ADAPTADORES / ENGATES / SUPORTES</v>
          </cell>
          <cell r="G3790" t="str">
            <v>AUTOMOTIVO</v>
          </cell>
        </row>
        <row r="3791">
          <cell r="A3791">
            <v>22979</v>
          </cell>
          <cell r="B3791" t="str">
            <v>DESINF FLORAL 5LT</v>
          </cell>
          <cell r="C3791">
            <v>10026</v>
          </cell>
          <cell r="D3791" t="str">
            <v>.</v>
          </cell>
          <cell r="E3791">
            <v>20028</v>
          </cell>
          <cell r="F3791" t="str">
            <v>APLICADORES / ADAPTADORES / ENGATES / SUPORTES</v>
          </cell>
          <cell r="G3791" t="str">
            <v>AUTOMOTIVO</v>
          </cell>
        </row>
        <row r="3792">
          <cell r="A3792">
            <v>23635</v>
          </cell>
          <cell r="B3792" t="str">
            <v>DISPENSADOR DE PAPEL AI-15</v>
          </cell>
          <cell r="C3792">
            <v>2077</v>
          </cell>
          <cell r="D3792" t="str">
            <v>.</v>
          </cell>
          <cell r="E3792">
            <v>20028</v>
          </cell>
          <cell r="F3792" t="str">
            <v>APLICADORES / ADAPTADORES / ENGATES / SUPORTES</v>
          </cell>
          <cell r="G3792" t="str">
            <v>AUTOMOTIVO</v>
          </cell>
        </row>
        <row r="3793">
          <cell r="A3793">
            <v>23764</v>
          </cell>
          <cell r="B3793" t="str">
            <v>DISPENSER DE COPOS</v>
          </cell>
          <cell r="C3793">
            <v>54218</v>
          </cell>
          <cell r="D3793" t="str">
            <v>START</v>
          </cell>
          <cell r="E3793">
            <v>20028</v>
          </cell>
          <cell r="F3793" t="str">
            <v>APLICADORES / ADAPTADORES / ENGATES / SUPORTES</v>
          </cell>
          <cell r="G3793" t="str">
            <v>AUTOMOTIVO</v>
          </cell>
        </row>
        <row r="3794">
          <cell r="A3794">
            <v>86856</v>
          </cell>
          <cell r="B3794" t="str">
            <v>ENCERADEIRA INDUSTRIAL CI 400 MOTOR 3/4HP CLEANER</v>
          </cell>
          <cell r="D3794" t="str">
            <v>CLEANER</v>
          </cell>
          <cell r="E3794">
            <v>20028</v>
          </cell>
          <cell r="F3794" t="str">
            <v>APLICADORES / ADAPTADORES / ENGATES / SUPORTES</v>
          </cell>
          <cell r="G3794" t="str">
            <v>AUTOMOTIVO</v>
          </cell>
        </row>
        <row r="3795">
          <cell r="A3795">
            <v>85566</v>
          </cell>
          <cell r="B3795" t="str">
            <v>ENGATE RAPIDO 14 FEMEA SF20</v>
          </cell>
          <cell r="C3795">
            <v>761040114</v>
          </cell>
          <cell r="D3795" t="str">
            <v>SIGMA</v>
          </cell>
          <cell r="E3795">
            <v>20028</v>
          </cell>
          <cell r="F3795" t="str">
            <v>APLICADORES / ADAPTADORES / ENGATES / SUPORTES</v>
          </cell>
          <cell r="G3795" t="str">
            <v>AUTOMOTIVO</v>
          </cell>
        </row>
        <row r="3796">
          <cell r="A3796">
            <v>21135</v>
          </cell>
          <cell r="B3796" t="str">
            <v>ENGATE RAPIDO ER 767 F 1/4</v>
          </cell>
          <cell r="C3796" t="str">
            <v>ER 767 F 1/4</v>
          </cell>
          <cell r="D3796" t="str">
            <v>SCHWEERS</v>
          </cell>
          <cell r="E3796">
            <v>20028</v>
          </cell>
          <cell r="F3796" t="str">
            <v>APLICADORES / ADAPTADORES / ENGATES / SUPORTES</v>
          </cell>
          <cell r="G3796" t="str">
            <v>AUTOMOTIVO</v>
          </cell>
        </row>
        <row r="3797">
          <cell r="A3797">
            <v>84453</v>
          </cell>
          <cell r="B3797" t="str">
            <v>ENGATE RAPIDO ER 767 M 1/4</v>
          </cell>
          <cell r="C3797" t="str">
            <v>ER 767 M 1/4</v>
          </cell>
          <cell r="D3797" t="str">
            <v>SCHWEERS</v>
          </cell>
          <cell r="E3797">
            <v>20028</v>
          </cell>
          <cell r="F3797" t="str">
            <v>APLICADORES / ADAPTADORES / ENGATES / SUPORTES</v>
          </cell>
          <cell r="G3797" t="str">
            <v>AUTOMOTIVO</v>
          </cell>
        </row>
        <row r="3798">
          <cell r="A3798">
            <v>84390</v>
          </cell>
          <cell r="B3798" t="str">
            <v>ESCADA</v>
          </cell>
          <cell r="C3798">
            <v>4847</v>
          </cell>
          <cell r="D3798" t="str">
            <v>START</v>
          </cell>
          <cell r="E3798">
            <v>20028</v>
          </cell>
          <cell r="F3798" t="str">
            <v>ESCADA</v>
          </cell>
          <cell r="G3798" t="str">
            <v>IMOBILIÁRIO</v>
          </cell>
        </row>
        <row r="3799">
          <cell r="A3799">
            <v>83846</v>
          </cell>
          <cell r="B3799" t="str">
            <v>ESCOVA DE CARVAO POP OFF 220V DWP849 DEWALT</v>
          </cell>
          <cell r="C3799" t="str">
            <v>N394393</v>
          </cell>
          <cell r="D3799" t="str">
            <v>DEWALT</v>
          </cell>
          <cell r="E3799">
            <v>20028</v>
          </cell>
          <cell r="F3799" t="str">
            <v>APLICADORES / ADAPTADORES / ENGATES / SUPORTES</v>
          </cell>
          <cell r="G3799" t="str">
            <v>AUTOMOTIVO</v>
          </cell>
        </row>
        <row r="3800">
          <cell r="A3800">
            <v>24188</v>
          </cell>
          <cell r="B3800" t="str">
            <v>ESCOVA DE COCO</v>
          </cell>
          <cell r="C3800" t="str">
            <v>RE01</v>
          </cell>
          <cell r="D3800" t="str">
            <v>SAFIRA</v>
          </cell>
          <cell r="E3800">
            <v>20028</v>
          </cell>
          <cell r="F3800" t="str">
            <v>APLICADORES / ADAPTADORES / ENGATES / SUPORTES</v>
          </cell>
          <cell r="G3800" t="str">
            <v>AUTOMOTIVO</v>
          </cell>
        </row>
        <row r="3801">
          <cell r="A3801">
            <v>22948</v>
          </cell>
          <cell r="B3801" t="str">
            <v>ESCOVA LIMPEZA PLASTICA</v>
          </cell>
          <cell r="C3801">
            <v>215</v>
          </cell>
          <cell r="D3801" t="str">
            <v>.</v>
          </cell>
          <cell r="E3801">
            <v>20028</v>
          </cell>
          <cell r="F3801" t="str">
            <v>APLICADORES / ADAPTADORES / ENGATES / SUPORTES</v>
          </cell>
          <cell r="G3801" t="str">
            <v>AUTOMOTIVO</v>
          </cell>
        </row>
        <row r="3802">
          <cell r="A3802">
            <v>83856</v>
          </cell>
          <cell r="B3802" t="str">
            <v>ESCOVA PARA ROUPA</v>
          </cell>
          <cell r="C3802">
            <v>10840</v>
          </cell>
          <cell r="D3802" t="str">
            <v>START</v>
          </cell>
          <cell r="E3802">
            <v>20028</v>
          </cell>
          <cell r="F3802" t="str">
            <v>APLICADORES / ADAPTADORES / ENGATES / SUPORTES</v>
          </cell>
          <cell r="G3802" t="str">
            <v>AUTOMOTIVO</v>
          </cell>
        </row>
        <row r="3803">
          <cell r="A3803">
            <v>84828</v>
          </cell>
          <cell r="B3803" t="str">
            <v>ESPATULA  PLASTICA BRANCA CELULOIDE</v>
          </cell>
          <cell r="C3803">
            <v>395</v>
          </cell>
          <cell r="D3803" t="str">
            <v>SHERWIN WILLIAMS</v>
          </cell>
          <cell r="E3803">
            <v>20028</v>
          </cell>
          <cell r="F3803" t="str">
            <v>APLICADORES / ADAPTADORES / ENGATES / SUPORTES</v>
          </cell>
          <cell r="G3803" t="str">
            <v>AUTOMOTIVO</v>
          </cell>
        </row>
        <row r="3804">
          <cell r="A3804">
            <v>20245</v>
          </cell>
          <cell r="B3804" t="str">
            <v>ESPATULA PLASTICA CELULOIDE 13,1CM ATLAS</v>
          </cell>
          <cell r="C3804" t="str">
            <v>152/2</v>
          </cell>
          <cell r="D3804" t="str">
            <v>ATLAS</v>
          </cell>
          <cell r="E3804">
            <v>20028</v>
          </cell>
          <cell r="F3804" t="str">
            <v>APLICADORES / ADAPTADORES / ENGATES / SUPORTES</v>
          </cell>
          <cell r="G3804" t="str">
            <v>AUTOMOTIVO</v>
          </cell>
        </row>
        <row r="3805">
          <cell r="A3805">
            <v>67</v>
          </cell>
          <cell r="B3805" t="str">
            <v>ESPECTROFOTOMETRO AUTOMATCHIC VISION AKZO</v>
          </cell>
          <cell r="C3805">
            <v>2002956</v>
          </cell>
          <cell r="D3805" t="str">
            <v>.</v>
          </cell>
          <cell r="E3805">
            <v>20028</v>
          </cell>
          <cell r="F3805" t="str">
            <v>APLICADORES / ADAPTADORES / ENGATES / SUPORTES</v>
          </cell>
          <cell r="G3805" t="str">
            <v>AUTOMOTIVO</v>
          </cell>
        </row>
        <row r="3806">
          <cell r="A3806">
            <v>23918</v>
          </cell>
          <cell r="B3806" t="str">
            <v>ESPIGAO MACHO E FEMEA CARVIC</v>
          </cell>
          <cell r="C3806">
            <v>4005</v>
          </cell>
          <cell r="D3806" t="str">
            <v>.</v>
          </cell>
          <cell r="E3806">
            <v>20028</v>
          </cell>
          <cell r="F3806" t="str">
            <v>APLICADORES / ADAPTADORES / ENGATES / SUPORTES</v>
          </cell>
          <cell r="G3806" t="str">
            <v>AUTOMOTIVO</v>
          </cell>
        </row>
        <row r="3807">
          <cell r="A3807">
            <v>85572</v>
          </cell>
          <cell r="B3807" t="str">
            <v>ESPIGÃO PARA MANGUEIRA MACHO 1/4 ESC 5/16 VONDER</v>
          </cell>
          <cell r="D3807" t="str">
            <v>VONDER</v>
          </cell>
          <cell r="E3807">
            <v>20028</v>
          </cell>
          <cell r="F3807" t="str">
            <v>APLICADORES / ADAPTADORES / ENGATES / SUPORTES</v>
          </cell>
          <cell r="G3807" t="str">
            <v>AUTOMOTIVO</v>
          </cell>
        </row>
        <row r="3808">
          <cell r="A3808">
            <v>10053</v>
          </cell>
          <cell r="B3808" t="str">
            <v>ESPONJA ABRASIVA MICROFINA (1200/1500) 3M</v>
          </cell>
          <cell r="C3808" t="str">
            <v>H0001725045</v>
          </cell>
          <cell r="D3808" t="str">
            <v>3M</v>
          </cell>
          <cell r="E3808">
            <v>20028</v>
          </cell>
          <cell r="F3808" t="str">
            <v>APLICADORES / ADAPTADORES / ENGATES / SUPORTES</v>
          </cell>
          <cell r="G3808" t="str">
            <v>AUTOMOTIVO</v>
          </cell>
        </row>
        <row r="3809">
          <cell r="A3809">
            <v>10171</v>
          </cell>
          <cell r="B3809" t="str">
            <v>ESPONJA MULTIUSO S/ PELICULA-25,22-ST</v>
          </cell>
          <cell r="C3809" t="str">
            <v>SP9471SP</v>
          </cell>
          <cell r="D3809" t="str">
            <v>.</v>
          </cell>
          <cell r="E3809">
            <v>20028</v>
          </cell>
          <cell r="F3809" t="str">
            <v>APLICADORES / ADAPTADORES / ENGATES / SUPORTES</v>
          </cell>
          <cell r="G3809" t="str">
            <v>AUTOMOTIVO</v>
          </cell>
        </row>
        <row r="3810">
          <cell r="A3810">
            <v>85337</v>
          </cell>
          <cell r="B3810" t="str">
            <v>ESPUMA  APLICADORA  AMARELA BUFF AUTO AMERICA (PACK 2UNI)</v>
          </cell>
          <cell r="D3810" t="str">
            <v>AUTO AMERICA</v>
          </cell>
          <cell r="E3810">
            <v>20028</v>
          </cell>
          <cell r="F3810" t="str">
            <v>APLICADORES / ADAPTADORES / ENGATES / SUPORTES</v>
          </cell>
          <cell r="G3810" t="str">
            <v>AUTOMOTIVO</v>
          </cell>
        </row>
        <row r="3811">
          <cell r="A3811">
            <v>20814</v>
          </cell>
          <cell r="B3811" t="str">
            <v>ESPUMA  APLICADORA  AMARELA BUFF AUTO AMERICA (UNIDADE)</v>
          </cell>
          <cell r="C3811">
            <v>504545030</v>
          </cell>
          <cell r="D3811" t="str">
            <v>AUTO AMERICA</v>
          </cell>
          <cell r="E3811">
            <v>20028</v>
          </cell>
          <cell r="F3811" t="str">
            <v>APLICADORES / ADAPTADORES / ENGATES / SUPORTES</v>
          </cell>
          <cell r="G3811" t="str">
            <v>AUTOMOTIVO</v>
          </cell>
        </row>
        <row r="3812">
          <cell r="A3812">
            <v>83862</v>
          </cell>
          <cell r="B3812" t="str">
            <v>ESPUMA D-28 5CM PRETA</v>
          </cell>
          <cell r="C3812">
            <v>1828</v>
          </cell>
          <cell r="D3812" t="str">
            <v>.</v>
          </cell>
          <cell r="E3812">
            <v>20028</v>
          </cell>
          <cell r="F3812" t="str">
            <v>APLICADORES / ADAPTADORES / ENGATES / SUPORTES</v>
          </cell>
          <cell r="G3812" t="str">
            <v>AUTOMOTIVO</v>
          </cell>
        </row>
        <row r="3813">
          <cell r="A3813">
            <v>24411</v>
          </cell>
          <cell r="B3813" t="str">
            <v>ESPUMA ESPANSIVA PU 320G/500ML TEK BOND</v>
          </cell>
          <cell r="C3813">
            <v>69957326993</v>
          </cell>
          <cell r="D3813" t="str">
            <v>TEK BOND</v>
          </cell>
          <cell r="E3813">
            <v>20028</v>
          </cell>
          <cell r="F3813" t="str">
            <v>APLICADORES / ADAPTADORES / ENGATES / SUPORTES</v>
          </cell>
          <cell r="G3813" t="str">
            <v>AUTOMOTIVO</v>
          </cell>
        </row>
        <row r="3814">
          <cell r="A3814">
            <v>23631</v>
          </cell>
          <cell r="B3814" t="str">
            <v>ETIQUETAS PARA COLORISTAS LOJA</v>
          </cell>
          <cell r="C3814">
            <v>945336</v>
          </cell>
          <cell r="D3814" t="str">
            <v>ETITEC</v>
          </cell>
          <cell r="E3814">
            <v>20028</v>
          </cell>
          <cell r="F3814" t="str">
            <v>APLICADORES / ADAPTADORES / ENGATES / SUPORTES</v>
          </cell>
          <cell r="G3814" t="str">
            <v>AUTOMOTIVO</v>
          </cell>
        </row>
        <row r="3815">
          <cell r="A3815">
            <v>23952</v>
          </cell>
          <cell r="B3815" t="str">
            <v>FERRO DE SOLDA (MACHADINHO)</v>
          </cell>
          <cell r="C3815">
            <v>3779</v>
          </cell>
          <cell r="D3815" t="str">
            <v>.</v>
          </cell>
          <cell r="E3815">
            <v>20028</v>
          </cell>
          <cell r="F3815" t="str">
            <v>APLICADORES / ADAPTADORES / ENGATES / SUPORTES</v>
          </cell>
          <cell r="G3815" t="str">
            <v>AUTOMOTIVO</v>
          </cell>
        </row>
        <row r="3816">
          <cell r="A3816">
            <v>85704</v>
          </cell>
          <cell r="B3816" t="str">
            <v>FERRO P/ SOLDA 60W 220V POWER HIKARI</v>
          </cell>
          <cell r="C3816">
            <v>93829</v>
          </cell>
          <cell r="D3816" t="str">
            <v>VONDER</v>
          </cell>
          <cell r="E3816">
            <v>20028</v>
          </cell>
          <cell r="F3816" t="str">
            <v>APLICADORES / ADAPTADORES / ENGATES / SUPORTES</v>
          </cell>
          <cell r="G3816" t="str">
            <v>AUTOMOTIVO</v>
          </cell>
        </row>
        <row r="3817">
          <cell r="A3817">
            <v>21473</v>
          </cell>
          <cell r="B3817" t="str">
            <v>FERRO P/SOLDA 100W 220V FSN0100 NOVE54 VONDER</v>
          </cell>
          <cell r="C3817">
            <v>7465220010</v>
          </cell>
          <cell r="D3817" t="str">
            <v>VONDER</v>
          </cell>
          <cell r="E3817">
            <v>20028</v>
          </cell>
          <cell r="F3817" t="str">
            <v>APLICADORES / ADAPTADORES / ENGATES / SUPORTES</v>
          </cell>
          <cell r="G3817" t="str">
            <v>AUTOMOTIVO</v>
          </cell>
        </row>
        <row r="3818">
          <cell r="A3818">
            <v>20799</v>
          </cell>
          <cell r="B3818" t="str">
            <v>FILTRO INTERNO P/ CANECA WALCOM</v>
          </cell>
          <cell r="C3818" t="str">
            <v>90114W</v>
          </cell>
          <cell r="D3818" t="str">
            <v>.</v>
          </cell>
          <cell r="E3818">
            <v>20028</v>
          </cell>
          <cell r="F3818" t="str">
            <v>APLICADORES / ADAPTADORES / ENGATES / SUPORTES</v>
          </cell>
          <cell r="G3818" t="str">
            <v>AUTOMOTIVO</v>
          </cell>
        </row>
        <row r="3819">
          <cell r="A3819">
            <v>23673</v>
          </cell>
          <cell r="B3819" t="str">
            <v>FILTRO MULTIBOLSA 0.68X 0.78 YVYTU</v>
          </cell>
          <cell r="C3819">
            <v>2183</v>
          </cell>
          <cell r="D3819" t="str">
            <v>.</v>
          </cell>
          <cell r="E3819">
            <v>20028</v>
          </cell>
          <cell r="F3819" t="str">
            <v>APLICADORES / ADAPTADORES / ENGATES / SUPORTES</v>
          </cell>
          <cell r="G3819" t="str">
            <v>AUTOMOTIVO</v>
          </cell>
        </row>
        <row r="3820">
          <cell r="A3820">
            <v>23891</v>
          </cell>
          <cell r="B3820" t="str">
            <v>FILTRO PISO VIDRO METRO</v>
          </cell>
          <cell r="C3820">
            <v>2158</v>
          </cell>
          <cell r="D3820" t="str">
            <v>.</v>
          </cell>
          <cell r="E3820">
            <v>20028</v>
          </cell>
          <cell r="F3820" t="str">
            <v>APLICADORES / ADAPTADORES / ENGATES / SUPORTES</v>
          </cell>
          <cell r="G3820" t="str">
            <v>AUTOMOTIVO</v>
          </cell>
        </row>
        <row r="3821">
          <cell r="A3821">
            <v>21689</v>
          </cell>
          <cell r="B3821" t="str">
            <v>FILTRO SACO REFIL 3M</v>
          </cell>
          <cell r="C3821" t="str">
            <v>HC000592713</v>
          </cell>
          <cell r="D3821" t="str">
            <v>3M</v>
          </cell>
          <cell r="E3821">
            <v>20028</v>
          </cell>
          <cell r="F3821" t="str">
            <v>APLICADORES / ADAPTADORES / ENGATES / SUPORTES</v>
          </cell>
          <cell r="G3821" t="str">
            <v>AUTOMOTIVO</v>
          </cell>
        </row>
        <row r="3822">
          <cell r="A3822">
            <v>83829</v>
          </cell>
          <cell r="B3822" t="str">
            <v>GRAMPO P/ SOLDA N° 01 - C/50UN</v>
          </cell>
          <cell r="C3822">
            <v>2213</v>
          </cell>
          <cell r="D3822" t="str">
            <v>V8</v>
          </cell>
          <cell r="E3822">
            <v>20028</v>
          </cell>
          <cell r="F3822" t="str">
            <v>APLICADORES / ADAPTADORES / ENGATES / SUPORTES</v>
          </cell>
          <cell r="G3822" t="str">
            <v>AUTOMOTIVO</v>
          </cell>
        </row>
        <row r="3823">
          <cell r="A3823">
            <v>23495</v>
          </cell>
          <cell r="B3823" t="str">
            <v>GRAMPO PARAFIX V8</v>
          </cell>
          <cell r="C3823">
            <v>19409</v>
          </cell>
          <cell r="D3823" t="str">
            <v>V8</v>
          </cell>
          <cell r="E3823">
            <v>20028</v>
          </cell>
          <cell r="F3823" t="str">
            <v>APLICADORES / ADAPTADORES / ENGATES / SUPORTES</v>
          </cell>
          <cell r="G3823" t="str">
            <v>AUTOMOTIVO</v>
          </cell>
        </row>
        <row r="3824">
          <cell r="A3824">
            <v>86858</v>
          </cell>
          <cell r="B3824" t="str">
            <v>GUINCHO HIDRAULICO C/ LANÇA 2TON RODAS DE FERRO</v>
          </cell>
          <cell r="D3824" t="str">
            <v>RIBEIRO</v>
          </cell>
          <cell r="E3824">
            <v>20028</v>
          </cell>
          <cell r="F3824" t="str">
            <v>APLICADORES / ADAPTADORES / ENGATES / SUPORTES</v>
          </cell>
          <cell r="G3824" t="str">
            <v>AUTOMOTIVO</v>
          </cell>
        </row>
        <row r="3825">
          <cell r="A3825">
            <v>86857</v>
          </cell>
          <cell r="B3825" t="str">
            <v>GUINCHO HIDRAULICO DOBRÁVEL 2TON RODAS DE FERRO</v>
          </cell>
          <cell r="D3825" t="str">
            <v>RIBEIRO</v>
          </cell>
          <cell r="E3825">
            <v>20028</v>
          </cell>
          <cell r="F3825" t="str">
            <v>APLICADORES / ADAPTADORES / ENGATES / SUPORTES</v>
          </cell>
          <cell r="G3825" t="str">
            <v>AUTOMOTIVO</v>
          </cell>
        </row>
        <row r="3826">
          <cell r="A3826">
            <v>20119</v>
          </cell>
          <cell r="B3826" t="str">
            <v>INTERFACE CLEAN SAND 25 FUROS 3M-27,45-ST</v>
          </cell>
          <cell r="C3826" t="str">
            <v>HC000593612</v>
          </cell>
          <cell r="D3826" t="str">
            <v>3M</v>
          </cell>
          <cell r="E3826">
            <v>20028</v>
          </cell>
          <cell r="F3826" t="str">
            <v>APLICADORES / ADAPTADORES / ENGATES / SUPORTES</v>
          </cell>
          <cell r="G3826" t="str">
            <v>AUTOMOTIVO</v>
          </cell>
        </row>
        <row r="3827">
          <cell r="A3827">
            <v>84510</v>
          </cell>
          <cell r="B3827" t="str">
            <v>INTERFACE P/ LIXA MULTI  AIR CYCLONIC 152MM</v>
          </cell>
          <cell r="C3827">
            <v>7660719359</v>
          </cell>
          <cell r="D3827" t="str">
            <v>NORTON</v>
          </cell>
          <cell r="E3827">
            <v>20028</v>
          </cell>
          <cell r="F3827" t="str">
            <v>APLICADORES / ADAPTADORES / ENGATES / SUPORTES</v>
          </cell>
          <cell r="G3827" t="str">
            <v>AUTOMOTIVO</v>
          </cell>
        </row>
        <row r="3828">
          <cell r="A3828">
            <v>85703</v>
          </cell>
          <cell r="B3828" t="str">
            <v>INTERFACE REDUTOR DE IMPACTO 6" NEWPAD</v>
          </cell>
          <cell r="C3828" t="str">
            <v>I06F</v>
          </cell>
          <cell r="D3828" t="str">
            <v>NEW PAD</v>
          </cell>
          <cell r="E3828">
            <v>20028</v>
          </cell>
          <cell r="F3828" t="str">
            <v>APLICADORES / ADAPTADORES / ENGATES / SUPORTES</v>
          </cell>
          <cell r="G3828" t="str">
            <v>AUTOMOTIVO</v>
          </cell>
        </row>
        <row r="3829">
          <cell r="A3829">
            <v>85512</v>
          </cell>
          <cell r="B3829" t="str">
            <v>JG CHAVE HEXALOBULAR T09-T40 VONDER</v>
          </cell>
          <cell r="C3829">
            <v>8951</v>
          </cell>
          <cell r="D3829" t="str">
            <v>.</v>
          </cell>
          <cell r="E3829">
            <v>20028</v>
          </cell>
          <cell r="F3829" t="str">
            <v>APLICADORES / ADAPTADORES / ENGATES / SUPORTES</v>
          </cell>
          <cell r="G3829" t="str">
            <v>AUTOMOTIVO</v>
          </cell>
        </row>
        <row r="3830">
          <cell r="A3830">
            <v>23432</v>
          </cell>
          <cell r="B3830" t="str">
            <v>KIT REPARO PEÇAS PLÁSTICAS LAZZURIL 2 CARTUCHOS DE 75GR</v>
          </cell>
          <cell r="C3830" t="str">
            <v>05.00.0038-636</v>
          </cell>
          <cell r="D3830" t="str">
            <v>SHERWIN WILLIAMS</v>
          </cell>
          <cell r="E3830">
            <v>20028</v>
          </cell>
          <cell r="F3830" t="str">
            <v>APLICADORES / ADAPTADORES / ENGATES / SUPORTES</v>
          </cell>
          <cell r="G3830" t="str">
            <v>AUTOMOTIVO</v>
          </cell>
        </row>
        <row r="3831">
          <cell r="A3831">
            <v>20429</v>
          </cell>
          <cell r="B3831" t="str">
            <v>KIT REPARO RAP. PEÇAS PLASTICAS LAZZURIL 2 CARTUCHOS DE 145G</v>
          </cell>
          <cell r="C3831" t="str">
            <v>05.00.00038-170</v>
          </cell>
          <cell r="D3831" t="str">
            <v>SHERWIN WILLIAMS</v>
          </cell>
          <cell r="E3831">
            <v>20028</v>
          </cell>
          <cell r="F3831" t="str">
            <v>APLICADORES / ADAPTADORES / ENGATES / SUPORTES</v>
          </cell>
          <cell r="G3831" t="str">
            <v>AUTOMOTIVO</v>
          </cell>
        </row>
        <row r="3832">
          <cell r="A3832">
            <v>10270</v>
          </cell>
          <cell r="B3832" t="str">
            <v>KIT SUPORTE AVOS 115X22 NORTON</v>
          </cell>
          <cell r="C3832">
            <v>5539544862</v>
          </cell>
          <cell r="D3832" t="str">
            <v>NORTON</v>
          </cell>
          <cell r="E3832">
            <v>20028</v>
          </cell>
          <cell r="F3832" t="str">
            <v>APLICADORES / ADAPTADORES / ENGATES / SUPORTES</v>
          </cell>
          <cell r="G3832" t="str">
            <v>AUTOMOTIVO</v>
          </cell>
        </row>
        <row r="3833">
          <cell r="A3833">
            <v>23288</v>
          </cell>
          <cell r="B3833" t="str">
            <v>LANTERNA P/ ACERTO DE CORES SUNMATCH SHERWIN WILLIAMS</v>
          </cell>
          <cell r="C3833" t="str">
            <v>80.79.99912-487</v>
          </cell>
          <cell r="D3833" t="str">
            <v>SHERWIN WILLIAMS</v>
          </cell>
          <cell r="E3833">
            <v>20028</v>
          </cell>
          <cell r="F3833" t="str">
            <v>APLICADORES / ADAPTADORES / ENGATES / SUPORTES</v>
          </cell>
          <cell r="G3833" t="str">
            <v>AUTOMOTIVO</v>
          </cell>
        </row>
        <row r="3834">
          <cell r="A3834">
            <v>85087</v>
          </cell>
          <cell r="B3834" t="str">
            <v>LAVADORA PRESSAO LAV1300 220V VONDER</v>
          </cell>
          <cell r="C3834">
            <v>6864130002</v>
          </cell>
          <cell r="D3834" t="str">
            <v>VONDER</v>
          </cell>
          <cell r="E3834">
            <v>20028</v>
          </cell>
          <cell r="F3834" t="str">
            <v>APLICADORES / ADAPTADORES / ENGATES / SUPORTES</v>
          </cell>
          <cell r="G3834" t="str">
            <v>AUTOMOTIVO</v>
          </cell>
        </row>
        <row r="3835">
          <cell r="A3835">
            <v>83922</v>
          </cell>
          <cell r="B3835" t="str">
            <v>LAVADORA PRESSAO LAV1400 1450LB VONDER</v>
          </cell>
          <cell r="C3835">
            <v>6864140020</v>
          </cell>
          <cell r="D3835" t="str">
            <v>VONDER</v>
          </cell>
          <cell r="E3835">
            <v>20028</v>
          </cell>
          <cell r="F3835" t="str">
            <v>APLICADORES / ADAPTADORES / ENGATES / SUPORTES</v>
          </cell>
          <cell r="G3835" t="str">
            <v>AUTOMOTIVO</v>
          </cell>
        </row>
        <row r="3836">
          <cell r="A3836">
            <v>85418</v>
          </cell>
          <cell r="B3836" t="str">
            <v>LAVADORA PRESSAO LAV2030I 220V VONDER</v>
          </cell>
          <cell r="C3836">
            <v>6864203220</v>
          </cell>
          <cell r="D3836" t="str">
            <v>VONDER</v>
          </cell>
          <cell r="E3836">
            <v>20028</v>
          </cell>
          <cell r="F3836" t="str">
            <v>APLICADORES / ADAPTADORES / ENGATES / SUPORTES</v>
          </cell>
          <cell r="G3836" t="str">
            <v>AUTOMOTIVO</v>
          </cell>
        </row>
        <row r="3837">
          <cell r="A3837">
            <v>85419</v>
          </cell>
          <cell r="B3837" t="str">
            <v>MANGUEIRA  JARDIM ANTI TORÇÃO VONDER</v>
          </cell>
          <cell r="C3837">
            <v>3121120112</v>
          </cell>
          <cell r="D3837" t="str">
            <v>VONDER</v>
          </cell>
          <cell r="E3837">
            <v>20028</v>
          </cell>
          <cell r="F3837" t="str">
            <v>APLICADORES / ADAPTADORES / ENGATES / SUPORTES</v>
          </cell>
          <cell r="G3837" t="str">
            <v>AUTOMOTIVO</v>
          </cell>
        </row>
        <row r="3838">
          <cell r="A3838">
            <v>85251</v>
          </cell>
          <cell r="B3838" t="str">
            <v>MANGUEIRA 10MTS 6MM MAXI RUBBER</v>
          </cell>
          <cell r="C3838">
            <v>60210</v>
          </cell>
          <cell r="D3838" t="str">
            <v>MAXI RUBBER</v>
          </cell>
          <cell r="E3838">
            <v>20028</v>
          </cell>
          <cell r="F3838" t="str">
            <v>APLICADORES / ADAPTADORES / ENGATES / SUPORTES</v>
          </cell>
          <cell r="G3838" t="str">
            <v>AUTOMOTIVO</v>
          </cell>
        </row>
        <row r="3839">
          <cell r="A3839">
            <v>24300</v>
          </cell>
          <cell r="B3839" t="str">
            <v>MANGUEIRA AR/AGUA 300LB 5/16 PRETA VONDER</v>
          </cell>
          <cell r="C3839">
            <v>8006100516</v>
          </cell>
          <cell r="D3839" t="str">
            <v>VONDER</v>
          </cell>
          <cell r="E3839">
            <v>20028</v>
          </cell>
          <cell r="F3839" t="str">
            <v>APLICADORES / ADAPTADORES / ENGATES / SUPORTES</v>
          </cell>
          <cell r="G3839" t="str">
            <v>AUTOMOTIVO</v>
          </cell>
        </row>
        <row r="3840">
          <cell r="A3840">
            <v>85090</v>
          </cell>
          <cell r="B3840" t="str">
            <v>MANGUEIRA ASP POL + PVC 10M AMAR VONDER</v>
          </cell>
          <cell r="D3840" t="str">
            <v>VONDER</v>
          </cell>
          <cell r="E3840">
            <v>20028</v>
          </cell>
          <cell r="F3840" t="str">
            <v>APLICADORES / ADAPTADORES / ENGATES / SUPORTES</v>
          </cell>
          <cell r="G3840" t="str">
            <v>AUTOMOTIVO</v>
          </cell>
        </row>
        <row r="3841">
          <cell r="A3841">
            <v>24171</v>
          </cell>
          <cell r="B3841" t="str">
            <v>MANGUEIRA ASP POL + PVC 15M AMAR VONDER</v>
          </cell>
          <cell r="C3841">
            <v>3695</v>
          </cell>
          <cell r="D3841" t="str">
            <v>.</v>
          </cell>
          <cell r="E3841">
            <v>20028</v>
          </cell>
          <cell r="F3841" t="str">
            <v>APLICADORES / ADAPTADORES / ENGATES / SUPORTES</v>
          </cell>
          <cell r="G3841" t="str">
            <v>AUTOMOTIVO</v>
          </cell>
        </row>
        <row r="3842">
          <cell r="A3842">
            <v>23756</v>
          </cell>
          <cell r="B3842" t="str">
            <v>MANGUEIRA ESPIRAL PU 8 X 5,5 MM 10 METROS SCHWEERS</v>
          </cell>
          <cell r="C3842" t="str">
            <v>ESPU 100</v>
          </cell>
          <cell r="D3842" t="str">
            <v>.</v>
          </cell>
          <cell r="E3842">
            <v>20028</v>
          </cell>
          <cell r="F3842" t="str">
            <v>APLICADORES / ADAPTADORES / ENGATES / SUPORTES</v>
          </cell>
          <cell r="G3842" t="str">
            <v>AUTOMOTIVO</v>
          </cell>
        </row>
        <row r="3843">
          <cell r="A3843">
            <v>84452</v>
          </cell>
          <cell r="B3843" t="str">
            <v>MANGUEIRA ESPIRAL PU 8 X 5,5 MM 15 METROS SCHWEERS</v>
          </cell>
          <cell r="C3843" t="str">
            <v>ESPU 150</v>
          </cell>
          <cell r="D3843" t="str">
            <v>SCHWEERS</v>
          </cell>
          <cell r="E3843">
            <v>20028</v>
          </cell>
          <cell r="F3843" t="str">
            <v>APLICADORES / ADAPTADORES / ENGATES / SUPORTES</v>
          </cell>
          <cell r="G3843" t="str">
            <v>AUTOMOTIVO</v>
          </cell>
        </row>
        <row r="3844">
          <cell r="A3844">
            <v>24276</v>
          </cell>
          <cell r="B3844" t="str">
            <v>MANGUEIRA POLIURETANO 8,0X12MM 1/4"10M VONDER</v>
          </cell>
          <cell r="C3844">
            <v>6220812010</v>
          </cell>
          <cell r="D3844" t="str">
            <v>VONDER</v>
          </cell>
          <cell r="E3844">
            <v>20028</v>
          </cell>
          <cell r="F3844" t="str">
            <v>APLICADORES / ADAPTADORES / ENGATES / SUPORTES</v>
          </cell>
          <cell r="G3844" t="str">
            <v>AUTOMOTIVO</v>
          </cell>
        </row>
        <row r="3845">
          <cell r="A3845">
            <v>22601</v>
          </cell>
          <cell r="B3845" t="str">
            <v>MANTA FILTRANTE TETO</v>
          </cell>
          <cell r="C3845">
            <v>24</v>
          </cell>
          <cell r="D3845" t="str">
            <v>.</v>
          </cell>
          <cell r="E3845">
            <v>20028</v>
          </cell>
          <cell r="F3845" t="str">
            <v>APLICADORES / ADAPTADORES / ENGATES / SUPORTES</v>
          </cell>
          <cell r="G3845" t="str">
            <v>AUTOMOTIVO</v>
          </cell>
        </row>
        <row r="3846">
          <cell r="A3846">
            <v>21086</v>
          </cell>
          <cell r="B3846" t="str">
            <v>MAQ. REPUXADORA SPOTTER MOD 1800 DIGITAL/AUTOMATICA</v>
          </cell>
          <cell r="C3846">
            <v>1012</v>
          </cell>
          <cell r="D3846" t="str">
            <v>YAC</v>
          </cell>
          <cell r="E3846">
            <v>20028</v>
          </cell>
          <cell r="F3846" t="str">
            <v>APLICADORES / ADAPTADORES / ENGATES / SUPORTES</v>
          </cell>
          <cell r="G3846" t="str">
            <v>AUTOMOTIVO</v>
          </cell>
        </row>
        <row r="3847">
          <cell r="A3847">
            <v>85728</v>
          </cell>
          <cell r="B3847" t="str">
            <v>MAQUINA CORTAR GRAMA 6,5HP GASOLINA 20"MGV206 VONDER</v>
          </cell>
          <cell r="C3847" t="str">
            <v>68.18.020.065</v>
          </cell>
          <cell r="D3847" t="str">
            <v>VONDER</v>
          </cell>
          <cell r="E3847">
            <v>20028</v>
          </cell>
          <cell r="F3847" t="str">
            <v>APLICADORES / ADAPTADORES / ENGATES / SUPORTES</v>
          </cell>
          <cell r="G3847" t="str">
            <v>AUTOMOTIVO</v>
          </cell>
        </row>
        <row r="3848">
          <cell r="A3848">
            <v>85730</v>
          </cell>
          <cell r="B3848" t="str">
            <v>MAQUINA DE PINTURA AIRLESS MPA300 3,0HP 220V VONDER</v>
          </cell>
          <cell r="C3848">
            <v>6220300220</v>
          </cell>
          <cell r="D3848" t="str">
            <v>VONDER</v>
          </cell>
          <cell r="E3848">
            <v>20028</v>
          </cell>
          <cell r="F3848" t="str">
            <v>APLICADORES / ADAPTADORES / ENGATES / SUPORTES</v>
          </cell>
          <cell r="G3848" t="str">
            <v>AUTOMOTIVO</v>
          </cell>
        </row>
        <row r="3849">
          <cell r="A3849">
            <v>84443</v>
          </cell>
          <cell r="B3849" t="str">
            <v>MAQUINA DE SOLDA MULTIPROCESSO 250S MIG COM GÁS</v>
          </cell>
          <cell r="C3849">
            <v>20201</v>
          </cell>
          <cell r="D3849" t="str">
            <v>V8</v>
          </cell>
          <cell r="E3849">
            <v>20028</v>
          </cell>
          <cell r="F3849" t="str">
            <v>APLICADORES / ADAPTADORES / ENGATES / SUPORTES</v>
          </cell>
          <cell r="G3849" t="str">
            <v>AUTOMOTIVO</v>
          </cell>
        </row>
        <row r="3850">
          <cell r="A3850">
            <v>22336</v>
          </cell>
          <cell r="B3850" t="str">
            <v>MARTELO CHAPEADOR PENA ATRAVESSADA VONDER</v>
          </cell>
          <cell r="C3850">
            <v>3589200200</v>
          </cell>
          <cell r="D3850" t="str">
            <v>VONDER</v>
          </cell>
          <cell r="E3850">
            <v>20028</v>
          </cell>
          <cell r="F3850" t="str">
            <v>APLICADORES / ADAPTADORES / ENGATES / SUPORTES</v>
          </cell>
          <cell r="G3850" t="str">
            <v>AUTOMOTIVO</v>
          </cell>
        </row>
        <row r="3851">
          <cell r="A3851">
            <v>21462</v>
          </cell>
          <cell r="B3851" t="str">
            <v>MARTELO CHAPEADOR PENA RETA VONDER</v>
          </cell>
          <cell r="C3851">
            <v>3589300300</v>
          </cell>
          <cell r="D3851" t="str">
            <v>VONDER</v>
          </cell>
          <cell r="E3851">
            <v>20028</v>
          </cell>
          <cell r="F3851" t="str">
            <v>APLICADORES / ADAPTADORES / ENGATES / SUPORTES</v>
          </cell>
          <cell r="G3851" t="str">
            <v>AUTOMOTIVO</v>
          </cell>
        </row>
        <row r="3852">
          <cell r="A3852">
            <v>84822</v>
          </cell>
          <cell r="B3852" t="str">
            <v>MARTELO FUNILEIRO VONDER</v>
          </cell>
          <cell r="C3852">
            <v>6510094170</v>
          </cell>
          <cell r="D3852" t="str">
            <v>VONDER</v>
          </cell>
          <cell r="E3852">
            <v>20028</v>
          </cell>
          <cell r="F3852" t="str">
            <v>APLICADORES / ADAPTADORES / ENGATES / SUPORTES</v>
          </cell>
          <cell r="G3852" t="str">
            <v>AUTOMOTIVO</v>
          </cell>
        </row>
        <row r="3853">
          <cell r="A3853">
            <v>23505</v>
          </cell>
          <cell r="B3853" t="str">
            <v>MOTO COMPRESSOR 7,6/24L 2HP 220V</v>
          </cell>
          <cell r="C3853" t="str">
            <v>09.08.02.0003</v>
          </cell>
          <cell r="D3853" t="str">
            <v>TERRA UTIL</v>
          </cell>
          <cell r="E3853">
            <v>20028</v>
          </cell>
          <cell r="F3853" t="str">
            <v>APLICADORES / ADAPTADORES / ENGATES / SUPORTES</v>
          </cell>
          <cell r="G3853" t="str">
            <v>AUTOMOTIVO</v>
          </cell>
        </row>
        <row r="3854">
          <cell r="A3854">
            <v>23506</v>
          </cell>
          <cell r="B3854" t="str">
            <v>OLEO COMPRESSOR VG 150 AW 1L CHIAPERINI-35,41-ST</v>
          </cell>
          <cell r="C3854">
            <v>5517</v>
          </cell>
          <cell r="D3854" t="str">
            <v>CHIAPERINI</v>
          </cell>
          <cell r="E3854">
            <v>20028</v>
          </cell>
          <cell r="F3854" t="str">
            <v>APLICADORES / ADAPTADORES / ENGATES / SUPORTES</v>
          </cell>
          <cell r="G3854" t="str">
            <v>AUTOMOTIVO</v>
          </cell>
        </row>
        <row r="3855">
          <cell r="A3855">
            <v>21132</v>
          </cell>
          <cell r="B3855" t="str">
            <v>PINO FEMEA PARA ENGATE RAPIDO PURFLEX</v>
          </cell>
          <cell r="C3855" t="str">
            <v>007M</v>
          </cell>
          <cell r="D3855" t="str">
            <v>.</v>
          </cell>
          <cell r="E3855">
            <v>20028</v>
          </cell>
          <cell r="F3855" t="str">
            <v>APLICADORES / ADAPTADORES / ENGATES / SUPORTES</v>
          </cell>
          <cell r="G3855" t="str">
            <v>AUTOMOTIVO</v>
          </cell>
        </row>
        <row r="3856">
          <cell r="A3856">
            <v>21131</v>
          </cell>
          <cell r="B3856" t="str">
            <v>PINO MACHO PARA ENGATE RAPIDO PURPLEX</v>
          </cell>
          <cell r="C3856" t="str">
            <v>007F</v>
          </cell>
          <cell r="D3856" t="str">
            <v>PURPLEX</v>
          </cell>
          <cell r="E3856">
            <v>20028</v>
          </cell>
          <cell r="F3856" t="str">
            <v>APLICADORES / ADAPTADORES / ENGATES / SUPORTES</v>
          </cell>
          <cell r="G3856" t="str">
            <v>AUTOMOTIVO</v>
          </cell>
        </row>
        <row r="3857">
          <cell r="A3857">
            <v>84549</v>
          </cell>
          <cell r="B3857" t="str">
            <v>PISO MODULAR FLOOR</v>
          </cell>
          <cell r="C3857">
            <v>1</v>
          </cell>
          <cell r="D3857" t="str">
            <v>.</v>
          </cell>
          <cell r="E3857">
            <v>20028</v>
          </cell>
          <cell r="F3857" t="str">
            <v>APLICADORES / ADAPTADORES / ENGATES / SUPORTES</v>
          </cell>
          <cell r="G3857" t="str">
            <v>AUTOMOTIVO</v>
          </cell>
        </row>
        <row r="3858">
          <cell r="A3858">
            <v>20090</v>
          </cell>
          <cell r="B3858" t="str">
            <v>PISSETA GRANDE 1000ML (ENCOMENDA)</v>
          </cell>
          <cell r="C3858">
            <v>329</v>
          </cell>
          <cell r="D3858" t="str">
            <v>PROLAB</v>
          </cell>
          <cell r="E3858">
            <v>20028</v>
          </cell>
          <cell r="F3858" t="str">
            <v>APLICADORES / ADAPTADORES / ENGATES / SUPORTES</v>
          </cell>
          <cell r="G3858" t="str">
            <v>AUTOMOTIVO</v>
          </cell>
        </row>
        <row r="3859">
          <cell r="A3859">
            <v>21817</v>
          </cell>
          <cell r="B3859" t="str">
            <v>PN05551 SUPORTE CLEAN SANDING ROXO 25 FUROS 3M</v>
          </cell>
          <cell r="C3859" t="str">
            <v>HC000617767</v>
          </cell>
          <cell r="D3859" t="str">
            <v>3M</v>
          </cell>
          <cell r="E3859">
            <v>20028</v>
          </cell>
          <cell r="F3859" t="str">
            <v>APLICADORES / ADAPTADORES / ENGATES / SUPORTES</v>
          </cell>
          <cell r="G3859" t="str">
            <v>AUTOMOTIVO</v>
          </cell>
        </row>
        <row r="3860">
          <cell r="A3860">
            <v>23351</v>
          </cell>
          <cell r="B3860" t="str">
            <v>PN28368 BRAÇO CONTATO STANDARD</v>
          </cell>
          <cell r="C3860" t="str">
            <v>HC000623716</v>
          </cell>
          <cell r="D3860" t="str">
            <v>3M</v>
          </cell>
          <cell r="E3860">
            <v>20028</v>
          </cell>
          <cell r="F3860" t="str">
            <v>APLICADORES / ADAPTADORES / ENGATES / SUPORTES</v>
          </cell>
          <cell r="G3860" t="str">
            <v>AUTOMOTIVO</v>
          </cell>
        </row>
        <row r="3861">
          <cell r="A3861">
            <v>85731</v>
          </cell>
          <cell r="B3861" t="str">
            <v>PODADOR DE GALOS 710W 220V VONDER</v>
          </cell>
          <cell r="C3861" t="str">
            <v>68.84.710.220</v>
          </cell>
          <cell r="D3861" t="str">
            <v>VONDER</v>
          </cell>
          <cell r="E3861">
            <v>20028</v>
          </cell>
          <cell r="F3861" t="str">
            <v>APLICADORES / ADAPTADORES / ENGATES / SUPORTES</v>
          </cell>
          <cell r="G3861" t="str">
            <v>AUTOMOTIVO</v>
          </cell>
        </row>
        <row r="3862">
          <cell r="A3862">
            <v>84769</v>
          </cell>
          <cell r="B3862" t="str">
            <v>PONTEIRA DE 01 PONTA BAND</v>
          </cell>
          <cell r="D3862" t="str">
            <v>.</v>
          </cell>
          <cell r="E3862">
            <v>20028</v>
          </cell>
          <cell r="F3862" t="str">
            <v>APLICADORES / ADAPTADORES / ENGATES / SUPORTES</v>
          </cell>
          <cell r="G3862" t="str">
            <v>AUTOMOTIVO</v>
          </cell>
        </row>
        <row r="3863">
          <cell r="A3863">
            <v>222</v>
          </cell>
          <cell r="B3863" t="str">
            <v>PPS 2 KIT STD 650ML 3M</v>
          </cell>
          <cell r="C3863" t="str">
            <v>HB004668313</v>
          </cell>
          <cell r="D3863" t="str">
            <v>3M</v>
          </cell>
          <cell r="E3863">
            <v>20028</v>
          </cell>
          <cell r="F3863" t="str">
            <v>APLICADORES / ADAPTADORES / ENGATES / SUPORTES</v>
          </cell>
          <cell r="G3863" t="str">
            <v>AUTOMOTIVO</v>
          </cell>
        </row>
        <row r="3864">
          <cell r="A3864">
            <v>22936</v>
          </cell>
          <cell r="B3864" t="str">
            <v>PULVERIZADOR C/ PREVIA</v>
          </cell>
          <cell r="C3864">
            <v>4369</v>
          </cell>
          <cell r="D3864" t="str">
            <v>.</v>
          </cell>
          <cell r="E3864">
            <v>20028</v>
          </cell>
          <cell r="F3864" t="str">
            <v>APLICADORES / ADAPTADORES / ENGATES / SUPORTES</v>
          </cell>
          <cell r="G3864" t="str">
            <v>AUTOMOTIVO</v>
          </cell>
        </row>
        <row r="3865">
          <cell r="A3865">
            <v>20797</v>
          </cell>
          <cell r="B3865" t="str">
            <v>PULVERIZADOR MANUAL 1,5L VONDER</v>
          </cell>
          <cell r="C3865">
            <v>4972</v>
          </cell>
          <cell r="D3865" t="str">
            <v>.</v>
          </cell>
          <cell r="E3865">
            <v>20028</v>
          </cell>
          <cell r="F3865" t="str">
            <v>APLICADORES / ADAPTADORES / ENGATES / SUPORTES</v>
          </cell>
          <cell r="G3865" t="str">
            <v>AUTOMOTIVO</v>
          </cell>
        </row>
        <row r="3866">
          <cell r="A3866">
            <v>83975</v>
          </cell>
          <cell r="B3866" t="str">
            <v>REBITADOR ALAVANCA VONDER</v>
          </cell>
          <cell r="C3866">
            <v>3581244800</v>
          </cell>
          <cell r="D3866" t="str">
            <v>VONDER</v>
          </cell>
          <cell r="E3866">
            <v>20028</v>
          </cell>
          <cell r="F3866" t="str">
            <v>APLICADORES / ADAPTADORES / ENGATES / SUPORTES</v>
          </cell>
          <cell r="G3866" t="str">
            <v>AUTOMOTIVO</v>
          </cell>
        </row>
        <row r="3867">
          <cell r="A3867">
            <v>21471</v>
          </cell>
          <cell r="B3867" t="str">
            <v>REBITADOR MANUAL ALAVANCA ROSCA M3-010 RR310 VONDER</v>
          </cell>
          <cell r="C3867">
            <v>3581000310</v>
          </cell>
          <cell r="D3867" t="str">
            <v>VONDER</v>
          </cell>
          <cell r="E3867">
            <v>20028</v>
          </cell>
          <cell r="F3867" t="str">
            <v>APLICADORES / ADAPTADORES / ENGATES / SUPORTES</v>
          </cell>
          <cell r="G3867" t="str">
            <v>AUTOMOTIVO</v>
          </cell>
        </row>
        <row r="3868">
          <cell r="A3868">
            <v>21385</v>
          </cell>
          <cell r="B3868" t="str">
            <v>REDUTOR DE IMPACTO ( INTERFACE ) NORTON</v>
          </cell>
          <cell r="C3868">
            <v>5539544806</v>
          </cell>
          <cell r="D3868" t="str">
            <v>NORTON</v>
          </cell>
          <cell r="E3868">
            <v>20028</v>
          </cell>
          <cell r="F3868" t="str">
            <v>APLICADORES / ADAPTADORES / ENGATES / SUPORTES</v>
          </cell>
          <cell r="G3868" t="str">
            <v>AUTOMOTIVO</v>
          </cell>
        </row>
        <row r="3869">
          <cell r="A3869">
            <v>83828</v>
          </cell>
          <cell r="B3869" t="str">
            <v>REDUTOR DE IMPACTO 6 FUROS PURPLEX</v>
          </cell>
          <cell r="C3869">
            <v>21131</v>
          </cell>
          <cell r="D3869" t="str">
            <v>NORTON</v>
          </cell>
          <cell r="E3869">
            <v>20028</v>
          </cell>
          <cell r="F3869" t="str">
            <v>APLICADORES / ADAPTADORES / ENGATES / SUPORTES</v>
          </cell>
          <cell r="G3869" t="str">
            <v>AUTOMOTIVO</v>
          </cell>
        </row>
        <row r="3870">
          <cell r="A3870">
            <v>20232</v>
          </cell>
          <cell r="B3870" t="str">
            <v>REGUA GRD. DE ALUM. P/ CATALISE SIKKENS</v>
          </cell>
          <cell r="C3870">
            <v>2004313</v>
          </cell>
          <cell r="D3870" t="str">
            <v>SIKKENS</v>
          </cell>
          <cell r="E3870">
            <v>20028</v>
          </cell>
          <cell r="F3870" t="str">
            <v>APLICADORES / ADAPTADORES / ENGATES / SUPORTES</v>
          </cell>
          <cell r="G3870" t="str">
            <v>AUTOMOTIVO</v>
          </cell>
        </row>
        <row r="3871">
          <cell r="A3871">
            <v>10007</v>
          </cell>
          <cell r="B3871" t="str">
            <v>REGUA P/ PU E ELASTIFICANTE WANDA</v>
          </cell>
          <cell r="C3871">
            <v>2004312</v>
          </cell>
          <cell r="D3871" t="str">
            <v>WANDA</v>
          </cell>
          <cell r="E3871">
            <v>20028</v>
          </cell>
          <cell r="F3871" t="str">
            <v>APLICADORES / ADAPTADORES / ENGATES / SUPORTES</v>
          </cell>
          <cell r="G3871" t="str">
            <v>AUTOMOTIVO</v>
          </cell>
        </row>
        <row r="3872">
          <cell r="A3872">
            <v>23379</v>
          </cell>
          <cell r="B3872" t="str">
            <v>RÉGUA WANDA PRIMER VERNIZ E WBASE HS</v>
          </cell>
          <cell r="C3872">
            <v>2004307</v>
          </cell>
          <cell r="D3872" t="str">
            <v>WANDA</v>
          </cell>
          <cell r="E3872">
            <v>20028</v>
          </cell>
          <cell r="F3872" t="str">
            <v>APLICADORES / ADAPTADORES / ENGATES / SUPORTES</v>
          </cell>
          <cell r="G3872" t="str">
            <v>AUTOMOTIVO</v>
          </cell>
        </row>
        <row r="3873">
          <cell r="A3873">
            <v>85729</v>
          </cell>
          <cell r="B3873" t="str">
            <v>ROCADEIRA GASOLINA 41,5CC RGP415E VONDER</v>
          </cell>
          <cell r="C3873" t="str">
            <v>68.04.000.415</v>
          </cell>
          <cell r="D3873" t="str">
            <v>VONDER</v>
          </cell>
          <cell r="E3873">
            <v>20028</v>
          </cell>
          <cell r="F3873" t="str">
            <v>APLICADORES / ADAPTADORES / ENGATES / SUPORTES</v>
          </cell>
          <cell r="G3873" t="str">
            <v>AUTOMOTIVO</v>
          </cell>
        </row>
        <row r="3874">
          <cell r="A3874">
            <v>85148</v>
          </cell>
          <cell r="B3874" t="str">
            <v>SERPENTINA DE DESCARGA 2.1/2" WV-60/80</v>
          </cell>
          <cell r="C3874" t="str">
            <v>00019358.5</v>
          </cell>
          <cell r="D3874" t="str">
            <v>.</v>
          </cell>
          <cell r="E3874">
            <v>20028</v>
          </cell>
          <cell r="F3874" t="str">
            <v>APLICADORES / ADAPTADORES / ENGATES / SUPORTES</v>
          </cell>
          <cell r="G3874" t="str">
            <v>AUTOMOTIVO</v>
          </cell>
        </row>
        <row r="3875">
          <cell r="A3875">
            <v>85147</v>
          </cell>
          <cell r="B3875" t="str">
            <v>SERPENTINA DE DESCARGA 3.1/4" WV-60/80</v>
          </cell>
          <cell r="C3875" t="str">
            <v>00019357.7</v>
          </cell>
          <cell r="D3875" t="str">
            <v>.</v>
          </cell>
          <cell r="E3875">
            <v>20028</v>
          </cell>
          <cell r="F3875" t="str">
            <v>APLICADORES / ADAPTADORES / ENGATES / SUPORTES</v>
          </cell>
          <cell r="G3875" t="str">
            <v>AUTOMOTIVO</v>
          </cell>
        </row>
        <row r="3876">
          <cell r="A3876">
            <v>85146</v>
          </cell>
          <cell r="B3876" t="str">
            <v>SERPENTINA INTERMEDIARIA 4.3/4"-2.1/2" WV-60/80</v>
          </cell>
          <cell r="C3876" t="str">
            <v>00019356.9</v>
          </cell>
          <cell r="D3876" t="str">
            <v>.</v>
          </cell>
          <cell r="E3876">
            <v>20028</v>
          </cell>
          <cell r="F3876" t="str">
            <v>APLICADORES / ADAPTADORES / ENGATES / SUPORTES</v>
          </cell>
          <cell r="G3876" t="str">
            <v>AUTOMOTIVO</v>
          </cell>
        </row>
        <row r="3877">
          <cell r="A3877">
            <v>85144</v>
          </cell>
          <cell r="B3877" t="str">
            <v>SERPENTINA INTERMEDIARIA 4.3/4"-3.1/4" WV-60/80</v>
          </cell>
          <cell r="C3877" t="str">
            <v>00019354.4</v>
          </cell>
          <cell r="D3877" t="str">
            <v>.</v>
          </cell>
          <cell r="E3877">
            <v>20028</v>
          </cell>
          <cell r="F3877" t="str">
            <v>APLICADORES / ADAPTADORES / ENGATES / SUPORTES</v>
          </cell>
          <cell r="G3877" t="str">
            <v>AUTOMOTIVO</v>
          </cell>
        </row>
        <row r="3878">
          <cell r="A3878">
            <v>85145</v>
          </cell>
          <cell r="B3878" t="str">
            <v>SERPENTINA INTERMEDIARIA 4.3/43.1/4 WV-60/80</v>
          </cell>
          <cell r="C3878" t="str">
            <v>00019355.2</v>
          </cell>
          <cell r="D3878" t="str">
            <v>.</v>
          </cell>
          <cell r="E3878">
            <v>20028</v>
          </cell>
          <cell r="F3878" t="str">
            <v>APLICADORES / ADAPTADORES / ENGATES / SUPORTES</v>
          </cell>
          <cell r="G3878" t="str">
            <v>AUTOMOTIVO</v>
          </cell>
        </row>
        <row r="3879">
          <cell r="A3879">
            <v>10061</v>
          </cell>
          <cell r="B3879" t="str">
            <v>SISTEMA PPS - CAMISINHA - 600ML 3M-27,45-ST</v>
          </cell>
          <cell r="C3879" t="str">
            <v>H0002027821</v>
          </cell>
          <cell r="D3879" t="str">
            <v>3M</v>
          </cell>
          <cell r="E3879">
            <v>20028</v>
          </cell>
          <cell r="F3879" t="str">
            <v>APLICADORES / ADAPTADORES / ENGATES / SUPORTES</v>
          </cell>
          <cell r="G3879" t="str">
            <v>AUTOMOTIVO</v>
          </cell>
        </row>
        <row r="3880">
          <cell r="A3880">
            <v>77</v>
          </cell>
          <cell r="B3880" t="str">
            <v>SKY ADERENTE 0,450ML-21,93-ST</v>
          </cell>
          <cell r="C3880">
            <v>140006100129</v>
          </cell>
          <cell r="D3880" t="str">
            <v>SKY</v>
          </cell>
          <cell r="E3880">
            <v>20028</v>
          </cell>
          <cell r="F3880" t="str">
            <v>APLICADORES / ADAPTADORES / ENGATES / SUPORTES</v>
          </cell>
          <cell r="G3880" t="str">
            <v>AUTOMOTIVO</v>
          </cell>
        </row>
        <row r="3881">
          <cell r="A3881">
            <v>24385</v>
          </cell>
          <cell r="B3881" t="str">
            <v>SOLDA MIG BRUTUS 250BR 220V MON 60HZ C/ TOCHA</v>
          </cell>
          <cell r="C3881">
            <v>20096</v>
          </cell>
          <cell r="D3881" t="str">
            <v>V8</v>
          </cell>
          <cell r="E3881">
            <v>20028</v>
          </cell>
          <cell r="F3881" t="str">
            <v>APLICADORES / ADAPTADORES / ENGATES / SUPORTES</v>
          </cell>
          <cell r="G3881" t="str">
            <v>AUTOMOTIVO</v>
          </cell>
        </row>
        <row r="3882">
          <cell r="A3882">
            <v>24278</v>
          </cell>
          <cell r="B3882" t="str">
            <v>SOLDADOR DE PARACHOQUE PORTATIL 220V V8</v>
          </cell>
          <cell r="C3882">
            <v>20111</v>
          </cell>
          <cell r="D3882" t="str">
            <v>V8</v>
          </cell>
          <cell r="E3882">
            <v>20028</v>
          </cell>
          <cell r="F3882" t="str">
            <v>APLICADORES / ADAPTADORES / ENGATES / SUPORTES</v>
          </cell>
          <cell r="G3882" t="str">
            <v>AUTOMOTIVO</v>
          </cell>
        </row>
        <row r="3883">
          <cell r="A3883">
            <v>85514</v>
          </cell>
          <cell r="B3883" t="str">
            <v>SOPRADOR TERMICO 2000W/220V ATLAS</v>
          </cell>
          <cell r="C3883" t="str">
            <v>AT1791/2</v>
          </cell>
          <cell r="D3883" t="str">
            <v>ATLAS</v>
          </cell>
          <cell r="E3883">
            <v>20028</v>
          </cell>
          <cell r="F3883" t="str">
            <v>APLICADORES / ADAPTADORES / ENGATES / SUPORTES</v>
          </cell>
          <cell r="G3883" t="str">
            <v>AUTOMOTIVO</v>
          </cell>
        </row>
        <row r="3884">
          <cell r="A3884">
            <v>23637</v>
          </cell>
          <cell r="B3884" t="str">
            <v>SOPRADOR TERMICO STV200 220V VONDER</v>
          </cell>
          <cell r="C3884">
            <v>6001020230</v>
          </cell>
          <cell r="D3884" t="str">
            <v>VONDER</v>
          </cell>
          <cell r="E3884">
            <v>20028</v>
          </cell>
          <cell r="F3884" t="str">
            <v>APLICADORES / ADAPTADORES / ENGATES / SUPORTES</v>
          </cell>
          <cell r="G3884" t="str">
            <v>AUTOMOTIVO</v>
          </cell>
        </row>
        <row r="3885">
          <cell r="A3885">
            <v>20120</v>
          </cell>
          <cell r="B3885" t="str">
            <v>SUPORTE CLEAN SAND 25 FUROS AMARELO 3M</v>
          </cell>
          <cell r="C3885" t="str">
            <v>HC000593604</v>
          </cell>
          <cell r="D3885" t="str">
            <v>3M</v>
          </cell>
          <cell r="E3885">
            <v>20028</v>
          </cell>
          <cell r="F3885" t="str">
            <v>APLICADORES / ADAPTADORES / ENGATES / SUPORTES</v>
          </cell>
          <cell r="G3885" t="str">
            <v>AUTOMOTIVO</v>
          </cell>
        </row>
        <row r="3886">
          <cell r="A3886">
            <v>85085</v>
          </cell>
          <cell r="B3886" t="str">
            <v>SUPORTE CLEAN SANDING BEGE 25 FUROS 3M</v>
          </cell>
          <cell r="C3886" t="str">
            <v>PN20425</v>
          </cell>
          <cell r="D3886" t="str">
            <v>3M</v>
          </cell>
          <cell r="E3886">
            <v>20028</v>
          </cell>
          <cell r="F3886" t="str">
            <v>APLICADORES / ADAPTADORES / ENGATES / SUPORTES</v>
          </cell>
          <cell r="G3886" t="str">
            <v>AUTOMOTIVO</v>
          </cell>
        </row>
        <row r="3887">
          <cell r="A3887">
            <v>263</v>
          </cell>
          <cell r="B3887" t="str">
            <v>SUPORTE DE DISCO C/VELCRO P/BOINA DE ESPUMA 6P PURPLEX</v>
          </cell>
          <cell r="C3887">
            <v>116</v>
          </cell>
          <cell r="D3887" t="str">
            <v>PURPLEX</v>
          </cell>
          <cell r="E3887">
            <v>20028</v>
          </cell>
          <cell r="F3887" t="str">
            <v>APLICADORES / ADAPTADORES / ENGATES / SUPORTES</v>
          </cell>
          <cell r="G3887" t="str">
            <v>AUTOMOTIVO</v>
          </cell>
        </row>
        <row r="3888">
          <cell r="A3888">
            <v>22295</v>
          </cell>
          <cell r="B3888" t="str">
            <v>SUPORTE FIBRA 115MM-M14 NORTON</v>
          </cell>
          <cell r="C3888">
            <v>2135</v>
          </cell>
          <cell r="D3888" t="str">
            <v>NORTON</v>
          </cell>
          <cell r="E3888">
            <v>20028</v>
          </cell>
          <cell r="F3888" t="str">
            <v>APLICADORES / ADAPTADORES / ENGATES / SUPORTES</v>
          </cell>
          <cell r="G3888" t="str">
            <v>AUTOMOTIVO</v>
          </cell>
        </row>
        <row r="3889">
          <cell r="A3889">
            <v>23710</v>
          </cell>
          <cell r="B3889" t="str">
            <v>SUPORTE HOOKIT 6´ NEWPAD</v>
          </cell>
          <cell r="C3889" t="str">
            <v>SH6</v>
          </cell>
          <cell r="D3889" t="str">
            <v>NEW PAD</v>
          </cell>
          <cell r="E3889">
            <v>20028</v>
          </cell>
          <cell r="F3889" t="str">
            <v>APLICADORES / ADAPTADORES / ENGATES / SUPORTES</v>
          </cell>
          <cell r="G3889" t="str">
            <v>AUTOMOTIVO</v>
          </cell>
        </row>
        <row r="3890">
          <cell r="A3890">
            <v>20237</v>
          </cell>
          <cell r="B3890" t="str">
            <v>SUPORTE HOOKIT MANUAL 24,93-ST 3M</v>
          </cell>
          <cell r="C3890" t="str">
            <v>HC000591517</v>
          </cell>
          <cell r="D3890" t="str">
            <v>3M</v>
          </cell>
          <cell r="E3890">
            <v>20028</v>
          </cell>
          <cell r="F3890" t="str">
            <v>APLICADORES / ADAPTADORES / ENGATES / SUPORTES</v>
          </cell>
          <cell r="G3890" t="str">
            <v>AUTOMOTIVO</v>
          </cell>
        </row>
        <row r="3891">
          <cell r="A3891">
            <v>23779</v>
          </cell>
          <cell r="B3891" t="str">
            <v>SUPORTE P/ PINTURA AI-07 C/ RODAS</v>
          </cell>
          <cell r="C3891">
            <v>2101</v>
          </cell>
          <cell r="D3891" t="str">
            <v>.</v>
          </cell>
          <cell r="E3891">
            <v>20028</v>
          </cell>
          <cell r="F3891" t="str">
            <v>APLICADORES / ADAPTADORES / ENGATES / SUPORTES</v>
          </cell>
          <cell r="G3891" t="str">
            <v>AUTOMOTIVO</v>
          </cell>
        </row>
        <row r="3892">
          <cell r="A3892">
            <v>23915</v>
          </cell>
          <cell r="B3892" t="str">
            <v>SUPORTE P/ PINTURA AI-08 S/ RODAS</v>
          </cell>
          <cell r="C3892">
            <v>2102</v>
          </cell>
          <cell r="D3892" t="str">
            <v>ATUAIS</v>
          </cell>
          <cell r="E3892">
            <v>20028</v>
          </cell>
          <cell r="F3892" t="str">
            <v>APLICADORES / ADAPTADORES / ENGATES / SUPORTES</v>
          </cell>
          <cell r="G3892" t="str">
            <v>AUTOMOTIVO</v>
          </cell>
        </row>
        <row r="3893">
          <cell r="A3893">
            <v>23650</v>
          </cell>
          <cell r="B3893" t="str">
            <v>SUPORTE P/ POLIMENTO DE VIDRO 3M</v>
          </cell>
          <cell r="C3893" t="str">
            <v>H0001714205</v>
          </cell>
          <cell r="D3893" t="str">
            <v>3M</v>
          </cell>
          <cell r="E3893">
            <v>20028</v>
          </cell>
          <cell r="F3893" t="str">
            <v>APLICADORES / ADAPTADORES / ENGATES / SUPORTES</v>
          </cell>
          <cell r="G3893" t="str">
            <v>AUTOMOTIVO</v>
          </cell>
        </row>
        <row r="3894">
          <cell r="A3894">
            <v>23669</v>
          </cell>
          <cell r="B3894" t="str">
            <v>SUPORTE PARA BOINA DE ESPUMA PN05718 3M</v>
          </cell>
          <cell r="C3894" t="str">
            <v>H0001519968</v>
          </cell>
          <cell r="D3894" t="str">
            <v>3M</v>
          </cell>
          <cell r="E3894">
            <v>20028</v>
          </cell>
          <cell r="F3894" t="str">
            <v>APLICADORES / ADAPTADORES / ENGATES / SUPORTES</v>
          </cell>
          <cell r="G3894" t="str">
            <v>AUTOMOTIVO</v>
          </cell>
        </row>
        <row r="3895">
          <cell r="A3895">
            <v>23428</v>
          </cell>
          <cell r="B3895" t="str">
            <v>SUPORTE SPEED LOK TR 51MM MEDIO</v>
          </cell>
          <cell r="C3895" t="str">
            <v>662610-55103</v>
          </cell>
          <cell r="D3895" t="str">
            <v>NORTON</v>
          </cell>
          <cell r="E3895">
            <v>20028</v>
          </cell>
          <cell r="F3895" t="str">
            <v>APLICADORES / ADAPTADORES / ENGATES / SUPORTES</v>
          </cell>
          <cell r="G3895" t="str">
            <v>AUTOMOTIVO</v>
          </cell>
        </row>
        <row r="3896">
          <cell r="A3896">
            <v>10274</v>
          </cell>
          <cell r="B3896" t="str">
            <v>SUPORTE SPEED-GRIP 152MM 6 FUROS NORTON</v>
          </cell>
          <cell r="C3896">
            <v>1212</v>
          </cell>
          <cell r="D3896" t="str">
            <v>NORTON</v>
          </cell>
          <cell r="E3896">
            <v>20028</v>
          </cell>
          <cell r="F3896" t="str">
            <v>APLICADORES / ADAPTADORES / ENGATES / SUPORTES</v>
          </cell>
          <cell r="G3896" t="str">
            <v>AUTOMOTIVO</v>
          </cell>
        </row>
        <row r="3897">
          <cell r="A3897">
            <v>83853</v>
          </cell>
          <cell r="B3897" t="str">
            <v>TAMPA BLBA 2001/2002 SKY</v>
          </cell>
          <cell r="C3897">
            <v>900936040184</v>
          </cell>
          <cell r="D3897" t="str">
            <v>.</v>
          </cell>
          <cell r="E3897">
            <v>20028</v>
          </cell>
          <cell r="F3897" t="str">
            <v>APLICADORES / ADAPTADORES / ENGATES / SUPORTES</v>
          </cell>
          <cell r="G3897" t="str">
            <v>AUTOMOTIVO</v>
          </cell>
        </row>
        <row r="3898">
          <cell r="A3898">
            <v>83854</v>
          </cell>
          <cell r="B3898" t="str">
            <v>TAMPA BLCA 1001/2001 SKY</v>
          </cell>
          <cell r="C3898">
            <v>900936010181</v>
          </cell>
          <cell r="D3898" t="str">
            <v>.</v>
          </cell>
          <cell r="E3898">
            <v>20028</v>
          </cell>
          <cell r="F3898" t="str">
            <v>APLICADORES / ADAPTADORES / ENGATES / SUPORTES</v>
          </cell>
          <cell r="G3898" t="str">
            <v>AUTOMOTIVO</v>
          </cell>
        </row>
        <row r="3899">
          <cell r="A3899">
            <v>23470</v>
          </cell>
          <cell r="B3899" t="str">
            <v>TAMPA PARA COPO DE 1L E 2L PLASZOM</v>
          </cell>
          <cell r="C3899">
            <v>132255</v>
          </cell>
          <cell r="D3899" t="str">
            <v>ATUAIS</v>
          </cell>
          <cell r="E3899">
            <v>20028</v>
          </cell>
          <cell r="F3899" t="str">
            <v>APLICADORES / ADAPTADORES / ENGATES / SUPORTES</v>
          </cell>
          <cell r="G3899" t="str">
            <v>AUTOMOTIVO</v>
          </cell>
        </row>
        <row r="3900">
          <cell r="A3900">
            <v>83861</v>
          </cell>
          <cell r="B3900" t="str">
            <v>TAMPA SISTEMA PPS 2.0 3M-28,96-ST</v>
          </cell>
          <cell r="C3900" t="str">
            <v>HB004668438</v>
          </cell>
          <cell r="D3900" t="str">
            <v>3M</v>
          </cell>
          <cell r="E3900">
            <v>20028</v>
          </cell>
          <cell r="F3900" t="str">
            <v>APLICADORES / ADAPTADORES / ENGATES / SUPORTES</v>
          </cell>
          <cell r="G3900" t="str">
            <v>AUTOMOTIVO</v>
          </cell>
        </row>
        <row r="3901">
          <cell r="A3901">
            <v>24210</v>
          </cell>
          <cell r="B3901" t="str">
            <v>TOCHA SOLDA MIG/MAG 250A 3 METROS COM EURO CONECTOR V8</v>
          </cell>
          <cell r="C3901">
            <v>63489</v>
          </cell>
          <cell r="D3901" t="str">
            <v>V8</v>
          </cell>
          <cell r="E3901">
            <v>20028</v>
          </cell>
          <cell r="F3901" t="str">
            <v>APLICADORES / ADAPTADORES / ENGATES / SUPORTES</v>
          </cell>
          <cell r="G3901" t="str">
            <v>AUTOMOTIVO</v>
          </cell>
        </row>
        <row r="3902">
          <cell r="A3902">
            <v>23625</v>
          </cell>
          <cell r="B3902" t="str">
            <v>BOTA EVA PTA CANO CURTO Nº 40</v>
          </cell>
          <cell r="C3902" t="str">
            <v>10VB48-A-44</v>
          </cell>
          <cell r="D3902" t="str">
            <v>.</v>
          </cell>
          <cell r="E3902">
            <v>20027</v>
          </cell>
          <cell r="F3902" t="str">
            <v>EPI´S</v>
          </cell>
          <cell r="G3902" t="str">
            <v>AUTOMOTIVO</v>
          </cell>
        </row>
        <row r="3903">
          <cell r="A3903">
            <v>23829</v>
          </cell>
          <cell r="B3903" t="str">
            <v>BOTA PVC PRETA (GALOCHA) Nº36 MARLUVAS</v>
          </cell>
          <cell r="C3903">
            <v>6379036</v>
          </cell>
          <cell r="D3903" t="str">
            <v>MARLUVAS</v>
          </cell>
          <cell r="E3903">
            <v>20027</v>
          </cell>
          <cell r="F3903" t="str">
            <v>EPI´S</v>
          </cell>
          <cell r="G3903" t="str">
            <v>AUTOMOTIVO</v>
          </cell>
        </row>
        <row r="3904">
          <cell r="A3904">
            <v>23830</v>
          </cell>
          <cell r="B3904" t="str">
            <v>BOTA PVC PRETA (GALOCHA) Nº37 MARLUVAS</v>
          </cell>
          <cell r="C3904">
            <v>6379037</v>
          </cell>
          <cell r="D3904" t="str">
            <v>MARLUVAS</v>
          </cell>
          <cell r="E3904">
            <v>20027</v>
          </cell>
          <cell r="F3904" t="str">
            <v>EPI´S</v>
          </cell>
          <cell r="G3904" t="str">
            <v>AUTOMOTIVO</v>
          </cell>
        </row>
        <row r="3905">
          <cell r="A3905">
            <v>23831</v>
          </cell>
          <cell r="B3905" t="str">
            <v>BOTA PVC PRETA (GALOCHA) Nº38 MARLUVAS</v>
          </cell>
          <cell r="C3905">
            <v>6379038</v>
          </cell>
          <cell r="D3905" t="str">
            <v>MARLUVAS</v>
          </cell>
          <cell r="E3905">
            <v>20027</v>
          </cell>
          <cell r="F3905" t="str">
            <v>EPI´S</v>
          </cell>
          <cell r="G3905" t="str">
            <v>AUTOMOTIVO</v>
          </cell>
        </row>
        <row r="3906">
          <cell r="A3906">
            <v>23832</v>
          </cell>
          <cell r="B3906" t="str">
            <v>BOTA PVC PRETA (GALOCHA) Nº40 MARLUVAS</v>
          </cell>
          <cell r="C3906">
            <v>6379040</v>
          </cell>
          <cell r="D3906" t="str">
            <v>MARLUVAS</v>
          </cell>
          <cell r="E3906">
            <v>20027</v>
          </cell>
          <cell r="F3906" t="str">
            <v>EPI´S</v>
          </cell>
          <cell r="G3906" t="str">
            <v>AUTOMOTIVO</v>
          </cell>
        </row>
        <row r="3907">
          <cell r="A3907">
            <v>23833</v>
          </cell>
          <cell r="B3907" t="str">
            <v>BOTA PVC PRETA (GALOCHA) Nº41</v>
          </cell>
          <cell r="C3907">
            <v>6379041</v>
          </cell>
          <cell r="D3907" t="str">
            <v>MARLUVAS</v>
          </cell>
          <cell r="E3907">
            <v>20027</v>
          </cell>
          <cell r="F3907" t="str">
            <v>EPI´S</v>
          </cell>
          <cell r="G3907" t="str">
            <v>AUTOMOTIVO</v>
          </cell>
        </row>
        <row r="3908">
          <cell r="A3908">
            <v>23834</v>
          </cell>
          <cell r="B3908" t="str">
            <v>BOTA PVC PRETA (GALOCHA) Nº42 MARLUVAS</v>
          </cell>
          <cell r="C3908">
            <v>6379042</v>
          </cell>
          <cell r="D3908" t="str">
            <v>MARLUVAS</v>
          </cell>
          <cell r="E3908">
            <v>20027</v>
          </cell>
          <cell r="F3908" t="str">
            <v>EPI´S</v>
          </cell>
          <cell r="G3908" t="str">
            <v>AUTOMOTIVO</v>
          </cell>
        </row>
        <row r="3909">
          <cell r="A3909">
            <v>23817</v>
          </cell>
          <cell r="B3909" t="str">
            <v>BOTINA CADARÇO CANO BAIXO NUBUCK CAFE N°41 MARLUVAS</v>
          </cell>
          <cell r="C3909">
            <v>5433041</v>
          </cell>
          <cell r="D3909" t="str">
            <v>MARLUVAS</v>
          </cell>
          <cell r="E3909">
            <v>20027</v>
          </cell>
          <cell r="F3909" t="str">
            <v>EPI´S</v>
          </cell>
          <cell r="G3909" t="str">
            <v>AUTOMOTIVO</v>
          </cell>
        </row>
        <row r="3910">
          <cell r="A3910">
            <v>24326</v>
          </cell>
          <cell r="B3910" t="str">
            <v>BOTINA CADARÇO CANO BAIXO NUBUCK CAFE N°43 MARLUVAS</v>
          </cell>
          <cell r="C3910">
            <v>5433043</v>
          </cell>
          <cell r="D3910" t="str">
            <v>MARLUVAS</v>
          </cell>
          <cell r="E3910">
            <v>20027</v>
          </cell>
          <cell r="F3910" t="str">
            <v>EPI´S</v>
          </cell>
          <cell r="G3910" t="str">
            <v>AUTOMOTIVO</v>
          </cell>
        </row>
        <row r="3911">
          <cell r="A3911">
            <v>84393</v>
          </cell>
          <cell r="B3911" t="str">
            <v>BOTINA CADARÇO CANO BAIXO NUBUCK CAFE Nº36 MARLUVAS</v>
          </cell>
          <cell r="C3911" t="str">
            <v>700312-36</v>
          </cell>
          <cell r="D3911" t="str">
            <v>MARLUVAS</v>
          </cell>
          <cell r="E3911">
            <v>20027</v>
          </cell>
          <cell r="F3911" t="str">
            <v>EPI´S</v>
          </cell>
          <cell r="G3911" t="str">
            <v>AUTOMOTIVO</v>
          </cell>
        </row>
        <row r="3912">
          <cell r="A3912">
            <v>24221</v>
          </cell>
          <cell r="B3912" t="str">
            <v>BOTINA CADARÇO CANO BAIXO NUBUCK CAFE Nº37 MARLUVAS</v>
          </cell>
          <cell r="C3912">
            <v>5433037</v>
          </cell>
          <cell r="D3912" t="str">
            <v>MARLUVAS</v>
          </cell>
          <cell r="E3912">
            <v>20027</v>
          </cell>
          <cell r="F3912" t="str">
            <v>EPI´S</v>
          </cell>
          <cell r="G3912" t="str">
            <v>AUTOMOTIVO</v>
          </cell>
        </row>
        <row r="3913">
          <cell r="A3913">
            <v>23814</v>
          </cell>
          <cell r="B3913" t="str">
            <v>BOTINA CADARÇO CANO BAIXO NUBUCK CAFE Nº38 MARLUVAS</v>
          </cell>
          <cell r="C3913">
            <v>5433038</v>
          </cell>
          <cell r="D3913" t="str">
            <v>MARLUVAS</v>
          </cell>
          <cell r="E3913">
            <v>20027</v>
          </cell>
          <cell r="F3913" t="str">
            <v>EPI´S</v>
          </cell>
          <cell r="G3913" t="str">
            <v>AUTOMOTIVO</v>
          </cell>
        </row>
        <row r="3914">
          <cell r="A3914">
            <v>23815</v>
          </cell>
          <cell r="B3914" t="str">
            <v>BOTINA CADARÇO CANO BAIXO NUBUCK CAFE Nº39 MARLUVAS</v>
          </cell>
          <cell r="C3914">
            <v>5433039</v>
          </cell>
          <cell r="D3914" t="str">
            <v>MARLUVAS</v>
          </cell>
          <cell r="E3914">
            <v>20027</v>
          </cell>
          <cell r="F3914" t="str">
            <v>EPI´S</v>
          </cell>
          <cell r="G3914" t="str">
            <v>AUTOMOTIVO</v>
          </cell>
        </row>
        <row r="3915">
          <cell r="A3915">
            <v>23816</v>
          </cell>
          <cell r="B3915" t="str">
            <v>BOTINA CADARÇO CANO BAIXO NUBUCK CAFE Nº40 MARLUVAS</v>
          </cell>
          <cell r="C3915">
            <v>5433040</v>
          </cell>
          <cell r="D3915" t="str">
            <v>MARLUVAS</v>
          </cell>
          <cell r="E3915">
            <v>20027</v>
          </cell>
          <cell r="F3915" t="str">
            <v>EPI´S</v>
          </cell>
          <cell r="G3915" t="str">
            <v>AUTOMOTIVO</v>
          </cell>
        </row>
        <row r="3916">
          <cell r="A3916">
            <v>23818</v>
          </cell>
          <cell r="B3916" t="str">
            <v>BOTINA CADARÇO CANO BAIXO NUBUCK CAFE Nº42 MARLUVAS</v>
          </cell>
          <cell r="C3916">
            <v>5433042</v>
          </cell>
          <cell r="D3916" t="str">
            <v>MARLUVAS</v>
          </cell>
          <cell r="E3916">
            <v>20027</v>
          </cell>
          <cell r="F3916" t="str">
            <v>EPI´S</v>
          </cell>
          <cell r="G3916" t="str">
            <v>AUTOMOTIVO</v>
          </cell>
        </row>
        <row r="3917">
          <cell r="A3917">
            <v>24323</v>
          </cell>
          <cell r="B3917" t="str">
            <v>BOTINA CADARÇO CANO BAIXO NUBUCK PRETO N°40 MARLUVAS</v>
          </cell>
          <cell r="C3917">
            <v>7064040</v>
          </cell>
          <cell r="D3917" t="str">
            <v>MARLUVAS</v>
          </cell>
          <cell r="E3917">
            <v>20027</v>
          </cell>
          <cell r="F3917" t="str">
            <v>EPI´S</v>
          </cell>
          <cell r="G3917" t="str">
            <v>AUTOMOTIVO</v>
          </cell>
        </row>
        <row r="3918">
          <cell r="A3918">
            <v>24325</v>
          </cell>
          <cell r="B3918" t="str">
            <v>BOTINA CADARÇO CANO BAIXO NUBUCK PRETO N°41 MARLUVAS</v>
          </cell>
          <cell r="C3918">
            <v>7064042</v>
          </cell>
          <cell r="D3918" t="str">
            <v>MARLUVAS</v>
          </cell>
          <cell r="E3918">
            <v>20027</v>
          </cell>
          <cell r="F3918" t="str">
            <v>EPI´S</v>
          </cell>
          <cell r="G3918" t="str">
            <v>AUTOMOTIVO</v>
          </cell>
        </row>
        <row r="3919">
          <cell r="A3919">
            <v>24324</v>
          </cell>
          <cell r="B3919" t="str">
            <v>BOTINA CADARÇO CANO BAIXO NUBUCK PRETO N°42 MARLUVAS</v>
          </cell>
          <cell r="C3919">
            <v>7064041</v>
          </cell>
          <cell r="D3919" t="str">
            <v>MARLUVAS</v>
          </cell>
          <cell r="E3919">
            <v>20027</v>
          </cell>
          <cell r="F3919" t="str">
            <v>EPI´S</v>
          </cell>
          <cell r="G3919" t="str">
            <v>AUTOMOTIVO</v>
          </cell>
        </row>
        <row r="3920">
          <cell r="A3920">
            <v>83834</v>
          </cell>
          <cell r="B3920" t="str">
            <v>BOTINA CADARÇO CANO BAIXO NUBUCK PRETO Nº37 MARLUVAS</v>
          </cell>
          <cell r="C3920" t="str">
            <v>700457-37</v>
          </cell>
          <cell r="D3920" t="str">
            <v>MARLUVAS</v>
          </cell>
          <cell r="E3920">
            <v>20027</v>
          </cell>
          <cell r="F3920" t="str">
            <v>EPI´S</v>
          </cell>
          <cell r="G3920" t="str">
            <v>AUTOMOTIVO</v>
          </cell>
        </row>
        <row r="3921">
          <cell r="A3921">
            <v>23825</v>
          </cell>
          <cell r="B3921" t="str">
            <v>BOTINA ELASTICO BICO DE AÇO N°39 MARLUVAS</v>
          </cell>
          <cell r="C3921">
            <v>5318039</v>
          </cell>
          <cell r="D3921" t="str">
            <v>MARLUVAS</v>
          </cell>
          <cell r="E3921">
            <v>20027</v>
          </cell>
          <cell r="F3921" t="str">
            <v>EPI´S</v>
          </cell>
          <cell r="G3921" t="str">
            <v>AUTOMOTIVO</v>
          </cell>
        </row>
        <row r="3922">
          <cell r="A3922">
            <v>23827</v>
          </cell>
          <cell r="B3922" t="str">
            <v>BOTINA ELASTICO BICO DE AÇO N°41 MARLUVAS</v>
          </cell>
          <cell r="C3922">
            <v>5318041</v>
          </cell>
          <cell r="D3922" t="str">
            <v>MARLUVAS</v>
          </cell>
          <cell r="E3922">
            <v>20027</v>
          </cell>
          <cell r="F3922" t="str">
            <v>EPI´S</v>
          </cell>
          <cell r="G3922" t="str">
            <v>AUTOMOTIVO</v>
          </cell>
        </row>
        <row r="3923">
          <cell r="A3923">
            <v>83996</v>
          </cell>
          <cell r="B3923" t="str">
            <v>BOTINA ELASTICO BICO DE AÇO Nº37 MARLUVAS</v>
          </cell>
          <cell r="C3923">
            <v>710</v>
          </cell>
          <cell r="D3923" t="str">
            <v>MARLUVAS</v>
          </cell>
          <cell r="E3923">
            <v>20027</v>
          </cell>
          <cell r="F3923" t="str">
            <v>EPI´S</v>
          </cell>
          <cell r="G3923" t="str">
            <v>AUTOMOTIVO</v>
          </cell>
        </row>
        <row r="3924">
          <cell r="A3924">
            <v>23824</v>
          </cell>
          <cell r="B3924" t="str">
            <v>BOTINA ELASTICO BICO DE AÇO Nº38 MARLUVAS</v>
          </cell>
          <cell r="C3924">
            <v>5318038</v>
          </cell>
          <cell r="D3924" t="str">
            <v>MARLUVAS</v>
          </cell>
          <cell r="E3924">
            <v>20027</v>
          </cell>
          <cell r="F3924" t="str">
            <v>EPI´S</v>
          </cell>
          <cell r="G3924" t="str">
            <v>AUTOMOTIVO</v>
          </cell>
        </row>
        <row r="3925">
          <cell r="A3925">
            <v>23826</v>
          </cell>
          <cell r="B3925" t="str">
            <v>BOTINA ELASTICO BICO DE AÇO Nº40 MARLUVAS</v>
          </cell>
          <cell r="C3925">
            <v>5318040</v>
          </cell>
          <cell r="D3925" t="str">
            <v>MARLUVAS</v>
          </cell>
          <cell r="E3925">
            <v>20027</v>
          </cell>
          <cell r="F3925" t="str">
            <v>EPI´S</v>
          </cell>
          <cell r="G3925" t="str">
            <v>AUTOMOTIVO</v>
          </cell>
        </row>
        <row r="3926">
          <cell r="A3926">
            <v>23828</v>
          </cell>
          <cell r="B3926" t="str">
            <v>BOTINA ELASTICO BICO DE AÇO Nº42 MARLUVAS</v>
          </cell>
          <cell r="C3926">
            <v>5318042</v>
          </cell>
          <cell r="D3926" t="str">
            <v>MARLUVAS</v>
          </cell>
          <cell r="E3926">
            <v>20027</v>
          </cell>
          <cell r="F3926" t="str">
            <v>EPI´S</v>
          </cell>
          <cell r="G3926" t="str">
            <v>AUTOMOTIVO</v>
          </cell>
        </row>
        <row r="3927">
          <cell r="A3927">
            <v>84409</v>
          </cell>
          <cell r="B3927" t="str">
            <v>BOTINA ELASTICO BICO DE PVC Nº 35 MARLUVAS</v>
          </cell>
          <cell r="C3927">
            <v>790</v>
          </cell>
          <cell r="D3927" t="str">
            <v>MARLUVAS</v>
          </cell>
          <cell r="E3927">
            <v>20027</v>
          </cell>
          <cell r="F3927" t="str">
            <v>EPI´S</v>
          </cell>
          <cell r="G3927" t="str">
            <v>AUTOMOTIVO</v>
          </cell>
        </row>
        <row r="3928">
          <cell r="A3928">
            <v>23888</v>
          </cell>
          <cell r="B3928" t="str">
            <v>BOTINA ELASTICO BICO DE PVC Nº 37 MARLUVAS</v>
          </cell>
          <cell r="C3928">
            <v>5317037</v>
          </cell>
          <cell r="D3928" t="str">
            <v>MARLUVAS</v>
          </cell>
          <cell r="E3928">
            <v>20027</v>
          </cell>
          <cell r="F3928" t="str">
            <v>EPI´S</v>
          </cell>
          <cell r="G3928" t="str">
            <v>AUTOMOTIVO</v>
          </cell>
        </row>
        <row r="3929">
          <cell r="A3929">
            <v>23819</v>
          </cell>
          <cell r="B3929" t="str">
            <v>BOTINA ELASTICO BICO DE PVC Nº 38 MARLUVAS</v>
          </cell>
          <cell r="C3929">
            <v>5317038</v>
          </cell>
          <cell r="D3929" t="str">
            <v>MARLUVAS</v>
          </cell>
          <cell r="E3929">
            <v>20027</v>
          </cell>
          <cell r="F3929" t="str">
            <v>EPI´S</v>
          </cell>
          <cell r="G3929" t="str">
            <v>AUTOMOTIVO</v>
          </cell>
        </row>
        <row r="3930">
          <cell r="A3930">
            <v>84687</v>
          </cell>
          <cell r="B3930" t="str">
            <v>BOTINA ELASTICO BICO DE PVC Nº 39 BIDENS</v>
          </cell>
          <cell r="C3930">
            <v>11080</v>
          </cell>
          <cell r="D3930" t="str">
            <v>.</v>
          </cell>
          <cell r="E3930">
            <v>20027</v>
          </cell>
          <cell r="F3930" t="str">
            <v>EPI´S</v>
          </cell>
          <cell r="G3930" t="str">
            <v>AUTOMOTIVO</v>
          </cell>
        </row>
        <row r="3931">
          <cell r="A3931">
            <v>84688</v>
          </cell>
          <cell r="B3931" t="str">
            <v>BOTINA ELASTICO BICO DE PVC Nº 40 BIDENS</v>
          </cell>
          <cell r="C3931">
            <v>11081</v>
          </cell>
          <cell r="D3931" t="str">
            <v>.</v>
          </cell>
          <cell r="E3931">
            <v>20027</v>
          </cell>
          <cell r="F3931" t="str">
            <v>EPI´S</v>
          </cell>
          <cell r="G3931" t="str">
            <v>AUTOMOTIVO</v>
          </cell>
        </row>
        <row r="3932">
          <cell r="A3932">
            <v>84689</v>
          </cell>
          <cell r="B3932" t="str">
            <v>BOTINA ELASTICO BICO DE PVC Nº 41 BIDENS</v>
          </cell>
          <cell r="C3932">
            <v>11082</v>
          </cell>
          <cell r="D3932" t="str">
            <v>.</v>
          </cell>
          <cell r="E3932">
            <v>20027</v>
          </cell>
          <cell r="F3932" t="str">
            <v>EPI´S</v>
          </cell>
          <cell r="G3932" t="str">
            <v>AUTOMOTIVO</v>
          </cell>
        </row>
        <row r="3933">
          <cell r="A3933">
            <v>84690</v>
          </cell>
          <cell r="B3933" t="str">
            <v>BOTINA ELASTICO BICO DE PVC Nº 42 BIDENS</v>
          </cell>
          <cell r="C3933">
            <v>11083</v>
          </cell>
          <cell r="D3933" t="str">
            <v>.</v>
          </cell>
          <cell r="E3933">
            <v>20027</v>
          </cell>
          <cell r="F3933" t="str">
            <v>EPI´S</v>
          </cell>
          <cell r="G3933" t="str">
            <v>AUTOMOTIVO</v>
          </cell>
        </row>
        <row r="3934">
          <cell r="A3934">
            <v>23820</v>
          </cell>
          <cell r="B3934" t="str">
            <v>BOTINA ELASTICO BICO DE PVC Nº39 MARLUVAS</v>
          </cell>
          <cell r="C3934">
            <v>5317039</v>
          </cell>
          <cell r="D3934" t="str">
            <v>MARLUVAS</v>
          </cell>
          <cell r="E3934">
            <v>20027</v>
          </cell>
          <cell r="F3934" t="str">
            <v>EPI´S</v>
          </cell>
          <cell r="G3934" t="str">
            <v>AUTOMOTIVO</v>
          </cell>
        </row>
        <row r="3935">
          <cell r="A3935">
            <v>23821</v>
          </cell>
          <cell r="B3935" t="str">
            <v>BOTINA ELASTICO BICO DE PVC Nº40 MARLUVAS</v>
          </cell>
          <cell r="C3935">
            <v>5317040</v>
          </cell>
          <cell r="D3935" t="str">
            <v>MARLUVAS</v>
          </cell>
          <cell r="E3935">
            <v>20027</v>
          </cell>
          <cell r="F3935" t="str">
            <v>EPI´S</v>
          </cell>
          <cell r="G3935" t="str">
            <v>AUTOMOTIVO</v>
          </cell>
        </row>
        <row r="3936">
          <cell r="A3936">
            <v>23822</v>
          </cell>
          <cell r="B3936" t="str">
            <v>BOTINA ELASTICO BICO DE PVC Nº41 MARLUVAS</v>
          </cell>
          <cell r="C3936">
            <v>5317041</v>
          </cell>
          <cell r="D3936" t="str">
            <v>MARLUVAS</v>
          </cell>
          <cell r="E3936">
            <v>20027</v>
          </cell>
          <cell r="F3936" t="str">
            <v>EPI´S</v>
          </cell>
          <cell r="G3936" t="str">
            <v>AUTOMOTIVO</v>
          </cell>
        </row>
        <row r="3937">
          <cell r="A3937">
            <v>23823</v>
          </cell>
          <cell r="B3937" t="str">
            <v>BOTINA ELASTICO BICO DE PVC Nº42 MARLUVAS</v>
          </cell>
          <cell r="C3937">
            <v>5317042</v>
          </cell>
          <cell r="D3937" t="str">
            <v>MARLUVAS</v>
          </cell>
          <cell r="E3937">
            <v>20027</v>
          </cell>
          <cell r="F3937" t="str">
            <v>EPI´S</v>
          </cell>
          <cell r="G3937" t="str">
            <v>AUTOMOTIVO</v>
          </cell>
        </row>
        <row r="3938">
          <cell r="A3938">
            <v>24223</v>
          </cell>
          <cell r="B3938" t="str">
            <v>BOTINA ELASTICO BICO DE PVC Nº43 MARLUVAS</v>
          </cell>
          <cell r="C3938">
            <v>5317043</v>
          </cell>
          <cell r="D3938" t="str">
            <v>MARLUVAS</v>
          </cell>
          <cell r="E3938">
            <v>20027</v>
          </cell>
          <cell r="F3938" t="str">
            <v>EPI´S</v>
          </cell>
          <cell r="G3938" t="str">
            <v>AUTOMOTIVO</v>
          </cell>
        </row>
        <row r="3939">
          <cell r="A3939">
            <v>24222</v>
          </cell>
          <cell r="B3939" t="str">
            <v>BOTINA ELASTICO BICO DE PVC Nº44 MARLUVAS</v>
          </cell>
          <cell r="C3939">
            <v>5317044</v>
          </cell>
          <cell r="D3939" t="str">
            <v>MARLUVAS</v>
          </cell>
          <cell r="E3939">
            <v>20027</v>
          </cell>
          <cell r="F3939" t="str">
            <v>EPI´S</v>
          </cell>
          <cell r="G3939" t="str">
            <v>AUTOMOTIVO</v>
          </cell>
        </row>
        <row r="3940">
          <cell r="A3940">
            <v>23431</v>
          </cell>
          <cell r="B3940" t="str">
            <v>CARTUCHO PARA VAPORES ORGÂNICOS</v>
          </cell>
          <cell r="C3940" t="str">
            <v>HB004338883</v>
          </cell>
          <cell r="D3940" t="str">
            <v>3M</v>
          </cell>
          <cell r="E3940">
            <v>20027</v>
          </cell>
          <cell r="F3940" t="str">
            <v>EPI´S</v>
          </cell>
          <cell r="G3940" t="str">
            <v>AUTOMOTIVO</v>
          </cell>
        </row>
        <row r="3941">
          <cell r="A3941">
            <v>83851</v>
          </cell>
          <cell r="B3941" t="str">
            <v>CREME PROTETOR LUVA 200G</v>
          </cell>
          <cell r="C3941">
            <v>62133</v>
          </cell>
          <cell r="D3941" t="str">
            <v>.</v>
          </cell>
          <cell r="E3941">
            <v>20027</v>
          </cell>
          <cell r="F3941" t="str">
            <v>EPI´S</v>
          </cell>
          <cell r="G3941" t="str">
            <v>AUTOMOTIVO</v>
          </cell>
        </row>
        <row r="3942">
          <cell r="A3942">
            <v>10097</v>
          </cell>
          <cell r="B3942" t="str">
            <v>FILTRO 5N11 P/6000/7500 3M</v>
          </cell>
          <cell r="C3942" t="str">
            <v>H0002260174</v>
          </cell>
          <cell r="D3942" t="str">
            <v>3M</v>
          </cell>
          <cell r="E3942">
            <v>20027</v>
          </cell>
          <cell r="F3942" t="str">
            <v>EPI´S</v>
          </cell>
          <cell r="G3942" t="str">
            <v>AUTOMOTIVO</v>
          </cell>
        </row>
        <row r="3943">
          <cell r="A3943">
            <v>23978</v>
          </cell>
          <cell r="B3943" t="str">
            <v>FILTRO REFIL P/ MASCARA 3000 3M</v>
          </cell>
          <cell r="C3943" t="str">
            <v>SEM CODIGO</v>
          </cell>
          <cell r="D3943" t="str">
            <v>3M</v>
          </cell>
          <cell r="E3943">
            <v>20027</v>
          </cell>
          <cell r="F3943" t="str">
            <v>EPI´S</v>
          </cell>
          <cell r="G3943" t="str">
            <v>AUTOMOTIVO</v>
          </cell>
        </row>
        <row r="3944">
          <cell r="A3944">
            <v>10095</v>
          </cell>
          <cell r="B3944" t="str">
            <v>KIT FILTROS REFIL 6000 3M</v>
          </cell>
          <cell r="C3944" t="str">
            <v>H0001626656</v>
          </cell>
          <cell r="D3944" t="str">
            <v>3M</v>
          </cell>
          <cell r="E3944">
            <v>20027</v>
          </cell>
          <cell r="F3944" t="str">
            <v>EPI´S</v>
          </cell>
          <cell r="G3944" t="str">
            <v>AUTOMOTIVO</v>
          </cell>
        </row>
        <row r="3945">
          <cell r="A3945">
            <v>23973</v>
          </cell>
          <cell r="B3945" t="str">
            <v>KIT REPOSIÇÃO 3000 REFIL 3M</v>
          </cell>
          <cell r="C3945" t="str">
            <v>HB004659858</v>
          </cell>
          <cell r="D3945" t="str">
            <v>3M</v>
          </cell>
          <cell r="E3945">
            <v>20027</v>
          </cell>
          <cell r="F3945" t="str">
            <v>EPI´S</v>
          </cell>
          <cell r="G3945" t="str">
            <v>AUTOMOTIVO</v>
          </cell>
        </row>
        <row r="3946">
          <cell r="A3946">
            <v>23667</v>
          </cell>
          <cell r="B3946" t="str">
            <v>KIT RESPIRADOR 3000</v>
          </cell>
          <cell r="C3946" t="str">
            <v>HB004645121</v>
          </cell>
          <cell r="D3946" t="str">
            <v>3M</v>
          </cell>
          <cell r="E3946">
            <v>20027</v>
          </cell>
          <cell r="F3946" t="str">
            <v>EPI´S</v>
          </cell>
          <cell r="G3946" t="str">
            <v>AUTOMOTIVO</v>
          </cell>
        </row>
        <row r="3947">
          <cell r="A3947">
            <v>23399</v>
          </cell>
          <cell r="B3947" t="str">
            <v>KIT RESPIRADOR 3M 6200</v>
          </cell>
          <cell r="C3947" t="str">
            <v>HB004586481</v>
          </cell>
          <cell r="D3947" t="str">
            <v>3M</v>
          </cell>
          <cell r="E3947">
            <v>20027</v>
          </cell>
          <cell r="F3947" t="str">
            <v>EPI´S</v>
          </cell>
          <cell r="G3947" t="str">
            <v>AUTOMOTIVO</v>
          </cell>
        </row>
        <row r="3948">
          <cell r="A3948">
            <v>23430</v>
          </cell>
          <cell r="B3948" t="str">
            <v>KIT RESPIRADOR PARA PINTURA 3200</v>
          </cell>
          <cell r="C3948" t="str">
            <v>H0002278606</v>
          </cell>
          <cell r="D3948" t="str">
            <v>3M</v>
          </cell>
          <cell r="E3948">
            <v>20027</v>
          </cell>
          <cell r="F3948" t="str">
            <v>EPI´S</v>
          </cell>
          <cell r="G3948" t="str">
            <v>AUTOMOTIVO</v>
          </cell>
        </row>
        <row r="3949">
          <cell r="A3949">
            <v>23738</v>
          </cell>
          <cell r="B3949" t="str">
            <v>LUVA DE PELUCIA MONZA PEROLA</v>
          </cell>
          <cell r="C3949">
            <v>240003</v>
          </cell>
          <cell r="D3949" t="str">
            <v>PEROLA</v>
          </cell>
          <cell r="E3949">
            <v>20027</v>
          </cell>
          <cell r="F3949" t="str">
            <v>EPI´S</v>
          </cell>
          <cell r="G3949" t="str">
            <v>AUTOMOTIVO</v>
          </cell>
        </row>
        <row r="3950">
          <cell r="A3950">
            <v>23068</v>
          </cell>
          <cell r="B3950" t="str">
            <v>LUVA LATEX CAIXA TAM G</v>
          </cell>
          <cell r="C3950">
            <v>32081</v>
          </cell>
          <cell r="D3950" t="str">
            <v>BRILHOMAX</v>
          </cell>
          <cell r="E3950">
            <v>20027</v>
          </cell>
          <cell r="F3950" t="str">
            <v>EPI´S</v>
          </cell>
          <cell r="G3950" t="str">
            <v>AUTOMOTIVO</v>
          </cell>
        </row>
        <row r="3951">
          <cell r="A3951">
            <v>22681</v>
          </cell>
          <cell r="B3951" t="str">
            <v>LUVA LATEX CAIXA TAM M</v>
          </cell>
          <cell r="C3951">
            <v>32080</v>
          </cell>
          <cell r="D3951" t="str">
            <v>BRILHOMAX</v>
          </cell>
          <cell r="E3951">
            <v>20027</v>
          </cell>
          <cell r="F3951" t="str">
            <v>EPI´S</v>
          </cell>
          <cell r="G3951" t="str">
            <v>AUTOMOTIVO</v>
          </cell>
        </row>
        <row r="3952">
          <cell r="A3952">
            <v>23491</v>
          </cell>
          <cell r="B3952" t="str">
            <v>LUVA LATEX CAIXA TAM. P COM PO</v>
          </cell>
          <cell r="C3952">
            <v>32079</v>
          </cell>
          <cell r="D3952" t="str">
            <v>BRILHO MAX</v>
          </cell>
          <cell r="E3952">
            <v>20027</v>
          </cell>
          <cell r="F3952" t="str">
            <v>EPI´S</v>
          </cell>
          <cell r="G3952" t="str">
            <v>AUTOMOTIVO</v>
          </cell>
        </row>
        <row r="3953">
          <cell r="A3953">
            <v>23515</v>
          </cell>
          <cell r="B3953" t="str">
            <v>LUVA LATEX FORRADA TAM 8-M</v>
          </cell>
          <cell r="C3953">
            <v>17618</v>
          </cell>
          <cell r="D3953" t="str">
            <v>BRILHOMAX</v>
          </cell>
          <cell r="E3953">
            <v>20027</v>
          </cell>
          <cell r="F3953" t="str">
            <v>EPI´S</v>
          </cell>
          <cell r="G3953" t="str">
            <v>AUTOMOTIVO</v>
          </cell>
        </row>
        <row r="3954">
          <cell r="A3954">
            <v>29</v>
          </cell>
          <cell r="B3954" t="str">
            <v>LUVA LATEX FORRADA TAM 9-G</v>
          </cell>
          <cell r="C3954">
            <v>17617</v>
          </cell>
          <cell r="D3954" t="str">
            <v>BRILHOMAX</v>
          </cell>
          <cell r="E3954">
            <v>20027</v>
          </cell>
          <cell r="F3954" t="str">
            <v>EPI´S</v>
          </cell>
          <cell r="G3954" t="str">
            <v>AUTOMOTIVO</v>
          </cell>
        </row>
        <row r="3955">
          <cell r="A3955">
            <v>23636</v>
          </cell>
          <cell r="B3955" t="str">
            <v>LUVA NITRILICA TAM M</v>
          </cell>
          <cell r="C3955">
            <v>9412</v>
          </cell>
          <cell r="D3955" t="str">
            <v>.</v>
          </cell>
          <cell r="E3955">
            <v>20027</v>
          </cell>
          <cell r="F3955" t="str">
            <v>EPI´S</v>
          </cell>
          <cell r="G3955" t="str">
            <v>AUTOMOTIVO</v>
          </cell>
        </row>
        <row r="3956">
          <cell r="A3956">
            <v>24203</v>
          </cell>
          <cell r="B3956" t="str">
            <v>LUVA POLY PU BLACK (7-P)</v>
          </cell>
          <cell r="C3956">
            <v>966990007</v>
          </cell>
          <cell r="D3956" t="str">
            <v>MARLUVAS</v>
          </cell>
          <cell r="E3956">
            <v>20027</v>
          </cell>
          <cell r="F3956" t="str">
            <v>EPI´S</v>
          </cell>
          <cell r="G3956" t="str">
            <v>AUTOMOTIVO</v>
          </cell>
        </row>
        <row r="3957">
          <cell r="A3957">
            <v>24204</v>
          </cell>
          <cell r="B3957" t="str">
            <v>LUVA POLY PU BLACK (8-M)</v>
          </cell>
          <cell r="C3957">
            <v>966990008</v>
          </cell>
          <cell r="D3957" t="str">
            <v>MARLUVAS</v>
          </cell>
          <cell r="E3957">
            <v>20027</v>
          </cell>
          <cell r="F3957" t="str">
            <v>EPI´S</v>
          </cell>
          <cell r="G3957" t="str">
            <v>AUTOMOTIVO</v>
          </cell>
        </row>
        <row r="3958">
          <cell r="A3958">
            <v>24205</v>
          </cell>
          <cell r="B3958" t="str">
            <v>LUVA POLY PU BLACK (9-G)</v>
          </cell>
          <cell r="C3958">
            <v>966990009</v>
          </cell>
          <cell r="D3958" t="str">
            <v>MARLUVAS</v>
          </cell>
          <cell r="E3958">
            <v>20027</v>
          </cell>
          <cell r="F3958" t="str">
            <v>EPI´S</v>
          </cell>
          <cell r="G3958" t="str">
            <v>AUTOMOTIVO</v>
          </cell>
        </row>
        <row r="3959">
          <cell r="A3959">
            <v>24206</v>
          </cell>
          <cell r="B3959" t="str">
            <v>LUVA POLY PU BLACK (GG-10)</v>
          </cell>
          <cell r="C3959">
            <v>966990010</v>
          </cell>
          <cell r="D3959" t="str">
            <v>MARLUVAS</v>
          </cell>
          <cell r="E3959">
            <v>20027</v>
          </cell>
          <cell r="F3959" t="str">
            <v>EPI´S</v>
          </cell>
          <cell r="G3959" t="str">
            <v>AUTOMOTIVO</v>
          </cell>
        </row>
        <row r="3960">
          <cell r="A3960">
            <v>83850</v>
          </cell>
          <cell r="B3960" t="str">
            <v>LUVA PU TAM G</v>
          </cell>
          <cell r="C3960">
            <v>1003</v>
          </cell>
          <cell r="D3960" t="str">
            <v>.</v>
          </cell>
          <cell r="E3960">
            <v>20027</v>
          </cell>
          <cell r="F3960" t="str">
            <v>EPI´S</v>
          </cell>
          <cell r="G3960" t="str">
            <v>AUTOMOTIVO</v>
          </cell>
        </row>
        <row r="3961">
          <cell r="A3961">
            <v>83849</v>
          </cell>
          <cell r="B3961" t="str">
            <v>LUVA RASPA COM REFORÇO</v>
          </cell>
          <cell r="C3961">
            <v>9300</v>
          </cell>
          <cell r="D3961" t="str">
            <v>.</v>
          </cell>
          <cell r="E3961">
            <v>20027</v>
          </cell>
          <cell r="F3961" t="str">
            <v>EPI´S</v>
          </cell>
          <cell r="G3961" t="str">
            <v>AUTOMOTIVO</v>
          </cell>
        </row>
        <row r="3962">
          <cell r="A3962">
            <v>24274</v>
          </cell>
          <cell r="B3962" t="str">
            <v>LUVA SHOGUN BLACK FULL COAT (10-GG)</v>
          </cell>
          <cell r="C3962">
            <v>967990010</v>
          </cell>
          <cell r="D3962" t="str">
            <v>MARLUVAS</v>
          </cell>
          <cell r="E3962">
            <v>20027</v>
          </cell>
          <cell r="F3962" t="str">
            <v>EPI´S</v>
          </cell>
          <cell r="G3962" t="str">
            <v>AUTOMOTIVO</v>
          </cell>
        </row>
        <row r="3963">
          <cell r="A3963">
            <v>24272</v>
          </cell>
          <cell r="B3963" t="str">
            <v>LUVA SHOGUN BLACK FULL COAT (8-M)</v>
          </cell>
          <cell r="C3963">
            <v>967990008</v>
          </cell>
          <cell r="D3963" t="str">
            <v>MARLUVAS</v>
          </cell>
          <cell r="E3963">
            <v>20027</v>
          </cell>
          <cell r="F3963" t="str">
            <v>EPI´S</v>
          </cell>
          <cell r="G3963" t="str">
            <v>AUTOMOTIVO</v>
          </cell>
        </row>
        <row r="3964">
          <cell r="A3964">
            <v>24273</v>
          </cell>
          <cell r="B3964" t="str">
            <v>LUVA SHOGUN BLACK FULL COAT (9-G)</v>
          </cell>
          <cell r="C3964">
            <v>967990009</v>
          </cell>
          <cell r="D3964" t="str">
            <v>MARLUVAS</v>
          </cell>
          <cell r="E3964">
            <v>20027</v>
          </cell>
          <cell r="F3964" t="str">
            <v>EPI´S</v>
          </cell>
          <cell r="G3964" t="str">
            <v>AUTOMOTIVO</v>
          </cell>
        </row>
        <row r="3965">
          <cell r="A3965">
            <v>84002</v>
          </cell>
          <cell r="B3965" t="str">
            <v>LUVA TATO TAM M</v>
          </cell>
          <cell r="C3965">
            <v>17604</v>
          </cell>
          <cell r="D3965" t="str">
            <v>.</v>
          </cell>
          <cell r="E3965">
            <v>20027</v>
          </cell>
          <cell r="F3965" t="str">
            <v>EPI´S</v>
          </cell>
          <cell r="G3965" t="str">
            <v>AUTOMOTIVO</v>
          </cell>
        </row>
        <row r="3966">
          <cell r="A3966">
            <v>24202</v>
          </cell>
          <cell r="B3966" t="str">
            <v>LUVA ULTRA TECH PU (VAQUETA) TAM (10-GG)</v>
          </cell>
          <cell r="C3966">
            <v>967800010</v>
          </cell>
          <cell r="D3966" t="str">
            <v>MARLUVAS</v>
          </cell>
          <cell r="E3966">
            <v>20027</v>
          </cell>
          <cell r="F3966" t="str">
            <v>EPI´S</v>
          </cell>
          <cell r="G3966" t="str">
            <v>AUTOMOTIVO</v>
          </cell>
        </row>
        <row r="3967">
          <cell r="A3967">
            <v>24200</v>
          </cell>
          <cell r="B3967" t="str">
            <v>LUVA ULTRA TECH PU (VAQUETA) TAM (8-M)</v>
          </cell>
          <cell r="C3967">
            <v>967800008</v>
          </cell>
          <cell r="D3967" t="str">
            <v>MARLUVAS</v>
          </cell>
          <cell r="E3967">
            <v>20027</v>
          </cell>
          <cell r="F3967" t="str">
            <v>EPI´S</v>
          </cell>
          <cell r="G3967" t="str">
            <v>AUTOMOTIVO</v>
          </cell>
        </row>
        <row r="3968">
          <cell r="A3968">
            <v>24201</v>
          </cell>
          <cell r="B3968" t="str">
            <v>LUVA ULTRA TECH PU (VAQUETA) TAM (9-G)</v>
          </cell>
          <cell r="C3968">
            <v>967800009</v>
          </cell>
          <cell r="D3968" t="str">
            <v>MARLUVAS</v>
          </cell>
          <cell r="E3968">
            <v>20027</v>
          </cell>
          <cell r="F3968" t="str">
            <v>EPI´S</v>
          </cell>
          <cell r="G3968" t="str">
            <v>AUTOMOTIVO</v>
          </cell>
        </row>
        <row r="3969">
          <cell r="A3969">
            <v>23072</v>
          </cell>
          <cell r="B3969" t="str">
            <v>MACACAO SEGURANCA BRANCO G</v>
          </cell>
          <cell r="C3969">
            <v>13676</v>
          </cell>
          <cell r="D3969" t="str">
            <v>STEELFLEX</v>
          </cell>
          <cell r="E3969">
            <v>20027</v>
          </cell>
          <cell r="F3969" t="str">
            <v>EPI´S</v>
          </cell>
          <cell r="G3969" t="str">
            <v>AUTOMOTIVO</v>
          </cell>
        </row>
        <row r="3970">
          <cell r="A3970">
            <v>23071</v>
          </cell>
          <cell r="B3970" t="str">
            <v>MACACAO SEGURANCA BRANCO M</v>
          </cell>
          <cell r="C3970">
            <v>896572</v>
          </cell>
          <cell r="D3970" t="str">
            <v>STEELFLEX</v>
          </cell>
          <cell r="E3970">
            <v>20027</v>
          </cell>
          <cell r="F3970" t="str">
            <v>EPI´S</v>
          </cell>
          <cell r="G3970" t="str">
            <v>AUTOMOTIVO</v>
          </cell>
        </row>
        <row r="3971">
          <cell r="A3971">
            <v>83936</v>
          </cell>
          <cell r="B3971" t="str">
            <v>MACACAO SEGURANCA BRANCO XG</v>
          </cell>
          <cell r="D3971" t="str">
            <v>STEELFLEX</v>
          </cell>
          <cell r="E3971">
            <v>20027</v>
          </cell>
          <cell r="F3971" t="str">
            <v>EPI´S</v>
          </cell>
          <cell r="G3971" t="str">
            <v>AUTOMOTIVO</v>
          </cell>
        </row>
        <row r="3972">
          <cell r="A3972">
            <v>23465</v>
          </cell>
          <cell r="B3972" t="str">
            <v>MÁSCARA DE PROTEÇÃO RESP. 9820 PFF-2</v>
          </cell>
          <cell r="C3972" t="str">
            <v>HB004541296</v>
          </cell>
          <cell r="D3972" t="str">
            <v>3M</v>
          </cell>
          <cell r="E3972">
            <v>20027</v>
          </cell>
          <cell r="F3972" t="str">
            <v>EPI´S</v>
          </cell>
          <cell r="G3972" t="str">
            <v>AUTOMOTIVO</v>
          </cell>
        </row>
        <row r="3973">
          <cell r="A3973">
            <v>83896</v>
          </cell>
          <cell r="B3973" t="str">
            <v>MASCARA DE SOLDA MOD. NEW WELDER ST. WELD VISION</v>
          </cell>
          <cell r="C3973">
            <v>4231</v>
          </cell>
          <cell r="D3973" t="str">
            <v>VONDER</v>
          </cell>
          <cell r="E3973">
            <v>20027</v>
          </cell>
          <cell r="F3973" t="str">
            <v>EPI´S</v>
          </cell>
          <cell r="G3973" t="str">
            <v>AUTOMOTIVO</v>
          </cell>
        </row>
        <row r="3974">
          <cell r="A3974">
            <v>23704</v>
          </cell>
          <cell r="B3974" t="str">
            <v>MASCARA DE TECIDO DAUTO</v>
          </cell>
          <cell r="C3974">
            <v>123456</v>
          </cell>
          <cell r="D3974" t="str">
            <v>.</v>
          </cell>
          <cell r="E3974">
            <v>20027</v>
          </cell>
          <cell r="F3974" t="str">
            <v>EPI´S</v>
          </cell>
          <cell r="G3974" t="str">
            <v>AUTOMOTIVO</v>
          </cell>
        </row>
        <row r="3975">
          <cell r="A3975">
            <v>24246</v>
          </cell>
          <cell r="B3975" t="str">
            <v>MASCARA DESCARTAVEL TNT NORTON - PCT10</v>
          </cell>
          <cell r="C3975">
            <v>78072724012</v>
          </cell>
          <cell r="D3975" t="str">
            <v>NORTON</v>
          </cell>
          <cell r="E3975">
            <v>20027</v>
          </cell>
          <cell r="F3975" t="str">
            <v>EPI´S</v>
          </cell>
          <cell r="G3975" t="str">
            <v>AUTOMOTIVO</v>
          </cell>
        </row>
        <row r="3976">
          <cell r="A3976">
            <v>24388</v>
          </cell>
          <cell r="B3976" t="str">
            <v>MASCARA ESCURA AUTOMATICO TON 9A13 VD PLUS VONDER</v>
          </cell>
          <cell r="C3976">
            <v>7076003000</v>
          </cell>
          <cell r="D3976" t="str">
            <v>VONDER</v>
          </cell>
          <cell r="E3976">
            <v>20027</v>
          </cell>
          <cell r="F3976" t="str">
            <v>EPI´S</v>
          </cell>
          <cell r="G3976" t="str">
            <v>AUTOMOTIVO</v>
          </cell>
        </row>
        <row r="3977">
          <cell r="A3977">
            <v>24408</v>
          </cell>
          <cell r="B3977" t="str">
            <v>MKT - FILTRO DE PAPEL KRAFT COM DOBRAS PERFURADAS</v>
          </cell>
          <cell r="C3977" t="str">
            <v>MKT</v>
          </cell>
          <cell r="D3977" t="str">
            <v>YVYTU</v>
          </cell>
          <cell r="E3977">
            <v>20027</v>
          </cell>
          <cell r="F3977" t="str">
            <v>EPI´S</v>
          </cell>
          <cell r="G3977" t="str">
            <v>AUTOMOTIVO</v>
          </cell>
        </row>
        <row r="3978">
          <cell r="A3978">
            <v>23674</v>
          </cell>
          <cell r="B3978" t="str">
            <v>OCULOS DE SEGURANÇA 3M</v>
          </cell>
          <cell r="C3978">
            <v>2168</v>
          </cell>
          <cell r="D3978" t="str">
            <v>3M</v>
          </cell>
          <cell r="E3978">
            <v>20027</v>
          </cell>
          <cell r="F3978" t="str">
            <v>EPI´S</v>
          </cell>
          <cell r="G3978" t="str">
            <v>AUTOMOTIVO</v>
          </cell>
        </row>
        <row r="3979">
          <cell r="A3979">
            <v>23886</v>
          </cell>
          <cell r="B3979" t="str">
            <v>OCULOS VISION 3000 ANTI RISCO E ANTI EMBAÇAMENTO 3M</v>
          </cell>
          <cell r="C3979" t="str">
            <v>HB004003107</v>
          </cell>
          <cell r="D3979" t="str">
            <v>3M</v>
          </cell>
          <cell r="E3979">
            <v>20027</v>
          </cell>
          <cell r="F3979" t="str">
            <v>EPI´S</v>
          </cell>
          <cell r="G3979" t="str">
            <v>AUTOMOTIVO</v>
          </cell>
        </row>
        <row r="3980">
          <cell r="A3980">
            <v>20493</v>
          </cell>
          <cell r="B3980" t="str">
            <v>PROTETOR AUDITIVO 1110 3M</v>
          </cell>
          <cell r="C3980">
            <v>504</v>
          </cell>
          <cell r="D3980" t="str">
            <v>3M</v>
          </cell>
          <cell r="E3980">
            <v>20027</v>
          </cell>
          <cell r="F3980" t="str">
            <v>EPI´S</v>
          </cell>
          <cell r="G3980" t="str">
            <v>AUTOMOTIVO</v>
          </cell>
        </row>
        <row r="3981">
          <cell r="A3981">
            <v>23583</v>
          </cell>
          <cell r="B3981" t="str">
            <v>PROTETOR AUDITIVO ABAFADOR MUFFLER 3M</v>
          </cell>
          <cell r="C3981" t="str">
            <v>HB004188494</v>
          </cell>
          <cell r="D3981" t="str">
            <v>3M</v>
          </cell>
          <cell r="E3981">
            <v>20027</v>
          </cell>
          <cell r="F3981" t="str">
            <v>EPI´S</v>
          </cell>
          <cell r="G3981" t="str">
            <v>AUTOMOTIVO</v>
          </cell>
        </row>
        <row r="3982">
          <cell r="A3982">
            <v>23078</v>
          </cell>
          <cell r="B3982" t="str">
            <v>RESPIRADOR DESCARTAVEL S/ VALVULA PFF-2 3M</v>
          </cell>
          <cell r="C3982" t="str">
            <v>HB004416820</v>
          </cell>
          <cell r="D3982" t="str">
            <v>3M</v>
          </cell>
          <cell r="E3982">
            <v>20027</v>
          </cell>
          <cell r="F3982" t="str">
            <v>EPI´S</v>
          </cell>
          <cell r="G3982" t="str">
            <v>AUTOMOTIVO</v>
          </cell>
        </row>
        <row r="3983">
          <cell r="A3983">
            <v>23916</v>
          </cell>
          <cell r="B3983" t="str">
            <v>RESPIRADOR DESCARTAVEL S/VALVULA 8801/120 3M</v>
          </cell>
          <cell r="C3983" t="str">
            <v>HB004116743</v>
          </cell>
          <cell r="D3983" t="str">
            <v>3M</v>
          </cell>
          <cell r="E3983">
            <v>20027</v>
          </cell>
          <cell r="F3983" t="str">
            <v>EPI´S</v>
          </cell>
          <cell r="G3983" t="str">
            <v>AUTOMOTIVO</v>
          </cell>
        </row>
        <row r="3984">
          <cell r="A3984">
            <v>23504</v>
          </cell>
          <cell r="B3984" t="str">
            <v>RESPIRADOR DOBRAVEL VALVULADO PFF-2 3M</v>
          </cell>
          <cell r="C3984" t="str">
            <v>HB004541304</v>
          </cell>
          <cell r="D3984" t="str">
            <v>3M</v>
          </cell>
          <cell r="E3984">
            <v>20027</v>
          </cell>
          <cell r="F3984" t="str">
            <v>EPI´S</v>
          </cell>
          <cell r="G3984" t="str">
            <v>AUTOMOTIVO</v>
          </cell>
        </row>
        <row r="3985">
          <cell r="A3985">
            <v>10096</v>
          </cell>
          <cell r="B3985" t="str">
            <v>RETENTOR FILTRO 5N11 3M</v>
          </cell>
          <cell r="C3985" t="str">
            <v>H0001396698</v>
          </cell>
          <cell r="D3985" t="str">
            <v>3M</v>
          </cell>
          <cell r="E3985">
            <v>20027</v>
          </cell>
          <cell r="F3985" t="str">
            <v>EPI´S</v>
          </cell>
          <cell r="G3985" t="str">
            <v>AUTOMOTIVO</v>
          </cell>
        </row>
        <row r="3986">
          <cell r="A3986">
            <v>26</v>
          </cell>
          <cell r="B3986" t="str">
            <v>TIRANTE RESPIRADOR 6000/6200 3M</v>
          </cell>
          <cell r="C3986" t="str">
            <v>H0001710963</v>
          </cell>
          <cell r="D3986" t="str">
            <v>3M</v>
          </cell>
          <cell r="E3986">
            <v>20027</v>
          </cell>
          <cell r="F3986" t="str">
            <v>EPI´S</v>
          </cell>
          <cell r="G3986" t="str">
            <v>AUTOMOTIVO</v>
          </cell>
        </row>
        <row r="3987">
          <cell r="A3987">
            <v>23367</v>
          </cell>
          <cell r="B3987" t="str">
            <v>ADESIVO PLASTICO BRANCO 1KG ROYAL</v>
          </cell>
          <cell r="C3987" t="str">
            <v>APL1000BR-CX4</v>
          </cell>
          <cell r="D3987" t="str">
            <v>ROYAL</v>
          </cell>
          <cell r="E3987">
            <v>20026</v>
          </cell>
          <cell r="F3987" t="str">
            <v xml:space="preserve">COLA  PLÁSTICA </v>
          </cell>
          <cell r="G3987" t="str">
            <v>AUTOMOTIVO</v>
          </cell>
        </row>
        <row r="3988">
          <cell r="A3988">
            <v>85327</v>
          </cell>
          <cell r="B3988" t="str">
            <v>ADESIVO PLASTICO BRANCO 400G CARPLAST</v>
          </cell>
          <cell r="C3988" t="str">
            <v>CA135</v>
          </cell>
          <cell r="D3988" t="str">
            <v>MAXI RUBBER</v>
          </cell>
          <cell r="E3988">
            <v>20026</v>
          </cell>
          <cell r="F3988" t="str">
            <v xml:space="preserve">COLA  PLÁSTICA </v>
          </cell>
          <cell r="G3988" t="str">
            <v>AUTOMOTIVO</v>
          </cell>
        </row>
        <row r="3989">
          <cell r="A3989">
            <v>85422</v>
          </cell>
          <cell r="B3989" t="str">
            <v>ADESIVO PLASTICO CINZA 400G CARPLAST</v>
          </cell>
          <cell r="C3989" t="str">
            <v>CA100</v>
          </cell>
          <cell r="D3989" t="str">
            <v>MAXI RUBBER</v>
          </cell>
          <cell r="E3989">
            <v>20026</v>
          </cell>
          <cell r="F3989" t="str">
            <v xml:space="preserve">COLA  PLÁSTICA </v>
          </cell>
          <cell r="G3989" t="str">
            <v>AUTOMOTIVO</v>
          </cell>
        </row>
        <row r="3990">
          <cell r="A3990">
            <v>84686</v>
          </cell>
          <cell r="B3990" t="str">
            <v>ADESIVO PLASTICO EXTRA BRANCO 900G MAX RUUBER</v>
          </cell>
          <cell r="C3990" t="str">
            <v>1MG084</v>
          </cell>
          <cell r="D3990" t="str">
            <v>MAXI RUBBER</v>
          </cell>
          <cell r="E3990">
            <v>20026</v>
          </cell>
          <cell r="F3990" t="str">
            <v xml:space="preserve">COLA  PLÁSTICA </v>
          </cell>
          <cell r="G3990" t="str">
            <v>AUTOMOTIVO</v>
          </cell>
        </row>
        <row r="3991">
          <cell r="A3991">
            <v>23368</v>
          </cell>
          <cell r="B3991" t="str">
            <v>ADESIVO PLASTICO LAMINAÇÃO 900G ROYAL</v>
          </cell>
          <cell r="C3991" t="str">
            <v>APLO900-CX1</v>
          </cell>
          <cell r="D3991" t="str">
            <v>ROYAL</v>
          </cell>
          <cell r="E3991">
            <v>20026</v>
          </cell>
          <cell r="F3991" t="str">
            <v xml:space="preserve">COLA  PLÁSTICA </v>
          </cell>
          <cell r="G3991" t="str">
            <v>AUTOMOTIVO</v>
          </cell>
        </row>
        <row r="3992">
          <cell r="A3992">
            <v>85357</v>
          </cell>
          <cell r="B3992" t="str">
            <v>ADESIVO PLASTICO SUPREMO BRANCO 1KG RHAI</v>
          </cell>
          <cell r="C3992">
            <v>201301001</v>
          </cell>
          <cell r="D3992" t="str">
            <v>RHAI</v>
          </cell>
          <cell r="E3992">
            <v>20026</v>
          </cell>
          <cell r="F3992" t="str">
            <v xml:space="preserve">COLA  PLÁSTICA </v>
          </cell>
          <cell r="G3992" t="str">
            <v>AUTOMOTIVO</v>
          </cell>
        </row>
        <row r="3993">
          <cell r="A3993">
            <v>21386</v>
          </cell>
          <cell r="B3993" t="str">
            <v>CATALISADOR 12ML RETOQUE</v>
          </cell>
          <cell r="C3993">
            <v>12</v>
          </cell>
          <cell r="D3993" t="str">
            <v>.</v>
          </cell>
          <cell r="E3993">
            <v>20026</v>
          </cell>
          <cell r="F3993" t="str">
            <v xml:space="preserve">COLA  PLÁSTICA </v>
          </cell>
          <cell r="G3993" t="str">
            <v>AUTOMOTIVO</v>
          </cell>
        </row>
        <row r="3994">
          <cell r="A3994">
            <v>85358</v>
          </cell>
          <cell r="B3994" t="str">
            <v>COLA PARA LAMINAÇÃO 900G RHAI</v>
          </cell>
          <cell r="C3994">
            <v>201307181</v>
          </cell>
          <cell r="D3994" t="str">
            <v>RHAI</v>
          </cell>
          <cell r="E3994">
            <v>20026</v>
          </cell>
          <cell r="F3994" t="str">
            <v xml:space="preserve">COLA  PLÁSTICA </v>
          </cell>
          <cell r="G3994" t="str">
            <v>AUTOMOTIVO</v>
          </cell>
        </row>
        <row r="3995">
          <cell r="A3995">
            <v>10316</v>
          </cell>
          <cell r="B3995" t="str">
            <v>COLA PLASTICA UNIV. SUPER LIGHT 495G ANJO</v>
          </cell>
          <cell r="C3995" t="str">
            <v>018301-09</v>
          </cell>
          <cell r="D3995" t="str">
            <v>ANJO</v>
          </cell>
          <cell r="E3995">
            <v>20026</v>
          </cell>
          <cell r="F3995" t="str">
            <v xml:space="preserve">COLA  PLÁSTICA </v>
          </cell>
          <cell r="G3995" t="str">
            <v>AUTOMOTIVO</v>
          </cell>
        </row>
        <row r="3996">
          <cell r="A3996">
            <v>10277</v>
          </cell>
          <cell r="B3996" t="str">
            <v>KIT COLA PLASTICA BRANCA 1KG C/ CAT 12ML RETOQUE</v>
          </cell>
          <cell r="C3996">
            <v>58</v>
          </cell>
          <cell r="D3996" t="str">
            <v>RETOQUE</v>
          </cell>
          <cell r="E3996">
            <v>20026</v>
          </cell>
          <cell r="F3996" t="str">
            <v xml:space="preserve">COLA  PLÁSTICA </v>
          </cell>
          <cell r="G3996" t="str">
            <v>AUTOMOTIVO</v>
          </cell>
        </row>
        <row r="3997">
          <cell r="A3997">
            <v>241</v>
          </cell>
          <cell r="B3997" t="str">
            <v>KIT COLA PLASTICA BRANCA 400GR</v>
          </cell>
          <cell r="C3997">
            <v>124578</v>
          </cell>
          <cell r="D3997" t="str">
            <v>RETOQUE</v>
          </cell>
          <cell r="E3997">
            <v>20026</v>
          </cell>
          <cell r="F3997" t="str">
            <v xml:space="preserve">COLA  PLÁSTICA </v>
          </cell>
          <cell r="G3997" t="str">
            <v>AUTOMOTIVO</v>
          </cell>
        </row>
        <row r="3998">
          <cell r="A3998">
            <v>85414</v>
          </cell>
          <cell r="B3998" t="str">
            <v>MASSA  ADES PLASTICA  BRANCA 400G IBERÊ</v>
          </cell>
          <cell r="C3998" t="str">
            <v>IB100</v>
          </cell>
          <cell r="D3998" t="str">
            <v>IBERÊ</v>
          </cell>
          <cell r="E3998">
            <v>20026</v>
          </cell>
          <cell r="F3998" t="str">
            <v xml:space="preserve">COLA  PLÁSTICA </v>
          </cell>
          <cell r="G3998" t="str">
            <v>AUTOMOTIVO</v>
          </cell>
        </row>
        <row r="3999">
          <cell r="A3999">
            <v>85415</v>
          </cell>
          <cell r="B3999" t="str">
            <v>MASSA  ADES PLASTICA CINZA 400G IBERÊ</v>
          </cell>
          <cell r="C3999" t="str">
            <v>IB200</v>
          </cell>
          <cell r="D3999" t="str">
            <v>IBERÊ</v>
          </cell>
          <cell r="E3999">
            <v>20026</v>
          </cell>
          <cell r="F3999" t="str">
            <v xml:space="preserve">COLA  PLÁSTICA </v>
          </cell>
          <cell r="G3999" t="str">
            <v>AUTOMOTIVO</v>
          </cell>
        </row>
        <row r="4000">
          <cell r="A4000">
            <v>85416</v>
          </cell>
          <cell r="B4000" t="str">
            <v>MASSA  ADES PLASTICA PRETA 400G IBERÊ</v>
          </cell>
          <cell r="C4000" t="str">
            <v>IB300</v>
          </cell>
          <cell r="D4000" t="str">
            <v>IBERÊ</v>
          </cell>
          <cell r="E4000">
            <v>20026</v>
          </cell>
          <cell r="F4000" t="str">
            <v xml:space="preserve">COLA  PLÁSTICA </v>
          </cell>
          <cell r="G4000" t="str">
            <v>AUTOMOTIVO</v>
          </cell>
        </row>
        <row r="4001">
          <cell r="A4001">
            <v>220</v>
          </cell>
          <cell r="B4001" t="str">
            <v>MASSA PLASTICO LIGHT 495G WEG</v>
          </cell>
          <cell r="C4001">
            <v>125</v>
          </cell>
          <cell r="D4001" t="str">
            <v>.</v>
          </cell>
          <cell r="E4001">
            <v>20026</v>
          </cell>
          <cell r="F4001" t="str">
            <v xml:space="preserve">COLA  PLÁSTICA </v>
          </cell>
          <cell r="G4001" t="str">
            <v>AUTOMOTIVO</v>
          </cell>
        </row>
        <row r="4002">
          <cell r="A4002">
            <v>24345</v>
          </cell>
          <cell r="B4002" t="str">
            <v>MASSA POLIESTER PARA PLASTICO 400G MAXI RUBBER</v>
          </cell>
          <cell r="C4002" t="str">
            <v>1MG070</v>
          </cell>
          <cell r="D4002" t="str">
            <v>MAXI RUBBER</v>
          </cell>
          <cell r="E4002">
            <v>20026</v>
          </cell>
          <cell r="F4002" t="str">
            <v xml:space="preserve">COLA  PLÁSTICA </v>
          </cell>
          <cell r="G4002" t="str">
            <v>AUTOMOTIVO</v>
          </cell>
        </row>
        <row r="4003">
          <cell r="A4003">
            <v>10394</v>
          </cell>
          <cell r="B4003" t="str">
            <v>ULTRA LIGHT ADES. PLAST. 495G MAXI RUBBER</v>
          </cell>
          <cell r="C4003" t="str">
            <v>1MG095</v>
          </cell>
          <cell r="D4003" t="str">
            <v>MAXI RUBBER</v>
          </cell>
          <cell r="E4003">
            <v>20026</v>
          </cell>
          <cell r="F4003" t="str">
            <v xml:space="preserve">COLA  PLÁSTICA </v>
          </cell>
          <cell r="G4003" t="str">
            <v>AUTOMOTIVO</v>
          </cell>
        </row>
        <row r="4004">
          <cell r="A4004">
            <v>20973</v>
          </cell>
          <cell r="B4004" t="str">
            <v>ESTOPA BRANCA 150GR</v>
          </cell>
          <cell r="C4004">
            <v>4</v>
          </cell>
          <cell r="D4004" t="str">
            <v>BRILHO ESTOPA</v>
          </cell>
          <cell r="E4004">
            <v>20025</v>
          </cell>
          <cell r="F4004" t="str">
            <v>ESTOPAS</v>
          </cell>
          <cell r="G4004" t="str">
            <v>AUTOMOTIVO</v>
          </cell>
        </row>
        <row r="4005">
          <cell r="A4005">
            <v>5</v>
          </cell>
          <cell r="B4005" t="str">
            <v>ESTOPA BRANCA 500G</v>
          </cell>
          <cell r="C4005">
            <v>3</v>
          </cell>
          <cell r="D4005" t="str">
            <v>BRILHO ESTOPA</v>
          </cell>
          <cell r="E4005">
            <v>20025</v>
          </cell>
          <cell r="F4005" t="str">
            <v>ESTOPAS</v>
          </cell>
          <cell r="G4005" t="str">
            <v>AUTOMOTIVO</v>
          </cell>
        </row>
        <row r="4006">
          <cell r="A4006">
            <v>21646</v>
          </cell>
          <cell r="B4006" t="str">
            <v>LIXADEIRA 6 3/16 MULTIFUNCIONAL NORTON</v>
          </cell>
          <cell r="C4006">
            <v>66623347591</v>
          </cell>
          <cell r="D4006" t="str">
            <v>NORTON</v>
          </cell>
          <cell r="E4006">
            <v>20024</v>
          </cell>
          <cell r="F4006" t="str">
            <v>LIXADEIRAS</v>
          </cell>
          <cell r="G4006" t="str">
            <v>AUTOMOTIVO</v>
          </cell>
        </row>
        <row r="4007">
          <cell r="A4007">
            <v>83913</v>
          </cell>
          <cell r="B4007" t="str">
            <v>LIXADEIRA 6" 12000 RPM YANGUI</v>
          </cell>
          <cell r="C4007" t="str">
            <v>YGL128</v>
          </cell>
          <cell r="D4007" t="str">
            <v>YANGUI</v>
          </cell>
          <cell r="E4007">
            <v>20024</v>
          </cell>
          <cell r="F4007" t="str">
            <v>LIXADEIRAS</v>
          </cell>
          <cell r="G4007" t="str">
            <v>AUTOMOTIVO</v>
          </cell>
        </row>
        <row r="4008">
          <cell r="A4008">
            <v>24279</v>
          </cell>
          <cell r="B4008" t="str">
            <v>LIXADEIRA A SECO 6" COM COLETOR WIMPEL</v>
          </cell>
          <cell r="C4008">
            <v>890</v>
          </cell>
          <cell r="D4008" t="str">
            <v>WINPEL</v>
          </cell>
          <cell r="E4008">
            <v>20024</v>
          </cell>
          <cell r="F4008" t="str">
            <v>LIXADEIRAS</v>
          </cell>
          <cell r="G4008" t="str">
            <v>AUTOMOTIVO</v>
          </cell>
        </row>
        <row r="4009">
          <cell r="A4009">
            <v>22934</v>
          </cell>
          <cell r="B4009" t="str">
            <v>LIXADEIRA CORREIAS 18 3M</v>
          </cell>
          <cell r="C4009" t="str">
            <v>HB004495212</v>
          </cell>
          <cell r="D4009" t="str">
            <v>3M</v>
          </cell>
          <cell r="E4009">
            <v>20024</v>
          </cell>
          <cell r="F4009" t="str">
            <v>LIXADEIRAS</v>
          </cell>
          <cell r="G4009" t="str">
            <v>AUTOMOTIVO</v>
          </cell>
        </row>
        <row r="4010">
          <cell r="A4010">
            <v>23688</v>
          </cell>
          <cell r="B4010" t="str">
            <v>LIXADEIRA MAXX TOOLS 6 SIGMA</v>
          </cell>
          <cell r="C4010">
            <v>701031206</v>
          </cell>
          <cell r="D4010" t="str">
            <v>ATUAIS</v>
          </cell>
          <cell r="E4010">
            <v>20024</v>
          </cell>
          <cell r="F4010" t="str">
            <v>LIXADEIRAS</v>
          </cell>
          <cell r="G4010" t="str">
            <v>AUTOMOTIVO</v>
          </cell>
        </row>
        <row r="4011">
          <cell r="A4011">
            <v>23400</v>
          </cell>
          <cell r="B4011" t="str">
            <v>LIXADEIRA ORBITAL 6IN SGV 3/16 PN20327 3M</v>
          </cell>
          <cell r="C4011" t="str">
            <v>HC000658159</v>
          </cell>
          <cell r="D4011" t="str">
            <v>3M</v>
          </cell>
          <cell r="E4011">
            <v>20024</v>
          </cell>
          <cell r="F4011" t="str">
            <v>LIXADEIRAS</v>
          </cell>
          <cell r="G4011" t="str">
            <v>AUTOMOTIVO</v>
          </cell>
        </row>
        <row r="4012">
          <cell r="A4012">
            <v>83783</v>
          </cell>
          <cell r="B4012" t="str">
            <v>LIXADEIRA ORBITAL CV 6 3/16 PN33628 3M</v>
          </cell>
          <cell r="C4012" t="str">
            <v>HB004718936</v>
          </cell>
          <cell r="D4012" t="str">
            <v>3M</v>
          </cell>
          <cell r="E4012">
            <v>20024</v>
          </cell>
          <cell r="F4012" t="str">
            <v>LIXADEIRAS</v>
          </cell>
          <cell r="G4012" t="str">
            <v>AUTOMOTIVO</v>
          </cell>
        </row>
        <row r="4013">
          <cell r="A4013">
            <v>23473</v>
          </cell>
          <cell r="B4013" t="str">
            <v>LIXADEIRA ORBITAL SGV 6IN 3/32 PRO 3M</v>
          </cell>
          <cell r="C4013" t="str">
            <v>HC000664017</v>
          </cell>
          <cell r="D4013" t="str">
            <v>3M</v>
          </cell>
          <cell r="E4013">
            <v>20024</v>
          </cell>
          <cell r="F4013" t="str">
            <v>LIXADEIRAS</v>
          </cell>
          <cell r="G4013" t="str">
            <v>AUTOMOTIVO</v>
          </cell>
        </row>
        <row r="4014">
          <cell r="A4014">
            <v>85273</v>
          </cell>
          <cell r="B4014" t="str">
            <v>LIXADEIRA PN CV 6 5/16 PN33629 3M</v>
          </cell>
          <cell r="C4014" t="str">
            <v>HB004718886</v>
          </cell>
          <cell r="D4014" t="str">
            <v>3M</v>
          </cell>
          <cell r="E4014">
            <v>20024</v>
          </cell>
          <cell r="F4014" t="str">
            <v>LIXADEIRAS</v>
          </cell>
          <cell r="G4014" t="str">
            <v>AUTOMOTIVO</v>
          </cell>
        </row>
        <row r="4015">
          <cell r="A4015">
            <v>84819</v>
          </cell>
          <cell r="B4015" t="str">
            <v>LIXADEIRA ROTO ORBITAL 6" SEM ASPIRAÇÃO PDR</v>
          </cell>
          <cell r="C4015" t="str">
            <v>PRO-406</v>
          </cell>
          <cell r="D4015" t="str">
            <v>PDR</v>
          </cell>
          <cell r="E4015">
            <v>20024</v>
          </cell>
          <cell r="F4015" t="str">
            <v>LIXADEIRAS</v>
          </cell>
          <cell r="G4015" t="str">
            <v>AUTOMOTIVO</v>
          </cell>
        </row>
        <row r="4016">
          <cell r="A4016">
            <v>85720</v>
          </cell>
          <cell r="B4016" t="str">
            <v>LIXADEIRA/POLITRIZ DWP849X DEWALT</v>
          </cell>
          <cell r="C4016">
            <v>1242</v>
          </cell>
          <cell r="D4016" t="str">
            <v>DEWALT</v>
          </cell>
          <cell r="E4016">
            <v>20024</v>
          </cell>
          <cell r="F4016" t="str">
            <v>LIXADEIRAS</v>
          </cell>
          <cell r="G4016" t="str">
            <v>AUTOMOTIVO</v>
          </cell>
        </row>
        <row r="4017">
          <cell r="A4017">
            <v>23788</v>
          </cell>
          <cell r="B4017" t="str">
            <v>POLITRIZ ANGULAR 5" PAV600 220V VONDER</v>
          </cell>
          <cell r="C4017">
            <v>6001600230</v>
          </cell>
          <cell r="D4017" t="str">
            <v>VONDER</v>
          </cell>
          <cell r="E4017">
            <v>20024</v>
          </cell>
          <cell r="F4017" t="str">
            <v>LIXADEIRAS</v>
          </cell>
          <cell r="G4017" t="str">
            <v>AUTOMOTIVO</v>
          </cell>
        </row>
        <row r="4018">
          <cell r="A4018">
            <v>84742</v>
          </cell>
          <cell r="B4018" t="str">
            <v>POLITRIZ ANGULAR 7 GPO 14 CE 1400W 220V BOSCH</v>
          </cell>
          <cell r="C4018">
            <v>6013890</v>
          </cell>
          <cell r="D4018" t="str">
            <v>BOSCH</v>
          </cell>
          <cell r="E4018">
            <v>20024</v>
          </cell>
          <cell r="F4018" t="str">
            <v>LIXADEIRAS</v>
          </cell>
          <cell r="G4018" t="str">
            <v>AUTOMOTIVO</v>
          </cell>
        </row>
        <row r="4019">
          <cell r="A4019">
            <v>85103</v>
          </cell>
          <cell r="B4019" t="str">
            <v>POLITRIZ ANGULAR 7" PAV1307 220V VONDER</v>
          </cell>
          <cell r="C4019">
            <v>600113722</v>
          </cell>
          <cell r="D4019" t="str">
            <v>VONDER</v>
          </cell>
          <cell r="E4019">
            <v>20024</v>
          </cell>
          <cell r="F4019" t="str">
            <v>LIXADEIRAS</v>
          </cell>
          <cell r="G4019" t="str">
            <v>AUTOMOTIVO</v>
          </cell>
        </row>
        <row r="4020">
          <cell r="A4020">
            <v>24298</v>
          </cell>
          <cell r="B4020" t="str">
            <v>POLITRIZ ORBITAL VOXER 5 15MM 220V VONIXX</v>
          </cell>
          <cell r="C4020">
            <v>2011028</v>
          </cell>
          <cell r="D4020" t="str">
            <v>VONIXX</v>
          </cell>
          <cell r="E4020">
            <v>20024</v>
          </cell>
          <cell r="F4020" t="str">
            <v>LIXADEIRAS</v>
          </cell>
          <cell r="G4020" t="str">
            <v>AUTOMOTIVO</v>
          </cell>
        </row>
        <row r="4021">
          <cell r="A4021">
            <v>85506</v>
          </cell>
          <cell r="B4021" t="str">
            <v>POLITRIZ ROTO ORBITAL 15MM 230V 3M PN34112</v>
          </cell>
          <cell r="C4021" t="str">
            <v>HB004788434</v>
          </cell>
          <cell r="D4021" t="str">
            <v>3M</v>
          </cell>
          <cell r="E4021">
            <v>20024</v>
          </cell>
          <cell r="F4021" t="str">
            <v>LIXADEIRAS</v>
          </cell>
          <cell r="G4021" t="str">
            <v>AUTOMOTIVO</v>
          </cell>
        </row>
        <row r="4022">
          <cell r="A4022">
            <v>85565</v>
          </cell>
          <cell r="B4022" t="str">
            <v>SGT4300  LIXADEIRA ELETRICA PARA TETO E PAREDE</v>
          </cell>
          <cell r="C4022">
            <v>702430000</v>
          </cell>
          <cell r="D4022" t="str">
            <v>SIGMA</v>
          </cell>
          <cell r="E4022">
            <v>20024</v>
          </cell>
          <cell r="F4022" t="str">
            <v>LIXADEIRAS</v>
          </cell>
          <cell r="G4022" t="str">
            <v>AUTOMOTIVO</v>
          </cell>
        </row>
        <row r="4023">
          <cell r="A4023">
            <v>85623</v>
          </cell>
          <cell r="B4023" t="str">
            <v>CANECA  INDIVIDUAL PISTOLA 1.3 WALCOM</v>
          </cell>
          <cell r="D4023" t="str">
            <v>MAXI RUBBER</v>
          </cell>
          <cell r="E4023">
            <v>20023</v>
          </cell>
          <cell r="F4023" t="str">
            <v>PISTOLAS</v>
          </cell>
          <cell r="G4023" t="str">
            <v>AUTOMOTIVO</v>
          </cell>
        </row>
        <row r="4024">
          <cell r="A4024">
            <v>23402</v>
          </cell>
          <cell r="B4024" t="str">
            <v>CANECA 600ML PISTOLA W-400/W-400WB/LPH-400</v>
          </cell>
          <cell r="C4024" t="str">
            <v>PCG-6P-M</v>
          </cell>
          <cell r="D4024" t="str">
            <v>ANEST</v>
          </cell>
          <cell r="E4024">
            <v>20023</v>
          </cell>
          <cell r="F4024" t="str">
            <v>PISTOLAS</v>
          </cell>
          <cell r="G4024" t="str">
            <v>AUTOMOTIVO</v>
          </cell>
        </row>
        <row r="4025">
          <cell r="A4025">
            <v>23484</v>
          </cell>
          <cell r="B4025" t="str">
            <v>CANECA 600ML PISTOLA WS-400 PININFARINA</v>
          </cell>
          <cell r="C4025" t="str">
            <v>PC-G600P-2</v>
          </cell>
          <cell r="D4025" t="str">
            <v>ANEST</v>
          </cell>
          <cell r="E4025">
            <v>20023</v>
          </cell>
          <cell r="F4025" t="str">
            <v>PISTOLAS</v>
          </cell>
          <cell r="G4025" t="str">
            <v>AUTOMOTIVO</v>
          </cell>
        </row>
        <row r="4026">
          <cell r="A4026">
            <v>21019</v>
          </cell>
          <cell r="B4026" t="str">
            <v>CANECA PLASTICA DE GRAVIDADE</v>
          </cell>
          <cell r="C4026">
            <v>809384616</v>
          </cell>
          <cell r="D4026" t="str">
            <v>.</v>
          </cell>
          <cell r="E4026">
            <v>20023</v>
          </cell>
          <cell r="F4026" t="str">
            <v>PISTOLAS</v>
          </cell>
          <cell r="G4026" t="str">
            <v>AUTOMOTIVO</v>
          </cell>
        </row>
        <row r="4027">
          <cell r="A4027">
            <v>84680</v>
          </cell>
          <cell r="B4027" t="str">
            <v>COPO PISTOLA DE PINTURA PRO-550 600ML PDR</v>
          </cell>
          <cell r="C4027" t="str">
            <v>550-15</v>
          </cell>
          <cell r="D4027" t="str">
            <v>PDR</v>
          </cell>
          <cell r="E4027">
            <v>20023</v>
          </cell>
          <cell r="F4027" t="str">
            <v>PISTOLAS</v>
          </cell>
          <cell r="G4027" t="str">
            <v>AUTOMOTIVO</v>
          </cell>
        </row>
        <row r="4028">
          <cell r="A4028">
            <v>24374</v>
          </cell>
          <cell r="B4028" t="str">
            <v>KIT PISTOLA PSG C/ PPS PN26778 3M</v>
          </cell>
          <cell r="C4028" t="str">
            <v>HB004706931</v>
          </cell>
          <cell r="D4028" t="str">
            <v>3M</v>
          </cell>
          <cell r="E4028">
            <v>20023</v>
          </cell>
          <cell r="F4028" t="str">
            <v>PISTOLAS</v>
          </cell>
          <cell r="G4028" t="str">
            <v>AUTOMOTIVO</v>
          </cell>
        </row>
        <row r="4029">
          <cell r="A4029">
            <v>23567</v>
          </cell>
          <cell r="B4029" t="str">
            <v>KIT REPARO PARA PISTOLA SLIM MAXI RUBBER-33,38-ST</v>
          </cell>
          <cell r="C4029">
            <v>40761</v>
          </cell>
          <cell r="D4029" t="str">
            <v>MAXI RUBBER</v>
          </cell>
          <cell r="E4029">
            <v>20023</v>
          </cell>
          <cell r="F4029" t="str">
            <v>PISTOLAS</v>
          </cell>
          <cell r="G4029" t="str">
            <v>AUTOMOTIVO</v>
          </cell>
        </row>
        <row r="4030">
          <cell r="A4030">
            <v>83965</v>
          </cell>
          <cell r="B4030" t="str">
            <v>LIMPADOR DE PISTOLA 3M 26689</v>
          </cell>
          <cell r="C4030" t="str">
            <v>UN-001</v>
          </cell>
          <cell r="D4030" t="str">
            <v>3M</v>
          </cell>
          <cell r="E4030">
            <v>20023</v>
          </cell>
          <cell r="F4030" t="str">
            <v>PISTOLAS</v>
          </cell>
          <cell r="G4030" t="str">
            <v>AUTOMOTIVO</v>
          </cell>
        </row>
        <row r="4031">
          <cell r="A4031">
            <v>84918</v>
          </cell>
          <cell r="B4031" t="str">
            <v>PISTOLA  HIGH TECH MOD. 6000G 1.4MM EURO TECHNIKER</v>
          </cell>
          <cell r="C4031" t="str">
            <v>6000-14G</v>
          </cell>
          <cell r="D4031" t="str">
            <v>.</v>
          </cell>
          <cell r="E4031">
            <v>20023</v>
          </cell>
          <cell r="F4031" t="str">
            <v>PISTOLAS</v>
          </cell>
          <cell r="G4031" t="str">
            <v>AUTOMOTIVO</v>
          </cell>
        </row>
        <row r="4032">
          <cell r="A4032">
            <v>23040</v>
          </cell>
          <cell r="B4032" t="str">
            <v>PISTOLA BYP HVLP COPO PLASTICO 600ML</v>
          </cell>
          <cell r="C4032" t="str">
            <v>80.93.87111-267</v>
          </cell>
          <cell r="D4032" t="str">
            <v>.</v>
          </cell>
          <cell r="E4032">
            <v>20023</v>
          </cell>
          <cell r="F4032" t="str">
            <v>PISTOLAS</v>
          </cell>
          <cell r="G4032" t="str">
            <v>AUTOMOTIVO</v>
          </cell>
        </row>
        <row r="4033">
          <cell r="A4033">
            <v>22138</v>
          </cell>
          <cell r="B4033" t="str">
            <v>PISTOLA DE APLICAÇÃO PBA</v>
          </cell>
          <cell r="C4033" t="str">
            <v>HB004386841</v>
          </cell>
          <cell r="D4033" t="str">
            <v>3M</v>
          </cell>
          <cell r="E4033">
            <v>20023</v>
          </cell>
          <cell r="F4033" t="str">
            <v>PISTOLAS</v>
          </cell>
          <cell r="G4033" t="str">
            <v>AUTOMOTIVO</v>
          </cell>
        </row>
        <row r="4034">
          <cell r="A4034">
            <v>23883</v>
          </cell>
          <cell r="B4034" t="str">
            <v>PISTOLA DE BATIDA DE PEDRA MAX RUBBER</v>
          </cell>
          <cell r="C4034" t="str">
            <v>BFM1105</v>
          </cell>
          <cell r="D4034" t="str">
            <v>MAXI RUBBER</v>
          </cell>
          <cell r="E4034">
            <v>20023</v>
          </cell>
          <cell r="F4034" t="str">
            <v>PISTOLAS</v>
          </cell>
          <cell r="G4034" t="str">
            <v>AUTOMOTIVO</v>
          </cell>
        </row>
        <row r="4035">
          <cell r="A4035">
            <v>83842</v>
          </cell>
          <cell r="B4035" t="str">
            <v>PISTOLA DE BATIDA DE PEDRA WALCOM</v>
          </cell>
          <cell r="D4035" t="str">
            <v>.</v>
          </cell>
          <cell r="E4035">
            <v>20023</v>
          </cell>
          <cell r="F4035" t="str">
            <v>PISTOLAS</v>
          </cell>
          <cell r="G4035" t="str">
            <v>AUTOMOTIVO</v>
          </cell>
        </row>
        <row r="4036">
          <cell r="A4036">
            <v>24280</v>
          </cell>
          <cell r="B4036" t="str">
            <v>PISTOLA DE EMBORRACHAMENTO WIMPEL</v>
          </cell>
          <cell r="C4036">
            <v>1468</v>
          </cell>
          <cell r="D4036" t="str">
            <v>WINPEL</v>
          </cell>
          <cell r="E4036">
            <v>20023</v>
          </cell>
          <cell r="F4036" t="str">
            <v>PISTOLAS</v>
          </cell>
          <cell r="G4036" t="str">
            <v>AUTOMOTIVO</v>
          </cell>
        </row>
        <row r="4037">
          <cell r="A4037">
            <v>23866</v>
          </cell>
          <cell r="B4037" t="str">
            <v>PISTOLA DE GRAVIDADE W-400 BELLARIA 1.30MM</v>
          </cell>
          <cell r="C4037" t="str">
            <v>W-400-134G</v>
          </cell>
          <cell r="D4037" t="str">
            <v>ANEST</v>
          </cell>
          <cell r="E4037">
            <v>20023</v>
          </cell>
          <cell r="F4037" t="str">
            <v>PISTOLAS</v>
          </cell>
          <cell r="G4037" t="str">
            <v>AUTOMOTIVO</v>
          </cell>
        </row>
        <row r="4038">
          <cell r="A4038">
            <v>23618</v>
          </cell>
          <cell r="B4038" t="str">
            <v>PISTOLA DE GRAVIDADE W-400 BELLARIA 1.4</v>
          </cell>
          <cell r="C4038" t="str">
            <v>W-400-144G</v>
          </cell>
          <cell r="D4038" t="str">
            <v>ANEST</v>
          </cell>
          <cell r="E4038">
            <v>20023</v>
          </cell>
          <cell r="F4038" t="str">
            <v>PISTOLAS</v>
          </cell>
          <cell r="G4038" t="str">
            <v>AUTOMOTIVO</v>
          </cell>
        </row>
        <row r="4039">
          <cell r="A4039">
            <v>23401</v>
          </cell>
          <cell r="B4039" t="str">
            <v>PISTOLA DE GRAVIDADE W-400WB 1.40MM</v>
          </cell>
          <cell r="C4039" t="str">
            <v>W-400WB-142G</v>
          </cell>
          <cell r="D4039" t="str">
            <v>ANEST</v>
          </cell>
          <cell r="E4039">
            <v>20023</v>
          </cell>
          <cell r="F4039" t="str">
            <v>PISTOLAS</v>
          </cell>
          <cell r="G4039" t="str">
            <v>AUTOMOTIVO</v>
          </cell>
        </row>
        <row r="4040">
          <cell r="A4040">
            <v>83935</v>
          </cell>
          <cell r="B4040" t="str">
            <v>PISTOLA DE PINTURA 1.2 MP-262 WIMPEL</v>
          </cell>
          <cell r="C4040">
            <v>1847</v>
          </cell>
          <cell r="D4040" t="str">
            <v>WINPEL</v>
          </cell>
          <cell r="E4040">
            <v>20023</v>
          </cell>
          <cell r="F4040" t="str">
            <v>PISTOLAS</v>
          </cell>
          <cell r="G4040" t="str">
            <v>AUTOMOTIVO</v>
          </cell>
        </row>
        <row r="4041">
          <cell r="A4041">
            <v>23966</v>
          </cell>
          <cell r="B4041" t="str">
            <v>PISTOLA DE PINTURA AN-100 HVLP 1.3MM WIMPEL</v>
          </cell>
          <cell r="C4041">
            <v>2010812</v>
          </cell>
          <cell r="D4041" t="str">
            <v>WANDA</v>
          </cell>
          <cell r="E4041">
            <v>20023</v>
          </cell>
          <cell r="F4041" t="str">
            <v>PISTOLAS</v>
          </cell>
          <cell r="G4041" t="str">
            <v>AUTOMOTIVO</v>
          </cell>
        </row>
        <row r="4042">
          <cell r="A4042">
            <v>85745</v>
          </cell>
          <cell r="B4042" t="str">
            <v>PISTOLA DE PINTURA ELETRICA PEV 400 HVLP 2,6MM 320W VONDER</v>
          </cell>
          <cell r="D4042" t="str">
            <v>VONDER</v>
          </cell>
          <cell r="E4042">
            <v>20023</v>
          </cell>
          <cell r="F4042" t="str">
            <v>PISTOLAS</v>
          </cell>
          <cell r="G4042" t="str">
            <v>AUTOMOTIVO</v>
          </cell>
        </row>
        <row r="4043">
          <cell r="A4043">
            <v>85189</v>
          </cell>
          <cell r="B4043" t="str">
            <v>PISTOLA DE PINTURA GRAV. HVLP 1.4MM PDR</v>
          </cell>
          <cell r="C4043" t="str">
            <v>PRO-550 1.4</v>
          </cell>
          <cell r="D4043" t="str">
            <v>PDR</v>
          </cell>
          <cell r="E4043">
            <v>20023</v>
          </cell>
          <cell r="F4043" t="str">
            <v>PISTOLAS</v>
          </cell>
          <cell r="G4043" t="str">
            <v>AUTOMOTIVO</v>
          </cell>
        </row>
        <row r="4044">
          <cell r="A4044">
            <v>85086</v>
          </cell>
          <cell r="B4044" t="str">
            <v>PISTOLA DE PINTURA GRAV. HVMP 1.7MM PDR</v>
          </cell>
          <cell r="C4044" t="str">
            <v>PRO-550 1.7</v>
          </cell>
          <cell r="D4044" t="str">
            <v>PDR</v>
          </cell>
          <cell r="E4044">
            <v>20023</v>
          </cell>
          <cell r="F4044" t="str">
            <v>PISTOLAS</v>
          </cell>
          <cell r="G4044" t="str">
            <v>AUTOMOTIVO</v>
          </cell>
        </row>
        <row r="4045">
          <cell r="A4045">
            <v>24281</v>
          </cell>
          <cell r="B4045" t="str">
            <v>PISTOLA DE PINTURA HVLP 1.4 WIMPEL</v>
          </cell>
          <cell r="C4045">
            <v>1759</v>
          </cell>
          <cell r="D4045" t="str">
            <v>WINPEL</v>
          </cell>
          <cell r="E4045">
            <v>20023</v>
          </cell>
          <cell r="F4045" t="str">
            <v>PISTOLAS</v>
          </cell>
          <cell r="G4045" t="str">
            <v>AUTOMOTIVO</v>
          </cell>
        </row>
        <row r="4046">
          <cell r="A4046">
            <v>129</v>
          </cell>
          <cell r="B4046" t="str">
            <v>PISTOLA DE PINTURA PININFARINA WS-400HD 1.30 CLEAR ANEST IWATA</v>
          </cell>
          <cell r="C4046" t="str">
            <v>WS-400-1301CHS1</v>
          </cell>
          <cell r="D4046" t="str">
            <v>ANEST</v>
          </cell>
          <cell r="E4046">
            <v>20023</v>
          </cell>
          <cell r="F4046" t="str">
            <v>PISTOLAS</v>
          </cell>
          <cell r="G4046" t="str">
            <v>AUTOMOTIVO</v>
          </cell>
        </row>
        <row r="4047">
          <cell r="A4047">
            <v>85699</v>
          </cell>
          <cell r="B4047" t="str">
            <v>PISTOLA DE PINTURA PRO-557 GRAV. HVLP 1.3MM PDR</v>
          </cell>
          <cell r="C4047" t="str">
            <v>PRO-557</v>
          </cell>
          <cell r="D4047" t="str">
            <v>PDR</v>
          </cell>
          <cell r="E4047">
            <v>20023</v>
          </cell>
          <cell r="F4047" t="str">
            <v>PISTOLAS</v>
          </cell>
          <cell r="G4047" t="str">
            <v>AUTOMOTIVO</v>
          </cell>
        </row>
        <row r="4048">
          <cell r="A4048">
            <v>84716</v>
          </cell>
          <cell r="B4048" t="str">
            <v>PISTOLA EGO CARBONIO HVLP 1.0 WALCOM</v>
          </cell>
          <cell r="C4048">
            <v>712010</v>
          </cell>
          <cell r="D4048" t="str">
            <v>MAXI RUBBER</v>
          </cell>
          <cell r="E4048">
            <v>20023</v>
          </cell>
          <cell r="F4048" t="str">
            <v>PISTOLAS</v>
          </cell>
          <cell r="G4048" t="str">
            <v>AUTOMOTIVO</v>
          </cell>
        </row>
        <row r="4049">
          <cell r="A4049">
            <v>84818</v>
          </cell>
          <cell r="B4049" t="str">
            <v>PISTOLA EMBORRACHAMENTO PDR</v>
          </cell>
          <cell r="C4049" t="str">
            <v>PRO-522</v>
          </cell>
          <cell r="D4049" t="str">
            <v>PDR</v>
          </cell>
          <cell r="E4049">
            <v>20023</v>
          </cell>
          <cell r="F4049" t="str">
            <v>PISTOLAS</v>
          </cell>
          <cell r="G4049" t="str">
            <v>AUTOMOTIVO</v>
          </cell>
        </row>
        <row r="4050">
          <cell r="A4050">
            <v>23556</v>
          </cell>
          <cell r="B4050" t="str">
            <v>PISTOLA FASTLINE SMART 1.4</v>
          </cell>
          <cell r="C4050" t="str">
            <v>80.93.PSM14-267</v>
          </cell>
          <cell r="D4050" t="str">
            <v>SHERWIN WILLIAMS</v>
          </cell>
          <cell r="E4050">
            <v>20023</v>
          </cell>
          <cell r="F4050" t="str">
            <v>PISTOLAS</v>
          </cell>
          <cell r="G4050" t="str">
            <v>AUTOMOTIVO</v>
          </cell>
        </row>
        <row r="4051">
          <cell r="A4051">
            <v>23598</v>
          </cell>
          <cell r="B4051" t="str">
            <v>PISTOLA FASTLINE SMART 2.0</v>
          </cell>
          <cell r="C4051">
            <v>9875321</v>
          </cell>
          <cell r="D4051" t="str">
            <v>SHERWIN WILLIAMS</v>
          </cell>
          <cell r="E4051">
            <v>20023</v>
          </cell>
          <cell r="F4051" t="str">
            <v>PISTOLAS</v>
          </cell>
          <cell r="G4051" t="str">
            <v>AUTOMOTIVO</v>
          </cell>
        </row>
        <row r="4052">
          <cell r="A4052">
            <v>23753</v>
          </cell>
          <cell r="B4052" t="str">
            <v>PISTOLA P/ APLICAÇÃO DE SPRAY USO GERAL PURPLEX</v>
          </cell>
          <cell r="C4052">
            <v>132</v>
          </cell>
          <cell r="D4052" t="str">
            <v>PURPLEX</v>
          </cell>
          <cell r="E4052">
            <v>20023</v>
          </cell>
          <cell r="F4052" t="str">
            <v>PISTOLAS</v>
          </cell>
          <cell r="G4052" t="str">
            <v>AUTOMOTIVO</v>
          </cell>
        </row>
        <row r="4053">
          <cell r="A4053">
            <v>24277</v>
          </cell>
          <cell r="B4053" t="str">
            <v>PISTOLA P/SOLDA 220V PSV0100 VONDER</v>
          </cell>
          <cell r="C4053">
            <v>7466230100</v>
          </cell>
          <cell r="D4053" t="str">
            <v>VONDER</v>
          </cell>
          <cell r="E4053">
            <v>20023</v>
          </cell>
          <cell r="F4053" t="str">
            <v>PISTOLAS</v>
          </cell>
          <cell r="G4053" t="str">
            <v>AUTOMOTIVO</v>
          </cell>
        </row>
        <row r="4054">
          <cell r="A4054">
            <v>23752</v>
          </cell>
          <cell r="B4054" t="str">
            <v>PISTOLA PARA APLICAÇÃO DE SPRAY PURPLEX</v>
          </cell>
          <cell r="C4054">
            <v>74</v>
          </cell>
          <cell r="D4054" t="str">
            <v>PURPLEX</v>
          </cell>
          <cell r="E4054">
            <v>20023</v>
          </cell>
          <cell r="F4054" t="str">
            <v>PISTOLAS</v>
          </cell>
          <cell r="G4054" t="str">
            <v>AUTOMOTIVO</v>
          </cell>
        </row>
        <row r="4055">
          <cell r="A4055">
            <v>21047</v>
          </cell>
          <cell r="B4055" t="str">
            <v>PISTOLA PRIMER HG09 3M</v>
          </cell>
          <cell r="C4055" t="str">
            <v>HC000619706</v>
          </cell>
          <cell r="D4055" t="str">
            <v>3M</v>
          </cell>
          <cell r="E4055">
            <v>20023</v>
          </cell>
          <cell r="F4055" t="str">
            <v>PISTOLAS</v>
          </cell>
          <cell r="G4055" t="str">
            <v>AUTOMOTIVO</v>
          </cell>
        </row>
        <row r="4056">
          <cell r="A4056">
            <v>22935</v>
          </cell>
          <cell r="B4056" t="str">
            <v>PISTOLA ROLOC 2 3M</v>
          </cell>
          <cell r="C4056" t="str">
            <v>HB004495220</v>
          </cell>
          <cell r="D4056" t="str">
            <v>3M</v>
          </cell>
          <cell r="E4056">
            <v>20023</v>
          </cell>
          <cell r="F4056" t="str">
            <v>PISTOLAS</v>
          </cell>
          <cell r="G4056" t="str">
            <v>AUTOMOTIVO</v>
          </cell>
        </row>
        <row r="4057">
          <cell r="A4057">
            <v>165</v>
          </cell>
          <cell r="B4057" t="str">
            <v>PISTOLA SLIM 1.7 X-LIGHT HTE S/MAN WALCOM</v>
          </cell>
          <cell r="C4057">
            <v>822017</v>
          </cell>
          <cell r="D4057" t="str">
            <v>MAXI RUBBER</v>
          </cell>
          <cell r="E4057">
            <v>20023</v>
          </cell>
          <cell r="F4057" t="str">
            <v>PISTOLAS</v>
          </cell>
          <cell r="G4057" t="str">
            <v>AUTOMOTIVO</v>
          </cell>
        </row>
        <row r="4058">
          <cell r="A4058">
            <v>20798</v>
          </cell>
          <cell r="B4058" t="str">
            <v>PISTOLA SLIM HTE 1.9 WALCOM</v>
          </cell>
          <cell r="C4058" t="str">
            <v>10083.19</v>
          </cell>
          <cell r="D4058" t="str">
            <v>MAXI RUBBER</v>
          </cell>
          <cell r="E4058">
            <v>20023</v>
          </cell>
          <cell r="F4058" t="str">
            <v>PISTOLAS</v>
          </cell>
          <cell r="G4058" t="str">
            <v>AUTOMOTIVO</v>
          </cell>
        </row>
        <row r="4059">
          <cell r="A4059">
            <v>23943</v>
          </cell>
          <cell r="B4059" t="str">
            <v>PISTOLA SLIM HTE X-LIGHT 1.9 WALCOM</v>
          </cell>
          <cell r="C4059">
            <v>822019</v>
          </cell>
          <cell r="D4059" t="str">
            <v>MAXI RUBBER</v>
          </cell>
          <cell r="E4059">
            <v>20023</v>
          </cell>
          <cell r="F4059" t="str">
            <v>PISTOLAS</v>
          </cell>
          <cell r="G4059" t="str">
            <v>AUTOMOTIVO</v>
          </cell>
        </row>
        <row r="4060">
          <cell r="A4060">
            <v>23409</v>
          </cell>
          <cell r="B4060" t="str">
            <v>PISTOLA SLIM HTE/HALO 1.7 WALCOM</v>
          </cell>
          <cell r="C4060" t="str">
            <v>10083.17</v>
          </cell>
          <cell r="D4060" t="str">
            <v>MAXI RUBBER</v>
          </cell>
          <cell r="E4060">
            <v>20023</v>
          </cell>
          <cell r="F4060" t="str">
            <v>PISTOLAS</v>
          </cell>
          <cell r="G4060" t="str">
            <v>AUTOMOTIVO</v>
          </cell>
        </row>
        <row r="4061">
          <cell r="A4061">
            <v>85289</v>
          </cell>
          <cell r="B4061" t="str">
            <v>PISTOLA SLIM HVLP 1.3 WALCOM</v>
          </cell>
          <cell r="C4061" t="str">
            <v>10060.13</v>
          </cell>
          <cell r="D4061" t="str">
            <v>MAXI RUBBER</v>
          </cell>
          <cell r="E4061">
            <v>20023</v>
          </cell>
          <cell r="F4061" t="str">
            <v>PISTOLAS</v>
          </cell>
          <cell r="G4061" t="str">
            <v>AUTOMOTIVO</v>
          </cell>
        </row>
        <row r="4062">
          <cell r="A4062">
            <v>23837</v>
          </cell>
          <cell r="B4062" t="str">
            <v>PISTOLA SLIM X-LIGHT 1.3 WALCOM</v>
          </cell>
          <cell r="C4062">
            <v>822013</v>
          </cell>
          <cell r="D4062" t="str">
            <v>MAXI RUBBER</v>
          </cell>
          <cell r="E4062">
            <v>20023</v>
          </cell>
          <cell r="F4062" t="str">
            <v>PISTOLAS</v>
          </cell>
          <cell r="G4062" t="str">
            <v>AUTOMOTIVO</v>
          </cell>
        </row>
        <row r="4063">
          <cell r="A4063">
            <v>20486</v>
          </cell>
          <cell r="B4063" t="str">
            <v>PISTOLA SLIM XLIGHT HVLP 1.3 WALCOM</v>
          </cell>
          <cell r="C4063">
            <v>833013</v>
          </cell>
          <cell r="D4063" t="str">
            <v>MAXI RUBBER</v>
          </cell>
          <cell r="E4063">
            <v>20023</v>
          </cell>
          <cell r="F4063" t="str">
            <v>PISTOLAS</v>
          </cell>
          <cell r="G4063" t="str">
            <v>AUTOMOTIVO</v>
          </cell>
        </row>
        <row r="4064">
          <cell r="A4064">
            <v>85412</v>
          </cell>
          <cell r="B4064" t="str">
            <v>PISTOLA SLIM XLIGHT HVLP 1.7 WALCOM</v>
          </cell>
          <cell r="C4064">
            <v>833017</v>
          </cell>
          <cell r="D4064" t="str">
            <v>MAXI RUBBER</v>
          </cell>
          <cell r="E4064">
            <v>20023</v>
          </cell>
          <cell r="F4064" t="str">
            <v>PISTOLAS</v>
          </cell>
          <cell r="G4064" t="str">
            <v>AUTOMOTIVO</v>
          </cell>
        </row>
        <row r="4065">
          <cell r="A4065">
            <v>23463</v>
          </cell>
          <cell r="B4065" t="str">
            <v>PISTOLA SMART PARA EMBORRACHAMENTO SHERWIN WILLIAMS</v>
          </cell>
          <cell r="C4065" t="str">
            <v>80.93.SMBP1-267</v>
          </cell>
          <cell r="D4065" t="str">
            <v>SHERWIN WILLIAMS</v>
          </cell>
          <cell r="E4065">
            <v>20023</v>
          </cell>
          <cell r="F4065" t="str">
            <v>PISTOLAS</v>
          </cell>
          <cell r="G4065" t="str">
            <v>AUTOMOTIVO</v>
          </cell>
        </row>
        <row r="4066">
          <cell r="A4066">
            <v>21125</v>
          </cell>
          <cell r="B4066" t="str">
            <v>LIXADOR MANUAL GRANDE C/ PRESILHA 243X105MM PURPLEX</v>
          </cell>
          <cell r="C4066">
            <v>1</v>
          </cell>
          <cell r="D4066" t="str">
            <v>PURPLEX</v>
          </cell>
          <cell r="E4066">
            <v>20022</v>
          </cell>
          <cell r="F4066" t="str">
            <v>TACO LIXADOR</v>
          </cell>
          <cell r="G4066" t="str">
            <v>AUTOMOTIVO</v>
          </cell>
        </row>
        <row r="4067">
          <cell r="A4067">
            <v>83827</v>
          </cell>
          <cell r="B4067" t="str">
            <v>LIXADOR MANUAL MEDIO C/ PRESILHA PURPLEX</v>
          </cell>
          <cell r="C4067">
            <v>21558</v>
          </cell>
          <cell r="D4067" t="str">
            <v>PURPLEX</v>
          </cell>
          <cell r="E4067">
            <v>20022</v>
          </cell>
          <cell r="F4067" t="str">
            <v>TACO LIXADOR</v>
          </cell>
          <cell r="G4067" t="str">
            <v>AUTOMOTIVO</v>
          </cell>
        </row>
        <row r="4068">
          <cell r="A4068">
            <v>21130</v>
          </cell>
          <cell r="B4068" t="str">
            <v>LIXADOR MANUAL PEQUENO C/ PRESILHA 204MMX68MM PURPLEX</v>
          </cell>
          <cell r="C4068">
            <v>2</v>
          </cell>
          <cell r="D4068" t="str">
            <v>PURPLEX</v>
          </cell>
          <cell r="E4068">
            <v>20022</v>
          </cell>
          <cell r="F4068" t="str">
            <v>TACO LIXADOR</v>
          </cell>
          <cell r="G4068" t="str">
            <v>AUTOMOTIVO</v>
          </cell>
        </row>
        <row r="4069">
          <cell r="A4069">
            <v>22524</v>
          </cell>
          <cell r="B4069" t="str">
            <v>TACO ASPIRADO 115MMX225MM 3M</v>
          </cell>
          <cell r="C4069" t="str">
            <v>HC000658357</v>
          </cell>
          <cell r="D4069" t="str">
            <v>3M</v>
          </cell>
          <cell r="E4069">
            <v>20022</v>
          </cell>
          <cell r="F4069" t="str">
            <v>TACO LIXADOR</v>
          </cell>
          <cell r="G4069" t="str">
            <v>AUTOMOTIVO</v>
          </cell>
        </row>
        <row r="4070">
          <cell r="A4070">
            <v>22329</v>
          </cell>
          <cell r="B4070" t="str">
            <v>TACO ASPIRADO 70MMX127MM 3M</v>
          </cell>
          <cell r="C4070" t="str">
            <v>HC000658332</v>
          </cell>
          <cell r="D4070" t="str">
            <v>3M</v>
          </cell>
          <cell r="E4070">
            <v>20022</v>
          </cell>
          <cell r="F4070" t="str">
            <v>TACO LIXADOR</v>
          </cell>
          <cell r="G4070" t="str">
            <v>AUTOMOTIVO</v>
          </cell>
        </row>
        <row r="4071">
          <cell r="A4071">
            <v>22525</v>
          </cell>
          <cell r="B4071" t="str">
            <v>TACO ASPIRADO 70MMX198MM 3M</v>
          </cell>
          <cell r="C4071" t="str">
            <v>HC000658340</v>
          </cell>
          <cell r="D4071" t="str">
            <v>3M</v>
          </cell>
          <cell r="E4071">
            <v>20022</v>
          </cell>
          <cell r="F4071" t="str">
            <v>TACO LIXADOR</v>
          </cell>
          <cell r="G4071" t="str">
            <v>AUTOMOTIVO</v>
          </cell>
        </row>
        <row r="4072">
          <cell r="A4072">
            <v>23750</v>
          </cell>
          <cell r="B4072" t="str">
            <v>TACO DE BORRACHA GRANDE 65X122MM PURPLEX</v>
          </cell>
          <cell r="C4072">
            <v>5</v>
          </cell>
          <cell r="D4072" t="str">
            <v>PURPLEX</v>
          </cell>
          <cell r="E4072">
            <v>20022</v>
          </cell>
          <cell r="F4072" t="str">
            <v>TACO LIXADOR</v>
          </cell>
          <cell r="G4072" t="str">
            <v>AUTOMOTIVO</v>
          </cell>
        </row>
        <row r="4073">
          <cell r="A4073">
            <v>20154</v>
          </cell>
          <cell r="B4073" t="str">
            <v>TACO DE BORRACHA PEQUENO 43X122MM PURPLEX</v>
          </cell>
          <cell r="C4073">
            <v>6</v>
          </cell>
          <cell r="D4073" t="str">
            <v>PURPLEX</v>
          </cell>
          <cell r="E4073">
            <v>20022</v>
          </cell>
          <cell r="F4073" t="str">
            <v>TACO LIXADOR</v>
          </cell>
          <cell r="G4073" t="str">
            <v>AUTOMOTIVO</v>
          </cell>
        </row>
        <row r="4074">
          <cell r="A4074">
            <v>83970</v>
          </cell>
          <cell r="B4074" t="str">
            <v>TACO LIXADOR 125X65MM VONDER</v>
          </cell>
          <cell r="C4074">
            <v>3599125065</v>
          </cell>
          <cell r="D4074" t="str">
            <v>VONDER</v>
          </cell>
          <cell r="E4074">
            <v>20022</v>
          </cell>
          <cell r="F4074" t="str">
            <v>TACO LIXADOR</v>
          </cell>
          <cell r="G4074" t="str">
            <v>AUTOMOTIVO</v>
          </cell>
        </row>
        <row r="4075">
          <cell r="A4075">
            <v>85564</v>
          </cell>
          <cell r="B4075" t="str">
            <v>TACO LIXADOR DE BORRACHA 125 X 70MM</v>
          </cell>
          <cell r="C4075">
            <v>752013680</v>
          </cell>
          <cell r="D4075" t="str">
            <v>SIGMA</v>
          </cell>
          <cell r="E4075">
            <v>20022</v>
          </cell>
          <cell r="F4075" t="str">
            <v>TACO LIXADOR</v>
          </cell>
          <cell r="G4075" t="str">
            <v>AUTOMOTIVO</v>
          </cell>
        </row>
        <row r="4076">
          <cell r="A4076">
            <v>23642</v>
          </cell>
          <cell r="B4076" t="str">
            <v>TACO LIXADOR EVA CLASSIC</v>
          </cell>
          <cell r="C4076">
            <v>66261123091</v>
          </cell>
          <cell r="D4076" t="str">
            <v>NORTON</v>
          </cell>
          <cell r="E4076">
            <v>20022</v>
          </cell>
          <cell r="F4076" t="str">
            <v>TACO LIXADOR</v>
          </cell>
          <cell r="G4076" t="str">
            <v>AUTOMOTIVO</v>
          </cell>
        </row>
        <row r="4077">
          <cell r="A4077">
            <v>21031</v>
          </cell>
          <cell r="B4077" t="str">
            <v>1K ALL PLASTICS SPRAY SIKKENS</v>
          </cell>
          <cell r="C4077">
            <v>530583</v>
          </cell>
          <cell r="D4077" t="str">
            <v>SIKKENS</v>
          </cell>
          <cell r="E4077">
            <v>20021</v>
          </cell>
          <cell r="F4077" t="str">
            <v xml:space="preserve">SPRAYS </v>
          </cell>
          <cell r="G4077" t="str">
            <v>AUTOMOTIVO</v>
          </cell>
        </row>
        <row r="4078">
          <cell r="A4078">
            <v>84513</v>
          </cell>
          <cell r="B4078" t="str">
            <v>BRASJET - ALUMINIO ALTA TEMP 400ML</v>
          </cell>
          <cell r="C4078" t="str">
            <v>ST 550110059</v>
          </cell>
          <cell r="D4078" t="str">
            <v>BRASILUX</v>
          </cell>
          <cell r="E4078">
            <v>20021</v>
          </cell>
          <cell r="F4078" t="str">
            <v xml:space="preserve">SPRAYS </v>
          </cell>
          <cell r="G4078" t="str">
            <v>AUTOMOTIVO</v>
          </cell>
        </row>
        <row r="4079">
          <cell r="A4079">
            <v>84512</v>
          </cell>
          <cell r="B4079" t="str">
            <v>BRASJET - ALUMINIO RODAS METALICO 400ML</v>
          </cell>
          <cell r="C4079" t="str">
            <v>ST 550100159</v>
          </cell>
          <cell r="D4079" t="str">
            <v>BRASILUX</v>
          </cell>
          <cell r="E4079">
            <v>20021</v>
          </cell>
          <cell r="F4079" t="str">
            <v xml:space="preserve">SPRAYS </v>
          </cell>
          <cell r="G4079" t="str">
            <v>AUTOMOTIVO</v>
          </cell>
        </row>
        <row r="4080">
          <cell r="A4080">
            <v>84515</v>
          </cell>
          <cell r="B4080" t="str">
            <v>BRASJET - AMARELO FLUORESCENTE 400ML</v>
          </cell>
          <cell r="C4080" t="str">
            <v>ST 550237759</v>
          </cell>
          <cell r="D4080" t="str">
            <v>BRASILUX</v>
          </cell>
          <cell r="E4080">
            <v>20021</v>
          </cell>
          <cell r="F4080" t="str">
            <v xml:space="preserve">SPRAYS </v>
          </cell>
          <cell r="G4080" t="str">
            <v>AUTOMOTIVO</v>
          </cell>
        </row>
        <row r="4081">
          <cell r="A4081">
            <v>84514</v>
          </cell>
          <cell r="B4081" t="str">
            <v>BRASJET - AMARELO JOHN DEERE 400M</v>
          </cell>
          <cell r="C4081" t="str">
            <v>ST 550223859</v>
          </cell>
          <cell r="D4081" t="str">
            <v>BRASILUX</v>
          </cell>
          <cell r="E4081">
            <v>20021</v>
          </cell>
          <cell r="F4081" t="str">
            <v xml:space="preserve">SPRAYS </v>
          </cell>
          <cell r="G4081" t="str">
            <v>AUTOMOTIVO</v>
          </cell>
        </row>
        <row r="4082">
          <cell r="A4082">
            <v>84540</v>
          </cell>
          <cell r="B4082" t="str">
            <v>BRASJET - AMARELO USO GERAL 400ML</v>
          </cell>
          <cell r="C4082" t="str">
            <v>ST 550274559</v>
          </cell>
          <cell r="D4082" t="str">
            <v>BRASILUX</v>
          </cell>
          <cell r="E4082">
            <v>20021</v>
          </cell>
          <cell r="F4082" t="str">
            <v xml:space="preserve">SPRAYS </v>
          </cell>
          <cell r="G4082" t="str">
            <v>AUTOMOTIVO</v>
          </cell>
        </row>
        <row r="4083">
          <cell r="A4083">
            <v>84516</v>
          </cell>
          <cell r="B4083" t="str">
            <v>BRASJET - AZUL CLARO USO GERAL 400ML</v>
          </cell>
          <cell r="C4083" t="str">
            <v>ST 550304259</v>
          </cell>
          <cell r="D4083" t="str">
            <v>BRASILUX</v>
          </cell>
          <cell r="E4083">
            <v>20021</v>
          </cell>
          <cell r="F4083" t="str">
            <v xml:space="preserve">SPRAYS </v>
          </cell>
          <cell r="G4083" t="str">
            <v>AUTOMOTIVO</v>
          </cell>
        </row>
        <row r="4084">
          <cell r="A4084">
            <v>84517</v>
          </cell>
          <cell r="B4084" t="str">
            <v>BRASJET - AZUL ESCURO USO GERAL 400ML</v>
          </cell>
          <cell r="C4084" t="str">
            <v>ST 550320059</v>
          </cell>
          <cell r="D4084" t="str">
            <v>BRASILUX</v>
          </cell>
          <cell r="E4084">
            <v>20021</v>
          </cell>
          <cell r="F4084" t="str">
            <v xml:space="preserve">SPRAYS </v>
          </cell>
          <cell r="G4084" t="str">
            <v>AUTOMOTIVO</v>
          </cell>
        </row>
        <row r="4085">
          <cell r="A4085">
            <v>84519</v>
          </cell>
          <cell r="B4085" t="str">
            <v>BRASJET - BRANCO BRILHANTE USO GERAL 400ML</v>
          </cell>
          <cell r="C4085" t="str">
            <v>ST 550500759</v>
          </cell>
          <cell r="D4085" t="str">
            <v>BRASILUX</v>
          </cell>
          <cell r="E4085">
            <v>20021</v>
          </cell>
          <cell r="F4085" t="str">
            <v xml:space="preserve">SPRAYS </v>
          </cell>
          <cell r="G4085" t="str">
            <v>AUTOMOTIVO</v>
          </cell>
        </row>
        <row r="4086">
          <cell r="A4086">
            <v>84518</v>
          </cell>
          <cell r="B4086" t="str">
            <v>BRASJET - BRANCO FOSCO USO GERAL 400ML</v>
          </cell>
          <cell r="C4086" t="str">
            <v>ST 550500159</v>
          </cell>
          <cell r="D4086" t="str">
            <v>BRASILUX</v>
          </cell>
          <cell r="E4086">
            <v>20021</v>
          </cell>
          <cell r="F4086" t="str">
            <v xml:space="preserve">SPRAYS </v>
          </cell>
          <cell r="G4086" t="str">
            <v>AUTOMOTIVO</v>
          </cell>
        </row>
        <row r="4087">
          <cell r="A4087">
            <v>84521</v>
          </cell>
          <cell r="B4087" t="str">
            <v>BRASJET - CINZA PRIMER PLACA MEDIO 400ML</v>
          </cell>
          <cell r="C4087" t="str">
            <v>ST 550610459</v>
          </cell>
          <cell r="D4087" t="str">
            <v>BRASILUX</v>
          </cell>
          <cell r="E4087">
            <v>20021</v>
          </cell>
          <cell r="F4087" t="str">
            <v xml:space="preserve">SPRAYS </v>
          </cell>
          <cell r="G4087" t="str">
            <v>AUTOMOTIVO</v>
          </cell>
        </row>
        <row r="4088">
          <cell r="A4088">
            <v>84524</v>
          </cell>
          <cell r="B4088" t="str">
            <v>BRASJET - COBRE METALICO 400ML</v>
          </cell>
          <cell r="C4088" t="str">
            <v>ST 551018959</v>
          </cell>
          <cell r="D4088" t="str">
            <v>BRASILUX</v>
          </cell>
          <cell r="E4088">
            <v>20021</v>
          </cell>
          <cell r="F4088" t="str">
            <v xml:space="preserve">SPRAYS </v>
          </cell>
          <cell r="G4088" t="str">
            <v>AUTOMOTIVO</v>
          </cell>
        </row>
        <row r="4089">
          <cell r="A4089">
            <v>84535</v>
          </cell>
          <cell r="B4089" t="str">
            <v>BRASJET - CROMADO METALICO 400ML</v>
          </cell>
          <cell r="C4089" t="str">
            <v>ST 553500059</v>
          </cell>
          <cell r="D4089" t="str">
            <v>BRASILUX</v>
          </cell>
          <cell r="E4089">
            <v>20021</v>
          </cell>
          <cell r="F4089" t="str">
            <v xml:space="preserve">SPRAYS </v>
          </cell>
          <cell r="G4089" t="str">
            <v>AUTOMOTIVO</v>
          </cell>
        </row>
        <row r="4090">
          <cell r="A4090">
            <v>84534</v>
          </cell>
          <cell r="B4090" t="str">
            <v>BRASJET - DOURADO METALICO 400ML</v>
          </cell>
          <cell r="C4090" t="str">
            <v>ST 553200159</v>
          </cell>
          <cell r="D4090" t="str">
            <v>BRASILUX</v>
          </cell>
          <cell r="E4090">
            <v>20021</v>
          </cell>
          <cell r="F4090" t="str">
            <v xml:space="preserve">SPRAYS </v>
          </cell>
          <cell r="G4090" t="str">
            <v>AUTOMOTIVO</v>
          </cell>
        </row>
        <row r="4091">
          <cell r="A4091">
            <v>84520</v>
          </cell>
          <cell r="B4091" t="str">
            <v>BRASJET - GRAFITE METALICO 400ML</v>
          </cell>
          <cell r="C4091" t="str">
            <v>ST 550610359</v>
          </cell>
          <cell r="D4091" t="str">
            <v>BRASILUX</v>
          </cell>
          <cell r="E4091">
            <v>20021</v>
          </cell>
          <cell r="F4091" t="str">
            <v xml:space="preserve">SPRAYS </v>
          </cell>
          <cell r="G4091" t="str">
            <v>AUTOMOTIVO</v>
          </cell>
        </row>
        <row r="4092">
          <cell r="A4092">
            <v>84523</v>
          </cell>
          <cell r="B4092" t="str">
            <v>BRASJET - LARANJA FLUORESCENTE 400ML</v>
          </cell>
          <cell r="C4092" t="str">
            <v>ST 550931559</v>
          </cell>
          <cell r="D4092" t="str">
            <v>BRASILUX</v>
          </cell>
          <cell r="E4092">
            <v>20021</v>
          </cell>
          <cell r="F4092" t="str">
            <v xml:space="preserve">SPRAYS </v>
          </cell>
          <cell r="G4092" t="str">
            <v>AUTOMOTIVO</v>
          </cell>
        </row>
        <row r="4093">
          <cell r="A4093">
            <v>84522</v>
          </cell>
          <cell r="B4093" t="str">
            <v>BRASJET - LARANJA USO GERAL 400ML</v>
          </cell>
          <cell r="C4093" t="str">
            <v>ST 550900159</v>
          </cell>
          <cell r="D4093" t="str">
            <v>BRASILUX</v>
          </cell>
          <cell r="E4093">
            <v>20021</v>
          </cell>
          <cell r="F4093" t="str">
            <v xml:space="preserve">SPRAYS </v>
          </cell>
          <cell r="G4093" t="str">
            <v>AUTOMOTIVO</v>
          </cell>
        </row>
        <row r="4094">
          <cell r="A4094">
            <v>84528</v>
          </cell>
          <cell r="B4094" t="str">
            <v>BRASJET - PINK FLUORESCENTE 400ML</v>
          </cell>
          <cell r="C4094" t="str">
            <v>ST 551802259</v>
          </cell>
          <cell r="D4094" t="str">
            <v>BRASILUX</v>
          </cell>
          <cell r="E4094">
            <v>20021</v>
          </cell>
          <cell r="F4094" t="str">
            <v xml:space="preserve">SPRAYS </v>
          </cell>
          <cell r="G4094" t="str">
            <v>AUTOMOTIVO</v>
          </cell>
        </row>
        <row r="4095">
          <cell r="A4095">
            <v>84526</v>
          </cell>
          <cell r="B4095" t="str">
            <v>BRASJET - PRETO BRILHANTE USO GERAL 400ML</v>
          </cell>
          <cell r="C4095" t="str">
            <v>ST 551500859</v>
          </cell>
          <cell r="D4095" t="str">
            <v>BRASILUX</v>
          </cell>
          <cell r="E4095">
            <v>20021</v>
          </cell>
          <cell r="F4095" t="str">
            <v xml:space="preserve">SPRAYS </v>
          </cell>
          <cell r="G4095" t="str">
            <v>AUTOMOTIVO</v>
          </cell>
        </row>
        <row r="4096">
          <cell r="A4096">
            <v>84525</v>
          </cell>
          <cell r="B4096" t="str">
            <v>BRASJET - PRETO FOSCO ALTA TEMP 400ML</v>
          </cell>
          <cell r="C4096" t="str">
            <v>ST 551500359</v>
          </cell>
          <cell r="D4096" t="str">
            <v>BRASILUX</v>
          </cell>
          <cell r="E4096">
            <v>20021</v>
          </cell>
          <cell r="F4096" t="str">
            <v xml:space="preserve">SPRAYS </v>
          </cell>
          <cell r="G4096" t="str">
            <v>AUTOMOTIVO</v>
          </cell>
        </row>
        <row r="4097">
          <cell r="A4097">
            <v>84527</v>
          </cell>
          <cell r="B4097" t="str">
            <v>BRASJET - ROSA USO GERAL 400ML</v>
          </cell>
          <cell r="C4097" t="str">
            <v>ST 551800159</v>
          </cell>
          <cell r="D4097" t="str">
            <v>BRASILUX</v>
          </cell>
          <cell r="E4097">
            <v>20021</v>
          </cell>
          <cell r="F4097" t="str">
            <v xml:space="preserve">SPRAYS </v>
          </cell>
          <cell r="G4097" t="str">
            <v>AUTOMOTIVO</v>
          </cell>
        </row>
        <row r="4098">
          <cell r="A4098">
            <v>84529</v>
          </cell>
          <cell r="B4098" t="str">
            <v>BRASJET - ROSE GOLD 400ML</v>
          </cell>
          <cell r="C4098" t="str">
            <v>ST 551808659</v>
          </cell>
          <cell r="D4098" t="str">
            <v>BRASILUX</v>
          </cell>
          <cell r="E4098">
            <v>20021</v>
          </cell>
          <cell r="F4098" t="str">
            <v xml:space="preserve">SPRAYS </v>
          </cell>
          <cell r="G4098" t="str">
            <v>AUTOMOTIVO</v>
          </cell>
        </row>
        <row r="4099">
          <cell r="A4099">
            <v>84530</v>
          </cell>
          <cell r="B4099" t="str">
            <v>BRASJET - VERDE CLARO USO GERAL 400ML</v>
          </cell>
          <cell r="C4099" t="str">
            <v>ST 552211359</v>
          </cell>
          <cell r="D4099" t="str">
            <v>BRASILUX</v>
          </cell>
          <cell r="E4099">
            <v>20021</v>
          </cell>
          <cell r="F4099" t="str">
            <v xml:space="preserve">SPRAYS </v>
          </cell>
          <cell r="G4099" t="str">
            <v>AUTOMOTIVO</v>
          </cell>
        </row>
        <row r="4100">
          <cell r="A4100">
            <v>84531</v>
          </cell>
          <cell r="B4100" t="str">
            <v>BRASJET - VERDE FLUORESCENTE 400ML</v>
          </cell>
          <cell r="C4100" t="str">
            <v>ST 552262759</v>
          </cell>
          <cell r="D4100" t="str">
            <v>BRASILUX</v>
          </cell>
          <cell r="E4100">
            <v>20021</v>
          </cell>
          <cell r="F4100" t="str">
            <v xml:space="preserve">SPRAYS </v>
          </cell>
          <cell r="G4100" t="str">
            <v>AUTOMOTIVO</v>
          </cell>
        </row>
        <row r="4101">
          <cell r="A4101">
            <v>84532</v>
          </cell>
          <cell r="B4101" t="str">
            <v>BRASJET - VERDE TURQUESA USO GERAL 400ML</v>
          </cell>
          <cell r="C4101" t="str">
            <v>ST 552288959</v>
          </cell>
          <cell r="D4101" t="str">
            <v>BRASILUX</v>
          </cell>
          <cell r="E4101">
            <v>20021</v>
          </cell>
          <cell r="F4101" t="str">
            <v xml:space="preserve">SPRAYS </v>
          </cell>
          <cell r="G4101" t="str">
            <v>AUTOMOTIVO</v>
          </cell>
        </row>
        <row r="4102">
          <cell r="A4102">
            <v>84533</v>
          </cell>
          <cell r="B4102" t="str">
            <v>BRASJET - VERMELHO USO GERAL 400ML</v>
          </cell>
          <cell r="C4102" t="str">
            <v>ST 552300059</v>
          </cell>
          <cell r="D4102" t="str">
            <v>BRASILUX</v>
          </cell>
          <cell r="E4102">
            <v>20021</v>
          </cell>
          <cell r="F4102" t="str">
            <v xml:space="preserve">SPRAYS </v>
          </cell>
          <cell r="G4102" t="str">
            <v>AUTOMOTIVO</v>
          </cell>
        </row>
        <row r="4103">
          <cell r="A4103">
            <v>84511</v>
          </cell>
          <cell r="B4103" t="str">
            <v>BRASJET - VERNIZ USO GERAL 400ML</v>
          </cell>
          <cell r="C4103" t="str">
            <v>ST 550000059</v>
          </cell>
          <cell r="D4103" t="str">
            <v>BRASILUX</v>
          </cell>
          <cell r="E4103">
            <v>20021</v>
          </cell>
          <cell r="F4103" t="str">
            <v xml:space="preserve">SPRAYS </v>
          </cell>
          <cell r="G4103" t="str">
            <v>AUTOMOTIVO</v>
          </cell>
        </row>
        <row r="4104">
          <cell r="A4104">
            <v>50</v>
          </cell>
          <cell r="B4104" t="str">
            <v>DESCARBONIZANTE SPRAY 300ML TEK BOND</v>
          </cell>
          <cell r="C4104">
            <v>21513005900</v>
          </cell>
          <cell r="D4104" t="str">
            <v>TEK BOND</v>
          </cell>
          <cell r="E4104">
            <v>20021</v>
          </cell>
          <cell r="F4104" t="str">
            <v xml:space="preserve">SPRAYS </v>
          </cell>
          <cell r="G4104" t="str">
            <v>AUTOMOTIVO</v>
          </cell>
        </row>
        <row r="4105">
          <cell r="A4105">
            <v>27</v>
          </cell>
          <cell r="B4105" t="str">
            <v>LIMPA CONTATO SPRAY 300ML TEK BOND</v>
          </cell>
          <cell r="C4105">
            <v>21543005900</v>
          </cell>
          <cell r="D4105" t="str">
            <v>TEK BOND</v>
          </cell>
          <cell r="E4105">
            <v>20021</v>
          </cell>
          <cell r="F4105" t="str">
            <v xml:space="preserve">SPRAYS </v>
          </cell>
          <cell r="G4105" t="str">
            <v>AUTOMOTIVO</v>
          </cell>
        </row>
        <row r="4106">
          <cell r="A4106">
            <v>24305</v>
          </cell>
          <cell r="B4106" t="str">
            <v>PISTAO PARA MAQ ENVASE SPRAY LAZZURIL</v>
          </cell>
          <cell r="C4106" t="str">
            <v>80.86.88745</v>
          </cell>
          <cell r="D4106" t="str">
            <v>SHERWIN WILLIAMS</v>
          </cell>
          <cell r="E4106">
            <v>20021</v>
          </cell>
          <cell r="F4106" t="str">
            <v xml:space="preserve">SPRAYS </v>
          </cell>
          <cell r="G4106" t="str">
            <v>AUTOMOTIVO</v>
          </cell>
        </row>
        <row r="4107">
          <cell r="A4107">
            <v>84447</v>
          </cell>
          <cell r="B4107" t="str">
            <v>PONTEIRA BECKER FILL SPRAY NEGRA</v>
          </cell>
          <cell r="C4107" t="str">
            <v>80.86.87883-289</v>
          </cell>
          <cell r="D4107" t="str">
            <v>SHERWIN WILLIAMS</v>
          </cell>
          <cell r="E4107">
            <v>20021</v>
          </cell>
          <cell r="F4107" t="str">
            <v xml:space="preserve">SPRAYS </v>
          </cell>
          <cell r="G4107" t="str">
            <v>AUTOMOTIVO</v>
          </cell>
        </row>
        <row r="4108">
          <cell r="A4108">
            <v>188</v>
          </cell>
          <cell r="B4108" t="str">
            <v>SPRAY ALUMINIO 400ML ANJO-21,94-ST</v>
          </cell>
          <cell r="C4108" t="str">
            <v>040007-93</v>
          </cell>
          <cell r="D4108" t="str">
            <v>ANJO</v>
          </cell>
          <cell r="E4108">
            <v>20021</v>
          </cell>
          <cell r="F4108" t="str">
            <v xml:space="preserve">SPRAYS </v>
          </cell>
          <cell r="G4108" t="str">
            <v>AUTOMOTIVO</v>
          </cell>
        </row>
        <row r="4109">
          <cell r="A4109">
            <v>189</v>
          </cell>
          <cell r="B4109" t="str">
            <v>SPRAY BRANCO BRILHANTE 400ML ANJO-21,94-ST</v>
          </cell>
          <cell r="C4109" t="str">
            <v>040019-93</v>
          </cell>
          <cell r="D4109" t="str">
            <v>ANJO</v>
          </cell>
          <cell r="E4109">
            <v>20021</v>
          </cell>
          <cell r="F4109" t="str">
            <v xml:space="preserve">SPRAYS </v>
          </cell>
          <cell r="G4109" t="str">
            <v>AUTOMOTIVO</v>
          </cell>
        </row>
        <row r="4110">
          <cell r="A4110">
            <v>84468</v>
          </cell>
          <cell r="B4110" t="str">
            <v>SPRAY BRANCO BRILHANTE USO GERAL 350ML</v>
          </cell>
          <cell r="C4110">
            <v>23021006900</v>
          </cell>
          <cell r="D4110" t="str">
            <v>TEK BOND</v>
          </cell>
          <cell r="E4110">
            <v>20021</v>
          </cell>
          <cell r="F4110" t="str">
            <v xml:space="preserve">SPRAYS </v>
          </cell>
          <cell r="G4110" t="str">
            <v>AUTOMOTIVO</v>
          </cell>
        </row>
        <row r="4111">
          <cell r="A4111">
            <v>84469</v>
          </cell>
          <cell r="B4111" t="str">
            <v>SPRAY BRANCO FOSCO USO GERAL 350ML</v>
          </cell>
          <cell r="C4111">
            <v>23101006900</v>
          </cell>
          <cell r="D4111" t="str">
            <v>TEK BOND</v>
          </cell>
          <cell r="E4111">
            <v>20021</v>
          </cell>
          <cell r="F4111" t="str">
            <v xml:space="preserve">SPRAYS </v>
          </cell>
          <cell r="G4111" t="str">
            <v>AUTOMOTIVO</v>
          </cell>
        </row>
        <row r="4112">
          <cell r="A4112">
            <v>21752</v>
          </cell>
          <cell r="B4112" t="str">
            <v>SPRAY COLOR ALUMINIO ALTA TEMPERATURA TUBO 300ML-25,38-ST</v>
          </cell>
          <cell r="C4112" t="str">
            <v>50.00.05900-243</v>
          </cell>
          <cell r="D4112" t="str">
            <v>SHERWIN WILLIAMS</v>
          </cell>
          <cell r="E4112">
            <v>20021</v>
          </cell>
          <cell r="F4112" t="str">
            <v xml:space="preserve">SPRAYS </v>
          </cell>
          <cell r="G4112" t="str">
            <v>AUTOMOTIVO</v>
          </cell>
        </row>
        <row r="4113">
          <cell r="A4113">
            <v>20474</v>
          </cell>
          <cell r="B4113" t="str">
            <v>SPRAY COLOR ALUMINIO PARA RODAS LAZZURIL-25,37-ST</v>
          </cell>
          <cell r="C4113" t="str">
            <v>51.20.00908-243</v>
          </cell>
          <cell r="D4113" t="str">
            <v>SHERWIN WILLIAMS</v>
          </cell>
          <cell r="E4113">
            <v>20021</v>
          </cell>
          <cell r="F4113" t="str">
            <v xml:space="preserve">SPRAYS </v>
          </cell>
          <cell r="G4113" t="str">
            <v>AUTOMOTIVO</v>
          </cell>
        </row>
        <row r="4114">
          <cell r="A4114">
            <v>23677</v>
          </cell>
          <cell r="B4114" t="str">
            <v>SPRAY COLOR AMARELO FLUORESCENTE LAZZURIL-21,94-ST</v>
          </cell>
          <cell r="C4114" t="str">
            <v>51.00.09509-243</v>
          </cell>
          <cell r="D4114" t="str">
            <v>SHERWIN WILLIAMS</v>
          </cell>
          <cell r="E4114">
            <v>20021</v>
          </cell>
          <cell r="F4114" t="str">
            <v xml:space="preserve">SPRAYS </v>
          </cell>
          <cell r="G4114" t="str">
            <v>AUTOMOTIVO</v>
          </cell>
        </row>
        <row r="4115">
          <cell r="A4115">
            <v>21967</v>
          </cell>
          <cell r="B4115" t="str">
            <v>SPRAY COLOR AMARELO IMPERIAL TUBO 300ML-21,95-ST</v>
          </cell>
          <cell r="C4115" t="str">
            <v>51.00.01056-243</v>
          </cell>
          <cell r="D4115" t="str">
            <v>SHERWIN WILLIAMS</v>
          </cell>
          <cell r="E4115">
            <v>20021</v>
          </cell>
          <cell r="F4115" t="str">
            <v xml:space="preserve">SPRAYS </v>
          </cell>
          <cell r="G4115" t="str">
            <v>AUTOMOTIVO</v>
          </cell>
        </row>
        <row r="4116">
          <cell r="A4116">
            <v>21968</v>
          </cell>
          <cell r="B4116" t="str">
            <v>SPRAY COLOR BRANCO ACABAMENTO TUBO 300ML-25,38-ST</v>
          </cell>
          <cell r="C4116" t="str">
            <v>51.00.00906-243</v>
          </cell>
          <cell r="D4116" t="str">
            <v>SHERWIN WILLIAMS</v>
          </cell>
          <cell r="E4116">
            <v>20021</v>
          </cell>
          <cell r="F4116" t="str">
            <v xml:space="preserve">SPRAYS </v>
          </cell>
          <cell r="G4116" t="str">
            <v>AUTOMOTIVO</v>
          </cell>
        </row>
        <row r="4117">
          <cell r="A4117">
            <v>83814</v>
          </cell>
          <cell r="B4117" t="str">
            <v>SPRAY COLOR BRANCO ALTA TEMPERATURA TUBO 300ML-21,94-ST</v>
          </cell>
          <cell r="C4117" t="str">
            <v>50.00.05940-626</v>
          </cell>
          <cell r="D4117" t="str">
            <v>SHERWIN WILLIAMS</v>
          </cell>
          <cell r="E4117">
            <v>20021</v>
          </cell>
          <cell r="F4117" t="str">
            <v xml:space="preserve">SPRAYS </v>
          </cell>
          <cell r="G4117" t="str">
            <v>AUTOMOTIVO</v>
          </cell>
        </row>
        <row r="4118">
          <cell r="A4118">
            <v>23678</v>
          </cell>
          <cell r="B4118" t="str">
            <v>SPRAY COLOR BRANCO FOSCO LAZZURIL-25,37-ST</v>
          </cell>
          <cell r="C4118" t="str">
            <v>51.10.08090-243</v>
          </cell>
          <cell r="D4118" t="str">
            <v>SHERWIN WILLIAMS</v>
          </cell>
          <cell r="E4118">
            <v>20021</v>
          </cell>
          <cell r="F4118" t="str">
            <v xml:space="preserve">SPRAYS </v>
          </cell>
          <cell r="G4118" t="str">
            <v>AUTOMOTIVO</v>
          </cell>
        </row>
        <row r="4119">
          <cell r="A4119">
            <v>85593</v>
          </cell>
          <cell r="B4119" t="str">
            <v>SPRAY COLOR BUMPER SHERWIN WILLIAMS</v>
          </cell>
          <cell r="C4119" t="str">
            <v>50.30.00026-626</v>
          </cell>
          <cell r="D4119" t="str">
            <v>SHERWIN WILLIAMS</v>
          </cell>
          <cell r="E4119">
            <v>20021</v>
          </cell>
          <cell r="F4119" t="str">
            <v xml:space="preserve">SPRAYS </v>
          </cell>
          <cell r="G4119" t="str">
            <v>AUTOMOTIVO</v>
          </cell>
        </row>
        <row r="4120">
          <cell r="A4120">
            <v>21953</v>
          </cell>
          <cell r="B4120" t="str">
            <v>SPRAY COLOR CINZA PLACA TUBO 300ML-25,37-ST</v>
          </cell>
          <cell r="C4120" t="str">
            <v>51.00.80470-243</v>
          </cell>
          <cell r="D4120" t="str">
            <v>SHERWIN WILLIAMS</v>
          </cell>
          <cell r="E4120">
            <v>20021</v>
          </cell>
          <cell r="F4120" t="str">
            <v xml:space="preserve">SPRAYS </v>
          </cell>
          <cell r="G4120" t="str">
            <v>AUTOMOTIVO</v>
          </cell>
        </row>
        <row r="4121">
          <cell r="A4121">
            <v>24412</v>
          </cell>
          <cell r="B4121" t="str">
            <v>SPRAY COLOR EFEITO CROMADO 400ML LAZZURIL-21,94-ST</v>
          </cell>
          <cell r="C4121" t="str">
            <v>51.20.00692-499</v>
          </cell>
          <cell r="D4121" t="str">
            <v>SHERWIN WILLIAMS</v>
          </cell>
          <cell r="E4121">
            <v>20021</v>
          </cell>
          <cell r="F4121" t="str">
            <v xml:space="preserve">SPRAYS </v>
          </cell>
          <cell r="G4121" t="str">
            <v>AUTOMOTIVO</v>
          </cell>
        </row>
        <row r="4122">
          <cell r="A4122">
            <v>23679</v>
          </cell>
          <cell r="B4122" t="str">
            <v>SPRAY COLOR EFEITO CROMADO TRADICIONAL LAZZURIL-21,45-ST</v>
          </cell>
          <cell r="C4122" t="str">
            <v>51.20.00692-626</v>
          </cell>
          <cell r="D4122" t="str">
            <v>SHERWIN WILLIAMS</v>
          </cell>
          <cell r="E4122">
            <v>20021</v>
          </cell>
          <cell r="F4122" t="str">
            <v xml:space="preserve">SPRAYS </v>
          </cell>
          <cell r="G4122" t="str">
            <v>AUTOMOTIVO</v>
          </cell>
        </row>
        <row r="4123">
          <cell r="A4123">
            <v>21753</v>
          </cell>
          <cell r="B4123" t="str">
            <v>SPRAY COLOR GRAFITE MET. P/ RODAS TUBO 300ML-25,37-ST</v>
          </cell>
          <cell r="C4123" t="str">
            <v>51.20.00929-243</v>
          </cell>
          <cell r="D4123" t="str">
            <v>SHERWIN WILLIAMS</v>
          </cell>
          <cell r="E4123">
            <v>20021</v>
          </cell>
          <cell r="F4123" t="str">
            <v xml:space="preserve">SPRAYS </v>
          </cell>
          <cell r="G4123" t="str">
            <v>AUTOMOTIVO</v>
          </cell>
        </row>
        <row r="4124">
          <cell r="A4124">
            <v>23680</v>
          </cell>
          <cell r="B4124" t="str">
            <v>SPRAY COLOR OURO METALIZADO LAZZURIL-21,46-ST</v>
          </cell>
          <cell r="C4124" t="str">
            <v>51.20.06121-243</v>
          </cell>
          <cell r="D4124" t="str">
            <v>SHERWIN WILLIAMS</v>
          </cell>
          <cell r="E4124">
            <v>20021</v>
          </cell>
          <cell r="F4124" t="str">
            <v xml:space="preserve">SPRAYS </v>
          </cell>
          <cell r="G4124" t="str">
            <v>AUTOMOTIVO</v>
          </cell>
        </row>
        <row r="4125">
          <cell r="A4125">
            <v>23395</v>
          </cell>
          <cell r="B4125" t="str">
            <v>SPRAY COLOR OURO VILA RICA MET.-21,45-ST</v>
          </cell>
          <cell r="C4125" t="str">
            <v>51.20.06226-243</v>
          </cell>
          <cell r="D4125" t="str">
            <v>SHERWIN WILLIAMS</v>
          </cell>
          <cell r="E4125">
            <v>20021</v>
          </cell>
          <cell r="F4125" t="str">
            <v xml:space="preserve">SPRAYS </v>
          </cell>
          <cell r="G4125" t="str">
            <v>AUTOMOTIVO</v>
          </cell>
        </row>
        <row r="4126">
          <cell r="A4126">
            <v>22223</v>
          </cell>
          <cell r="B4126" t="str">
            <v>SPRAY COLOR OURO VILA RICA TUBO 300ML-21,94-ST</v>
          </cell>
          <cell r="C4126">
            <v>512006226243</v>
          </cell>
          <cell r="D4126" t="str">
            <v>SHERWIN WILLIAMS</v>
          </cell>
          <cell r="E4126">
            <v>20021</v>
          </cell>
          <cell r="F4126" t="str">
            <v xml:space="preserve">SPRAYS </v>
          </cell>
          <cell r="G4126" t="str">
            <v>AUTOMOTIVO</v>
          </cell>
        </row>
        <row r="4127">
          <cell r="A4127">
            <v>21754</v>
          </cell>
          <cell r="B4127" t="str">
            <v>SPRAY COLOR PRATA LUNAR TUBO 300ML-25,37-ST</v>
          </cell>
          <cell r="C4127" t="str">
            <v>51.20.01542-243</v>
          </cell>
          <cell r="D4127" t="str">
            <v>SHERWIN WILLIAMS</v>
          </cell>
          <cell r="E4127">
            <v>20021</v>
          </cell>
          <cell r="F4127" t="str">
            <v xml:space="preserve">SPRAYS </v>
          </cell>
          <cell r="G4127" t="str">
            <v>AUTOMOTIVO</v>
          </cell>
        </row>
        <row r="4128">
          <cell r="A4128">
            <v>21756</v>
          </cell>
          <cell r="B4128" t="str">
            <v>SPRAY COLOR PRETO ALTA TEMPERATURA TUBO 300ML-21,45-ST</v>
          </cell>
          <cell r="C4128" t="str">
            <v>50.00.05950-243</v>
          </cell>
          <cell r="D4128" t="str">
            <v>SHERWIN WILLIAMS</v>
          </cell>
          <cell r="E4128">
            <v>20021</v>
          </cell>
          <cell r="F4128" t="str">
            <v xml:space="preserve">SPRAYS </v>
          </cell>
          <cell r="G4128" t="str">
            <v>AUTOMOTIVO</v>
          </cell>
        </row>
        <row r="4129">
          <cell r="A4129">
            <v>21755</v>
          </cell>
          <cell r="B4129" t="str">
            <v>SPRAY COLOR PRETO FOSCO TUBO 300ML-25,37-ST</v>
          </cell>
          <cell r="C4129" t="str">
            <v>51.10.00910-243</v>
          </cell>
          <cell r="D4129" t="str">
            <v>SHERWIN WILLIAMS</v>
          </cell>
          <cell r="E4129">
            <v>20021</v>
          </cell>
          <cell r="F4129" t="str">
            <v xml:space="preserve">SPRAYS </v>
          </cell>
          <cell r="G4129" t="str">
            <v>AUTOMOTIVO</v>
          </cell>
        </row>
        <row r="4130">
          <cell r="A4130">
            <v>21757</v>
          </cell>
          <cell r="B4130" t="str">
            <v>SPRAY COLOR PRETO RAPIDO TUBO 300ML-25,37-ST</v>
          </cell>
          <cell r="C4130" t="str">
            <v>51.00.00903-243</v>
          </cell>
          <cell r="D4130" t="str">
            <v>SHERWIN WILLIAMS</v>
          </cell>
          <cell r="E4130">
            <v>20021</v>
          </cell>
          <cell r="F4130" t="str">
            <v xml:space="preserve">SPRAYS </v>
          </cell>
          <cell r="G4130" t="str">
            <v>AUTOMOTIVO</v>
          </cell>
        </row>
        <row r="4131">
          <cell r="A4131">
            <v>21434</v>
          </cell>
          <cell r="B4131" t="str">
            <v>SPRAY COLOR PRIMER UNIVERSAL 300ML LAZZURIL-25,37-ST</v>
          </cell>
          <cell r="C4131" t="str">
            <v>50.30.00018-243</v>
          </cell>
          <cell r="D4131" t="str">
            <v>SHERWIN WILLIAMS</v>
          </cell>
          <cell r="E4131">
            <v>20021</v>
          </cell>
          <cell r="F4131" t="str">
            <v xml:space="preserve">SPRAYS </v>
          </cell>
          <cell r="G4131" t="str">
            <v>AUTOMOTIVO</v>
          </cell>
        </row>
        <row r="4132">
          <cell r="A4132">
            <v>23761</v>
          </cell>
          <cell r="B4132" t="str">
            <v>SPRAY COLOR ROSA MARY LAZZURIL-21,94-ST</v>
          </cell>
          <cell r="C4132" t="str">
            <v>51.00.00960-626</v>
          </cell>
          <cell r="D4132" t="str">
            <v>SHERWIN WILLIAMS</v>
          </cell>
          <cell r="E4132">
            <v>20021</v>
          </cell>
          <cell r="F4132" t="str">
            <v xml:space="preserve">SPRAYS </v>
          </cell>
          <cell r="G4132" t="str">
            <v>AUTOMOTIVO</v>
          </cell>
        </row>
        <row r="4133">
          <cell r="A4133">
            <v>83838</v>
          </cell>
          <cell r="B4133" t="str">
            <v>SPRAY COLOR ROSE GOLD LAZZURIL-21,46-ST</v>
          </cell>
          <cell r="C4133" t="str">
            <v>51.20.06127</v>
          </cell>
          <cell r="D4133" t="str">
            <v>SHERWIN WILLIAMS</v>
          </cell>
          <cell r="E4133">
            <v>20021</v>
          </cell>
          <cell r="F4133" t="str">
            <v xml:space="preserve">SPRAYS </v>
          </cell>
          <cell r="G4133" t="str">
            <v>AUTOMOTIVO</v>
          </cell>
        </row>
        <row r="4134">
          <cell r="A4134">
            <v>21433</v>
          </cell>
          <cell r="B4134" t="str">
            <v>SPRAY COLOR SELADORA PARA PLASTICO 300ML LAZZURIL-21,94-ST</v>
          </cell>
          <cell r="C4134" t="str">
            <v>50.00.00081-243</v>
          </cell>
          <cell r="D4134" t="str">
            <v>SHERWIN WILLIAMS</v>
          </cell>
          <cell r="E4134">
            <v>20021</v>
          </cell>
          <cell r="F4134" t="str">
            <v xml:space="preserve">SPRAYS </v>
          </cell>
          <cell r="G4134" t="str">
            <v>AUTOMOTIVO</v>
          </cell>
        </row>
        <row r="4135">
          <cell r="A4135">
            <v>24333</v>
          </cell>
          <cell r="B4135" t="str">
            <v>SPRAY COLOR SELADORA PARA PLASTICO 400ML LAZZURIL-21,46-ST</v>
          </cell>
          <cell r="C4135" t="str">
            <v>50.00.00081-700</v>
          </cell>
          <cell r="D4135" t="str">
            <v>SHERWIN WILLIAMS</v>
          </cell>
          <cell r="E4135">
            <v>20021</v>
          </cell>
          <cell r="F4135" t="str">
            <v xml:space="preserve">SPRAYS </v>
          </cell>
          <cell r="G4135" t="str">
            <v>AUTOMOTIVO</v>
          </cell>
        </row>
        <row r="4136">
          <cell r="A4136">
            <v>21969</v>
          </cell>
          <cell r="B4136" t="str">
            <v>SPRAY COLOR VERMELHO ROYAL TUBO 300ML-25,38-ST</v>
          </cell>
          <cell r="C4136" t="str">
            <v>51.00.01118-243</v>
          </cell>
          <cell r="D4136" t="str">
            <v>SHERWIN WILLIAMS</v>
          </cell>
          <cell r="E4136">
            <v>20021</v>
          </cell>
          <cell r="F4136" t="str">
            <v xml:space="preserve">SPRAYS </v>
          </cell>
          <cell r="G4136" t="str">
            <v>AUTOMOTIVO</v>
          </cell>
        </row>
        <row r="4137">
          <cell r="A4137">
            <v>21758</v>
          </cell>
          <cell r="B4137" t="str">
            <v>SPRAY COLOR VERNIZ RAPIDO TUBO 300ML-21,45-ST</v>
          </cell>
          <cell r="C4137" t="str">
            <v>50.50.07502-243</v>
          </cell>
          <cell r="D4137" t="str">
            <v>SHERWIN WILLIAMS</v>
          </cell>
          <cell r="E4137">
            <v>20021</v>
          </cell>
          <cell r="F4137" t="str">
            <v xml:space="preserve">SPRAYS </v>
          </cell>
          <cell r="G4137" t="str">
            <v>AUTOMOTIVO</v>
          </cell>
        </row>
        <row r="4138">
          <cell r="A4138">
            <v>85591</v>
          </cell>
          <cell r="B4138" t="str">
            <v>SPRAY COLOR WASH PRIMER SW</v>
          </cell>
          <cell r="C4138" t="str">
            <v>50.00.LF045</v>
          </cell>
          <cell r="D4138" t="str">
            <v>SHERWIN WILLIAMS</v>
          </cell>
          <cell r="E4138">
            <v>20021</v>
          </cell>
          <cell r="F4138" t="str">
            <v xml:space="preserve">SPRAYS </v>
          </cell>
          <cell r="G4138" t="str">
            <v>AUTOMOTIVO</v>
          </cell>
        </row>
        <row r="4139">
          <cell r="A4139">
            <v>10075</v>
          </cell>
          <cell r="B4139" t="str">
            <v>SPRAY DE ZINCO 368GR 3M</v>
          </cell>
          <cell r="C4139">
            <v>60980028660</v>
          </cell>
          <cell r="D4139" t="str">
            <v>3M</v>
          </cell>
          <cell r="E4139">
            <v>20021</v>
          </cell>
          <cell r="F4139" t="str">
            <v xml:space="preserve">SPRAYS </v>
          </cell>
          <cell r="G4139" t="str">
            <v>AUTOMOTIVO</v>
          </cell>
        </row>
        <row r="4140">
          <cell r="A4140">
            <v>85222</v>
          </cell>
          <cell r="B4140" t="str">
            <v>SPRAY DE ZINCO 400ML ROBERLO</v>
          </cell>
          <cell r="C4140">
            <v>69579</v>
          </cell>
          <cell r="D4140" t="str">
            <v>ROBERLO</v>
          </cell>
          <cell r="E4140">
            <v>20021</v>
          </cell>
          <cell r="F4140" t="str">
            <v xml:space="preserve">SPRAYS </v>
          </cell>
          <cell r="G4140" t="str">
            <v>AUTOMOTIVO</v>
          </cell>
        </row>
        <row r="4141">
          <cell r="A4141">
            <v>84470</v>
          </cell>
          <cell r="B4141" t="str">
            <v>SPRAY GELO USO GERAL 350ML</v>
          </cell>
          <cell r="C4141">
            <v>23111006900</v>
          </cell>
          <cell r="D4141" t="str">
            <v>TEK BOND</v>
          </cell>
          <cell r="E4141">
            <v>20021</v>
          </cell>
          <cell r="F4141" t="str">
            <v xml:space="preserve">SPRAYS </v>
          </cell>
          <cell r="G4141" t="str">
            <v>AUTOMOTIVO</v>
          </cell>
        </row>
        <row r="4142">
          <cell r="A4142">
            <v>190</v>
          </cell>
          <cell r="B4142" t="str">
            <v>SPRAY GRAFITE 400ML ANJO-21,94-ST</v>
          </cell>
          <cell r="C4142" t="str">
            <v>040029-93</v>
          </cell>
          <cell r="D4142" t="str">
            <v>ANJO</v>
          </cell>
          <cell r="E4142">
            <v>20021</v>
          </cell>
          <cell r="F4142" t="str">
            <v xml:space="preserve">SPRAYS </v>
          </cell>
          <cell r="G4142" t="str">
            <v>AUTOMOTIVO</v>
          </cell>
        </row>
        <row r="4143">
          <cell r="A4143">
            <v>41</v>
          </cell>
          <cell r="B4143" t="str">
            <v>SPRAY GRAFITE SECO 200ML TEK BOND</v>
          </cell>
          <cell r="C4143">
            <v>21560001591</v>
          </cell>
          <cell r="D4143" t="str">
            <v>TEK BOND</v>
          </cell>
          <cell r="E4143">
            <v>20021</v>
          </cell>
          <cell r="F4143" t="str">
            <v xml:space="preserve">SPRAYS </v>
          </cell>
          <cell r="G4143" t="str">
            <v>AUTOMOTIVO</v>
          </cell>
        </row>
        <row r="4144">
          <cell r="A4144">
            <v>247</v>
          </cell>
          <cell r="B4144" t="str">
            <v>SPRAY GRAFITE SECO ORBI 300ML</v>
          </cell>
          <cell r="C4144">
            <v>4802</v>
          </cell>
          <cell r="D4144" t="str">
            <v>ORBI</v>
          </cell>
          <cell r="E4144">
            <v>20021</v>
          </cell>
          <cell r="F4144" t="str">
            <v xml:space="preserve">SPRAYS </v>
          </cell>
          <cell r="G4144" t="str">
            <v>AUTOMOTIVO</v>
          </cell>
        </row>
        <row r="4145">
          <cell r="A4145">
            <v>84471</v>
          </cell>
          <cell r="B4145" t="str">
            <v>SPRAY GRAFITE USO GERAL 350ML</v>
          </cell>
          <cell r="C4145">
            <v>23121006900</v>
          </cell>
          <cell r="D4145" t="str">
            <v>TEK BOND</v>
          </cell>
          <cell r="E4145">
            <v>20021</v>
          </cell>
          <cell r="F4145" t="str">
            <v xml:space="preserve">SPRAYS </v>
          </cell>
          <cell r="G4145" t="str">
            <v>AUTOMOTIVO</v>
          </cell>
        </row>
        <row r="4146">
          <cell r="A4146">
            <v>84473</v>
          </cell>
          <cell r="B4146" t="str">
            <v>SPRAY MARROM USO GERAL 350ML</v>
          </cell>
          <cell r="C4146">
            <v>23201006900</v>
          </cell>
          <cell r="D4146" t="str">
            <v>TEK BOND</v>
          </cell>
          <cell r="E4146">
            <v>20021</v>
          </cell>
          <cell r="F4146" t="str">
            <v xml:space="preserve">SPRAYS </v>
          </cell>
          <cell r="G4146" t="str">
            <v>AUTOMOTIVO</v>
          </cell>
        </row>
        <row r="4147">
          <cell r="A4147">
            <v>23974</v>
          </cell>
          <cell r="B4147" t="str">
            <v>SPRAY PARA ENVELOPAMENTO PRETO BRILHANTE-20,56-ST</v>
          </cell>
          <cell r="C4147">
            <v>3542</v>
          </cell>
          <cell r="D4147" t="str">
            <v>SHERWIN WILLIAMS</v>
          </cell>
          <cell r="E4147">
            <v>20021</v>
          </cell>
          <cell r="F4147" t="str">
            <v xml:space="preserve">SPRAYS </v>
          </cell>
          <cell r="G4147" t="str">
            <v>AUTOMOTIVO</v>
          </cell>
        </row>
        <row r="4148">
          <cell r="A4148">
            <v>192</v>
          </cell>
          <cell r="B4148" t="str">
            <v>SPRAY PRETO BRILHANTE 400ML ANJO-21,94-ST</v>
          </cell>
          <cell r="C4148" t="str">
            <v>040035-93</v>
          </cell>
          <cell r="D4148" t="str">
            <v>ANJO</v>
          </cell>
          <cell r="E4148">
            <v>20021</v>
          </cell>
          <cell r="F4148" t="str">
            <v xml:space="preserve">SPRAYS </v>
          </cell>
          <cell r="G4148" t="str">
            <v>AUTOMOTIVO</v>
          </cell>
        </row>
        <row r="4149">
          <cell r="A4149">
            <v>84467</v>
          </cell>
          <cell r="B4149" t="str">
            <v>SPRAY PRETO BRILHANTE USO GERAL 350ML</v>
          </cell>
          <cell r="C4149">
            <v>23011006900</v>
          </cell>
          <cell r="D4149" t="str">
            <v>TEK BOND</v>
          </cell>
          <cell r="E4149">
            <v>20021</v>
          </cell>
          <cell r="F4149" t="str">
            <v xml:space="preserve">SPRAYS </v>
          </cell>
          <cell r="G4149" t="str">
            <v>AUTOMOTIVO</v>
          </cell>
        </row>
        <row r="4150">
          <cell r="A4150">
            <v>191</v>
          </cell>
          <cell r="B4150" t="str">
            <v>SPRAY PRETO FOSCO ALTA TEMPERATURA 400ML ANJO-21,94-ST</v>
          </cell>
          <cell r="C4150" t="str">
            <v>040002-93</v>
          </cell>
          <cell r="D4150" t="str">
            <v>ANJO</v>
          </cell>
          <cell r="E4150">
            <v>20021</v>
          </cell>
          <cell r="F4150" t="str">
            <v xml:space="preserve">SPRAYS </v>
          </cell>
          <cell r="G4150" t="str">
            <v>AUTOMOTIVO</v>
          </cell>
        </row>
        <row r="4151">
          <cell r="A4151">
            <v>84466</v>
          </cell>
          <cell r="B4151" t="str">
            <v>SPRAY PRETO FOSCO USO GERAL 350ML TEKBOND</v>
          </cell>
          <cell r="C4151">
            <v>23001006900</v>
          </cell>
          <cell r="D4151" t="str">
            <v>TEK BOND</v>
          </cell>
          <cell r="E4151">
            <v>20021</v>
          </cell>
          <cell r="F4151" t="str">
            <v xml:space="preserve">SPRAYS </v>
          </cell>
          <cell r="G4151" t="str">
            <v>AUTOMOTIVO</v>
          </cell>
        </row>
        <row r="4152">
          <cell r="A4152">
            <v>85592</v>
          </cell>
          <cell r="B4152" t="str">
            <v>SPRAY PRETO FOSCO VINILICO SW</v>
          </cell>
          <cell r="C4152" t="str">
            <v>50.00.LF049</v>
          </cell>
          <cell r="D4152" t="str">
            <v>SHERWIN WILLIAMS</v>
          </cell>
          <cell r="E4152">
            <v>20021</v>
          </cell>
          <cell r="F4152" t="str">
            <v xml:space="preserve">SPRAYS </v>
          </cell>
          <cell r="G4152" t="str">
            <v>AUTOMOTIVO</v>
          </cell>
        </row>
        <row r="4153">
          <cell r="A4153">
            <v>84475</v>
          </cell>
          <cell r="B4153" t="str">
            <v>SPRAY PRIMER FUNDO  USO GERAL 350ML</v>
          </cell>
          <cell r="C4153">
            <v>23191006900</v>
          </cell>
          <cell r="D4153" t="str">
            <v>TEK BOND</v>
          </cell>
          <cell r="E4153">
            <v>20021</v>
          </cell>
          <cell r="F4153" t="str">
            <v xml:space="preserve">SPRAYS </v>
          </cell>
          <cell r="G4153" t="str">
            <v>AUTOMOTIVO</v>
          </cell>
        </row>
        <row r="4154">
          <cell r="A4154">
            <v>84472</v>
          </cell>
          <cell r="B4154" t="str">
            <v>SPRAY ROSA USO GERAL 350ML</v>
          </cell>
          <cell r="C4154">
            <v>23141006900</v>
          </cell>
          <cell r="D4154" t="str">
            <v>TEK BOND</v>
          </cell>
          <cell r="E4154">
            <v>20021</v>
          </cell>
          <cell r="F4154" t="str">
            <v xml:space="preserve">SPRAYS </v>
          </cell>
          <cell r="G4154" t="str">
            <v>AUTOMOTIVO</v>
          </cell>
        </row>
        <row r="4155">
          <cell r="A4155">
            <v>84464</v>
          </cell>
          <cell r="B4155" t="str">
            <v>SPRAY VERMELHO USO GERAL 350ML TEKBOND</v>
          </cell>
          <cell r="C4155">
            <v>23041006900</v>
          </cell>
          <cell r="D4155" t="str">
            <v>TEK BOND</v>
          </cell>
          <cell r="E4155">
            <v>20021</v>
          </cell>
          <cell r="F4155" t="str">
            <v xml:space="preserve">SPRAYS </v>
          </cell>
          <cell r="G4155" t="str">
            <v>AUTOMOTIVO</v>
          </cell>
        </row>
        <row r="4156">
          <cell r="A4156">
            <v>84474</v>
          </cell>
          <cell r="B4156" t="str">
            <v>SPRAY VERNIZ BRILHANTE USO GERAL 350ML</v>
          </cell>
          <cell r="C4156">
            <v>23171006900</v>
          </cell>
          <cell r="D4156" t="str">
            <v>TEK BOND</v>
          </cell>
          <cell r="E4156">
            <v>20021</v>
          </cell>
          <cell r="F4156" t="str">
            <v xml:space="preserve">SPRAYS </v>
          </cell>
          <cell r="G4156" t="str">
            <v>AUTOMOTIVO</v>
          </cell>
        </row>
        <row r="4157">
          <cell r="A4157">
            <v>84465</v>
          </cell>
          <cell r="B4157" t="str">
            <v>SPRAY VERNIZ FOSCO USO GERAL 350ML TEKBOND</v>
          </cell>
          <cell r="C4157">
            <v>23421006900</v>
          </cell>
          <cell r="D4157" t="str">
            <v>TEK BOND</v>
          </cell>
          <cell r="E4157">
            <v>20021</v>
          </cell>
          <cell r="F4157" t="str">
            <v xml:space="preserve">SPRAYS </v>
          </cell>
          <cell r="G4157" t="str">
            <v>AUTOMOTIVO</v>
          </cell>
        </row>
        <row r="4158">
          <cell r="A4158">
            <v>85667</v>
          </cell>
          <cell r="B4158" t="str">
            <v>TINTA SPRAY ALTA TEMPERATURA ALUMINIO LATA 350ML/210G UNIPEGA</v>
          </cell>
          <cell r="C4158" t="str">
            <v>AES0534.0185</v>
          </cell>
          <cell r="D4158" t="str">
            <v>UNIPEGA</v>
          </cell>
          <cell r="E4158">
            <v>20021</v>
          </cell>
          <cell r="F4158" t="str">
            <v xml:space="preserve">SPRAYS </v>
          </cell>
          <cell r="G4158" t="str">
            <v>AUTOMOTIVO</v>
          </cell>
        </row>
        <row r="4159">
          <cell r="A4159">
            <v>85664</v>
          </cell>
          <cell r="B4159" t="str">
            <v>TINTA SPRAY ALTA TEMPERATURA BRANCO LATA 350ML/210G UNIPEGA</v>
          </cell>
          <cell r="C4159" t="str">
            <v>AES0534.0180</v>
          </cell>
          <cell r="D4159" t="str">
            <v>UNIPEGA</v>
          </cell>
          <cell r="E4159">
            <v>20021</v>
          </cell>
          <cell r="F4159" t="str">
            <v xml:space="preserve">SPRAYS </v>
          </cell>
          <cell r="G4159" t="str">
            <v>AUTOMOTIVO</v>
          </cell>
        </row>
        <row r="4160">
          <cell r="A4160">
            <v>85665</v>
          </cell>
          <cell r="B4160" t="str">
            <v>TINTA SPRAY ALTA TEMPERATURA PRETO BRILHO LATA 350ML/210G UNIPEGA</v>
          </cell>
          <cell r="C4160" t="str">
            <v>AES0534.0181</v>
          </cell>
          <cell r="D4160" t="str">
            <v>UNIPEGA</v>
          </cell>
          <cell r="E4160">
            <v>20021</v>
          </cell>
          <cell r="F4160" t="str">
            <v xml:space="preserve">SPRAYS </v>
          </cell>
          <cell r="G4160" t="str">
            <v>AUTOMOTIVO</v>
          </cell>
        </row>
        <row r="4161">
          <cell r="A4161">
            <v>85666</v>
          </cell>
          <cell r="B4161" t="str">
            <v>TINTA SPRAY ALTA TEMPERATURA PRETO FOSCO LATA 350ML/210G UNIPEGA</v>
          </cell>
          <cell r="C4161" t="str">
            <v>AES0534.0182</v>
          </cell>
          <cell r="D4161" t="str">
            <v>UNIPEGA</v>
          </cell>
          <cell r="E4161">
            <v>20021</v>
          </cell>
          <cell r="F4161" t="str">
            <v xml:space="preserve">SPRAYS </v>
          </cell>
          <cell r="G4161" t="str">
            <v>AUTOMOTIVO</v>
          </cell>
        </row>
        <row r="4162">
          <cell r="A4162">
            <v>85660</v>
          </cell>
          <cell r="B4162" t="str">
            <v>TINTA SPRAY LUMINOSO AMARELO LATA 350ML/210G UNIPEGA</v>
          </cell>
          <cell r="C4162" t="str">
            <v>AES0534.0176</v>
          </cell>
          <cell r="D4162" t="str">
            <v>UNIPEGA</v>
          </cell>
          <cell r="E4162">
            <v>20021</v>
          </cell>
          <cell r="F4162" t="str">
            <v xml:space="preserve">SPRAYS </v>
          </cell>
          <cell r="G4162" t="str">
            <v>AUTOMOTIVO</v>
          </cell>
        </row>
        <row r="4163">
          <cell r="A4163">
            <v>85661</v>
          </cell>
          <cell r="B4163" t="str">
            <v>TINTA SPRAY LUMINOSO LARANJA LATA 350ML/210G UNIPEGA</v>
          </cell>
          <cell r="C4163" t="str">
            <v>AES0534.0177</v>
          </cell>
          <cell r="D4163" t="str">
            <v>UNIPEGA</v>
          </cell>
          <cell r="E4163">
            <v>20021</v>
          </cell>
          <cell r="F4163" t="str">
            <v xml:space="preserve">SPRAYS </v>
          </cell>
          <cell r="G4163" t="str">
            <v>AUTOMOTIVO</v>
          </cell>
        </row>
        <row r="4164">
          <cell r="A4164">
            <v>85662</v>
          </cell>
          <cell r="B4164" t="str">
            <v>TINTA SPRAY LUMINOSO PINK LATA 350ML/210G UNIPEGA</v>
          </cell>
          <cell r="C4164" t="str">
            <v>AES0534.0178</v>
          </cell>
          <cell r="D4164" t="str">
            <v>UNIPEGA</v>
          </cell>
          <cell r="E4164">
            <v>20021</v>
          </cell>
          <cell r="F4164" t="str">
            <v xml:space="preserve">SPRAYS </v>
          </cell>
          <cell r="G4164" t="str">
            <v>AUTOMOTIVO</v>
          </cell>
        </row>
        <row r="4165">
          <cell r="A4165">
            <v>85663</v>
          </cell>
          <cell r="B4165" t="str">
            <v>TINTA SPRAY LUMINOSO VERDE LATA 350ML/210G UNIPEGA</v>
          </cell>
          <cell r="C4165" t="str">
            <v>AES0534.0179</v>
          </cell>
          <cell r="D4165" t="str">
            <v>UNIPEGA</v>
          </cell>
          <cell r="E4165">
            <v>20021</v>
          </cell>
          <cell r="F4165" t="str">
            <v xml:space="preserve">SPRAYS </v>
          </cell>
          <cell r="G4165" t="str">
            <v>AUTOMOTIVO</v>
          </cell>
        </row>
        <row r="4166">
          <cell r="A4166">
            <v>85655</v>
          </cell>
          <cell r="B4166" t="str">
            <v>TINTA SPRAY METALICO BRONZE LATA 350ML/210G UNIPEGA</v>
          </cell>
          <cell r="C4166" t="str">
            <v>AES0534.0171</v>
          </cell>
          <cell r="D4166" t="str">
            <v>UNIPEGA</v>
          </cell>
          <cell r="E4166">
            <v>20021</v>
          </cell>
          <cell r="F4166" t="str">
            <v xml:space="preserve">SPRAYS </v>
          </cell>
          <cell r="G4166" t="str">
            <v>AUTOMOTIVO</v>
          </cell>
        </row>
        <row r="4167">
          <cell r="A4167">
            <v>85656</v>
          </cell>
          <cell r="B4167" t="str">
            <v>TINTA SPRAY METALICO CROMO LATA 350ML/210G UNIPEGA</v>
          </cell>
          <cell r="C4167" t="str">
            <v>AES0534.0172</v>
          </cell>
          <cell r="D4167" t="str">
            <v>UNIPEGA</v>
          </cell>
          <cell r="E4167">
            <v>20021</v>
          </cell>
          <cell r="F4167" t="str">
            <v xml:space="preserve">SPRAYS </v>
          </cell>
          <cell r="G4167" t="str">
            <v>AUTOMOTIVO</v>
          </cell>
        </row>
        <row r="4168">
          <cell r="A4168">
            <v>85657</v>
          </cell>
          <cell r="B4168" t="str">
            <v>TINTA SPRAY METALICO OURO LATA 350ML/210G UNIPEGA</v>
          </cell>
          <cell r="C4168" t="str">
            <v>AES0534.0173</v>
          </cell>
          <cell r="D4168" t="str">
            <v>UNIPEGA</v>
          </cell>
          <cell r="E4168">
            <v>20021</v>
          </cell>
          <cell r="F4168" t="str">
            <v xml:space="preserve">SPRAYS </v>
          </cell>
          <cell r="G4168" t="str">
            <v>AUTOMOTIVO</v>
          </cell>
        </row>
        <row r="4169">
          <cell r="A4169">
            <v>85658</v>
          </cell>
          <cell r="B4169" t="str">
            <v>TINTA SPRAY METALICO PRATA LATA 350ML/210G UNIPEGA</v>
          </cell>
          <cell r="C4169" t="str">
            <v>AES0534.0174</v>
          </cell>
          <cell r="D4169" t="str">
            <v>UNIPEGA</v>
          </cell>
          <cell r="E4169">
            <v>20021</v>
          </cell>
          <cell r="F4169" t="str">
            <v xml:space="preserve">SPRAYS </v>
          </cell>
          <cell r="G4169" t="str">
            <v>AUTOMOTIVO</v>
          </cell>
        </row>
        <row r="4170">
          <cell r="A4170">
            <v>85659</v>
          </cell>
          <cell r="B4170" t="str">
            <v>TINTA SPRAY METALICO ROSE GOLD LATA 350ML/210G UNIPEGA</v>
          </cell>
          <cell r="C4170" t="str">
            <v>AES0534.0175</v>
          </cell>
          <cell r="D4170" t="str">
            <v>UNIPEGA</v>
          </cell>
          <cell r="E4170">
            <v>20021</v>
          </cell>
          <cell r="F4170" t="str">
            <v xml:space="preserve">SPRAYS </v>
          </cell>
          <cell r="G4170" t="str">
            <v>AUTOMOTIVO</v>
          </cell>
        </row>
        <row r="4171">
          <cell r="A4171">
            <v>85639</v>
          </cell>
          <cell r="B4171" t="str">
            <v>TINTA SPRAY USO GERAL ALUMINIO LATA 350ML/210G UNIPEGA</v>
          </cell>
          <cell r="C4171" t="str">
            <v>AES0534.0154</v>
          </cell>
          <cell r="D4171" t="str">
            <v>UNIPEGA</v>
          </cell>
          <cell r="E4171">
            <v>20021</v>
          </cell>
          <cell r="F4171" t="str">
            <v xml:space="preserve">SPRAYS </v>
          </cell>
          <cell r="G4171" t="str">
            <v>AUTOMOTIVO</v>
          </cell>
        </row>
        <row r="4172">
          <cell r="A4172">
            <v>85640</v>
          </cell>
          <cell r="B4172" t="str">
            <v>TINTA SPRAY USO GERAL AMARELO LATA 350ML/210G UNIPEGA</v>
          </cell>
          <cell r="C4172" t="str">
            <v>AES0534.0155</v>
          </cell>
          <cell r="D4172" t="str">
            <v>UNIPEGA</v>
          </cell>
          <cell r="E4172">
            <v>20021</v>
          </cell>
          <cell r="F4172" t="str">
            <v xml:space="preserve">SPRAYS </v>
          </cell>
          <cell r="G4172" t="str">
            <v>AUTOMOTIVO</v>
          </cell>
        </row>
        <row r="4173">
          <cell r="A4173">
            <v>85642</v>
          </cell>
          <cell r="B4173" t="str">
            <v>TINTA SPRAY USO GERAL AZUL CLARO LATA 350ML/210G UNIPEGA</v>
          </cell>
          <cell r="C4173" t="str">
            <v>AES0534.0157</v>
          </cell>
          <cell r="D4173" t="str">
            <v>UNIPEGA</v>
          </cell>
          <cell r="E4173">
            <v>20021</v>
          </cell>
          <cell r="F4173" t="str">
            <v xml:space="preserve">SPRAYS </v>
          </cell>
          <cell r="G4173" t="str">
            <v>AUTOMOTIVO</v>
          </cell>
        </row>
        <row r="4174">
          <cell r="A4174">
            <v>85641</v>
          </cell>
          <cell r="B4174" t="str">
            <v>TINTA SPRAY USO GERAL AZUL LATA 350ML/210G UNIPEGA</v>
          </cell>
          <cell r="C4174" t="str">
            <v>AES0534.0156</v>
          </cell>
          <cell r="D4174" t="str">
            <v>UNIPEGA</v>
          </cell>
          <cell r="E4174">
            <v>20021</v>
          </cell>
          <cell r="F4174" t="str">
            <v xml:space="preserve">SPRAYS </v>
          </cell>
          <cell r="G4174" t="str">
            <v>AUTOMOTIVO</v>
          </cell>
        </row>
        <row r="4175">
          <cell r="A4175">
            <v>85643</v>
          </cell>
          <cell r="B4175" t="str">
            <v>TINTA SPRAY USO GERAL BRANCO BRILHANTE LATA 350ML/210G UNIPEGA</v>
          </cell>
          <cell r="C4175" t="str">
            <v>AES0534.0158</v>
          </cell>
          <cell r="D4175" t="str">
            <v>UNIPEGA</v>
          </cell>
          <cell r="E4175">
            <v>20021</v>
          </cell>
          <cell r="F4175" t="str">
            <v xml:space="preserve">SPRAYS </v>
          </cell>
          <cell r="G4175" t="str">
            <v>AUTOMOTIVO</v>
          </cell>
        </row>
        <row r="4176">
          <cell r="A4176">
            <v>85644</v>
          </cell>
          <cell r="B4176" t="str">
            <v>TINTA SPRAY USO GERAL BRANCO FOSCO LATA 350ML/210G UNIPEGA</v>
          </cell>
          <cell r="C4176" t="str">
            <v>AES0534.0159</v>
          </cell>
          <cell r="D4176" t="str">
            <v>UNIPEGA</v>
          </cell>
          <cell r="E4176">
            <v>20021</v>
          </cell>
          <cell r="F4176" t="str">
            <v xml:space="preserve">SPRAYS </v>
          </cell>
          <cell r="G4176" t="str">
            <v>AUTOMOTIVO</v>
          </cell>
        </row>
        <row r="4177">
          <cell r="A4177">
            <v>85645</v>
          </cell>
          <cell r="B4177" t="str">
            <v>TINTA SPRAY USO GERAL CLARO LATA 350ML/210G UNIPEGA</v>
          </cell>
          <cell r="C4177" t="str">
            <v>AES0534.0160</v>
          </cell>
          <cell r="D4177" t="str">
            <v>UNIPEGA</v>
          </cell>
          <cell r="E4177">
            <v>20021</v>
          </cell>
          <cell r="F4177" t="str">
            <v xml:space="preserve">SPRAYS </v>
          </cell>
          <cell r="G4177" t="str">
            <v>AUTOMOTIVO</v>
          </cell>
        </row>
        <row r="4178">
          <cell r="A4178">
            <v>85646</v>
          </cell>
          <cell r="B4178" t="str">
            <v>TINTA SPRAY USO GERAL GRAFITE LATA 350ML/210G UNIPEGA</v>
          </cell>
          <cell r="C4178" t="str">
            <v>AES0534.0161</v>
          </cell>
          <cell r="D4178" t="str">
            <v>UNIPEGA</v>
          </cell>
          <cell r="E4178">
            <v>20021</v>
          </cell>
          <cell r="F4178" t="str">
            <v xml:space="preserve">SPRAYS </v>
          </cell>
          <cell r="G4178" t="str">
            <v>AUTOMOTIVO</v>
          </cell>
        </row>
        <row r="4179">
          <cell r="A4179">
            <v>85647</v>
          </cell>
          <cell r="B4179" t="str">
            <v>TINTA SPRAY USO GERAL LARANJA LATA 350ML/210G UNIPEGA</v>
          </cell>
          <cell r="C4179" t="str">
            <v>AES0534.0162</v>
          </cell>
          <cell r="D4179" t="str">
            <v>UNIPEGA</v>
          </cell>
          <cell r="E4179">
            <v>20021</v>
          </cell>
          <cell r="F4179" t="str">
            <v xml:space="preserve">SPRAYS </v>
          </cell>
          <cell r="G4179" t="str">
            <v>AUTOMOTIVO</v>
          </cell>
        </row>
        <row r="4180">
          <cell r="A4180">
            <v>85648</v>
          </cell>
          <cell r="B4180" t="str">
            <v>TINTA SPRAY USO GERAL MARRON LATA 350ML/210G UNIPEGA</v>
          </cell>
          <cell r="C4180" t="str">
            <v>AES0534.0163</v>
          </cell>
          <cell r="D4180" t="str">
            <v>UNIPEGA</v>
          </cell>
          <cell r="E4180">
            <v>20021</v>
          </cell>
          <cell r="F4180" t="str">
            <v xml:space="preserve">SPRAYS </v>
          </cell>
          <cell r="G4180" t="str">
            <v>AUTOMOTIVO</v>
          </cell>
        </row>
        <row r="4181">
          <cell r="A4181">
            <v>85649</v>
          </cell>
          <cell r="B4181" t="str">
            <v>TINTA SPRAY USO GERAL PRETO BRILHANTE LATA 350ML/210G UNIPEGA</v>
          </cell>
          <cell r="C4181" t="str">
            <v>AES0534.0164</v>
          </cell>
          <cell r="D4181" t="str">
            <v>UNIPEGA</v>
          </cell>
          <cell r="E4181">
            <v>20021</v>
          </cell>
          <cell r="F4181" t="str">
            <v xml:space="preserve">SPRAYS </v>
          </cell>
          <cell r="G4181" t="str">
            <v>AUTOMOTIVO</v>
          </cell>
        </row>
        <row r="4182">
          <cell r="A4182">
            <v>85650</v>
          </cell>
          <cell r="B4182" t="str">
            <v>TINTA SPRAY USO GERAL PRETO FOSCO LATA 350ML/210G UNIPEGA</v>
          </cell>
          <cell r="C4182" t="str">
            <v>AES0534.0165</v>
          </cell>
          <cell r="D4182" t="str">
            <v>UNIPEGA</v>
          </cell>
          <cell r="E4182">
            <v>20021</v>
          </cell>
          <cell r="F4182" t="str">
            <v xml:space="preserve">SPRAYS </v>
          </cell>
          <cell r="G4182" t="str">
            <v>AUTOMOTIVO</v>
          </cell>
        </row>
        <row r="4183">
          <cell r="A4183">
            <v>85651</v>
          </cell>
          <cell r="B4183" t="str">
            <v>TINTA SPRAY USO GERAL ROSA LATA 350ML/210G UNIPEGA</v>
          </cell>
          <cell r="C4183" t="str">
            <v>AES0534.0167</v>
          </cell>
          <cell r="D4183" t="str">
            <v>UNIPEGA</v>
          </cell>
          <cell r="E4183">
            <v>20021</v>
          </cell>
          <cell r="F4183" t="str">
            <v xml:space="preserve">SPRAYS </v>
          </cell>
          <cell r="G4183" t="str">
            <v>AUTOMOTIVO</v>
          </cell>
        </row>
        <row r="4184">
          <cell r="A4184">
            <v>85652</v>
          </cell>
          <cell r="B4184" t="str">
            <v>TINTA SPRAY USO GERAL VERDE LATA 350ML/210G UNIPEGA</v>
          </cell>
          <cell r="C4184" t="str">
            <v>AES0534.0168</v>
          </cell>
          <cell r="D4184" t="str">
            <v>UNIPEGA</v>
          </cell>
          <cell r="E4184">
            <v>20021</v>
          </cell>
          <cell r="F4184" t="str">
            <v xml:space="preserve">SPRAYS </v>
          </cell>
          <cell r="G4184" t="str">
            <v>AUTOMOTIVO</v>
          </cell>
        </row>
        <row r="4185">
          <cell r="A4185">
            <v>85653</v>
          </cell>
          <cell r="B4185" t="str">
            <v>TINTA SPRAY USO GERAL VERMELHO LATA 350ML/210G UNIPEGA</v>
          </cell>
          <cell r="C4185" t="str">
            <v>AES0534.0169</v>
          </cell>
          <cell r="D4185" t="str">
            <v>UNIPEGA</v>
          </cell>
          <cell r="E4185">
            <v>20021</v>
          </cell>
          <cell r="F4185" t="str">
            <v xml:space="preserve">SPRAYS </v>
          </cell>
          <cell r="G4185" t="str">
            <v>AUTOMOTIVO</v>
          </cell>
        </row>
        <row r="4186">
          <cell r="A4186">
            <v>85654</v>
          </cell>
          <cell r="B4186" t="str">
            <v>TINTA SPRAY USO GERAL VIOLETA LATA 350ML/210G UNIPEGA</v>
          </cell>
          <cell r="C4186" t="str">
            <v>AES0534.0170</v>
          </cell>
          <cell r="D4186" t="str">
            <v>UNIPEGA</v>
          </cell>
          <cell r="E4186">
            <v>20021</v>
          </cell>
          <cell r="F4186" t="str">
            <v xml:space="preserve">SPRAYS </v>
          </cell>
          <cell r="G4186" t="str">
            <v>AUTOMOTIVO</v>
          </cell>
        </row>
        <row r="4187">
          <cell r="A4187">
            <v>85669</v>
          </cell>
          <cell r="B4187" t="str">
            <v>TINTA SPRAY VERNIZ BRILHANTE LATA 350ML/210G UNIPEGA</v>
          </cell>
          <cell r="C4187" t="str">
            <v>AES0534.0184</v>
          </cell>
          <cell r="D4187" t="str">
            <v>UNIPEGA</v>
          </cell>
          <cell r="E4187">
            <v>20021</v>
          </cell>
          <cell r="F4187" t="str">
            <v xml:space="preserve">SPRAYS </v>
          </cell>
          <cell r="G4187" t="str">
            <v>AUTOMOTIVO</v>
          </cell>
        </row>
        <row r="4188">
          <cell r="A4188">
            <v>85668</v>
          </cell>
          <cell r="B4188" t="str">
            <v>TINTA SPRAY VERNIZ FOSCO LATA 350ML/210G UNIPEGA</v>
          </cell>
          <cell r="C4188" t="str">
            <v>AES0534.0183</v>
          </cell>
          <cell r="D4188" t="str">
            <v>UNIPEGA</v>
          </cell>
          <cell r="E4188">
            <v>20021</v>
          </cell>
          <cell r="F4188" t="str">
            <v xml:space="preserve">SPRAYS </v>
          </cell>
          <cell r="G4188" t="str">
            <v>AUTOMOTIVO</v>
          </cell>
        </row>
        <row r="4189">
          <cell r="A4189">
            <v>20822</v>
          </cell>
          <cell r="B4189" t="str">
            <v>FLANELA BRANCA 40X60 BRILHOMAX</v>
          </cell>
          <cell r="C4189">
            <v>923</v>
          </cell>
          <cell r="D4189" t="str">
            <v>BRILHOMAX</v>
          </cell>
          <cell r="E4189">
            <v>20020</v>
          </cell>
          <cell r="F4189" t="str">
            <v>FLANELAS / PANOS</v>
          </cell>
          <cell r="G4189" t="str">
            <v>AUTOMOTIVO</v>
          </cell>
        </row>
        <row r="4190">
          <cell r="A4190">
            <v>22981</v>
          </cell>
          <cell r="B4190" t="str">
            <v>FLANELA BRANCA G</v>
          </cell>
          <cell r="C4190">
            <v>8426</v>
          </cell>
          <cell r="D4190" t="str">
            <v>BRILHOMAX</v>
          </cell>
          <cell r="E4190">
            <v>20020</v>
          </cell>
          <cell r="F4190" t="str">
            <v>FLANELAS / PANOS</v>
          </cell>
          <cell r="G4190" t="str">
            <v>AUTOMOTIVO</v>
          </cell>
        </row>
        <row r="4191">
          <cell r="A4191">
            <v>20976</v>
          </cell>
          <cell r="B4191" t="str">
            <v>FLANELA DE SECAGEM 70X40 TECH DRY AUTOAMERICA</v>
          </cell>
          <cell r="C4191">
            <v>20976</v>
          </cell>
          <cell r="D4191" t="str">
            <v>AUTO AMERICA</v>
          </cell>
          <cell r="E4191">
            <v>20020</v>
          </cell>
          <cell r="F4191" t="str">
            <v>FLANELAS / PANOS</v>
          </cell>
          <cell r="G4191" t="str">
            <v>AUTOMOTIVO</v>
          </cell>
        </row>
        <row r="4192">
          <cell r="A4192">
            <v>83817</v>
          </cell>
          <cell r="B4192" t="str">
            <v>FLANELA DE SECAGEM 80X40 SUPER DRY AUTOAMERICA</v>
          </cell>
          <cell r="C4192">
            <v>504545150</v>
          </cell>
          <cell r="D4192" t="str">
            <v>AUTO AMERICA</v>
          </cell>
          <cell r="E4192">
            <v>20020</v>
          </cell>
          <cell r="F4192" t="str">
            <v>FLANELAS / PANOS</v>
          </cell>
          <cell r="G4192" t="str">
            <v>AUTOMOTIVO</v>
          </cell>
        </row>
        <row r="4193">
          <cell r="A4193">
            <v>83866</v>
          </cell>
          <cell r="B4193" t="str">
            <v>FLANELA MICROFIBRA 40X40 PREMIUM AZUL AUTOAMERICA</v>
          </cell>
          <cell r="C4193">
            <v>504545119</v>
          </cell>
          <cell r="D4193" t="str">
            <v>AUTO AMERICA</v>
          </cell>
          <cell r="E4193">
            <v>20020</v>
          </cell>
          <cell r="F4193" t="str">
            <v>FLANELAS / PANOS</v>
          </cell>
          <cell r="G4193" t="str">
            <v>AUTOMOTIVO</v>
          </cell>
        </row>
        <row r="4194">
          <cell r="A4194">
            <v>83868</v>
          </cell>
          <cell r="B4194" t="str">
            <v>FLANELA MICROFIBRA 40X40 VERDE AUTOAMERICA</v>
          </cell>
          <cell r="C4194">
            <v>504545004</v>
          </cell>
          <cell r="D4194" t="str">
            <v>AUTO AMERICA</v>
          </cell>
          <cell r="E4194">
            <v>20020</v>
          </cell>
          <cell r="F4194" t="str">
            <v>FLANELAS / PANOS</v>
          </cell>
          <cell r="G4194" t="str">
            <v>AUTOMOTIVO</v>
          </cell>
        </row>
        <row r="4195">
          <cell r="A4195">
            <v>23493</v>
          </cell>
          <cell r="B4195" t="str">
            <v>FLANELA MICROFIBRA 40X60 AZUL 3M</v>
          </cell>
          <cell r="C4195" t="str">
            <v>HB004588495</v>
          </cell>
          <cell r="D4195" t="str">
            <v>3M</v>
          </cell>
          <cell r="E4195">
            <v>20020</v>
          </cell>
          <cell r="F4195" t="str">
            <v>FLANELAS / PANOS</v>
          </cell>
          <cell r="G4195" t="str">
            <v>AUTOMOTIVO</v>
          </cell>
        </row>
        <row r="4196">
          <cell r="A4196">
            <v>83869</v>
          </cell>
          <cell r="B4196" t="str">
            <v>FLANELA MICROFIBRA 40X60 LOW COST BEGE AUTOAMERICA</v>
          </cell>
          <cell r="C4196">
            <v>504545126</v>
          </cell>
          <cell r="D4196" t="str">
            <v>AUTO AMERICA</v>
          </cell>
          <cell r="E4196">
            <v>20020</v>
          </cell>
          <cell r="F4196" t="str">
            <v>FLANELAS / PANOS</v>
          </cell>
          <cell r="G4196" t="str">
            <v>AUTOMOTIVO</v>
          </cell>
        </row>
        <row r="4197">
          <cell r="A4197">
            <v>83865</v>
          </cell>
          <cell r="B4197" t="str">
            <v>FLANELA MICROFIBRA 40X60 LOW COST ROXA AUTOAMERICA</v>
          </cell>
          <cell r="C4197">
            <v>504545125</v>
          </cell>
          <cell r="D4197" t="str">
            <v>AUTO AMERICA</v>
          </cell>
          <cell r="E4197">
            <v>20020</v>
          </cell>
          <cell r="F4197" t="str">
            <v>FLANELAS / PANOS</v>
          </cell>
          <cell r="G4197" t="str">
            <v>AUTOMOTIVO</v>
          </cell>
        </row>
        <row r="4198">
          <cell r="A4198">
            <v>23364</v>
          </cell>
          <cell r="B4198" t="str">
            <v>FLANELA MICROFIBRA 40X60 S/EMBALAGEM AUTOAMERICA</v>
          </cell>
          <cell r="C4198">
            <v>504545005</v>
          </cell>
          <cell r="D4198" t="str">
            <v>AUTO AMERICA</v>
          </cell>
          <cell r="E4198">
            <v>20020</v>
          </cell>
          <cell r="F4198" t="str">
            <v>FLANELAS / PANOS</v>
          </cell>
          <cell r="G4198" t="str">
            <v>AUTOMOTIVO</v>
          </cell>
        </row>
        <row r="4199">
          <cell r="A4199">
            <v>20131</v>
          </cell>
          <cell r="B4199" t="str">
            <v>FLANELA MICROFIBRA ULTRA PERMANCE 39015 3M</v>
          </cell>
          <cell r="C4199" t="str">
            <v>HB004026652</v>
          </cell>
          <cell r="D4199" t="str">
            <v>3M</v>
          </cell>
          <cell r="E4199">
            <v>20020</v>
          </cell>
          <cell r="F4199" t="str">
            <v>FLANELAS / PANOS</v>
          </cell>
          <cell r="G4199" t="str">
            <v>AUTOMOTIVO</v>
          </cell>
        </row>
        <row r="4200">
          <cell r="A4200">
            <v>23558</v>
          </cell>
          <cell r="B4200" t="str">
            <v>LIMPA TELA 100ML KIT COM FLANELA 3M</v>
          </cell>
          <cell r="C4200" t="str">
            <v>HB004461479</v>
          </cell>
          <cell r="D4200" t="str">
            <v>3M</v>
          </cell>
          <cell r="E4200">
            <v>20020</v>
          </cell>
          <cell r="F4200" t="str">
            <v>FLANELAS / PANOS</v>
          </cell>
          <cell r="G4200" t="str">
            <v>AUTOMOTIVO</v>
          </cell>
        </row>
        <row r="4201">
          <cell r="A4201">
            <v>20592</v>
          </cell>
          <cell r="B4201" t="str">
            <v>PANO PEGA PO BRAZILIAN</v>
          </cell>
          <cell r="C4201">
            <v>500</v>
          </cell>
          <cell r="D4201" t="str">
            <v>.</v>
          </cell>
          <cell r="E4201">
            <v>20020</v>
          </cell>
          <cell r="F4201" t="str">
            <v>FLANELAS / PANOS</v>
          </cell>
          <cell r="G4201" t="str">
            <v>AUTOMOTIVO</v>
          </cell>
        </row>
        <row r="4202">
          <cell r="A4202">
            <v>83994</v>
          </cell>
          <cell r="B4202" t="str">
            <v>PANO PEGA PO TACK CLOTH NORTON</v>
          </cell>
          <cell r="C4202">
            <v>66261135817</v>
          </cell>
          <cell r="D4202" t="str">
            <v>NORTON</v>
          </cell>
          <cell r="E4202">
            <v>20020</v>
          </cell>
          <cell r="F4202" t="str">
            <v>FLANELAS / PANOS</v>
          </cell>
          <cell r="G4202" t="str">
            <v>AUTOMOTIVO</v>
          </cell>
        </row>
        <row r="4203">
          <cell r="A4203">
            <v>23381</v>
          </cell>
          <cell r="B4203" t="str">
            <v>PANO PEGA POEIRA SHERWIN WILLIAMS</v>
          </cell>
          <cell r="C4203" t="str">
            <v>80.79.89711-686</v>
          </cell>
          <cell r="D4203" t="str">
            <v>SHERWIN WILLIAMS</v>
          </cell>
          <cell r="E4203">
            <v>20020</v>
          </cell>
          <cell r="F4203" t="str">
            <v>FLANELAS / PANOS</v>
          </cell>
          <cell r="G4203" t="str">
            <v>AUTOMOTIVO</v>
          </cell>
        </row>
        <row r="4204">
          <cell r="A4204">
            <v>85073</v>
          </cell>
          <cell r="B4204" t="str">
            <v>PANO PEGA POEIRA SKY</v>
          </cell>
          <cell r="C4204" t="str">
            <v>9009994201FI</v>
          </cell>
          <cell r="D4204" t="str">
            <v>SKY</v>
          </cell>
          <cell r="E4204">
            <v>20020</v>
          </cell>
          <cell r="F4204" t="str">
            <v>FLANELAS / PANOS</v>
          </cell>
          <cell r="G4204" t="str">
            <v>AUTOMOTIVO</v>
          </cell>
        </row>
        <row r="4205">
          <cell r="A4205">
            <v>83762</v>
          </cell>
          <cell r="B4205" t="str">
            <v>PANO ULTRAMICROFIBRA 40X40 RHAI</v>
          </cell>
          <cell r="C4205">
            <v>2154871</v>
          </cell>
          <cell r="D4205" t="str">
            <v>.</v>
          </cell>
          <cell r="E4205">
            <v>20020</v>
          </cell>
          <cell r="F4205" t="str">
            <v>FLANELAS / PANOS</v>
          </cell>
          <cell r="G4205" t="str">
            <v>AUTOMOTIVO</v>
          </cell>
        </row>
        <row r="4206">
          <cell r="A4206">
            <v>83867</v>
          </cell>
          <cell r="B4206" t="str">
            <v>TOALHA MICROFIBRA (BRANCA)  AUTOAMERICA</v>
          </cell>
          <cell r="C4206">
            <v>504545085</v>
          </cell>
          <cell r="D4206" t="str">
            <v>AUTO AMERICA</v>
          </cell>
          <cell r="E4206">
            <v>20020</v>
          </cell>
          <cell r="F4206" t="str">
            <v>FLANELAS / PANOS</v>
          </cell>
          <cell r="G4206" t="str">
            <v>AUTOMOTIVO</v>
          </cell>
        </row>
        <row r="4207">
          <cell r="A4207">
            <v>21350</v>
          </cell>
          <cell r="B4207" t="str">
            <v>DISCO TRIZACT P1000 152MM 3M</v>
          </cell>
          <cell r="C4207" t="str">
            <v>HB004135362</v>
          </cell>
          <cell r="D4207" t="str">
            <v>3M</v>
          </cell>
          <cell r="E4207">
            <v>20019</v>
          </cell>
          <cell r="F4207" t="str">
            <v>DISCO TRIZACT</v>
          </cell>
          <cell r="G4207" t="str">
            <v>AUTOMOTIVO</v>
          </cell>
        </row>
        <row r="4208">
          <cell r="A4208">
            <v>20983</v>
          </cell>
          <cell r="B4208" t="str">
            <v>DISCO TRIZACT P1500 152MM 3M</v>
          </cell>
          <cell r="C4208" t="str">
            <v>HB004135388</v>
          </cell>
          <cell r="D4208" t="str">
            <v>3M</v>
          </cell>
          <cell r="E4208">
            <v>20019</v>
          </cell>
          <cell r="F4208" t="str">
            <v>DISCO TRIZACT</v>
          </cell>
          <cell r="G4208" t="str">
            <v>AUTOMOTIVO</v>
          </cell>
        </row>
        <row r="4209">
          <cell r="A4209">
            <v>20135</v>
          </cell>
          <cell r="B4209" t="str">
            <v>DISCO TRIZACT P3000 152MM 3M</v>
          </cell>
          <cell r="C4209" t="str">
            <v>HC000657292</v>
          </cell>
          <cell r="D4209" t="str">
            <v>3M</v>
          </cell>
          <cell r="E4209">
            <v>20019</v>
          </cell>
          <cell r="F4209" t="str">
            <v>DISCO TRIZACT</v>
          </cell>
          <cell r="G4209" t="str">
            <v>AUTOMOTIVO</v>
          </cell>
        </row>
        <row r="4210">
          <cell r="A4210">
            <v>21351</v>
          </cell>
          <cell r="B4210" t="str">
            <v>DISCO TRIZACT P5000 152MM 3M</v>
          </cell>
          <cell r="C4210" t="str">
            <v>HC000657276</v>
          </cell>
          <cell r="D4210" t="str">
            <v>3M</v>
          </cell>
          <cell r="E4210">
            <v>20019</v>
          </cell>
          <cell r="F4210" t="str">
            <v>DISCO TRIZACT</v>
          </cell>
          <cell r="G4210" t="str">
            <v>AUTOMOTIVO</v>
          </cell>
        </row>
        <row r="4211">
          <cell r="A4211">
            <v>24257</v>
          </cell>
          <cell r="B4211" t="str">
            <v>DISCO TRIZACT P8000 152MM 3M</v>
          </cell>
          <cell r="C4211" t="str">
            <v>HB004674295</v>
          </cell>
          <cell r="D4211" t="str">
            <v>3M</v>
          </cell>
          <cell r="E4211">
            <v>20019</v>
          </cell>
          <cell r="F4211" t="str">
            <v>DISCO TRIZACT</v>
          </cell>
          <cell r="G4211" t="str">
            <v>AUTOMOTIVO</v>
          </cell>
        </row>
        <row r="4212">
          <cell r="A4212">
            <v>23651</v>
          </cell>
          <cell r="B4212" t="str">
            <v>TRIZACT P/ POLIMENTO DE VIDRO AZUL 3M</v>
          </cell>
          <cell r="C4212" t="str">
            <v>HC000618997</v>
          </cell>
          <cell r="D4212" t="str">
            <v>3M</v>
          </cell>
          <cell r="E4212">
            <v>20019</v>
          </cell>
          <cell r="F4212" t="str">
            <v>DISCO TRIZACT</v>
          </cell>
          <cell r="G4212" t="str">
            <v>AUTOMOTIVO</v>
          </cell>
        </row>
        <row r="4213">
          <cell r="A4213">
            <v>23655</v>
          </cell>
          <cell r="B4213" t="str">
            <v>TRIZACT P/ POLIMENTO DE VIDRO BRANCO 3M</v>
          </cell>
          <cell r="C4213" t="str">
            <v>HC000619029</v>
          </cell>
          <cell r="D4213" t="str">
            <v>3M</v>
          </cell>
          <cell r="E4213">
            <v>20019</v>
          </cell>
          <cell r="F4213" t="str">
            <v>DISCO TRIZACT</v>
          </cell>
          <cell r="G4213" t="str">
            <v>AUTOMOTIVO</v>
          </cell>
        </row>
        <row r="4214">
          <cell r="A4214">
            <v>23666</v>
          </cell>
          <cell r="B4214" t="str">
            <v>TRIZACT P/ POLIMENTO DE VIDRO LARANJA 3M</v>
          </cell>
          <cell r="C4214" t="str">
            <v>HC000619003</v>
          </cell>
          <cell r="D4214" t="str">
            <v>3M</v>
          </cell>
          <cell r="E4214">
            <v>20019</v>
          </cell>
          <cell r="F4214" t="str">
            <v>DISCO TRIZACT</v>
          </cell>
          <cell r="G4214" t="str">
            <v>AUTOMOTIVO</v>
          </cell>
        </row>
        <row r="4215">
          <cell r="A4215">
            <v>23652</v>
          </cell>
          <cell r="B4215" t="str">
            <v>TRIZACT P/ POLIMENTO DE VIDRO VERMELHO 3M</v>
          </cell>
          <cell r="C4215" t="str">
            <v>HC000619011</v>
          </cell>
          <cell r="D4215" t="str">
            <v>3M</v>
          </cell>
          <cell r="E4215">
            <v>20019</v>
          </cell>
          <cell r="F4215" t="str">
            <v>DISCO TRIZACT</v>
          </cell>
          <cell r="G4215" t="str">
            <v>AUTOMOTIVO</v>
          </cell>
        </row>
        <row r="4216">
          <cell r="A4216">
            <v>23462</v>
          </cell>
          <cell r="B4216" t="str">
            <v>AUTO BRILHO 500ML 3M</v>
          </cell>
          <cell r="C4216" t="str">
            <v>HB004584437</v>
          </cell>
          <cell r="D4216" t="str">
            <v>3M</v>
          </cell>
          <cell r="E4216">
            <v>20018</v>
          </cell>
          <cell r="F4216" t="str">
            <v xml:space="preserve">LÍQUIDOS P/ POLIMENTO </v>
          </cell>
          <cell r="G4216" t="str">
            <v>AUTOMOTIVO</v>
          </cell>
        </row>
        <row r="4217">
          <cell r="A4217">
            <v>9751</v>
          </cell>
          <cell r="B4217" t="str">
            <v>FINESSE-IT 500ML 3M</v>
          </cell>
          <cell r="C4217" t="str">
            <v>HB004584411</v>
          </cell>
          <cell r="D4217" t="str">
            <v>3M</v>
          </cell>
          <cell r="E4217">
            <v>20018</v>
          </cell>
          <cell r="F4217" t="str">
            <v xml:space="preserve">LÍQUIDOS P/ POLIMENTO </v>
          </cell>
          <cell r="G4217" t="str">
            <v>AUTOMOTIVO</v>
          </cell>
        </row>
        <row r="4218">
          <cell r="A4218">
            <v>85611</v>
          </cell>
          <cell r="B4218" t="str">
            <v>HYPER CUT 500ML DIMENSION</v>
          </cell>
          <cell r="C4218" t="str">
            <v>DC0008</v>
          </cell>
          <cell r="D4218" t="str">
            <v>MAXI RUBBER</v>
          </cell>
          <cell r="E4218">
            <v>20018</v>
          </cell>
          <cell r="F4218" t="str">
            <v xml:space="preserve">LÍQUIDOS P/ POLIMENTO </v>
          </cell>
          <cell r="G4218" t="str">
            <v>AUTOMOTIVO</v>
          </cell>
        </row>
        <row r="4219">
          <cell r="A4219">
            <v>85613</v>
          </cell>
          <cell r="B4219" t="str">
            <v>HYPER FINISH 500ML DIMENSION</v>
          </cell>
          <cell r="C4219" t="str">
            <v>DC0013</v>
          </cell>
          <cell r="D4219" t="str">
            <v>MAXI RUBBER</v>
          </cell>
          <cell r="E4219">
            <v>20018</v>
          </cell>
          <cell r="F4219" t="str">
            <v xml:space="preserve">LÍQUIDOS P/ POLIMENTO </v>
          </cell>
          <cell r="G4219" t="str">
            <v>AUTOMOTIVO</v>
          </cell>
        </row>
        <row r="4220">
          <cell r="A4220">
            <v>85612</v>
          </cell>
          <cell r="B4220" t="str">
            <v>HYPER GLOSS 500ML DIMENSION</v>
          </cell>
          <cell r="C4220" t="str">
            <v>DC0012</v>
          </cell>
          <cell r="D4220" t="str">
            <v>MAXI RUBBER</v>
          </cell>
          <cell r="E4220">
            <v>20018</v>
          </cell>
          <cell r="F4220" t="str">
            <v xml:space="preserve">LÍQUIDOS P/ POLIMENTO </v>
          </cell>
          <cell r="G4220" t="str">
            <v>AUTOMOTIVO</v>
          </cell>
        </row>
        <row r="4221">
          <cell r="A4221">
            <v>22258</v>
          </cell>
          <cell r="B4221" t="str">
            <v>LIMPEZA FINAL 500ML (PERFECT IT) 3M</v>
          </cell>
          <cell r="C4221" t="str">
            <v>HB004316525</v>
          </cell>
          <cell r="D4221" t="str">
            <v>3M</v>
          </cell>
          <cell r="E4221">
            <v>20018</v>
          </cell>
          <cell r="F4221" t="str">
            <v xml:space="preserve">LÍQUIDOS P/ POLIMENTO </v>
          </cell>
          <cell r="G4221" t="str">
            <v>AUTOMOTIVO</v>
          </cell>
        </row>
        <row r="4222">
          <cell r="A4222">
            <v>24256</v>
          </cell>
          <cell r="B4222" t="str">
            <v>LIQUIDO DE ACABAMENTO 2EM1 500ML 3M</v>
          </cell>
          <cell r="C4222" t="str">
            <v>HB004674535</v>
          </cell>
          <cell r="D4222" t="str">
            <v>3M</v>
          </cell>
          <cell r="E4222">
            <v>20018</v>
          </cell>
          <cell r="F4222" t="str">
            <v xml:space="preserve">LÍQUIDOS P/ POLIMENTO </v>
          </cell>
          <cell r="G4222" t="str">
            <v>AUTOMOTIVO</v>
          </cell>
        </row>
        <row r="4223">
          <cell r="A4223">
            <v>85509</v>
          </cell>
          <cell r="B4223" t="str">
            <v>LIQUIDO DE CORTE ROTO 3M 34130</v>
          </cell>
          <cell r="C4223" t="str">
            <v>HB004790141</v>
          </cell>
          <cell r="D4223" t="str">
            <v>3M</v>
          </cell>
          <cell r="E4223">
            <v>20018</v>
          </cell>
          <cell r="F4223" t="str">
            <v xml:space="preserve">LÍQUIDOS P/ POLIMENTO </v>
          </cell>
          <cell r="G4223" t="str">
            <v>AUTOMOTIVO</v>
          </cell>
        </row>
        <row r="4224">
          <cell r="A4224">
            <v>85510</v>
          </cell>
          <cell r="B4224" t="str">
            <v>LIQUIDO DE FINALIZADOR ROTO 3M 34133</v>
          </cell>
          <cell r="C4224" t="str">
            <v>HB004790166</v>
          </cell>
          <cell r="D4224" t="str">
            <v>3M</v>
          </cell>
          <cell r="E4224">
            <v>20018</v>
          </cell>
          <cell r="F4224" t="str">
            <v xml:space="preserve">LÍQUIDOS P/ POLIMENTO </v>
          </cell>
          <cell r="G4224" t="str">
            <v>AUTOMOTIVO</v>
          </cell>
        </row>
        <row r="4225">
          <cell r="A4225">
            <v>23458</v>
          </cell>
          <cell r="B4225" t="str">
            <v>LIQUIDO LUSTRADOR 500ML 3M</v>
          </cell>
          <cell r="C4225" t="str">
            <v>HB004584429</v>
          </cell>
          <cell r="D4225" t="str">
            <v>3M</v>
          </cell>
          <cell r="E4225">
            <v>20018</v>
          </cell>
          <cell r="F4225" t="str">
            <v xml:space="preserve">LÍQUIDOS P/ POLIMENTO </v>
          </cell>
          <cell r="G4225" t="str">
            <v>AUTOMOTIVO</v>
          </cell>
        </row>
        <row r="4226">
          <cell r="A4226">
            <v>23461</v>
          </cell>
          <cell r="B4226" t="str">
            <v>LUSTRADOR FINALIZADOR 500ML 3M</v>
          </cell>
          <cell r="C4226" t="str">
            <v>HB004584379</v>
          </cell>
          <cell r="D4226" t="str">
            <v>3M</v>
          </cell>
          <cell r="E4226">
            <v>20018</v>
          </cell>
          <cell r="F4226" t="str">
            <v xml:space="preserve">LÍQUIDOS P/ POLIMENTO </v>
          </cell>
          <cell r="G4226" t="str">
            <v>AUTOMOTIVO</v>
          </cell>
        </row>
        <row r="4227">
          <cell r="A4227">
            <v>23120</v>
          </cell>
          <cell r="B4227" t="str">
            <v>M10032 POLIDOR ULTRA RAPIDO MEGUIARS</v>
          </cell>
          <cell r="C4227">
            <v>50200045</v>
          </cell>
          <cell r="D4227" t="str">
            <v>MEGUIARS</v>
          </cell>
          <cell r="E4227">
            <v>20018</v>
          </cell>
          <cell r="F4227" t="str">
            <v xml:space="preserve">LÍQUIDOS P/ POLIMENTO </v>
          </cell>
          <cell r="G4227" t="str">
            <v>AUTOMOTIVO</v>
          </cell>
        </row>
        <row r="4228">
          <cell r="A4228">
            <v>23411</v>
          </cell>
          <cell r="B4228" t="str">
            <v>MICROPOLIDOR 500ML VONIXX</v>
          </cell>
          <cell r="C4228" t="str">
            <v>PA09025</v>
          </cell>
          <cell r="D4228" t="str">
            <v>VONIXX</v>
          </cell>
          <cell r="E4228">
            <v>20018</v>
          </cell>
          <cell r="F4228" t="str">
            <v xml:space="preserve">LÍQUIDOS P/ POLIMENTO </v>
          </cell>
          <cell r="G4228" t="str">
            <v>AUTOMOTIVO</v>
          </cell>
        </row>
        <row r="4229">
          <cell r="A4229">
            <v>23731</v>
          </cell>
          <cell r="B4229" t="str">
            <v>POLIDOR DE METAIS 100GRS PEROLA</v>
          </cell>
          <cell r="C4229">
            <v>200709</v>
          </cell>
          <cell r="D4229" t="str">
            <v>PEROLA</v>
          </cell>
          <cell r="E4229">
            <v>20018</v>
          </cell>
          <cell r="F4229" t="str">
            <v xml:space="preserve">LÍQUIDOS P/ POLIMENTO </v>
          </cell>
          <cell r="G4229" t="str">
            <v>AUTOMOTIVO</v>
          </cell>
        </row>
        <row r="4230">
          <cell r="A4230">
            <v>24317</v>
          </cell>
          <cell r="B4230" t="str">
            <v>POLIDOR LIQUIDO 500ML MAXXI RUBBER</v>
          </cell>
          <cell r="C4230" t="str">
            <v>6MH041</v>
          </cell>
          <cell r="D4230" t="str">
            <v>MAXI RUBBER</v>
          </cell>
          <cell r="E4230">
            <v>20018</v>
          </cell>
          <cell r="F4230" t="str">
            <v xml:space="preserve">LÍQUIDOS P/ POLIMENTO </v>
          </cell>
          <cell r="G4230" t="str">
            <v>AUTOMOTIVO</v>
          </cell>
        </row>
        <row r="4231">
          <cell r="A4231">
            <v>84738</v>
          </cell>
          <cell r="B4231" t="str">
            <v>POLIDOR LUSTRO ETAPA 3 500ML NORTON</v>
          </cell>
          <cell r="C4231">
            <v>78072705103</v>
          </cell>
          <cell r="D4231" t="str">
            <v>NORTON</v>
          </cell>
          <cell r="E4231">
            <v>20018</v>
          </cell>
          <cell r="F4231" t="str">
            <v xml:space="preserve">LÍQUIDOS P/ POLIMENTO </v>
          </cell>
          <cell r="G4231" t="str">
            <v>AUTOMOTIVO</v>
          </cell>
        </row>
        <row r="4232">
          <cell r="A4232">
            <v>83892</v>
          </cell>
          <cell r="B4232" t="str">
            <v>POLIDOR SUPER BRILHO ETAPA 4 500ML NORTON</v>
          </cell>
          <cell r="C4232">
            <v>78072705105</v>
          </cell>
          <cell r="D4232" t="str">
            <v>NORTON</v>
          </cell>
          <cell r="E4232">
            <v>20018</v>
          </cell>
          <cell r="F4232" t="str">
            <v xml:space="preserve">LÍQUIDOS P/ POLIMENTO </v>
          </cell>
          <cell r="G4232" t="str">
            <v>AUTOMOTIVO</v>
          </cell>
        </row>
        <row r="4233">
          <cell r="A4233">
            <v>84737</v>
          </cell>
          <cell r="B4233" t="str">
            <v>POLIDOR ULTRA STEP 2 LIQUID ICE 500ML NORTON</v>
          </cell>
          <cell r="C4233">
            <v>78072708895</v>
          </cell>
          <cell r="D4233" t="str">
            <v>NORTON</v>
          </cell>
          <cell r="E4233">
            <v>20018</v>
          </cell>
          <cell r="F4233" t="str">
            <v xml:space="preserve">LÍQUIDOS P/ POLIMENTO </v>
          </cell>
          <cell r="G4233" t="str">
            <v>AUTOMOTIVO</v>
          </cell>
        </row>
        <row r="4234">
          <cell r="A4234">
            <v>84739</v>
          </cell>
          <cell r="B4234" t="str">
            <v>POLIDOR WAX CERA 500ML NORTON</v>
          </cell>
          <cell r="C4234">
            <v>78072705106</v>
          </cell>
          <cell r="D4234" t="str">
            <v>NORTON</v>
          </cell>
          <cell r="E4234">
            <v>20018</v>
          </cell>
          <cell r="F4234" t="str">
            <v xml:space="preserve">LÍQUIDOS P/ POLIMENTO </v>
          </cell>
          <cell r="G4234" t="str">
            <v>AUTOMOTIVO</v>
          </cell>
        </row>
        <row r="4235">
          <cell r="A4235">
            <v>85568</v>
          </cell>
          <cell r="B4235" t="str">
            <v>REFINO AUTOAMERICA  2000 - 500ML</v>
          </cell>
          <cell r="C4235">
            <v>304035084</v>
          </cell>
          <cell r="D4235" t="str">
            <v>AUTO AMERICA</v>
          </cell>
          <cell r="E4235">
            <v>20018</v>
          </cell>
          <cell r="F4235" t="str">
            <v xml:space="preserve">LÍQUIDOS P/ POLIMENTO </v>
          </cell>
          <cell r="G4235" t="str">
            <v>AUTOMOTIVO</v>
          </cell>
        </row>
        <row r="4236">
          <cell r="A4236">
            <v>84740</v>
          </cell>
          <cell r="B4236" t="str">
            <v>REVELADOR DE HOLOGRAMA 500ML NORTON</v>
          </cell>
          <cell r="C4236">
            <v>78072721948</v>
          </cell>
          <cell r="D4236" t="str">
            <v>NORTON</v>
          </cell>
          <cell r="E4236">
            <v>20018</v>
          </cell>
          <cell r="F4236" t="str">
            <v xml:space="preserve">LÍQUIDOS P/ POLIMENTO </v>
          </cell>
          <cell r="G4236" t="str">
            <v>AUTOMOTIVO</v>
          </cell>
        </row>
        <row r="4237">
          <cell r="A4237">
            <v>84845</v>
          </cell>
          <cell r="B4237" t="str">
            <v>TCHAU TCHAU INSETO CHEIRO 300ML MAXI RUBBER</v>
          </cell>
          <cell r="C4237" t="str">
            <v>5MP002</v>
          </cell>
          <cell r="D4237" t="str">
            <v>MAXI RUBBER</v>
          </cell>
          <cell r="E4237">
            <v>20018</v>
          </cell>
          <cell r="F4237" t="str">
            <v xml:space="preserve">LÍQUIDOS P/ POLIMENTO </v>
          </cell>
          <cell r="G4237" t="str">
            <v>AUTOMOTIVO</v>
          </cell>
        </row>
        <row r="4238">
          <cell r="A4238">
            <v>23471</v>
          </cell>
          <cell r="B4238" t="str">
            <v>ULTRA PERFORMANCE POLIDOR 500ML 3M</v>
          </cell>
          <cell r="C4238" t="str">
            <v>HB004355887</v>
          </cell>
          <cell r="D4238" t="str">
            <v>3M</v>
          </cell>
          <cell r="E4238">
            <v>20018</v>
          </cell>
          <cell r="F4238" t="str">
            <v xml:space="preserve">LÍQUIDOS P/ POLIMENTO </v>
          </cell>
          <cell r="G4238" t="str">
            <v>AUTOMOTIVO</v>
          </cell>
        </row>
        <row r="4239">
          <cell r="A4239">
            <v>23468</v>
          </cell>
          <cell r="B4239" t="str">
            <v>ULTRAFINA FINALIZADOR 500ML 3M</v>
          </cell>
          <cell r="C4239" t="str">
            <v>HB004584403</v>
          </cell>
          <cell r="D4239" t="str">
            <v>3M</v>
          </cell>
          <cell r="E4239">
            <v>20018</v>
          </cell>
          <cell r="F4239" t="str">
            <v xml:space="preserve">LÍQUIDOS P/ POLIMENTO </v>
          </cell>
          <cell r="G4239" t="str">
            <v>AUTOMOTIVO</v>
          </cell>
        </row>
        <row r="4240">
          <cell r="A4240">
            <v>10088</v>
          </cell>
          <cell r="B4240" t="str">
            <v>DART P/ MASCARAMENTO 3M-29,68-ST</v>
          </cell>
          <cell r="C4240" t="str">
            <v>H0001519950</v>
          </cell>
          <cell r="D4240" t="str">
            <v>3M</v>
          </cell>
          <cell r="E4240">
            <v>20017</v>
          </cell>
          <cell r="F4240" t="str">
            <v xml:space="preserve">MASCARAMENTO </v>
          </cell>
          <cell r="G4240" t="str">
            <v>AUTOMOTIVO</v>
          </cell>
        </row>
        <row r="4241">
          <cell r="A4241">
            <v>21219</v>
          </cell>
          <cell r="B4241" t="str">
            <v>DART TRAP CLEAR 45X30,5 PN36856 3M-29,69-ST</v>
          </cell>
          <cell r="C4241" t="str">
            <v>HB004164586</v>
          </cell>
          <cell r="D4241" t="str">
            <v>3M</v>
          </cell>
          <cell r="E4241">
            <v>20017</v>
          </cell>
          <cell r="F4241" t="str">
            <v xml:space="preserve">MASCARAMENTO </v>
          </cell>
          <cell r="G4241" t="str">
            <v>AUTOMOTIVO</v>
          </cell>
        </row>
        <row r="4242">
          <cell r="A4242">
            <v>20229</v>
          </cell>
          <cell r="B4242" t="str">
            <v>FILME PLASTICO 4MX80M PN06751 3M-27,02-ST</v>
          </cell>
          <cell r="C4242" t="str">
            <v>HB00664074</v>
          </cell>
          <cell r="D4242" t="str">
            <v>3M</v>
          </cell>
          <cell r="E4242">
            <v>20017</v>
          </cell>
          <cell r="F4242" t="str">
            <v xml:space="preserve">MASCARAMENTO </v>
          </cell>
          <cell r="G4242" t="str">
            <v>AUTOMOTIVO</v>
          </cell>
        </row>
        <row r="4243">
          <cell r="A4243">
            <v>23433</v>
          </cell>
          <cell r="B4243" t="str">
            <v>FILME PLÁSTICO AUTO 4MX80M 3M-25,60-ST</v>
          </cell>
          <cell r="C4243" t="str">
            <v>HB004569339</v>
          </cell>
          <cell r="D4243" t="str">
            <v>3M</v>
          </cell>
          <cell r="E4243">
            <v>20017</v>
          </cell>
          <cell r="F4243" t="str">
            <v xml:space="preserve">MASCARAMENTO </v>
          </cell>
          <cell r="G4243" t="str">
            <v>AUTOMOTIVO</v>
          </cell>
        </row>
        <row r="4244">
          <cell r="A4244">
            <v>84419</v>
          </cell>
          <cell r="B4244" t="str">
            <v>FILME STRETCH 50X0,025</v>
          </cell>
          <cell r="C4244" t="str">
            <v>100096/1</v>
          </cell>
          <cell r="D4244" t="str">
            <v>BRASPLASTICOS</v>
          </cell>
          <cell r="E4244">
            <v>20017</v>
          </cell>
          <cell r="F4244" t="str">
            <v xml:space="preserve">MASCARAMENTO </v>
          </cell>
          <cell r="G4244" t="str">
            <v>AUTOMOTIVO</v>
          </cell>
        </row>
        <row r="4245">
          <cell r="A4245">
            <v>10342</v>
          </cell>
          <cell r="B4245" t="str">
            <v>LIQUIDO DE MASCARAMENTO 20L LAZZURIL</v>
          </cell>
          <cell r="C4245" t="str">
            <v>05.00.00085-127</v>
          </cell>
          <cell r="D4245" t="str">
            <v>SHERWIN WILLIAMS</v>
          </cell>
          <cell r="E4245">
            <v>20017</v>
          </cell>
          <cell r="F4245" t="str">
            <v xml:space="preserve">MASCARAMENTO </v>
          </cell>
          <cell r="G4245" t="str">
            <v>AUTOMOTIVO</v>
          </cell>
        </row>
        <row r="4246">
          <cell r="A4246">
            <v>21850</v>
          </cell>
          <cell r="B4246" t="str">
            <v>LIQUIDO DE MASCARAMENTO 20LTS WANDA-20,56-ST</v>
          </cell>
          <cell r="C4246">
            <v>529473</v>
          </cell>
          <cell r="D4246" t="str">
            <v>WANDA</v>
          </cell>
          <cell r="E4246">
            <v>20017</v>
          </cell>
          <cell r="F4246" t="str">
            <v xml:space="preserve">MASCARAMENTO </v>
          </cell>
          <cell r="G4246" t="str">
            <v>AUTOMOTIVO</v>
          </cell>
        </row>
        <row r="4247">
          <cell r="A4247">
            <v>21721</v>
          </cell>
          <cell r="B4247" t="str">
            <v>LIQUIDO DE MASCARAMENTO 5L WANDA-20,56-ST</v>
          </cell>
          <cell r="C4247">
            <v>529474</v>
          </cell>
          <cell r="D4247" t="str">
            <v>WANDA</v>
          </cell>
          <cell r="E4247">
            <v>20017</v>
          </cell>
          <cell r="F4247" t="str">
            <v xml:space="preserve">MASCARAMENTO </v>
          </cell>
          <cell r="G4247" t="str">
            <v>AUTOMOTIVO</v>
          </cell>
        </row>
        <row r="4248">
          <cell r="A4248">
            <v>76</v>
          </cell>
          <cell r="B4248" t="str">
            <v>LIQUIDO MASCARAMENTO 20L SKY</v>
          </cell>
          <cell r="C4248">
            <v>160000350135</v>
          </cell>
          <cell r="D4248" t="str">
            <v>SKY</v>
          </cell>
          <cell r="E4248">
            <v>20017</v>
          </cell>
          <cell r="F4248" t="str">
            <v xml:space="preserve">MASCARAMENTO </v>
          </cell>
          <cell r="G4248" t="str">
            <v>AUTOMOTIVO</v>
          </cell>
        </row>
        <row r="4249">
          <cell r="A4249">
            <v>22529</v>
          </cell>
          <cell r="B4249" t="str">
            <v>PAPEL KRAFT 45 PAPEL MADRUGA</v>
          </cell>
          <cell r="C4249" t="str">
            <v>BT40006</v>
          </cell>
          <cell r="D4249" t="str">
            <v>MADRUGA</v>
          </cell>
          <cell r="E4249">
            <v>20016</v>
          </cell>
          <cell r="F4249" t="str">
            <v>PAPEL DE MASCARAMENTO</v>
          </cell>
          <cell r="G4249" t="str">
            <v>AUTOMOTIVO</v>
          </cell>
        </row>
        <row r="4250">
          <cell r="A4250">
            <v>24239</v>
          </cell>
          <cell r="B4250" t="str">
            <v>PAPEL KRAFT 80 PAPEL MADRUGA</v>
          </cell>
          <cell r="C4250" t="str">
            <v>T80001</v>
          </cell>
          <cell r="D4250" t="str">
            <v>MADRUGA</v>
          </cell>
          <cell r="E4250">
            <v>20016</v>
          </cell>
          <cell r="F4250" t="str">
            <v>PAPEL DE MASCARAMENTO</v>
          </cell>
          <cell r="G4250" t="str">
            <v>AUTOMOTIVO</v>
          </cell>
        </row>
        <row r="4251">
          <cell r="A4251">
            <v>23467</v>
          </cell>
          <cell r="B4251" t="str">
            <v>PAPEL KRAFT 90 MARROM MADRUGA</v>
          </cell>
          <cell r="C4251" t="str">
            <v>CP90001</v>
          </cell>
          <cell r="D4251" t="str">
            <v>MADRUGA</v>
          </cell>
          <cell r="E4251">
            <v>20016</v>
          </cell>
          <cell r="F4251" t="str">
            <v>PAPEL DE MASCARAMENTO</v>
          </cell>
          <cell r="G4251" t="str">
            <v>AUTOMOTIVO</v>
          </cell>
        </row>
        <row r="4252">
          <cell r="A4252">
            <v>22324</v>
          </cell>
          <cell r="B4252" t="str">
            <v>PAPEL KRAFT 90 PAPEL MADRUGA</v>
          </cell>
          <cell r="C4252" t="str">
            <v>T90004</v>
          </cell>
          <cell r="D4252" t="str">
            <v>MADRUGA</v>
          </cell>
          <cell r="E4252">
            <v>20016</v>
          </cell>
          <cell r="F4252" t="str">
            <v>PAPEL DE MASCARAMENTO</v>
          </cell>
          <cell r="G4252" t="str">
            <v>AUTOMOTIVO</v>
          </cell>
        </row>
        <row r="4253">
          <cell r="A4253">
            <v>22669</v>
          </cell>
          <cell r="B4253" t="str">
            <v>PAPEL KRAFT 90 PREMIUM PAPEL MADRUGA</v>
          </cell>
          <cell r="C4253" t="str">
            <v>P90003</v>
          </cell>
          <cell r="D4253" t="str">
            <v>MADRUGA</v>
          </cell>
          <cell r="E4253">
            <v>20016</v>
          </cell>
          <cell r="F4253" t="str">
            <v>PAPEL DE MASCARAMENTO</v>
          </cell>
          <cell r="G4253" t="str">
            <v>AUTOMOTIVO</v>
          </cell>
        </row>
        <row r="4254">
          <cell r="A4254">
            <v>84445</v>
          </cell>
          <cell r="B4254" t="str">
            <v>PAPEL KRAFT 900 GRANDE ALEC</v>
          </cell>
          <cell r="C4254" t="str">
            <v>RL-001</v>
          </cell>
          <cell r="D4254" t="str">
            <v>ALEC</v>
          </cell>
          <cell r="E4254">
            <v>20016</v>
          </cell>
          <cell r="F4254" t="str">
            <v>PAPEL DE MASCARAMENTO</v>
          </cell>
          <cell r="G4254" t="str">
            <v>AUTOMOTIVO</v>
          </cell>
        </row>
        <row r="4255">
          <cell r="A4255">
            <v>23946</v>
          </cell>
          <cell r="B4255" t="str">
            <v>PAPEL KRAFT VERNIZ TKV 90 MADRUGA</v>
          </cell>
          <cell r="C4255" t="str">
            <v>T930001</v>
          </cell>
          <cell r="D4255" t="str">
            <v>MADRUGA</v>
          </cell>
          <cell r="E4255">
            <v>20016</v>
          </cell>
          <cell r="F4255" t="str">
            <v>PAPEL DE MASCARAMENTO</v>
          </cell>
          <cell r="G4255" t="str">
            <v>AUTOMOTIVO</v>
          </cell>
        </row>
        <row r="4256">
          <cell r="A4256">
            <v>22179</v>
          </cell>
          <cell r="B4256" t="str">
            <v>PAPEL MASCARAUTO SEMI KRAFT TSK45</v>
          </cell>
          <cell r="C4256">
            <v>4</v>
          </cell>
          <cell r="D4256" t="str">
            <v>MADRUGA</v>
          </cell>
          <cell r="E4256">
            <v>20016</v>
          </cell>
          <cell r="F4256" t="str">
            <v>PAPEL DE MASCARAMENTO</v>
          </cell>
          <cell r="G4256" t="str">
            <v>AUTOMOTIVO</v>
          </cell>
        </row>
        <row r="4257">
          <cell r="A4257">
            <v>22180</v>
          </cell>
          <cell r="B4257" t="str">
            <v>PAPEL MASCARAUTO TSK90</v>
          </cell>
          <cell r="C4257" t="str">
            <v>T9-0002</v>
          </cell>
          <cell r="D4257" t="str">
            <v>MADRUGA</v>
          </cell>
          <cell r="E4257">
            <v>20016</v>
          </cell>
          <cell r="F4257" t="str">
            <v>PAPEL DE MASCARAMENTO</v>
          </cell>
          <cell r="G4257" t="str">
            <v>AUTOMOTIVO</v>
          </cell>
        </row>
        <row r="4258">
          <cell r="A4258">
            <v>22597</v>
          </cell>
          <cell r="B4258" t="str">
            <v>PAPEL SEMI KRAFT 90 PAPEL MADRUGA</v>
          </cell>
          <cell r="C4258" t="str">
            <v>T9-0003</v>
          </cell>
          <cell r="D4258" t="str">
            <v>MADRUGA</v>
          </cell>
          <cell r="E4258">
            <v>20016</v>
          </cell>
          <cell r="F4258" t="str">
            <v>PAPEL DE MASCARAMENTO</v>
          </cell>
          <cell r="G4258" t="str">
            <v>AUTOMOTIVO</v>
          </cell>
        </row>
        <row r="4259">
          <cell r="A4259">
            <v>9742</v>
          </cell>
          <cell r="B4259" t="str">
            <v>PAPEL SEMI KRAFT 90 SEM TUBETE PAPEL MADRUGA</v>
          </cell>
          <cell r="C4259" t="str">
            <v>T9-0026</v>
          </cell>
          <cell r="D4259" t="str">
            <v>MADRUGA</v>
          </cell>
          <cell r="E4259">
            <v>20016</v>
          </cell>
          <cell r="F4259" t="str">
            <v>PAPEL DE MASCARAMENTO</v>
          </cell>
          <cell r="G4259" t="str">
            <v>AUTOMOTIVO</v>
          </cell>
        </row>
        <row r="4260">
          <cell r="A4260">
            <v>84454</v>
          </cell>
          <cell r="B4260" t="str">
            <v>PAPEL SEMI KRAFT 900 GRANDE ALEC</v>
          </cell>
          <cell r="C4260" t="str">
            <v>UN-001</v>
          </cell>
          <cell r="D4260" t="str">
            <v>ALEC</v>
          </cell>
          <cell r="E4260">
            <v>20016</v>
          </cell>
          <cell r="F4260" t="str">
            <v>PAPEL DE MASCARAMENTO</v>
          </cell>
          <cell r="G4260" t="str">
            <v>AUTOMOTIVO</v>
          </cell>
        </row>
        <row r="4261">
          <cell r="A4261">
            <v>23140</v>
          </cell>
          <cell r="B4261" t="str">
            <v>7405S CHROMA NON-STOP ACTIVADOR 0,946L AXALTA</v>
          </cell>
          <cell r="C4261" t="str">
            <v>K74054097/13</v>
          </cell>
          <cell r="D4261" t="str">
            <v>AXALTA</v>
          </cell>
          <cell r="E4261">
            <v>20015</v>
          </cell>
          <cell r="F4261" t="str">
            <v>CATALISADORES INDIVIDUAS</v>
          </cell>
          <cell r="G4261" t="str">
            <v>AUTOMOTIVO</v>
          </cell>
        </row>
        <row r="4262">
          <cell r="A4262">
            <v>78</v>
          </cell>
          <cell r="B4262" t="str">
            <v>ACELERADOR DE SECAGEM 0,450ML SKY-21,94-ST</v>
          </cell>
          <cell r="C4262">
            <v>160000390129</v>
          </cell>
          <cell r="D4262" t="str">
            <v>SKY</v>
          </cell>
          <cell r="E4262">
            <v>20015</v>
          </cell>
          <cell r="F4262" t="str">
            <v>CATALISADORES INDIVIDUAS</v>
          </cell>
          <cell r="G4262" t="str">
            <v>AUTOMOTIVO</v>
          </cell>
        </row>
        <row r="4263">
          <cell r="A4263">
            <v>21378</v>
          </cell>
          <cell r="B4263" t="str">
            <v>ACELERADOR SECAGEM 450ML LAZZURIL-21,94-ST</v>
          </cell>
          <cell r="C4263" t="str">
            <v>05.60.00068-175</v>
          </cell>
          <cell r="D4263" t="str">
            <v>SHERWIN WILLIAMS</v>
          </cell>
          <cell r="E4263">
            <v>20015</v>
          </cell>
          <cell r="F4263" t="str">
            <v>CATALISADORES INDIVIDUAS</v>
          </cell>
          <cell r="G4263" t="str">
            <v>AUTOMOTIVO</v>
          </cell>
        </row>
        <row r="4264">
          <cell r="A4264">
            <v>75</v>
          </cell>
          <cell r="B4264" t="str">
            <v>ADITIVO ANTICRATERA 225ML SKY</v>
          </cell>
          <cell r="C4264">
            <v>160000340118</v>
          </cell>
          <cell r="D4264" t="str">
            <v>SKY</v>
          </cell>
          <cell r="E4264">
            <v>20015</v>
          </cell>
          <cell r="F4264" t="str">
            <v>CATALISADORES INDIVIDUAS</v>
          </cell>
          <cell r="G4264" t="str">
            <v>AUTOMOTIVO</v>
          </cell>
        </row>
        <row r="4265">
          <cell r="A4265">
            <v>20052</v>
          </cell>
          <cell r="B4265" t="str">
            <v>ADITIVO ANTICRATERA 450ML LAZZURIL-21,46-ST</v>
          </cell>
          <cell r="C4265" t="str">
            <v>05.60.08780-175</v>
          </cell>
          <cell r="D4265" t="str">
            <v>SHERWIN WILLIAMS</v>
          </cell>
          <cell r="E4265">
            <v>20015</v>
          </cell>
          <cell r="F4265" t="str">
            <v>CATALISADORES INDIVIDUAS</v>
          </cell>
          <cell r="G4265" t="str">
            <v>AUTOMOTIVO</v>
          </cell>
        </row>
        <row r="4266">
          <cell r="A4266">
            <v>23656</v>
          </cell>
          <cell r="B4266" t="str">
            <v>ADITIVO TEXTURIZADOR LAZZURIL-21,94-ST</v>
          </cell>
          <cell r="C4266" t="str">
            <v>05.00.08030-224</v>
          </cell>
          <cell r="D4266" t="str">
            <v>SHERWIN WILLIAMS</v>
          </cell>
          <cell r="E4266">
            <v>20015</v>
          </cell>
          <cell r="F4266" t="str">
            <v>CATALISADORES INDIVIDUAS</v>
          </cell>
          <cell r="G4266" t="str">
            <v>AUTOMOTIVO</v>
          </cell>
        </row>
        <row r="4267">
          <cell r="A4267">
            <v>20892</v>
          </cell>
          <cell r="B4267" t="str">
            <v>AUTOWAVE ACTIVADOR WB SIKKENS 1L</v>
          </cell>
          <cell r="C4267">
            <v>537345</v>
          </cell>
          <cell r="D4267" t="str">
            <v>SIKKENS</v>
          </cell>
          <cell r="E4267">
            <v>20015</v>
          </cell>
          <cell r="F4267" t="str">
            <v>CATALISADORES INDIVIDUAS</v>
          </cell>
          <cell r="G4267" t="str">
            <v>AUTOMOTIVO</v>
          </cell>
        </row>
        <row r="4268">
          <cell r="A4268">
            <v>83837</v>
          </cell>
          <cell r="B4268" t="str">
            <v>CATALISADOR 10 GRAMAS ROYAL</v>
          </cell>
          <cell r="C4268" t="str">
            <v>CATALISADOR-CX</v>
          </cell>
          <cell r="D4268" t="str">
            <v>ROYAL</v>
          </cell>
          <cell r="E4268">
            <v>20015</v>
          </cell>
          <cell r="F4268" t="str">
            <v>CATALISADORES INDIVIDUAS</v>
          </cell>
          <cell r="G4268" t="str">
            <v>AUTOMOTIVO</v>
          </cell>
        </row>
        <row r="4269">
          <cell r="A4269">
            <v>21940</v>
          </cell>
          <cell r="B4269" t="str">
            <v>CATALISADOR C311 150ML ROBERLO</v>
          </cell>
          <cell r="C4269">
            <v>65178</v>
          </cell>
          <cell r="D4269" t="str">
            <v>ROBERLO</v>
          </cell>
          <cell r="E4269">
            <v>20015</v>
          </cell>
          <cell r="F4269" t="str">
            <v>CATALISADORES INDIVIDUAS</v>
          </cell>
          <cell r="G4269" t="str">
            <v>AUTOMOTIVO</v>
          </cell>
        </row>
        <row r="4270">
          <cell r="A4270">
            <v>23942</v>
          </cell>
          <cell r="B4270" t="str">
            <v>CATALISADOR G5006 835ML ROBERLO</v>
          </cell>
          <cell r="C4270">
            <v>66406</v>
          </cell>
          <cell r="D4270" t="str">
            <v>ROBERLO</v>
          </cell>
          <cell r="E4270">
            <v>20015</v>
          </cell>
          <cell r="F4270" t="str">
            <v>CATALISADORES INDIVIDUAS</v>
          </cell>
          <cell r="G4270" t="str">
            <v>AUTOMOTIVO</v>
          </cell>
        </row>
        <row r="4271">
          <cell r="A4271">
            <v>219</v>
          </cell>
          <cell r="B4271" t="str">
            <v>CATALISADOR HT5522 WEQ</v>
          </cell>
          <cell r="C4271">
            <v>215487</v>
          </cell>
          <cell r="D4271" t="str">
            <v>.</v>
          </cell>
          <cell r="E4271">
            <v>20015</v>
          </cell>
          <cell r="F4271" t="str">
            <v>CATALISADORES INDIVIDUAS</v>
          </cell>
          <cell r="G4271" t="str">
            <v>AUTOMOTIVO</v>
          </cell>
        </row>
        <row r="4272">
          <cell r="A4272">
            <v>85417</v>
          </cell>
          <cell r="B4272" t="str">
            <v>CATALISADOR MEK 12GR IBERÊ</v>
          </cell>
          <cell r="C4272" t="str">
            <v>IB900</v>
          </cell>
          <cell r="D4272" t="str">
            <v>IBERÊ</v>
          </cell>
          <cell r="E4272">
            <v>20015</v>
          </cell>
          <cell r="F4272" t="str">
            <v>CATALISADORES INDIVIDUAS</v>
          </cell>
          <cell r="G4272" t="str">
            <v>AUTOMOTIVO</v>
          </cell>
        </row>
        <row r="4273">
          <cell r="A4273">
            <v>20165</v>
          </cell>
          <cell r="B4273" t="str">
            <v>CATALISADOR P/ COLA PLASTICA UNIVERSAL BIS. 9G ANJO</v>
          </cell>
          <cell r="C4273" t="str">
            <v>019077-02</v>
          </cell>
          <cell r="D4273" t="str">
            <v>ANJO</v>
          </cell>
          <cell r="E4273">
            <v>20015</v>
          </cell>
          <cell r="F4273" t="str">
            <v>CATALISADORES INDIVIDUAS</v>
          </cell>
          <cell r="G4273" t="str">
            <v>AUTOMOTIVO</v>
          </cell>
        </row>
        <row r="4274">
          <cell r="A4274">
            <v>20116</v>
          </cell>
          <cell r="B4274" t="str">
            <v>CATALISADOR P/ KPO 60GR MAXI RUBBER</v>
          </cell>
          <cell r="C4274" t="str">
            <v>9MB06</v>
          </cell>
          <cell r="D4274" t="str">
            <v>MAXI RUBBER</v>
          </cell>
          <cell r="E4274">
            <v>20015</v>
          </cell>
          <cell r="F4274" t="str">
            <v>CATALISADORES INDIVIDUAS</v>
          </cell>
          <cell r="G4274" t="str">
            <v>AUTOMOTIVO</v>
          </cell>
        </row>
        <row r="4275">
          <cell r="A4275">
            <v>240</v>
          </cell>
          <cell r="B4275" t="str">
            <v>CATALISADOR P/ PU E VERNIZ CARBON HS CT0117 0,834 ML</v>
          </cell>
          <cell r="C4275">
            <v>625498</v>
          </cell>
          <cell r="D4275" t="str">
            <v>ANJO</v>
          </cell>
          <cell r="E4275">
            <v>20015</v>
          </cell>
          <cell r="F4275" t="str">
            <v>CATALISADORES INDIVIDUAS</v>
          </cell>
          <cell r="G4275" t="str">
            <v>AUTOMOTIVO</v>
          </cell>
        </row>
        <row r="4276">
          <cell r="A4276">
            <v>185</v>
          </cell>
          <cell r="B4276" t="str">
            <v>CATALISADOR P/ PU E VERNIZ CARBON HS CT0117 0,834ML ANJO</v>
          </cell>
          <cell r="C4276" t="str">
            <v>035436-21</v>
          </cell>
          <cell r="D4276" t="str">
            <v>ANJO</v>
          </cell>
          <cell r="E4276">
            <v>20015</v>
          </cell>
          <cell r="F4276" t="str">
            <v>CATALISADORES INDIVIDUAS</v>
          </cell>
          <cell r="G4276" t="str">
            <v>AUTOMOTIVO</v>
          </cell>
        </row>
        <row r="4277">
          <cell r="A4277">
            <v>9811</v>
          </cell>
          <cell r="B4277" t="str">
            <v>CATALISADOR P/ PU E VERNIZ HS CT0117 450ML ANJO</v>
          </cell>
          <cell r="C4277" t="str">
            <v>035436-18</v>
          </cell>
          <cell r="D4277" t="str">
            <v>ANJO</v>
          </cell>
          <cell r="E4277">
            <v>20015</v>
          </cell>
          <cell r="F4277" t="str">
            <v>CATALISADORES INDIVIDUAS</v>
          </cell>
          <cell r="G4277" t="str">
            <v>AUTOMOTIVO</v>
          </cell>
        </row>
        <row r="4278">
          <cell r="A4278">
            <v>20250</v>
          </cell>
          <cell r="B4278" t="str">
            <v>CATALISADOR P/ SINTETICO 150ML MAXI RUBBER</v>
          </cell>
          <cell r="C4278" t="str">
            <v>9MP001</v>
          </cell>
          <cell r="D4278" t="str">
            <v>MAXI RUBBER</v>
          </cell>
          <cell r="E4278">
            <v>20015</v>
          </cell>
          <cell r="F4278" t="str">
            <v>CATALISADORES INDIVIDUAS</v>
          </cell>
          <cell r="G4278" t="str">
            <v>AUTOMOTIVO</v>
          </cell>
        </row>
        <row r="4279">
          <cell r="A4279">
            <v>203</v>
          </cell>
          <cell r="B4279" t="str">
            <v>CATALISADOR P/ VERNIZ PU CARBON MS CT0120 0,150ML ANJO</v>
          </cell>
          <cell r="C4279" t="str">
            <v>035437-12</v>
          </cell>
          <cell r="D4279" t="str">
            <v>ANJO</v>
          </cell>
          <cell r="E4279">
            <v>20015</v>
          </cell>
          <cell r="F4279" t="str">
            <v>CATALISADORES INDIVIDUAS</v>
          </cell>
          <cell r="G4279" t="str">
            <v>AUTOMOTIVO</v>
          </cell>
        </row>
        <row r="4280">
          <cell r="A4280">
            <v>20093</v>
          </cell>
          <cell r="B4280" t="str">
            <v>CATALISADOR P/M. PLASTICA 1KG ANJO</v>
          </cell>
          <cell r="C4280" t="str">
            <v>001143-02</v>
          </cell>
          <cell r="D4280" t="str">
            <v>ANJO</v>
          </cell>
          <cell r="E4280">
            <v>20015</v>
          </cell>
          <cell r="F4280" t="str">
            <v>CATALISADORES INDIVIDUAS</v>
          </cell>
          <cell r="G4280" t="str">
            <v>AUTOMOTIVO</v>
          </cell>
        </row>
        <row r="4281">
          <cell r="A4281">
            <v>85581</v>
          </cell>
          <cell r="B4281" t="str">
            <v>CATALISADOR PASTOSO 15G 12UN</v>
          </cell>
          <cell r="C4281" t="str">
            <v>9MB053</v>
          </cell>
          <cell r="D4281" t="str">
            <v>MAXI RUBBER</v>
          </cell>
          <cell r="E4281">
            <v>20015</v>
          </cell>
          <cell r="F4281" t="str">
            <v>CATALISADORES INDIVIDUAS</v>
          </cell>
          <cell r="G4281" t="str">
            <v>AUTOMOTIVO</v>
          </cell>
        </row>
        <row r="4282">
          <cell r="A4282">
            <v>21673</v>
          </cell>
          <cell r="B4282" t="str">
            <v>CATALISADOR PASTOSO 15G MAXI RUBBER</v>
          </cell>
          <cell r="C4282" t="str">
            <v>A0087</v>
          </cell>
          <cell r="D4282" t="str">
            <v>MAXI RUBBER</v>
          </cell>
          <cell r="E4282">
            <v>20015</v>
          </cell>
          <cell r="F4282" t="str">
            <v>CATALISADORES INDIVIDUAS</v>
          </cell>
          <cell r="G4282" t="str">
            <v>AUTOMOTIVO</v>
          </cell>
        </row>
        <row r="4283">
          <cell r="A4283">
            <v>85614</v>
          </cell>
          <cell r="B4283" t="str">
            <v>CATALISADOR PASTOSO MEK 9G MAXI RUBBER</v>
          </cell>
          <cell r="C4283" t="str">
            <v>9MB015</v>
          </cell>
          <cell r="D4283" t="str">
            <v>MAXI RUBBER</v>
          </cell>
          <cell r="E4283">
            <v>20015</v>
          </cell>
          <cell r="F4283" t="str">
            <v>CATALISADORES INDIVIDUAS</v>
          </cell>
          <cell r="G4283" t="str">
            <v>AUTOMOTIVO</v>
          </cell>
        </row>
        <row r="4284">
          <cell r="A4284">
            <v>85724</v>
          </cell>
          <cell r="B4284" t="str">
            <v>CATALISADOR PRETO FOSCO VINILICO 300ML MAXI RUBBER</v>
          </cell>
          <cell r="C4284" t="str">
            <v>9MB009</v>
          </cell>
          <cell r="D4284" t="str">
            <v>MAXI RUBBER</v>
          </cell>
          <cell r="E4284">
            <v>20015</v>
          </cell>
          <cell r="F4284" t="str">
            <v>CATALISADORES INDIVIDUAS</v>
          </cell>
          <cell r="G4284" t="str">
            <v>AUTOMOTIVO</v>
          </cell>
        </row>
        <row r="4285">
          <cell r="A4285">
            <v>85725</v>
          </cell>
          <cell r="B4285" t="str">
            <v>CATALISADOR PRETO FOSCO VINILICO 600ML MAXI RUBBER</v>
          </cell>
          <cell r="C4285" t="str">
            <v>3MA011</v>
          </cell>
          <cell r="D4285" t="str">
            <v>MAXI RUBBER</v>
          </cell>
          <cell r="E4285">
            <v>20015</v>
          </cell>
          <cell r="F4285" t="str">
            <v>CATALISADORES INDIVIDUAS</v>
          </cell>
          <cell r="G4285" t="str">
            <v>AUTOMOTIVO</v>
          </cell>
        </row>
        <row r="4286">
          <cell r="A4286">
            <v>84876</v>
          </cell>
          <cell r="B4286" t="str">
            <v>CATALISADOR ROBLINER 200ML ROBERLO</v>
          </cell>
          <cell r="C4286">
            <v>66600</v>
          </cell>
          <cell r="D4286" t="str">
            <v>ROBERLO</v>
          </cell>
          <cell r="E4286">
            <v>20015</v>
          </cell>
          <cell r="F4286" t="str">
            <v>CATALISADORES INDIVIDUAS</v>
          </cell>
          <cell r="G4286" t="str">
            <v>AUTOMOTIVO</v>
          </cell>
        </row>
        <row r="4287">
          <cell r="A4287">
            <v>230</v>
          </cell>
          <cell r="B4287" t="str">
            <v>CATALISADOR ST 5581 0,100ML</v>
          </cell>
          <cell r="C4287">
            <v>11114444</v>
          </cell>
          <cell r="D4287" t="str">
            <v>.</v>
          </cell>
          <cell r="E4287">
            <v>20015</v>
          </cell>
          <cell r="F4287" t="str">
            <v>CATALISADORES INDIVIDUAS</v>
          </cell>
          <cell r="G4287" t="str">
            <v>AUTOMOTIVO</v>
          </cell>
        </row>
        <row r="4288">
          <cell r="A4288">
            <v>9784</v>
          </cell>
          <cell r="B4288" t="str">
            <v>ENDURECEDOR 3093 100ML WANDA</v>
          </cell>
          <cell r="C4288">
            <v>482017</v>
          </cell>
          <cell r="D4288" t="str">
            <v>WANDA</v>
          </cell>
          <cell r="E4288">
            <v>20015</v>
          </cell>
          <cell r="F4288" t="str">
            <v>CATALISADORES INDIVIDUAS</v>
          </cell>
          <cell r="G4288" t="str">
            <v>AUTOMOTIVO</v>
          </cell>
        </row>
        <row r="4289">
          <cell r="A4289">
            <v>9786</v>
          </cell>
          <cell r="B4289" t="str">
            <v>ENDURECEDOR 3093 150ML WANDA</v>
          </cell>
          <cell r="C4289">
            <v>482014</v>
          </cell>
          <cell r="D4289" t="str">
            <v>WANDA</v>
          </cell>
          <cell r="E4289">
            <v>20015</v>
          </cell>
          <cell r="F4289" t="str">
            <v>CATALISADORES INDIVIDUAS</v>
          </cell>
          <cell r="G4289" t="str">
            <v>AUTOMOTIVO</v>
          </cell>
        </row>
        <row r="4290">
          <cell r="A4290">
            <v>83835</v>
          </cell>
          <cell r="B4290" t="str">
            <v>ENDURECEDOR 3093 180ML WANDA</v>
          </cell>
          <cell r="C4290">
            <v>529568</v>
          </cell>
          <cell r="D4290" t="str">
            <v>WANDA</v>
          </cell>
          <cell r="E4290">
            <v>20015</v>
          </cell>
          <cell r="F4290" t="str">
            <v>CATALISADORES INDIVIDUAS</v>
          </cell>
          <cell r="G4290" t="str">
            <v>AUTOMOTIVO</v>
          </cell>
        </row>
        <row r="4291">
          <cell r="A4291">
            <v>9788</v>
          </cell>
          <cell r="B4291" t="str">
            <v>ENDURECEDOR 3093 1LT WANDA</v>
          </cell>
          <cell r="C4291">
            <v>391714</v>
          </cell>
          <cell r="D4291" t="str">
            <v>WANDA</v>
          </cell>
          <cell r="E4291">
            <v>20015</v>
          </cell>
          <cell r="F4291" t="str">
            <v>CATALISADORES INDIVIDUAS</v>
          </cell>
          <cell r="G4291" t="str">
            <v>AUTOMOTIVO</v>
          </cell>
        </row>
        <row r="4292">
          <cell r="A4292">
            <v>21075</v>
          </cell>
          <cell r="B4292" t="str">
            <v>ENDURECEDOR 3093 450ML WANDA</v>
          </cell>
          <cell r="C4292">
            <v>529578</v>
          </cell>
          <cell r="D4292" t="str">
            <v>WANDA</v>
          </cell>
          <cell r="E4292">
            <v>20015</v>
          </cell>
          <cell r="F4292" t="str">
            <v>CATALISADORES INDIVIDUAS</v>
          </cell>
          <cell r="G4292" t="str">
            <v>AUTOMOTIVO</v>
          </cell>
        </row>
        <row r="4293">
          <cell r="A4293">
            <v>9748</v>
          </cell>
          <cell r="B4293" t="str">
            <v>ENDURECEDOR 5532 WEG</v>
          </cell>
          <cell r="C4293">
            <v>15429416</v>
          </cell>
          <cell r="D4293" t="str">
            <v>.</v>
          </cell>
          <cell r="E4293">
            <v>20015</v>
          </cell>
          <cell r="F4293" t="str">
            <v>CATALISADORES INDIVIDUAS</v>
          </cell>
          <cell r="G4293" t="str">
            <v>AUTOMOTIVO</v>
          </cell>
        </row>
        <row r="4294">
          <cell r="A4294">
            <v>23365</v>
          </cell>
          <cell r="B4294" t="str">
            <v>ENDURECEDOR ACELERADO P/ VERNIZ 8937 834ML LAZZURIL</v>
          </cell>
          <cell r="C4294" t="str">
            <v>15.66.89120-497</v>
          </cell>
          <cell r="D4294" t="str">
            <v>SHERWIN WILLIAMS</v>
          </cell>
          <cell r="E4294">
            <v>20015</v>
          </cell>
          <cell r="F4294" t="str">
            <v>CATALISADORES INDIVIDUAS</v>
          </cell>
          <cell r="G4294" t="str">
            <v>AUTOMOTIVO</v>
          </cell>
        </row>
        <row r="4295">
          <cell r="A4295">
            <v>21037</v>
          </cell>
          <cell r="B4295" t="str">
            <v>ENDURECEDOR LAZZUDUR PU 225ML</v>
          </cell>
          <cell r="C4295" t="str">
            <v>55.66.00061-133</v>
          </cell>
          <cell r="D4295" t="str">
            <v>SHERWIN WILLIAMS</v>
          </cell>
          <cell r="E4295">
            <v>20015</v>
          </cell>
          <cell r="F4295" t="str">
            <v>CATALISADORES INDIVIDUAS</v>
          </cell>
          <cell r="G4295" t="str">
            <v>AUTOMOTIVO</v>
          </cell>
        </row>
        <row r="4296">
          <cell r="A4296">
            <v>24198</v>
          </cell>
          <cell r="B4296" t="str">
            <v>ENDURECEDOR P/ ESMALTE PU 225ML SKY</v>
          </cell>
          <cell r="C4296" t="str">
            <v>63000300011B</v>
          </cell>
          <cell r="D4296" t="str">
            <v>SKY</v>
          </cell>
          <cell r="E4296">
            <v>20015</v>
          </cell>
          <cell r="F4296" t="str">
            <v>CATALISADORES INDIVIDUAS</v>
          </cell>
          <cell r="G4296" t="str">
            <v>AUTOMOTIVO</v>
          </cell>
        </row>
        <row r="4297">
          <cell r="A4297">
            <v>111</v>
          </cell>
          <cell r="B4297" t="str">
            <v>ENDURECEDOR P/ ESMALTE PU 450ML SKY</v>
          </cell>
          <cell r="C4297">
            <v>630003000129</v>
          </cell>
          <cell r="D4297" t="str">
            <v>SKY</v>
          </cell>
          <cell r="E4297">
            <v>20015</v>
          </cell>
          <cell r="F4297" t="str">
            <v>CATALISADORES INDIVIDUAS</v>
          </cell>
          <cell r="G4297" t="str">
            <v>AUTOMOTIVO</v>
          </cell>
        </row>
        <row r="4298">
          <cell r="A4298">
            <v>110</v>
          </cell>
          <cell r="B4298" t="str">
            <v>ENDURECEDOR P/ ESMALTE PU 900ML SKY</v>
          </cell>
          <cell r="C4298">
            <v>630003000130</v>
          </cell>
          <cell r="D4298" t="str">
            <v>SKY</v>
          </cell>
          <cell r="E4298">
            <v>20015</v>
          </cell>
          <cell r="F4298" t="str">
            <v>CATALISADORES INDIVIDUAS</v>
          </cell>
          <cell r="G4298" t="str">
            <v>AUTOMOTIVO</v>
          </cell>
        </row>
        <row r="4299">
          <cell r="A4299">
            <v>85458</v>
          </cell>
          <cell r="B4299" t="str">
            <v>ENDURECEDOR P/ SKYMIX PU SKY</v>
          </cell>
          <cell r="C4299">
            <v>630003600129</v>
          </cell>
          <cell r="D4299" t="str">
            <v>SKY</v>
          </cell>
          <cell r="E4299">
            <v>20015</v>
          </cell>
          <cell r="F4299" t="str">
            <v>CATALISADORES INDIVIDUAS</v>
          </cell>
          <cell r="G4299" t="str">
            <v>AUTOMOTIVO</v>
          </cell>
        </row>
        <row r="4300">
          <cell r="A4300">
            <v>20235</v>
          </cell>
          <cell r="B4300" t="str">
            <v>ENDURECEDOR PU 225ML PPG</v>
          </cell>
          <cell r="C4300" t="str">
            <v>END010.16</v>
          </cell>
          <cell r="D4300" t="str">
            <v>.</v>
          </cell>
          <cell r="E4300">
            <v>20015</v>
          </cell>
          <cell r="F4300" t="str">
            <v>CATALISADORES INDIVIDUAS</v>
          </cell>
          <cell r="G4300" t="str">
            <v>AUTOMOTIVO</v>
          </cell>
        </row>
        <row r="4301">
          <cell r="A4301">
            <v>73</v>
          </cell>
          <cell r="B4301" t="str">
            <v>FOSQUEANTE UNIVERSAL 0,900ML SKY-21,94-ST</v>
          </cell>
          <cell r="C4301" t="str">
            <v>160AF5200130</v>
          </cell>
          <cell r="D4301" t="str">
            <v>SKY</v>
          </cell>
          <cell r="E4301">
            <v>20015</v>
          </cell>
          <cell r="F4301" t="str">
            <v>CATALISADORES INDIVIDUAS</v>
          </cell>
          <cell r="G4301" t="str">
            <v>AUTOMOTIVO</v>
          </cell>
        </row>
        <row r="4302">
          <cell r="A4302">
            <v>23653</v>
          </cell>
          <cell r="B4302" t="str">
            <v>HARDENER CLASSIC 1L SIKKENS</v>
          </cell>
          <cell r="C4302">
            <v>569496</v>
          </cell>
          <cell r="D4302" t="str">
            <v>SIKKENS</v>
          </cell>
          <cell r="E4302">
            <v>20015</v>
          </cell>
          <cell r="F4302" t="str">
            <v>CATALISADORES INDIVIDUAS</v>
          </cell>
          <cell r="G4302" t="str">
            <v>AUTOMOTIVO</v>
          </cell>
        </row>
        <row r="4303">
          <cell r="A4303">
            <v>84552</v>
          </cell>
          <cell r="B4303" t="str">
            <v>HARDENER CLASSIC 200 ML SIKKENS</v>
          </cell>
          <cell r="C4303">
            <v>595138</v>
          </cell>
          <cell r="D4303" t="str">
            <v>SIKKENS</v>
          </cell>
          <cell r="E4303">
            <v>20015</v>
          </cell>
          <cell r="F4303" t="str">
            <v>CATALISADORES INDIVIDUAS</v>
          </cell>
          <cell r="G4303" t="str">
            <v>AUTOMOTIVO</v>
          </cell>
        </row>
        <row r="4304">
          <cell r="A4304">
            <v>23296</v>
          </cell>
          <cell r="B4304" t="str">
            <v>HARDENER CLASSIC 500 ML SIKKENS</v>
          </cell>
          <cell r="C4304">
            <v>557500</v>
          </cell>
          <cell r="D4304" t="str">
            <v>SIKKENS</v>
          </cell>
          <cell r="E4304">
            <v>20015</v>
          </cell>
          <cell r="F4304" t="str">
            <v>CATALISADORES INDIVIDUAS</v>
          </cell>
          <cell r="G4304" t="str">
            <v>AUTOMOTIVO</v>
          </cell>
        </row>
        <row r="4305">
          <cell r="A4305">
            <v>21859</v>
          </cell>
          <cell r="B4305" t="str">
            <v>HARDENER CLASSIC FAST 225ML SIKKENS (PRIMER)</v>
          </cell>
          <cell r="C4305">
            <v>529804</v>
          </cell>
          <cell r="D4305" t="str">
            <v>SIKKENS</v>
          </cell>
          <cell r="E4305">
            <v>20015</v>
          </cell>
          <cell r="F4305" t="str">
            <v>CATALISADORES INDIVIDUAS</v>
          </cell>
          <cell r="G4305" t="str">
            <v>AUTOMOTIVO</v>
          </cell>
        </row>
        <row r="4306">
          <cell r="A4306">
            <v>21862</v>
          </cell>
          <cell r="B4306" t="str">
            <v>HARDENER CLASSIC FAST 300ML SIKKENS (VERNIZ)</v>
          </cell>
          <cell r="C4306">
            <v>529805</v>
          </cell>
          <cell r="D4306" t="str">
            <v>SIKKENS</v>
          </cell>
          <cell r="E4306">
            <v>20015</v>
          </cell>
          <cell r="F4306" t="str">
            <v>CATALISADORES INDIVIDUAS</v>
          </cell>
          <cell r="G4306" t="str">
            <v>AUTOMOTIVO</v>
          </cell>
        </row>
        <row r="4307">
          <cell r="A4307">
            <v>22340</v>
          </cell>
          <cell r="B4307" t="str">
            <v>HARDENER CLASSIC FAST 900ML SIKKENS</v>
          </cell>
          <cell r="C4307">
            <v>529806</v>
          </cell>
          <cell r="D4307" t="str">
            <v>SIKKENS</v>
          </cell>
          <cell r="E4307">
            <v>20015</v>
          </cell>
          <cell r="F4307" t="str">
            <v>CATALISADORES INDIVIDUAS</v>
          </cell>
          <cell r="G4307" t="str">
            <v>AUTOMOTIVO</v>
          </cell>
        </row>
        <row r="4308">
          <cell r="A4308">
            <v>9773</v>
          </cell>
          <cell r="B4308" t="str">
            <v>PLUS HARDENER P25 1LT SIKKENS</v>
          </cell>
          <cell r="C4308">
            <v>529792</v>
          </cell>
          <cell r="D4308" t="str">
            <v>SIKKENS</v>
          </cell>
          <cell r="E4308">
            <v>20015</v>
          </cell>
          <cell r="F4308" t="str">
            <v>CATALISADORES INDIVIDUAS</v>
          </cell>
          <cell r="G4308" t="str">
            <v>AUTOMOTIVO</v>
          </cell>
        </row>
        <row r="4309">
          <cell r="A4309">
            <v>9775</v>
          </cell>
          <cell r="B4309" t="str">
            <v>PLUS HARDENER P25 500ML SIKKENS</v>
          </cell>
          <cell r="C4309">
            <v>529795</v>
          </cell>
          <cell r="D4309" t="str">
            <v>SIKKENS</v>
          </cell>
          <cell r="E4309">
            <v>20015</v>
          </cell>
          <cell r="F4309" t="str">
            <v>CATALISADORES INDIVIDUAS</v>
          </cell>
          <cell r="G4309" t="str">
            <v>AUTOMOTIVO</v>
          </cell>
        </row>
        <row r="4310">
          <cell r="A4310">
            <v>20608</v>
          </cell>
          <cell r="B4310" t="str">
            <v>PLUS HARDENER P25 5LTS SIKKENS</v>
          </cell>
          <cell r="C4310">
            <v>529793</v>
          </cell>
          <cell r="D4310" t="str">
            <v>SIKKENS</v>
          </cell>
          <cell r="E4310">
            <v>20015</v>
          </cell>
          <cell r="F4310" t="str">
            <v>CATALISADORES INDIVIDUAS</v>
          </cell>
          <cell r="G4310" t="str">
            <v>AUTOMOTIVO</v>
          </cell>
        </row>
        <row r="4311">
          <cell r="A4311">
            <v>9764</v>
          </cell>
          <cell r="B4311" t="str">
            <v>MASSA KOMBI FILLER 200 GR. SIKKENS</v>
          </cell>
          <cell r="C4311">
            <v>373657</v>
          </cell>
          <cell r="D4311" t="str">
            <v>SIKKENS</v>
          </cell>
          <cell r="E4311">
            <v>20014</v>
          </cell>
          <cell r="F4311" t="str">
            <v>MASSA DE PEQUENOS REPAROS</v>
          </cell>
          <cell r="G4311" t="str">
            <v>AUTOMOTIVO</v>
          </cell>
        </row>
        <row r="4312">
          <cell r="A4312">
            <v>207</v>
          </cell>
          <cell r="B4312" t="str">
            <v>MASSA PARA PEQUENAS CORREÇÕES 180G ROYAL</v>
          </cell>
          <cell r="C4312" t="str">
            <v>FRP0180-CX1</v>
          </cell>
          <cell r="D4312" t="str">
            <v>ROYAL</v>
          </cell>
          <cell r="E4312">
            <v>20014</v>
          </cell>
          <cell r="F4312" t="str">
            <v>MASSA DE PEQUENOS REPAROS</v>
          </cell>
          <cell r="G4312" t="str">
            <v>AUTOMOTIVO</v>
          </cell>
        </row>
        <row r="4313">
          <cell r="A4313">
            <v>24395</v>
          </cell>
          <cell r="B4313" t="str">
            <v>MASSA PARA PEQUENOS REPAROS 180GR RHAI</v>
          </cell>
          <cell r="C4313">
            <v>201020002</v>
          </cell>
          <cell r="D4313" t="str">
            <v>RHAI</v>
          </cell>
          <cell r="E4313">
            <v>20014</v>
          </cell>
          <cell r="F4313" t="str">
            <v>MASSA DE PEQUENOS REPAROS</v>
          </cell>
          <cell r="G4313" t="str">
            <v>AUTOMOTIVO</v>
          </cell>
        </row>
        <row r="4314">
          <cell r="A4314">
            <v>24208</v>
          </cell>
          <cell r="B4314" t="str">
            <v>MASSA PEQUENAS CORREÇÕES 180G SKY</v>
          </cell>
          <cell r="C4314" t="str">
            <v>14000PC30147</v>
          </cell>
          <cell r="D4314" t="str">
            <v>SKY</v>
          </cell>
          <cell r="E4314">
            <v>20014</v>
          </cell>
          <cell r="F4314" t="str">
            <v>MASSA DE PEQUENOS REPAROS</v>
          </cell>
          <cell r="G4314" t="str">
            <v>AUTOMOTIVO</v>
          </cell>
        </row>
        <row r="4315">
          <cell r="A4315">
            <v>20525</v>
          </cell>
          <cell r="B4315" t="str">
            <v>MASSA PEQUENAS CORREÇÕES 200G LAZZURIL</v>
          </cell>
          <cell r="C4315" t="str">
            <v>05.00.00034-098</v>
          </cell>
          <cell r="D4315" t="str">
            <v>SHERWIN WILLIAMS</v>
          </cell>
          <cell r="E4315">
            <v>20014</v>
          </cell>
          <cell r="F4315" t="str">
            <v>MASSA DE PEQUENOS REPAROS</v>
          </cell>
          <cell r="G4315" t="str">
            <v>AUTOMOTIVO</v>
          </cell>
        </row>
        <row r="4316">
          <cell r="A4316">
            <v>84461</v>
          </cell>
          <cell r="B4316" t="str">
            <v>MASSA PEQUENOS REPAROS 150G BRASILUX</v>
          </cell>
          <cell r="C4316" t="str">
            <v>MS 040612240</v>
          </cell>
          <cell r="D4316" t="str">
            <v>BRASILUX</v>
          </cell>
          <cell r="E4316">
            <v>20014</v>
          </cell>
          <cell r="F4316" t="str">
            <v>MASSA DE PEQUENOS REPAROS</v>
          </cell>
          <cell r="G4316" t="str">
            <v>AUTOMOTIVO</v>
          </cell>
        </row>
        <row r="4317">
          <cell r="A4317">
            <v>10333</v>
          </cell>
          <cell r="B4317" t="str">
            <v>REMOVEDOR PASTOSO 1KG ANJO</v>
          </cell>
          <cell r="C4317" t="str">
            <v>001169-33</v>
          </cell>
          <cell r="D4317" t="str">
            <v>ANJO</v>
          </cell>
          <cell r="E4317">
            <v>20013</v>
          </cell>
          <cell r="F4317" t="str">
            <v>REMOVEDOR PASTOSO</v>
          </cell>
          <cell r="G4317" t="str">
            <v>AUTOMOTIVO</v>
          </cell>
        </row>
        <row r="4318">
          <cell r="A4318">
            <v>84045</v>
          </cell>
          <cell r="B4318" t="str">
            <v>REMOVEDOR PASTOSO 1KG BRASILUX</v>
          </cell>
          <cell r="C4318" t="str">
            <v>TN 060006638</v>
          </cell>
          <cell r="D4318" t="str">
            <v>BRASILUX</v>
          </cell>
          <cell r="E4318">
            <v>20013</v>
          </cell>
          <cell r="F4318" t="str">
            <v>REMOVEDOR PASTOSO</v>
          </cell>
          <cell r="G4318" t="str">
            <v>AUTOMOTIVO</v>
          </cell>
        </row>
        <row r="4319">
          <cell r="A4319">
            <v>84043</v>
          </cell>
          <cell r="B4319" t="str">
            <v>REMOVEDOR PASTOSO 4KG BRASILUX</v>
          </cell>
          <cell r="C4319" t="str">
            <v>TN 060006635</v>
          </cell>
          <cell r="D4319" t="str">
            <v>BRASILUX</v>
          </cell>
          <cell r="E4319">
            <v>20013</v>
          </cell>
          <cell r="F4319" t="str">
            <v>REMOVEDOR PASTOSO</v>
          </cell>
          <cell r="G4319" t="str">
            <v>AUTOMOTIVO</v>
          </cell>
        </row>
        <row r="4320">
          <cell r="A4320">
            <v>84044</v>
          </cell>
          <cell r="B4320" t="str">
            <v>REMOVEDOR PASTOSO 500G BRASILUX</v>
          </cell>
          <cell r="C4320" t="str">
            <v>TN 060006637</v>
          </cell>
          <cell r="D4320" t="str">
            <v>BRASILUX</v>
          </cell>
          <cell r="E4320">
            <v>20013</v>
          </cell>
          <cell r="F4320" t="str">
            <v>REMOVEDOR PASTOSO</v>
          </cell>
          <cell r="G4320" t="str">
            <v>AUTOMOTIVO</v>
          </cell>
        </row>
        <row r="4321">
          <cell r="A4321">
            <v>10369</v>
          </cell>
          <cell r="B4321" t="str">
            <v>REMOVEDOR PASTOSO 50GR BRASILUX</v>
          </cell>
          <cell r="C4321" t="str">
            <v>LMKJ456</v>
          </cell>
          <cell r="D4321" t="str">
            <v>.</v>
          </cell>
          <cell r="E4321">
            <v>20013</v>
          </cell>
          <cell r="F4321" t="str">
            <v>REMOVEDOR PASTOSO</v>
          </cell>
          <cell r="G4321" t="str">
            <v>AUTOMOTIVO</v>
          </cell>
        </row>
        <row r="4322">
          <cell r="A4322">
            <v>24401</v>
          </cell>
          <cell r="B4322" t="str">
            <v>REMOVEDOR PASTOSO 900ML RHAI</v>
          </cell>
          <cell r="C4322">
            <v>1209201002</v>
          </cell>
          <cell r="D4322" t="str">
            <v>RHAI</v>
          </cell>
          <cell r="E4322">
            <v>20013</v>
          </cell>
          <cell r="F4322" t="str">
            <v>REMOVEDOR PASTOSO</v>
          </cell>
          <cell r="G4322" t="str">
            <v>AUTOMOTIVO</v>
          </cell>
        </row>
        <row r="4323">
          <cell r="A4323">
            <v>9800</v>
          </cell>
          <cell r="B4323" t="str">
            <v>REMOVEDOR PASTOSO 900ML WANDA</v>
          </cell>
          <cell r="C4323">
            <v>529478</v>
          </cell>
          <cell r="D4323" t="str">
            <v>WANDA</v>
          </cell>
          <cell r="E4323">
            <v>20013</v>
          </cell>
          <cell r="F4323" t="str">
            <v>REMOVEDOR PASTOSO</v>
          </cell>
          <cell r="G4323" t="str">
            <v>AUTOMOTIVO</v>
          </cell>
        </row>
        <row r="4324">
          <cell r="A4324">
            <v>10402</v>
          </cell>
          <cell r="B4324" t="str">
            <v>REMOVEDOR PASTOSO MAX RUBBER</v>
          </cell>
          <cell r="C4324" t="str">
            <v>2MS001</v>
          </cell>
          <cell r="D4324" t="str">
            <v>MAXI RUBBER</v>
          </cell>
          <cell r="E4324">
            <v>20013</v>
          </cell>
          <cell r="F4324" t="str">
            <v>REMOVEDOR PASTOSO</v>
          </cell>
          <cell r="G4324" t="str">
            <v>AUTOMOTIVO</v>
          </cell>
        </row>
        <row r="4325">
          <cell r="A4325">
            <v>21432</v>
          </cell>
          <cell r="B4325" t="str">
            <v>FITA 233+ 18MMX32M VERDE 3M</v>
          </cell>
          <cell r="C4325" t="str">
            <v>HB004374839</v>
          </cell>
          <cell r="D4325" t="str">
            <v>3M</v>
          </cell>
          <cell r="E4325">
            <v>20012</v>
          </cell>
          <cell r="F4325" t="str">
            <v>FITA AUTOMOTIVA</v>
          </cell>
          <cell r="G4325" t="str">
            <v>AUTOMOTIVO</v>
          </cell>
        </row>
        <row r="4326">
          <cell r="A4326">
            <v>22684</v>
          </cell>
          <cell r="B4326" t="str">
            <v>FITA ALTA PERFO 16MMX40M AMARELA 3M</v>
          </cell>
          <cell r="C4326" t="str">
            <v>HC000660486</v>
          </cell>
          <cell r="D4326" t="str">
            <v>3M</v>
          </cell>
          <cell r="E4326">
            <v>20012</v>
          </cell>
          <cell r="F4326" t="str">
            <v>FITA AUTOMOTIVA</v>
          </cell>
          <cell r="G4326" t="str">
            <v>AUTOMOTIVO</v>
          </cell>
        </row>
        <row r="4327">
          <cell r="A4327">
            <v>22173</v>
          </cell>
          <cell r="B4327" t="str">
            <v>FITA ALTA PERFO 18MMX40M AMARELA 3M</v>
          </cell>
          <cell r="C4327" t="str">
            <v>HC000660494</v>
          </cell>
          <cell r="D4327" t="str">
            <v>3M</v>
          </cell>
          <cell r="E4327">
            <v>20012</v>
          </cell>
          <cell r="F4327" t="str">
            <v>FITA AUTOMOTIVA</v>
          </cell>
          <cell r="G4327" t="str">
            <v>AUTOMOTIVO</v>
          </cell>
        </row>
        <row r="4328">
          <cell r="A4328">
            <v>22188</v>
          </cell>
          <cell r="B4328" t="str">
            <v>FITA ALTA PERFO 48MMX40M AMARELA 3M</v>
          </cell>
          <cell r="C4328" t="str">
            <v>HC000660510</v>
          </cell>
          <cell r="D4328" t="str">
            <v>3M</v>
          </cell>
          <cell r="E4328">
            <v>20012</v>
          </cell>
          <cell r="F4328" t="str">
            <v>FITA AUTOMOTIVA</v>
          </cell>
          <cell r="G4328" t="str">
            <v>AUTOMOTIVO</v>
          </cell>
        </row>
        <row r="4329">
          <cell r="A4329">
            <v>22013</v>
          </cell>
          <cell r="B4329" t="str">
            <v>FITA CREPE 18MMX40M VERDE TESA</v>
          </cell>
          <cell r="C4329" t="str">
            <v>50124-09018-40</v>
          </cell>
          <cell r="D4329" t="str">
            <v>.</v>
          </cell>
          <cell r="E4329">
            <v>20012</v>
          </cell>
          <cell r="F4329" t="str">
            <v>FITA AUTOMOTIVA</v>
          </cell>
          <cell r="G4329" t="str">
            <v>AUTOMOTIVO</v>
          </cell>
        </row>
        <row r="4330">
          <cell r="A4330">
            <v>20951</v>
          </cell>
          <cell r="B4330" t="str">
            <v>FITA CREPE 48MMX40M VERDE TESA</v>
          </cell>
          <cell r="C4330" t="str">
            <v>50124-09004-00</v>
          </cell>
          <cell r="D4330" t="str">
            <v>.</v>
          </cell>
          <cell r="E4330">
            <v>20012</v>
          </cell>
          <cell r="F4330" t="str">
            <v>FITA AUTOMOTIVA</v>
          </cell>
          <cell r="G4330" t="str">
            <v>AUTOMOTIVO</v>
          </cell>
        </row>
        <row r="4331">
          <cell r="A4331">
            <v>23972</v>
          </cell>
          <cell r="B4331" t="str">
            <v>FITA CREPE ALTA AMARELA 40X40 RAPIFIX</v>
          </cell>
          <cell r="C4331" t="str">
            <v>F590-40X40</v>
          </cell>
          <cell r="D4331" t="str">
            <v>RAPIFIX</v>
          </cell>
          <cell r="E4331">
            <v>20012</v>
          </cell>
          <cell r="F4331" t="str">
            <v>FITA AUTOMOTIVA</v>
          </cell>
          <cell r="G4331" t="str">
            <v>AUTOMOTIVO</v>
          </cell>
        </row>
        <row r="4332">
          <cell r="A4332">
            <v>23923</v>
          </cell>
          <cell r="B4332" t="str">
            <v>FITA CREPE ALTA PERFOMANCE VERDE 40X40 RAPIFIX</v>
          </cell>
          <cell r="C4332" t="str">
            <v>F560-40X40</v>
          </cell>
          <cell r="D4332" t="str">
            <v>RAPIFIX</v>
          </cell>
          <cell r="E4332">
            <v>20012</v>
          </cell>
          <cell r="F4332" t="str">
            <v>FITA AUTOMOTIVA</v>
          </cell>
          <cell r="G4332" t="str">
            <v>AUTOMOTIVO</v>
          </cell>
        </row>
        <row r="4333">
          <cell r="A4333">
            <v>23931</v>
          </cell>
          <cell r="B4333" t="str">
            <v>FITA CREPE AMARELA 16X40 RAPIFIX</v>
          </cell>
          <cell r="C4333" t="str">
            <v>F590-16X40</v>
          </cell>
          <cell r="D4333" t="str">
            <v>RAPIFIX</v>
          </cell>
          <cell r="E4333">
            <v>20012</v>
          </cell>
          <cell r="F4333" t="str">
            <v>FITA AUTOMOTIVA</v>
          </cell>
          <cell r="G4333" t="str">
            <v>AUTOMOTIVO</v>
          </cell>
        </row>
        <row r="4334">
          <cell r="A4334">
            <v>21696</v>
          </cell>
          <cell r="B4334" t="str">
            <v>FITA CREPE AUTO VERDE 48X40 RAPIFIX</v>
          </cell>
          <cell r="C4334">
            <v>16860</v>
          </cell>
          <cell r="D4334" t="str">
            <v>.</v>
          </cell>
          <cell r="E4334">
            <v>20012</v>
          </cell>
          <cell r="F4334" t="str">
            <v>FITA AUTOMOTIVA</v>
          </cell>
          <cell r="G4334" t="str">
            <v>AUTOMOTIVO</v>
          </cell>
        </row>
        <row r="4335">
          <cell r="A4335">
            <v>24240</v>
          </cell>
          <cell r="B4335" t="str">
            <v>FITA CREPE AUTOMOTIVA AMARELA 18MMX40M ADERE</v>
          </cell>
          <cell r="C4335">
            <v>1458109533</v>
          </cell>
          <cell r="D4335" t="str">
            <v>ADERE</v>
          </cell>
          <cell r="E4335">
            <v>20012</v>
          </cell>
          <cell r="F4335" t="str">
            <v>FITA AUTOMOTIVA</v>
          </cell>
          <cell r="G4335" t="str">
            <v>AUTOMOTIVO</v>
          </cell>
        </row>
        <row r="4336">
          <cell r="A4336">
            <v>24241</v>
          </cell>
          <cell r="B4336" t="str">
            <v>FITA CREPE AUTOMOTIVA AMARELA 48MMX40M ADERE</v>
          </cell>
          <cell r="C4336">
            <v>1458109871</v>
          </cell>
          <cell r="D4336" t="str">
            <v>ADERE</v>
          </cell>
          <cell r="E4336">
            <v>20012</v>
          </cell>
          <cell r="F4336" t="str">
            <v>FITA AUTOMOTIVA</v>
          </cell>
          <cell r="G4336" t="str">
            <v>AUTOMOTIVO</v>
          </cell>
        </row>
        <row r="4337">
          <cell r="A4337">
            <v>23894</v>
          </cell>
          <cell r="B4337" t="str">
            <v>FITA CREPE ESPECIAL PRETA 45X50 RAPIFIX</v>
          </cell>
          <cell r="C4337" t="str">
            <v>F520-45X50</v>
          </cell>
          <cell r="D4337" t="str">
            <v>RAPIFIX</v>
          </cell>
          <cell r="E4337">
            <v>20012</v>
          </cell>
          <cell r="F4337" t="str">
            <v>FITA AUTOMOTIVA</v>
          </cell>
          <cell r="G4337" t="str">
            <v>AUTOMOTIVO</v>
          </cell>
        </row>
        <row r="4338">
          <cell r="A4338">
            <v>23047</v>
          </cell>
          <cell r="B4338" t="str">
            <v>FITA CREPE VERDE 16MMX40M RAPIFIX</v>
          </cell>
          <cell r="C4338" t="str">
            <v>F560-16X40</v>
          </cell>
          <cell r="D4338" t="str">
            <v>RAPIFIX</v>
          </cell>
          <cell r="E4338">
            <v>20012</v>
          </cell>
          <cell r="F4338" t="str">
            <v>FITA AUTOMOTIVA</v>
          </cell>
          <cell r="G4338" t="str">
            <v>AUTOMOTIVO</v>
          </cell>
        </row>
        <row r="4339">
          <cell r="A4339">
            <v>23124</v>
          </cell>
          <cell r="B4339" t="str">
            <v>FITA POLIPROPILENO P/ CONTORNOS 6MMX55M FINA 3M</v>
          </cell>
          <cell r="C4339" t="str">
            <v>HB004807150</v>
          </cell>
          <cell r="D4339" t="str">
            <v>3M</v>
          </cell>
          <cell r="E4339">
            <v>20012</v>
          </cell>
          <cell r="F4339" t="str">
            <v>FITA AUTOMOTIVA</v>
          </cell>
          <cell r="G4339" t="str">
            <v>AUTOMOTIVO</v>
          </cell>
        </row>
        <row r="4340">
          <cell r="A4340">
            <v>83852</v>
          </cell>
          <cell r="B4340" t="str">
            <v>FITA POLIPROPILENO P/ CONTORNOS 9,5MMX55M LARGA 3M-28,15-ST</v>
          </cell>
          <cell r="C4340" t="str">
            <v>HB004807168</v>
          </cell>
          <cell r="D4340" t="str">
            <v>3M</v>
          </cell>
          <cell r="E4340">
            <v>20012</v>
          </cell>
          <cell r="F4340" t="str">
            <v>FITA AUTOMOTIVA</v>
          </cell>
          <cell r="G4340" t="str">
            <v>AUTOMOTIVO</v>
          </cell>
        </row>
        <row r="4341">
          <cell r="A4341">
            <v>85589</v>
          </cell>
          <cell r="B4341" t="str">
            <v>ALUMAX 1,5L VONIXX</v>
          </cell>
          <cell r="C4341">
            <v>2008006</v>
          </cell>
          <cell r="D4341" t="str">
            <v>VONIXX</v>
          </cell>
          <cell r="E4341">
            <v>20011</v>
          </cell>
          <cell r="F4341" t="str">
            <v>LINHA DE HIGENIZAÇÃO E ESTÉTICA  AUTOMOTIVA</v>
          </cell>
          <cell r="G4341" t="str">
            <v>AUTOMOTIVO</v>
          </cell>
        </row>
        <row r="4342">
          <cell r="A4342">
            <v>85199</v>
          </cell>
          <cell r="B4342" t="str">
            <v>ALUMAX 5L VONIXX</v>
          </cell>
          <cell r="C4342">
            <v>2008005</v>
          </cell>
          <cell r="D4342" t="str">
            <v>VONIXX</v>
          </cell>
          <cell r="E4342">
            <v>20011</v>
          </cell>
          <cell r="F4342" t="str">
            <v>LINHA DE HIGENIZAÇÃO E ESTÉTICA  AUTOMOTIVA</v>
          </cell>
          <cell r="G4342" t="str">
            <v>AUTOMOTIVO</v>
          </cell>
        </row>
        <row r="4343">
          <cell r="A4343">
            <v>85200</v>
          </cell>
          <cell r="B4343" t="str">
            <v>APLICADOR MICROFIBRA VONIXX</v>
          </cell>
          <cell r="C4343">
            <v>2005022</v>
          </cell>
          <cell r="D4343" t="str">
            <v>VONIXX</v>
          </cell>
          <cell r="E4343">
            <v>20011</v>
          </cell>
          <cell r="F4343" t="str">
            <v>LINHA DE HIGENIZAÇÃO E ESTÉTICA  AUTOMOTIVA</v>
          </cell>
          <cell r="G4343" t="str">
            <v>AUTOMOTIVO</v>
          </cell>
        </row>
        <row r="4344">
          <cell r="A4344">
            <v>23438</v>
          </cell>
          <cell r="B4344" t="str">
            <v>AROMA CARRO NOVO 5LT VONIXX</v>
          </cell>
          <cell r="C4344" t="str">
            <v>PA08008</v>
          </cell>
          <cell r="D4344" t="str">
            <v>VONIXX</v>
          </cell>
          <cell r="E4344">
            <v>20011</v>
          </cell>
          <cell r="F4344" t="str">
            <v>LINHA DE HIGENIZAÇÃO E ESTÉTICA  AUTOMOTIVA</v>
          </cell>
          <cell r="G4344" t="str">
            <v>AUTOMOTIVO</v>
          </cell>
        </row>
        <row r="4345">
          <cell r="A4345">
            <v>23439</v>
          </cell>
          <cell r="B4345" t="str">
            <v>AROMA FRESH 5L VONIXX</v>
          </cell>
          <cell r="C4345" t="str">
            <v>PA08010</v>
          </cell>
          <cell r="D4345" t="str">
            <v>VONIXX</v>
          </cell>
          <cell r="E4345">
            <v>20011</v>
          </cell>
          <cell r="F4345" t="str">
            <v>LINHA DE HIGENIZAÇÃO E ESTÉTICA  AUTOMOTIVA</v>
          </cell>
          <cell r="G4345" t="str">
            <v>AUTOMOTIVO</v>
          </cell>
        </row>
        <row r="4346">
          <cell r="A4346">
            <v>23416</v>
          </cell>
          <cell r="B4346" t="str">
            <v>AROMINHA CARRO NOVO 60ML SPRAY VONIXX</v>
          </cell>
          <cell r="C4346" t="str">
            <v>PA10008</v>
          </cell>
          <cell r="D4346" t="str">
            <v>VONIXX</v>
          </cell>
          <cell r="E4346">
            <v>20011</v>
          </cell>
          <cell r="F4346" t="str">
            <v>LINHA DE HIGENIZAÇÃO E ESTÉTICA  AUTOMOTIVA</v>
          </cell>
          <cell r="G4346" t="str">
            <v>AUTOMOTIVO</v>
          </cell>
        </row>
        <row r="4347">
          <cell r="A4347">
            <v>24226</v>
          </cell>
          <cell r="B4347" t="str">
            <v>BACTRAN 1,5L VONIXX</v>
          </cell>
          <cell r="C4347">
            <v>2011047</v>
          </cell>
          <cell r="D4347" t="str">
            <v>VONIXX</v>
          </cell>
          <cell r="E4347">
            <v>20011</v>
          </cell>
          <cell r="F4347" t="str">
            <v>LINHA DE HIGENIZAÇÃO E ESTÉTICA  AUTOMOTIVA</v>
          </cell>
          <cell r="G4347" t="str">
            <v>AUTOMOTIVO</v>
          </cell>
        </row>
        <row r="4348">
          <cell r="A4348">
            <v>23927</v>
          </cell>
          <cell r="B4348" t="str">
            <v>BARRA DESCONTAMINANTE 100G VINTEX</v>
          </cell>
          <cell r="C4348">
            <v>2011093</v>
          </cell>
          <cell r="D4348" t="str">
            <v>VONIXX</v>
          </cell>
          <cell r="E4348">
            <v>20011</v>
          </cell>
          <cell r="F4348" t="str">
            <v>LINHA DE HIGENIZAÇÃO E ESTÉTICA  AUTOMOTIVA</v>
          </cell>
          <cell r="G4348" t="str">
            <v>AUTOMOTIVO</v>
          </cell>
        </row>
        <row r="4349">
          <cell r="A4349">
            <v>24227</v>
          </cell>
          <cell r="B4349" t="str">
            <v>BLEND ALL IN ONE 500ML VONIXX</v>
          </cell>
          <cell r="C4349">
            <v>2026003</v>
          </cell>
          <cell r="D4349" t="str">
            <v>VONIXX</v>
          </cell>
          <cell r="E4349">
            <v>20011</v>
          </cell>
          <cell r="F4349" t="str">
            <v>LINHA DE HIGENIZAÇÃO E ESTÉTICA  AUTOMOTIVA</v>
          </cell>
          <cell r="G4349" t="str">
            <v>AUTOMOTIVO</v>
          </cell>
        </row>
        <row r="4350">
          <cell r="A4350">
            <v>24291</v>
          </cell>
          <cell r="B4350" t="str">
            <v>BLEND BLACK WAX 100ML VONIXX</v>
          </cell>
          <cell r="C4350">
            <v>2026004</v>
          </cell>
          <cell r="D4350" t="str">
            <v>VONIXX</v>
          </cell>
          <cell r="E4350">
            <v>20011</v>
          </cell>
          <cell r="F4350" t="str">
            <v>LINHA DE HIGENIZAÇÃO E ESTÉTICA  AUTOMOTIVA</v>
          </cell>
          <cell r="G4350" t="str">
            <v>AUTOMOTIVO</v>
          </cell>
        </row>
        <row r="4351">
          <cell r="A4351">
            <v>83821</v>
          </cell>
          <cell r="B4351" t="str">
            <v>BLEND CLEANER WAX 500ML VONIXX</v>
          </cell>
          <cell r="C4351">
            <v>2026028</v>
          </cell>
          <cell r="D4351" t="str">
            <v>VONIXX</v>
          </cell>
          <cell r="E4351">
            <v>20011</v>
          </cell>
          <cell r="F4351" t="str">
            <v>LINHA DE HIGENIZAÇÃO E ESTÉTICA  AUTOMOTIVA</v>
          </cell>
          <cell r="G4351" t="str">
            <v>AUTOMOTIVO</v>
          </cell>
        </row>
        <row r="4352">
          <cell r="A4352">
            <v>83785</v>
          </cell>
          <cell r="B4352" t="str">
            <v>BLEND METAL POLISH 150G VONIXX</v>
          </cell>
          <cell r="C4352">
            <v>2026006</v>
          </cell>
          <cell r="D4352" t="str">
            <v>VONIXX</v>
          </cell>
          <cell r="E4352">
            <v>20011</v>
          </cell>
          <cell r="F4352" t="str">
            <v>LINHA DE HIGENIZAÇÃO E ESTÉTICA  AUTOMOTIVA</v>
          </cell>
          <cell r="G4352" t="str">
            <v>AUTOMOTIVO</v>
          </cell>
        </row>
        <row r="4353">
          <cell r="A4353">
            <v>24228</v>
          </cell>
          <cell r="B4353" t="str">
            <v>BLEND PASTE WAX 100ML VONIXX</v>
          </cell>
          <cell r="C4353">
            <v>2026001</v>
          </cell>
          <cell r="D4353" t="str">
            <v>VONIXX</v>
          </cell>
          <cell r="E4353">
            <v>20011</v>
          </cell>
          <cell r="F4353" t="str">
            <v>LINHA DE HIGENIZAÇÃO E ESTÉTICA  AUTOMOTIVA</v>
          </cell>
          <cell r="G4353" t="str">
            <v>AUTOMOTIVO</v>
          </cell>
        </row>
        <row r="4354">
          <cell r="A4354">
            <v>83870</v>
          </cell>
          <cell r="B4354" t="str">
            <v>BLEND SPRAY 500ML VONIXX</v>
          </cell>
          <cell r="C4354">
            <v>2026002</v>
          </cell>
          <cell r="D4354" t="str">
            <v>VONIXX</v>
          </cell>
          <cell r="E4354">
            <v>20011</v>
          </cell>
          <cell r="F4354" t="str">
            <v>LINHA DE HIGENIZAÇÃO E ESTÉTICA  AUTOMOTIVA</v>
          </cell>
          <cell r="G4354" t="str">
            <v>AUTOMOTIVO</v>
          </cell>
        </row>
        <row r="4355">
          <cell r="A4355">
            <v>24292</v>
          </cell>
          <cell r="B4355" t="str">
            <v>BLEND SPRAY BLACK 500ML VONIXX</v>
          </cell>
          <cell r="C4355">
            <v>2026005</v>
          </cell>
          <cell r="D4355" t="str">
            <v>VONIXX</v>
          </cell>
          <cell r="E4355">
            <v>20011</v>
          </cell>
          <cell r="F4355" t="str">
            <v>LINHA DE HIGENIZAÇÃO E ESTÉTICA  AUTOMOTIVA</v>
          </cell>
          <cell r="G4355" t="str">
            <v>AUTOMOTIVO</v>
          </cell>
        </row>
        <row r="4356">
          <cell r="A4356">
            <v>83956</v>
          </cell>
          <cell r="B4356" t="str">
            <v>CAMISA BRASIL COPA G VONIXX</v>
          </cell>
          <cell r="C4356">
            <v>2050123</v>
          </cell>
          <cell r="D4356" t="str">
            <v>VONIXX</v>
          </cell>
          <cell r="E4356">
            <v>20011</v>
          </cell>
          <cell r="F4356" t="str">
            <v>LINHA DE HIGENIZAÇÃO E ESTÉTICA  AUTOMOTIVA</v>
          </cell>
          <cell r="G4356" t="str">
            <v>AUTOMOTIVO</v>
          </cell>
        </row>
        <row r="4357">
          <cell r="A4357">
            <v>83957</v>
          </cell>
          <cell r="B4357" t="str">
            <v>CAMISA BRASIL COPA GG VONIXX</v>
          </cell>
          <cell r="C4357">
            <v>2050124</v>
          </cell>
          <cell r="D4357" t="str">
            <v>VONIXX</v>
          </cell>
          <cell r="E4357">
            <v>20011</v>
          </cell>
          <cell r="F4357" t="str">
            <v>LINHA DE HIGENIZAÇÃO E ESTÉTICA  AUTOMOTIVA</v>
          </cell>
          <cell r="G4357" t="str">
            <v>AUTOMOTIVO</v>
          </cell>
        </row>
        <row r="4358">
          <cell r="A4358">
            <v>83958</v>
          </cell>
          <cell r="B4358" t="str">
            <v>CAMISA BRASIL COPA M VONIXX</v>
          </cell>
          <cell r="C4358">
            <v>2050122</v>
          </cell>
          <cell r="D4358" t="str">
            <v>VONIXX</v>
          </cell>
          <cell r="E4358">
            <v>20011</v>
          </cell>
          <cell r="F4358" t="str">
            <v>LINHA DE HIGENIZAÇÃO E ESTÉTICA  AUTOMOTIVA</v>
          </cell>
          <cell r="G4358" t="str">
            <v>AUTOMOTIVO</v>
          </cell>
        </row>
        <row r="4359">
          <cell r="A4359">
            <v>84946</v>
          </cell>
          <cell r="B4359" t="str">
            <v>CERA DE CARNAUBA EXPRESS ULTRA 1,5L VONIXX</v>
          </cell>
          <cell r="C4359">
            <v>2011003</v>
          </cell>
          <cell r="D4359" t="str">
            <v>VONIXX</v>
          </cell>
          <cell r="E4359">
            <v>20011</v>
          </cell>
          <cell r="F4359" t="str">
            <v>LINHA DE HIGENIZAÇÃO E ESTÉTICA  AUTOMOTIVA</v>
          </cell>
          <cell r="G4359" t="str">
            <v>AUTOMOTIVO</v>
          </cell>
        </row>
        <row r="4360">
          <cell r="A4360">
            <v>23415</v>
          </cell>
          <cell r="B4360" t="str">
            <v>CERA DE CARNAUBA HYBRID WAX 240G VONIXX</v>
          </cell>
          <cell r="C4360">
            <v>2009006</v>
          </cell>
          <cell r="D4360" t="str">
            <v>VONIXX</v>
          </cell>
          <cell r="E4360">
            <v>20011</v>
          </cell>
          <cell r="F4360" t="str">
            <v>LINHA DE HIGENIZAÇÃO E ESTÉTICA  AUTOMOTIVA</v>
          </cell>
          <cell r="G4360" t="str">
            <v>AUTOMOTIVO</v>
          </cell>
        </row>
        <row r="4361">
          <cell r="A4361">
            <v>83793</v>
          </cell>
          <cell r="B4361" t="str">
            <v>CERA DE CARNAUBA PLUS 1,5L VONIXX</v>
          </cell>
          <cell r="C4361">
            <v>2009038</v>
          </cell>
          <cell r="D4361" t="str">
            <v>VONIXX</v>
          </cell>
          <cell r="E4361">
            <v>20011</v>
          </cell>
          <cell r="F4361" t="str">
            <v>LINHA DE HIGENIZAÇÃO E ESTÉTICA  AUTOMOTIVA</v>
          </cell>
          <cell r="G4361" t="str">
            <v>AUTOMOTIVO</v>
          </cell>
        </row>
        <row r="4362">
          <cell r="A4362">
            <v>23417</v>
          </cell>
          <cell r="B4362" t="str">
            <v>CERA DE CARNAUBA PLUS 3L VONIXX</v>
          </cell>
          <cell r="C4362">
            <v>2009002</v>
          </cell>
          <cell r="D4362" t="str">
            <v>VONIXX</v>
          </cell>
          <cell r="E4362">
            <v>20011</v>
          </cell>
          <cell r="F4362" t="str">
            <v>LINHA DE HIGENIZAÇÃO E ESTÉTICA  AUTOMOTIVA</v>
          </cell>
          <cell r="G4362" t="str">
            <v>AUTOMOTIVO</v>
          </cell>
        </row>
        <row r="4363">
          <cell r="A4363">
            <v>24293</v>
          </cell>
          <cell r="B4363" t="str">
            <v>CERA DE CARNAUBA PLUS 500ML VONIXX</v>
          </cell>
          <cell r="C4363">
            <v>2009004</v>
          </cell>
          <cell r="D4363" t="str">
            <v>VONIXX</v>
          </cell>
          <cell r="E4363">
            <v>20011</v>
          </cell>
          <cell r="F4363" t="str">
            <v>LINHA DE HIGENIZAÇÃO E ESTÉTICA  AUTOMOTIVA</v>
          </cell>
          <cell r="G4363" t="str">
            <v>AUTOMOTIVO</v>
          </cell>
        </row>
        <row r="4364">
          <cell r="A4364">
            <v>23414</v>
          </cell>
          <cell r="B4364" t="str">
            <v>CERA DE CARNAUBA TOK FINAL 500ML SPRAY VONIXX</v>
          </cell>
          <cell r="C4364">
            <v>2009008</v>
          </cell>
          <cell r="D4364" t="str">
            <v>VONIXX</v>
          </cell>
          <cell r="E4364">
            <v>20011</v>
          </cell>
          <cell r="F4364" t="str">
            <v>LINHA DE HIGENIZAÇÃO E ESTÉTICA  AUTOMOTIVA</v>
          </cell>
          <cell r="G4364" t="str">
            <v>AUTOMOTIVO</v>
          </cell>
        </row>
        <row r="4365">
          <cell r="A4365">
            <v>23474</v>
          </cell>
          <cell r="B4365" t="str">
            <v>CERA EXPRESS 500ML SPRAY VONIXX</v>
          </cell>
          <cell r="C4365">
            <v>2010012</v>
          </cell>
          <cell r="D4365" t="str">
            <v>VONIXX</v>
          </cell>
          <cell r="E4365">
            <v>20011</v>
          </cell>
          <cell r="F4365" t="str">
            <v>LINHA DE HIGENIZAÇÃO E ESTÉTICA  AUTOMOTIVA</v>
          </cell>
          <cell r="G4365" t="str">
            <v>AUTOMOTIVO</v>
          </cell>
        </row>
        <row r="4366">
          <cell r="A4366">
            <v>85201</v>
          </cell>
          <cell r="B4366" t="str">
            <v>CHERRY WAX 1L ZACS</v>
          </cell>
          <cell r="C4366">
            <v>2026029</v>
          </cell>
          <cell r="D4366" t="str">
            <v>VONIXX</v>
          </cell>
          <cell r="E4366">
            <v>20011</v>
          </cell>
          <cell r="F4366" t="str">
            <v>LINHA DE HIGENIZAÇÃO E ESTÉTICA  AUTOMOTIVA</v>
          </cell>
          <cell r="G4366" t="str">
            <v>AUTOMOTIVO</v>
          </cell>
        </row>
        <row r="4367">
          <cell r="A4367">
            <v>83794</v>
          </cell>
          <cell r="B4367" t="str">
            <v>CITRON 1,5L VONIXX</v>
          </cell>
          <cell r="C4367">
            <v>2011057</v>
          </cell>
          <cell r="D4367" t="str">
            <v>VONIXX</v>
          </cell>
          <cell r="E4367">
            <v>20011</v>
          </cell>
          <cell r="F4367" t="str">
            <v>LINHA DE HIGENIZAÇÃO E ESTÉTICA  AUTOMOTIVA</v>
          </cell>
          <cell r="G4367" t="str">
            <v>AUTOMOTIVO</v>
          </cell>
        </row>
        <row r="4368">
          <cell r="A4368">
            <v>85262</v>
          </cell>
          <cell r="B4368" t="str">
            <v>CLAY BAR 100G AUTO AMERICA</v>
          </cell>
          <cell r="C4368">
            <v>504545106</v>
          </cell>
          <cell r="D4368" t="str">
            <v>AUTO AMERICA</v>
          </cell>
          <cell r="E4368">
            <v>20011</v>
          </cell>
          <cell r="F4368" t="str">
            <v>LINHA DE HIGENIZAÇÃO E ESTÉTICA  AUTOMOTIVA</v>
          </cell>
          <cell r="G4368" t="str">
            <v>AUTOMOTIVO</v>
          </cell>
        </row>
        <row r="4369">
          <cell r="A4369">
            <v>84874</v>
          </cell>
          <cell r="B4369" t="str">
            <v>CLAY BAR PAD VONIXX</v>
          </cell>
          <cell r="C4369">
            <v>2050178</v>
          </cell>
          <cell r="D4369" t="str">
            <v>VONIXX</v>
          </cell>
          <cell r="E4369">
            <v>20011</v>
          </cell>
          <cell r="F4369" t="str">
            <v>LINHA DE HIGENIZAÇÃO E ESTÉTICA  AUTOMOTIVA</v>
          </cell>
          <cell r="G4369" t="str">
            <v>AUTOMOTIVO</v>
          </cell>
        </row>
        <row r="4370">
          <cell r="A4370">
            <v>84947</v>
          </cell>
          <cell r="B4370" t="str">
            <v>DARKER 5L VONIXX</v>
          </cell>
          <cell r="C4370">
            <v>2010028</v>
          </cell>
          <cell r="D4370" t="str">
            <v>VONIXX</v>
          </cell>
          <cell r="E4370">
            <v>20011</v>
          </cell>
          <cell r="F4370" t="str">
            <v>LINHA DE HIGENIZAÇÃO E ESTÉTICA  AUTOMOTIVA</v>
          </cell>
          <cell r="G4370" t="str">
            <v>AUTOMOTIVO</v>
          </cell>
        </row>
        <row r="4371">
          <cell r="A4371">
            <v>84394</v>
          </cell>
          <cell r="B4371" t="str">
            <v>DELET 500ML SPRAY VONIXX</v>
          </cell>
          <cell r="C4371">
            <v>2050171</v>
          </cell>
          <cell r="D4371" t="str">
            <v>VONIXX</v>
          </cell>
          <cell r="E4371">
            <v>20011</v>
          </cell>
          <cell r="F4371" t="str">
            <v>LINHA DE HIGENIZAÇÃO E ESTÉTICA  AUTOMOTIVA</v>
          </cell>
          <cell r="G4371" t="str">
            <v>AUTOMOTIVO</v>
          </cell>
        </row>
        <row r="4372">
          <cell r="A4372">
            <v>84543</v>
          </cell>
          <cell r="B4372" t="str">
            <v>DELET 5L VONIXX</v>
          </cell>
          <cell r="C4372">
            <v>2050190</v>
          </cell>
          <cell r="D4372" t="str">
            <v>VONIXX</v>
          </cell>
          <cell r="E4372">
            <v>20011</v>
          </cell>
          <cell r="F4372" t="str">
            <v>LINHA DE HIGENIZAÇÃO E ESTÉTICA  AUTOMOTIVA</v>
          </cell>
          <cell r="G4372" t="str">
            <v>AUTOMOTIVO</v>
          </cell>
        </row>
        <row r="4373">
          <cell r="A4373">
            <v>83795</v>
          </cell>
          <cell r="B4373" t="str">
            <v>ESCOVA FURO RODAS MEDIA VONIXX</v>
          </cell>
          <cell r="C4373">
            <v>2011020</v>
          </cell>
          <cell r="D4373" t="str">
            <v>VONIXX</v>
          </cell>
          <cell r="E4373">
            <v>20011</v>
          </cell>
          <cell r="F4373" t="str">
            <v>LINHA DE HIGENIZAÇÃO E ESTÉTICA  AUTOMOTIVA</v>
          </cell>
          <cell r="G4373" t="str">
            <v>AUTOMOTIVO</v>
          </cell>
        </row>
        <row r="4374">
          <cell r="A4374">
            <v>84544</v>
          </cell>
          <cell r="B4374" t="str">
            <v>ESCOVA FURO RODAS PEPINO VONIXX</v>
          </cell>
          <cell r="C4374">
            <v>2011019</v>
          </cell>
          <cell r="D4374" t="str">
            <v>VONIXX</v>
          </cell>
          <cell r="E4374">
            <v>20011</v>
          </cell>
          <cell r="F4374" t="str">
            <v>LINHA DE HIGENIZAÇÃO E ESTÉTICA  AUTOMOTIVA</v>
          </cell>
          <cell r="G4374" t="str">
            <v>AUTOMOTIVO</v>
          </cell>
        </row>
        <row r="4375">
          <cell r="A4375">
            <v>24263</v>
          </cell>
          <cell r="B4375" t="str">
            <v>ESCOVA LIMPEZA DE PNEUS VONIX</v>
          </cell>
          <cell r="C4375">
            <v>2011023</v>
          </cell>
          <cell r="D4375" t="str">
            <v>VONIXX</v>
          </cell>
          <cell r="E4375">
            <v>20011</v>
          </cell>
          <cell r="F4375" t="str">
            <v>LINHA DE HIGENIZAÇÃO E ESTÉTICA  AUTOMOTIVA</v>
          </cell>
          <cell r="G4375" t="str">
            <v>AUTOMOTIVO</v>
          </cell>
        </row>
        <row r="4376">
          <cell r="A4376">
            <v>84545</v>
          </cell>
          <cell r="B4376" t="str">
            <v>ESCOVA LIMPEZA FURO DE RODAS LONGA VONIXX</v>
          </cell>
          <cell r="C4376">
            <v>2050058</v>
          </cell>
          <cell r="D4376" t="str">
            <v>VONIXX</v>
          </cell>
          <cell r="E4376">
            <v>20011</v>
          </cell>
          <cell r="F4376" t="str">
            <v>LINHA DE HIGENIZAÇÃO E ESTÉTICA  AUTOMOTIVA</v>
          </cell>
          <cell r="G4376" t="str">
            <v>AUTOMOTIVO</v>
          </cell>
        </row>
        <row r="4377">
          <cell r="A4377">
            <v>84546</v>
          </cell>
          <cell r="B4377" t="str">
            <v>ESCOVA P/ LIMPEZA C/ CERDAS MEDIA VONIXX</v>
          </cell>
          <cell r="C4377">
            <v>2050055</v>
          </cell>
          <cell r="D4377" t="str">
            <v>VONIXX</v>
          </cell>
          <cell r="E4377">
            <v>20011</v>
          </cell>
          <cell r="F4377" t="str">
            <v>LINHA DE HIGENIZAÇÃO E ESTÉTICA  AUTOMOTIVA</v>
          </cell>
          <cell r="G4377" t="str">
            <v>AUTOMOTIVO</v>
          </cell>
        </row>
        <row r="4378">
          <cell r="A4378">
            <v>85202</v>
          </cell>
          <cell r="B4378" t="str">
            <v>ESPONJA MIC REMOVE INSETOS VONIXX</v>
          </cell>
          <cell r="C4378">
            <v>2005019</v>
          </cell>
          <cell r="D4378" t="str">
            <v>VONIXX</v>
          </cell>
          <cell r="E4378">
            <v>20011</v>
          </cell>
          <cell r="F4378" t="str">
            <v>LINHA DE HIGENIZAÇÃO E ESTÉTICA  AUTOMOTIVA</v>
          </cell>
          <cell r="G4378" t="str">
            <v>AUTOMOTIVO</v>
          </cell>
        </row>
        <row r="4379">
          <cell r="A4379">
            <v>83857</v>
          </cell>
          <cell r="B4379" t="str">
            <v>ESPUMA APLICADORA 3M VERMELHA</v>
          </cell>
          <cell r="D4379" t="str">
            <v>3M</v>
          </cell>
          <cell r="E4379">
            <v>20011</v>
          </cell>
          <cell r="F4379" t="str">
            <v>LINHA DE HIGENIZAÇÃO E ESTÉTICA  AUTOMOTIVA</v>
          </cell>
          <cell r="G4379" t="str">
            <v>AUTOMOTIVO</v>
          </cell>
        </row>
        <row r="4380">
          <cell r="A4380">
            <v>23565</v>
          </cell>
          <cell r="B4380" t="str">
            <v>ESPUMA APLICADORA RAZUX 02 UNID VONIXX</v>
          </cell>
          <cell r="C4380">
            <v>2050501</v>
          </cell>
          <cell r="D4380" t="str">
            <v>VONIXX</v>
          </cell>
          <cell r="E4380">
            <v>20011</v>
          </cell>
          <cell r="F4380" t="str">
            <v>LINHA DE HIGENIZAÇÃO E ESTÉTICA  AUTOMOTIVA</v>
          </cell>
          <cell r="G4380" t="str">
            <v>AUTOMOTIVO</v>
          </cell>
        </row>
        <row r="4381">
          <cell r="A4381">
            <v>24229</v>
          </cell>
          <cell r="B4381" t="str">
            <v>EXTRACTUS 1,5L VONIXX</v>
          </cell>
          <cell r="C4381">
            <v>2011050</v>
          </cell>
          <cell r="D4381" t="str">
            <v>VONIXX</v>
          </cell>
          <cell r="E4381">
            <v>20011</v>
          </cell>
          <cell r="F4381" t="str">
            <v>LINHA DE HIGENIZAÇÃO E ESTÉTICA  AUTOMOTIVA</v>
          </cell>
          <cell r="G4381" t="str">
            <v>AUTOMOTIVO</v>
          </cell>
        </row>
        <row r="4382">
          <cell r="A4382">
            <v>24295</v>
          </cell>
          <cell r="B4382" t="str">
            <v>EXTRACTUS 3L VONIXX</v>
          </cell>
          <cell r="C4382">
            <v>2011049</v>
          </cell>
          <cell r="D4382" t="str">
            <v>VONIXX</v>
          </cell>
          <cell r="E4382">
            <v>20011</v>
          </cell>
          <cell r="F4382" t="str">
            <v>LINHA DE HIGENIZAÇÃO E ESTÉTICA  AUTOMOTIVA</v>
          </cell>
          <cell r="G4382" t="str">
            <v>AUTOMOTIVO</v>
          </cell>
        </row>
        <row r="4383">
          <cell r="A4383">
            <v>84547</v>
          </cell>
          <cell r="B4383" t="str">
            <v>EXTRACTUS 5L VONIXX</v>
          </cell>
          <cell r="C4383">
            <v>2012049</v>
          </cell>
          <cell r="D4383" t="str">
            <v>VONIXX</v>
          </cell>
          <cell r="E4383">
            <v>20011</v>
          </cell>
          <cell r="F4383" t="str">
            <v>LINHA DE HIGENIZAÇÃO E ESTÉTICA  AUTOMOTIVA</v>
          </cell>
          <cell r="G4383" t="str">
            <v>AUTOMOTIVO</v>
          </cell>
        </row>
        <row r="4384">
          <cell r="A4384">
            <v>83823</v>
          </cell>
          <cell r="B4384" t="str">
            <v>EXTRACTUS SENSITIVE 1,5L VONIXX</v>
          </cell>
          <cell r="C4384">
            <v>2011100</v>
          </cell>
          <cell r="D4384" t="str">
            <v>VONIXX</v>
          </cell>
          <cell r="E4384">
            <v>20011</v>
          </cell>
          <cell r="F4384" t="str">
            <v>LINHA DE HIGENIZAÇÃO E ESTÉTICA  AUTOMOTIVA</v>
          </cell>
          <cell r="G4384" t="str">
            <v>AUTOMOTIVO</v>
          </cell>
        </row>
        <row r="4385">
          <cell r="A4385">
            <v>83822</v>
          </cell>
          <cell r="B4385" t="str">
            <v>EXTRACTUS SENSITIVE 3L VONIXX</v>
          </cell>
          <cell r="C4385">
            <v>2011101</v>
          </cell>
          <cell r="D4385" t="str">
            <v>VONIXX</v>
          </cell>
          <cell r="E4385">
            <v>20011</v>
          </cell>
          <cell r="F4385" t="str">
            <v>LINHA DE HIGENIZAÇÃO E ESTÉTICA  AUTOMOTIVA</v>
          </cell>
          <cell r="G4385" t="str">
            <v>AUTOMOTIVO</v>
          </cell>
        </row>
        <row r="4386">
          <cell r="A4386">
            <v>83881</v>
          </cell>
          <cell r="B4386" t="str">
            <v>FLANELA DE SECAGEM 70X120 ULTRA VONIX</v>
          </cell>
          <cell r="C4386">
            <v>2005116</v>
          </cell>
          <cell r="D4386" t="str">
            <v>VONIXX</v>
          </cell>
          <cell r="E4386">
            <v>20011</v>
          </cell>
          <cell r="F4386" t="str">
            <v>LINHA DE HIGENIZAÇÃO E ESTÉTICA  AUTOMOTIVA</v>
          </cell>
          <cell r="G4386" t="str">
            <v>AUTOMOTIVO</v>
          </cell>
        </row>
        <row r="4387">
          <cell r="A4387">
            <v>85407</v>
          </cell>
          <cell r="B4387" t="str">
            <v>FLEXUS 500ML VONIXX</v>
          </cell>
          <cell r="C4387">
            <v>2050441</v>
          </cell>
          <cell r="D4387" t="str">
            <v>VONIXX</v>
          </cell>
          <cell r="E4387">
            <v>20011</v>
          </cell>
          <cell r="F4387" t="str">
            <v>LINHA DE HIGENIZAÇÃO E ESTÉTICA  AUTOMOTIVA</v>
          </cell>
          <cell r="G4387" t="str">
            <v>AUTOMOTIVO</v>
          </cell>
        </row>
        <row r="4388">
          <cell r="A4388">
            <v>85515</v>
          </cell>
          <cell r="B4388" t="str">
            <v>GLADIUS 500ML VONIXX</v>
          </cell>
          <cell r="C4388">
            <v>2050440</v>
          </cell>
          <cell r="D4388" t="str">
            <v>VONIXX</v>
          </cell>
          <cell r="E4388">
            <v>20011</v>
          </cell>
          <cell r="F4388" t="str">
            <v>LINHA DE HIGENIZAÇÃO E ESTÉTICA  AUTOMOTIVA</v>
          </cell>
          <cell r="G4388" t="str">
            <v>AUTOMOTIVO</v>
          </cell>
        </row>
        <row r="4389">
          <cell r="A4389">
            <v>85350</v>
          </cell>
          <cell r="B4389" t="str">
            <v>GLAZY 500ML SPRAY VONIXX</v>
          </cell>
          <cell r="C4389">
            <v>2050439</v>
          </cell>
          <cell r="D4389" t="str">
            <v>VONIXX</v>
          </cell>
          <cell r="E4389">
            <v>20011</v>
          </cell>
          <cell r="F4389" t="str">
            <v>LINHA DE HIGENIZAÇÃO E ESTÉTICA  AUTOMOTIVA</v>
          </cell>
          <cell r="G4389" t="str">
            <v>AUTOMOTIVO</v>
          </cell>
        </row>
        <row r="4390">
          <cell r="A4390">
            <v>85545</v>
          </cell>
          <cell r="B4390" t="str">
            <v>GLIZZ 500ML</v>
          </cell>
          <cell r="C4390">
            <v>2011090</v>
          </cell>
          <cell r="D4390" t="str">
            <v>VONIXX</v>
          </cell>
          <cell r="E4390">
            <v>20011</v>
          </cell>
          <cell r="F4390" t="str">
            <v>LINHA DE HIGENIZAÇÃO E ESTÉTICA  AUTOMOTIVA</v>
          </cell>
          <cell r="G4390" t="str">
            <v>AUTOMOTIVO</v>
          </cell>
        </row>
        <row r="4391">
          <cell r="A4391">
            <v>23444</v>
          </cell>
          <cell r="B4391" t="str">
            <v>HIDRACOURO 500ML VONIXX</v>
          </cell>
          <cell r="C4391">
            <v>2009010</v>
          </cell>
          <cell r="D4391" t="str">
            <v>VONIXX</v>
          </cell>
          <cell r="E4391">
            <v>20011</v>
          </cell>
          <cell r="F4391" t="str">
            <v>LINHA DE HIGENIZAÇÃO E ESTÉTICA  AUTOMOTIVA</v>
          </cell>
          <cell r="G4391" t="str">
            <v>AUTOMOTIVO</v>
          </cell>
        </row>
        <row r="4392">
          <cell r="A4392">
            <v>23443</v>
          </cell>
          <cell r="B4392" t="str">
            <v>HIGICOURO 500ML SPRAY VONIXX</v>
          </cell>
          <cell r="C4392">
            <v>2009012</v>
          </cell>
          <cell r="D4392" t="str">
            <v>VONIXX</v>
          </cell>
          <cell r="E4392">
            <v>20011</v>
          </cell>
          <cell r="F4392" t="str">
            <v>LINHA DE HIGENIZAÇÃO E ESTÉTICA  AUTOMOTIVA</v>
          </cell>
          <cell r="G4392" t="str">
            <v>AUTOMOTIVO</v>
          </cell>
        </row>
        <row r="4393">
          <cell r="A4393">
            <v>85207</v>
          </cell>
          <cell r="B4393" t="str">
            <v>IMPACT 1,5L VONIXX</v>
          </cell>
          <cell r="C4393">
            <v>2011054</v>
          </cell>
          <cell r="D4393" t="str">
            <v>VONIXX</v>
          </cell>
          <cell r="E4393">
            <v>20011</v>
          </cell>
          <cell r="F4393" t="str">
            <v>LINHA DE HIGENIZAÇÃO E ESTÉTICA  AUTOMOTIVA</v>
          </cell>
          <cell r="G4393" t="str">
            <v>AUTOMOTIVO</v>
          </cell>
        </row>
        <row r="4394">
          <cell r="A4394">
            <v>84395</v>
          </cell>
          <cell r="B4394" t="str">
            <v>IMPACT 3L VONIXX</v>
          </cell>
          <cell r="C4394">
            <v>2011055</v>
          </cell>
          <cell r="D4394" t="str">
            <v>VONIXX</v>
          </cell>
          <cell r="E4394">
            <v>20011</v>
          </cell>
          <cell r="F4394" t="str">
            <v>LINHA DE HIGENIZAÇÃO E ESTÉTICA  AUTOMOTIVA</v>
          </cell>
          <cell r="G4394" t="str">
            <v>AUTOMOTIVO</v>
          </cell>
        </row>
        <row r="4395">
          <cell r="A4395">
            <v>85203</v>
          </cell>
          <cell r="B4395" t="str">
            <v>IMPACT 5L VONIXX</v>
          </cell>
          <cell r="C4395">
            <v>2011009</v>
          </cell>
          <cell r="D4395" t="str">
            <v>VONIXX</v>
          </cell>
          <cell r="E4395">
            <v>20011</v>
          </cell>
          <cell r="F4395" t="str">
            <v>LINHA DE HIGENIZAÇÃO E ESTÉTICA  AUTOMOTIVA</v>
          </cell>
          <cell r="G4395" t="str">
            <v>AUTOMOTIVO</v>
          </cell>
        </row>
        <row r="4396">
          <cell r="A4396">
            <v>24296</v>
          </cell>
          <cell r="B4396" t="str">
            <v>INTENSE 500ML VONIXX</v>
          </cell>
          <cell r="C4396">
            <v>2009039</v>
          </cell>
          <cell r="D4396" t="str">
            <v>VONIXX</v>
          </cell>
          <cell r="E4396">
            <v>20011</v>
          </cell>
          <cell r="F4396" t="str">
            <v>LINHA DE HIGENIZAÇÃO E ESTÉTICA  AUTOMOTIVA</v>
          </cell>
          <cell r="G4396" t="str">
            <v>AUTOMOTIVO</v>
          </cell>
        </row>
        <row r="4397">
          <cell r="A4397">
            <v>24230</v>
          </cell>
          <cell r="B4397" t="str">
            <v>IZER 500ML SPRAY VONIXX</v>
          </cell>
          <cell r="C4397">
            <v>2011040</v>
          </cell>
          <cell r="D4397" t="str">
            <v>VONIXX</v>
          </cell>
          <cell r="E4397">
            <v>20011</v>
          </cell>
          <cell r="F4397" t="str">
            <v>LINHA DE HIGENIZAÇÃO E ESTÉTICA  AUTOMOTIVA</v>
          </cell>
          <cell r="G4397" t="str">
            <v>AUTOMOTIVO</v>
          </cell>
        </row>
        <row r="4398">
          <cell r="A4398">
            <v>83796</v>
          </cell>
          <cell r="B4398" t="str">
            <v>KAZAN BLUE 240ML VONIXX</v>
          </cell>
          <cell r="C4398">
            <v>2050020</v>
          </cell>
          <cell r="D4398" t="str">
            <v>VONIXX</v>
          </cell>
          <cell r="E4398">
            <v>20011</v>
          </cell>
          <cell r="F4398" t="str">
            <v>LINHA DE HIGENIZAÇÃO E ESTÉTICA  AUTOMOTIVA</v>
          </cell>
          <cell r="G4398" t="str">
            <v>AUTOMOTIVO</v>
          </cell>
        </row>
        <row r="4399">
          <cell r="A4399">
            <v>83797</v>
          </cell>
          <cell r="B4399" t="str">
            <v>KAZAN RED 240ML VONIXX</v>
          </cell>
          <cell r="C4399">
            <v>2050010</v>
          </cell>
          <cell r="D4399" t="str">
            <v>VONIXX</v>
          </cell>
          <cell r="E4399">
            <v>20011</v>
          </cell>
          <cell r="F4399" t="str">
            <v>LINHA DE HIGENIZAÇÃO E ESTÉTICA  AUTOMOTIVA</v>
          </cell>
          <cell r="G4399" t="str">
            <v>AUTOMOTIVO</v>
          </cell>
        </row>
        <row r="4400">
          <cell r="A4400">
            <v>83798</v>
          </cell>
          <cell r="B4400" t="str">
            <v>KIT 3 ESCOVAS DETALHAMENTO NYLON AÇO VONIXX</v>
          </cell>
          <cell r="C4400">
            <v>2005067</v>
          </cell>
          <cell r="D4400" t="str">
            <v>VONIXX</v>
          </cell>
          <cell r="E4400">
            <v>20011</v>
          </cell>
          <cell r="F4400" t="str">
            <v>LINHA DE HIGENIZAÇÃO E ESTÉTICA  AUTOMOTIVA</v>
          </cell>
          <cell r="G4400" t="str">
            <v>AUTOMOTIVO</v>
          </cell>
        </row>
        <row r="4401">
          <cell r="A4401">
            <v>83800</v>
          </cell>
          <cell r="B4401" t="str">
            <v>KIT 3 PINCEIS DETALHAMENTO ULTRA MACIO VONIXX</v>
          </cell>
          <cell r="C4401">
            <v>2005066</v>
          </cell>
          <cell r="D4401" t="str">
            <v>VONIXX</v>
          </cell>
          <cell r="E4401">
            <v>20011</v>
          </cell>
          <cell r="F4401" t="str">
            <v>LINHA DE HIGENIZAÇÃO E ESTÉTICA  AUTOMOTIVA</v>
          </cell>
          <cell r="G4401" t="str">
            <v>AUTOMOTIVO</v>
          </cell>
        </row>
        <row r="4402">
          <cell r="A4402">
            <v>83801</v>
          </cell>
          <cell r="B4402" t="str">
            <v>KIT 5 PINCEIS DETALHAMENTO EXTERNO VONIXX</v>
          </cell>
          <cell r="C4402">
            <v>2005064</v>
          </cell>
          <cell r="D4402" t="str">
            <v>VONIXX</v>
          </cell>
          <cell r="E4402">
            <v>20011</v>
          </cell>
          <cell r="F4402" t="str">
            <v>LINHA DE HIGENIZAÇÃO E ESTÉTICA  AUTOMOTIVA</v>
          </cell>
          <cell r="G4402" t="str">
            <v>AUTOMOTIVO</v>
          </cell>
        </row>
        <row r="4403">
          <cell r="A4403">
            <v>24386</v>
          </cell>
          <cell r="B4403" t="str">
            <v>KIT 5 PINCEIS DETALHAMENTO INTERNO VONIXX</v>
          </cell>
          <cell r="C4403">
            <v>2005065</v>
          </cell>
          <cell r="D4403" t="str">
            <v>VONIXX</v>
          </cell>
          <cell r="E4403">
            <v>20011</v>
          </cell>
          <cell r="F4403" t="str">
            <v>LINHA DE HIGENIZAÇÃO E ESTÉTICA  AUTOMOTIVA</v>
          </cell>
          <cell r="G4403" t="str">
            <v>AUTOMOTIVO</v>
          </cell>
        </row>
        <row r="4404">
          <cell r="A4404">
            <v>23480</v>
          </cell>
          <cell r="B4404" t="str">
            <v>LAVA AUTOS 500ML VONIXX</v>
          </cell>
          <cell r="C4404" t="str">
            <v>PA10016</v>
          </cell>
          <cell r="D4404" t="str">
            <v>VONIXX</v>
          </cell>
          <cell r="E4404">
            <v>20011</v>
          </cell>
          <cell r="F4404" t="str">
            <v>LINHA DE HIGENIZAÇÃO E ESTÉTICA  AUTOMOTIVA</v>
          </cell>
          <cell r="G4404" t="str">
            <v>AUTOMOTIVO</v>
          </cell>
        </row>
        <row r="4405">
          <cell r="A4405">
            <v>23483</v>
          </cell>
          <cell r="B4405" t="str">
            <v>LAVA AUTOS 5L VONIXX</v>
          </cell>
          <cell r="C4405">
            <v>2008019</v>
          </cell>
          <cell r="D4405" t="str">
            <v>VONIXX</v>
          </cell>
          <cell r="E4405">
            <v>20011</v>
          </cell>
          <cell r="F4405" t="str">
            <v>LINHA DE HIGENIZAÇÃO E ESTÉTICA  AUTOMOTIVA</v>
          </cell>
          <cell r="G4405" t="str">
            <v>AUTOMOTIVO</v>
          </cell>
        </row>
        <row r="4406">
          <cell r="A4406">
            <v>24264</v>
          </cell>
          <cell r="B4406" t="str">
            <v>LUVA MICROFIBRA TENTACULOS VONIXX</v>
          </cell>
          <cell r="C4406">
            <v>2005023</v>
          </cell>
          <cell r="D4406" t="str">
            <v>VONIXX</v>
          </cell>
          <cell r="E4406">
            <v>20011</v>
          </cell>
          <cell r="F4406" t="str">
            <v>LINHA DE HIGENIZAÇÃO E ESTÉTICA  AUTOMOTIVA</v>
          </cell>
          <cell r="G4406" t="str">
            <v>AUTOMOTIVO</v>
          </cell>
        </row>
        <row r="4407">
          <cell r="A4407">
            <v>83820</v>
          </cell>
          <cell r="B4407" t="str">
            <v>MAKKER 2.0 FINALIZADOR 500ML VONIXX</v>
          </cell>
          <cell r="C4407">
            <v>2026027</v>
          </cell>
          <cell r="D4407" t="str">
            <v>VONIXX</v>
          </cell>
          <cell r="E4407">
            <v>20011</v>
          </cell>
          <cell r="F4407" t="str">
            <v>LINHA DE HIGENIZAÇÃO E ESTÉTICA  AUTOMOTIVA</v>
          </cell>
          <cell r="G4407" t="str">
            <v>AUTOMOTIVO</v>
          </cell>
        </row>
        <row r="4408">
          <cell r="A4408">
            <v>85204</v>
          </cell>
          <cell r="B4408" t="str">
            <v>MITTUS 500ML ZACS</v>
          </cell>
          <cell r="C4408">
            <v>2011106</v>
          </cell>
          <cell r="D4408" t="str">
            <v>VONIXX</v>
          </cell>
          <cell r="E4408">
            <v>20011</v>
          </cell>
          <cell r="F4408" t="str">
            <v>LINHA DE HIGENIZAÇÃO E ESTÉTICA  AUTOMOTIVA</v>
          </cell>
          <cell r="G4408" t="str">
            <v>AUTOMOTIVO</v>
          </cell>
        </row>
        <row r="4409">
          <cell r="A4409">
            <v>245</v>
          </cell>
          <cell r="B4409" t="str">
            <v>MOTO-V 1,5L VONIXX</v>
          </cell>
          <cell r="C4409">
            <v>2018022</v>
          </cell>
          <cell r="D4409" t="str">
            <v>VONIXX</v>
          </cell>
          <cell r="E4409">
            <v>20011</v>
          </cell>
          <cell r="F4409" t="str">
            <v>LINHA DE HIGENIZAÇÃO E ESTÉTICA  AUTOMOTIVA</v>
          </cell>
          <cell r="G4409" t="str">
            <v>AUTOMOTIVO</v>
          </cell>
        </row>
        <row r="4410">
          <cell r="A4410">
            <v>244</v>
          </cell>
          <cell r="B4410" t="str">
            <v>MOTO-V 500ML VONIXX</v>
          </cell>
          <cell r="C4410">
            <v>2018021</v>
          </cell>
          <cell r="D4410" t="str">
            <v>VONIXX</v>
          </cell>
          <cell r="E4410">
            <v>20011</v>
          </cell>
          <cell r="F4410" t="str">
            <v>LINHA DE HIGENIZAÇÃO E ESTÉTICA  AUTOMOTIVA</v>
          </cell>
          <cell r="G4410" t="str">
            <v>AUTOMOTIVO</v>
          </cell>
        </row>
        <row r="4411">
          <cell r="A4411">
            <v>23475</v>
          </cell>
          <cell r="B4411" t="str">
            <v>NATIVE PASTE WAX 236ML VONIXX</v>
          </cell>
          <cell r="C4411" t="str">
            <v>PA23001</v>
          </cell>
          <cell r="D4411" t="str">
            <v>VONIXX</v>
          </cell>
          <cell r="E4411">
            <v>20011</v>
          </cell>
          <cell r="F4411" t="str">
            <v>LINHA DE HIGENIZAÇÃO E ESTÉTICA  AUTOMOTIVA</v>
          </cell>
          <cell r="G4411" t="str">
            <v>AUTOMOTIVO</v>
          </cell>
        </row>
        <row r="4412">
          <cell r="A4412">
            <v>23476</v>
          </cell>
          <cell r="B4412" t="str">
            <v>NATIVE SPRAY WAX 473ML VONIXX</v>
          </cell>
          <cell r="C4412" t="str">
            <v>PA23003</v>
          </cell>
          <cell r="D4412" t="str">
            <v>VONIXX</v>
          </cell>
          <cell r="E4412">
            <v>20011</v>
          </cell>
          <cell r="F4412" t="str">
            <v>LINHA DE HIGENIZAÇÃO E ESTÉTICA  AUTOMOTIVA</v>
          </cell>
          <cell r="G4412" t="str">
            <v>AUTOMOTIVO</v>
          </cell>
        </row>
        <row r="4413">
          <cell r="A4413">
            <v>85351</v>
          </cell>
          <cell r="B4413" t="str">
            <v>OPTY 240ML VONIXX</v>
          </cell>
          <cell r="C4413">
            <v>2050448</v>
          </cell>
          <cell r="D4413" t="str">
            <v>VONIXX</v>
          </cell>
          <cell r="E4413">
            <v>20011</v>
          </cell>
          <cell r="F4413" t="str">
            <v>LINHA DE HIGENIZAÇÃO E ESTÉTICA  AUTOMOTIVA</v>
          </cell>
          <cell r="G4413" t="str">
            <v>AUTOMOTIVO</v>
          </cell>
        </row>
        <row r="4414">
          <cell r="A4414">
            <v>84872</v>
          </cell>
          <cell r="B4414" t="str">
            <v>PNEU PRETINHO 1,5L VONIXX</v>
          </cell>
          <cell r="C4414">
            <v>2008030</v>
          </cell>
          <cell r="D4414" t="str">
            <v>VONIXX</v>
          </cell>
          <cell r="E4414">
            <v>20011</v>
          </cell>
          <cell r="F4414" t="str">
            <v>LINHA DE HIGENIZAÇÃO E ESTÉTICA  AUTOMOTIVA</v>
          </cell>
          <cell r="G4414" t="str">
            <v>AUTOMOTIVO</v>
          </cell>
        </row>
        <row r="4415">
          <cell r="A4415">
            <v>24297</v>
          </cell>
          <cell r="B4415" t="str">
            <v>PNEU PRETINHO 5L VONIXX</v>
          </cell>
          <cell r="C4415">
            <v>2008029</v>
          </cell>
          <cell r="D4415" t="str">
            <v>VONIXX</v>
          </cell>
          <cell r="E4415">
            <v>20011</v>
          </cell>
          <cell r="F4415" t="str">
            <v>LINHA DE HIGENIZAÇÃO E ESTÉTICA  AUTOMOTIVA</v>
          </cell>
          <cell r="G4415" t="str">
            <v>AUTOMOTIVO</v>
          </cell>
        </row>
        <row r="4416">
          <cell r="A4416">
            <v>23478</v>
          </cell>
          <cell r="B4416" t="str">
            <v>POLIDOR CORTE RAPIDO 500ML VONIXX</v>
          </cell>
          <cell r="C4416" t="str">
            <v>PA09027</v>
          </cell>
          <cell r="D4416" t="str">
            <v>VONIXX</v>
          </cell>
          <cell r="E4416">
            <v>20011</v>
          </cell>
          <cell r="F4416" t="str">
            <v>LINHA DE HIGENIZAÇÃO E ESTÉTICA  AUTOMOTIVA</v>
          </cell>
          <cell r="G4416" t="str">
            <v>AUTOMOTIVO</v>
          </cell>
        </row>
        <row r="4417">
          <cell r="A4417">
            <v>85208</v>
          </cell>
          <cell r="B4417" t="str">
            <v>POLITRIZ ROTO-ORBITAL ZACS 900W 220V</v>
          </cell>
          <cell r="C4417">
            <v>2050181</v>
          </cell>
          <cell r="D4417" t="str">
            <v>VONIXX</v>
          </cell>
          <cell r="E4417">
            <v>20011</v>
          </cell>
          <cell r="F4417" t="str">
            <v>LINHA DE HIGENIZAÇÃO E ESTÉTICA  AUTOMOTIVA</v>
          </cell>
          <cell r="G4417" t="str">
            <v>AUTOMOTIVO</v>
          </cell>
        </row>
        <row r="4418">
          <cell r="A4418">
            <v>85247</v>
          </cell>
          <cell r="B4418" t="str">
            <v>PRIZM 1,5L VONIXX</v>
          </cell>
          <cell r="C4418">
            <v>2009057</v>
          </cell>
          <cell r="D4418" t="str">
            <v>VONIXX</v>
          </cell>
          <cell r="E4418">
            <v>20011</v>
          </cell>
          <cell r="F4418" t="str">
            <v>LINHA DE HIGENIZAÇÃO E ESTÉTICA  AUTOMOTIVA</v>
          </cell>
          <cell r="G4418" t="str">
            <v>AUTOMOTIVO</v>
          </cell>
        </row>
        <row r="4419">
          <cell r="A4419">
            <v>24265</v>
          </cell>
          <cell r="B4419" t="str">
            <v>PRIZM 500ML VONIXX</v>
          </cell>
          <cell r="C4419">
            <v>2011068</v>
          </cell>
          <cell r="D4419" t="str">
            <v>VONIXX</v>
          </cell>
          <cell r="E4419">
            <v>20011</v>
          </cell>
          <cell r="F4419" t="str">
            <v>LINHA DE HIGENIZAÇÃO E ESTÉTICA  AUTOMOTIVA</v>
          </cell>
          <cell r="G4419" t="str">
            <v>AUTOMOTIVO</v>
          </cell>
        </row>
        <row r="4420">
          <cell r="A4420">
            <v>85517</v>
          </cell>
          <cell r="B4420" t="str">
            <v>PULVERIZADOR DE COMPRESSÃO MANUAL 2L VONIXX</v>
          </cell>
          <cell r="C4420">
            <v>2050502</v>
          </cell>
          <cell r="D4420" t="str">
            <v>VONIXX</v>
          </cell>
          <cell r="E4420">
            <v>20011</v>
          </cell>
          <cell r="F4420" t="str">
            <v>LINHA DE HIGENIZAÇÃO E ESTÉTICA  AUTOMOTIVA</v>
          </cell>
          <cell r="G4420" t="str">
            <v>AUTOMOTIVO</v>
          </cell>
        </row>
        <row r="4421">
          <cell r="A4421">
            <v>84548</v>
          </cell>
          <cell r="B4421" t="str">
            <v>PULVERIZADOR DE DILUIÇAO QUANT 500ML VONIXX</v>
          </cell>
          <cell r="C4421">
            <v>2050038</v>
          </cell>
          <cell r="D4421" t="str">
            <v>VONIXX</v>
          </cell>
          <cell r="E4421">
            <v>20011</v>
          </cell>
          <cell r="F4421" t="str">
            <v>LINHA DE HIGENIZAÇÃO E ESTÉTICA  AUTOMOTIVA</v>
          </cell>
          <cell r="G4421" t="str">
            <v>AUTOMOTIVO</v>
          </cell>
        </row>
        <row r="4422">
          <cell r="A4422">
            <v>23440</v>
          </cell>
          <cell r="B4422" t="str">
            <v>REJUVEX 400G VONIXX</v>
          </cell>
          <cell r="C4422">
            <v>2008003</v>
          </cell>
          <cell r="D4422" t="str">
            <v>VONIXX</v>
          </cell>
          <cell r="E4422">
            <v>20011</v>
          </cell>
          <cell r="F4422" t="str">
            <v>LINHA DE HIGENIZAÇÃO E ESTÉTICA  AUTOMOTIVA</v>
          </cell>
          <cell r="G4422" t="str">
            <v>AUTOMOTIVO</v>
          </cell>
        </row>
        <row r="4423">
          <cell r="A4423">
            <v>83864</v>
          </cell>
          <cell r="B4423" t="str">
            <v>REJUVEX BLACK 400G VINTEX</v>
          </cell>
          <cell r="C4423">
            <v>2008060</v>
          </cell>
          <cell r="D4423" t="str">
            <v>VONIXX</v>
          </cell>
          <cell r="E4423">
            <v>20011</v>
          </cell>
          <cell r="F4423" t="str">
            <v>LINHA DE HIGENIZAÇÃO E ESTÉTICA  AUTOMOTIVA</v>
          </cell>
          <cell r="G4423" t="str">
            <v>AUTOMOTIVO</v>
          </cell>
        </row>
        <row r="4424">
          <cell r="A4424">
            <v>85209</v>
          </cell>
          <cell r="B4424" t="str">
            <v>REMOVEX 1,5L VONIXX</v>
          </cell>
          <cell r="C4424">
            <v>2008047</v>
          </cell>
          <cell r="D4424" t="str">
            <v>VONIXX</v>
          </cell>
          <cell r="E4424">
            <v>20011</v>
          </cell>
          <cell r="F4424" t="str">
            <v>LINHA DE HIGENIZAÇÃO E ESTÉTICA  AUTOMOTIVA</v>
          </cell>
          <cell r="G4424" t="str">
            <v>AUTOMOTIVO</v>
          </cell>
        </row>
        <row r="4425">
          <cell r="A4425">
            <v>85210</v>
          </cell>
          <cell r="B4425" t="str">
            <v>REMOVEX 5L VONIXX</v>
          </cell>
          <cell r="C4425">
            <v>2008038</v>
          </cell>
          <cell r="D4425" t="str">
            <v>VONIXX</v>
          </cell>
          <cell r="E4425">
            <v>20011</v>
          </cell>
          <cell r="F4425" t="str">
            <v>LINHA DE HIGENIZAÇÃO E ESTÉTICA  AUTOMOTIVA</v>
          </cell>
          <cell r="G4425" t="str">
            <v>AUTOMOTIVO</v>
          </cell>
        </row>
        <row r="4426">
          <cell r="A4426">
            <v>23441</v>
          </cell>
          <cell r="B4426" t="str">
            <v>RENOVA PLASTICOS 200G VONIXX</v>
          </cell>
          <cell r="C4426">
            <v>2010030</v>
          </cell>
          <cell r="D4426" t="str">
            <v>VONIXX</v>
          </cell>
          <cell r="E4426">
            <v>20011</v>
          </cell>
          <cell r="F4426" t="str">
            <v>LINHA DE HIGENIZAÇÃO E ESTÉTICA  AUTOMOTIVA</v>
          </cell>
          <cell r="G4426" t="str">
            <v>AUTOMOTIVO</v>
          </cell>
        </row>
        <row r="4427">
          <cell r="A4427">
            <v>23481</v>
          </cell>
          <cell r="B4427" t="str">
            <v>RESTAURADOR DE VIDROS 500ML VONIXX</v>
          </cell>
          <cell r="C4427" t="str">
            <v>PA11001</v>
          </cell>
          <cell r="D4427" t="str">
            <v>VONIXX</v>
          </cell>
          <cell r="E4427">
            <v>20011</v>
          </cell>
          <cell r="F4427" t="str">
            <v>LINHA DE HIGENIZAÇÃO E ESTÉTICA  AUTOMOTIVA</v>
          </cell>
          <cell r="G4427" t="str">
            <v>AUTOMOTIVO</v>
          </cell>
        </row>
        <row r="4428">
          <cell r="A4428">
            <v>85590</v>
          </cell>
          <cell r="B4428" t="str">
            <v>RESTAURAX VONIXX 1,5 LITROS</v>
          </cell>
          <cell r="C4428">
            <v>2009055</v>
          </cell>
          <cell r="D4428" t="str">
            <v>VONIXX</v>
          </cell>
          <cell r="E4428">
            <v>20011</v>
          </cell>
          <cell r="F4428" t="str">
            <v>LINHA DE HIGENIZAÇÃO E ESTÉTICA  AUTOMOTIVA</v>
          </cell>
          <cell r="G4428" t="str">
            <v>AUTOMOTIVO</v>
          </cell>
        </row>
        <row r="4429">
          <cell r="A4429">
            <v>23449</v>
          </cell>
          <cell r="B4429" t="str">
            <v>RESTAURAX VONIXX 500ML</v>
          </cell>
          <cell r="C4429">
            <v>2009015</v>
          </cell>
          <cell r="D4429" t="str">
            <v>VONIXX</v>
          </cell>
          <cell r="E4429">
            <v>20011</v>
          </cell>
          <cell r="F4429" t="str">
            <v>LINHA DE HIGENIZAÇÃO E ESTÉTICA  AUTOMOTIVA</v>
          </cell>
          <cell r="G4429" t="str">
            <v>AUTOMOTIVO</v>
          </cell>
        </row>
        <row r="4430">
          <cell r="A4430">
            <v>23412</v>
          </cell>
          <cell r="B4430" t="str">
            <v>REVELAX 500ML VONIXX</v>
          </cell>
          <cell r="C4430">
            <v>2009036</v>
          </cell>
          <cell r="D4430" t="str">
            <v>VONIXX</v>
          </cell>
          <cell r="E4430">
            <v>20011</v>
          </cell>
          <cell r="F4430" t="str">
            <v>LINHA DE HIGENIZAÇÃO E ESTÉTICA  AUTOMOTIVA</v>
          </cell>
          <cell r="G4430" t="str">
            <v>AUTOMOTIVO</v>
          </cell>
        </row>
        <row r="4431">
          <cell r="A4431">
            <v>23413</v>
          </cell>
          <cell r="B4431" t="str">
            <v>REVITALIZADOR DE PNEUS 500ML VONIXX</v>
          </cell>
          <cell r="C4431" t="str">
            <v>PA09017</v>
          </cell>
          <cell r="D4431" t="str">
            <v>VONIXX</v>
          </cell>
          <cell r="E4431">
            <v>20011</v>
          </cell>
          <cell r="F4431" t="str">
            <v>LINHA DE HIGENIZAÇÃO E ESTÉTICA  AUTOMOTIVA</v>
          </cell>
          <cell r="G4431" t="str">
            <v>AUTOMOTIVO</v>
          </cell>
        </row>
        <row r="4432">
          <cell r="A4432">
            <v>84396</v>
          </cell>
          <cell r="B4432" t="str">
            <v>REVOX 1,5L VONIXX</v>
          </cell>
          <cell r="C4432">
            <v>2011017</v>
          </cell>
          <cell r="D4432" t="str">
            <v>VONIXX</v>
          </cell>
          <cell r="E4432">
            <v>20011</v>
          </cell>
          <cell r="F4432" t="str">
            <v>LINHA DE HIGENIZAÇÃO E ESTÉTICA  AUTOMOTIVA</v>
          </cell>
          <cell r="G4432" t="str">
            <v>AUTOMOTIVO</v>
          </cell>
        </row>
        <row r="4433">
          <cell r="A4433">
            <v>24266</v>
          </cell>
          <cell r="B4433" t="str">
            <v>SANITIZANTE CARRO NOVO 5L VONIXX</v>
          </cell>
          <cell r="C4433">
            <v>2008014</v>
          </cell>
          <cell r="D4433" t="str">
            <v>VONIXX</v>
          </cell>
          <cell r="E4433">
            <v>20011</v>
          </cell>
          <cell r="F4433" t="str">
            <v>LINHA DE HIGENIZAÇÃO E ESTÉTICA  AUTOMOTIVA</v>
          </cell>
          <cell r="G4433" t="str">
            <v>AUTOMOTIVO</v>
          </cell>
        </row>
        <row r="4434">
          <cell r="A4434">
            <v>24231</v>
          </cell>
          <cell r="B4434" t="str">
            <v>SANITIZANTE FINALIZADOR 1,5L VONIXX</v>
          </cell>
          <cell r="C4434">
            <v>2011051</v>
          </cell>
          <cell r="D4434" t="str">
            <v>VONIXX</v>
          </cell>
          <cell r="E4434">
            <v>20011</v>
          </cell>
          <cell r="F4434" t="str">
            <v>LINHA DE HIGENIZAÇÃO E ESTÉTICA  AUTOMOTIVA</v>
          </cell>
          <cell r="G4434" t="str">
            <v>AUTOMOTIVO</v>
          </cell>
        </row>
        <row r="4435">
          <cell r="A4435">
            <v>246</v>
          </cell>
          <cell r="B4435" t="str">
            <v>SANITIZANTE FRESH 5L VONIXX</v>
          </cell>
          <cell r="C4435">
            <v>2008015</v>
          </cell>
          <cell r="D4435" t="str">
            <v>VONIXX</v>
          </cell>
          <cell r="E4435">
            <v>20011</v>
          </cell>
          <cell r="F4435" t="str">
            <v>LINHA DE HIGENIZAÇÃO E ESTÉTICA  AUTOMOTIVA</v>
          </cell>
          <cell r="G4435" t="str">
            <v>AUTOMOTIVO</v>
          </cell>
        </row>
        <row r="4436">
          <cell r="A4436">
            <v>24299</v>
          </cell>
          <cell r="B4436" t="str">
            <v>SHINY 500ML VONIXX</v>
          </cell>
          <cell r="C4436">
            <v>2011058</v>
          </cell>
          <cell r="D4436" t="str">
            <v>VONIXX</v>
          </cell>
          <cell r="E4436">
            <v>20011</v>
          </cell>
          <cell r="F4436" t="str">
            <v>LINHA DE HIGENIZAÇÃO E ESTÉTICA  AUTOMOTIVA</v>
          </cell>
          <cell r="G4436" t="str">
            <v>AUTOMOTIVO</v>
          </cell>
        </row>
        <row r="4437">
          <cell r="A4437">
            <v>83954</v>
          </cell>
          <cell r="B4437" t="str">
            <v>SINERGY PAINT 500ML SPRAY VONIXX</v>
          </cell>
          <cell r="C4437">
            <v>2050049</v>
          </cell>
          <cell r="D4437" t="str">
            <v>VONIXX</v>
          </cell>
          <cell r="E4437">
            <v>20011</v>
          </cell>
          <cell r="F4437" t="str">
            <v>LINHA DE HIGENIZAÇÃO E ESTÉTICA  AUTOMOTIVA</v>
          </cell>
          <cell r="G4437" t="str">
            <v>AUTOMOTIVO</v>
          </cell>
        </row>
        <row r="4438">
          <cell r="A4438">
            <v>83955</v>
          </cell>
          <cell r="B4438" t="str">
            <v>SINERGY WHELL 500ML VONIXX</v>
          </cell>
          <cell r="C4438">
            <v>2050053</v>
          </cell>
          <cell r="D4438" t="str">
            <v>VONIXX</v>
          </cell>
          <cell r="E4438">
            <v>20011</v>
          </cell>
          <cell r="F4438" t="str">
            <v>LINHA DE HIGENIZAÇÃO E ESTÉTICA  AUTOMOTIVA</v>
          </cell>
          <cell r="G4438" t="str">
            <v>AUTOMOTIVO</v>
          </cell>
        </row>
        <row r="4439">
          <cell r="A4439">
            <v>23450</v>
          </cell>
          <cell r="B4439" t="str">
            <v>SINTRA  5LT VONIXX</v>
          </cell>
          <cell r="C4439" t="str">
            <v>PA11008</v>
          </cell>
          <cell r="D4439" t="str">
            <v>VONIXX</v>
          </cell>
          <cell r="E4439">
            <v>20011</v>
          </cell>
          <cell r="F4439" t="str">
            <v>LINHA DE HIGENIZAÇÃO E ESTÉTICA  AUTOMOTIVA</v>
          </cell>
          <cell r="G4439" t="str">
            <v>AUTOMOTIVO</v>
          </cell>
        </row>
        <row r="4440">
          <cell r="A4440">
            <v>83872</v>
          </cell>
          <cell r="B4440" t="str">
            <v>SINTRA FAST 500ML SPRAY VONIXX</v>
          </cell>
          <cell r="C4440">
            <v>2011044</v>
          </cell>
          <cell r="D4440" t="str">
            <v>VONIXX</v>
          </cell>
          <cell r="E4440">
            <v>20011</v>
          </cell>
          <cell r="F4440" t="str">
            <v>LINHA DE HIGENIZAÇÃO E ESTÉTICA  AUTOMOTIVA</v>
          </cell>
          <cell r="G4440" t="str">
            <v>AUTOMOTIVO</v>
          </cell>
        </row>
        <row r="4441">
          <cell r="A4441">
            <v>24267</v>
          </cell>
          <cell r="B4441" t="str">
            <v>SINTRA PRO 1,5L VONIXX</v>
          </cell>
          <cell r="C4441">
            <v>2011066</v>
          </cell>
          <cell r="D4441" t="str">
            <v>VONIXX</v>
          </cell>
          <cell r="E4441">
            <v>20011</v>
          </cell>
          <cell r="F4441" t="str">
            <v>LINHA DE HIGENIZAÇÃO E ESTÉTICA  AUTOMOTIVA</v>
          </cell>
          <cell r="G4441" t="str">
            <v>AUTOMOTIVO</v>
          </cell>
        </row>
        <row r="4442">
          <cell r="A4442">
            <v>24331</v>
          </cell>
          <cell r="B4442" t="str">
            <v>SINTRA PRO 5L VONIXX</v>
          </cell>
          <cell r="C4442">
            <v>2011000</v>
          </cell>
          <cell r="D4442" t="str">
            <v>VONIXX</v>
          </cell>
          <cell r="E4442">
            <v>20011</v>
          </cell>
          <cell r="F4442" t="str">
            <v>LINHA DE HIGENIZAÇÃO E ESTÉTICA  AUTOMOTIVA</v>
          </cell>
          <cell r="G4442" t="str">
            <v>AUTOMOTIVO</v>
          </cell>
        </row>
        <row r="4443">
          <cell r="A4443">
            <v>23447</v>
          </cell>
          <cell r="B4443" t="str">
            <v>SIO2 PRO 500ML SPRAY VONIXX</v>
          </cell>
          <cell r="C4443">
            <v>2018005</v>
          </cell>
          <cell r="D4443" t="str">
            <v>VONIXX</v>
          </cell>
          <cell r="E4443">
            <v>20011</v>
          </cell>
          <cell r="F4443" t="str">
            <v>LINHA DE HIGENIZAÇÃO E ESTÉTICA  AUTOMOTIVA</v>
          </cell>
          <cell r="G4443" t="str">
            <v>AUTOMOTIVO</v>
          </cell>
        </row>
        <row r="4444">
          <cell r="A4444">
            <v>24268</v>
          </cell>
          <cell r="B4444" t="str">
            <v>SNOW FOAM FAST VONIXX</v>
          </cell>
          <cell r="C4444">
            <v>2005120</v>
          </cell>
          <cell r="D4444" t="str">
            <v>VONIXX</v>
          </cell>
          <cell r="E4444">
            <v>20011</v>
          </cell>
          <cell r="F4444" t="str">
            <v>LINHA DE HIGENIZAÇÃO E ESTÉTICA  AUTOMOTIVA</v>
          </cell>
          <cell r="G4444" t="str">
            <v>AUTOMOTIVO</v>
          </cell>
        </row>
        <row r="4445">
          <cell r="A4445">
            <v>84397</v>
          </cell>
          <cell r="B4445" t="str">
            <v>SOULT FAST LIMPADOR DE BOINAS 500ML VONIXX</v>
          </cell>
          <cell r="C4445">
            <v>2011097</v>
          </cell>
          <cell r="D4445" t="str">
            <v>VONIXX</v>
          </cell>
          <cell r="E4445">
            <v>20011</v>
          </cell>
          <cell r="F4445" t="str">
            <v>LINHA DE HIGENIZAÇÃO E ESTÉTICA  AUTOMOTIVA</v>
          </cell>
          <cell r="G4445" t="str">
            <v>AUTOMOTIVO</v>
          </cell>
        </row>
        <row r="4446">
          <cell r="A4446">
            <v>84398</v>
          </cell>
          <cell r="B4446" t="str">
            <v>STRIKE 1,5L VONIXX</v>
          </cell>
          <cell r="C4446">
            <v>2018020</v>
          </cell>
          <cell r="D4446" t="str">
            <v>VONIXX</v>
          </cell>
          <cell r="E4446">
            <v>20011</v>
          </cell>
          <cell r="F4446" t="str">
            <v>LINHA DE HIGENIZAÇÃO E ESTÉTICA  AUTOMOTIVA</v>
          </cell>
          <cell r="G4446" t="str">
            <v>AUTOMOTIVO</v>
          </cell>
        </row>
        <row r="4447">
          <cell r="A4447">
            <v>24232</v>
          </cell>
          <cell r="B4447" t="str">
            <v>STRIKE 500ML SPRAY VONIXX</v>
          </cell>
          <cell r="C4447">
            <v>2018010</v>
          </cell>
          <cell r="D4447" t="str">
            <v>VONIXX</v>
          </cell>
          <cell r="E4447">
            <v>20011</v>
          </cell>
          <cell r="F4447" t="str">
            <v>LINHA DE HIGENIZAÇÃO E ESTÉTICA  AUTOMOTIVA</v>
          </cell>
          <cell r="G4447" t="str">
            <v>AUTOMOTIVO</v>
          </cell>
        </row>
        <row r="4448">
          <cell r="A4448">
            <v>23477</v>
          </cell>
          <cell r="B4448" t="str">
            <v>SUPER CERA 200G VONIXX</v>
          </cell>
          <cell r="C4448" t="str">
            <v>PA10032</v>
          </cell>
          <cell r="D4448" t="str">
            <v>VONIXX</v>
          </cell>
          <cell r="E4448">
            <v>20011</v>
          </cell>
          <cell r="F4448" t="str">
            <v>LINHA DE HIGENIZAÇÃO E ESTÉTICA  AUTOMOTIVA</v>
          </cell>
          <cell r="G4448" t="str">
            <v>AUTOMOTIVO</v>
          </cell>
        </row>
        <row r="4449">
          <cell r="A4449">
            <v>85248</v>
          </cell>
          <cell r="B4449" t="str">
            <v>TOALHA CLAY BAR ZACS</v>
          </cell>
          <cell r="C4449">
            <v>2050511</v>
          </cell>
          <cell r="D4449" t="str">
            <v>VONIXX</v>
          </cell>
          <cell r="E4449">
            <v>20011</v>
          </cell>
          <cell r="F4449" t="str">
            <v>LINHA DE HIGENIZAÇÃO E ESTÉTICA  AUTOMOTIVA</v>
          </cell>
          <cell r="G4449" t="str">
            <v>AUTOMOTIVO</v>
          </cell>
        </row>
        <row r="4450">
          <cell r="A4450">
            <v>83873</v>
          </cell>
          <cell r="B4450" t="str">
            <v>TOALHA DE SECAGEM 40X80 VINTEX</v>
          </cell>
          <cell r="C4450">
            <v>2005112</v>
          </cell>
          <cell r="D4450" t="str">
            <v>VONIXX</v>
          </cell>
          <cell r="E4450">
            <v>20011</v>
          </cell>
          <cell r="F4450" t="str">
            <v>LINHA DE HIGENIZAÇÃO E ESTÉTICA  AUTOMOTIVA</v>
          </cell>
          <cell r="G4450" t="str">
            <v>AUTOMOTIVO</v>
          </cell>
        </row>
        <row r="4451">
          <cell r="A4451">
            <v>85205</v>
          </cell>
          <cell r="B4451" t="str">
            <v>TYRANT 240ML VONIXX</v>
          </cell>
          <cell r="C4451">
            <v>2050022</v>
          </cell>
          <cell r="D4451" t="str">
            <v>VONIXX</v>
          </cell>
          <cell r="E4451">
            <v>20011</v>
          </cell>
          <cell r="F4451" t="str">
            <v>LINHA DE HIGENIZAÇÃO E ESTÉTICA  AUTOMOTIVA</v>
          </cell>
          <cell r="G4451" t="str">
            <v>AUTOMOTIVO</v>
          </cell>
        </row>
        <row r="4452">
          <cell r="A4452">
            <v>83802</v>
          </cell>
          <cell r="B4452" t="str">
            <v>V-CUT POLIDOR CORTE PREMIUM 500ML VONIXX</v>
          </cell>
          <cell r="C4452">
            <v>2009044</v>
          </cell>
          <cell r="D4452" t="str">
            <v>VONIXX</v>
          </cell>
          <cell r="E4452">
            <v>20011</v>
          </cell>
          <cell r="F4452" t="str">
            <v>LINHA DE HIGENIZAÇÃO E ESTÉTICA  AUTOMOTIVA</v>
          </cell>
          <cell r="G4452" t="str">
            <v>AUTOMOTIVO</v>
          </cell>
        </row>
        <row r="4453">
          <cell r="A4453">
            <v>84399</v>
          </cell>
          <cell r="B4453" t="str">
            <v>V-ECO 1,5L VONIXX</v>
          </cell>
          <cell r="C4453">
            <v>2011006</v>
          </cell>
          <cell r="D4453" t="str">
            <v>VONIXX</v>
          </cell>
          <cell r="E4453">
            <v>20011</v>
          </cell>
          <cell r="F4453" t="str">
            <v>LINHA DE HIGENIZAÇÃO E ESTÉTICA  AUTOMOTIVA</v>
          </cell>
          <cell r="G4453" t="str">
            <v>AUTOMOTIVO</v>
          </cell>
        </row>
        <row r="4454">
          <cell r="A4454">
            <v>83803</v>
          </cell>
          <cell r="B4454" t="str">
            <v>V-FINISH POLIDOR LUSTRO PREMIUM 500ML VONIXX</v>
          </cell>
          <cell r="C4454">
            <v>2009046</v>
          </cell>
          <cell r="D4454" t="str">
            <v>VONIXX</v>
          </cell>
          <cell r="E4454">
            <v>20011</v>
          </cell>
          <cell r="F4454" t="str">
            <v>LINHA DE HIGENIZAÇÃO E ESTÉTICA  AUTOMOTIVA</v>
          </cell>
          <cell r="G4454" t="str">
            <v>AUTOMOTIVO</v>
          </cell>
        </row>
        <row r="4455">
          <cell r="A4455">
            <v>23442</v>
          </cell>
          <cell r="B4455" t="str">
            <v>V-FLOC 1,5L VONIXX</v>
          </cell>
          <cell r="C4455">
            <v>2011004</v>
          </cell>
          <cell r="D4455" t="str">
            <v>VONIXX</v>
          </cell>
          <cell r="E4455">
            <v>20011</v>
          </cell>
          <cell r="F4455" t="str">
            <v>LINHA DE HIGENIZAÇÃO E ESTÉTICA  AUTOMOTIVA</v>
          </cell>
          <cell r="G4455" t="str">
            <v>AUTOMOTIVO</v>
          </cell>
        </row>
        <row r="4456">
          <cell r="A4456">
            <v>84401</v>
          </cell>
          <cell r="B4456" t="str">
            <v>V-FLOC 3L VONIXX</v>
          </cell>
          <cell r="C4456">
            <v>2011081</v>
          </cell>
          <cell r="D4456" t="str">
            <v>VONIXX</v>
          </cell>
          <cell r="E4456">
            <v>20011</v>
          </cell>
          <cell r="F4456" t="str">
            <v>LINHA DE HIGENIZAÇÃO E ESTÉTICA  AUTOMOTIVA</v>
          </cell>
          <cell r="G4456" t="str">
            <v>AUTOMOTIVO</v>
          </cell>
        </row>
        <row r="4457">
          <cell r="A4457">
            <v>84873</v>
          </cell>
          <cell r="B4457" t="str">
            <v>V-FLOC 500ML VONIXX</v>
          </cell>
          <cell r="C4457">
            <v>2011069</v>
          </cell>
          <cell r="D4457" t="str">
            <v>VONIXX</v>
          </cell>
          <cell r="E4457">
            <v>20011</v>
          </cell>
          <cell r="F4457" t="str">
            <v>LINHA DE HIGENIZAÇÃO E ESTÉTICA  AUTOMOTIVA</v>
          </cell>
          <cell r="G4457" t="str">
            <v>AUTOMOTIVO</v>
          </cell>
        </row>
        <row r="4458">
          <cell r="A4458">
            <v>84402</v>
          </cell>
          <cell r="B4458" t="str">
            <v>V-FLOC 5L VONIXX</v>
          </cell>
          <cell r="C4458">
            <v>2008049</v>
          </cell>
          <cell r="D4458" t="str">
            <v>VONIXX</v>
          </cell>
          <cell r="E4458">
            <v>20011</v>
          </cell>
          <cell r="F4458" t="str">
            <v>LINHA DE HIGENIZAÇÃO E ESTÉTICA  AUTOMOTIVA</v>
          </cell>
          <cell r="G4458" t="str">
            <v>AUTOMOTIVO</v>
          </cell>
        </row>
        <row r="4459">
          <cell r="A4459">
            <v>23436</v>
          </cell>
          <cell r="B4459" t="str">
            <v>V-LEATHER 50ML VONIXX</v>
          </cell>
          <cell r="C4459">
            <v>2018013</v>
          </cell>
          <cell r="D4459" t="str">
            <v>VONIXX</v>
          </cell>
          <cell r="E4459">
            <v>20011</v>
          </cell>
          <cell r="F4459" t="str">
            <v>LINHA DE HIGENIZAÇÃO E ESTÉTICA  AUTOMOTIVA</v>
          </cell>
          <cell r="G4459" t="str">
            <v>AUTOMOTIVO</v>
          </cell>
        </row>
        <row r="4460">
          <cell r="A4460">
            <v>164</v>
          </cell>
          <cell r="B4460" t="str">
            <v>V-LIGHT PRO 50ML VONIXX</v>
          </cell>
          <cell r="C4460">
            <v>2018016</v>
          </cell>
          <cell r="D4460" t="str">
            <v>VONIXX</v>
          </cell>
          <cell r="E4460">
            <v>20011</v>
          </cell>
          <cell r="F4460" t="str">
            <v>LINHA DE HIGENIZAÇÃO E ESTÉTICA  AUTOMOTIVA</v>
          </cell>
          <cell r="G4460" t="str">
            <v>AUTOMOTIVO</v>
          </cell>
        </row>
        <row r="4461">
          <cell r="A4461">
            <v>22052</v>
          </cell>
          <cell r="B4461" t="str">
            <v>V-LUB 500ML VONIXX</v>
          </cell>
          <cell r="C4461" t="str">
            <v>PA11014</v>
          </cell>
          <cell r="D4461" t="str">
            <v>VONIXX</v>
          </cell>
          <cell r="E4461">
            <v>20011</v>
          </cell>
          <cell r="F4461" t="str">
            <v>LINHA DE HIGENIZAÇÃO E ESTÉTICA  AUTOMOTIVA</v>
          </cell>
          <cell r="G4461" t="str">
            <v>AUTOMOTIVO</v>
          </cell>
        </row>
        <row r="4462">
          <cell r="A4462">
            <v>84403</v>
          </cell>
          <cell r="B4462" t="str">
            <v>V-MOL 1,5L VONIXX</v>
          </cell>
          <cell r="C4462">
            <v>2050116</v>
          </cell>
          <cell r="D4462" t="str">
            <v>VONIXX</v>
          </cell>
          <cell r="E4462">
            <v>20011</v>
          </cell>
          <cell r="F4462" t="str">
            <v>LINHA DE HIGENIZAÇÃO E ESTÉTICA  AUTOMOTIVA</v>
          </cell>
          <cell r="G4462" t="str">
            <v>AUTOMOTIVO</v>
          </cell>
        </row>
        <row r="4463">
          <cell r="A4463">
            <v>85206</v>
          </cell>
          <cell r="B4463" t="str">
            <v>V-MOL 5L VONIXX</v>
          </cell>
          <cell r="C4463">
            <v>2050117</v>
          </cell>
          <cell r="D4463" t="str">
            <v>VONIXX</v>
          </cell>
          <cell r="E4463">
            <v>20011</v>
          </cell>
          <cell r="F4463" t="str">
            <v>LINHA DE HIGENIZAÇÃO E ESTÉTICA  AUTOMOTIVA</v>
          </cell>
          <cell r="G4463" t="str">
            <v>AUTOMOTIVO</v>
          </cell>
        </row>
        <row r="4464">
          <cell r="A4464">
            <v>23435</v>
          </cell>
          <cell r="B4464" t="str">
            <v>V-PAINT 20ML VONIXX</v>
          </cell>
          <cell r="C4464">
            <v>2018006</v>
          </cell>
          <cell r="D4464" t="str">
            <v>VONIXX</v>
          </cell>
          <cell r="E4464">
            <v>20011</v>
          </cell>
          <cell r="F4464" t="str">
            <v>LINHA DE HIGENIZAÇÃO E ESTÉTICA  AUTOMOTIVA</v>
          </cell>
          <cell r="G4464" t="str">
            <v>AUTOMOTIVO</v>
          </cell>
        </row>
        <row r="4465">
          <cell r="A4465">
            <v>23479</v>
          </cell>
          <cell r="B4465" t="str">
            <v>V-PAINT 50ML VONIXX</v>
          </cell>
          <cell r="C4465">
            <v>2018018</v>
          </cell>
          <cell r="D4465" t="str">
            <v>VONIXX</v>
          </cell>
          <cell r="E4465">
            <v>20011</v>
          </cell>
          <cell r="F4465" t="str">
            <v>LINHA DE HIGENIZAÇÃO E ESTÉTICA  AUTOMOTIVA</v>
          </cell>
          <cell r="G4465" t="str">
            <v>AUTOMOTIVO</v>
          </cell>
        </row>
        <row r="4466">
          <cell r="A4466">
            <v>23482</v>
          </cell>
          <cell r="B4466" t="str">
            <v>V-PLASTIC 20ML VONIXX</v>
          </cell>
          <cell r="C4466">
            <v>2018007</v>
          </cell>
          <cell r="D4466" t="str">
            <v>VONIXX</v>
          </cell>
          <cell r="E4466">
            <v>20011</v>
          </cell>
          <cell r="F4466" t="str">
            <v>LINHA DE HIGENIZAÇÃO E ESTÉTICA  AUTOMOTIVA</v>
          </cell>
          <cell r="G4466" t="str">
            <v>AUTOMOTIVO</v>
          </cell>
        </row>
        <row r="4467">
          <cell r="A4467">
            <v>23448</v>
          </cell>
          <cell r="B4467" t="str">
            <v>V-PLASTIC PRO 50ML VONIXX</v>
          </cell>
          <cell r="C4467">
            <v>2018015</v>
          </cell>
          <cell r="D4467" t="str">
            <v>VONIXX</v>
          </cell>
          <cell r="E4467">
            <v>20011</v>
          </cell>
          <cell r="F4467" t="str">
            <v>LINHA DE HIGENIZAÇÃO E ESTÉTICA  AUTOMOTIVA</v>
          </cell>
          <cell r="G4467" t="str">
            <v>AUTOMOTIVO</v>
          </cell>
        </row>
        <row r="4468">
          <cell r="A4468">
            <v>83804</v>
          </cell>
          <cell r="B4468" t="str">
            <v>V-POLISH POLIDOR REFINO PREMIUM 500ML VONIXX</v>
          </cell>
          <cell r="C4468">
            <v>2009045</v>
          </cell>
          <cell r="D4468" t="str">
            <v>VONIXX</v>
          </cell>
          <cell r="E4468">
            <v>20011</v>
          </cell>
          <cell r="F4468" t="str">
            <v>LINHA DE HIGENIZAÇÃO E ESTÉTICA  AUTOMOTIVA</v>
          </cell>
          <cell r="G4468" t="str">
            <v>AUTOMOTIVO</v>
          </cell>
        </row>
        <row r="4469">
          <cell r="A4469">
            <v>24332</v>
          </cell>
          <cell r="B4469" t="str">
            <v>V10 500ML VONIXX</v>
          </cell>
          <cell r="C4469">
            <v>2009052</v>
          </cell>
          <cell r="D4469" t="str">
            <v>VONIXX</v>
          </cell>
          <cell r="E4469">
            <v>20011</v>
          </cell>
          <cell r="F4469" t="str">
            <v>LINHA DE HIGENIZAÇÃO E ESTÉTICA  AUTOMOTIVA</v>
          </cell>
          <cell r="G4469" t="str">
            <v>AUTOMOTIVO</v>
          </cell>
        </row>
        <row r="4470">
          <cell r="A4470">
            <v>65</v>
          </cell>
          <cell r="B4470" t="str">
            <v>V20 500ML VONIXX</v>
          </cell>
          <cell r="C4470">
            <v>2009053</v>
          </cell>
          <cell r="D4470" t="str">
            <v>VONIXX</v>
          </cell>
          <cell r="E4470">
            <v>20011</v>
          </cell>
          <cell r="F4470" t="str">
            <v>LINHA DE HIGENIZAÇÃO E ESTÉTICA  AUTOMOTIVA</v>
          </cell>
          <cell r="G4470" t="str">
            <v>AUTOMOTIVO</v>
          </cell>
        </row>
        <row r="4471">
          <cell r="A4471">
            <v>66</v>
          </cell>
          <cell r="B4471" t="str">
            <v>V30 500ML VONIXX</v>
          </cell>
          <cell r="C4471">
            <v>2009051</v>
          </cell>
          <cell r="D4471" t="str">
            <v>VONIXX</v>
          </cell>
          <cell r="E4471">
            <v>20011</v>
          </cell>
          <cell r="F4471" t="str">
            <v>LINHA DE HIGENIZAÇÃO E ESTÉTICA  AUTOMOTIVA</v>
          </cell>
          <cell r="G4471" t="str">
            <v>AUTOMOTIVO</v>
          </cell>
        </row>
        <row r="4472">
          <cell r="A4472">
            <v>23445</v>
          </cell>
          <cell r="B4472" t="str">
            <v>V40 500ML VONIXX</v>
          </cell>
          <cell r="C4472">
            <v>2009033</v>
          </cell>
          <cell r="D4472" t="str">
            <v>VONIXX</v>
          </cell>
          <cell r="E4472">
            <v>20011</v>
          </cell>
          <cell r="F4472" t="str">
            <v>LINHA DE HIGENIZAÇÃO E ESTÉTICA  AUTOMOTIVA</v>
          </cell>
          <cell r="G4472" t="str">
            <v>AUTOMOTIVO</v>
          </cell>
        </row>
        <row r="4473">
          <cell r="A4473">
            <v>23446</v>
          </cell>
          <cell r="B4473" t="str">
            <v>V80 SELANTE SINTETICO 500ML VONIXX</v>
          </cell>
          <cell r="C4473">
            <v>2009023</v>
          </cell>
          <cell r="D4473" t="str">
            <v>VONIXX</v>
          </cell>
          <cell r="E4473">
            <v>20011</v>
          </cell>
          <cell r="F4473" t="str">
            <v>LINHA DE HIGENIZAÇÃO E ESTÉTICA  AUTOMOTIVA</v>
          </cell>
          <cell r="G4473" t="str">
            <v>AUTOMOTIVO</v>
          </cell>
        </row>
        <row r="4474">
          <cell r="A4474">
            <v>24233</v>
          </cell>
          <cell r="B4474" t="str">
            <v>VERNIZ DE MOTOR 1,5L VONIXX</v>
          </cell>
          <cell r="C4474">
            <v>2011005</v>
          </cell>
          <cell r="D4474" t="str">
            <v>VONIXX</v>
          </cell>
          <cell r="E4474">
            <v>20011</v>
          </cell>
          <cell r="F4474" t="str">
            <v>LINHA DE HIGENIZAÇÃO E ESTÉTICA  AUTOMOTIVA</v>
          </cell>
          <cell r="G4474" t="str">
            <v>AUTOMOTIVO</v>
          </cell>
        </row>
        <row r="4475">
          <cell r="A4475">
            <v>84400</v>
          </cell>
          <cell r="B4475" t="str">
            <v>VERSE 500ML VONIXX</v>
          </cell>
          <cell r="C4475">
            <v>2011095</v>
          </cell>
          <cell r="D4475" t="str">
            <v>VONIXX</v>
          </cell>
          <cell r="E4475">
            <v>20011</v>
          </cell>
          <cell r="F4475" t="str">
            <v>LINHA DE HIGENIZAÇÃO E ESTÉTICA  AUTOMOTIVA</v>
          </cell>
          <cell r="G4475" t="str">
            <v>AUTOMOTIVO</v>
          </cell>
        </row>
        <row r="4476">
          <cell r="A4476">
            <v>85211</v>
          </cell>
          <cell r="B4476" t="str">
            <v>VEXUS 500ML SPRAY VONIXX</v>
          </cell>
          <cell r="C4476">
            <v>2005228</v>
          </cell>
          <cell r="D4476" t="str">
            <v>VONIXX</v>
          </cell>
          <cell r="E4476">
            <v>20011</v>
          </cell>
          <cell r="F4476" t="str">
            <v>LINHA DE HIGENIZAÇÃO E ESTÉTICA  AUTOMOTIVA</v>
          </cell>
          <cell r="G4476" t="str">
            <v>AUTOMOTIVO</v>
          </cell>
        </row>
        <row r="4477">
          <cell r="A4477">
            <v>85721</v>
          </cell>
          <cell r="B4477" t="str">
            <v>BOINA 3" ESPUMA CORTE/REFINO DIMENSION</v>
          </cell>
          <cell r="C4477" t="str">
            <v>ADC0029</v>
          </cell>
          <cell r="D4477" t="str">
            <v>MAXI RUBBER</v>
          </cell>
          <cell r="E4477">
            <v>20010</v>
          </cell>
          <cell r="F4477" t="str">
            <v>BOINAS PARA POLIMENTO</v>
          </cell>
          <cell r="G4477" t="str">
            <v>AUTOMOTIVO</v>
          </cell>
        </row>
        <row r="4478">
          <cell r="A4478">
            <v>85723</v>
          </cell>
          <cell r="B4478" t="str">
            <v>BOINA 3" LA HIBRID DIMENSION</v>
          </cell>
          <cell r="C4478" t="str">
            <v>ADC0028</v>
          </cell>
          <cell r="D4478" t="str">
            <v>MAXI RUBBER</v>
          </cell>
          <cell r="E4478">
            <v>20010</v>
          </cell>
          <cell r="F4478" t="str">
            <v>BOINAS PARA POLIMENTO</v>
          </cell>
          <cell r="G4478" t="str">
            <v>AUTOMOTIVO</v>
          </cell>
        </row>
        <row r="4479">
          <cell r="A4479">
            <v>85253</v>
          </cell>
          <cell r="B4479" t="str">
            <v>BOINA 5" ESP CORTE BRANCA MAXI RUBBER</v>
          </cell>
          <cell r="C4479" t="str">
            <v>ADC0022</v>
          </cell>
          <cell r="D4479" t="str">
            <v>MAXI RUBBER</v>
          </cell>
          <cell r="E4479">
            <v>20010</v>
          </cell>
          <cell r="F4479" t="str">
            <v>BOINAS PARA POLIMENTO</v>
          </cell>
          <cell r="G4479" t="str">
            <v>AUTOMOTIVO</v>
          </cell>
        </row>
        <row r="4480">
          <cell r="A4480">
            <v>85608</v>
          </cell>
          <cell r="B4480" t="str">
            <v>BOINA 5" ESP REFINO LARANJA MAXI RUBBER</v>
          </cell>
          <cell r="C4480" t="str">
            <v>ADC0024</v>
          </cell>
          <cell r="D4480" t="str">
            <v>MAXI RUBBER</v>
          </cell>
          <cell r="E4480">
            <v>20010</v>
          </cell>
          <cell r="F4480" t="str">
            <v>BOINAS PARA POLIMENTO</v>
          </cell>
          <cell r="G4480" t="str">
            <v>AUTOMOTIVO</v>
          </cell>
        </row>
        <row r="4481">
          <cell r="A4481">
            <v>85252</v>
          </cell>
          <cell r="B4481" t="str">
            <v>BOINA 5" LA HIBRID MAXI RUBBER</v>
          </cell>
          <cell r="C4481" t="str">
            <v>ADC0020</v>
          </cell>
          <cell r="D4481" t="str">
            <v>MAXI RUBBER</v>
          </cell>
          <cell r="E4481">
            <v>20010</v>
          </cell>
          <cell r="F4481" t="str">
            <v>BOINAS PARA POLIMENTO</v>
          </cell>
          <cell r="G4481" t="str">
            <v>AUTOMOTIVO</v>
          </cell>
        </row>
        <row r="4482">
          <cell r="A4482">
            <v>85610</v>
          </cell>
          <cell r="B4482" t="str">
            <v>BOINA 6" ESP CORTE BRANCA MAXI RUBBER</v>
          </cell>
          <cell r="C4482" t="str">
            <v>ADC0023</v>
          </cell>
          <cell r="D4482" t="str">
            <v>MAXI RUBBER</v>
          </cell>
          <cell r="E4482">
            <v>20010</v>
          </cell>
          <cell r="F4482" t="str">
            <v>BOINAS PARA POLIMENTO</v>
          </cell>
          <cell r="G4482" t="str">
            <v>AUTOMOTIVO</v>
          </cell>
        </row>
        <row r="4483">
          <cell r="A4483">
            <v>85609</v>
          </cell>
          <cell r="B4483" t="str">
            <v>BOINA 6" ESP REFINO LARANJA MAXI RUBBER</v>
          </cell>
          <cell r="C4483" t="str">
            <v>ADC0025</v>
          </cell>
          <cell r="D4483" t="str">
            <v>MAXI RUBBER</v>
          </cell>
          <cell r="E4483">
            <v>20010</v>
          </cell>
          <cell r="F4483" t="str">
            <v>BOINAS PARA POLIMENTO</v>
          </cell>
          <cell r="G4483" t="str">
            <v>AUTOMOTIVO</v>
          </cell>
        </row>
        <row r="4484">
          <cell r="A4484">
            <v>85722</v>
          </cell>
          <cell r="B4484" t="str">
            <v>BOINA 6" ESPUMA LUSTRO AZUL DIMENSION</v>
          </cell>
          <cell r="C4484" t="str">
            <v>ADC0027</v>
          </cell>
          <cell r="D4484" t="str">
            <v>MAXI RUBBER</v>
          </cell>
          <cell r="E4484">
            <v>20010</v>
          </cell>
          <cell r="F4484" t="str">
            <v>BOINAS PARA POLIMENTO</v>
          </cell>
          <cell r="G4484" t="str">
            <v>AUTOMOTIVO</v>
          </cell>
        </row>
        <row r="4485">
          <cell r="A4485">
            <v>24186</v>
          </cell>
          <cell r="B4485" t="str">
            <v>BOINA DE ESPUMA AMARELA LOW COST REFINO AUTOAMERICA</v>
          </cell>
          <cell r="C4485">
            <v>3951</v>
          </cell>
          <cell r="D4485" t="str">
            <v>.</v>
          </cell>
          <cell r="E4485">
            <v>20010</v>
          </cell>
          <cell r="F4485" t="str">
            <v>BOINAS PARA POLIMENTO</v>
          </cell>
          <cell r="G4485" t="str">
            <v>AUTOMOTIVO</v>
          </cell>
        </row>
        <row r="4486">
          <cell r="A4486">
            <v>22557</v>
          </cell>
          <cell r="B4486" t="str">
            <v>BOINA DE ESPUMA AZUL 6P PN33286 3M</v>
          </cell>
          <cell r="C4486" t="str">
            <v>HB004403166</v>
          </cell>
          <cell r="D4486" t="str">
            <v>3M</v>
          </cell>
          <cell r="E4486">
            <v>20010</v>
          </cell>
          <cell r="F4486" t="str">
            <v>BOINAS PARA POLIMENTO</v>
          </cell>
          <cell r="G4486" t="str">
            <v>AUTOMOTIVO</v>
          </cell>
        </row>
        <row r="4487">
          <cell r="A4487">
            <v>20134</v>
          </cell>
          <cell r="B4487" t="str">
            <v>BOINA DE ESPUMA AZUL ULTRAFINA C/VELCRO PN5733 3M</v>
          </cell>
          <cell r="C4487" t="str">
            <v>HB004010763</v>
          </cell>
          <cell r="D4487" t="str">
            <v>3M</v>
          </cell>
          <cell r="E4487">
            <v>20010</v>
          </cell>
          <cell r="F4487" t="str">
            <v>BOINAS PARA POLIMENTO</v>
          </cell>
          <cell r="G4487" t="str">
            <v>AUTOMOTIVO</v>
          </cell>
        </row>
        <row r="4488">
          <cell r="A4488">
            <v>22558</v>
          </cell>
          <cell r="B4488" t="str">
            <v>BOINA DE ESPUMA BRANCA 6P PN33284 3M</v>
          </cell>
          <cell r="C4488" t="str">
            <v>HB004403117</v>
          </cell>
          <cell r="D4488" t="str">
            <v>3M</v>
          </cell>
          <cell r="E4488">
            <v>20010</v>
          </cell>
          <cell r="F4488" t="str">
            <v>BOINAS PARA POLIMENTO</v>
          </cell>
          <cell r="G4488" t="str">
            <v>AUTOMOTIVO</v>
          </cell>
        </row>
        <row r="4489">
          <cell r="A4489">
            <v>23353</v>
          </cell>
          <cell r="B4489" t="str">
            <v>BOINA DE ESPUMA BRANCA ER P/POLIR 8P PN05706 3M</v>
          </cell>
          <cell r="C4489" t="str">
            <v>HB004352538</v>
          </cell>
          <cell r="D4489" t="str">
            <v>3M</v>
          </cell>
          <cell r="E4489">
            <v>20010</v>
          </cell>
          <cell r="F4489" t="str">
            <v>BOINAS PARA POLIMENTO</v>
          </cell>
          <cell r="G4489" t="str">
            <v>AUTOMOTIVO</v>
          </cell>
        </row>
        <row r="4490">
          <cell r="A4490">
            <v>10066</v>
          </cell>
          <cell r="B4490" t="str">
            <v>BOINA DE ESPUMA CINZA C/ BORDA PN05738 3M</v>
          </cell>
          <cell r="C4490" t="str">
            <v>HB004141766</v>
          </cell>
          <cell r="D4490" t="str">
            <v>3M</v>
          </cell>
          <cell r="E4490">
            <v>20010</v>
          </cell>
          <cell r="F4490" t="str">
            <v>BOINAS PARA POLIMENTO</v>
          </cell>
          <cell r="G4490" t="str">
            <v>AUTOMOTIVO</v>
          </cell>
        </row>
        <row r="4491">
          <cell r="A4491">
            <v>10139</v>
          </cell>
          <cell r="B4491" t="str">
            <v>BOINA DE ESPUMA COLOR BRILHO FACE ÚNICA</v>
          </cell>
          <cell r="C4491" t="str">
            <v>FE102</v>
          </cell>
          <cell r="D4491" t="str">
            <v>COLOR BRILHO</v>
          </cell>
          <cell r="E4491">
            <v>20010</v>
          </cell>
          <cell r="F4491" t="str">
            <v>BOINAS PARA POLIMENTO</v>
          </cell>
          <cell r="G4491" t="str">
            <v>AUTOMOTIVO</v>
          </cell>
        </row>
        <row r="4492">
          <cell r="A4492">
            <v>85507</v>
          </cell>
          <cell r="B4492" t="str">
            <v>BOINA DE ESPUMA CORTE ROTO 5 3M 34122</v>
          </cell>
          <cell r="C4492" t="str">
            <v>HB004788616</v>
          </cell>
          <cell r="D4492" t="str">
            <v>3M</v>
          </cell>
          <cell r="E4492">
            <v>20010</v>
          </cell>
          <cell r="F4492" t="str">
            <v>BOINAS PARA POLIMENTO</v>
          </cell>
          <cell r="G4492" t="str">
            <v>AUTOMOTIVO</v>
          </cell>
        </row>
        <row r="4493">
          <cell r="A4493">
            <v>23712</v>
          </cell>
          <cell r="B4493" t="str">
            <v>BOINA DE ESPUMA FACE UNICA PRETA 8P DT AUTOMOTIVE</v>
          </cell>
          <cell r="C4493" t="str">
            <v>DF PTA 8</v>
          </cell>
          <cell r="D4493" t="str">
            <v>NEW PAD</v>
          </cell>
          <cell r="E4493">
            <v>20010</v>
          </cell>
          <cell r="F4493" t="str">
            <v>BOINAS PARA POLIMENTO</v>
          </cell>
          <cell r="G4493" t="str">
            <v>AUTOMOTIVO</v>
          </cell>
        </row>
        <row r="4494">
          <cell r="A4494">
            <v>23711</v>
          </cell>
          <cell r="B4494" t="str">
            <v>BOINA DE ESPUMA FACE UNICA PRETA C/VELCRO 3P DT AUTOMOTIVE</v>
          </cell>
          <cell r="C4494" t="str">
            <v>FUEP3V</v>
          </cell>
          <cell r="D4494" t="str">
            <v>NEW PAD</v>
          </cell>
          <cell r="E4494">
            <v>20010</v>
          </cell>
          <cell r="F4494" t="str">
            <v>BOINAS PARA POLIMENTO</v>
          </cell>
          <cell r="G4494" t="str">
            <v>AUTOMOTIVO</v>
          </cell>
        </row>
        <row r="4495">
          <cell r="A4495">
            <v>85508</v>
          </cell>
          <cell r="B4495" t="str">
            <v>BOINA DE ESPUMA FINAL ROTO 5 3M 34123</v>
          </cell>
          <cell r="C4495" t="str">
            <v>HB004788624</v>
          </cell>
          <cell r="D4495" t="str">
            <v>3M</v>
          </cell>
          <cell r="E4495">
            <v>20010</v>
          </cell>
          <cell r="F4495" t="str">
            <v>BOINAS PARA POLIMENTO</v>
          </cell>
          <cell r="G4495" t="str">
            <v>AUTOMOTIVO</v>
          </cell>
        </row>
        <row r="4496">
          <cell r="A4496">
            <v>84840</v>
          </cell>
          <cell r="B4496" t="str">
            <v>BOINA DE ESPUMA MONO FACE 5P NORTON</v>
          </cell>
          <cell r="C4496">
            <v>77696000307</v>
          </cell>
          <cell r="D4496" t="str">
            <v>NORTON</v>
          </cell>
          <cell r="E4496">
            <v>20010</v>
          </cell>
          <cell r="F4496" t="str">
            <v>BOINAS PARA POLIMENTO</v>
          </cell>
          <cell r="G4496" t="str">
            <v>AUTOMOTIVO</v>
          </cell>
        </row>
        <row r="4497">
          <cell r="A4497">
            <v>24261</v>
          </cell>
          <cell r="B4497" t="str">
            <v>BOINA DE ESPUMA ROXA ER 6P 3M</v>
          </cell>
          <cell r="C4497" t="str">
            <v>HB004674162</v>
          </cell>
          <cell r="D4497" t="str">
            <v>3M</v>
          </cell>
          <cell r="E4497">
            <v>20010</v>
          </cell>
          <cell r="F4497" t="str">
            <v>BOINAS PARA POLIMENTO</v>
          </cell>
          <cell r="G4497" t="str">
            <v>AUTOMOTIVO</v>
          </cell>
        </row>
        <row r="4498">
          <cell r="A4498">
            <v>24262</v>
          </cell>
          <cell r="B4498" t="str">
            <v>BOINA DE ESPUMA ROXA ER 8P PN33035 3M</v>
          </cell>
          <cell r="C4498" t="str">
            <v>HB004674196</v>
          </cell>
          <cell r="D4498" t="str">
            <v>3M</v>
          </cell>
          <cell r="E4498">
            <v>20010</v>
          </cell>
          <cell r="F4498" t="str">
            <v>BOINAS PARA POLIMENTO</v>
          </cell>
          <cell r="G4498" t="str">
            <v>AUTOMOTIVO</v>
          </cell>
        </row>
        <row r="4499">
          <cell r="A4499">
            <v>83949</v>
          </cell>
          <cell r="B4499" t="str">
            <v>BOINA DE ESPUMA ROXA FACE UNICA 8P PN33036 3M</v>
          </cell>
          <cell r="C4499" t="str">
            <v>HB004674246</v>
          </cell>
          <cell r="D4499" t="str">
            <v>3M</v>
          </cell>
          <cell r="E4499">
            <v>20010</v>
          </cell>
          <cell r="F4499" t="str">
            <v>BOINAS PARA POLIMENTO</v>
          </cell>
          <cell r="G4499" t="str">
            <v>AUTOMOTIVO</v>
          </cell>
        </row>
        <row r="4500">
          <cell r="A4500">
            <v>22053</v>
          </cell>
          <cell r="B4500" t="str">
            <v>BOINA DE ESPUMA VERDE 8P PN33291 3M</v>
          </cell>
          <cell r="C4500" t="str">
            <v>HB004359145</v>
          </cell>
          <cell r="D4500" t="str">
            <v>3M</v>
          </cell>
          <cell r="E4500">
            <v>20010</v>
          </cell>
          <cell r="F4500" t="str">
            <v>BOINAS PARA POLIMENTO</v>
          </cell>
          <cell r="G4500" t="str">
            <v>AUTOMOTIVO</v>
          </cell>
        </row>
        <row r="4501">
          <cell r="A4501">
            <v>22054</v>
          </cell>
          <cell r="B4501" t="str">
            <v>BOINA DE ESPUMA VERDE ER 6P 3M</v>
          </cell>
          <cell r="C4501" t="str">
            <v>HB004359459</v>
          </cell>
          <cell r="D4501" t="str">
            <v>3M</v>
          </cell>
          <cell r="E4501">
            <v>20010</v>
          </cell>
          <cell r="F4501" t="str">
            <v>BOINAS PARA POLIMENTO</v>
          </cell>
          <cell r="G4501" t="str">
            <v>AUTOMOTIVO</v>
          </cell>
        </row>
        <row r="4502">
          <cell r="A4502">
            <v>21318</v>
          </cell>
          <cell r="B4502" t="str">
            <v>BOINA DUPLA FACE AGRESSIVA ER BSP PN33729 3M</v>
          </cell>
          <cell r="C4502" t="str">
            <v>HB004141899</v>
          </cell>
          <cell r="D4502" t="str">
            <v>3M</v>
          </cell>
          <cell r="E4502">
            <v>20010</v>
          </cell>
          <cell r="F4502" t="str">
            <v>BOINAS PARA POLIMENTO</v>
          </cell>
          <cell r="G4502" t="str">
            <v>AUTOMOTIVO</v>
          </cell>
        </row>
        <row r="4503">
          <cell r="A4503">
            <v>20985</v>
          </cell>
          <cell r="B4503" t="str">
            <v>BOINA DUPLA FACE AGRESSIVA ER PN05753 3M</v>
          </cell>
          <cell r="C4503" t="str">
            <v>HB004141782</v>
          </cell>
          <cell r="D4503" t="str">
            <v>3M</v>
          </cell>
          <cell r="E4503">
            <v>20010</v>
          </cell>
          <cell r="F4503" t="str">
            <v>BOINAS PARA POLIMENTO</v>
          </cell>
          <cell r="G4503" t="str">
            <v>AUTOMOTIVO</v>
          </cell>
        </row>
        <row r="4504">
          <cell r="A4504">
            <v>20636</v>
          </cell>
          <cell r="B4504" t="str">
            <v>BOINA DUPLA FACE AGRESSIVA PN33312 3M</v>
          </cell>
          <cell r="C4504" t="str">
            <v>HB004229603</v>
          </cell>
          <cell r="D4504" t="str">
            <v>3M</v>
          </cell>
          <cell r="E4504">
            <v>20010</v>
          </cell>
          <cell r="F4504" t="str">
            <v>BOINAS PARA POLIMENTO</v>
          </cell>
          <cell r="G4504" t="str">
            <v>AUTOMOTIVO</v>
          </cell>
        </row>
        <row r="4505">
          <cell r="A4505">
            <v>23350</v>
          </cell>
          <cell r="B4505" t="str">
            <v>BOINA DUPLA FACE CINZA ER 6P PN33285 3M</v>
          </cell>
          <cell r="C4505" t="str">
            <v>HB004403125</v>
          </cell>
          <cell r="D4505" t="str">
            <v>3M</v>
          </cell>
          <cell r="E4505">
            <v>20010</v>
          </cell>
          <cell r="F4505" t="str">
            <v>BOINAS PARA POLIMENTO</v>
          </cell>
          <cell r="G4505" t="str">
            <v>AUTOMOTIVO</v>
          </cell>
        </row>
        <row r="4506">
          <cell r="A4506">
            <v>20987</v>
          </cell>
          <cell r="B4506" t="str">
            <v>BOINA DUPLA FACE DE  ESPUMA AZUL ER  8P PN05708 3M</v>
          </cell>
          <cell r="C4506" t="str">
            <v>HB004142012</v>
          </cell>
          <cell r="D4506" t="str">
            <v>3M</v>
          </cell>
          <cell r="E4506">
            <v>20010</v>
          </cell>
          <cell r="F4506" t="str">
            <v>BOINAS PARA POLIMENTO</v>
          </cell>
          <cell r="G4506" t="str">
            <v>AUTOMOTIVO</v>
          </cell>
        </row>
        <row r="4507">
          <cell r="A4507">
            <v>20986</v>
          </cell>
          <cell r="B4507" t="str">
            <v>BOINA DUPLA FACE DE ESPUMA CINZA ER PN05707 3M</v>
          </cell>
          <cell r="C4507" t="str">
            <v>HB004141964</v>
          </cell>
          <cell r="D4507" t="str">
            <v>3M</v>
          </cell>
          <cell r="E4507">
            <v>20010</v>
          </cell>
          <cell r="F4507" t="str">
            <v>BOINAS PARA POLIMENTO</v>
          </cell>
          <cell r="G4507" t="str">
            <v>AUTOMOTIVO</v>
          </cell>
        </row>
        <row r="4508">
          <cell r="A4508">
            <v>23713</v>
          </cell>
          <cell r="B4508" t="str">
            <v>BOINA DUPLA FACE DE ESPUMA PRETA 8P DT AUTOMOTIVE</v>
          </cell>
          <cell r="C4508" t="str">
            <v>DF PTA8</v>
          </cell>
          <cell r="D4508" t="str">
            <v>NEW PAD</v>
          </cell>
          <cell r="E4508">
            <v>20010</v>
          </cell>
          <cell r="F4508" t="str">
            <v>BOINAS PARA POLIMENTO</v>
          </cell>
          <cell r="G4508" t="str">
            <v>AUTOMOTIVO</v>
          </cell>
        </row>
        <row r="4509">
          <cell r="A4509">
            <v>20292</v>
          </cell>
          <cell r="B4509" t="str">
            <v>BOINA DUPLA FACE DE LA LIQUID ICE IMPORTADO 8P NORTON</v>
          </cell>
          <cell r="C4509">
            <v>66254460587</v>
          </cell>
          <cell r="D4509" t="str">
            <v>NORTON</v>
          </cell>
          <cell r="E4509">
            <v>20010</v>
          </cell>
          <cell r="F4509" t="str">
            <v>BOINAS PARA POLIMENTO</v>
          </cell>
          <cell r="G4509" t="str">
            <v>AUTOMOTIVO</v>
          </cell>
        </row>
        <row r="4510">
          <cell r="A4510">
            <v>23714</v>
          </cell>
          <cell r="B4510" t="str">
            <v>BOINA DUPLA FACE DE LA MISTA 8P DT AUTOMOTIVE</v>
          </cell>
          <cell r="C4510" t="str">
            <v>DFLM8</v>
          </cell>
          <cell r="D4510" t="str">
            <v>NEW PAD</v>
          </cell>
          <cell r="E4510">
            <v>20010</v>
          </cell>
          <cell r="F4510" t="str">
            <v>BOINAS PARA POLIMENTO</v>
          </cell>
          <cell r="G4510" t="str">
            <v>AUTOMOTIVO</v>
          </cell>
        </row>
        <row r="4511">
          <cell r="A4511">
            <v>23716</v>
          </cell>
          <cell r="B4511" t="str">
            <v>BOINA DUPLA FACE DE LA NORMAL BRANCA 8P DT AUTOMOTIVE</v>
          </cell>
          <cell r="C4511" t="str">
            <v>DFLN8</v>
          </cell>
          <cell r="D4511" t="str">
            <v>NEW PAD</v>
          </cell>
          <cell r="E4511">
            <v>20010</v>
          </cell>
          <cell r="F4511" t="str">
            <v>BOINAS PARA POLIMENTO</v>
          </cell>
          <cell r="G4511" t="str">
            <v>AUTOMOTIVO</v>
          </cell>
        </row>
        <row r="4512">
          <cell r="A4512">
            <v>21849</v>
          </cell>
          <cell r="B4512" t="str">
            <v>BOINA DUPLA FACE DE LA NORMAL CLASSIC 8P NORTON</v>
          </cell>
          <cell r="C4512">
            <v>66623386335</v>
          </cell>
          <cell r="D4512" t="str">
            <v>NORTON</v>
          </cell>
          <cell r="E4512">
            <v>20010</v>
          </cell>
          <cell r="F4512" t="str">
            <v>BOINAS PARA POLIMENTO</v>
          </cell>
          <cell r="G4512" t="str">
            <v>AUTOMOTIVO</v>
          </cell>
        </row>
        <row r="4513">
          <cell r="A4513">
            <v>23715</v>
          </cell>
          <cell r="B4513" t="str">
            <v>BOINA DUPLA FACE DE LA SUPER MACIA AMARELA 8P DT AUTOMOTIVE</v>
          </cell>
          <cell r="C4513" t="str">
            <v>DFLS8</v>
          </cell>
          <cell r="D4513" t="str">
            <v>NEW PAD</v>
          </cell>
          <cell r="E4513">
            <v>20010</v>
          </cell>
          <cell r="F4513" t="str">
            <v>BOINAS PARA POLIMENTO</v>
          </cell>
          <cell r="G4513" t="str">
            <v>AUTOMOTIVO</v>
          </cell>
        </row>
        <row r="4514">
          <cell r="A4514">
            <v>10068</v>
          </cell>
          <cell r="B4514" t="str">
            <v>BOINA DUPLA FACE DE LA SUPER MACIA PN33315 3M</v>
          </cell>
          <cell r="C4514" t="str">
            <v>HB004229611</v>
          </cell>
          <cell r="D4514" t="str">
            <v>3M</v>
          </cell>
          <cell r="E4514">
            <v>20010</v>
          </cell>
          <cell r="F4514" t="str">
            <v>BOINAS PARA POLIMENTO</v>
          </cell>
          <cell r="G4514" t="str">
            <v>AUTOMOTIVO</v>
          </cell>
        </row>
        <row r="4515">
          <cell r="A4515">
            <v>20295</v>
          </cell>
          <cell r="B4515" t="str">
            <v>BOINA DUPLA FACE MACIA AMARELA LAZZURIL</v>
          </cell>
          <cell r="C4515" t="str">
            <v>80.77.89795-129</v>
          </cell>
          <cell r="D4515" t="str">
            <v>.</v>
          </cell>
          <cell r="E4515">
            <v>20010</v>
          </cell>
          <cell r="F4515" t="str">
            <v>BOINAS PARA POLIMENTO</v>
          </cell>
          <cell r="G4515" t="str">
            <v>AUTOMOTIVO</v>
          </cell>
        </row>
        <row r="4516">
          <cell r="A4516">
            <v>10067</v>
          </cell>
          <cell r="B4516" t="str">
            <v>BOINA DUPLA FACE NORMAL 3M</v>
          </cell>
          <cell r="C4516" t="str">
            <v>HB004232987</v>
          </cell>
          <cell r="D4516" t="str">
            <v>3M</v>
          </cell>
          <cell r="E4516">
            <v>20010</v>
          </cell>
          <cell r="F4516" t="str">
            <v>BOINAS PARA POLIMENTO</v>
          </cell>
          <cell r="G4516" t="str">
            <v>AUTOMOTIVO</v>
          </cell>
        </row>
        <row r="4517">
          <cell r="A4517">
            <v>22241</v>
          </cell>
          <cell r="B4517" t="str">
            <v>BOINA DUPLA FACE NORMAL BRANCA P/ POLIMENTO SHERWIN WILLIAMS</v>
          </cell>
          <cell r="C4517" t="str">
            <v>80.77.89796-129</v>
          </cell>
          <cell r="D4517" t="str">
            <v>SHERWIN WILLIAMS</v>
          </cell>
          <cell r="E4517">
            <v>20010</v>
          </cell>
          <cell r="F4517" t="str">
            <v>BOINAS PARA POLIMENTO</v>
          </cell>
          <cell r="G4517" t="str">
            <v>AUTOMOTIVO</v>
          </cell>
        </row>
        <row r="4518">
          <cell r="A4518">
            <v>85511</v>
          </cell>
          <cell r="B4518" t="str">
            <v>BOINA LA CORTE ROTO ORB 5 3M 34120</v>
          </cell>
          <cell r="C4518" t="str">
            <v>HB004788442</v>
          </cell>
          <cell r="D4518" t="str">
            <v>3M</v>
          </cell>
          <cell r="E4518">
            <v>20010</v>
          </cell>
          <cell r="F4518" t="str">
            <v>BOINAS PARA POLIMENTO</v>
          </cell>
          <cell r="G4518" t="str">
            <v>AUTOMOTIVO</v>
          </cell>
        </row>
        <row r="4519">
          <cell r="A4519">
            <v>23453</v>
          </cell>
          <cell r="B4519" t="str">
            <v>BOINA MISTA DE LA P/ POLIMENTO 8P SHERWIN WILLIAMS</v>
          </cell>
          <cell r="C4519" t="str">
            <v>80.77.88815-129</v>
          </cell>
          <cell r="D4519" t="str">
            <v>SHERWIN WILLIAMS</v>
          </cell>
          <cell r="E4519">
            <v>20010</v>
          </cell>
          <cell r="F4519" t="str">
            <v>BOINAS PARA POLIMENTO</v>
          </cell>
          <cell r="G4519" t="str">
            <v>AUTOMOTIVO</v>
          </cell>
        </row>
        <row r="4520">
          <cell r="A4520">
            <v>85352</v>
          </cell>
          <cell r="B4520" t="str">
            <v>BOINA P/ POLIMENTO DE VIDROS TIPO CARPETE 5P VONIXX</v>
          </cell>
          <cell r="C4520">
            <v>2050444</v>
          </cell>
          <cell r="D4520" t="str">
            <v>VONIXX</v>
          </cell>
          <cell r="E4520">
            <v>20010</v>
          </cell>
          <cell r="F4520" t="str">
            <v>BOINAS PARA POLIMENTO</v>
          </cell>
          <cell r="G4520" t="str">
            <v>AUTOMOTIVO</v>
          </cell>
        </row>
        <row r="4521">
          <cell r="A4521">
            <v>85353</v>
          </cell>
          <cell r="B4521" t="str">
            <v>BOINA P/ POLIMENTO DE VIDROS TIPO LONA 5P VONIXX</v>
          </cell>
          <cell r="C4521">
            <v>2050445</v>
          </cell>
          <cell r="D4521" t="str">
            <v>VONIXX</v>
          </cell>
          <cell r="E4521">
            <v>20010</v>
          </cell>
          <cell r="F4521" t="str">
            <v>BOINAS PARA POLIMENTO</v>
          </cell>
          <cell r="G4521" t="str">
            <v>AUTOMOTIVO</v>
          </cell>
        </row>
        <row r="4522">
          <cell r="A4522">
            <v>248</v>
          </cell>
          <cell r="B4522" t="str">
            <v>BOINA REFINO AMARELA 7,5P AUTOAMERICA</v>
          </cell>
          <cell r="C4522">
            <v>3241</v>
          </cell>
          <cell r="D4522" t="str">
            <v>AUTO AMERICA</v>
          </cell>
          <cell r="E4522">
            <v>20010</v>
          </cell>
          <cell r="F4522" t="str">
            <v>BOINAS PARA POLIMENTO</v>
          </cell>
          <cell r="G4522" t="str">
            <v>AUTOMOTIVO</v>
          </cell>
        </row>
        <row r="4523">
          <cell r="A4523">
            <v>10104</v>
          </cell>
          <cell r="B4523" t="str">
            <v>BOINA VERDE CORTE 7,5P AUTOAMERICA</v>
          </cell>
          <cell r="C4523">
            <v>3242</v>
          </cell>
          <cell r="D4523" t="str">
            <v>AUTO AMERICA</v>
          </cell>
          <cell r="E4523">
            <v>20010</v>
          </cell>
          <cell r="F4523" t="str">
            <v>BOINAS PARA POLIMENTO</v>
          </cell>
          <cell r="G4523" t="str">
            <v>AUTOMOTIVO</v>
          </cell>
        </row>
        <row r="4524">
          <cell r="A4524">
            <v>10345</v>
          </cell>
          <cell r="B4524" t="str">
            <v>BOINA VERMELHA LUSTRO 7,5P AUTOAMERICA</v>
          </cell>
          <cell r="C4524" t="str">
            <v>W8006</v>
          </cell>
          <cell r="D4524" t="str">
            <v>AUTO AMERICA</v>
          </cell>
          <cell r="E4524">
            <v>20010</v>
          </cell>
          <cell r="F4524" t="str">
            <v>BOINAS PARA POLIMENTO</v>
          </cell>
          <cell r="G4524" t="str">
            <v>AUTOMOTIVO</v>
          </cell>
        </row>
        <row r="4525">
          <cell r="A4525">
            <v>83786</v>
          </cell>
          <cell r="B4525" t="str">
            <v>BOINA VOXER CORTE LEVE AMARELA 5P VONIXX</v>
          </cell>
          <cell r="C4525">
            <v>2005140</v>
          </cell>
          <cell r="D4525" t="str">
            <v>VONIXX</v>
          </cell>
          <cell r="E4525">
            <v>20010</v>
          </cell>
          <cell r="F4525" t="str">
            <v>BOINAS PARA POLIMENTO</v>
          </cell>
          <cell r="G4525" t="str">
            <v>AUTOMOTIVO</v>
          </cell>
        </row>
        <row r="4526">
          <cell r="A4526">
            <v>83787</v>
          </cell>
          <cell r="B4526" t="str">
            <v>BOINA VOXER CORTE MEDIO AZUL 5P VONIXX</v>
          </cell>
          <cell r="C4526">
            <v>2005143</v>
          </cell>
          <cell r="D4526" t="str">
            <v>VONIXX</v>
          </cell>
          <cell r="E4526">
            <v>20010</v>
          </cell>
          <cell r="F4526" t="str">
            <v>BOINAS PARA POLIMENTO</v>
          </cell>
          <cell r="G4526" t="str">
            <v>AUTOMOTIVO</v>
          </cell>
        </row>
        <row r="4527">
          <cell r="A4527">
            <v>83871</v>
          </cell>
          <cell r="B4527" t="str">
            <v>BOINA VOXER CORTE MEDIO AZUL 6P VONIXX</v>
          </cell>
          <cell r="C4527">
            <v>2005144</v>
          </cell>
          <cell r="D4527" t="str">
            <v>VONIXX</v>
          </cell>
          <cell r="E4527">
            <v>20010</v>
          </cell>
          <cell r="F4527" t="str">
            <v>BOINAS PARA POLIMENTO</v>
          </cell>
          <cell r="G4527" t="str">
            <v>AUTOMOTIVO</v>
          </cell>
        </row>
        <row r="4528">
          <cell r="A4528">
            <v>83788</v>
          </cell>
          <cell r="B4528" t="str">
            <v>BOINA VOXER CORTE PESADO VERDE 5P VONIXX</v>
          </cell>
          <cell r="C4528">
            <v>2005146</v>
          </cell>
          <cell r="D4528" t="str">
            <v>VONIXX</v>
          </cell>
          <cell r="E4528">
            <v>20010</v>
          </cell>
          <cell r="F4528" t="str">
            <v>BOINAS PARA POLIMENTO</v>
          </cell>
          <cell r="G4528" t="str">
            <v>AUTOMOTIVO</v>
          </cell>
        </row>
        <row r="4529">
          <cell r="A4529">
            <v>83789</v>
          </cell>
          <cell r="B4529" t="str">
            <v>BOINA VOXER LA COM ESPONJA 5P VONIXX</v>
          </cell>
          <cell r="C4529">
            <v>2005149</v>
          </cell>
          <cell r="D4529" t="str">
            <v>VONIXX</v>
          </cell>
          <cell r="E4529">
            <v>20010</v>
          </cell>
          <cell r="F4529" t="str">
            <v>BOINAS PARA POLIMENTO</v>
          </cell>
          <cell r="G4529" t="str">
            <v>AUTOMOTIVO</v>
          </cell>
        </row>
        <row r="4530">
          <cell r="A4530">
            <v>83790</v>
          </cell>
          <cell r="B4530" t="str">
            <v>BOINA VOXER LUSTRO AZUL CLARO 5P VONIXX</v>
          </cell>
          <cell r="C4530">
            <v>2005134</v>
          </cell>
          <cell r="D4530" t="str">
            <v>VONIXX</v>
          </cell>
          <cell r="E4530">
            <v>20010</v>
          </cell>
          <cell r="F4530" t="str">
            <v>BOINAS PARA POLIMENTO</v>
          </cell>
          <cell r="G4530" t="str">
            <v>AUTOMOTIVO</v>
          </cell>
        </row>
        <row r="4531">
          <cell r="A4531">
            <v>83791</v>
          </cell>
          <cell r="B4531" t="str">
            <v>BOINA VOXER REFINO LARANJA 5P VONIXX</v>
          </cell>
          <cell r="C4531">
            <v>2005137</v>
          </cell>
          <cell r="D4531" t="str">
            <v>VONIXX</v>
          </cell>
          <cell r="E4531">
            <v>20010</v>
          </cell>
          <cell r="F4531" t="str">
            <v>BOINAS PARA POLIMENTO</v>
          </cell>
          <cell r="G4531" t="str">
            <v>AUTOMOTIVO</v>
          </cell>
        </row>
        <row r="4532">
          <cell r="A4532">
            <v>84725</v>
          </cell>
          <cell r="B4532" t="str">
            <v>BOINA VOXER REFINO LARANJA 6P VONIXX</v>
          </cell>
          <cell r="C4532">
            <v>2005138</v>
          </cell>
          <cell r="D4532" t="str">
            <v>VONIXX</v>
          </cell>
          <cell r="E4532">
            <v>20010</v>
          </cell>
          <cell r="F4532" t="str">
            <v>BOINAS PARA POLIMENTO</v>
          </cell>
          <cell r="G4532" t="str">
            <v>AUTOMOTIVO</v>
          </cell>
        </row>
        <row r="4533">
          <cell r="A4533">
            <v>84726</v>
          </cell>
          <cell r="B4533" t="str">
            <v>BOINA VOXER SUPER LUSTRO VERMELHO  6P VONIXX</v>
          </cell>
          <cell r="C4533">
            <v>2005132</v>
          </cell>
          <cell r="D4533" t="str">
            <v>VONIXX</v>
          </cell>
          <cell r="E4533">
            <v>20010</v>
          </cell>
          <cell r="F4533" t="str">
            <v>BOINAS PARA POLIMENTO</v>
          </cell>
          <cell r="G4533" t="str">
            <v>AUTOMOTIVO</v>
          </cell>
        </row>
        <row r="4534">
          <cell r="A4534">
            <v>83792</v>
          </cell>
          <cell r="B4534" t="str">
            <v>BOINA VOXER SUPER LUSTRO VERMELHO 5P VONIXX</v>
          </cell>
          <cell r="C4534">
            <v>2005131</v>
          </cell>
          <cell r="D4534" t="str">
            <v>VONIXX</v>
          </cell>
          <cell r="E4534">
            <v>20010</v>
          </cell>
          <cell r="F4534" t="str">
            <v>BOINAS PARA POLIMENTO</v>
          </cell>
          <cell r="G4534" t="str">
            <v>AUTOMOTIVO</v>
          </cell>
        </row>
        <row r="4535">
          <cell r="A4535">
            <v>24294</v>
          </cell>
          <cell r="B4535" t="str">
            <v>ESCOVA P/ LIMPEZA DE BOINAS VONIXX</v>
          </cell>
          <cell r="C4535">
            <v>2011085</v>
          </cell>
          <cell r="D4535" t="str">
            <v>VONIXX</v>
          </cell>
          <cell r="E4535">
            <v>20010</v>
          </cell>
          <cell r="F4535" t="str">
            <v>BOINAS PARA POLIMENTO</v>
          </cell>
          <cell r="G4535" t="str">
            <v>AUTOMOTIVO</v>
          </cell>
        </row>
        <row r="4536">
          <cell r="A4536">
            <v>83799</v>
          </cell>
          <cell r="B4536" t="str">
            <v>KIT 3 BOINAS POLIMENTO EM CONE VONIXX</v>
          </cell>
          <cell r="C4536">
            <v>2006001</v>
          </cell>
          <cell r="D4536" t="str">
            <v>VONIXX</v>
          </cell>
          <cell r="E4536">
            <v>20010</v>
          </cell>
          <cell r="F4536" t="str">
            <v>BOINAS PARA POLIMENTO</v>
          </cell>
          <cell r="G4536" t="str">
            <v>AUTOMOTIVO</v>
          </cell>
        </row>
        <row r="4537">
          <cell r="A4537">
            <v>85263</v>
          </cell>
          <cell r="B4537" t="str">
            <v>SUPORTE PARA BOINA DE ESPUMA 150MM AUTOAMERICA</v>
          </cell>
          <cell r="C4537">
            <v>504545105</v>
          </cell>
          <cell r="D4537" t="str">
            <v>AUTO AMERICA</v>
          </cell>
          <cell r="E4537">
            <v>20010</v>
          </cell>
          <cell r="F4537" t="str">
            <v>BOINAS PARA POLIMENTO</v>
          </cell>
          <cell r="G4537" t="str">
            <v>AUTOMOTIVO</v>
          </cell>
        </row>
        <row r="4538">
          <cell r="A4538">
            <v>83816</v>
          </cell>
          <cell r="B4538" t="str">
            <v>SUPORTE PARA BOINA DE ESPUMA 5P 125 MM AUTOAMERICA</v>
          </cell>
          <cell r="C4538">
            <v>503545045</v>
          </cell>
          <cell r="D4538" t="str">
            <v>AUTO AMERICA</v>
          </cell>
          <cell r="E4538">
            <v>20010</v>
          </cell>
          <cell r="F4538" t="str">
            <v>BOINAS PARA POLIMENTO</v>
          </cell>
          <cell r="G4538" t="str">
            <v>AUTOMOTIVO</v>
          </cell>
        </row>
        <row r="4539">
          <cell r="A4539">
            <v>20158</v>
          </cell>
          <cell r="B4539" t="str">
            <v>LIXA DAGUA N. 1500 NORTON</v>
          </cell>
          <cell r="C4539">
            <v>6364258643</v>
          </cell>
          <cell r="D4539" t="str">
            <v>NORTON</v>
          </cell>
          <cell r="E4539">
            <v>20009</v>
          </cell>
          <cell r="F4539" t="str">
            <v>LIXA DÁGUA</v>
          </cell>
          <cell r="G4539" t="str">
            <v>AUTOMOTIVO</v>
          </cell>
        </row>
        <row r="4540">
          <cell r="A4540">
            <v>20159</v>
          </cell>
          <cell r="B4540" t="str">
            <v>LIXA DAGUA N. 2000 NORTON</v>
          </cell>
          <cell r="C4540">
            <v>6364259576</v>
          </cell>
          <cell r="D4540" t="str">
            <v>NORTON</v>
          </cell>
          <cell r="E4540">
            <v>20009</v>
          </cell>
          <cell r="F4540" t="str">
            <v>LIXA DÁGUA</v>
          </cell>
          <cell r="G4540" t="str">
            <v>AUTOMOTIVO</v>
          </cell>
        </row>
        <row r="4541">
          <cell r="A4541">
            <v>13</v>
          </cell>
          <cell r="B4541" t="str">
            <v>LIXA DAGUA N° 1200 3M</v>
          </cell>
          <cell r="C4541" t="str">
            <v>HC000657136</v>
          </cell>
          <cell r="D4541" t="str">
            <v>3M</v>
          </cell>
          <cell r="E4541">
            <v>20009</v>
          </cell>
          <cell r="F4541" t="str">
            <v>LIXA DÁGUA</v>
          </cell>
          <cell r="G4541" t="str">
            <v>AUTOMOTIVO</v>
          </cell>
        </row>
        <row r="4542">
          <cell r="A4542">
            <v>15</v>
          </cell>
          <cell r="B4542" t="str">
            <v>LIXA DAGUA N° 1500 3M</v>
          </cell>
          <cell r="C4542" t="str">
            <v>HC000657144</v>
          </cell>
          <cell r="D4542" t="str">
            <v>3M</v>
          </cell>
          <cell r="E4542">
            <v>20009</v>
          </cell>
          <cell r="F4542" t="str">
            <v>LIXA DÁGUA</v>
          </cell>
          <cell r="G4542" t="str">
            <v>AUTOMOTIVO</v>
          </cell>
        </row>
        <row r="4543">
          <cell r="A4543">
            <v>55</v>
          </cell>
          <cell r="B4543" t="str">
            <v>LIXA DAGUA N° 220 331Q 3M</v>
          </cell>
          <cell r="C4543" t="str">
            <v>HB004688089</v>
          </cell>
          <cell r="D4543" t="str">
            <v>3M</v>
          </cell>
          <cell r="E4543">
            <v>20009</v>
          </cell>
          <cell r="F4543" t="str">
            <v>LIXA DÁGUA</v>
          </cell>
          <cell r="G4543" t="str">
            <v>AUTOMOTIVO</v>
          </cell>
        </row>
        <row r="4544">
          <cell r="A4544">
            <v>20021</v>
          </cell>
          <cell r="B4544" t="str">
            <v>LIXA DAGUA N° 2500 3M</v>
          </cell>
          <cell r="C4544" t="str">
            <v>HC000657227</v>
          </cell>
          <cell r="D4544" t="str">
            <v>3M</v>
          </cell>
          <cell r="E4544">
            <v>20009</v>
          </cell>
          <cell r="F4544" t="str">
            <v>LIXA DÁGUA</v>
          </cell>
          <cell r="G4544" t="str">
            <v>AUTOMOTIVO</v>
          </cell>
        </row>
        <row r="4545">
          <cell r="A4545">
            <v>56</v>
          </cell>
          <cell r="B4545" t="str">
            <v>LIXA DAGUA Nº 080 331Q 3M</v>
          </cell>
          <cell r="C4545" t="str">
            <v>HB004688030</v>
          </cell>
          <cell r="D4545" t="str">
            <v>3M</v>
          </cell>
          <cell r="E4545">
            <v>20009</v>
          </cell>
          <cell r="F4545" t="str">
            <v>LIXA DÁGUA</v>
          </cell>
          <cell r="G4545" t="str">
            <v>AUTOMOTIVO</v>
          </cell>
        </row>
        <row r="4546">
          <cell r="A4546">
            <v>60</v>
          </cell>
          <cell r="B4546" t="str">
            <v>LIXA DAGUA Nº 100 331Q 3M</v>
          </cell>
          <cell r="C4546" t="str">
            <v>HB004688048</v>
          </cell>
          <cell r="D4546" t="str">
            <v>3M</v>
          </cell>
          <cell r="E4546">
            <v>20009</v>
          </cell>
          <cell r="F4546" t="str">
            <v>LIXA DÁGUA</v>
          </cell>
          <cell r="G4546" t="str">
            <v>AUTOMOTIVO</v>
          </cell>
        </row>
        <row r="4547">
          <cell r="A4547">
            <v>61</v>
          </cell>
          <cell r="B4547" t="str">
            <v>LIXA DAGUA Nº 120 331Q 3M</v>
          </cell>
          <cell r="C4547" t="str">
            <v>HB004688063</v>
          </cell>
          <cell r="D4547" t="str">
            <v>3M</v>
          </cell>
          <cell r="E4547">
            <v>20009</v>
          </cell>
          <cell r="F4547" t="str">
            <v>LIXA DÁGUA</v>
          </cell>
          <cell r="G4547" t="str">
            <v>AUTOMOTIVO</v>
          </cell>
        </row>
        <row r="4548">
          <cell r="A4548">
            <v>20157</v>
          </cell>
          <cell r="B4548" t="str">
            <v>LIXA DAGUA Nº 1200 NORTON</v>
          </cell>
          <cell r="C4548">
            <v>63642558642</v>
          </cell>
          <cell r="D4548" t="str">
            <v>NORTON</v>
          </cell>
          <cell r="E4548">
            <v>20009</v>
          </cell>
          <cell r="F4548" t="str">
            <v>LIXA DÁGUA</v>
          </cell>
          <cell r="G4548" t="str">
            <v>AUTOMOTIVO</v>
          </cell>
        </row>
        <row r="4549">
          <cell r="A4549">
            <v>62</v>
          </cell>
          <cell r="B4549" t="str">
            <v>LIXA DAGUA Nº 150 331Q 3M</v>
          </cell>
          <cell r="C4549" t="str">
            <v>HB004688055</v>
          </cell>
          <cell r="D4549" t="str">
            <v>3M</v>
          </cell>
          <cell r="E4549">
            <v>20009</v>
          </cell>
          <cell r="F4549" t="str">
            <v>LIXA DÁGUA</v>
          </cell>
          <cell r="G4549" t="str">
            <v>AUTOMOTIVO</v>
          </cell>
        </row>
        <row r="4550">
          <cell r="A4550">
            <v>10016</v>
          </cell>
          <cell r="B4550" t="str">
            <v>LIXA DAGUA Nº 150 3M</v>
          </cell>
          <cell r="C4550" t="str">
            <v>HB004072920</v>
          </cell>
          <cell r="D4550" t="str">
            <v>3M</v>
          </cell>
          <cell r="E4550">
            <v>20009</v>
          </cell>
          <cell r="F4550" t="str">
            <v>LIXA DÁGUA</v>
          </cell>
          <cell r="G4550" t="str">
            <v>AUTOMOTIVO</v>
          </cell>
        </row>
        <row r="4551">
          <cell r="A4551">
            <v>54</v>
          </cell>
          <cell r="B4551" t="str">
            <v>LIXA DAGUA Nº 180 331Q 3M</v>
          </cell>
          <cell r="C4551" t="str">
            <v>HB004688071</v>
          </cell>
          <cell r="D4551" t="str">
            <v>3M</v>
          </cell>
          <cell r="E4551">
            <v>20009</v>
          </cell>
          <cell r="F4551" t="str">
            <v>LIXA DÁGUA</v>
          </cell>
          <cell r="G4551" t="str">
            <v>AUTOMOTIVO</v>
          </cell>
        </row>
        <row r="4552">
          <cell r="A4552">
            <v>10017</v>
          </cell>
          <cell r="B4552" t="str">
            <v>LIXA DAGUA Nº 180 3M</v>
          </cell>
          <cell r="C4552" t="str">
            <v>HC000657045</v>
          </cell>
          <cell r="D4552" t="str">
            <v>3M</v>
          </cell>
          <cell r="E4552">
            <v>20009</v>
          </cell>
          <cell r="F4552" t="str">
            <v>LIXA DÁGUA</v>
          </cell>
          <cell r="G4552" t="str">
            <v>AUTOMOTIVO</v>
          </cell>
        </row>
        <row r="4553">
          <cell r="A4553">
            <v>16</v>
          </cell>
          <cell r="B4553" t="str">
            <v>LIXA DAGUA Nº 2000 3M</v>
          </cell>
          <cell r="C4553" t="str">
            <v>HC000657219</v>
          </cell>
          <cell r="D4553" t="str">
            <v>3M</v>
          </cell>
          <cell r="E4553">
            <v>20009</v>
          </cell>
          <cell r="F4553" t="str">
            <v>LIXA DÁGUA</v>
          </cell>
          <cell r="G4553" t="str">
            <v>AUTOMOTIVO</v>
          </cell>
        </row>
        <row r="4554">
          <cell r="A4554">
            <v>10018</v>
          </cell>
          <cell r="B4554" t="str">
            <v>LIXA DAGUA Nº 220 3M</v>
          </cell>
          <cell r="C4554" t="str">
            <v>HB004072946</v>
          </cell>
          <cell r="D4554" t="str">
            <v>3M</v>
          </cell>
          <cell r="E4554">
            <v>20009</v>
          </cell>
          <cell r="F4554" t="str">
            <v>LIXA DÁGUA</v>
          </cell>
          <cell r="G4554" t="str">
            <v>AUTOMOTIVO</v>
          </cell>
        </row>
        <row r="4555">
          <cell r="A4555">
            <v>83819</v>
          </cell>
          <cell r="B4555" t="str">
            <v>LIXA DAGUA Nº 3000 3M</v>
          </cell>
          <cell r="C4555" t="str">
            <v>HC000657235</v>
          </cell>
          <cell r="D4555" t="str">
            <v>3M</v>
          </cell>
          <cell r="E4555">
            <v>20009</v>
          </cell>
          <cell r="F4555" t="str">
            <v>LIXA DÁGUA</v>
          </cell>
          <cell r="G4555" t="str">
            <v>AUTOMOTIVO</v>
          </cell>
        </row>
        <row r="4556">
          <cell r="A4556">
            <v>57</v>
          </cell>
          <cell r="B4556" t="str">
            <v>LIXA DAGUA Nº 320 331Q 3M</v>
          </cell>
          <cell r="C4556" t="str">
            <v>HB004688113</v>
          </cell>
          <cell r="D4556" t="str">
            <v>3M</v>
          </cell>
          <cell r="E4556">
            <v>20009</v>
          </cell>
          <cell r="F4556" t="str">
            <v>LIXA DÁGUA</v>
          </cell>
          <cell r="G4556" t="str">
            <v>AUTOMOTIVO</v>
          </cell>
        </row>
        <row r="4557">
          <cell r="A4557">
            <v>10019</v>
          </cell>
          <cell r="B4557" t="str">
            <v>LIXA DAGUA Nº 320 3M</v>
          </cell>
          <cell r="C4557" t="str">
            <v xml:space="preserve">HB004072896			</v>
          </cell>
          <cell r="D4557" t="str">
            <v>3M</v>
          </cell>
          <cell r="E4557">
            <v>20009</v>
          </cell>
          <cell r="F4557" t="str">
            <v>LIXA DÁGUA</v>
          </cell>
          <cell r="G4557" t="str">
            <v>AUTOMOTIVO</v>
          </cell>
        </row>
        <row r="4558">
          <cell r="A4558">
            <v>58</v>
          </cell>
          <cell r="B4558" t="str">
            <v>LIXA DAGUA Nº 400 331Q 3M</v>
          </cell>
          <cell r="C4558" t="str">
            <v>HB004688139</v>
          </cell>
          <cell r="D4558" t="str">
            <v>3M</v>
          </cell>
          <cell r="E4558">
            <v>20009</v>
          </cell>
          <cell r="F4558" t="str">
            <v>LIXA DÁGUA</v>
          </cell>
          <cell r="G4558" t="str">
            <v>AUTOMOTIVO</v>
          </cell>
        </row>
        <row r="4559">
          <cell r="A4559">
            <v>59</v>
          </cell>
          <cell r="B4559" t="str">
            <v>LIXA DAGUA Nº 600 331Q 3M</v>
          </cell>
          <cell r="C4559" t="str">
            <v>HB004688147</v>
          </cell>
          <cell r="D4559" t="str">
            <v>3M</v>
          </cell>
          <cell r="E4559">
            <v>20009</v>
          </cell>
          <cell r="F4559" t="str">
            <v>LIXA DÁGUA</v>
          </cell>
          <cell r="G4559" t="str">
            <v>AUTOMOTIVO</v>
          </cell>
        </row>
        <row r="4560">
          <cell r="A4560">
            <v>10021</v>
          </cell>
          <cell r="B4560" t="str">
            <v>LIXA DAGUA Nº 600 3M</v>
          </cell>
          <cell r="C4560" t="str">
            <v>HC000657128</v>
          </cell>
          <cell r="D4560" t="str">
            <v>3M</v>
          </cell>
          <cell r="E4560">
            <v>20009</v>
          </cell>
          <cell r="F4560" t="str">
            <v>LIXA DÁGUA</v>
          </cell>
          <cell r="G4560" t="str">
            <v>AUTOMOTIVO</v>
          </cell>
        </row>
        <row r="4561">
          <cell r="A4561">
            <v>20175</v>
          </cell>
          <cell r="B4561" t="str">
            <v>LIXA DAGUA T-277 N. 220 NORTON</v>
          </cell>
          <cell r="C4561">
            <v>5539541826</v>
          </cell>
          <cell r="D4561" t="str">
            <v>.</v>
          </cell>
          <cell r="E4561">
            <v>20009</v>
          </cell>
          <cell r="F4561" t="str">
            <v>LIXA DÁGUA</v>
          </cell>
          <cell r="G4561" t="str">
            <v>AUTOMOTIVO</v>
          </cell>
        </row>
        <row r="4562">
          <cell r="A4562">
            <v>20178</v>
          </cell>
          <cell r="B4562" t="str">
            <v>LIXA DAGUA T-277 Nº 400 NORTON</v>
          </cell>
          <cell r="C4562">
            <v>5539541831</v>
          </cell>
          <cell r="D4562" t="str">
            <v>NORTON</v>
          </cell>
          <cell r="E4562">
            <v>20009</v>
          </cell>
          <cell r="F4562" t="str">
            <v>LIXA DÁGUA</v>
          </cell>
          <cell r="G4562" t="str">
            <v>AUTOMOTIVO</v>
          </cell>
        </row>
        <row r="4563">
          <cell r="A4563">
            <v>20177</v>
          </cell>
          <cell r="B4563" t="str">
            <v>LIXA DAGUA T-277 Nº 600 NORTON</v>
          </cell>
          <cell r="C4563">
            <v>5539541833</v>
          </cell>
          <cell r="D4563" t="str">
            <v>NORTON</v>
          </cell>
          <cell r="E4563">
            <v>20009</v>
          </cell>
          <cell r="F4563" t="str">
            <v>LIXA DÁGUA</v>
          </cell>
          <cell r="G4563" t="str">
            <v>AUTOMOTIVO</v>
          </cell>
        </row>
        <row r="4564">
          <cell r="A4564">
            <v>20126</v>
          </cell>
          <cell r="B4564" t="str">
            <v>CLEAN SAND DISC P080 152MM 3M</v>
          </cell>
          <cell r="C4564" t="str">
            <v>HC000593547</v>
          </cell>
          <cell r="D4564" t="str">
            <v>3M</v>
          </cell>
          <cell r="E4564">
            <v>20007</v>
          </cell>
          <cell r="F4564" t="str">
            <v xml:space="preserve">DISCOS / LIXAS / ABRASIVOS </v>
          </cell>
          <cell r="G4564" t="str">
            <v>AUTOMOTIVO</v>
          </cell>
        </row>
        <row r="4565">
          <cell r="A4565">
            <v>83948</v>
          </cell>
          <cell r="B4565" t="str">
            <v>CLEAN SAND DISC P120 152MM 3M</v>
          </cell>
          <cell r="D4565" t="str">
            <v>3M</v>
          </cell>
          <cell r="E4565">
            <v>20007</v>
          </cell>
          <cell r="F4565" t="str">
            <v xml:space="preserve">DISCOS / LIXAS / ABRASIVOS </v>
          </cell>
          <cell r="G4565" t="str">
            <v>AUTOMOTIVO</v>
          </cell>
        </row>
        <row r="4566">
          <cell r="A4566">
            <v>20123</v>
          </cell>
          <cell r="B4566" t="str">
            <v>CLEAN SAND DISC P320 152MM 3M</v>
          </cell>
          <cell r="C4566" t="str">
            <v>HC000593570</v>
          </cell>
          <cell r="D4566" t="str">
            <v>3M</v>
          </cell>
          <cell r="E4566">
            <v>20007</v>
          </cell>
          <cell r="F4566" t="str">
            <v xml:space="preserve">DISCOS / LIXAS / ABRASIVOS </v>
          </cell>
          <cell r="G4566" t="str">
            <v>AUTOMOTIVO</v>
          </cell>
        </row>
        <row r="4567">
          <cell r="A4567">
            <v>21355</v>
          </cell>
          <cell r="B4567" t="str">
            <v>CLEAN SAND DISC P600 152MM 3M</v>
          </cell>
          <cell r="C4567" t="str">
            <v>HC000614145</v>
          </cell>
          <cell r="D4567" t="str">
            <v>3M</v>
          </cell>
          <cell r="E4567">
            <v>20007</v>
          </cell>
          <cell r="F4567" t="str">
            <v xml:space="preserve">DISCOS / LIXAS / ABRASIVOS </v>
          </cell>
          <cell r="G4567" t="str">
            <v>AUTOMOTIVO</v>
          </cell>
        </row>
        <row r="4568">
          <cell r="A4568">
            <v>22065</v>
          </cell>
          <cell r="B4568" t="str">
            <v>CORREIA CUBII 36+</v>
          </cell>
          <cell r="C4568" t="str">
            <v>HB004378509</v>
          </cell>
          <cell r="D4568" t="str">
            <v>3M</v>
          </cell>
          <cell r="E4568">
            <v>20007</v>
          </cell>
          <cell r="F4568" t="str">
            <v xml:space="preserve">DISCOS / LIXAS / ABRASIVOS </v>
          </cell>
          <cell r="G4568" t="str">
            <v>AUTOMOTIVO</v>
          </cell>
        </row>
        <row r="4569">
          <cell r="A4569">
            <v>22063</v>
          </cell>
          <cell r="B4569" t="str">
            <v>CORREIA CUBII 60+</v>
          </cell>
          <cell r="C4569" t="str">
            <v>HB004378517</v>
          </cell>
          <cell r="D4569" t="str">
            <v>3M</v>
          </cell>
          <cell r="E4569">
            <v>20007</v>
          </cell>
          <cell r="F4569" t="str">
            <v xml:space="preserve">DISCOS / LIXAS / ABRASIVOS </v>
          </cell>
          <cell r="G4569" t="str">
            <v>AUTOMOTIVO</v>
          </cell>
        </row>
        <row r="4570">
          <cell r="A4570">
            <v>22064</v>
          </cell>
          <cell r="B4570" t="str">
            <v>CORREIA CUBII 80+</v>
          </cell>
          <cell r="C4570" t="str">
            <v>HB004378525</v>
          </cell>
          <cell r="D4570" t="str">
            <v>3M</v>
          </cell>
          <cell r="E4570">
            <v>20007</v>
          </cell>
          <cell r="F4570" t="str">
            <v xml:space="preserve">DISCOS / LIXAS / ABRASIVOS </v>
          </cell>
          <cell r="G4570" t="str">
            <v>AUTOMOTIVO</v>
          </cell>
        </row>
        <row r="4571">
          <cell r="A4571">
            <v>23126</v>
          </cell>
          <cell r="B4571" t="str">
            <v>DISCO BLUE 040 152MM 7F 321U 3M</v>
          </cell>
          <cell r="C4571" t="str">
            <v>HB004516918</v>
          </cell>
          <cell r="D4571" t="str">
            <v>3M</v>
          </cell>
          <cell r="E4571">
            <v>20007</v>
          </cell>
          <cell r="F4571" t="str">
            <v xml:space="preserve">DISCOS / LIXAS / ABRASIVOS </v>
          </cell>
          <cell r="G4571" t="str">
            <v>AUTOMOTIVO</v>
          </cell>
        </row>
        <row r="4572">
          <cell r="A4572">
            <v>23110</v>
          </cell>
          <cell r="B4572" t="str">
            <v>DISCO BLUE 080 152MM 7F 321U 3M</v>
          </cell>
          <cell r="C4572" t="str">
            <v>HB004516926</v>
          </cell>
          <cell r="D4572" t="str">
            <v>3M</v>
          </cell>
          <cell r="E4572">
            <v>20007</v>
          </cell>
          <cell r="F4572" t="str">
            <v xml:space="preserve">DISCOS / LIXAS / ABRASIVOS </v>
          </cell>
          <cell r="G4572" t="str">
            <v>AUTOMOTIVO</v>
          </cell>
        </row>
        <row r="4573">
          <cell r="A4573">
            <v>23104</v>
          </cell>
          <cell r="B4573" t="str">
            <v>DISCO BLUE 120 152MM 7F 321U  3M</v>
          </cell>
          <cell r="C4573" t="str">
            <v>HB004516934</v>
          </cell>
          <cell r="D4573" t="str">
            <v>3M</v>
          </cell>
          <cell r="E4573">
            <v>20007</v>
          </cell>
          <cell r="F4573" t="str">
            <v xml:space="preserve">DISCOS / LIXAS / ABRASIVOS </v>
          </cell>
          <cell r="G4573" t="str">
            <v>AUTOMOTIVO</v>
          </cell>
        </row>
        <row r="4574">
          <cell r="A4574">
            <v>23105</v>
          </cell>
          <cell r="B4574" t="str">
            <v>DISCO BLUE 150 152MM 7F 321U 3M</v>
          </cell>
          <cell r="C4574" t="str">
            <v>HB004516942</v>
          </cell>
          <cell r="D4574" t="str">
            <v>3M</v>
          </cell>
          <cell r="E4574">
            <v>20007</v>
          </cell>
          <cell r="F4574" t="str">
            <v xml:space="preserve">DISCOS / LIXAS / ABRASIVOS </v>
          </cell>
          <cell r="G4574" t="str">
            <v>AUTOMOTIVO</v>
          </cell>
        </row>
        <row r="4575">
          <cell r="A4575">
            <v>23125</v>
          </cell>
          <cell r="B4575" t="str">
            <v>DISCO BLUE 180 152MM 7F 321U 3M</v>
          </cell>
          <cell r="C4575" t="str">
            <v>HB004517569</v>
          </cell>
          <cell r="D4575" t="str">
            <v>3M</v>
          </cell>
          <cell r="E4575">
            <v>20007</v>
          </cell>
          <cell r="F4575" t="str">
            <v xml:space="preserve">DISCOS / LIXAS / ABRASIVOS </v>
          </cell>
          <cell r="G4575" t="str">
            <v>AUTOMOTIVO</v>
          </cell>
        </row>
        <row r="4576">
          <cell r="A4576">
            <v>23106</v>
          </cell>
          <cell r="B4576" t="str">
            <v>DISCO BLUE 220 152MM 7F 321U 3M</v>
          </cell>
          <cell r="C4576" t="str">
            <v>HB004517601</v>
          </cell>
          <cell r="D4576" t="str">
            <v>3M</v>
          </cell>
          <cell r="E4576">
            <v>20007</v>
          </cell>
          <cell r="F4576" t="str">
            <v xml:space="preserve">DISCOS / LIXAS / ABRASIVOS </v>
          </cell>
          <cell r="G4576" t="str">
            <v>AUTOMOTIVO</v>
          </cell>
        </row>
        <row r="4577">
          <cell r="A4577">
            <v>23107</v>
          </cell>
          <cell r="B4577" t="str">
            <v>DISCO BLUE 320 152MM 7F 321U 3M</v>
          </cell>
          <cell r="C4577" t="str">
            <v>HB004716245</v>
          </cell>
          <cell r="D4577" t="str">
            <v>3M</v>
          </cell>
          <cell r="E4577">
            <v>20007</v>
          </cell>
          <cell r="F4577" t="str">
            <v xml:space="preserve">DISCOS / LIXAS / ABRASIVOS </v>
          </cell>
          <cell r="G4577" t="str">
            <v>AUTOMOTIVO</v>
          </cell>
        </row>
        <row r="4578">
          <cell r="A4578">
            <v>23108</v>
          </cell>
          <cell r="B4578" t="str">
            <v>DISCO BLUE 400 152MM 7F 321U 3M</v>
          </cell>
          <cell r="C4578" t="str">
            <v>HB004517650</v>
          </cell>
          <cell r="D4578" t="str">
            <v>3M</v>
          </cell>
          <cell r="E4578">
            <v>20007</v>
          </cell>
          <cell r="F4578" t="str">
            <v xml:space="preserve">DISCOS / LIXAS / ABRASIVOS </v>
          </cell>
          <cell r="G4578" t="str">
            <v>AUTOMOTIVO</v>
          </cell>
        </row>
        <row r="4579">
          <cell r="A4579">
            <v>23127</v>
          </cell>
          <cell r="B4579" t="str">
            <v>DISCO BLUE 500 152MM 7F 321U 3M</v>
          </cell>
          <cell r="C4579" t="str">
            <v>HB004517742</v>
          </cell>
          <cell r="D4579" t="str">
            <v>3M</v>
          </cell>
          <cell r="E4579">
            <v>20007</v>
          </cell>
          <cell r="F4579" t="str">
            <v xml:space="preserve">DISCOS / LIXAS / ABRASIVOS </v>
          </cell>
          <cell r="G4579" t="str">
            <v>AUTOMOTIVO</v>
          </cell>
        </row>
        <row r="4580">
          <cell r="A4580">
            <v>23109</v>
          </cell>
          <cell r="B4580" t="str">
            <v>DISCO BLUE 600 152MM 7F 321U 3M</v>
          </cell>
          <cell r="C4580" t="str">
            <v>HB004517684</v>
          </cell>
          <cell r="D4580" t="str">
            <v>3M</v>
          </cell>
          <cell r="E4580">
            <v>20007</v>
          </cell>
          <cell r="F4580" t="str">
            <v xml:space="preserve">DISCOS / LIXAS / ABRASIVOS </v>
          </cell>
          <cell r="G4580" t="str">
            <v>AUTOMOTIVO</v>
          </cell>
        </row>
        <row r="4581">
          <cell r="A4581">
            <v>23123</v>
          </cell>
          <cell r="B4581" t="str">
            <v>DISCO BLUE 800 152MM 7F 321U 3M</v>
          </cell>
          <cell r="C4581" t="str">
            <v>HB004517718</v>
          </cell>
          <cell r="D4581" t="str">
            <v>3M</v>
          </cell>
          <cell r="E4581">
            <v>20007</v>
          </cell>
          <cell r="F4581" t="str">
            <v xml:space="preserve">DISCOS / LIXAS / ABRASIVOS </v>
          </cell>
          <cell r="G4581" t="str">
            <v>AUTOMOTIVO</v>
          </cell>
        </row>
        <row r="4582">
          <cell r="A4582">
            <v>84509</v>
          </cell>
          <cell r="B4582" t="str">
            <v>DISCO BLUE NET 080 152MM 3M</v>
          </cell>
          <cell r="C4582" t="str">
            <v>HB004748990</v>
          </cell>
          <cell r="D4582" t="str">
            <v>3M</v>
          </cell>
          <cell r="E4582">
            <v>20007</v>
          </cell>
          <cell r="F4582" t="str">
            <v xml:space="preserve">DISCOS / LIXAS / ABRASIVOS </v>
          </cell>
          <cell r="G4582" t="str">
            <v>AUTOMOTIVO</v>
          </cell>
        </row>
        <row r="4583">
          <cell r="A4583">
            <v>84684</v>
          </cell>
          <cell r="B4583" t="str">
            <v>DISCO BLUE NET 150 152MM 3M</v>
          </cell>
          <cell r="C4583" t="str">
            <v>HB004749014</v>
          </cell>
          <cell r="D4583" t="str">
            <v>3M</v>
          </cell>
          <cell r="E4583">
            <v>20007</v>
          </cell>
          <cell r="F4583" t="str">
            <v xml:space="preserve">DISCOS / LIXAS / ABRASIVOS </v>
          </cell>
          <cell r="G4583" t="str">
            <v>AUTOMOTIVO</v>
          </cell>
        </row>
        <row r="4584">
          <cell r="A4584">
            <v>84699</v>
          </cell>
          <cell r="B4584" t="str">
            <v>DISCO BLUE NET 220 152MM 3M</v>
          </cell>
          <cell r="C4584" t="str">
            <v>HB004749030</v>
          </cell>
          <cell r="D4584" t="str">
            <v>3M</v>
          </cell>
          <cell r="E4584">
            <v>20007</v>
          </cell>
          <cell r="F4584" t="str">
            <v xml:space="preserve">DISCOS / LIXAS / ABRASIVOS </v>
          </cell>
          <cell r="G4584" t="str">
            <v>AUTOMOTIVO</v>
          </cell>
        </row>
        <row r="4585">
          <cell r="A4585">
            <v>84700</v>
          </cell>
          <cell r="B4585" t="str">
            <v>DISCO BLUE NET 320 152MM 3M</v>
          </cell>
          <cell r="C4585" t="str">
            <v>HB004749055</v>
          </cell>
          <cell r="D4585" t="str">
            <v>3M</v>
          </cell>
          <cell r="E4585">
            <v>20007</v>
          </cell>
          <cell r="F4585" t="str">
            <v xml:space="preserve">DISCOS / LIXAS / ABRASIVOS </v>
          </cell>
          <cell r="G4585" t="str">
            <v>AUTOMOTIVO</v>
          </cell>
        </row>
        <row r="4586">
          <cell r="A4586">
            <v>10036</v>
          </cell>
          <cell r="B4586" t="str">
            <v>DISCO DE LIXA OURO 040 216U 3M</v>
          </cell>
          <cell r="C4586" t="str">
            <v>HB004143259</v>
          </cell>
          <cell r="D4586" t="str">
            <v>3M</v>
          </cell>
          <cell r="E4586">
            <v>20007</v>
          </cell>
          <cell r="F4586" t="str">
            <v xml:space="preserve">DISCOS / LIXAS / ABRASIVOS </v>
          </cell>
          <cell r="G4586" t="str">
            <v>AUTOMOTIVO</v>
          </cell>
        </row>
        <row r="4587">
          <cell r="A4587">
            <v>10033</v>
          </cell>
          <cell r="B4587" t="str">
            <v>DISCO DE LIXA OURO 080 216U 3M</v>
          </cell>
          <cell r="C4587" t="str">
            <v>HC000619557</v>
          </cell>
          <cell r="D4587" t="str">
            <v>3M</v>
          </cell>
          <cell r="E4587">
            <v>20007</v>
          </cell>
          <cell r="F4587" t="str">
            <v xml:space="preserve">DISCOS / LIXAS / ABRASIVOS </v>
          </cell>
          <cell r="G4587" t="str">
            <v>AUTOMOTIVO</v>
          </cell>
        </row>
        <row r="4588">
          <cell r="A4588">
            <v>10034</v>
          </cell>
          <cell r="B4588" t="str">
            <v>DISCO DE LIXA OURO 120 216U 3M</v>
          </cell>
          <cell r="C4588" t="str">
            <v>HC000619573</v>
          </cell>
          <cell r="D4588" t="str">
            <v>3M</v>
          </cell>
          <cell r="E4588">
            <v>20007</v>
          </cell>
          <cell r="F4588" t="str">
            <v xml:space="preserve">DISCOS / LIXAS / ABRASIVOS </v>
          </cell>
          <cell r="G4588" t="str">
            <v>AUTOMOTIVO</v>
          </cell>
        </row>
        <row r="4589">
          <cell r="A4589">
            <v>10037</v>
          </cell>
          <cell r="B4589" t="str">
            <v>DISCO DE LIXA OURO 220 216U 3M</v>
          </cell>
          <cell r="C4589" t="str">
            <v>HC000619607</v>
          </cell>
          <cell r="D4589" t="str">
            <v>3M</v>
          </cell>
          <cell r="E4589">
            <v>20007</v>
          </cell>
          <cell r="F4589" t="str">
            <v xml:space="preserve">DISCOS / LIXAS / ABRASIVOS </v>
          </cell>
          <cell r="G4589" t="str">
            <v>AUTOMOTIVO</v>
          </cell>
        </row>
        <row r="4590">
          <cell r="A4590">
            <v>10038</v>
          </cell>
          <cell r="B4590" t="str">
            <v>DISCO DE LIXA OURO 320 216U 3M</v>
          </cell>
          <cell r="C4590" t="str">
            <v>HC000619631</v>
          </cell>
          <cell r="D4590" t="str">
            <v>3M</v>
          </cell>
          <cell r="E4590">
            <v>20007</v>
          </cell>
          <cell r="F4590" t="str">
            <v xml:space="preserve">DISCOS / LIXAS / ABRASIVOS </v>
          </cell>
          <cell r="G4590" t="str">
            <v>AUTOMOTIVO</v>
          </cell>
        </row>
        <row r="4591">
          <cell r="A4591">
            <v>10039</v>
          </cell>
          <cell r="B4591" t="str">
            <v>DISCO DE LIXA OURO 400 216U 3M</v>
          </cell>
          <cell r="C4591" t="str">
            <v>HC000619649</v>
          </cell>
          <cell r="D4591" t="str">
            <v>3M</v>
          </cell>
          <cell r="E4591">
            <v>20007</v>
          </cell>
          <cell r="F4591" t="str">
            <v xml:space="preserve">DISCOS / LIXAS / ABRASIVOS </v>
          </cell>
          <cell r="G4591" t="str">
            <v>AUTOMOTIVO</v>
          </cell>
        </row>
        <row r="4592">
          <cell r="A4592">
            <v>84920</v>
          </cell>
          <cell r="B4592" t="str">
            <v>DISCO DE LIXA OURO 600 216U 3M</v>
          </cell>
          <cell r="D4592" t="str">
            <v>3M</v>
          </cell>
          <cell r="E4592">
            <v>20007</v>
          </cell>
          <cell r="F4592" t="str">
            <v xml:space="preserve">DISCOS / LIXAS / ABRASIVOS </v>
          </cell>
          <cell r="G4592" t="str">
            <v>AUTOMOTIVO</v>
          </cell>
        </row>
        <row r="4593">
          <cell r="A4593">
            <v>23873</v>
          </cell>
          <cell r="B4593" t="str">
            <v>DISCO DE LIXA P080 MIRKA</v>
          </cell>
          <cell r="C4593">
            <v>3662809980</v>
          </cell>
          <cell r="D4593" t="str">
            <v>MIRKA</v>
          </cell>
          <cell r="E4593">
            <v>20007</v>
          </cell>
          <cell r="F4593" t="str">
            <v xml:space="preserve">DISCOS / LIXAS / ABRASIVOS </v>
          </cell>
          <cell r="G4593" t="str">
            <v>AUTOMOTIVO</v>
          </cell>
        </row>
        <row r="4594">
          <cell r="A4594">
            <v>23798</v>
          </cell>
          <cell r="B4594" t="str">
            <v>DISCO DE LIXA P120 MIRKA</v>
          </cell>
          <cell r="C4594">
            <v>3662809912</v>
          </cell>
          <cell r="D4594" t="str">
            <v>MIRKA</v>
          </cell>
          <cell r="E4594">
            <v>20007</v>
          </cell>
          <cell r="F4594" t="str">
            <v xml:space="preserve">DISCOS / LIXAS / ABRASIVOS </v>
          </cell>
          <cell r="G4594" t="str">
            <v>AUTOMOTIVO</v>
          </cell>
        </row>
        <row r="4595">
          <cell r="A4595">
            <v>23799</v>
          </cell>
          <cell r="B4595" t="str">
            <v>DISCO DE LIXA P150 MIRKA</v>
          </cell>
          <cell r="C4595">
            <v>3661809915</v>
          </cell>
          <cell r="D4595" t="str">
            <v>MIRKA</v>
          </cell>
          <cell r="E4595">
            <v>20007</v>
          </cell>
          <cell r="F4595" t="str">
            <v xml:space="preserve">DISCOS / LIXAS / ABRASIVOS </v>
          </cell>
          <cell r="G4595" t="str">
            <v>AUTOMOTIVO</v>
          </cell>
        </row>
        <row r="4596">
          <cell r="A4596">
            <v>23800</v>
          </cell>
          <cell r="B4596" t="str">
            <v>DISCO DE LIXA P220 MIRKA</v>
          </cell>
          <cell r="C4596">
            <v>3662809922</v>
          </cell>
          <cell r="D4596" t="str">
            <v>MIRKA</v>
          </cell>
          <cell r="E4596">
            <v>20007</v>
          </cell>
          <cell r="F4596" t="str">
            <v xml:space="preserve">DISCOS / LIXAS / ABRASIVOS </v>
          </cell>
          <cell r="G4596" t="str">
            <v>AUTOMOTIVO</v>
          </cell>
        </row>
        <row r="4597">
          <cell r="A4597">
            <v>23808</v>
          </cell>
          <cell r="B4597" t="str">
            <v>DISCO DE LIXA P320 MIRKA</v>
          </cell>
          <cell r="C4597">
            <v>3662809932</v>
          </cell>
          <cell r="D4597" t="str">
            <v>MIRKA</v>
          </cell>
          <cell r="E4597">
            <v>20007</v>
          </cell>
          <cell r="F4597" t="str">
            <v xml:space="preserve">DISCOS / LIXAS / ABRASIVOS </v>
          </cell>
          <cell r="G4597" t="str">
            <v>AUTOMOTIVO</v>
          </cell>
        </row>
        <row r="4598">
          <cell r="A4598">
            <v>23809</v>
          </cell>
          <cell r="B4598" t="str">
            <v>DISCO DE LIXA P400 MIRKA</v>
          </cell>
          <cell r="C4598">
            <v>68052000</v>
          </cell>
          <cell r="D4598" t="str">
            <v>MIRKA</v>
          </cell>
          <cell r="E4598">
            <v>20007</v>
          </cell>
          <cell r="F4598" t="str">
            <v xml:space="preserve">DISCOS / LIXAS / ABRASIVOS </v>
          </cell>
          <cell r="G4598" t="str">
            <v>AUTOMOTIVO</v>
          </cell>
        </row>
        <row r="4599">
          <cell r="A4599">
            <v>83825</v>
          </cell>
          <cell r="B4599" t="str">
            <v>DISCO DE LIXA PLUMA SECO A290 P0040 NORTON</v>
          </cell>
          <cell r="C4599">
            <v>78072763556</v>
          </cell>
          <cell r="D4599" t="str">
            <v>NORTON</v>
          </cell>
          <cell r="E4599">
            <v>20007</v>
          </cell>
          <cell r="F4599" t="str">
            <v xml:space="preserve">DISCOS / LIXAS / ABRASIVOS </v>
          </cell>
          <cell r="G4599" t="str">
            <v>AUTOMOTIVO</v>
          </cell>
        </row>
        <row r="4600">
          <cell r="A4600">
            <v>84456</v>
          </cell>
          <cell r="B4600" t="str">
            <v>DISCO DE LIXA PLUMA SECO A296 P0040 NORTON</v>
          </cell>
          <cell r="C4600">
            <v>66623373431</v>
          </cell>
          <cell r="D4600" t="str">
            <v>NORTON</v>
          </cell>
          <cell r="E4600">
            <v>20007</v>
          </cell>
          <cell r="F4600" t="str">
            <v xml:space="preserve">DISCOS / LIXAS / ABRASIVOS </v>
          </cell>
          <cell r="G4600" t="str">
            <v>AUTOMOTIVO</v>
          </cell>
        </row>
        <row r="4601">
          <cell r="A4601">
            <v>20172</v>
          </cell>
          <cell r="B4601" t="str">
            <v>DISCO HOOKIT 040 NORTON</v>
          </cell>
          <cell r="D4601" t="str">
            <v>NORTON</v>
          </cell>
          <cell r="E4601">
            <v>20007</v>
          </cell>
          <cell r="F4601" t="str">
            <v xml:space="preserve">DISCOS / LIXAS / ABRASIVOS </v>
          </cell>
          <cell r="G4601" t="str">
            <v>AUTOMOTIVO</v>
          </cell>
        </row>
        <row r="4602">
          <cell r="A4602">
            <v>10236</v>
          </cell>
          <cell r="B4602" t="str">
            <v>DISCO HOOKIT 080 NORTON</v>
          </cell>
          <cell r="C4602">
            <v>66261086331</v>
          </cell>
          <cell r="D4602" t="str">
            <v>NORTON</v>
          </cell>
          <cell r="E4602">
            <v>20007</v>
          </cell>
          <cell r="F4602" t="str">
            <v xml:space="preserve">DISCOS / LIXAS / ABRASIVOS </v>
          </cell>
          <cell r="G4602" t="str">
            <v>AUTOMOTIVO</v>
          </cell>
        </row>
        <row r="4603">
          <cell r="A4603">
            <v>10224</v>
          </cell>
          <cell r="B4603" t="str">
            <v>DISCO HOOKIT 120 NORTON</v>
          </cell>
          <cell r="C4603">
            <v>66261086332</v>
          </cell>
          <cell r="D4603" t="str">
            <v>NORTON</v>
          </cell>
          <cell r="E4603">
            <v>20007</v>
          </cell>
          <cell r="F4603" t="str">
            <v xml:space="preserve">DISCOS / LIXAS / ABRASIVOS </v>
          </cell>
          <cell r="G4603" t="str">
            <v>AUTOMOTIVO</v>
          </cell>
        </row>
        <row r="4604">
          <cell r="A4604">
            <v>10226</v>
          </cell>
          <cell r="B4604" t="str">
            <v>DISCO HOOKIT 150 NORTON</v>
          </cell>
          <cell r="C4604">
            <v>66261086333</v>
          </cell>
          <cell r="D4604" t="str">
            <v>NORTON</v>
          </cell>
          <cell r="E4604">
            <v>20007</v>
          </cell>
          <cell r="F4604" t="str">
            <v xml:space="preserve">DISCOS / LIXAS / ABRASIVOS </v>
          </cell>
          <cell r="G4604" t="str">
            <v>AUTOMOTIVO</v>
          </cell>
        </row>
        <row r="4605">
          <cell r="A4605">
            <v>10228</v>
          </cell>
          <cell r="B4605" t="str">
            <v>DISCO HOOKIT 180 NORTON</v>
          </cell>
          <cell r="C4605">
            <v>66261086334</v>
          </cell>
          <cell r="D4605" t="str">
            <v>NORTON</v>
          </cell>
          <cell r="E4605">
            <v>20007</v>
          </cell>
          <cell r="F4605" t="str">
            <v xml:space="preserve">DISCOS / LIXAS / ABRASIVOS </v>
          </cell>
          <cell r="G4605" t="str">
            <v>AUTOMOTIVO</v>
          </cell>
        </row>
        <row r="4606">
          <cell r="A4606">
            <v>10230</v>
          </cell>
          <cell r="B4606" t="str">
            <v>DISCO HOOKIT 220 NORTON</v>
          </cell>
          <cell r="C4606">
            <v>66261086335</v>
          </cell>
          <cell r="D4606" t="str">
            <v>NORTON</v>
          </cell>
          <cell r="E4606">
            <v>20007</v>
          </cell>
          <cell r="F4606" t="str">
            <v xml:space="preserve">DISCOS / LIXAS / ABRASIVOS </v>
          </cell>
          <cell r="G4606" t="str">
            <v>AUTOMOTIVO</v>
          </cell>
        </row>
        <row r="4607">
          <cell r="A4607">
            <v>10232</v>
          </cell>
          <cell r="B4607" t="str">
            <v>DISCO HOOKIT 320 NORTON</v>
          </cell>
          <cell r="C4607">
            <v>66261086337</v>
          </cell>
          <cell r="D4607" t="str">
            <v>NORTON</v>
          </cell>
          <cell r="E4607">
            <v>20007</v>
          </cell>
          <cell r="F4607" t="str">
            <v xml:space="preserve">DISCOS / LIXAS / ABRASIVOS </v>
          </cell>
          <cell r="G4607" t="str">
            <v>AUTOMOTIVO</v>
          </cell>
        </row>
        <row r="4608">
          <cell r="A4608">
            <v>10234</v>
          </cell>
          <cell r="B4608" t="str">
            <v>DISCO HOOKIT 400 NORTON</v>
          </cell>
          <cell r="C4608">
            <v>66261086338</v>
          </cell>
          <cell r="D4608" t="str">
            <v>NORTON</v>
          </cell>
          <cell r="E4608">
            <v>20007</v>
          </cell>
          <cell r="F4608" t="str">
            <v xml:space="preserve">DISCOS / LIXAS / ABRASIVOS </v>
          </cell>
          <cell r="G4608" t="str">
            <v>AUTOMOTIVO</v>
          </cell>
        </row>
        <row r="4609">
          <cell r="A4609">
            <v>85406</v>
          </cell>
          <cell r="B4609" t="str">
            <v>DISCO HOOKIT 500 NORTON</v>
          </cell>
          <cell r="C4609">
            <v>78072716746</v>
          </cell>
          <cell r="D4609" t="str">
            <v>NORTON</v>
          </cell>
          <cell r="E4609">
            <v>20007</v>
          </cell>
          <cell r="F4609" t="str">
            <v xml:space="preserve">DISCOS / LIXAS / ABRASIVOS </v>
          </cell>
          <cell r="G4609" t="str">
            <v>AUTOMOTIVO</v>
          </cell>
        </row>
        <row r="4610">
          <cell r="A4610">
            <v>10237</v>
          </cell>
          <cell r="B4610" t="str">
            <v>DISCO HOOKIT 600 NORTON</v>
          </cell>
          <cell r="C4610">
            <v>66261086339</v>
          </cell>
          <cell r="D4610" t="str">
            <v>NORTON</v>
          </cell>
          <cell r="E4610">
            <v>20007</v>
          </cell>
          <cell r="F4610" t="str">
            <v xml:space="preserve">DISCOS / LIXAS / ABRASIVOS </v>
          </cell>
          <cell r="G4610" t="str">
            <v>AUTOMOTIVO</v>
          </cell>
        </row>
        <row r="4611">
          <cell r="A4611">
            <v>10223</v>
          </cell>
          <cell r="B4611" t="str">
            <v>DISCO HOOKIT 800 NORTON</v>
          </cell>
          <cell r="C4611">
            <v>66261086340</v>
          </cell>
          <cell r="D4611" t="str">
            <v>NORTON</v>
          </cell>
          <cell r="E4611">
            <v>20007</v>
          </cell>
          <cell r="F4611" t="str">
            <v xml:space="preserve">DISCOS / LIXAS / ABRASIVOS </v>
          </cell>
          <cell r="G4611" t="str">
            <v>AUTOMOTIVO</v>
          </cell>
        </row>
        <row r="4612">
          <cell r="A4612">
            <v>21990</v>
          </cell>
          <cell r="B4612" t="str">
            <v>DISCO HOOKIT ABRASIVO FLEXIVEL P800 152MM 3M</v>
          </cell>
          <cell r="C4612" t="str">
            <v>HC000651634</v>
          </cell>
          <cell r="D4612" t="str">
            <v>3M</v>
          </cell>
          <cell r="E4612">
            <v>20007</v>
          </cell>
          <cell r="F4612" t="str">
            <v xml:space="preserve">DISCOS / LIXAS / ABRASIVOS </v>
          </cell>
          <cell r="G4612" t="str">
            <v>AUTOMOTIVO</v>
          </cell>
        </row>
        <row r="4613">
          <cell r="A4613">
            <v>32</v>
          </cell>
          <cell r="B4613" t="str">
            <v>DISCO HOOKIT MULTIAIR 320 DPS NORTON</v>
          </cell>
          <cell r="C4613">
            <v>63642560574</v>
          </cell>
          <cell r="D4613" t="str">
            <v>NORTON</v>
          </cell>
          <cell r="E4613">
            <v>20007</v>
          </cell>
          <cell r="F4613" t="str">
            <v xml:space="preserve">DISCOS / LIXAS / ABRASIVOS </v>
          </cell>
          <cell r="G4613" t="str">
            <v>AUTOMOTIVO</v>
          </cell>
        </row>
        <row r="4614">
          <cell r="A4614">
            <v>10233</v>
          </cell>
          <cell r="B4614" t="str">
            <v>DISCO HOOKIT MULTIAIR N.400 DPM NORTON</v>
          </cell>
          <cell r="C4614">
            <v>69957350758</v>
          </cell>
          <cell r="D4614" t="str">
            <v>NORTON</v>
          </cell>
          <cell r="E4614">
            <v>20007</v>
          </cell>
          <cell r="F4614" t="str">
            <v xml:space="preserve">DISCOS / LIXAS / ABRASIVOS </v>
          </cell>
          <cell r="G4614" t="str">
            <v>AUTOMOTIVO</v>
          </cell>
        </row>
        <row r="4615">
          <cell r="A4615">
            <v>34</v>
          </cell>
          <cell r="B4615" t="str">
            <v>DISCO HOOKIT MULTIAIR P1500 SOFT NORTON</v>
          </cell>
          <cell r="C4615">
            <v>15014040</v>
          </cell>
          <cell r="D4615" t="str">
            <v>NORTON</v>
          </cell>
          <cell r="E4615">
            <v>20007</v>
          </cell>
          <cell r="F4615" t="str">
            <v xml:space="preserve">DISCOS / LIXAS / ABRASIVOS </v>
          </cell>
          <cell r="G4615" t="str">
            <v>AUTOMOTIVO</v>
          </cell>
        </row>
        <row r="4616">
          <cell r="A4616">
            <v>10231</v>
          </cell>
          <cell r="B4616" t="str">
            <v>DISCO HOOKIT MULTIAIR P320 DPM NORTON</v>
          </cell>
          <cell r="C4616">
            <v>69957349657</v>
          </cell>
          <cell r="D4616" t="str">
            <v>NORTON</v>
          </cell>
          <cell r="E4616">
            <v>20007</v>
          </cell>
          <cell r="F4616" t="str">
            <v xml:space="preserve">DISCOS / LIXAS / ABRASIVOS </v>
          </cell>
          <cell r="G4616" t="str">
            <v>AUTOMOTIVO</v>
          </cell>
        </row>
        <row r="4617">
          <cell r="A4617">
            <v>30</v>
          </cell>
          <cell r="B4617" t="str">
            <v>DISCO HOOKIT MULTIAIR P400 DPS NORTON</v>
          </cell>
          <cell r="C4617">
            <v>63642560575</v>
          </cell>
          <cell r="D4617" t="str">
            <v>NORTON</v>
          </cell>
          <cell r="E4617">
            <v>20007</v>
          </cell>
          <cell r="F4617" t="str">
            <v xml:space="preserve">DISCOS / LIXAS / ABRASIVOS </v>
          </cell>
          <cell r="G4617" t="str">
            <v>AUTOMOTIVO</v>
          </cell>
        </row>
        <row r="4618">
          <cell r="A4618">
            <v>35</v>
          </cell>
          <cell r="B4618" t="str">
            <v>DISCO HOOKIT MULTIAIR P500 SOFT NORTON</v>
          </cell>
          <cell r="C4618">
            <v>63642560576</v>
          </cell>
          <cell r="D4618" t="str">
            <v>NORTON</v>
          </cell>
          <cell r="E4618">
            <v>20007</v>
          </cell>
          <cell r="F4618" t="str">
            <v xml:space="preserve">DISCOS / LIXAS / ABRASIVOS </v>
          </cell>
          <cell r="G4618" t="str">
            <v>AUTOMOTIVO</v>
          </cell>
        </row>
        <row r="4619">
          <cell r="A4619">
            <v>33</v>
          </cell>
          <cell r="B4619" t="str">
            <v>DISCO HOOKIT MULTIAIR P800 SOFT NORTON</v>
          </cell>
          <cell r="C4619">
            <v>63642560577</v>
          </cell>
          <cell r="D4619" t="str">
            <v>NORTON</v>
          </cell>
          <cell r="E4619">
            <v>20007</v>
          </cell>
          <cell r="F4619" t="str">
            <v xml:space="preserve">DISCOS / LIXAS / ABRASIVOS </v>
          </cell>
          <cell r="G4619" t="str">
            <v>AUTOMOTIVO</v>
          </cell>
        </row>
        <row r="4620">
          <cell r="A4620">
            <v>85294</v>
          </cell>
          <cell r="B4620" t="str">
            <v>DISCO HOOKIT SOFT TOUCH A975 Nº1000 NORTON (MULTI  AIR)</v>
          </cell>
          <cell r="C4620">
            <v>5539553795</v>
          </cell>
          <cell r="D4620" t="str">
            <v>NORTON</v>
          </cell>
          <cell r="E4620">
            <v>20007</v>
          </cell>
          <cell r="F4620" t="str">
            <v xml:space="preserve">DISCOS / LIXAS / ABRASIVOS </v>
          </cell>
          <cell r="G4620" t="str">
            <v>AUTOMOTIVO</v>
          </cell>
        </row>
        <row r="4621">
          <cell r="A4621">
            <v>85259</v>
          </cell>
          <cell r="B4621" t="str">
            <v>DISCO HOOKIT SOFT TOUCH A975 Nº320 NORTON (MULTI  AIR)</v>
          </cell>
          <cell r="C4621">
            <v>5539553789</v>
          </cell>
          <cell r="D4621" t="str">
            <v>NORTON</v>
          </cell>
          <cell r="E4621">
            <v>20007</v>
          </cell>
          <cell r="F4621" t="str">
            <v xml:space="preserve">DISCOS / LIXAS / ABRASIVOS </v>
          </cell>
          <cell r="G4621" t="str">
            <v>AUTOMOTIVO</v>
          </cell>
        </row>
        <row r="4622">
          <cell r="A4622">
            <v>85383</v>
          </cell>
          <cell r="B4622" t="str">
            <v>DISCO HOOKIT SOFT TOUCH A975 Nº500 NORTON (MULTI  AIR)</v>
          </cell>
          <cell r="C4622">
            <v>5539553793</v>
          </cell>
          <cell r="D4622" t="str">
            <v>NORTON</v>
          </cell>
          <cell r="E4622">
            <v>20007</v>
          </cell>
          <cell r="F4622" t="str">
            <v xml:space="preserve">DISCOS / LIXAS / ABRASIVOS </v>
          </cell>
          <cell r="G4622" t="str">
            <v>AUTOMOTIVO</v>
          </cell>
        </row>
        <row r="4623">
          <cell r="A4623">
            <v>85109</v>
          </cell>
          <cell r="B4623" t="str">
            <v>DISCO HOOKIT SOFT TOUCH A975 Nº800 NORTON (MULTI  AIR)</v>
          </cell>
          <cell r="C4623">
            <v>5539553794</v>
          </cell>
          <cell r="D4623" t="str">
            <v>NORTON</v>
          </cell>
          <cell r="E4623">
            <v>20007</v>
          </cell>
          <cell r="F4623" t="str">
            <v xml:space="preserve">DISCOS / LIXAS / ABRASIVOS </v>
          </cell>
          <cell r="G4623" t="str">
            <v>AUTOMOTIVO</v>
          </cell>
        </row>
        <row r="4624">
          <cell r="A4624">
            <v>85625</v>
          </cell>
          <cell r="B4624" t="str">
            <v>DISPLAY DE BALCAO GRAVITACIONAL POLIDOR</v>
          </cell>
          <cell r="C4624">
            <v>66254442014</v>
          </cell>
          <cell r="D4624" t="str">
            <v>NORTON</v>
          </cell>
          <cell r="E4624">
            <v>20007</v>
          </cell>
          <cell r="F4624" t="str">
            <v xml:space="preserve">DISCOS / LIXAS / ABRASIVOS </v>
          </cell>
          <cell r="G4624" t="str">
            <v>AUTOMOTIVO</v>
          </cell>
        </row>
        <row r="4625">
          <cell r="A4625">
            <v>85701</v>
          </cell>
          <cell r="B4625" t="str">
            <v>DISPLAY DE BALCAO PARA FITAS</v>
          </cell>
          <cell r="C4625">
            <v>78072763467</v>
          </cell>
          <cell r="D4625" t="str">
            <v>NORTON</v>
          </cell>
          <cell r="E4625">
            <v>20007</v>
          </cell>
          <cell r="F4625" t="str">
            <v xml:space="preserve">DISCOS / LIXAS / ABRASIVOS </v>
          </cell>
          <cell r="G4625" t="str">
            <v>AUTOMOTIVO</v>
          </cell>
        </row>
        <row r="4626">
          <cell r="A4626">
            <v>85624</v>
          </cell>
          <cell r="B4626" t="str">
            <v>DISPLAY DE CHAO P/ PRODUTOS AUTOMOTIVOS</v>
          </cell>
          <cell r="C4626">
            <v>78072726483</v>
          </cell>
          <cell r="D4626" t="str">
            <v>NORTON</v>
          </cell>
          <cell r="E4626">
            <v>20007</v>
          </cell>
          <cell r="F4626" t="str">
            <v xml:space="preserve">DISCOS / LIXAS / ABRASIVOS </v>
          </cell>
          <cell r="G4626" t="str">
            <v>AUTOMOTIVO</v>
          </cell>
        </row>
        <row r="4627">
          <cell r="A4627">
            <v>23</v>
          </cell>
          <cell r="B4627" t="str">
            <v>ESPONJA ABRAS AUTOM FINA (320/400) 3M</v>
          </cell>
          <cell r="C4627" t="str">
            <v>H0001657826</v>
          </cell>
          <cell r="D4627" t="str">
            <v>3M</v>
          </cell>
          <cell r="E4627">
            <v>20007</v>
          </cell>
          <cell r="F4627" t="str">
            <v xml:space="preserve">DISCOS / LIXAS / ABRASIVOS </v>
          </cell>
          <cell r="G4627" t="str">
            <v>AUTOMOTIVO</v>
          </cell>
        </row>
        <row r="4628">
          <cell r="A4628">
            <v>10264</v>
          </cell>
          <cell r="B4628" t="str">
            <v>ESPUMA ABRASIVA N.02 P320/P400 NORTON</v>
          </cell>
          <cell r="C4628">
            <v>66623398770</v>
          </cell>
          <cell r="D4628" t="str">
            <v>NORTON</v>
          </cell>
          <cell r="E4628">
            <v>20007</v>
          </cell>
          <cell r="F4628" t="str">
            <v xml:space="preserve">DISCOS / LIXAS / ABRASIVOS </v>
          </cell>
          <cell r="G4628" t="str">
            <v>AUTOMOTIVO</v>
          </cell>
        </row>
        <row r="4629">
          <cell r="A4629">
            <v>10265</v>
          </cell>
          <cell r="B4629" t="str">
            <v>ESPUMA ABRASIVA N.03 P500/P600 NORTON</v>
          </cell>
          <cell r="C4629">
            <v>66623398767</v>
          </cell>
          <cell r="D4629" t="str">
            <v>NORTON</v>
          </cell>
          <cell r="E4629">
            <v>20007</v>
          </cell>
          <cell r="F4629" t="str">
            <v xml:space="preserve">DISCOS / LIXAS / ABRASIVOS </v>
          </cell>
          <cell r="G4629" t="str">
            <v>AUTOMOTIVO</v>
          </cell>
        </row>
        <row r="4630">
          <cell r="A4630">
            <v>10266</v>
          </cell>
          <cell r="B4630" t="str">
            <v>ESPUMA ABRASIVA N.04 P800/P1000 NORTON</v>
          </cell>
          <cell r="C4630">
            <v>66623398768</v>
          </cell>
          <cell r="D4630" t="str">
            <v>NORTON</v>
          </cell>
          <cell r="E4630">
            <v>20007</v>
          </cell>
          <cell r="F4630" t="str">
            <v xml:space="preserve">DISCOS / LIXAS / ABRASIVOS </v>
          </cell>
          <cell r="G4630" t="str">
            <v>AUTOMOTIVO</v>
          </cell>
        </row>
        <row r="4631">
          <cell r="A4631">
            <v>10267</v>
          </cell>
          <cell r="B4631" t="str">
            <v>ESPUMA ABRASIVA N.05 P1200/1500 NORTON</v>
          </cell>
          <cell r="C4631">
            <v>66623398769</v>
          </cell>
          <cell r="D4631" t="str">
            <v>NORTON</v>
          </cell>
          <cell r="E4631">
            <v>20007</v>
          </cell>
          <cell r="F4631" t="str">
            <v xml:space="preserve">DISCOS / LIXAS / ABRASIVOS </v>
          </cell>
          <cell r="G4631" t="str">
            <v>AUTOMOTIVO</v>
          </cell>
        </row>
        <row r="4632">
          <cell r="A4632">
            <v>21716</v>
          </cell>
          <cell r="B4632" t="str">
            <v>ESPUMA LAMINADA D23 5CM SELADA</v>
          </cell>
          <cell r="C4632">
            <v>103514</v>
          </cell>
          <cell r="D4632" t="str">
            <v>.</v>
          </cell>
          <cell r="E4632">
            <v>20007</v>
          </cell>
          <cell r="F4632" t="str">
            <v xml:space="preserve">DISCOS / LIXAS / ABRASIVOS </v>
          </cell>
          <cell r="G4632" t="str">
            <v>AUTOMOTIVO</v>
          </cell>
        </row>
        <row r="4633">
          <cell r="A4633">
            <v>21680</v>
          </cell>
          <cell r="B4633" t="str">
            <v>FOLHA ABRASIVA FLEXIVEL P1200 140X171MM 3M</v>
          </cell>
          <cell r="C4633" t="str">
            <v>HC000643169</v>
          </cell>
          <cell r="D4633" t="str">
            <v>3M</v>
          </cell>
          <cell r="E4633">
            <v>20007</v>
          </cell>
          <cell r="F4633" t="str">
            <v xml:space="preserve">DISCOS / LIXAS / ABRASIVOS </v>
          </cell>
          <cell r="G4633" t="str">
            <v>AUTOMOTIVO</v>
          </cell>
        </row>
        <row r="4634">
          <cell r="A4634">
            <v>21732</v>
          </cell>
          <cell r="B4634" t="str">
            <v>FOLHA ABRASIVA FLEXIVEL P1500 140X171MM 3M</v>
          </cell>
          <cell r="C4634" t="str">
            <v>HC000643177</v>
          </cell>
          <cell r="D4634" t="str">
            <v>3M</v>
          </cell>
          <cell r="E4634">
            <v>20007</v>
          </cell>
          <cell r="F4634" t="str">
            <v xml:space="preserve">DISCOS / LIXAS / ABRASIVOS </v>
          </cell>
          <cell r="G4634" t="str">
            <v>AUTOMOTIVO</v>
          </cell>
        </row>
        <row r="4635">
          <cell r="A4635">
            <v>23498</v>
          </cell>
          <cell r="B4635" t="str">
            <v>FOLHA DE ACABAMENTO FINA 134X240 3M</v>
          </cell>
          <cell r="C4635" t="str">
            <v>H0001736331</v>
          </cell>
          <cell r="D4635" t="str">
            <v>3M</v>
          </cell>
          <cell r="E4635">
            <v>20007</v>
          </cell>
          <cell r="F4635" t="str">
            <v xml:space="preserve">DISCOS / LIXAS / ABRASIVOS </v>
          </cell>
          <cell r="G4635" t="str">
            <v>AUTOMOTIVO</v>
          </cell>
        </row>
        <row r="4636">
          <cell r="A4636">
            <v>23499</v>
          </cell>
          <cell r="B4636" t="str">
            <v>FOLHA DE ACABAMENTO ULTRA FINA AF 134X240 3M</v>
          </cell>
          <cell r="C4636" t="str">
            <v>H0001884099</v>
          </cell>
          <cell r="D4636" t="str">
            <v>3M</v>
          </cell>
          <cell r="E4636">
            <v>20007</v>
          </cell>
          <cell r="F4636" t="str">
            <v xml:space="preserve">DISCOS / LIXAS / ABRASIVOS </v>
          </cell>
          <cell r="G4636" t="str">
            <v>AUTOMOTIVO</v>
          </cell>
        </row>
        <row r="4637">
          <cell r="A4637">
            <v>22661</v>
          </cell>
          <cell r="B4637" t="str">
            <v>FOLHA MULTI FLEX SUF 134X240 SUPFINA CINZA 3M</v>
          </cell>
          <cell r="C4637" t="str">
            <v>HC000589388</v>
          </cell>
          <cell r="D4637" t="str">
            <v>3M</v>
          </cell>
          <cell r="E4637">
            <v>20007</v>
          </cell>
          <cell r="F4637" t="str">
            <v xml:space="preserve">DISCOS / LIXAS / ABRASIVOS </v>
          </cell>
          <cell r="G4637" t="str">
            <v>AUTOMOTIVO</v>
          </cell>
        </row>
        <row r="4638">
          <cell r="A4638">
            <v>10238</v>
          </cell>
          <cell r="B4638" t="str">
            <v>LIXA A-275 N.080 NORTON</v>
          </cell>
          <cell r="C4638">
            <v>5539534932</v>
          </cell>
          <cell r="D4638" t="str">
            <v>NORTON</v>
          </cell>
          <cell r="E4638">
            <v>20007</v>
          </cell>
          <cell r="F4638" t="str">
            <v xml:space="preserve">DISCOS / LIXAS / ABRASIVOS </v>
          </cell>
          <cell r="G4638" t="str">
            <v>AUTOMOTIVO</v>
          </cell>
        </row>
        <row r="4639">
          <cell r="A4639">
            <v>20224</v>
          </cell>
          <cell r="B4639" t="str">
            <v>LIXA A-275 N.1000 NORTON</v>
          </cell>
          <cell r="C4639">
            <v>5539534957</v>
          </cell>
          <cell r="D4639" t="str">
            <v>NORTON</v>
          </cell>
          <cell r="E4639">
            <v>20007</v>
          </cell>
          <cell r="F4639" t="str">
            <v xml:space="preserve">DISCOS / LIXAS / ABRASIVOS </v>
          </cell>
          <cell r="G4639" t="str">
            <v>AUTOMOTIVO</v>
          </cell>
        </row>
        <row r="4640">
          <cell r="A4640">
            <v>10239</v>
          </cell>
          <cell r="B4640" t="str">
            <v>LIXA A-275 N.120 NORTON</v>
          </cell>
          <cell r="C4640">
            <v>5539534934</v>
          </cell>
          <cell r="D4640" t="str">
            <v>NORTON</v>
          </cell>
          <cell r="E4640">
            <v>20007</v>
          </cell>
          <cell r="F4640" t="str">
            <v xml:space="preserve">DISCOS / LIXAS / ABRASIVOS </v>
          </cell>
          <cell r="G4640" t="str">
            <v>AUTOMOTIVO</v>
          </cell>
        </row>
        <row r="4641">
          <cell r="A4641">
            <v>10240</v>
          </cell>
          <cell r="B4641" t="str">
            <v>LIXA A-275 N.150 NORTON</v>
          </cell>
          <cell r="C4641">
            <v>5539534938</v>
          </cell>
          <cell r="D4641" t="str">
            <v>NORTON</v>
          </cell>
          <cell r="E4641">
            <v>20007</v>
          </cell>
          <cell r="F4641" t="str">
            <v xml:space="preserve">DISCOS / LIXAS / ABRASIVOS </v>
          </cell>
          <cell r="G4641" t="str">
            <v>AUTOMOTIVO</v>
          </cell>
        </row>
        <row r="4642">
          <cell r="A4642">
            <v>10241</v>
          </cell>
          <cell r="B4642" t="str">
            <v>LIXA A-275 N.180 NORTON</v>
          </cell>
          <cell r="C4642">
            <v>5539534940</v>
          </cell>
          <cell r="D4642" t="str">
            <v>NORTON</v>
          </cell>
          <cell r="E4642">
            <v>20007</v>
          </cell>
          <cell r="F4642" t="str">
            <v xml:space="preserve">DISCOS / LIXAS / ABRASIVOS </v>
          </cell>
          <cell r="G4642" t="str">
            <v>AUTOMOTIVO</v>
          </cell>
        </row>
        <row r="4643">
          <cell r="A4643">
            <v>10242</v>
          </cell>
          <cell r="B4643" t="str">
            <v>LIXA A-275 N.220 NORTON</v>
          </cell>
          <cell r="C4643">
            <v>5539534941</v>
          </cell>
          <cell r="D4643" t="str">
            <v>NORTON</v>
          </cell>
          <cell r="E4643">
            <v>20007</v>
          </cell>
          <cell r="F4643" t="str">
            <v xml:space="preserve">DISCOS / LIXAS / ABRASIVOS </v>
          </cell>
          <cell r="G4643" t="str">
            <v>AUTOMOTIVO</v>
          </cell>
        </row>
        <row r="4644">
          <cell r="A4644">
            <v>21173</v>
          </cell>
          <cell r="B4644" t="str">
            <v>LIXA A-275 N.280 NORTON</v>
          </cell>
          <cell r="C4644">
            <v>5539534947</v>
          </cell>
          <cell r="D4644" t="str">
            <v>NORTON</v>
          </cell>
          <cell r="E4644">
            <v>20007</v>
          </cell>
          <cell r="F4644" t="str">
            <v xml:space="preserve">DISCOS / LIXAS / ABRASIVOS </v>
          </cell>
          <cell r="G4644" t="str">
            <v>AUTOMOTIVO</v>
          </cell>
        </row>
        <row r="4645">
          <cell r="A4645">
            <v>10243</v>
          </cell>
          <cell r="B4645" t="str">
            <v>LIXA A-275 N.320 NORTON</v>
          </cell>
          <cell r="C4645">
            <v>5539534950</v>
          </cell>
          <cell r="D4645" t="str">
            <v>NORTON</v>
          </cell>
          <cell r="E4645">
            <v>20007</v>
          </cell>
          <cell r="F4645" t="str">
            <v xml:space="preserve">DISCOS / LIXAS / ABRASIVOS </v>
          </cell>
          <cell r="G4645" t="str">
            <v>AUTOMOTIVO</v>
          </cell>
        </row>
        <row r="4646">
          <cell r="A4646">
            <v>10244</v>
          </cell>
          <cell r="B4646" t="str">
            <v>LIXA A-275 N.400 NORTON</v>
          </cell>
          <cell r="C4646">
            <v>5539534931</v>
          </cell>
          <cell r="D4646" t="str">
            <v>NORTON</v>
          </cell>
          <cell r="E4646">
            <v>20007</v>
          </cell>
          <cell r="F4646" t="str">
            <v xml:space="preserve">DISCOS / LIXAS / ABRASIVOS </v>
          </cell>
          <cell r="G4646" t="str">
            <v>AUTOMOTIVO</v>
          </cell>
        </row>
        <row r="4647">
          <cell r="A4647">
            <v>10245</v>
          </cell>
          <cell r="B4647" t="str">
            <v>LIXA A-275 N.600 NORTON</v>
          </cell>
          <cell r="C4647">
            <v>5539534960</v>
          </cell>
          <cell r="D4647" t="str">
            <v>NORTON</v>
          </cell>
          <cell r="E4647">
            <v>20007</v>
          </cell>
          <cell r="F4647" t="str">
            <v xml:space="preserve">DISCOS / LIXAS / ABRASIVOS </v>
          </cell>
          <cell r="G4647" t="str">
            <v>AUTOMOTIVO</v>
          </cell>
        </row>
        <row r="4648">
          <cell r="A4648">
            <v>10246</v>
          </cell>
          <cell r="B4648" t="str">
            <v>LIXA A-275 N.800 NORTON</v>
          </cell>
          <cell r="C4648">
            <v>5539534961</v>
          </cell>
          <cell r="D4648" t="str">
            <v>NORTON</v>
          </cell>
          <cell r="E4648">
            <v>20007</v>
          </cell>
          <cell r="F4648" t="str">
            <v xml:space="preserve">DISCOS / LIXAS / ABRASIVOS </v>
          </cell>
          <cell r="G4648" t="str">
            <v>AUTOMOTIVO</v>
          </cell>
        </row>
        <row r="4649">
          <cell r="A4649">
            <v>23100</v>
          </cell>
          <cell r="B4649" t="str">
            <v>LIXA BLUE 080 225X275MM 338U 3M</v>
          </cell>
          <cell r="C4649" t="str">
            <v>HB004532634</v>
          </cell>
          <cell r="D4649" t="str">
            <v>3M</v>
          </cell>
          <cell r="E4649">
            <v>20007</v>
          </cell>
          <cell r="F4649" t="str">
            <v xml:space="preserve">DISCOS / LIXAS / ABRASIVOS </v>
          </cell>
          <cell r="G4649" t="str">
            <v>AUTOMOTIVO</v>
          </cell>
        </row>
        <row r="4650">
          <cell r="A4650">
            <v>23098</v>
          </cell>
          <cell r="B4650" t="str">
            <v>LIXA BLUE 120 225X275MM 338U  3M</v>
          </cell>
          <cell r="C4650" t="str">
            <v>HB004532642</v>
          </cell>
          <cell r="D4650" t="str">
            <v>3M</v>
          </cell>
          <cell r="E4650">
            <v>20007</v>
          </cell>
          <cell r="F4650" t="str">
            <v xml:space="preserve">DISCOS / LIXAS / ABRASIVOS </v>
          </cell>
          <cell r="G4650" t="str">
            <v>AUTOMOTIVO</v>
          </cell>
        </row>
        <row r="4651">
          <cell r="A4651">
            <v>23101</v>
          </cell>
          <cell r="B4651" t="str">
            <v>LIXA BLUE 150 225X275MM 338U 3M</v>
          </cell>
          <cell r="C4651" t="str">
            <v>HB004532675</v>
          </cell>
          <cell r="D4651" t="str">
            <v>3M</v>
          </cell>
          <cell r="E4651">
            <v>20007</v>
          </cell>
          <cell r="F4651" t="str">
            <v xml:space="preserve">DISCOS / LIXAS / ABRASIVOS </v>
          </cell>
          <cell r="G4651" t="str">
            <v>AUTOMOTIVO</v>
          </cell>
        </row>
        <row r="4652">
          <cell r="A4652">
            <v>23128</v>
          </cell>
          <cell r="B4652" t="str">
            <v>LIXA BLUE 180 225X275MM 338U 3M</v>
          </cell>
          <cell r="C4652" t="str">
            <v>HB004532683</v>
          </cell>
          <cell r="D4652" t="str">
            <v>3M</v>
          </cell>
          <cell r="E4652">
            <v>20007</v>
          </cell>
          <cell r="F4652" t="str">
            <v xml:space="preserve">DISCOS / LIXAS / ABRASIVOS </v>
          </cell>
          <cell r="G4652" t="str">
            <v>AUTOMOTIVO</v>
          </cell>
        </row>
        <row r="4653">
          <cell r="A4653">
            <v>23099</v>
          </cell>
          <cell r="B4653" t="str">
            <v>LIXA BLUE 220 225X275MM 338U 3M</v>
          </cell>
          <cell r="C4653" t="str">
            <v>HB004532691</v>
          </cell>
          <cell r="D4653" t="str">
            <v>3M</v>
          </cell>
          <cell r="E4653">
            <v>20007</v>
          </cell>
          <cell r="F4653" t="str">
            <v xml:space="preserve">DISCOS / LIXAS / ABRASIVOS </v>
          </cell>
          <cell r="G4653" t="str">
            <v>AUTOMOTIVO</v>
          </cell>
        </row>
        <row r="4654">
          <cell r="A4654">
            <v>23096</v>
          </cell>
          <cell r="B4654" t="str">
            <v>LIXA BLUE 320 225X275MM 338U 3M</v>
          </cell>
          <cell r="C4654" t="str">
            <v>HB004619233</v>
          </cell>
          <cell r="D4654" t="str">
            <v>3M</v>
          </cell>
          <cell r="E4654">
            <v>20007</v>
          </cell>
          <cell r="F4654" t="str">
            <v xml:space="preserve">DISCOS / LIXAS / ABRASIVOS </v>
          </cell>
          <cell r="G4654" t="str">
            <v>AUTOMOTIVO</v>
          </cell>
        </row>
        <row r="4655">
          <cell r="A4655">
            <v>23097</v>
          </cell>
          <cell r="B4655" t="str">
            <v>LIXA BLUE 400 225X275MM 338U 3M</v>
          </cell>
          <cell r="C4655" t="str">
            <v>HB004661870</v>
          </cell>
          <cell r="D4655" t="str">
            <v>3M</v>
          </cell>
          <cell r="E4655">
            <v>20007</v>
          </cell>
          <cell r="F4655" t="str">
            <v xml:space="preserve">DISCOS / LIXAS / ABRASIVOS </v>
          </cell>
          <cell r="G4655" t="str">
            <v>AUTOMOTIVO</v>
          </cell>
        </row>
        <row r="4656">
          <cell r="A4656">
            <v>23102</v>
          </cell>
          <cell r="B4656" t="str">
            <v>LIXA BLUE 600 225X275MM 338U 3M</v>
          </cell>
          <cell r="C4656" t="str">
            <v>HB004532725</v>
          </cell>
          <cell r="D4656" t="str">
            <v>3M</v>
          </cell>
          <cell r="E4656">
            <v>20007</v>
          </cell>
          <cell r="F4656" t="str">
            <v xml:space="preserve">DISCOS / LIXAS / ABRASIVOS </v>
          </cell>
          <cell r="G4656" t="str">
            <v>AUTOMOTIVO</v>
          </cell>
        </row>
        <row r="4657">
          <cell r="A4657">
            <v>23103</v>
          </cell>
          <cell r="B4657" t="str">
            <v>LIXA BLUE 800 225X275MM 338U 3M</v>
          </cell>
          <cell r="C4657" t="str">
            <v>HB004532733</v>
          </cell>
          <cell r="D4657" t="str">
            <v>3M</v>
          </cell>
          <cell r="E4657">
            <v>20007</v>
          </cell>
          <cell r="F4657" t="str">
            <v xml:space="preserve">DISCOS / LIXAS / ABRASIVOS </v>
          </cell>
          <cell r="G4657" t="str">
            <v>AUTOMOTIVO</v>
          </cell>
        </row>
        <row r="4658">
          <cell r="A4658">
            <v>23801</v>
          </cell>
          <cell r="B4658" t="str">
            <v>LIXA N.080 MIRKA</v>
          </cell>
          <cell r="C4658">
            <v>810102580</v>
          </cell>
          <cell r="D4658" t="str">
            <v>MIRKA</v>
          </cell>
          <cell r="E4658">
            <v>20007</v>
          </cell>
          <cell r="F4658" t="str">
            <v xml:space="preserve">DISCOS / LIXAS / ABRASIVOS </v>
          </cell>
          <cell r="G4658" t="str">
            <v>AUTOMOTIVO</v>
          </cell>
        </row>
        <row r="4659">
          <cell r="A4659">
            <v>23802</v>
          </cell>
          <cell r="B4659" t="str">
            <v>LIXA N.120 MIRKA</v>
          </cell>
          <cell r="C4659">
            <v>810105012</v>
          </cell>
          <cell r="D4659" t="str">
            <v>MIRKA</v>
          </cell>
          <cell r="E4659">
            <v>20007</v>
          </cell>
          <cell r="F4659" t="str">
            <v xml:space="preserve">DISCOS / LIXAS / ABRASIVOS </v>
          </cell>
          <cell r="G4659" t="str">
            <v>AUTOMOTIVO</v>
          </cell>
        </row>
        <row r="4660">
          <cell r="A4660">
            <v>23803</v>
          </cell>
          <cell r="B4660" t="str">
            <v>LIXA N.150 MIRKA</v>
          </cell>
          <cell r="C4660">
            <v>810105015</v>
          </cell>
          <cell r="D4660" t="str">
            <v>MIRKA</v>
          </cell>
          <cell r="E4660">
            <v>20007</v>
          </cell>
          <cell r="F4660" t="str">
            <v xml:space="preserve">DISCOS / LIXAS / ABRASIVOS </v>
          </cell>
          <cell r="G4660" t="str">
            <v>AUTOMOTIVO</v>
          </cell>
        </row>
        <row r="4661">
          <cell r="A4661">
            <v>23804</v>
          </cell>
          <cell r="B4661" t="str">
            <v>LIXA N.220 MIRKA</v>
          </cell>
          <cell r="C4661">
            <v>810105022</v>
          </cell>
          <cell r="D4661" t="str">
            <v>MIRKA</v>
          </cell>
          <cell r="E4661">
            <v>20007</v>
          </cell>
          <cell r="F4661" t="str">
            <v xml:space="preserve">DISCOS / LIXAS / ABRASIVOS </v>
          </cell>
          <cell r="G4661" t="str">
            <v>AUTOMOTIVO</v>
          </cell>
        </row>
        <row r="4662">
          <cell r="A4662">
            <v>23805</v>
          </cell>
          <cell r="B4662" t="str">
            <v>LIXA N.320 MIRKA</v>
          </cell>
          <cell r="C4662">
            <v>810105032</v>
          </cell>
          <cell r="D4662" t="str">
            <v>MIRKA</v>
          </cell>
          <cell r="E4662">
            <v>20007</v>
          </cell>
          <cell r="F4662" t="str">
            <v xml:space="preserve">DISCOS / LIXAS / ABRASIVOS </v>
          </cell>
          <cell r="G4662" t="str">
            <v>AUTOMOTIVO</v>
          </cell>
        </row>
        <row r="4663">
          <cell r="A4663">
            <v>23810</v>
          </cell>
          <cell r="B4663" t="str">
            <v>LIXA N.400 MIRKA</v>
          </cell>
          <cell r="C4663">
            <v>810105041</v>
          </cell>
          <cell r="D4663" t="str">
            <v>MIRKA</v>
          </cell>
          <cell r="E4663">
            <v>20007</v>
          </cell>
          <cell r="F4663" t="str">
            <v xml:space="preserve">DISCOS / LIXAS / ABRASIVOS </v>
          </cell>
          <cell r="G4663" t="str">
            <v>AUTOMOTIVO</v>
          </cell>
        </row>
        <row r="4664">
          <cell r="A4664">
            <v>23806</v>
          </cell>
          <cell r="B4664" t="str">
            <v>LIXA N.600 MIRKA</v>
          </cell>
          <cell r="C4664">
            <v>810105061</v>
          </cell>
          <cell r="D4664" t="str">
            <v>MIRKA</v>
          </cell>
          <cell r="E4664">
            <v>20007</v>
          </cell>
          <cell r="F4664" t="str">
            <v xml:space="preserve">DISCOS / LIXAS / ABRASIVOS </v>
          </cell>
          <cell r="G4664" t="str">
            <v>AUTOMOTIVO</v>
          </cell>
        </row>
        <row r="4665">
          <cell r="A4665">
            <v>23807</v>
          </cell>
          <cell r="B4665" t="str">
            <v>LIXA N.800 MIRKA</v>
          </cell>
          <cell r="C4665">
            <v>810105081</v>
          </cell>
          <cell r="D4665" t="str">
            <v>MIRKA</v>
          </cell>
          <cell r="E4665">
            <v>20007</v>
          </cell>
          <cell r="F4665" t="str">
            <v xml:space="preserve">DISCOS / LIXAS / ABRASIVOS </v>
          </cell>
          <cell r="G4665" t="str">
            <v>AUTOMOTIVO</v>
          </cell>
        </row>
        <row r="4666">
          <cell r="A4666">
            <v>23052</v>
          </cell>
          <cell r="B4666" t="str">
            <v>LIXA SECO OURO 060 326U 3M</v>
          </cell>
          <cell r="C4666" t="str">
            <v>HC000622031</v>
          </cell>
          <cell r="D4666" t="str">
            <v>.</v>
          </cell>
          <cell r="E4666">
            <v>20007</v>
          </cell>
          <cell r="F4666" t="str">
            <v xml:space="preserve">DISCOS / LIXAS / ABRASIVOS </v>
          </cell>
          <cell r="G4666" t="str">
            <v>AUTOMOTIVO</v>
          </cell>
        </row>
        <row r="4667">
          <cell r="A4667">
            <v>10022</v>
          </cell>
          <cell r="B4667" t="str">
            <v>LIXA SECO OURO 080 326U 3M</v>
          </cell>
          <cell r="C4667" t="str">
            <v>HC000656906</v>
          </cell>
          <cell r="D4667" t="str">
            <v>3M</v>
          </cell>
          <cell r="E4667">
            <v>20007</v>
          </cell>
          <cell r="F4667" t="str">
            <v xml:space="preserve">DISCOS / LIXAS / ABRASIVOS </v>
          </cell>
          <cell r="G4667" t="str">
            <v>AUTOMOTIVO</v>
          </cell>
        </row>
        <row r="4668">
          <cell r="A4668">
            <v>85005</v>
          </cell>
          <cell r="B4668" t="str">
            <v>LIXA SECO OURO 120 226U 3M</v>
          </cell>
          <cell r="D4668" t="str">
            <v>3M</v>
          </cell>
          <cell r="E4668">
            <v>20007</v>
          </cell>
          <cell r="F4668" t="str">
            <v xml:space="preserve">DISCOS / LIXAS / ABRASIVOS </v>
          </cell>
          <cell r="G4668" t="str">
            <v>AUTOMOTIVO</v>
          </cell>
        </row>
        <row r="4669">
          <cell r="A4669">
            <v>10023</v>
          </cell>
          <cell r="B4669" t="str">
            <v>LIXA SECO OURO 120 326U 3M</v>
          </cell>
          <cell r="C4669" t="str">
            <v>HC000656914</v>
          </cell>
          <cell r="D4669" t="str">
            <v>3M</v>
          </cell>
          <cell r="E4669">
            <v>20007</v>
          </cell>
          <cell r="F4669" t="str">
            <v xml:space="preserve">DISCOS / LIXAS / ABRASIVOS </v>
          </cell>
          <cell r="G4669" t="str">
            <v>AUTOMOTIVO</v>
          </cell>
        </row>
        <row r="4670">
          <cell r="A4670">
            <v>10026</v>
          </cell>
          <cell r="B4670" t="str">
            <v>LIXA SECO OURO 220 326U 3M</v>
          </cell>
          <cell r="C4670" t="str">
            <v>HC000656948</v>
          </cell>
          <cell r="D4670" t="str">
            <v>3M</v>
          </cell>
          <cell r="E4670">
            <v>20007</v>
          </cell>
          <cell r="F4670" t="str">
            <v xml:space="preserve">DISCOS / LIXAS / ABRASIVOS </v>
          </cell>
          <cell r="G4670" t="str">
            <v>AUTOMOTIVO</v>
          </cell>
        </row>
        <row r="4671">
          <cell r="A4671">
            <v>10027</v>
          </cell>
          <cell r="B4671" t="str">
            <v>LIXA SECO OURO 320 326U 3M</v>
          </cell>
          <cell r="C4671" t="str">
            <v>HC000656963</v>
          </cell>
          <cell r="D4671" t="str">
            <v>3M</v>
          </cell>
          <cell r="E4671">
            <v>20007</v>
          </cell>
          <cell r="F4671" t="str">
            <v xml:space="preserve">DISCOS / LIXAS / ABRASIVOS </v>
          </cell>
          <cell r="G4671" t="str">
            <v>AUTOMOTIVO</v>
          </cell>
        </row>
        <row r="4672">
          <cell r="A4672">
            <v>10028</v>
          </cell>
          <cell r="B4672" t="str">
            <v>LIXA SECO OURO 400 326U 3M</v>
          </cell>
          <cell r="C4672" t="str">
            <v>HC000656971</v>
          </cell>
          <cell r="D4672" t="str">
            <v>3M</v>
          </cell>
          <cell r="E4672">
            <v>20007</v>
          </cell>
          <cell r="F4672" t="str">
            <v xml:space="preserve">DISCOS / LIXAS / ABRASIVOS </v>
          </cell>
          <cell r="G4672" t="str">
            <v>AUTOMOTIVO</v>
          </cell>
        </row>
        <row r="4673">
          <cell r="A4673">
            <v>10029</v>
          </cell>
          <cell r="B4673" t="str">
            <v>LIXA SECO OURO 600 326U 3M</v>
          </cell>
          <cell r="C4673" t="str">
            <v>HC000656989</v>
          </cell>
          <cell r="D4673" t="str">
            <v>.</v>
          </cell>
          <cell r="E4673">
            <v>20007</v>
          </cell>
          <cell r="F4673" t="str">
            <v xml:space="preserve">DISCOS / LIXAS / ABRASIVOS </v>
          </cell>
          <cell r="G4673" t="str">
            <v>AUTOMOTIVO</v>
          </cell>
        </row>
        <row r="4674">
          <cell r="A4674">
            <v>10030</v>
          </cell>
          <cell r="B4674" t="str">
            <v>LIXA SECO OURO 800 326U 3M</v>
          </cell>
          <cell r="C4674" t="str">
            <v>HC000656997</v>
          </cell>
          <cell r="D4674" t="str">
            <v>.</v>
          </cell>
          <cell r="E4674">
            <v>20007</v>
          </cell>
          <cell r="F4674" t="str">
            <v xml:space="preserve">DISCOS / LIXAS / ABRASIVOS </v>
          </cell>
          <cell r="G4674" t="str">
            <v>AUTOMOTIVO</v>
          </cell>
        </row>
        <row r="4675">
          <cell r="A4675">
            <v>85387</v>
          </cell>
          <cell r="B4675" t="str">
            <v>MANTA MULTIFLEX FOLHA ACAB SBRITE  3M CINZA</v>
          </cell>
          <cell r="D4675" t="str">
            <v>3M</v>
          </cell>
          <cell r="E4675">
            <v>20007</v>
          </cell>
          <cell r="F4675" t="str">
            <v xml:space="preserve">DISCOS / LIXAS / ABRASIVOS </v>
          </cell>
          <cell r="G4675" t="str">
            <v>AUTOMOTIVO</v>
          </cell>
        </row>
        <row r="4676">
          <cell r="A4676">
            <v>23500</v>
          </cell>
          <cell r="B4676" t="str">
            <v>MANTA MULTIFLEX FOLHA ACAB SBRITE  3M ROXA</v>
          </cell>
          <cell r="C4676" t="str">
            <v>HC000629358</v>
          </cell>
          <cell r="D4676" t="str">
            <v>3M</v>
          </cell>
          <cell r="E4676">
            <v>20007</v>
          </cell>
          <cell r="F4676" t="str">
            <v xml:space="preserve">DISCOS / LIXAS / ABRASIVOS </v>
          </cell>
          <cell r="G4676" t="str">
            <v>AUTOMOTIVO</v>
          </cell>
        </row>
        <row r="4677">
          <cell r="A4677">
            <v>24087</v>
          </cell>
          <cell r="B4677" t="str">
            <v>MMXU CS + CUBIIM ROLO 3M</v>
          </cell>
          <cell r="C4677" t="str">
            <v>HC000661500</v>
          </cell>
          <cell r="D4677" t="str">
            <v>3M</v>
          </cell>
          <cell r="E4677">
            <v>20007</v>
          </cell>
          <cell r="F4677" t="str">
            <v xml:space="preserve">DISCOS / LIXAS / ABRASIVOS </v>
          </cell>
          <cell r="G4677" t="str">
            <v>AUTOMOTIVO</v>
          </cell>
        </row>
        <row r="4678">
          <cell r="A4678">
            <v>84728</v>
          </cell>
          <cell r="B4678" t="str">
            <v>RL BLUE NET 150 115X110 M</v>
          </cell>
          <cell r="C4678" t="str">
            <v>HB004749071</v>
          </cell>
          <cell r="D4678" t="str">
            <v>3M</v>
          </cell>
          <cell r="E4678">
            <v>20007</v>
          </cell>
          <cell r="F4678" t="str">
            <v xml:space="preserve">DISCOS / LIXAS / ABRASIVOS </v>
          </cell>
          <cell r="G4678" t="str">
            <v>AUTOMOTIVO</v>
          </cell>
        </row>
        <row r="4679">
          <cell r="A4679">
            <v>84732</v>
          </cell>
          <cell r="B4679" t="str">
            <v>RL BLUE NET 150 70X10 M</v>
          </cell>
          <cell r="C4679" t="str">
            <v>HB004749147</v>
          </cell>
          <cell r="D4679" t="str">
            <v>3M</v>
          </cell>
          <cell r="E4679">
            <v>20007</v>
          </cell>
          <cell r="F4679" t="str">
            <v xml:space="preserve">DISCOS / LIXAS / ABRASIVOS </v>
          </cell>
          <cell r="G4679" t="str">
            <v>AUTOMOTIVO</v>
          </cell>
        </row>
        <row r="4680">
          <cell r="A4680">
            <v>84729</v>
          </cell>
          <cell r="B4680" t="str">
            <v>RL BLUE NET 220 115X110 M</v>
          </cell>
          <cell r="C4680" t="str">
            <v>HB004749097</v>
          </cell>
          <cell r="D4680" t="str">
            <v>3M</v>
          </cell>
          <cell r="E4680">
            <v>20007</v>
          </cell>
          <cell r="F4680" t="str">
            <v xml:space="preserve">DISCOS / LIXAS / ABRASIVOS </v>
          </cell>
          <cell r="G4680" t="str">
            <v>AUTOMOTIVO</v>
          </cell>
        </row>
        <row r="4681">
          <cell r="A4681">
            <v>84733</v>
          </cell>
          <cell r="B4681" t="str">
            <v>RL BLUE NET 220 70X10 M</v>
          </cell>
          <cell r="C4681" t="str">
            <v>HB004749162</v>
          </cell>
          <cell r="D4681" t="str">
            <v>3M</v>
          </cell>
          <cell r="E4681">
            <v>20007</v>
          </cell>
          <cell r="F4681" t="str">
            <v xml:space="preserve">DISCOS / LIXAS / ABRASIVOS </v>
          </cell>
          <cell r="G4681" t="str">
            <v>AUTOMOTIVO</v>
          </cell>
        </row>
        <row r="4682">
          <cell r="A4682">
            <v>84730</v>
          </cell>
          <cell r="B4682" t="str">
            <v>RL BLUE NET 320 115X110 M</v>
          </cell>
          <cell r="C4682" t="str">
            <v>HB004749113</v>
          </cell>
          <cell r="D4682" t="str">
            <v>3M</v>
          </cell>
          <cell r="E4682">
            <v>20007</v>
          </cell>
          <cell r="F4682" t="str">
            <v xml:space="preserve">DISCOS / LIXAS / ABRASIVOS </v>
          </cell>
          <cell r="G4682" t="str">
            <v>AUTOMOTIVO</v>
          </cell>
        </row>
        <row r="4683">
          <cell r="A4683">
            <v>84734</v>
          </cell>
          <cell r="B4683" t="str">
            <v>RL BLUE NET 320 70X10 M</v>
          </cell>
          <cell r="C4683" t="str">
            <v>HB004749188</v>
          </cell>
          <cell r="D4683" t="str">
            <v>3M</v>
          </cell>
          <cell r="E4683">
            <v>20007</v>
          </cell>
          <cell r="F4683" t="str">
            <v xml:space="preserve">DISCOS / LIXAS / ABRASIVOS </v>
          </cell>
          <cell r="G4683" t="str">
            <v>AUTOMOTIVO</v>
          </cell>
        </row>
        <row r="4684">
          <cell r="A4684">
            <v>84727</v>
          </cell>
          <cell r="B4684" t="str">
            <v>RL BLUE NET 80 115X110 M</v>
          </cell>
          <cell r="C4684" t="str">
            <v>HB00470046</v>
          </cell>
          <cell r="D4684" t="str">
            <v>3M</v>
          </cell>
          <cell r="E4684">
            <v>20007</v>
          </cell>
          <cell r="F4684" t="str">
            <v xml:space="preserve">DISCOS / LIXAS / ABRASIVOS </v>
          </cell>
          <cell r="G4684" t="str">
            <v>AUTOMOTIVO</v>
          </cell>
        </row>
        <row r="4685">
          <cell r="A4685">
            <v>84731</v>
          </cell>
          <cell r="B4685" t="str">
            <v>RL BLUE NET 80 70X10 M</v>
          </cell>
          <cell r="C4685" t="str">
            <v>HB004749121</v>
          </cell>
          <cell r="D4685" t="str">
            <v>3M</v>
          </cell>
          <cell r="E4685">
            <v>20007</v>
          </cell>
          <cell r="F4685" t="str">
            <v xml:space="preserve">DISCOS / LIXAS / ABRASIVOS </v>
          </cell>
          <cell r="G4685" t="str">
            <v>AUTOMOTIVO</v>
          </cell>
        </row>
        <row r="4686">
          <cell r="A4686">
            <v>24193</v>
          </cell>
          <cell r="B4686" t="str">
            <v>ROLO ABRASIVO FLEXIVEL P1200 PN35114 3M</v>
          </cell>
          <cell r="C4686" t="str">
            <v>HB004645360</v>
          </cell>
          <cell r="D4686" t="str">
            <v>3M</v>
          </cell>
          <cell r="E4686">
            <v>20007</v>
          </cell>
          <cell r="F4686" t="str">
            <v xml:space="preserve">DISCOS / LIXAS / ABRASIVOS </v>
          </cell>
          <cell r="G4686" t="str">
            <v>AUTOMOTIVO</v>
          </cell>
        </row>
        <row r="4687">
          <cell r="A4687">
            <v>24194</v>
          </cell>
          <cell r="B4687" t="str">
            <v>ROLO ABRASIVO FLEXIVEL P1500 PN35115 3M</v>
          </cell>
          <cell r="C4687" t="str">
            <v>HB004645378</v>
          </cell>
          <cell r="D4687" t="str">
            <v>3M</v>
          </cell>
          <cell r="E4687">
            <v>20007</v>
          </cell>
          <cell r="F4687" t="str">
            <v xml:space="preserve">DISCOS / LIXAS / ABRASIVOS </v>
          </cell>
          <cell r="G4687" t="str">
            <v>AUTOMOTIVO</v>
          </cell>
        </row>
        <row r="4688">
          <cell r="A4688">
            <v>24191</v>
          </cell>
          <cell r="B4688" t="str">
            <v>ROLO ABRASIVO FLEXIVEL P600 PN35111 3M</v>
          </cell>
          <cell r="C4688" t="str">
            <v>HB004646210</v>
          </cell>
          <cell r="D4688" t="str">
            <v>3M</v>
          </cell>
          <cell r="E4688">
            <v>20007</v>
          </cell>
          <cell r="F4688" t="str">
            <v xml:space="preserve">DISCOS / LIXAS / ABRASIVOS </v>
          </cell>
          <cell r="G4688" t="str">
            <v>AUTOMOTIVO</v>
          </cell>
        </row>
        <row r="4689">
          <cell r="A4689">
            <v>24192</v>
          </cell>
          <cell r="B4689" t="str">
            <v>ROLO ABRASIVO FLEXIVEL P800 PN35112 3M</v>
          </cell>
          <cell r="C4689" t="str">
            <v>HB004645345</v>
          </cell>
          <cell r="D4689" t="str">
            <v>3M</v>
          </cell>
          <cell r="E4689">
            <v>20007</v>
          </cell>
          <cell r="F4689" t="str">
            <v xml:space="preserve">DISCOS / LIXAS / ABRASIVOS </v>
          </cell>
          <cell r="G4689" t="str">
            <v>AUTOMOTIVO</v>
          </cell>
        </row>
        <row r="4690">
          <cell r="A4690">
            <v>23086</v>
          </cell>
          <cell r="B4690" t="str">
            <v>TIRAS BLUE 080 70X410MM 321U 3M</v>
          </cell>
          <cell r="C4690" t="str">
            <v>HB004520274</v>
          </cell>
          <cell r="D4690" t="str">
            <v>3M</v>
          </cell>
          <cell r="E4690">
            <v>20007</v>
          </cell>
          <cell r="F4690" t="str">
            <v xml:space="preserve">DISCOS / LIXAS / ABRASIVOS </v>
          </cell>
          <cell r="G4690" t="str">
            <v>AUTOMOTIVO</v>
          </cell>
        </row>
        <row r="4691">
          <cell r="A4691">
            <v>23115</v>
          </cell>
          <cell r="B4691" t="str">
            <v>TIRAS BLUE 220 70X410MM 321U 3M</v>
          </cell>
          <cell r="C4691" t="str">
            <v>HB004520290</v>
          </cell>
          <cell r="D4691" t="str">
            <v>3M</v>
          </cell>
          <cell r="E4691">
            <v>20007</v>
          </cell>
          <cell r="F4691" t="str">
            <v xml:space="preserve">DISCOS / LIXAS / ABRASIVOS </v>
          </cell>
          <cell r="G4691" t="str">
            <v>AUTOMOTIVO</v>
          </cell>
        </row>
        <row r="4692">
          <cell r="A4692">
            <v>23091</v>
          </cell>
          <cell r="B4692" t="str">
            <v>TIRAS BLUE 320 115X225MM 321U 3M</v>
          </cell>
          <cell r="C4692" t="str">
            <v>HB004520589</v>
          </cell>
          <cell r="D4692" t="str">
            <v>3M</v>
          </cell>
          <cell r="E4692">
            <v>20007</v>
          </cell>
          <cell r="F4692" t="str">
            <v xml:space="preserve">DISCOS / LIXAS / ABRASIVOS </v>
          </cell>
          <cell r="G4692" t="str">
            <v>AUTOMOTIVO</v>
          </cell>
        </row>
        <row r="4693">
          <cell r="A4693">
            <v>23092</v>
          </cell>
          <cell r="B4693" t="str">
            <v>TIRAS BLUE 320 70X415MM 321U 3M</v>
          </cell>
          <cell r="C4693" t="str">
            <v>HB004520308</v>
          </cell>
          <cell r="D4693" t="str">
            <v>3M</v>
          </cell>
          <cell r="E4693">
            <v>20007</v>
          </cell>
          <cell r="F4693" t="str">
            <v xml:space="preserve">DISCOS / LIXAS / ABRASIVOS </v>
          </cell>
          <cell r="G4693" t="str">
            <v>AUTOMOTIVO</v>
          </cell>
        </row>
        <row r="4694">
          <cell r="A4694">
            <v>23116</v>
          </cell>
          <cell r="B4694" t="str">
            <v>TIRAS BLUE 400 70X410MM 321U 3M</v>
          </cell>
          <cell r="C4694" t="str">
            <v>HB004520316</v>
          </cell>
          <cell r="D4694" t="str">
            <v>3M</v>
          </cell>
          <cell r="E4694">
            <v>20007</v>
          </cell>
          <cell r="F4694" t="str">
            <v xml:space="preserve">DISCOS / LIXAS / ABRASIVOS </v>
          </cell>
          <cell r="G4694" t="str">
            <v>AUTOMOTIVO</v>
          </cell>
        </row>
        <row r="4695">
          <cell r="A4695">
            <v>23094</v>
          </cell>
          <cell r="B4695" t="str">
            <v>TIRAS BLUE 600 115X225MM 321U 3M</v>
          </cell>
          <cell r="C4695" t="str">
            <v>HB004520605</v>
          </cell>
          <cell r="D4695" t="str">
            <v>3M</v>
          </cell>
          <cell r="E4695">
            <v>20007</v>
          </cell>
          <cell r="F4695" t="str">
            <v xml:space="preserve">DISCOS / LIXAS / ABRASIVOS </v>
          </cell>
          <cell r="G4695" t="str">
            <v>AUTOMOTIVO</v>
          </cell>
        </row>
        <row r="4696">
          <cell r="A4696">
            <v>23089</v>
          </cell>
          <cell r="B4696" t="str">
            <v>TIRAS BLUE 800 115X225MM 321U 3M</v>
          </cell>
          <cell r="C4696" t="str">
            <v>HB004520613</v>
          </cell>
          <cell r="D4696" t="str">
            <v>3M</v>
          </cell>
          <cell r="E4696">
            <v>20007</v>
          </cell>
          <cell r="F4696" t="str">
            <v xml:space="preserve">DISCOS / LIXAS / ABRASIVOS </v>
          </cell>
          <cell r="G4696" t="str">
            <v>AUTOMOTIVO</v>
          </cell>
        </row>
        <row r="4697">
          <cell r="A4697">
            <v>23090</v>
          </cell>
          <cell r="B4697" t="str">
            <v>TIRAS BLUE 800 70X410MM 321U 3M</v>
          </cell>
          <cell r="C4697" t="str">
            <v>HB004520548</v>
          </cell>
          <cell r="D4697" t="str">
            <v>3M</v>
          </cell>
          <cell r="E4697">
            <v>20007</v>
          </cell>
          <cell r="F4697" t="str">
            <v xml:space="preserve">DISCOS / LIXAS / ABRASIVOS </v>
          </cell>
          <cell r="G4697" t="str">
            <v>AUTOMOTIVO</v>
          </cell>
        </row>
        <row r="4698">
          <cell r="A4698">
            <v>21327</v>
          </cell>
          <cell r="B4698" t="str">
            <v>A2516 SOFT GEL SHAMPOO 473ML MEGUIARS</v>
          </cell>
          <cell r="C4698" t="str">
            <v>50100003E</v>
          </cell>
          <cell r="D4698" t="str">
            <v>MAXI RUBBER</v>
          </cell>
          <cell r="E4698">
            <v>20006</v>
          </cell>
          <cell r="F4698" t="str">
            <v>CERA  / LIMPEZA /  POLIMENTO VEICULAR</v>
          </cell>
          <cell r="G4698" t="str">
            <v>AUTOMOTIVO</v>
          </cell>
        </row>
        <row r="4699">
          <cell r="A4699">
            <v>22277</v>
          </cell>
          <cell r="B4699" t="str">
            <v>A3316 QUIK DETAILER 473ML</v>
          </cell>
          <cell r="C4699" t="str">
            <v>50100004E</v>
          </cell>
          <cell r="D4699" t="str">
            <v>.</v>
          </cell>
          <cell r="E4699">
            <v>20006</v>
          </cell>
          <cell r="F4699" t="str">
            <v>CERA  / LIMPEZA /  POLIMENTO VEICULAR</v>
          </cell>
          <cell r="G4699" t="str">
            <v>AUTOMOTIVO</v>
          </cell>
        </row>
        <row r="4700">
          <cell r="A4700">
            <v>23723</v>
          </cell>
          <cell r="B4700" t="str">
            <v>ALCOOL GEL 5L UZUCLEAN</v>
          </cell>
          <cell r="C4700">
            <v>9124</v>
          </cell>
          <cell r="D4700" t="str">
            <v>ATUAIS</v>
          </cell>
          <cell r="E4700">
            <v>20006</v>
          </cell>
          <cell r="F4700" t="str">
            <v>CERA  / LIMPEZA /  POLIMENTO VEICULAR</v>
          </cell>
          <cell r="G4700" t="str">
            <v>AUTOMOTIVO</v>
          </cell>
        </row>
        <row r="4701">
          <cell r="A4701">
            <v>23747</v>
          </cell>
          <cell r="B4701" t="str">
            <v>ALCOOL GEL 70% GEL 1L RESICOLOR</v>
          </cell>
          <cell r="C4701">
            <v>4670</v>
          </cell>
          <cell r="D4701" t="str">
            <v>ATUAIS</v>
          </cell>
          <cell r="E4701">
            <v>20006</v>
          </cell>
          <cell r="F4701" t="str">
            <v>CERA  / LIMPEZA /  POLIMENTO VEICULAR</v>
          </cell>
          <cell r="G4701" t="str">
            <v>AUTOMOTIVO</v>
          </cell>
        </row>
        <row r="4702">
          <cell r="A4702">
            <v>23746</v>
          </cell>
          <cell r="B4702" t="str">
            <v>ALCOOL SPRAY 70 50ML CORAÇÃO-23,53-ST</v>
          </cell>
          <cell r="C4702" t="str">
            <v>1MP050BON</v>
          </cell>
          <cell r="D4702" t="str">
            <v>MAXI RUBBER</v>
          </cell>
          <cell r="E4702">
            <v>20006</v>
          </cell>
          <cell r="F4702" t="str">
            <v>CERA  / LIMPEZA /  POLIMENTO VEICULAR</v>
          </cell>
          <cell r="G4702" t="str">
            <v>AUTOMOTIVO</v>
          </cell>
        </row>
        <row r="4703">
          <cell r="A4703">
            <v>1</v>
          </cell>
          <cell r="B4703" t="str">
            <v>ALGODAO HIDROFILIO 500GR</v>
          </cell>
          <cell r="C4703">
            <v>23701</v>
          </cell>
          <cell r="D4703" t="str">
            <v>ATUAIS</v>
          </cell>
          <cell r="E4703">
            <v>20006</v>
          </cell>
          <cell r="F4703" t="str">
            <v>CERA  / LIMPEZA /  POLIMENTO VEICULAR</v>
          </cell>
          <cell r="G4703" t="str">
            <v>AUTOMOTIVO</v>
          </cell>
        </row>
        <row r="4704">
          <cell r="A4704">
            <v>20589</v>
          </cell>
          <cell r="B4704" t="str">
            <v>ALGODAO P/ POLIMENTO 100G NORTON</v>
          </cell>
          <cell r="C4704">
            <v>66261087582</v>
          </cell>
          <cell r="D4704" t="str">
            <v>NORTON</v>
          </cell>
          <cell r="E4704">
            <v>20006</v>
          </cell>
          <cell r="F4704" t="str">
            <v>CERA  / LIMPEZA /  POLIMENTO VEICULAR</v>
          </cell>
          <cell r="G4704" t="str">
            <v>AUTOMOTIVO</v>
          </cell>
        </row>
        <row r="4705">
          <cell r="A4705">
            <v>21805</v>
          </cell>
          <cell r="B4705" t="str">
            <v>BACK TO BLACK RESTAURADOR DE PLASTICOS</v>
          </cell>
          <cell r="C4705">
            <v>303540058</v>
          </cell>
          <cell r="D4705" t="str">
            <v>AUTO AMERICA</v>
          </cell>
          <cell r="E4705">
            <v>20006</v>
          </cell>
          <cell r="F4705" t="str">
            <v>CERA  / LIMPEZA /  POLIMENTO VEICULAR</v>
          </cell>
          <cell r="G4705" t="str">
            <v>AUTOMOTIVO</v>
          </cell>
        </row>
        <row r="4706">
          <cell r="A4706">
            <v>24307</v>
          </cell>
          <cell r="B4706" t="str">
            <v>BLACKOUT - REVITALIZADOR DE PARACHOQUES 100GR AUTOAMERICA</v>
          </cell>
          <cell r="C4706">
            <v>304540002</v>
          </cell>
          <cell r="D4706" t="str">
            <v>AUTO AMERICA</v>
          </cell>
          <cell r="E4706">
            <v>20006</v>
          </cell>
          <cell r="F4706" t="str">
            <v>CERA  / LIMPEZA /  POLIMENTO VEICULAR</v>
          </cell>
          <cell r="G4706" t="str">
            <v>AUTOMOTIVO</v>
          </cell>
        </row>
        <row r="4707">
          <cell r="A4707">
            <v>23592</v>
          </cell>
          <cell r="B4707" t="str">
            <v>BRILHA CHASSIS 500ML JET STREET</v>
          </cell>
          <cell r="C4707">
            <v>7898633140117</v>
          </cell>
          <cell r="D4707" t="str">
            <v>JET STREET</v>
          </cell>
          <cell r="E4707">
            <v>20006</v>
          </cell>
          <cell r="F4707" t="str">
            <v>CERA  / LIMPEZA /  POLIMENTO VEICULAR</v>
          </cell>
          <cell r="G4707" t="str">
            <v>AUTOMOTIVO</v>
          </cell>
        </row>
        <row r="4708">
          <cell r="A4708">
            <v>23595</v>
          </cell>
          <cell r="B4708" t="str">
            <v>BRILHA PNEU GEL 300G JET STREET</v>
          </cell>
          <cell r="C4708">
            <v>78986311056</v>
          </cell>
          <cell r="D4708" t="str">
            <v>JET STREET</v>
          </cell>
          <cell r="E4708">
            <v>20006</v>
          </cell>
          <cell r="F4708" t="str">
            <v>CERA  / LIMPEZA /  POLIMENTO VEICULAR</v>
          </cell>
          <cell r="G4708" t="str">
            <v>AUTOMOTIVO</v>
          </cell>
        </row>
        <row r="4709">
          <cell r="A4709">
            <v>24319</v>
          </cell>
          <cell r="B4709" t="str">
            <v>BRILHO FINAL 500ML MAXXI RUBBER</v>
          </cell>
          <cell r="C4709" t="str">
            <v>6MH043</v>
          </cell>
          <cell r="D4709" t="str">
            <v>MAXI RUBBER</v>
          </cell>
          <cell r="E4709">
            <v>20006</v>
          </cell>
          <cell r="F4709" t="str">
            <v>CERA  / LIMPEZA /  POLIMENTO VEICULAR</v>
          </cell>
          <cell r="G4709" t="str">
            <v>AUTOMOTIVO</v>
          </cell>
        </row>
        <row r="4710">
          <cell r="A4710">
            <v>20812</v>
          </cell>
          <cell r="B4710" t="str">
            <v>BRILHO RAPIDO SEM SILICONE MOTHERS 473ML</v>
          </cell>
          <cell r="C4710">
            <v>303535001</v>
          </cell>
          <cell r="D4710" t="str">
            <v>AUTO AMERICA</v>
          </cell>
          <cell r="E4710">
            <v>20006</v>
          </cell>
          <cell r="F4710" t="str">
            <v>CERA  / LIMPEZA /  POLIMENTO VEICULAR</v>
          </cell>
          <cell r="G4710" t="str">
            <v>AUTOMOTIVO</v>
          </cell>
        </row>
        <row r="4711">
          <cell r="A4711">
            <v>20803</v>
          </cell>
          <cell r="B4711" t="str">
            <v>CALIFONIA GOLD CARNAUBA CLEANER WAX 340G MOTHERS - 5500</v>
          </cell>
          <cell r="C4711">
            <v>303545018</v>
          </cell>
          <cell r="D4711" t="str">
            <v>AUTO AMERICA</v>
          </cell>
          <cell r="E4711">
            <v>20006</v>
          </cell>
          <cell r="F4711" t="str">
            <v>CERA  / LIMPEZA /  POLIMENTO VEICULAR</v>
          </cell>
          <cell r="G4711" t="str">
            <v>AUTOMOTIVO</v>
          </cell>
        </row>
        <row r="4712">
          <cell r="A4712">
            <v>20804</v>
          </cell>
          <cell r="B4712" t="str">
            <v>CALIFORNIA GOLD CARNAUBA PURA WAX-CERA DE CARN. PURA 340G MOTHERS 5550</v>
          </cell>
          <cell r="C4712">
            <v>303540014</v>
          </cell>
          <cell r="D4712" t="str">
            <v>MOTHERS</v>
          </cell>
          <cell r="E4712">
            <v>20006</v>
          </cell>
          <cell r="F4712" t="str">
            <v>CERA  / LIMPEZA /  POLIMENTO VEICULAR</v>
          </cell>
          <cell r="G4712" t="str">
            <v>AUTOMOTIVO</v>
          </cell>
        </row>
        <row r="4713">
          <cell r="A4713">
            <v>10337</v>
          </cell>
          <cell r="B4713" t="str">
            <v>CERA AUTO BRILHO 200G ANJO</v>
          </cell>
          <cell r="C4713" t="str">
            <v>1615-05</v>
          </cell>
          <cell r="D4713" t="str">
            <v>ANJO</v>
          </cell>
          <cell r="E4713">
            <v>20006</v>
          </cell>
          <cell r="F4713" t="str">
            <v>CERA  / LIMPEZA /  POLIMENTO VEICULAR</v>
          </cell>
          <cell r="G4713" t="str">
            <v>AUTOMOTIVO</v>
          </cell>
        </row>
        <row r="4714">
          <cell r="A4714">
            <v>83806</v>
          </cell>
          <cell r="B4714" t="str">
            <v>CERA AUTO BRILHO 5L</v>
          </cell>
          <cell r="C4714">
            <v>626</v>
          </cell>
          <cell r="D4714" t="str">
            <v>START</v>
          </cell>
          <cell r="E4714">
            <v>20006</v>
          </cell>
          <cell r="F4714" t="str">
            <v>CERA  / LIMPEZA /  POLIMENTO VEICULAR</v>
          </cell>
          <cell r="G4714" t="str">
            <v>AUTOMOTIVO</v>
          </cell>
        </row>
        <row r="4715">
          <cell r="A4715">
            <v>20048</v>
          </cell>
          <cell r="B4715" t="str">
            <v>CERA BRILHO 200G 3M</v>
          </cell>
          <cell r="C4715" t="str">
            <v>HB004481030</v>
          </cell>
          <cell r="D4715" t="str">
            <v>3M</v>
          </cell>
          <cell r="E4715">
            <v>20006</v>
          </cell>
          <cell r="F4715" t="str">
            <v>CERA  / LIMPEZA /  POLIMENTO VEICULAR</v>
          </cell>
          <cell r="G4715" t="str">
            <v>AUTOMOTIVO</v>
          </cell>
        </row>
        <row r="4716">
          <cell r="A4716">
            <v>85031</v>
          </cell>
          <cell r="B4716" t="str">
            <v>CERA CARNAUBA LIQUIDA GOLD 300ML AUTO AMERICA</v>
          </cell>
          <cell r="C4716">
            <v>304540040</v>
          </cell>
          <cell r="D4716" t="str">
            <v>MOTHERS</v>
          </cell>
          <cell r="E4716">
            <v>20006</v>
          </cell>
          <cell r="F4716" t="str">
            <v>CERA  / LIMPEZA /  POLIMENTO VEICULAR</v>
          </cell>
          <cell r="G4716" t="str">
            <v>AUTOMOTIVO</v>
          </cell>
        </row>
        <row r="4717">
          <cell r="A4717">
            <v>21322</v>
          </cell>
          <cell r="B4717" t="str">
            <v>CERA CARNAUBA PURA LIQUIDA 473ML MOTHERS</v>
          </cell>
          <cell r="C4717">
            <v>303540005</v>
          </cell>
          <cell r="D4717" t="str">
            <v>AUTO AMERICA</v>
          </cell>
          <cell r="E4717">
            <v>20006</v>
          </cell>
          <cell r="F4717" t="str">
            <v>CERA  / LIMPEZA /  POLIMENTO VEICULAR</v>
          </cell>
          <cell r="G4717" t="str">
            <v>AUTOMOTIVO</v>
          </cell>
        </row>
        <row r="4718">
          <cell r="A4718">
            <v>23727</v>
          </cell>
          <cell r="B4718" t="str">
            <v>CERA COLORIDA PEROLA 250ML BRANCA</v>
          </cell>
          <cell r="C4718">
            <v>161604</v>
          </cell>
          <cell r="D4718" t="str">
            <v>PEROLA</v>
          </cell>
          <cell r="E4718">
            <v>20006</v>
          </cell>
          <cell r="F4718" t="str">
            <v>CERA  / LIMPEZA /  POLIMENTO VEICULAR</v>
          </cell>
          <cell r="G4718" t="str">
            <v>AUTOMOTIVO</v>
          </cell>
        </row>
        <row r="4719">
          <cell r="A4719">
            <v>23728</v>
          </cell>
          <cell r="B4719" t="str">
            <v>CERA COLORIDA PEROLA 250ML PRATA</v>
          </cell>
          <cell r="C4719">
            <v>161606</v>
          </cell>
          <cell r="D4719" t="str">
            <v>PEROLA</v>
          </cell>
          <cell r="E4719">
            <v>20006</v>
          </cell>
          <cell r="F4719" t="str">
            <v>CERA  / LIMPEZA /  POLIMENTO VEICULAR</v>
          </cell>
          <cell r="G4719" t="str">
            <v>AUTOMOTIVO</v>
          </cell>
        </row>
        <row r="4720">
          <cell r="A4720">
            <v>23726</v>
          </cell>
          <cell r="B4720" t="str">
            <v>CERA COLORIDA PEROLA 250ML PRETA</v>
          </cell>
          <cell r="C4720">
            <v>161603</v>
          </cell>
          <cell r="D4720" t="str">
            <v>PEROLA</v>
          </cell>
          <cell r="E4720">
            <v>20006</v>
          </cell>
          <cell r="F4720" t="str">
            <v>CERA  / LIMPEZA /  POLIMENTO VEICULAR</v>
          </cell>
          <cell r="G4720" t="str">
            <v>AUTOMOTIVO</v>
          </cell>
        </row>
        <row r="4721">
          <cell r="A4721">
            <v>23729</v>
          </cell>
          <cell r="B4721" t="str">
            <v>CERA COLORIDA PEROLA 250ML VERMELHA</v>
          </cell>
          <cell r="C4721">
            <v>161607</v>
          </cell>
          <cell r="D4721" t="str">
            <v>PEROLA</v>
          </cell>
          <cell r="E4721">
            <v>20006</v>
          </cell>
          <cell r="F4721" t="str">
            <v>CERA  / LIMPEZA /  POLIMENTO VEICULAR</v>
          </cell>
          <cell r="G4721" t="str">
            <v>AUTOMOTIVO</v>
          </cell>
        </row>
        <row r="4722">
          <cell r="A4722">
            <v>23570</v>
          </cell>
          <cell r="B4722" t="str">
            <v>CERA INCOLOR POLYLAR 5 LTS START</v>
          </cell>
          <cell r="C4722">
            <v>626</v>
          </cell>
          <cell r="D4722" t="str">
            <v>BRILHO MAX</v>
          </cell>
          <cell r="E4722">
            <v>20006</v>
          </cell>
          <cell r="F4722" t="str">
            <v>CERA  / LIMPEZA /  POLIMENTO VEICULAR</v>
          </cell>
          <cell r="G4722" t="str">
            <v>AUTOMOTIVO</v>
          </cell>
        </row>
        <row r="4723">
          <cell r="A4723">
            <v>83938</v>
          </cell>
          <cell r="B4723" t="str">
            <v>CERA MAXX INGLEZA 5LT</v>
          </cell>
          <cell r="C4723">
            <v>928</v>
          </cell>
          <cell r="D4723" t="str">
            <v>START</v>
          </cell>
          <cell r="E4723">
            <v>20006</v>
          </cell>
          <cell r="F4723" t="str">
            <v>CERA  / LIMPEZA /  POLIMENTO VEICULAR</v>
          </cell>
          <cell r="G4723" t="str">
            <v>AUTOMOTIVO</v>
          </cell>
        </row>
        <row r="4724">
          <cell r="A4724">
            <v>20518</v>
          </cell>
          <cell r="B4724" t="str">
            <v>CERA PASTE WAX S. SPORT 200GR 3M</v>
          </cell>
          <cell r="C4724" t="str">
            <v>HB004110050</v>
          </cell>
          <cell r="D4724" t="str">
            <v>3M</v>
          </cell>
          <cell r="E4724">
            <v>20006</v>
          </cell>
          <cell r="F4724" t="str">
            <v>CERA  / LIMPEZA /  POLIMENTO VEICULAR</v>
          </cell>
          <cell r="G4724" t="str">
            <v>AUTOMOTIVO</v>
          </cell>
        </row>
        <row r="4725">
          <cell r="A4725">
            <v>10388</v>
          </cell>
          <cell r="B4725" t="str">
            <v>CERA PROFISSIONAL 200G MAX RUBBER</v>
          </cell>
          <cell r="C4725" t="str">
            <v>6MP020</v>
          </cell>
          <cell r="D4725" t="str">
            <v>MAXI RUBBER</v>
          </cell>
          <cell r="E4725">
            <v>20006</v>
          </cell>
          <cell r="F4725" t="str">
            <v>CERA  / LIMPEZA /  POLIMENTO VEICULAR</v>
          </cell>
          <cell r="G4725" t="str">
            <v>AUTOMOTIVO</v>
          </cell>
        </row>
        <row r="4726">
          <cell r="A4726">
            <v>84787</v>
          </cell>
          <cell r="B4726" t="str">
            <v>CERA PROTETORA HOBBY 200G NORTON</v>
          </cell>
          <cell r="C4726">
            <v>5539544762</v>
          </cell>
          <cell r="D4726" t="str">
            <v>NORTON</v>
          </cell>
          <cell r="E4726">
            <v>20006</v>
          </cell>
          <cell r="F4726" t="str">
            <v>CERA  / LIMPEZA /  POLIMENTO VEICULAR</v>
          </cell>
          <cell r="G4726" t="str">
            <v>AUTOMOTIVO</v>
          </cell>
        </row>
        <row r="4727">
          <cell r="A4727">
            <v>23459</v>
          </cell>
          <cell r="B4727" t="str">
            <v>CERA PROTETORA PLUS 500ML 3M</v>
          </cell>
          <cell r="C4727" t="str">
            <v>HB004584445</v>
          </cell>
          <cell r="D4727" t="str">
            <v>3M</v>
          </cell>
          <cell r="E4727">
            <v>20006</v>
          </cell>
          <cell r="F4727" t="str">
            <v>CERA  / LIMPEZA /  POLIMENTO VEICULAR</v>
          </cell>
          <cell r="G4727" t="str">
            <v>AUTOMOTIVO</v>
          </cell>
        </row>
        <row r="4728">
          <cell r="A4728">
            <v>84741</v>
          </cell>
          <cell r="B4728" t="str">
            <v>CERA PROTETORA PREMIUM CARNAUBA 150G NORTON</v>
          </cell>
          <cell r="C4728">
            <v>78072721947</v>
          </cell>
          <cell r="D4728" t="str">
            <v>NORTON</v>
          </cell>
          <cell r="E4728">
            <v>20006</v>
          </cell>
          <cell r="F4728" t="str">
            <v>CERA  / LIMPEZA /  POLIMENTO VEICULAR</v>
          </cell>
          <cell r="G4728" t="str">
            <v>AUTOMOTIVO</v>
          </cell>
        </row>
        <row r="4729">
          <cell r="A4729">
            <v>24418</v>
          </cell>
          <cell r="B4729" t="str">
            <v>CODE - REVESTIMENTO CERAMICO PARA PLASTICO 65ML ALCANCE</v>
          </cell>
          <cell r="C4729">
            <v>60</v>
          </cell>
          <cell r="D4729" t="str">
            <v>ALCANCE</v>
          </cell>
          <cell r="E4729">
            <v>20006</v>
          </cell>
          <cell r="F4729" t="str">
            <v>CERA  / LIMPEZA /  POLIMENTO VEICULAR</v>
          </cell>
          <cell r="G4729" t="str">
            <v>AUTOMOTIVO</v>
          </cell>
        </row>
        <row r="4730">
          <cell r="A4730">
            <v>84777</v>
          </cell>
          <cell r="B4730" t="str">
            <v>CRISTALIZADOR AUTOMOTIVO BASE AGUA</v>
          </cell>
          <cell r="C4730" t="str">
            <v>PO 085000252</v>
          </cell>
          <cell r="D4730" t="str">
            <v>BRASILUX</v>
          </cell>
          <cell r="E4730">
            <v>20006</v>
          </cell>
          <cell r="F4730" t="str">
            <v>CERA  / LIMPEZA /  POLIMENTO VEICULAR</v>
          </cell>
          <cell r="G4730" t="str">
            <v>AUTOMOTIVO</v>
          </cell>
        </row>
        <row r="4731">
          <cell r="A4731">
            <v>22334</v>
          </cell>
          <cell r="B4731" t="str">
            <v>EXTREME TIRE GEL P/ PNEUS  AUTOAMERICA 473ML</v>
          </cell>
          <cell r="C4731">
            <v>304545010</v>
          </cell>
          <cell r="D4731" t="str">
            <v>AUTO AMERICA</v>
          </cell>
          <cell r="E4731">
            <v>20006</v>
          </cell>
          <cell r="F4731" t="str">
            <v>CERA  / LIMPEZA /  POLIMENTO VEICULAR</v>
          </cell>
          <cell r="G4731" t="str">
            <v>AUTOMOTIVO</v>
          </cell>
        </row>
        <row r="4732">
          <cell r="A4732">
            <v>83883</v>
          </cell>
          <cell r="B4732" t="str">
            <v>FAST CUT AUTOAMERICA</v>
          </cell>
          <cell r="C4732">
            <v>304535081</v>
          </cell>
          <cell r="D4732" t="str">
            <v>AUTO AMERICA</v>
          </cell>
          <cell r="E4732">
            <v>20006</v>
          </cell>
          <cell r="F4732" t="str">
            <v>CERA  / LIMPEZA /  POLIMENTO VEICULAR</v>
          </cell>
          <cell r="G4732" t="str">
            <v>AUTOMOTIVO</v>
          </cell>
        </row>
        <row r="4733">
          <cell r="A4733">
            <v>21790</v>
          </cell>
          <cell r="B4733" t="str">
            <v>FAST GLOSS FG 400 1L MENZERNA</v>
          </cell>
          <cell r="C4733">
            <v>304035036</v>
          </cell>
          <cell r="D4733" t="str">
            <v>AUTO AMERICA</v>
          </cell>
          <cell r="E4733">
            <v>20006</v>
          </cell>
          <cell r="F4733" t="str">
            <v>CERA  / LIMPEZA /  POLIMENTO VEICULAR</v>
          </cell>
          <cell r="G4733" t="str">
            <v>AUTOMOTIVO</v>
          </cell>
        </row>
        <row r="4734">
          <cell r="A4734">
            <v>83947</v>
          </cell>
          <cell r="B4734" t="str">
            <v>FX 1100 PU 5L</v>
          </cell>
          <cell r="C4734">
            <v>57936</v>
          </cell>
          <cell r="D4734" t="str">
            <v>.</v>
          </cell>
          <cell r="E4734">
            <v>20006</v>
          </cell>
          <cell r="F4734" t="str">
            <v>CERA  / LIMPEZA /  POLIMENTO VEICULAR</v>
          </cell>
          <cell r="G4734" t="str">
            <v>AUTOMOTIVO</v>
          </cell>
        </row>
        <row r="4735">
          <cell r="A4735">
            <v>21331</v>
          </cell>
          <cell r="B4735" t="str">
            <v>G1 7216 ULTRA COMPOSTO 473ML MEGUIARS</v>
          </cell>
          <cell r="C4735" t="str">
            <v>50100015E</v>
          </cell>
          <cell r="D4735" t="str">
            <v>MAXI RUBBER</v>
          </cell>
          <cell r="E4735">
            <v>20006</v>
          </cell>
          <cell r="F4735" t="str">
            <v>CERA  / LIMPEZA /  POLIMENTO VEICULAR</v>
          </cell>
          <cell r="G4735" t="str">
            <v>AUTOMOTIVO</v>
          </cell>
        </row>
        <row r="4736">
          <cell r="A4736">
            <v>21328</v>
          </cell>
          <cell r="B4736" t="str">
            <v>G1 7516 CERA SPRAY ULTIMATE Q.W 450ML MEGUIARS</v>
          </cell>
          <cell r="C4736" t="str">
            <v>50100006E</v>
          </cell>
          <cell r="D4736" t="str">
            <v>MEGUIARS</v>
          </cell>
          <cell r="E4736">
            <v>20006</v>
          </cell>
          <cell r="F4736" t="str">
            <v>CERA  / LIMPEZA /  POLIMENTO VEICULAR</v>
          </cell>
          <cell r="G4736" t="str">
            <v>AUTOMOTIVO</v>
          </cell>
        </row>
        <row r="4737">
          <cell r="A4737">
            <v>21332</v>
          </cell>
          <cell r="B4737" t="str">
            <v>G1 8211 CERA ULTIMATE PASTA 311G MEGUIARS</v>
          </cell>
          <cell r="C4737" t="str">
            <v>50100018E</v>
          </cell>
          <cell r="D4737" t="str">
            <v>MEGUIARS</v>
          </cell>
          <cell r="E4737">
            <v>20006</v>
          </cell>
          <cell r="F4737" t="str">
            <v>CERA  / LIMPEZA /  POLIMENTO VEICULAR</v>
          </cell>
          <cell r="G4737" t="str">
            <v>AUTOMOTIVO</v>
          </cell>
        </row>
        <row r="4738">
          <cell r="A4738">
            <v>23121</v>
          </cell>
          <cell r="B4738" t="str">
            <v>G1116 KIT QUIK CLAY</v>
          </cell>
          <cell r="C4738" t="str">
            <v>50400002E</v>
          </cell>
          <cell r="D4738" t="str">
            <v>MAXI RUBBER</v>
          </cell>
          <cell r="E4738">
            <v>20006</v>
          </cell>
          <cell r="F4738" t="str">
            <v>CERA  / LIMPEZA /  POLIMENTO VEICULAR</v>
          </cell>
          <cell r="G4738" t="str">
            <v>AUTOMOTIVO</v>
          </cell>
        </row>
        <row r="4739">
          <cell r="A4739">
            <v>10354</v>
          </cell>
          <cell r="B4739" t="str">
            <v>G12718 CERA NXT GENERATION 2.0 532ML MEGUIARS</v>
          </cell>
          <cell r="C4739" t="str">
            <v>30100008e</v>
          </cell>
          <cell r="D4739" t="str">
            <v>MEGUIARS</v>
          </cell>
          <cell r="E4739">
            <v>20006</v>
          </cell>
          <cell r="F4739" t="str">
            <v>CERA  / LIMPEZA /  POLIMENTO VEICULAR</v>
          </cell>
          <cell r="G4739" t="str">
            <v>AUTOMOTIVO</v>
          </cell>
        </row>
        <row r="4740">
          <cell r="A4740">
            <v>23691</v>
          </cell>
          <cell r="B4740" t="str">
            <v>G18309 CERA ULTIMATE FAST FINISH EM AEROSOL MEGUIARS</v>
          </cell>
          <cell r="C4740" t="str">
            <v>50100046E</v>
          </cell>
          <cell r="D4740" t="str">
            <v>MEGUIARS</v>
          </cell>
          <cell r="E4740">
            <v>20006</v>
          </cell>
          <cell r="F4740" t="str">
            <v>CERA  / LIMPEZA /  POLIMENTO VEICULAR</v>
          </cell>
          <cell r="G4740" t="str">
            <v>AUTOMOTIVO</v>
          </cell>
        </row>
        <row r="4741">
          <cell r="A4741">
            <v>24404</v>
          </cell>
          <cell r="B4741" t="str">
            <v>G190424 LAVA SECO PNEU E RODA</v>
          </cell>
          <cell r="C4741" t="str">
            <v>A0663</v>
          </cell>
          <cell r="D4741" t="str">
            <v>MAXI RUBBER</v>
          </cell>
          <cell r="E4741">
            <v>20006</v>
          </cell>
          <cell r="F4741" t="str">
            <v>CERA  / LIMPEZA /  POLIMENTO VEICULAR</v>
          </cell>
          <cell r="G4741" t="str">
            <v>AUTOMOTIVO</v>
          </cell>
        </row>
        <row r="4742">
          <cell r="A4742">
            <v>23947</v>
          </cell>
          <cell r="B4742" t="str">
            <v>G190526 CERA SPRAY HYBCERAMIC MEGUIARS</v>
          </cell>
          <cell r="C4742" t="str">
            <v>50100059E</v>
          </cell>
          <cell r="D4742" t="str">
            <v>MEGUIARS</v>
          </cell>
          <cell r="E4742">
            <v>20006</v>
          </cell>
          <cell r="F4742" t="str">
            <v>CERA  / LIMPEZA /  POLIMENTO VEICULAR</v>
          </cell>
          <cell r="G4742" t="str">
            <v>AUTOMOTIVO</v>
          </cell>
        </row>
        <row r="4743">
          <cell r="A4743">
            <v>24406</v>
          </cell>
          <cell r="B4743" t="str">
            <v>G200200 KIT CLAY HYB CERAMIC</v>
          </cell>
          <cell r="C4743" t="str">
            <v>A0658</v>
          </cell>
          <cell r="D4743" t="str">
            <v>MAXI RUBBER</v>
          </cell>
          <cell r="E4743">
            <v>20006</v>
          </cell>
          <cell r="F4743" t="str">
            <v>CERA  / LIMPEZA /  POLIMENTO VEICULAR</v>
          </cell>
          <cell r="G4743" t="str">
            <v>AUTOMOTIVO</v>
          </cell>
        </row>
        <row r="4744">
          <cell r="A4744">
            <v>23948</v>
          </cell>
          <cell r="B4744" t="str">
            <v>G200416 CERA LIQUIDA HYB CERAMIC 473ML MEGUIARS</v>
          </cell>
          <cell r="C4744" t="str">
            <v>50100063E</v>
          </cell>
          <cell r="D4744" t="str">
            <v>MEGUIARS</v>
          </cell>
          <cell r="E4744">
            <v>20006</v>
          </cell>
          <cell r="F4744" t="str">
            <v>CERA  / LIMPEZA /  POLIMENTO VEICULAR</v>
          </cell>
          <cell r="G4744" t="str">
            <v>AUTOMOTIVO</v>
          </cell>
        </row>
        <row r="4745">
          <cell r="A4745">
            <v>23949</v>
          </cell>
          <cell r="B4745" t="str">
            <v>G200526 HYBRID CERAMIC DETAILER MEGUIARS</v>
          </cell>
          <cell r="C4745" t="str">
            <v>50100072E</v>
          </cell>
          <cell r="D4745" t="str">
            <v>MEGUIARS</v>
          </cell>
          <cell r="E4745">
            <v>20006</v>
          </cell>
          <cell r="F4745" t="str">
            <v>CERA  / LIMPEZA /  POLIMENTO VEICULAR</v>
          </cell>
          <cell r="G4745" t="str">
            <v>AUTOMOTIVO</v>
          </cell>
        </row>
        <row r="4746">
          <cell r="A4746">
            <v>24405</v>
          </cell>
          <cell r="B4746" t="str">
            <v>G201024 NEW ULT QUIK DETAILER</v>
          </cell>
          <cell r="C4746" t="str">
            <v>A0659</v>
          </cell>
          <cell r="D4746" t="str">
            <v>MAXI RUBBER</v>
          </cell>
          <cell r="E4746">
            <v>20006</v>
          </cell>
          <cell r="F4746" t="str">
            <v>CERA  / LIMPEZA /  POLIMENTO VEICULAR</v>
          </cell>
          <cell r="G4746" t="str">
            <v>AUTOMOTIVO</v>
          </cell>
        </row>
        <row r="4747">
          <cell r="A4747">
            <v>21718</v>
          </cell>
          <cell r="B4747" t="str">
            <v>G3626 LAVAGEM A SECO ULTIMATE MEGUIARS</v>
          </cell>
          <cell r="C4747" t="str">
            <v>50100029E</v>
          </cell>
          <cell r="D4747" t="str">
            <v>MAXI RUBBER</v>
          </cell>
          <cell r="E4747">
            <v>20006</v>
          </cell>
          <cell r="F4747" t="str">
            <v>CERA  / LIMPEZA /  POLIMENTO VEICULAR</v>
          </cell>
          <cell r="G4747" t="str">
            <v>AUTOMOTIVO</v>
          </cell>
        </row>
        <row r="4748">
          <cell r="A4748">
            <v>23274</v>
          </cell>
          <cell r="B4748" t="str">
            <v>G4116 PROTETOR BRILHO NATURAL</v>
          </cell>
          <cell r="C4748" t="str">
            <v>50100021E</v>
          </cell>
          <cell r="D4748" t="str">
            <v>MAXI RUBBER</v>
          </cell>
          <cell r="E4748">
            <v>20006</v>
          </cell>
          <cell r="F4748" t="str">
            <v>CERA  / LIMPEZA /  POLIMENTO VEICULAR</v>
          </cell>
          <cell r="G4748" t="str">
            <v>AUTOMOTIVO</v>
          </cell>
        </row>
        <row r="4749">
          <cell r="A4749">
            <v>21330</v>
          </cell>
          <cell r="B4749" t="str">
            <v>G7516 BRILHA PNEU GOLD CLASS ENDURANC 473ML MEGUIARS</v>
          </cell>
          <cell r="C4749" t="str">
            <v>50100013E</v>
          </cell>
          <cell r="D4749" t="str">
            <v>MEGUIARS</v>
          </cell>
          <cell r="E4749">
            <v>20006</v>
          </cell>
          <cell r="F4749" t="str">
            <v>CERA  / LIMPEZA /  POLIMENTO VEICULAR</v>
          </cell>
          <cell r="G4749" t="str">
            <v>AUTOMOTIVO</v>
          </cell>
        </row>
        <row r="4750">
          <cell r="A4750">
            <v>24259</v>
          </cell>
          <cell r="B4750" t="str">
            <v>HEAVY CUT COMPOUND 400 GREEN 1KG MENZERNA</v>
          </cell>
          <cell r="C4750">
            <v>304035063</v>
          </cell>
          <cell r="D4750" t="str">
            <v>AUTO AMERICA</v>
          </cell>
          <cell r="E4750">
            <v>20006</v>
          </cell>
          <cell r="F4750" t="str">
            <v>CERA  / LIMPEZA /  POLIMENTO VEICULAR</v>
          </cell>
          <cell r="G4750" t="str">
            <v>AUTOMOTIVO</v>
          </cell>
        </row>
        <row r="4751">
          <cell r="A4751">
            <v>24213</v>
          </cell>
          <cell r="B4751" t="str">
            <v>HFX EXTREME 5L LM</v>
          </cell>
          <cell r="C4751" t="str">
            <v>PB111</v>
          </cell>
          <cell r="D4751" t="str">
            <v>.</v>
          </cell>
          <cell r="E4751">
            <v>20006</v>
          </cell>
          <cell r="F4751" t="str">
            <v>CERA  / LIMPEZA /  POLIMENTO VEICULAR</v>
          </cell>
          <cell r="G4751" t="str">
            <v>AUTOMOTIVO</v>
          </cell>
        </row>
        <row r="4752">
          <cell r="A4752">
            <v>20808</v>
          </cell>
          <cell r="B4752" t="str">
            <v>HIDRATANTE DE COURO MOTHERS 6312 355ML</v>
          </cell>
          <cell r="C4752">
            <v>303545025</v>
          </cell>
          <cell r="D4752" t="str">
            <v>AUTO AMERICA</v>
          </cell>
          <cell r="E4752">
            <v>20006</v>
          </cell>
          <cell r="F4752" t="str">
            <v>CERA  / LIMPEZA /  POLIMENTO VEICULAR</v>
          </cell>
          <cell r="G4752" t="str">
            <v>AUTOMOTIVO</v>
          </cell>
        </row>
        <row r="4753">
          <cell r="A4753">
            <v>24301</v>
          </cell>
          <cell r="B4753" t="str">
            <v>HIDRATANTE DE COURO ULTRA PRO 150ML HUNGRIA</v>
          </cell>
          <cell r="C4753">
            <v>10001000144</v>
          </cell>
          <cell r="D4753" t="str">
            <v>HUNGRIA</v>
          </cell>
          <cell r="E4753">
            <v>20006</v>
          </cell>
          <cell r="F4753" t="str">
            <v>CERA  / LIMPEZA /  POLIMENTO VEICULAR</v>
          </cell>
          <cell r="G4753" t="str">
            <v>AUTOMOTIVO</v>
          </cell>
        </row>
        <row r="4754">
          <cell r="A4754">
            <v>83884</v>
          </cell>
          <cell r="B4754" t="str">
            <v>INTERIOR DETAILER  AUTOAMERICA</v>
          </cell>
          <cell r="C4754">
            <v>304535083</v>
          </cell>
          <cell r="D4754" t="str">
            <v>AUTO AMERICA</v>
          </cell>
          <cell r="E4754">
            <v>20006</v>
          </cell>
          <cell r="F4754" t="str">
            <v>CERA  / LIMPEZA /  POLIMENTO VEICULAR</v>
          </cell>
          <cell r="G4754" t="str">
            <v>AUTOMOTIVO</v>
          </cell>
        </row>
        <row r="4755">
          <cell r="A4755">
            <v>23590</v>
          </cell>
          <cell r="B4755" t="str">
            <v>JET CERA 500ML JET STREET</v>
          </cell>
          <cell r="C4755">
            <v>7898633140131</v>
          </cell>
          <cell r="D4755" t="str">
            <v>JET STREET</v>
          </cell>
          <cell r="E4755">
            <v>20006</v>
          </cell>
          <cell r="F4755" t="str">
            <v>CERA  / LIMPEZA /  POLIMENTO VEICULAR</v>
          </cell>
          <cell r="G4755" t="str">
            <v>AUTOMOTIVO</v>
          </cell>
        </row>
        <row r="4756">
          <cell r="A4756">
            <v>24417</v>
          </cell>
          <cell r="B4756" t="str">
            <v>KIT VX 45 VITRIFICADOR DE PINTURA 30ML ALCANCE</v>
          </cell>
          <cell r="C4756">
            <v>13</v>
          </cell>
          <cell r="D4756" t="str">
            <v>ALCANCE</v>
          </cell>
          <cell r="E4756">
            <v>20006</v>
          </cell>
          <cell r="F4756" t="str">
            <v>CERA  / LIMPEZA /  POLIMENTO VEICULAR</v>
          </cell>
          <cell r="G4756" t="str">
            <v>AUTOMOTIVO</v>
          </cell>
        </row>
        <row r="4757">
          <cell r="A4757">
            <v>23959</v>
          </cell>
          <cell r="B4757" t="str">
            <v>LAVA A SECO HARTS BY HUNGRIA 500ML CARRO</v>
          </cell>
          <cell r="C4757">
            <v>10001000030</v>
          </cell>
          <cell r="D4757" t="str">
            <v>HUNGRIA</v>
          </cell>
          <cell r="E4757">
            <v>20006</v>
          </cell>
          <cell r="F4757" t="str">
            <v>CERA  / LIMPEZA /  POLIMENTO VEICULAR</v>
          </cell>
          <cell r="G4757" t="str">
            <v>AUTOMOTIVO</v>
          </cell>
        </row>
        <row r="4758">
          <cell r="A4758">
            <v>23960</v>
          </cell>
          <cell r="B4758" t="str">
            <v>LAVA A SECO HARTS BY HUNGRIA 500ML MOTO</v>
          </cell>
          <cell r="C4758">
            <v>259</v>
          </cell>
          <cell r="D4758" t="str">
            <v>HUNGRIA</v>
          </cell>
          <cell r="E4758">
            <v>20006</v>
          </cell>
          <cell r="F4758" t="str">
            <v>CERA  / LIMPEZA /  POLIMENTO VEICULAR</v>
          </cell>
          <cell r="G4758" t="str">
            <v>AUTOMOTIVO</v>
          </cell>
        </row>
        <row r="4759">
          <cell r="A4759">
            <v>23964</v>
          </cell>
          <cell r="B4759" t="str">
            <v>LAVA AUTO UTRA WASHING 5 LTS TRADICIONAL HUNGRIA</v>
          </cell>
          <cell r="C4759">
            <v>10001000034</v>
          </cell>
          <cell r="D4759" t="str">
            <v>HUNGRIA</v>
          </cell>
          <cell r="E4759">
            <v>20006</v>
          </cell>
          <cell r="F4759" t="str">
            <v>CERA  / LIMPEZA /  POLIMENTO VEICULAR</v>
          </cell>
          <cell r="G4759" t="str">
            <v>AUTOMOTIVO</v>
          </cell>
        </row>
        <row r="4760">
          <cell r="A4760">
            <v>23963</v>
          </cell>
          <cell r="B4760" t="str">
            <v>LAVA AUTO UTRA WASHING COM CERA 5 LTS HUNGRIA</v>
          </cell>
          <cell r="C4760">
            <v>10001000032</v>
          </cell>
          <cell r="D4760" t="str">
            <v>HUNGRIA</v>
          </cell>
          <cell r="E4760">
            <v>20006</v>
          </cell>
          <cell r="F4760" t="str">
            <v>CERA  / LIMPEZA /  POLIMENTO VEICULAR</v>
          </cell>
          <cell r="G4760" t="str">
            <v>AUTOMOTIVO</v>
          </cell>
        </row>
        <row r="4761">
          <cell r="A4761">
            <v>23733</v>
          </cell>
          <cell r="B4761" t="str">
            <v>LAVA AUTOS MONZA 500ML PEROLA-20,92-ST</v>
          </cell>
          <cell r="C4761">
            <v>80901</v>
          </cell>
          <cell r="D4761" t="str">
            <v>PEROLA</v>
          </cell>
          <cell r="E4761">
            <v>20006</v>
          </cell>
          <cell r="F4761" t="str">
            <v>CERA  / LIMPEZA /  POLIMENTO VEICULAR</v>
          </cell>
          <cell r="G4761" t="str">
            <v>AUTOMOTIVO</v>
          </cell>
        </row>
        <row r="4762">
          <cell r="A4762">
            <v>23588</v>
          </cell>
          <cell r="B4762" t="str">
            <v>LAVA SECO 500ML JET STREET</v>
          </cell>
          <cell r="C4762">
            <v>7898633140124</v>
          </cell>
          <cell r="D4762" t="str">
            <v>JET STREET</v>
          </cell>
          <cell r="E4762">
            <v>20006</v>
          </cell>
          <cell r="F4762" t="str">
            <v>CERA  / LIMPEZA /  POLIMENTO VEICULAR</v>
          </cell>
          <cell r="G4762" t="str">
            <v>AUTOMOTIVO</v>
          </cell>
        </row>
        <row r="4763">
          <cell r="A4763">
            <v>23734</v>
          </cell>
          <cell r="B4763" t="str">
            <v>LAVAGEM A SECO 500ML PEROLA-20,92-ST</v>
          </cell>
          <cell r="C4763">
            <v>81001</v>
          </cell>
          <cell r="D4763" t="str">
            <v>PEROLA</v>
          </cell>
          <cell r="E4763">
            <v>20006</v>
          </cell>
          <cell r="F4763" t="str">
            <v>CERA  / LIMPEZA /  POLIMENTO VEICULAR</v>
          </cell>
          <cell r="G4763" t="str">
            <v>AUTOMOTIVO</v>
          </cell>
        </row>
        <row r="4764">
          <cell r="A4764">
            <v>23745</v>
          </cell>
          <cell r="B4764" t="str">
            <v>LIMPA PLASTICOS 500ML PEROLA-20,92-ST</v>
          </cell>
          <cell r="C4764">
            <v>60608</v>
          </cell>
          <cell r="D4764" t="str">
            <v>PEROLA</v>
          </cell>
          <cell r="E4764">
            <v>20006</v>
          </cell>
          <cell r="F4764" t="str">
            <v>CERA  / LIMPEZA /  POLIMENTO VEICULAR</v>
          </cell>
          <cell r="G4764" t="str">
            <v>AUTOMOTIVO</v>
          </cell>
        </row>
        <row r="4765">
          <cell r="A4765">
            <v>23593</v>
          </cell>
          <cell r="B4765" t="str">
            <v>LIMPA VIDROS 500ML JET STREET</v>
          </cell>
          <cell r="C4765">
            <v>7898633140087</v>
          </cell>
          <cell r="D4765" t="str">
            <v>JET STREET</v>
          </cell>
          <cell r="E4765">
            <v>20006</v>
          </cell>
          <cell r="F4765" t="str">
            <v>CERA  / LIMPEZA /  POLIMENTO VEICULAR</v>
          </cell>
          <cell r="G4765" t="str">
            <v>AUTOMOTIVO</v>
          </cell>
        </row>
        <row r="4766">
          <cell r="A4766">
            <v>23736</v>
          </cell>
          <cell r="B4766" t="str">
            <v>LIMPA VIDROS 500ML PEROLA-20,92-ST</v>
          </cell>
          <cell r="C4766">
            <v>131301</v>
          </cell>
          <cell r="D4766" t="str">
            <v>PEROLA</v>
          </cell>
          <cell r="E4766">
            <v>20006</v>
          </cell>
          <cell r="F4766" t="str">
            <v>CERA  / LIMPEZA /  POLIMENTO VEICULAR</v>
          </cell>
          <cell r="G4766" t="str">
            <v>AUTOMOTIVO</v>
          </cell>
        </row>
        <row r="4767">
          <cell r="A4767">
            <v>24302</v>
          </cell>
          <cell r="B4767" t="str">
            <v>LIMPA VIDROS ANTI-EMBAÇAMENTO 500ML HUNGRIA</v>
          </cell>
          <cell r="C4767">
            <v>10001000036</v>
          </cell>
          <cell r="D4767" t="str">
            <v>HUNGRIA</v>
          </cell>
          <cell r="E4767">
            <v>20006</v>
          </cell>
          <cell r="F4767" t="str">
            <v>CERA  / LIMPEZA /  POLIMENTO VEICULAR</v>
          </cell>
          <cell r="G4767" t="str">
            <v>AUTOMOTIVO</v>
          </cell>
        </row>
        <row r="4768">
          <cell r="A4768">
            <v>21206</v>
          </cell>
          <cell r="B4768" t="str">
            <v>LIMPADOR DE COURO 6412 355ML MOTHERS</v>
          </cell>
          <cell r="C4768">
            <v>303545026</v>
          </cell>
          <cell r="D4768" t="str">
            <v>AUTO AMERICA</v>
          </cell>
          <cell r="E4768">
            <v>20006</v>
          </cell>
          <cell r="F4768" t="str">
            <v>CERA  / LIMPEZA /  POLIMENTO VEICULAR</v>
          </cell>
          <cell r="G4768" t="str">
            <v>AUTOMOTIVO</v>
          </cell>
        </row>
        <row r="4769">
          <cell r="A4769">
            <v>23000</v>
          </cell>
          <cell r="B4769" t="str">
            <v>LIQUID ICE CERA P/ LIMPEZA SPRAY NORTON</v>
          </cell>
          <cell r="C4769">
            <v>66261070205</v>
          </cell>
          <cell r="D4769" t="str">
            <v>NORTON</v>
          </cell>
          <cell r="E4769">
            <v>20006</v>
          </cell>
          <cell r="F4769" t="str">
            <v>CERA  / LIMPEZA /  POLIMENTO VEICULAR</v>
          </cell>
          <cell r="G4769" t="str">
            <v>AUTOMOTIVO</v>
          </cell>
        </row>
        <row r="4770">
          <cell r="A4770">
            <v>23749</v>
          </cell>
          <cell r="B4770" t="str">
            <v>LIQUID ICE ULTRA STEP 1 500 ML NORTON</v>
          </cell>
          <cell r="C4770">
            <v>78072708894</v>
          </cell>
          <cell r="D4770" t="str">
            <v>NORTON</v>
          </cell>
          <cell r="E4770">
            <v>20006</v>
          </cell>
          <cell r="F4770" t="str">
            <v>CERA  / LIMPEZA /  POLIMENTO VEICULAR</v>
          </cell>
          <cell r="G4770" t="str">
            <v>AUTOMOTIVO</v>
          </cell>
        </row>
        <row r="4771">
          <cell r="A4771">
            <v>10070</v>
          </cell>
          <cell r="B4771" t="str">
            <v>LIQUID ICE ULTRA STEP 2 REFINO E LUSTRO NORTON</v>
          </cell>
          <cell r="C4771">
            <v>4152</v>
          </cell>
          <cell r="D4771" t="str">
            <v>NORTON</v>
          </cell>
          <cell r="E4771">
            <v>20006</v>
          </cell>
          <cell r="F4771" t="str">
            <v>CERA  / LIMPEZA /  POLIMENTO VEICULAR</v>
          </cell>
          <cell r="G4771" t="str">
            <v>AUTOMOTIVO</v>
          </cell>
        </row>
        <row r="4772">
          <cell r="A4772">
            <v>21666</v>
          </cell>
          <cell r="B4772" t="str">
            <v>LUSTRADOR PREMIUM AUTOAMERICA 473ML</v>
          </cell>
          <cell r="C4772">
            <v>304535035</v>
          </cell>
          <cell r="D4772" t="str">
            <v>AUTO AMERICA</v>
          </cell>
          <cell r="E4772">
            <v>20006</v>
          </cell>
          <cell r="F4772" t="str">
            <v>CERA  / LIMPEZA /  POLIMENTO VEICULAR</v>
          </cell>
          <cell r="G4772" t="str">
            <v>AUTOMOTIVO</v>
          </cell>
        </row>
        <row r="4773">
          <cell r="A4773">
            <v>83916</v>
          </cell>
          <cell r="B4773" t="str">
            <v>LUSTRO FINAL FINISH 3000 300ML MENZERNA</v>
          </cell>
          <cell r="C4773">
            <v>304035058</v>
          </cell>
          <cell r="D4773" t="str">
            <v>AUTO AMERICA</v>
          </cell>
          <cell r="E4773">
            <v>20006</v>
          </cell>
          <cell r="F4773" t="str">
            <v>CERA  / LIMPEZA /  POLIMENTO VEICULAR</v>
          </cell>
          <cell r="G4773" t="str">
            <v>AUTOMOTIVO</v>
          </cell>
        </row>
        <row r="4774">
          <cell r="A4774">
            <v>84446</v>
          </cell>
          <cell r="B4774" t="str">
            <v>LUSTRO FINAL FINISH 3000 500ML AUTOAMERICA</v>
          </cell>
          <cell r="C4774">
            <v>304035083</v>
          </cell>
          <cell r="D4774" t="str">
            <v>AUTO AMERICA</v>
          </cell>
          <cell r="E4774">
            <v>20006</v>
          </cell>
          <cell r="F4774" t="str">
            <v>CERA  / LIMPEZA /  POLIMENTO VEICULAR</v>
          </cell>
          <cell r="G4774" t="str">
            <v>AUTOMOTIVO</v>
          </cell>
        </row>
        <row r="4775">
          <cell r="A4775">
            <v>23950</v>
          </cell>
          <cell r="B4775" t="str">
            <v>M68802 DEEP CRYSTAL MEGUIARS</v>
          </cell>
          <cell r="C4775" t="str">
            <v>A0647</v>
          </cell>
          <cell r="D4775" t="str">
            <v>MEGUIARS</v>
          </cell>
          <cell r="E4775">
            <v>20006</v>
          </cell>
          <cell r="F4775" t="str">
            <v>CERA  / LIMPEZA /  POLIMENTO VEICULAR</v>
          </cell>
          <cell r="G4775" t="str">
            <v>AUTOMOTIVO</v>
          </cell>
        </row>
        <row r="4776">
          <cell r="A4776">
            <v>23591</v>
          </cell>
          <cell r="B4776" t="str">
            <v>MULTIUSO 500ML JET STREET</v>
          </cell>
          <cell r="C4776">
            <v>7898633140094</v>
          </cell>
          <cell r="D4776" t="str">
            <v>JET STREET</v>
          </cell>
          <cell r="E4776">
            <v>20006</v>
          </cell>
          <cell r="F4776" t="str">
            <v>CERA  / LIMPEZA /  POLIMENTO VEICULAR</v>
          </cell>
          <cell r="G4776" t="str">
            <v>AUTOMOTIVO</v>
          </cell>
        </row>
        <row r="4777">
          <cell r="A4777">
            <v>21388</v>
          </cell>
          <cell r="B4777" t="str">
            <v>NORCLEAN POWER CERA PROTETORA  500ML NORTON</v>
          </cell>
          <cell r="C4777">
            <v>66254482107</v>
          </cell>
          <cell r="D4777" t="str">
            <v>NORTON</v>
          </cell>
          <cell r="E4777">
            <v>20006</v>
          </cell>
          <cell r="F4777" t="str">
            <v>CERA  / LIMPEZA /  POLIMENTO VEICULAR</v>
          </cell>
          <cell r="G4777" t="str">
            <v>AUTOMOTIVO</v>
          </cell>
        </row>
        <row r="4778">
          <cell r="A4778">
            <v>23742</v>
          </cell>
          <cell r="B4778" t="str">
            <v>ODORIZANTE GEL CARRO NOVO 60G PEROLA</v>
          </cell>
          <cell r="C4778">
            <v>212403</v>
          </cell>
          <cell r="D4778" t="str">
            <v>PEROLA</v>
          </cell>
          <cell r="E4778">
            <v>20006</v>
          </cell>
          <cell r="F4778" t="str">
            <v>CERA  / LIMPEZA /  POLIMENTO VEICULAR</v>
          </cell>
          <cell r="G4778" t="str">
            <v>AUTOMOTIVO</v>
          </cell>
        </row>
        <row r="4779">
          <cell r="A4779">
            <v>23743</v>
          </cell>
          <cell r="B4779" t="str">
            <v>ODORIZANTE GEL LAVANDA 60G PEROLA</v>
          </cell>
          <cell r="C4779">
            <v>212205</v>
          </cell>
          <cell r="D4779" t="str">
            <v>PEROLA</v>
          </cell>
          <cell r="E4779">
            <v>20006</v>
          </cell>
          <cell r="F4779" t="str">
            <v>CERA  / LIMPEZA /  POLIMENTO VEICULAR</v>
          </cell>
          <cell r="G4779" t="str">
            <v>AUTOMOTIVO</v>
          </cell>
        </row>
        <row r="4780">
          <cell r="A4780">
            <v>85580</v>
          </cell>
          <cell r="B4780" t="str">
            <v>OH FRUIT LAVA AUTO CONCENTRADO NEUTRO 500ML</v>
          </cell>
          <cell r="C4780" t="str">
            <v>DC0018</v>
          </cell>
          <cell r="D4780" t="str">
            <v>MAXI RUBBER</v>
          </cell>
          <cell r="E4780">
            <v>20006</v>
          </cell>
          <cell r="F4780" t="str">
            <v>CERA  / LIMPEZA /  POLIMENTO VEICULAR</v>
          </cell>
          <cell r="G4780" t="str">
            <v>AUTOMOTIVO</v>
          </cell>
        </row>
        <row r="4781">
          <cell r="A4781">
            <v>21991</v>
          </cell>
          <cell r="B4781" t="str">
            <v>ONE STEP POLISH 3 IN1 1LT MENZERNA</v>
          </cell>
          <cell r="C4781">
            <v>304035038</v>
          </cell>
          <cell r="D4781" t="str">
            <v>AUTO AMERICA</v>
          </cell>
          <cell r="E4781">
            <v>20006</v>
          </cell>
          <cell r="F4781" t="str">
            <v>CERA  / LIMPEZA /  POLIMENTO VEICULAR</v>
          </cell>
          <cell r="G4781" t="str">
            <v>AUTOMOTIVO</v>
          </cell>
        </row>
        <row r="4782">
          <cell r="A4782">
            <v>20513</v>
          </cell>
          <cell r="B4782" t="str">
            <v>PASTA ABRASIVA 200G 3M</v>
          </cell>
          <cell r="C4782" t="str">
            <v>H0002313692</v>
          </cell>
          <cell r="D4782" t="str">
            <v>3M</v>
          </cell>
          <cell r="E4782">
            <v>20006</v>
          </cell>
          <cell r="F4782" t="str">
            <v>CERA  / LIMPEZA /  POLIMENTO VEICULAR</v>
          </cell>
          <cell r="G4782" t="str">
            <v>AUTOMOTIVO</v>
          </cell>
        </row>
        <row r="4783">
          <cell r="A4783">
            <v>24303</v>
          </cell>
          <cell r="B4783" t="str">
            <v>PASTA REVITALIZADORA 250GR HUNGRIA</v>
          </cell>
          <cell r="C4783">
            <v>10001000035</v>
          </cell>
          <cell r="D4783" t="str">
            <v>HUNGRIA</v>
          </cell>
          <cell r="E4783">
            <v>20006</v>
          </cell>
          <cell r="F4783" t="str">
            <v>CERA  / LIMPEZA /  POLIMENTO VEICULAR</v>
          </cell>
          <cell r="G4783" t="str">
            <v>AUTOMOTIVO</v>
          </cell>
        </row>
        <row r="4784">
          <cell r="A4784">
            <v>23457</v>
          </cell>
          <cell r="B4784" t="str">
            <v>PASTE WAX EXTREME 200G , OLIMPO</v>
          </cell>
          <cell r="C4784" t="str">
            <v>HB004588479</v>
          </cell>
          <cell r="D4784" t="str">
            <v>3M</v>
          </cell>
          <cell r="E4784">
            <v>20006</v>
          </cell>
          <cell r="F4784" t="str">
            <v>CERA  / LIMPEZA /  POLIMENTO VEICULAR</v>
          </cell>
          <cell r="G4784" t="str">
            <v>AUTOMOTIVO</v>
          </cell>
        </row>
        <row r="4785">
          <cell r="A4785">
            <v>23639</v>
          </cell>
          <cell r="B4785" t="str">
            <v>PNEU GEL 500ML NORTON</v>
          </cell>
          <cell r="C4785">
            <v>66261087588</v>
          </cell>
          <cell r="D4785" t="str">
            <v>NORTON</v>
          </cell>
          <cell r="E4785">
            <v>20006</v>
          </cell>
          <cell r="F4785" t="str">
            <v>CERA  / LIMPEZA /  POLIMENTO VEICULAR</v>
          </cell>
          <cell r="G4785" t="str">
            <v>AUTOMOTIVO</v>
          </cell>
        </row>
        <row r="4786">
          <cell r="A4786">
            <v>23638</v>
          </cell>
          <cell r="B4786" t="str">
            <v>PNEU PRETINHO 500ML NORTON</v>
          </cell>
          <cell r="C4786">
            <v>66261087585</v>
          </cell>
          <cell r="D4786" t="str">
            <v>NORTON</v>
          </cell>
          <cell r="E4786">
            <v>20006</v>
          </cell>
          <cell r="F4786" t="str">
            <v>CERA  / LIMPEZA /  POLIMENTO VEICULAR</v>
          </cell>
          <cell r="G4786" t="str">
            <v>AUTOMOTIVO</v>
          </cell>
        </row>
        <row r="4787">
          <cell r="A4787">
            <v>20847</v>
          </cell>
          <cell r="B4787" t="str">
            <v>PROTETOR DE VINYL E BORRACHA 473ML MOTHERS</v>
          </cell>
          <cell r="C4787">
            <v>303545017</v>
          </cell>
          <cell r="D4787" t="str">
            <v>AUTO AMERICA</v>
          </cell>
          <cell r="E4787">
            <v>20006</v>
          </cell>
          <cell r="F4787" t="str">
            <v>CERA  / LIMPEZA /  POLIMENTO VEICULAR</v>
          </cell>
          <cell r="G4787" t="str">
            <v>AUTOMOTIVO</v>
          </cell>
        </row>
        <row r="4788">
          <cell r="A4788">
            <v>24318</v>
          </cell>
          <cell r="B4788" t="str">
            <v>REFINO LUSTRO 500ML MAXXI RUBBER</v>
          </cell>
          <cell r="C4788" t="str">
            <v>6MH042</v>
          </cell>
          <cell r="D4788" t="str">
            <v>MAXI RUBBER</v>
          </cell>
          <cell r="E4788">
            <v>20006</v>
          </cell>
          <cell r="F4788" t="str">
            <v>CERA  / LIMPEZA /  POLIMENTO VEICULAR</v>
          </cell>
          <cell r="G4788" t="str">
            <v>AUTOMOTIVO</v>
          </cell>
        </row>
        <row r="4789">
          <cell r="A4789">
            <v>23587</v>
          </cell>
          <cell r="B4789" t="str">
            <v>REMOVEDOR DE INSETOS 500ML JET STREET</v>
          </cell>
          <cell r="C4789">
            <v>7898633140100</v>
          </cell>
          <cell r="D4789" t="str">
            <v>JET STREET</v>
          </cell>
          <cell r="E4789">
            <v>20006</v>
          </cell>
          <cell r="F4789" t="str">
            <v>CERA  / LIMPEZA /  POLIMENTO VEICULAR</v>
          </cell>
          <cell r="G4789" t="str">
            <v>AUTOMOTIVO</v>
          </cell>
        </row>
        <row r="4790">
          <cell r="A4790">
            <v>23965</v>
          </cell>
          <cell r="B4790" t="str">
            <v>REMOVETOTAL HARTS BY HUNGRIA 120ML C/SPRAY</v>
          </cell>
          <cell r="C4790">
            <v>10001000029</v>
          </cell>
          <cell r="D4790" t="str">
            <v>HUNGRIA</v>
          </cell>
          <cell r="E4790">
            <v>20006</v>
          </cell>
          <cell r="F4790" t="str">
            <v>CERA  / LIMPEZA /  POLIMENTO VEICULAR</v>
          </cell>
          <cell r="G4790" t="str">
            <v>AUTOMOTIVO</v>
          </cell>
        </row>
        <row r="4791">
          <cell r="A4791">
            <v>24373</v>
          </cell>
          <cell r="B4791" t="str">
            <v>REPELENTE A AGUA SCOTHGARD SPRAY 353ML 3M</v>
          </cell>
          <cell r="C4791" t="str">
            <v>HB004666853</v>
          </cell>
          <cell r="D4791" t="str">
            <v>3M</v>
          </cell>
          <cell r="E4791">
            <v>20006</v>
          </cell>
          <cell r="F4791" t="str">
            <v>CERA  / LIMPEZA /  POLIMENTO VEICULAR</v>
          </cell>
          <cell r="G4791" t="str">
            <v>AUTOMOTIVO</v>
          </cell>
        </row>
        <row r="4792">
          <cell r="A4792">
            <v>23732</v>
          </cell>
          <cell r="B4792" t="str">
            <v>REVELADOR DE HOLOGRAMA WAX FINISH 500ML PEROLA</v>
          </cell>
          <cell r="C4792">
            <v>50504</v>
          </cell>
          <cell r="D4792" t="str">
            <v>PEROLA</v>
          </cell>
          <cell r="E4792">
            <v>20006</v>
          </cell>
          <cell r="F4792" t="str">
            <v>CERA  / LIMPEZA /  POLIMENTO VEICULAR</v>
          </cell>
          <cell r="G4792" t="str">
            <v>AUTOMOTIVO</v>
          </cell>
        </row>
        <row r="4793">
          <cell r="A4793">
            <v>83898</v>
          </cell>
          <cell r="B4793" t="str">
            <v>REVESTIMENTO CERAMIC 9H UV 30ML DIMENSION</v>
          </cell>
          <cell r="C4793" t="str">
            <v>DC0002</v>
          </cell>
          <cell r="D4793" t="str">
            <v>MAXI RUBBER</v>
          </cell>
          <cell r="E4793">
            <v>20006</v>
          </cell>
          <cell r="F4793" t="str">
            <v>CERA  / LIMPEZA /  POLIMENTO VEICULAR</v>
          </cell>
          <cell r="G4793" t="str">
            <v>AUTOMOTIVO</v>
          </cell>
        </row>
        <row r="4794">
          <cell r="A4794">
            <v>83897</v>
          </cell>
          <cell r="B4794" t="str">
            <v>REVESTIMENTO CERAMICA - WHEELS RODAS UV DIMENSION</v>
          </cell>
          <cell r="C4794" t="str">
            <v>DC0007</v>
          </cell>
          <cell r="D4794" t="str">
            <v>MAXI RUBBER</v>
          </cell>
          <cell r="E4794">
            <v>20006</v>
          </cell>
          <cell r="F4794" t="str">
            <v>CERA  / LIMPEZA /  POLIMENTO VEICULAR</v>
          </cell>
          <cell r="G4794" t="str">
            <v>AUTOMOTIVO</v>
          </cell>
        </row>
        <row r="4795">
          <cell r="A4795">
            <v>84541</v>
          </cell>
          <cell r="B4795" t="str">
            <v>REVESTIMENTO CERAMICO 7H DIMENSION</v>
          </cell>
          <cell r="C4795" t="str">
            <v>DC0001</v>
          </cell>
          <cell r="D4795" t="str">
            <v>MAXI RUBBER</v>
          </cell>
          <cell r="E4795">
            <v>20006</v>
          </cell>
          <cell r="F4795" t="str">
            <v>CERA  / LIMPEZA /  POLIMENTO VEICULAR</v>
          </cell>
          <cell r="G4795" t="str">
            <v>AUTOMOTIVO</v>
          </cell>
        </row>
        <row r="4796">
          <cell r="A4796">
            <v>83899</v>
          </cell>
          <cell r="B4796" t="str">
            <v>SELANTE CERAMICO SOFT TOUCH UV 150ML/100G DIMENSION</v>
          </cell>
          <cell r="C4796" t="str">
            <v>DC0006</v>
          </cell>
          <cell r="D4796" t="str">
            <v>MAXI RUBBER</v>
          </cell>
          <cell r="E4796">
            <v>20006</v>
          </cell>
          <cell r="F4796" t="str">
            <v>CERA  / LIMPEZA /  POLIMENTO VEICULAR</v>
          </cell>
          <cell r="G4796" t="str">
            <v>AUTOMOTIVO</v>
          </cell>
        </row>
        <row r="4797">
          <cell r="A4797">
            <v>23961</v>
          </cell>
          <cell r="B4797" t="str">
            <v>SHAMPOO AUTO HARTS BY HUNGRIA C/CERA 500ML - COM CERA</v>
          </cell>
          <cell r="C4797">
            <v>10001000032</v>
          </cell>
          <cell r="D4797" t="str">
            <v>HUNGRIA</v>
          </cell>
          <cell r="E4797">
            <v>20006</v>
          </cell>
          <cell r="F4797" t="str">
            <v>CERA  / LIMPEZA /  POLIMENTO VEICULAR</v>
          </cell>
          <cell r="G4797" t="str">
            <v>AUTOMOTIVO</v>
          </cell>
        </row>
        <row r="4798">
          <cell r="A4798">
            <v>23962</v>
          </cell>
          <cell r="B4798" t="str">
            <v>SHAMPOO AUTO HARTS BY HUNGRIA NEUTRO 500ML - TRADICIONAL</v>
          </cell>
          <cell r="C4798">
            <v>10001000034</v>
          </cell>
          <cell r="D4798" t="str">
            <v>HUNGRIA</v>
          </cell>
          <cell r="E4798">
            <v>20006</v>
          </cell>
          <cell r="F4798" t="str">
            <v>CERA  / LIMPEZA /  POLIMENTO VEICULAR</v>
          </cell>
          <cell r="G4798" t="str">
            <v>AUTOMOTIVO</v>
          </cell>
        </row>
        <row r="4799">
          <cell r="A4799">
            <v>23589</v>
          </cell>
          <cell r="B4799" t="str">
            <v>SHAMPOO AUTOMOTIVO 500ML JET STREET</v>
          </cell>
          <cell r="C4799">
            <v>7898633140070</v>
          </cell>
          <cell r="D4799" t="str">
            <v>JET STREET</v>
          </cell>
          <cell r="E4799">
            <v>20006</v>
          </cell>
          <cell r="F4799" t="str">
            <v>CERA  / LIMPEZA /  POLIMENTO VEICULAR</v>
          </cell>
          <cell r="G4799" t="str">
            <v>AUTOMOTIVO</v>
          </cell>
        </row>
        <row r="4800">
          <cell r="A4800">
            <v>84000</v>
          </cell>
          <cell r="B4800" t="str">
            <v>SHAMPOO EXTREME 1,5LTS AUTOAMERICA</v>
          </cell>
          <cell r="C4800">
            <v>304545025</v>
          </cell>
          <cell r="D4800" t="str">
            <v>AUTO AMERICA</v>
          </cell>
          <cell r="E4800">
            <v>20006</v>
          </cell>
          <cell r="F4800" t="str">
            <v>CERA  / LIMPEZA /  POLIMENTO VEICULAR</v>
          </cell>
          <cell r="G4800" t="str">
            <v>AUTOMOTIVO</v>
          </cell>
        </row>
        <row r="4801">
          <cell r="A4801">
            <v>21379</v>
          </cell>
          <cell r="B4801" t="str">
            <v>SHAMPOO EXTREME 2LTS AUTOAMERICA</v>
          </cell>
          <cell r="C4801">
            <v>304545008</v>
          </cell>
          <cell r="D4801" t="str">
            <v>AUTO AMERICA</v>
          </cell>
          <cell r="E4801">
            <v>20006</v>
          </cell>
          <cell r="F4801" t="str">
            <v>CERA  / LIMPEZA /  POLIMENTO VEICULAR</v>
          </cell>
          <cell r="G4801" t="str">
            <v>AUTOMOTIVO</v>
          </cell>
        </row>
        <row r="4802">
          <cell r="A4802">
            <v>23487</v>
          </cell>
          <cell r="B4802" t="str">
            <v>SILICONE GEL - 200ML COLOR BRILHO</v>
          </cell>
          <cell r="C4802" t="str">
            <v>FE150</v>
          </cell>
          <cell r="D4802" t="str">
            <v>COLOR BRILHO</v>
          </cell>
          <cell r="E4802">
            <v>20006</v>
          </cell>
          <cell r="F4802" t="str">
            <v>CERA  / LIMPEZA /  POLIMENTO VEICULAR</v>
          </cell>
          <cell r="G4802" t="str">
            <v>AUTOMOTIVO</v>
          </cell>
        </row>
        <row r="4803">
          <cell r="A4803">
            <v>84410</v>
          </cell>
          <cell r="B4803" t="str">
            <v>SILICONE GEL 1KG CLEANER</v>
          </cell>
          <cell r="C4803">
            <v>1238</v>
          </cell>
          <cell r="D4803" t="str">
            <v>COLOR BRILHO</v>
          </cell>
          <cell r="E4803">
            <v>20006</v>
          </cell>
          <cell r="F4803" t="str">
            <v>CERA  / LIMPEZA /  POLIMENTO VEICULAR</v>
          </cell>
          <cell r="G4803" t="str">
            <v>AUTOMOTIVO</v>
          </cell>
        </row>
        <row r="4804">
          <cell r="A4804">
            <v>23739</v>
          </cell>
          <cell r="B4804" t="str">
            <v>SPRAY AIR FRESH ACQUA MARINE 75ML PEROLA</v>
          </cell>
          <cell r="C4804">
            <v>212909</v>
          </cell>
          <cell r="D4804" t="str">
            <v>PEROLA</v>
          </cell>
          <cell r="E4804">
            <v>20006</v>
          </cell>
          <cell r="F4804" t="str">
            <v>CERA  / LIMPEZA /  POLIMENTO VEICULAR</v>
          </cell>
          <cell r="G4804" t="str">
            <v>AUTOMOTIVO</v>
          </cell>
        </row>
        <row r="4805">
          <cell r="A4805">
            <v>23741</v>
          </cell>
          <cell r="B4805" t="str">
            <v>SPRAY AIR FRESH CARRO NOVO 75ML PEROLA</v>
          </cell>
          <cell r="C4805">
            <v>212913</v>
          </cell>
          <cell r="D4805" t="str">
            <v>PEROLA</v>
          </cell>
          <cell r="E4805">
            <v>20006</v>
          </cell>
          <cell r="F4805" t="str">
            <v>CERA  / LIMPEZA /  POLIMENTO VEICULAR</v>
          </cell>
          <cell r="G4805" t="str">
            <v>AUTOMOTIVO</v>
          </cell>
        </row>
        <row r="4806">
          <cell r="A4806">
            <v>23740</v>
          </cell>
          <cell r="B4806" t="str">
            <v>SPRAY AIR FRESH CITRUS 75ML PEROLA</v>
          </cell>
          <cell r="C4806">
            <v>212908</v>
          </cell>
          <cell r="D4806" t="str">
            <v>PEROLA</v>
          </cell>
          <cell r="E4806">
            <v>20006</v>
          </cell>
          <cell r="F4806" t="str">
            <v>CERA  / LIMPEZA /  POLIMENTO VEICULAR</v>
          </cell>
          <cell r="G4806" t="str">
            <v>AUTOMOTIVO</v>
          </cell>
        </row>
        <row r="4807">
          <cell r="A4807">
            <v>83890</v>
          </cell>
          <cell r="B4807" t="str">
            <v>STEP1 PREPARA SUPERFICIE DIMENSION-20,45-ST</v>
          </cell>
          <cell r="C4807" t="str">
            <v>DC0004</v>
          </cell>
          <cell r="D4807" t="str">
            <v>MAXI RUBBER</v>
          </cell>
          <cell r="E4807">
            <v>20006</v>
          </cell>
          <cell r="F4807" t="str">
            <v>CERA  / LIMPEZA /  POLIMENTO VEICULAR</v>
          </cell>
          <cell r="G4807" t="str">
            <v>AUTOMOTIVO</v>
          </cell>
        </row>
        <row r="4808">
          <cell r="A4808">
            <v>23887</v>
          </cell>
          <cell r="B4808" t="str">
            <v>SUPER CERA 2.0 300ML AUTOAMERICA</v>
          </cell>
          <cell r="C4808">
            <v>304540007</v>
          </cell>
          <cell r="D4808" t="str">
            <v>AUTO AMERICA</v>
          </cell>
          <cell r="E4808">
            <v>20006</v>
          </cell>
          <cell r="F4808" t="str">
            <v>CERA  / LIMPEZA /  POLIMENTO VEICULAR</v>
          </cell>
          <cell r="G4808" t="str">
            <v>AUTOMOTIVO</v>
          </cell>
        </row>
        <row r="4809">
          <cell r="A4809">
            <v>23784</v>
          </cell>
          <cell r="B4809" t="str">
            <v>SUPER CERA 2.0 GALÃO AUTO AMERICA</v>
          </cell>
          <cell r="C4809">
            <v>304540009</v>
          </cell>
          <cell r="D4809" t="str">
            <v>AUTO AMERICA</v>
          </cell>
          <cell r="E4809">
            <v>20006</v>
          </cell>
          <cell r="F4809" t="str">
            <v>CERA  / LIMPEZA /  POLIMENTO VEICULAR</v>
          </cell>
          <cell r="G4809" t="str">
            <v>AUTOMOTIVO</v>
          </cell>
        </row>
        <row r="4810">
          <cell r="A4810">
            <v>21082</v>
          </cell>
          <cell r="B4810" t="str">
            <v>SUPER TOQUE FINAL 650ML MEGUIARS G14422</v>
          </cell>
          <cell r="C4810">
            <v>50100010</v>
          </cell>
          <cell r="D4810" t="str">
            <v>MEGUIARS</v>
          </cell>
          <cell r="E4810">
            <v>20006</v>
          </cell>
          <cell r="F4810" t="str">
            <v>CERA  / LIMPEZA /  POLIMENTO VEICULAR</v>
          </cell>
          <cell r="G4810" t="str">
            <v>AUTOMOTIVO</v>
          </cell>
        </row>
        <row r="4811">
          <cell r="A4811">
            <v>22949</v>
          </cell>
          <cell r="B4811" t="str">
            <v>TELA MICTORIO LILAS LAVANDA-5,94-ST</v>
          </cell>
          <cell r="C4811" t="str">
            <v>SP9102LA</v>
          </cell>
          <cell r="D4811" t="str">
            <v>.</v>
          </cell>
          <cell r="E4811">
            <v>20006</v>
          </cell>
          <cell r="F4811" t="str">
            <v>CERA  / LIMPEZA /  POLIMENTO VEICULAR</v>
          </cell>
          <cell r="G4811" t="str">
            <v>AUTOMOTIVO</v>
          </cell>
        </row>
        <row r="4812">
          <cell r="A4812">
            <v>24190</v>
          </cell>
          <cell r="B4812" t="str">
            <v>TOP TIRES LIMPA PNEU</v>
          </cell>
          <cell r="C4812" t="str">
            <v>PA93</v>
          </cell>
          <cell r="D4812" t="str">
            <v>SAFIRA</v>
          </cell>
          <cell r="E4812">
            <v>20006</v>
          </cell>
          <cell r="F4812" t="str">
            <v>CERA  / LIMPEZA /  POLIMENTO VEICULAR</v>
          </cell>
          <cell r="G4812" t="str">
            <v>AUTOMOTIVO</v>
          </cell>
        </row>
        <row r="4813">
          <cell r="A4813">
            <v>21321</v>
          </cell>
          <cell r="B4813" t="str">
            <v>TRIPLE WAX 100G AUTO AMERICA</v>
          </cell>
          <cell r="C4813">
            <v>304540034</v>
          </cell>
          <cell r="D4813" t="str">
            <v>AUTO AMERICA</v>
          </cell>
          <cell r="E4813">
            <v>20006</v>
          </cell>
          <cell r="F4813" t="str">
            <v>CERA  / LIMPEZA /  POLIMENTO VEICULAR</v>
          </cell>
          <cell r="G4813" t="str">
            <v>AUTOMOTIVO</v>
          </cell>
        </row>
        <row r="4814">
          <cell r="A4814">
            <v>23287</v>
          </cell>
          <cell r="B4814" t="str">
            <v>TRIPLE WAX 300 GR AUTO AMERICA</v>
          </cell>
          <cell r="C4814">
            <v>504540003</v>
          </cell>
          <cell r="D4814" t="str">
            <v>AUTO AMERICA</v>
          </cell>
          <cell r="E4814">
            <v>20006</v>
          </cell>
          <cell r="F4814" t="str">
            <v>CERA  / LIMPEZA /  POLIMENTO VEICULAR</v>
          </cell>
          <cell r="G4814" t="str">
            <v>AUTOMOTIVO</v>
          </cell>
        </row>
        <row r="4815">
          <cell r="A4815">
            <v>23724</v>
          </cell>
          <cell r="B4815" t="str">
            <v>VASSOURA PARA LAVA CARRO</v>
          </cell>
          <cell r="C4815">
            <v>10855</v>
          </cell>
          <cell r="D4815" t="str">
            <v>.</v>
          </cell>
          <cell r="E4815">
            <v>20006</v>
          </cell>
          <cell r="F4815" t="str">
            <v>CERA  / LIMPEZA /  POLIMENTO VEICULAR</v>
          </cell>
          <cell r="G4815" t="str">
            <v>AUTOMOTIVO</v>
          </cell>
        </row>
        <row r="4816">
          <cell r="A4816">
            <v>21966</v>
          </cell>
          <cell r="B4816" t="str">
            <v>VLR - VINYL + LEATHER + RUBER CARE / VINIL + COURO + BORRACH</v>
          </cell>
          <cell r="C4816">
            <v>303540056</v>
          </cell>
          <cell r="D4816" t="str">
            <v>MOTHERS</v>
          </cell>
          <cell r="E4816">
            <v>20006</v>
          </cell>
          <cell r="F4816" t="str">
            <v>CERA  / LIMPEZA /  POLIMENTO VEICULAR</v>
          </cell>
          <cell r="G4816" t="str">
            <v>AUTOMOTIVO</v>
          </cell>
        </row>
        <row r="4817">
          <cell r="A4817">
            <v>24419</v>
          </cell>
          <cell r="B4817" t="str">
            <v>VX 45 VITRIFICADOR DE PINTURA AEROSOL 65ML ALCANCE</v>
          </cell>
          <cell r="C4817">
            <v>66</v>
          </cell>
          <cell r="D4817" t="str">
            <v>ALCANCE</v>
          </cell>
          <cell r="E4817">
            <v>20006</v>
          </cell>
          <cell r="F4817" t="str">
            <v>CERA  / LIMPEZA /  POLIMENTO VEICULAR</v>
          </cell>
          <cell r="G4817" t="str">
            <v>AUTOMOTIVO</v>
          </cell>
        </row>
        <row r="4818">
          <cell r="A4818">
            <v>24199</v>
          </cell>
          <cell r="B4818" t="str">
            <v>VX45 100ML VITRIFICADOR DE PINTURA ALCANCE</v>
          </cell>
          <cell r="C4818">
            <v>6113</v>
          </cell>
          <cell r="D4818" t="str">
            <v>.</v>
          </cell>
          <cell r="E4818">
            <v>20006</v>
          </cell>
          <cell r="F4818" t="str">
            <v>CERA  / LIMPEZA /  POLIMENTO VEICULAR</v>
          </cell>
          <cell r="G4818" t="str">
            <v>AUTOMOTIVO</v>
          </cell>
        </row>
        <row r="4819">
          <cell r="A4819">
            <v>23074</v>
          </cell>
          <cell r="B4819" t="str">
            <v>VX45 VITRIFICADOR DE PINTURA 20ML ALCANCE</v>
          </cell>
          <cell r="C4819" t="str">
            <v>VX4520</v>
          </cell>
          <cell r="D4819" t="str">
            <v>.</v>
          </cell>
          <cell r="E4819">
            <v>20006</v>
          </cell>
          <cell r="F4819" t="str">
            <v>CERA  / LIMPEZA /  POLIMENTO VEICULAR</v>
          </cell>
          <cell r="G4819" t="str">
            <v>AUTOMOTIVO</v>
          </cell>
        </row>
        <row r="4820">
          <cell r="A4820">
            <v>23730</v>
          </cell>
          <cell r="B4820" t="str">
            <v>WAX FINISH BRILHO RAPIDO 500ML PEROLA</v>
          </cell>
          <cell r="C4820">
            <v>50503</v>
          </cell>
          <cell r="D4820" t="str">
            <v>PEROLA</v>
          </cell>
          <cell r="E4820">
            <v>20006</v>
          </cell>
          <cell r="F4820" t="str">
            <v>CERA  / LIMPEZA /  POLIMENTO VEICULAR</v>
          </cell>
          <cell r="G4820" t="str">
            <v>AUTOMOTIVO</v>
          </cell>
        </row>
        <row r="4821">
          <cell r="A4821">
            <v>21363</v>
          </cell>
          <cell r="B4821" t="str">
            <v>G1 3005 NXT POLIDOR DE CROMADO E METAL MEGUIARS</v>
          </cell>
          <cell r="C4821" t="str">
            <v>50100014E</v>
          </cell>
          <cell r="D4821" t="str">
            <v>MAXI RUBBER</v>
          </cell>
          <cell r="E4821">
            <v>20005</v>
          </cell>
          <cell r="F4821" t="str">
            <v>MASSA DE POLIR</v>
          </cell>
          <cell r="G4821" t="str">
            <v>AUTOMOTIVO</v>
          </cell>
        </row>
        <row r="4822">
          <cell r="A4822">
            <v>23869</v>
          </cell>
          <cell r="B4822" t="str">
            <v>MASSA BASE D´AGUA 2 1KG PEROLA</v>
          </cell>
          <cell r="C4822">
            <v>40701</v>
          </cell>
          <cell r="D4822" t="str">
            <v>PEROLA</v>
          </cell>
          <cell r="E4822">
            <v>20005</v>
          </cell>
          <cell r="F4822" t="str">
            <v>MASSA DE POLIR</v>
          </cell>
          <cell r="G4822" t="str">
            <v>AUTOMOTIVO</v>
          </cell>
        </row>
        <row r="4823">
          <cell r="A4823">
            <v>21203</v>
          </cell>
          <cell r="B4823" t="str">
            <v>MASSA DE POLIR 1KG 3M</v>
          </cell>
          <cell r="C4823" t="str">
            <v>HB004226633</v>
          </cell>
          <cell r="D4823" t="str">
            <v>3M</v>
          </cell>
          <cell r="E4823">
            <v>20005</v>
          </cell>
          <cell r="F4823" t="str">
            <v>MASSA DE POLIR</v>
          </cell>
          <cell r="G4823" t="str">
            <v>AUTOMOTIVO</v>
          </cell>
        </row>
        <row r="4824">
          <cell r="A4824">
            <v>20918</v>
          </cell>
          <cell r="B4824" t="str">
            <v>MASSA DE POLIR BASE AGUA 1KG WANDA</v>
          </cell>
          <cell r="C4824">
            <v>530489</v>
          </cell>
          <cell r="D4824" t="str">
            <v>WANDA</v>
          </cell>
          <cell r="E4824">
            <v>20005</v>
          </cell>
          <cell r="F4824" t="str">
            <v>MASSA DE POLIR</v>
          </cell>
          <cell r="G4824" t="str">
            <v>AUTOMOTIVO</v>
          </cell>
        </row>
        <row r="4825">
          <cell r="A4825">
            <v>23064</v>
          </cell>
          <cell r="B4825" t="str">
            <v>MASSA DE POLIR DIAMANTE 1KG 3M</v>
          </cell>
          <cell r="C4825" t="str">
            <v>HB004482376</v>
          </cell>
          <cell r="D4825" t="str">
            <v>3M</v>
          </cell>
          <cell r="E4825">
            <v>20005</v>
          </cell>
          <cell r="F4825" t="str">
            <v>MASSA DE POLIR</v>
          </cell>
          <cell r="G4825" t="str">
            <v>AUTOMOTIVO</v>
          </cell>
        </row>
        <row r="4826">
          <cell r="A4826">
            <v>9797</v>
          </cell>
          <cell r="B4826" t="str">
            <v>MASSA DE POLIR N.02 MARVELIZ WANDA</v>
          </cell>
          <cell r="C4826">
            <v>529461</v>
          </cell>
          <cell r="D4826" t="str">
            <v>WANDA</v>
          </cell>
          <cell r="E4826">
            <v>20005</v>
          </cell>
          <cell r="F4826" t="str">
            <v>MASSA DE POLIR</v>
          </cell>
          <cell r="G4826" t="str">
            <v>AUTOMOTIVO</v>
          </cell>
        </row>
        <row r="4827">
          <cell r="A4827">
            <v>84047</v>
          </cell>
          <cell r="B4827" t="str">
            <v>MASSA DE POLIR N2 1KG BRASILUX</v>
          </cell>
          <cell r="C4827" t="str">
            <v>MS 080500238</v>
          </cell>
          <cell r="D4827" t="str">
            <v>BRASILUX</v>
          </cell>
          <cell r="E4827">
            <v>20005</v>
          </cell>
          <cell r="F4827" t="str">
            <v>MASSA DE POLIR</v>
          </cell>
          <cell r="G4827" t="str">
            <v>AUTOMOTIVO</v>
          </cell>
        </row>
        <row r="4828">
          <cell r="A4828">
            <v>22998</v>
          </cell>
          <cell r="B4828" t="str">
            <v>MASSA DE POLIR N2 1KG NORTON</v>
          </cell>
          <cell r="C4828">
            <v>66261138156</v>
          </cell>
          <cell r="D4828" t="str">
            <v>NORTON</v>
          </cell>
          <cell r="E4828">
            <v>20005</v>
          </cell>
          <cell r="F4828" t="str">
            <v>MASSA DE POLIR</v>
          </cell>
          <cell r="G4828" t="str">
            <v>AUTOMOTIVO</v>
          </cell>
        </row>
        <row r="4829">
          <cell r="A4829">
            <v>85421</v>
          </cell>
          <cell r="B4829" t="str">
            <v>MASSA DE POLIR N2 490G MAXI RUBBER</v>
          </cell>
          <cell r="C4829" t="str">
            <v>6MH014</v>
          </cell>
          <cell r="D4829" t="str">
            <v>MAXI RUBBER</v>
          </cell>
          <cell r="E4829">
            <v>20005</v>
          </cell>
          <cell r="F4829" t="str">
            <v>MASSA DE POLIR</v>
          </cell>
          <cell r="G4829" t="str">
            <v>AUTOMOTIVO</v>
          </cell>
        </row>
        <row r="4830">
          <cell r="A4830">
            <v>84046</v>
          </cell>
          <cell r="B4830" t="str">
            <v>MASSA DE POLIR N2 500G BRASILUX</v>
          </cell>
          <cell r="C4830" t="str">
            <v>MS 080500237</v>
          </cell>
          <cell r="D4830" t="str">
            <v>BRASILUX</v>
          </cell>
          <cell r="E4830">
            <v>20005</v>
          </cell>
          <cell r="F4830" t="str">
            <v>MASSA DE POLIR</v>
          </cell>
          <cell r="G4830" t="str">
            <v>AUTOMOTIVO</v>
          </cell>
        </row>
        <row r="4831">
          <cell r="A4831">
            <v>20576</v>
          </cell>
          <cell r="B4831" t="str">
            <v>MASSA DE POLIR N2 970G MAXI RUBBER</v>
          </cell>
          <cell r="C4831" t="str">
            <v>6MH010</v>
          </cell>
          <cell r="D4831" t="str">
            <v>MAXI RUBBER</v>
          </cell>
          <cell r="E4831">
            <v>20005</v>
          </cell>
          <cell r="F4831" t="str">
            <v>MASSA DE POLIR</v>
          </cell>
          <cell r="G4831" t="str">
            <v>AUTOMOTIVO</v>
          </cell>
        </row>
        <row r="4832">
          <cell r="A4832">
            <v>10155</v>
          </cell>
          <cell r="B4832" t="str">
            <v>MASSA DE POLIR N2 BRANCA 990GR PPG</v>
          </cell>
          <cell r="C4832" t="str">
            <v>C562-1142.04</v>
          </cell>
          <cell r="D4832" t="str">
            <v>AUTOCOLOR</v>
          </cell>
          <cell r="E4832">
            <v>20005</v>
          </cell>
          <cell r="F4832" t="str">
            <v>MASSA DE POLIR</v>
          </cell>
          <cell r="G4832" t="str">
            <v>AUTOMOTIVO</v>
          </cell>
        </row>
        <row r="4833">
          <cell r="A4833">
            <v>84736</v>
          </cell>
          <cell r="B4833" t="str">
            <v>MASSA DE POLIR N°2 -  LIQUID ICE 1KG (POLISHING PASTE) NORTON</v>
          </cell>
          <cell r="C4833">
            <v>78072705739</v>
          </cell>
          <cell r="D4833" t="str">
            <v>NORTON</v>
          </cell>
          <cell r="E4833">
            <v>20005</v>
          </cell>
          <cell r="F4833" t="str">
            <v>MASSA DE POLIR</v>
          </cell>
          <cell r="G4833" t="str">
            <v>AUTOMOTIVO</v>
          </cell>
        </row>
        <row r="4834">
          <cell r="A4834">
            <v>20817</v>
          </cell>
          <cell r="B4834" t="str">
            <v>MASSA DE POLIR SUPER POLIDOR 1KG AUTOAMERICA</v>
          </cell>
          <cell r="C4834">
            <v>304535001</v>
          </cell>
          <cell r="D4834" t="str">
            <v>AUTO AMERICA</v>
          </cell>
          <cell r="E4834">
            <v>20005</v>
          </cell>
          <cell r="F4834" t="str">
            <v>MASSA DE POLIR</v>
          </cell>
          <cell r="G4834" t="str">
            <v>AUTOMOTIVO</v>
          </cell>
        </row>
        <row r="4835">
          <cell r="A4835">
            <v>10073</v>
          </cell>
          <cell r="B4835" t="str">
            <v>POLIDOR PREMIUM 1KG 3M</v>
          </cell>
          <cell r="C4835" t="str">
            <v>HB004065502</v>
          </cell>
          <cell r="D4835" t="str">
            <v>3M</v>
          </cell>
          <cell r="E4835">
            <v>20005</v>
          </cell>
          <cell r="F4835" t="str">
            <v>MASSA DE POLIR</v>
          </cell>
          <cell r="G4835" t="str">
            <v>AUTOMOTIVO</v>
          </cell>
        </row>
        <row r="4836">
          <cell r="A4836">
            <v>85333</v>
          </cell>
          <cell r="B4836" t="str">
            <v>D BLACK REVITALIZADOR DE PNEUS 500ML MAXI RUBBER</v>
          </cell>
          <cell r="C4836" t="str">
            <v>DC0014</v>
          </cell>
          <cell r="D4836" t="str">
            <v>MAXI RUBBER</v>
          </cell>
          <cell r="E4836">
            <v>20004</v>
          </cell>
          <cell r="F4836" t="str">
            <v>MASSA POLIÉSTER</v>
          </cell>
          <cell r="G4836" t="str">
            <v>AUTOMOTIVO</v>
          </cell>
        </row>
        <row r="4837">
          <cell r="A4837">
            <v>20583</v>
          </cell>
          <cell r="B4837" t="str">
            <v>KIT MASSA ALUMINIO /COMP AB MASSAS E SELANTES 400G</v>
          </cell>
          <cell r="C4837" t="str">
            <v>05.00.0M510-496</v>
          </cell>
          <cell r="D4837" t="str">
            <v>SHERWIN WILLIAMS</v>
          </cell>
          <cell r="E4837">
            <v>20004</v>
          </cell>
          <cell r="F4837" t="str">
            <v>MASSA POLIÉSTER</v>
          </cell>
          <cell r="G4837" t="str">
            <v>AUTOMOTIVO</v>
          </cell>
        </row>
        <row r="4838">
          <cell r="A4838">
            <v>84943</v>
          </cell>
          <cell r="B4838" t="str">
            <v>KIT MASSA POLIESTER K5 750G SKY</v>
          </cell>
          <cell r="C4838" t="str">
            <v>140000K50150</v>
          </cell>
          <cell r="D4838" t="str">
            <v>SKY</v>
          </cell>
          <cell r="E4838">
            <v>20004</v>
          </cell>
          <cell r="F4838" t="str">
            <v>MASSA POLIÉSTER</v>
          </cell>
          <cell r="G4838" t="str">
            <v>AUTOMOTIVO</v>
          </cell>
        </row>
        <row r="4839">
          <cell r="A4839">
            <v>24413</v>
          </cell>
          <cell r="B4839" t="str">
            <v>KIT MASSA POLIESTER K7 1,5KG SKY</v>
          </cell>
          <cell r="C4839" t="str">
            <v>140000K70158</v>
          </cell>
          <cell r="D4839" t="str">
            <v>SKY</v>
          </cell>
          <cell r="E4839">
            <v>20004</v>
          </cell>
          <cell r="F4839" t="str">
            <v>MASSA POLIÉSTER</v>
          </cell>
          <cell r="G4839" t="str">
            <v>AUTOMOTIVO</v>
          </cell>
        </row>
        <row r="4840">
          <cell r="A4840">
            <v>24178</v>
          </cell>
          <cell r="B4840" t="str">
            <v>KIT MASSA POLIESTER K7 750G SKY</v>
          </cell>
          <cell r="C4840" t="str">
            <v>140000K70150</v>
          </cell>
          <cell r="D4840" t="str">
            <v>SKY</v>
          </cell>
          <cell r="E4840">
            <v>20004</v>
          </cell>
          <cell r="F4840" t="str">
            <v>MASSA POLIÉSTER</v>
          </cell>
          <cell r="G4840" t="str">
            <v>AUTOMOTIVO</v>
          </cell>
        </row>
        <row r="4841">
          <cell r="A4841">
            <v>10379</v>
          </cell>
          <cell r="B4841" t="str">
            <v>MASSA ALUMINIO 1KG ROBERLO</v>
          </cell>
          <cell r="C4841">
            <v>62447</v>
          </cell>
          <cell r="D4841" t="str">
            <v>ROBERLO</v>
          </cell>
          <cell r="E4841">
            <v>20004</v>
          </cell>
          <cell r="F4841" t="str">
            <v>MASSA POLIÉSTER</v>
          </cell>
          <cell r="G4841" t="str">
            <v>AUTOMOTIVO</v>
          </cell>
        </row>
        <row r="4842">
          <cell r="A4842">
            <v>20067</v>
          </cell>
          <cell r="B4842" t="str">
            <v>MASSA ANTI-RUIDO 1,3KG MAXI RUBBER</v>
          </cell>
          <cell r="C4842" t="str">
            <v>3MG035</v>
          </cell>
          <cell r="D4842" t="str">
            <v>MAXI RUBBER</v>
          </cell>
          <cell r="E4842">
            <v>20004</v>
          </cell>
          <cell r="F4842" t="str">
            <v>MASSA POLIÉSTER</v>
          </cell>
          <cell r="G4842" t="str">
            <v>AUTOMOTIVO</v>
          </cell>
        </row>
        <row r="4843">
          <cell r="A4843">
            <v>84939</v>
          </cell>
          <cell r="B4843" t="str">
            <v>MASSA ANTI-RUIDO 5,4KG MAXI RUBBER</v>
          </cell>
          <cell r="C4843" t="str">
            <v>3MG036</v>
          </cell>
          <cell r="D4843" t="str">
            <v>MAXI RUBBER</v>
          </cell>
          <cell r="E4843">
            <v>20004</v>
          </cell>
          <cell r="F4843" t="str">
            <v>MASSA POLIÉSTER</v>
          </cell>
          <cell r="G4843" t="str">
            <v>AUTOMOTIVO</v>
          </cell>
        </row>
        <row r="4844">
          <cell r="A4844">
            <v>83777</v>
          </cell>
          <cell r="B4844" t="str">
            <v>MASSA ANTI-RUIDO CARPLAST</v>
          </cell>
          <cell r="C4844">
            <v>11111444444</v>
          </cell>
          <cell r="D4844" t="str">
            <v>MAXI RUBBER</v>
          </cell>
          <cell r="E4844">
            <v>20004</v>
          </cell>
          <cell r="F4844" t="str">
            <v>MASSA POLIÉSTER</v>
          </cell>
          <cell r="G4844" t="str">
            <v>AUTOMOTIVO</v>
          </cell>
        </row>
        <row r="4845">
          <cell r="A4845">
            <v>24396</v>
          </cell>
          <cell r="B4845" t="str">
            <v>MASSA CAPO-FLEX KPO 460GR RHAI</v>
          </cell>
          <cell r="C4845">
            <v>101314001</v>
          </cell>
          <cell r="D4845" t="str">
            <v>RHAI</v>
          </cell>
          <cell r="E4845">
            <v>20004</v>
          </cell>
          <cell r="F4845" t="str">
            <v>MASSA POLIÉSTER</v>
          </cell>
          <cell r="G4845" t="str">
            <v>AUTOMOTIVO</v>
          </cell>
        </row>
        <row r="4846">
          <cell r="A4846">
            <v>23647</v>
          </cell>
          <cell r="B4846" t="str">
            <v>MASSA FIBRA DE VIDRO 800G LAZZURIL</v>
          </cell>
          <cell r="C4846" t="str">
            <v>05.00.FV520-622</v>
          </cell>
          <cell r="D4846" t="str">
            <v>SHERWIN WILLIAMS</v>
          </cell>
          <cell r="E4846">
            <v>20004</v>
          </cell>
          <cell r="F4846" t="str">
            <v>MASSA POLIÉSTER</v>
          </cell>
          <cell r="G4846" t="str">
            <v>AUTOMOTIVO</v>
          </cell>
        </row>
        <row r="4847">
          <cell r="A4847">
            <v>21948</v>
          </cell>
          <cell r="B4847" t="str">
            <v>MASSA PLUS LIGHT 900GR ROBERLO</v>
          </cell>
          <cell r="C4847">
            <v>65137</v>
          </cell>
          <cell r="D4847" t="str">
            <v>ROBERLO</v>
          </cell>
          <cell r="E4847">
            <v>20004</v>
          </cell>
          <cell r="F4847" t="str">
            <v>MASSA POLIÉSTER</v>
          </cell>
          <cell r="G4847" t="str">
            <v>AUTOMOTIVO</v>
          </cell>
        </row>
        <row r="4848">
          <cell r="A4848">
            <v>21077</v>
          </cell>
          <cell r="B4848" t="str">
            <v>MASSA POLIESTER 1,5KG LAZZURIL</v>
          </cell>
          <cell r="C4848" t="str">
            <v>05.00.M3500-328</v>
          </cell>
          <cell r="D4848" t="str">
            <v>SHERWIN WILLIAMS</v>
          </cell>
          <cell r="E4848">
            <v>20004</v>
          </cell>
          <cell r="F4848" t="str">
            <v>MASSA POLIÉSTER</v>
          </cell>
          <cell r="G4848" t="str">
            <v>AUTOMOTIVO</v>
          </cell>
        </row>
        <row r="4849">
          <cell r="A4849">
            <v>21078</v>
          </cell>
          <cell r="B4849" t="str">
            <v>MASSA POLIESTER 750G LAZZURIL</v>
          </cell>
          <cell r="C4849" t="str">
            <v>05.00.M3500-327</v>
          </cell>
          <cell r="D4849" t="str">
            <v>SHERWIN WILLIAMS</v>
          </cell>
          <cell r="E4849">
            <v>20004</v>
          </cell>
          <cell r="F4849" t="str">
            <v>MASSA POLIÉSTER</v>
          </cell>
          <cell r="G4849" t="str">
            <v>AUTOMOTIVO</v>
          </cell>
        </row>
        <row r="4850">
          <cell r="A4850">
            <v>237</v>
          </cell>
          <cell r="B4850" t="str">
            <v>MASSA POLIESTER 750G ROYAL</v>
          </cell>
          <cell r="C4850" t="str">
            <v>AP0750-CX1</v>
          </cell>
          <cell r="D4850" t="str">
            <v>ROYAL</v>
          </cell>
          <cell r="E4850">
            <v>20004</v>
          </cell>
          <cell r="F4850" t="str">
            <v>MASSA POLIÉSTER</v>
          </cell>
          <cell r="G4850" t="str">
            <v>AUTOMOTIVO</v>
          </cell>
        </row>
        <row r="4851">
          <cell r="A4851">
            <v>21570</v>
          </cell>
          <cell r="B4851" t="str">
            <v>MASSA POLIESTER 750G WANDA</v>
          </cell>
          <cell r="C4851">
            <v>516202</v>
          </cell>
          <cell r="D4851" t="str">
            <v>WANDA</v>
          </cell>
          <cell r="E4851">
            <v>20004</v>
          </cell>
          <cell r="F4851" t="str">
            <v>MASSA POLIÉSTER</v>
          </cell>
          <cell r="G4851" t="str">
            <v>AUTOMOTIVO</v>
          </cell>
        </row>
        <row r="4852">
          <cell r="A4852">
            <v>238</v>
          </cell>
          <cell r="B4852" t="str">
            <v>MASSA POLIESTER 900G ROYAL</v>
          </cell>
          <cell r="C4852" t="str">
            <v>APO900-CX1</v>
          </cell>
          <cell r="D4852" t="str">
            <v>ROYAL</v>
          </cell>
          <cell r="E4852">
            <v>20004</v>
          </cell>
          <cell r="F4852" t="str">
            <v>MASSA POLIÉSTER</v>
          </cell>
          <cell r="G4852" t="str">
            <v>AUTOMOTIVO</v>
          </cell>
        </row>
        <row r="4853">
          <cell r="A4853">
            <v>10309</v>
          </cell>
          <cell r="B4853" t="str">
            <v>MASSA POLIESTER ACABAMENTO 900G ANJO</v>
          </cell>
          <cell r="C4853" t="str">
            <v>000071-11</v>
          </cell>
          <cell r="D4853" t="str">
            <v>ANJO</v>
          </cell>
          <cell r="E4853">
            <v>20004</v>
          </cell>
          <cell r="F4853" t="str">
            <v>MASSA POLIÉSTER</v>
          </cell>
          <cell r="G4853" t="str">
            <v>AUTOMOTIVO</v>
          </cell>
        </row>
        <row r="4854">
          <cell r="A4854">
            <v>83811</v>
          </cell>
          <cell r="B4854" t="str">
            <v>MASSA POLIESTER COM FIBRA DE VIDRO 750G MAXI RUBBER</v>
          </cell>
          <cell r="C4854" t="str">
            <v>1MG051</v>
          </cell>
          <cell r="D4854" t="str">
            <v>MAXI RUBBER</v>
          </cell>
          <cell r="E4854">
            <v>20004</v>
          </cell>
          <cell r="F4854" t="str">
            <v>MASSA POLIÉSTER</v>
          </cell>
          <cell r="G4854" t="str">
            <v>AUTOMOTIVO</v>
          </cell>
        </row>
        <row r="4855">
          <cell r="A4855">
            <v>23584</v>
          </cell>
          <cell r="B4855" t="str">
            <v>MASSA POLIESTER FILLER 900G MAXI RUBBER</v>
          </cell>
          <cell r="C4855" t="str">
            <v>1MG035</v>
          </cell>
          <cell r="D4855" t="str">
            <v>MAXI RUBBER</v>
          </cell>
          <cell r="E4855">
            <v>20004</v>
          </cell>
          <cell r="F4855" t="str">
            <v>MASSA POLIÉSTER</v>
          </cell>
          <cell r="G4855" t="str">
            <v>AUTOMOTIVO</v>
          </cell>
        </row>
        <row r="4856">
          <cell r="A4856">
            <v>24393</v>
          </cell>
          <cell r="B4856" t="str">
            <v>MASSA POLIESTER GOLD LIGHT 900G RHAI</v>
          </cell>
          <cell r="C4856">
            <v>201305003</v>
          </cell>
          <cell r="D4856" t="str">
            <v>RHAI</v>
          </cell>
          <cell r="E4856">
            <v>20004</v>
          </cell>
          <cell r="F4856" t="str">
            <v>MASSA POLIÉSTER</v>
          </cell>
          <cell r="G4856" t="str">
            <v>AUTOMOTIVO</v>
          </cell>
        </row>
        <row r="4857">
          <cell r="A4857">
            <v>23267</v>
          </cell>
          <cell r="B4857" t="str">
            <v>MASSA POLIESTER OCTANO 900G ANJO</v>
          </cell>
          <cell r="C4857" t="str">
            <v>033784-11</v>
          </cell>
          <cell r="D4857" t="str">
            <v>ANJO</v>
          </cell>
          <cell r="E4857">
            <v>20004</v>
          </cell>
          <cell r="F4857" t="str">
            <v>MASSA POLIÉSTER</v>
          </cell>
          <cell r="G4857" t="str">
            <v>AUTOMOTIVO</v>
          </cell>
        </row>
        <row r="4858">
          <cell r="A4858">
            <v>84658</v>
          </cell>
          <cell r="B4858" t="str">
            <v>MASSA POLIESTER REVOLUTION 1KG ANJO</v>
          </cell>
          <cell r="C4858" t="str">
            <v>044368-11</v>
          </cell>
          <cell r="D4858" t="str">
            <v>ANJO</v>
          </cell>
          <cell r="E4858">
            <v>20004</v>
          </cell>
          <cell r="F4858" t="str">
            <v>MASSA POLIÉSTER</v>
          </cell>
          <cell r="G4858" t="str">
            <v>AUTOMOTIVO</v>
          </cell>
        </row>
        <row r="4859">
          <cell r="A4859">
            <v>85361</v>
          </cell>
          <cell r="B4859" t="str">
            <v>MASSA POLIESTER ROBERFIBRA 750G BRASILUX</v>
          </cell>
          <cell r="C4859" t="str">
            <v>MS 220067054</v>
          </cell>
          <cell r="D4859" t="str">
            <v>BRASILUX</v>
          </cell>
          <cell r="E4859">
            <v>20004</v>
          </cell>
          <cell r="F4859" t="str">
            <v>MASSA POLIÉSTER</v>
          </cell>
          <cell r="G4859" t="str">
            <v>AUTOMOTIVO</v>
          </cell>
        </row>
        <row r="4860">
          <cell r="A4860">
            <v>84561</v>
          </cell>
          <cell r="B4860" t="str">
            <v>MASSA POLIESTER ROBERMAXX 900G BRASILUX</v>
          </cell>
          <cell r="C4860" t="str">
            <v>MS 221135092</v>
          </cell>
          <cell r="D4860" t="str">
            <v>BRASILUX</v>
          </cell>
          <cell r="E4860">
            <v>20004</v>
          </cell>
          <cell r="F4860" t="str">
            <v>MASSA POLIÉSTER</v>
          </cell>
          <cell r="G4860" t="str">
            <v>AUTOMOTIVO</v>
          </cell>
        </row>
        <row r="4861">
          <cell r="A4861">
            <v>24394</v>
          </cell>
          <cell r="B4861" t="str">
            <v>MASSA POLIESTER SILVER LIGHT 900G RHAI</v>
          </cell>
          <cell r="C4861">
            <v>201304002</v>
          </cell>
          <cell r="D4861" t="str">
            <v>RHAI</v>
          </cell>
          <cell r="E4861">
            <v>20004</v>
          </cell>
          <cell r="F4861" t="str">
            <v>MASSA POLIÉSTER</v>
          </cell>
          <cell r="G4861" t="str">
            <v>AUTOMOTIVO</v>
          </cell>
        </row>
        <row r="4862">
          <cell r="A4862">
            <v>24392</v>
          </cell>
          <cell r="B4862" t="str">
            <v>MASSA POLIESTER SOFT PLUS 700G RHAI</v>
          </cell>
          <cell r="C4862">
            <v>201311004</v>
          </cell>
          <cell r="D4862" t="str">
            <v>RHAI</v>
          </cell>
          <cell r="E4862">
            <v>20004</v>
          </cell>
          <cell r="F4862" t="str">
            <v>MASSA POLIÉSTER</v>
          </cell>
          <cell r="G4862" t="str">
            <v>AUTOMOTIVO</v>
          </cell>
        </row>
        <row r="4863">
          <cell r="A4863">
            <v>85356</v>
          </cell>
          <cell r="B4863" t="str">
            <v>MASSA POLIESTER SOFT PLUS 900G RHAI</v>
          </cell>
          <cell r="C4863">
            <v>201311007</v>
          </cell>
          <cell r="D4863" t="str">
            <v>RHAI</v>
          </cell>
          <cell r="E4863">
            <v>20004</v>
          </cell>
          <cell r="F4863" t="str">
            <v>MASSA POLIÉSTER</v>
          </cell>
          <cell r="G4863" t="str">
            <v>AUTOMOTIVO</v>
          </cell>
        </row>
        <row r="4864">
          <cell r="A4864">
            <v>9844</v>
          </cell>
          <cell r="B4864" t="str">
            <v>MASSA POLIESTER TECHFIBER 750G RHA</v>
          </cell>
          <cell r="C4864">
            <v>201330009</v>
          </cell>
          <cell r="D4864" t="str">
            <v>.</v>
          </cell>
          <cell r="E4864">
            <v>20004</v>
          </cell>
          <cell r="F4864" t="str">
            <v>MASSA POLIÉSTER</v>
          </cell>
          <cell r="G4864" t="str">
            <v>AUTOMOTIVO</v>
          </cell>
        </row>
        <row r="4865">
          <cell r="A4865">
            <v>85586</v>
          </cell>
          <cell r="B4865" t="str">
            <v>MASSA POLIESTR PLATINUM 1KG - CAT 30G</v>
          </cell>
          <cell r="D4865" t="str">
            <v>RHAI</v>
          </cell>
          <cell r="E4865">
            <v>20004</v>
          </cell>
          <cell r="F4865" t="str">
            <v>MASSA POLIÉSTER</v>
          </cell>
          <cell r="G4865" t="str">
            <v>AUTOMOTIVO</v>
          </cell>
        </row>
        <row r="4866">
          <cell r="A4866">
            <v>23623</v>
          </cell>
          <cell r="B4866" t="str">
            <v>MASSA POLYKIT CLASSIC 2K SIKKENS</v>
          </cell>
          <cell r="C4866">
            <v>371075</v>
          </cell>
          <cell r="D4866" t="str">
            <v>SIKKENS</v>
          </cell>
          <cell r="E4866">
            <v>20004</v>
          </cell>
          <cell r="F4866" t="str">
            <v>MASSA POLIÉSTER</v>
          </cell>
          <cell r="G4866" t="str">
            <v>AUTOMOTIVO</v>
          </cell>
        </row>
        <row r="4867">
          <cell r="A4867">
            <v>22190</v>
          </cell>
          <cell r="B4867" t="str">
            <v>MASSA POLYLIGHT 495G ROBERLO</v>
          </cell>
          <cell r="C4867">
            <v>65678</v>
          </cell>
          <cell r="D4867" t="str">
            <v>ROBERLO</v>
          </cell>
          <cell r="E4867">
            <v>20004</v>
          </cell>
          <cell r="F4867" t="str">
            <v>MASSA POLIÉSTER</v>
          </cell>
          <cell r="G4867" t="str">
            <v>AUTOMOTIVO</v>
          </cell>
        </row>
        <row r="4868">
          <cell r="A4868">
            <v>20076</v>
          </cell>
          <cell r="B4868" t="str">
            <v>MASSA RAPIDA BRANCA 1,25KG MAXI RUBBER</v>
          </cell>
          <cell r="C4868" t="str">
            <v>2MA085</v>
          </cell>
          <cell r="D4868" t="str">
            <v>MAXI RUBBER</v>
          </cell>
          <cell r="E4868">
            <v>20004</v>
          </cell>
          <cell r="F4868" t="str">
            <v>MASSA POLIÉSTER</v>
          </cell>
          <cell r="G4868" t="str">
            <v>AUTOMOTIVO</v>
          </cell>
        </row>
        <row r="4869">
          <cell r="A4869">
            <v>83</v>
          </cell>
          <cell r="B4869" t="str">
            <v>MASSA RAPIDA CINZA 0,900ML SKY</v>
          </cell>
          <cell r="C4869">
            <v>540002900101</v>
          </cell>
          <cell r="D4869" t="str">
            <v>SKY</v>
          </cell>
          <cell r="E4869">
            <v>20004</v>
          </cell>
          <cell r="F4869" t="str">
            <v>MASSA POLIÉSTER</v>
          </cell>
          <cell r="G4869" t="str">
            <v>AUTOMOTIVO</v>
          </cell>
        </row>
        <row r="4870">
          <cell r="A4870">
            <v>10396</v>
          </cell>
          <cell r="B4870" t="str">
            <v>MASSA RAPIDA CINZA MAXI RUBBER</v>
          </cell>
          <cell r="C4870" t="str">
            <v>2MA001</v>
          </cell>
          <cell r="D4870" t="str">
            <v>MAXI RUBBER</v>
          </cell>
          <cell r="E4870">
            <v>20004</v>
          </cell>
          <cell r="F4870" t="str">
            <v>MASSA POLIÉSTER</v>
          </cell>
          <cell r="G4870" t="str">
            <v>AUTOMOTIVO</v>
          </cell>
        </row>
        <row r="4871">
          <cell r="A4871">
            <v>23253</v>
          </cell>
          <cell r="B4871" t="str">
            <v>MASSA RAPIDA PLUS 1,25KG ANJO</v>
          </cell>
          <cell r="C4871" t="str">
            <v>023210-31</v>
          </cell>
          <cell r="D4871" t="str">
            <v>ANJO</v>
          </cell>
          <cell r="E4871">
            <v>20004</v>
          </cell>
          <cell r="F4871" t="str">
            <v>MASSA POLIÉSTER</v>
          </cell>
          <cell r="G4871" t="str">
            <v>AUTOMOTIVO</v>
          </cell>
        </row>
        <row r="4872">
          <cell r="A4872">
            <v>23975</v>
          </cell>
          <cell r="B4872" t="str">
            <v>MASSA SINTETICA BRANCA 5,36KG AKZO</v>
          </cell>
          <cell r="C4872">
            <v>529452</v>
          </cell>
          <cell r="D4872" t="str">
            <v>WANDA</v>
          </cell>
          <cell r="E4872">
            <v>20004</v>
          </cell>
          <cell r="F4872" t="str">
            <v>MASSA POLIÉSTER</v>
          </cell>
          <cell r="G4872" t="str">
            <v>AUTOMOTIVO</v>
          </cell>
        </row>
        <row r="4873">
          <cell r="A4873">
            <v>10397</v>
          </cell>
          <cell r="B4873" t="str">
            <v>MAXIVED 1,15KG MAXI RUBBER</v>
          </cell>
          <cell r="C4873" t="str">
            <v>4MA040</v>
          </cell>
          <cell r="D4873" t="str">
            <v>MAXI RUBBER</v>
          </cell>
          <cell r="E4873">
            <v>20004</v>
          </cell>
          <cell r="F4873" t="str">
            <v>MASSA POLIÉSTER</v>
          </cell>
          <cell r="G4873" t="str">
            <v>AUTOMOTIVO</v>
          </cell>
        </row>
        <row r="4874">
          <cell r="A4874">
            <v>85334</v>
          </cell>
          <cell r="B4874" t="str">
            <v>MELT LIMPADOR ALTA PERFORMANCE 500ML MAXI RUBBER</v>
          </cell>
          <cell r="C4874" t="str">
            <v>DC0015</v>
          </cell>
          <cell r="D4874" t="str">
            <v>MAXI RUBBER</v>
          </cell>
          <cell r="E4874">
            <v>20004</v>
          </cell>
          <cell r="F4874" t="str">
            <v>MASSA POLIÉSTER</v>
          </cell>
          <cell r="G4874" t="str">
            <v>AUTOMOTIVO</v>
          </cell>
        </row>
        <row r="4875">
          <cell r="A4875">
            <v>10275</v>
          </cell>
          <cell r="B4875" t="str">
            <v>MISTER MASSA ORIGINAL SHINE</v>
          </cell>
          <cell r="C4875" t="str">
            <v>P0002</v>
          </cell>
          <cell r="D4875" t="str">
            <v>ATUAIS</v>
          </cell>
          <cell r="E4875">
            <v>20004</v>
          </cell>
          <cell r="F4875" t="str">
            <v>MASSA POLIÉSTER</v>
          </cell>
          <cell r="G4875" t="str">
            <v>AUTOMOTIVO</v>
          </cell>
        </row>
        <row r="4876">
          <cell r="A4876">
            <v>10405</v>
          </cell>
          <cell r="B4876" t="str">
            <v>MSA PINCEL 630GR MAX RUBBER</v>
          </cell>
          <cell r="C4876" t="str">
            <v>5MA057</v>
          </cell>
          <cell r="D4876" t="str">
            <v>MAXI RUBBER</v>
          </cell>
          <cell r="E4876">
            <v>20004</v>
          </cell>
          <cell r="F4876" t="str">
            <v>MASSA POLIÉSTER</v>
          </cell>
          <cell r="G4876" t="str">
            <v>AUTOMOTIVO</v>
          </cell>
        </row>
        <row r="4877">
          <cell r="A4877">
            <v>85335</v>
          </cell>
          <cell r="B4877" t="str">
            <v>MULTI CLEAN LIMPADOR APC MULTIUSO 500ML MAXI RUBBER</v>
          </cell>
          <cell r="C4877" t="str">
            <v>DC0016</v>
          </cell>
          <cell r="D4877" t="str">
            <v>MAXI RUBBER</v>
          </cell>
          <cell r="E4877">
            <v>20004</v>
          </cell>
          <cell r="F4877" t="str">
            <v>MASSA POLIÉSTER</v>
          </cell>
          <cell r="G4877" t="str">
            <v>AUTOMOTIVO</v>
          </cell>
        </row>
        <row r="4878">
          <cell r="A4878">
            <v>85165</v>
          </cell>
          <cell r="B4878" t="str">
            <v>BRASILACA-BRANCO N9,5 PURO 900ML BRASILUX</v>
          </cell>
          <cell r="C4878" t="str">
            <v>BT 040504701</v>
          </cell>
          <cell r="D4878" t="str">
            <v>BRASILUX</v>
          </cell>
          <cell r="E4878">
            <v>20047</v>
          </cell>
          <cell r="F4878" t="str">
            <v>TINTAS LACA</v>
          </cell>
          <cell r="G4878" t="str">
            <v>AUTOMOTIVO</v>
          </cell>
        </row>
        <row r="4879">
          <cell r="A4879">
            <v>84556</v>
          </cell>
          <cell r="B4879" t="str">
            <v>BRASIMIX BP-BRANCO PURO 150ML BRASILUX</v>
          </cell>
          <cell r="C4879" t="str">
            <v>BM 000510810</v>
          </cell>
          <cell r="D4879" t="str">
            <v>BRASILUX</v>
          </cell>
          <cell r="E4879">
            <v>20031</v>
          </cell>
          <cell r="F4879" t="str">
            <v>BASES POLIÉSTER</v>
          </cell>
          <cell r="G4879" t="str">
            <v>AUTOMOTIVO</v>
          </cell>
        </row>
        <row r="4880">
          <cell r="A4880">
            <v>84850</v>
          </cell>
          <cell r="B4880" t="str">
            <v>BRASIMIX BP-BRANCO PURO 800ML BRASILUX</v>
          </cell>
          <cell r="C4880" t="str">
            <v>BM 000510888</v>
          </cell>
          <cell r="D4880" t="str">
            <v>BRASILUX</v>
          </cell>
          <cell r="E4880">
            <v>20031</v>
          </cell>
          <cell r="F4880" t="str">
            <v>BASES POLIÉSTER</v>
          </cell>
          <cell r="G4880" t="str">
            <v>AUTOMOTIVO</v>
          </cell>
        </row>
        <row r="4881">
          <cell r="A4881">
            <v>84563</v>
          </cell>
          <cell r="B4881" t="str">
            <v>CATALISADOR P/ PRIMER PU 100ML BRASILUX</v>
          </cell>
          <cell r="C4881" t="str">
            <v>CT 295001228</v>
          </cell>
          <cell r="D4881" t="str">
            <v>BRASILUX</v>
          </cell>
          <cell r="E4881">
            <v>20035</v>
          </cell>
          <cell r="F4881" t="str">
            <v>PRIMER AUTOMOTIVO</v>
          </cell>
          <cell r="G4881" t="str">
            <v>AUTOMOTIVO</v>
          </cell>
        </row>
        <row r="4882">
          <cell r="A4882">
            <v>84707</v>
          </cell>
          <cell r="B4882" t="str">
            <v>BRASIDUR-PRETO FOSCO 2,7L BRASILUX</v>
          </cell>
          <cell r="C4882" t="str">
            <v>FO 261500114</v>
          </cell>
          <cell r="D4882" t="str">
            <v>BRASILUX</v>
          </cell>
          <cell r="E4882">
            <v>20003</v>
          </cell>
          <cell r="F4882" t="str">
            <v>TINTAS PU</v>
          </cell>
          <cell r="G4882" t="str">
            <v>AUTOMOTIVO</v>
          </cell>
        </row>
        <row r="4883">
          <cell r="A4883">
            <v>84824</v>
          </cell>
          <cell r="B4883" t="str">
            <v>DILUENTE 107 PU POLIESTER 18L BRASILUX</v>
          </cell>
          <cell r="C4883" t="str">
            <v>TN 060010703</v>
          </cell>
          <cell r="D4883" t="str">
            <v>BRASILUX</v>
          </cell>
          <cell r="E4883">
            <v>20001</v>
          </cell>
          <cell r="F4883" t="str">
            <v>DILUENTE</v>
          </cell>
          <cell r="G4883" t="str">
            <v>AUTOMOTIVO</v>
          </cell>
        </row>
        <row r="4884">
          <cell r="A4884">
            <v>84869</v>
          </cell>
          <cell r="B4884" t="str">
            <v>BRASITEC-CINZA N3.5 ESCURO 2,7L BRASILUX</v>
          </cell>
          <cell r="C4884" t="str">
            <v>BT 150601414</v>
          </cell>
          <cell r="D4884" t="str">
            <v>BRASILUX</v>
          </cell>
          <cell r="E4884">
            <v>20003</v>
          </cell>
          <cell r="F4884" t="str">
            <v>TINTAS PU</v>
          </cell>
          <cell r="G4884" t="str">
            <v>AUTOMOTIVO</v>
          </cell>
        </row>
        <row r="4885">
          <cell r="A4885">
            <v>85366</v>
          </cell>
          <cell r="B4885" t="str">
            <v>BRASPISO-POWER PISO CINZA 18L BRASILUX</v>
          </cell>
          <cell r="C4885" t="str">
            <v>PW 470600003</v>
          </cell>
          <cell r="D4885" t="str">
            <v>BRASILUX</v>
          </cell>
          <cell r="E4885">
            <v>20003</v>
          </cell>
          <cell r="F4885" t="str">
            <v>TINTAS PU</v>
          </cell>
          <cell r="G4885" t="str">
            <v>AUTOMOTIVO</v>
          </cell>
        </row>
        <row r="4886">
          <cell r="A4886">
            <v>85365</v>
          </cell>
          <cell r="B4886" t="str">
            <v>BRASPISO-POWER PISO CINZA 3,6L BRASILUX</v>
          </cell>
          <cell r="C4886" t="str">
            <v>PW 470600002</v>
          </cell>
          <cell r="D4886" t="str">
            <v>BRASILUX</v>
          </cell>
          <cell r="E4886">
            <v>20003</v>
          </cell>
          <cell r="F4886" t="str">
            <v>TINTAS PU</v>
          </cell>
          <cell r="G4886" t="str">
            <v>AUTOMOTIVO</v>
          </cell>
        </row>
        <row r="4887">
          <cell r="A4887">
            <v>85370</v>
          </cell>
          <cell r="B4887" t="str">
            <v>BRASPISO-POWER PISO CINZA CHUMBO 18L BRASILUX</v>
          </cell>
          <cell r="C4887" t="str">
            <v>PW 470635103</v>
          </cell>
          <cell r="D4887" t="str">
            <v>BRASILUX</v>
          </cell>
          <cell r="E4887">
            <v>20003</v>
          </cell>
          <cell r="F4887" t="str">
            <v>TINTAS PU</v>
          </cell>
          <cell r="G4887" t="str">
            <v>AUTOMOTIVO</v>
          </cell>
        </row>
        <row r="4888">
          <cell r="A4888">
            <v>85369</v>
          </cell>
          <cell r="B4888" t="str">
            <v>BRASPISO-POWER PISO CINZA CHUMBO 3,6L BRASILUX</v>
          </cell>
          <cell r="C4888" t="str">
            <v>PW 470635102</v>
          </cell>
          <cell r="D4888" t="str">
            <v>BRASILUX</v>
          </cell>
          <cell r="E4888">
            <v>20003</v>
          </cell>
          <cell r="F4888" t="str">
            <v>TINTAS PU</v>
          </cell>
          <cell r="G4888" t="str">
            <v>AUTOMOTIVO</v>
          </cell>
        </row>
        <row r="4889">
          <cell r="A4889">
            <v>85368</v>
          </cell>
          <cell r="B4889" t="str">
            <v>BRASPISO-POWER PISO CINZA ESCURO 18L BRASILUX</v>
          </cell>
          <cell r="C4889" t="str">
            <v>PW 470614003</v>
          </cell>
          <cell r="D4889" t="str">
            <v>BRASILUX</v>
          </cell>
          <cell r="E4889">
            <v>20003</v>
          </cell>
          <cell r="F4889" t="str">
            <v>TINTAS PU</v>
          </cell>
          <cell r="G4889" t="str">
            <v>AUTOMOTIVO</v>
          </cell>
        </row>
        <row r="4890">
          <cell r="A4890">
            <v>85367</v>
          </cell>
          <cell r="B4890" t="str">
            <v>BRASPISO-POWER PISO CINZA ESCURO 3,6L BRASILUX</v>
          </cell>
          <cell r="C4890" t="str">
            <v>PW 470614002</v>
          </cell>
          <cell r="D4890" t="str">
            <v>BRASILUX</v>
          </cell>
          <cell r="E4890">
            <v>20003</v>
          </cell>
          <cell r="F4890" t="str">
            <v>TINTAS PU</v>
          </cell>
          <cell r="G4890" t="str">
            <v>AUTOMOTIVO</v>
          </cell>
        </row>
        <row r="4891">
          <cell r="A4891">
            <v>85372</v>
          </cell>
          <cell r="B4891" t="str">
            <v>BRASPISO-POWER PISO PRETO 18L BRASILUX</v>
          </cell>
          <cell r="C4891" t="str">
            <v>PW 471500103</v>
          </cell>
          <cell r="D4891" t="str">
            <v>BRASILUX</v>
          </cell>
          <cell r="E4891">
            <v>20003</v>
          </cell>
          <cell r="F4891" t="str">
            <v>TINTAS PU</v>
          </cell>
          <cell r="G4891" t="str">
            <v>AUTOMOTIVO</v>
          </cell>
        </row>
        <row r="4892">
          <cell r="A4892">
            <v>85371</v>
          </cell>
          <cell r="B4892" t="str">
            <v>BRASPISO-POWER PISO PRETO 3,6L BRASILUX</v>
          </cell>
          <cell r="C4892" t="str">
            <v>PW 471500102</v>
          </cell>
          <cell r="D4892" t="str">
            <v>BRASILUX</v>
          </cell>
          <cell r="E4892">
            <v>20003</v>
          </cell>
          <cell r="F4892" t="str">
            <v>TINTAS PU</v>
          </cell>
          <cell r="G4892" t="str">
            <v>AUTOMOTIVO</v>
          </cell>
        </row>
        <row r="4893">
          <cell r="A4893">
            <v>85374</v>
          </cell>
          <cell r="B4893" t="str">
            <v>BRASPISO-POWER PISO VERDE QUADRA 18L BRASILUX</v>
          </cell>
          <cell r="C4893" t="str">
            <v>PW 472224003</v>
          </cell>
          <cell r="D4893" t="str">
            <v>BRASILUX</v>
          </cell>
          <cell r="E4893">
            <v>20003</v>
          </cell>
          <cell r="F4893" t="str">
            <v>TINTAS PU</v>
          </cell>
          <cell r="G4893" t="str">
            <v>AUTOMOTIVO</v>
          </cell>
        </row>
        <row r="4894">
          <cell r="A4894">
            <v>85373</v>
          </cell>
          <cell r="B4894" t="str">
            <v>BRASPISO-POWER PISO VERDE QUADRA 3,6L BRASILUX</v>
          </cell>
          <cell r="C4894" t="str">
            <v>PW 472224002</v>
          </cell>
          <cell r="D4894" t="str">
            <v>BRASILUX</v>
          </cell>
          <cell r="E4894">
            <v>20003</v>
          </cell>
          <cell r="F4894" t="str">
            <v>TINTAS PU</v>
          </cell>
          <cell r="G4894" t="str">
            <v>AUTOMOTIVO</v>
          </cell>
        </row>
        <row r="4895">
          <cell r="A4895">
            <v>84823</v>
          </cell>
          <cell r="B4895" t="str">
            <v>DILUENTE 107 PU/POLIESTER 5L BRASILUX</v>
          </cell>
          <cell r="C4895" t="str">
            <v>TN 060010708</v>
          </cell>
          <cell r="D4895" t="str">
            <v>BRASILUX</v>
          </cell>
          <cell r="E4895">
            <v>20001</v>
          </cell>
          <cell r="F4895" t="str">
            <v>DILUENTE</v>
          </cell>
          <cell r="G4895" t="str">
            <v>AUTOMOTIVO</v>
          </cell>
        </row>
        <row r="4896">
          <cell r="A4896">
            <v>84557</v>
          </cell>
          <cell r="B4896" t="str">
            <v>DILUENTE 107 PU/POLIESTER 900ML BRASILUX</v>
          </cell>
          <cell r="C4896" t="str">
            <v>TN 060010701</v>
          </cell>
          <cell r="D4896" t="str">
            <v>BRASILUX</v>
          </cell>
          <cell r="E4896">
            <v>20001</v>
          </cell>
          <cell r="F4896" t="str">
            <v>DILUENTE</v>
          </cell>
          <cell r="G4896" t="str">
            <v>AUTOMOTIVO</v>
          </cell>
        </row>
        <row r="4897">
          <cell r="A4897">
            <v>84897</v>
          </cell>
          <cell r="B4897" t="str">
            <v>KIT PU AMARELO 5Y8/12 SEG 3,6L</v>
          </cell>
          <cell r="C4897" t="str">
            <v>KT 150205126</v>
          </cell>
          <cell r="D4897" t="str">
            <v>BRASILUX</v>
          </cell>
          <cell r="E4897">
            <v>20003</v>
          </cell>
          <cell r="F4897" t="str">
            <v>EPOXI</v>
          </cell>
          <cell r="G4897" t="str">
            <v>INDUSTRIAL</v>
          </cell>
        </row>
        <row r="4898">
          <cell r="A4898">
            <v>23610</v>
          </cell>
          <cell r="B4898" t="str">
            <v>KIT PU BRANCO 9004 WANDA-21,59-ST</v>
          </cell>
          <cell r="C4898">
            <v>558299</v>
          </cell>
          <cell r="D4898" t="str">
            <v>WANDA</v>
          </cell>
          <cell r="E4898">
            <v>20003</v>
          </cell>
          <cell r="F4898" t="str">
            <v>TINTAS PU</v>
          </cell>
          <cell r="G4898" t="str">
            <v>AUTOMOTIVO</v>
          </cell>
        </row>
        <row r="4899">
          <cell r="A4899">
            <v>23386</v>
          </cell>
          <cell r="B4899" t="str">
            <v>KIT PU BRANCO 9147 MB 1994 0,9L WANDA-21,46-ST</v>
          </cell>
          <cell r="C4899">
            <v>558293</v>
          </cell>
          <cell r="D4899" t="str">
            <v>WANDA</v>
          </cell>
          <cell r="E4899">
            <v>20003</v>
          </cell>
          <cell r="F4899" t="str">
            <v>TINTAS PU</v>
          </cell>
          <cell r="G4899" t="str">
            <v>AUTOMOTIVO</v>
          </cell>
        </row>
        <row r="4900">
          <cell r="A4900">
            <v>23385</v>
          </cell>
          <cell r="B4900" t="str">
            <v>KIT PU BRANCO BANCHISA FIAT 1996 0,9L WANDA-21,67-ST</v>
          </cell>
          <cell r="C4900">
            <v>558291</v>
          </cell>
          <cell r="D4900" t="str">
            <v>WANDA</v>
          </cell>
          <cell r="E4900">
            <v>20003</v>
          </cell>
          <cell r="F4900" t="str">
            <v>TINTAS PU</v>
          </cell>
          <cell r="G4900" t="str">
            <v>AUTOMOTIVO</v>
          </cell>
        </row>
        <row r="4901">
          <cell r="A4901">
            <v>23383</v>
          </cell>
          <cell r="B4901" t="str">
            <v>KIT PU BRANCO CRISTAL VW 1999 0,9L WANDA-21,67-ST</v>
          </cell>
          <cell r="C4901">
            <v>558296</v>
          </cell>
          <cell r="D4901" t="str">
            <v>WANDA</v>
          </cell>
          <cell r="E4901">
            <v>20003</v>
          </cell>
          <cell r="F4901" t="str">
            <v>TINTAS PU</v>
          </cell>
          <cell r="G4901" t="str">
            <v>AUTOMOTIVO</v>
          </cell>
        </row>
        <row r="4902">
          <cell r="A4902">
            <v>23387</v>
          </cell>
          <cell r="B4902" t="str">
            <v>KIT PU BRANCO GEADA VW 1995 0,9L WANDA-21,67-ST</v>
          </cell>
          <cell r="C4902">
            <v>558290</v>
          </cell>
          <cell r="D4902" t="str">
            <v>WANDA</v>
          </cell>
          <cell r="E4902">
            <v>20003</v>
          </cell>
          <cell r="F4902" t="str">
            <v>TINTAS PU</v>
          </cell>
          <cell r="G4902" t="str">
            <v>AUTOMOTIVO</v>
          </cell>
        </row>
        <row r="4903">
          <cell r="A4903">
            <v>23388</v>
          </cell>
          <cell r="B4903" t="str">
            <v>KIT PU BRANCO MAHLER GM 1994 0,9L WANDA-21,46-ST</v>
          </cell>
          <cell r="C4903">
            <v>558298</v>
          </cell>
          <cell r="D4903" t="str">
            <v>WANDA</v>
          </cell>
          <cell r="E4903">
            <v>20003</v>
          </cell>
          <cell r="F4903" t="str">
            <v>TINTAS PU</v>
          </cell>
          <cell r="G4903" t="str">
            <v>AUTOMOTIVO</v>
          </cell>
        </row>
        <row r="4904">
          <cell r="A4904">
            <v>84898</v>
          </cell>
          <cell r="B4904" t="str">
            <v>KIT PU AZUL 2.5PB4/10 SEG 3,6L</v>
          </cell>
          <cell r="C4904" t="str">
            <v>KT 150309026</v>
          </cell>
          <cell r="D4904" t="str">
            <v>BRASILUX</v>
          </cell>
          <cell r="E4904">
            <v>20003</v>
          </cell>
          <cell r="F4904" t="str">
            <v>EPOXI</v>
          </cell>
          <cell r="G4904" t="str">
            <v>INDUSTRIAL</v>
          </cell>
        </row>
        <row r="4905">
          <cell r="A4905">
            <v>23384</v>
          </cell>
          <cell r="B4905" t="str">
            <v>KIT PU PRETO CADILLAC 0,9L WANDA-21,46-ST</v>
          </cell>
          <cell r="C4905">
            <v>558294</v>
          </cell>
          <cell r="D4905" t="str">
            <v>WANDA</v>
          </cell>
          <cell r="E4905">
            <v>20003</v>
          </cell>
          <cell r="F4905" t="str">
            <v>TINTAS PU</v>
          </cell>
          <cell r="G4905" t="str">
            <v>AUTOMOTIVO</v>
          </cell>
        </row>
        <row r="4906">
          <cell r="A4906">
            <v>84899</v>
          </cell>
          <cell r="B4906" t="str">
            <v>KIT PU BRANCO 3,6L BRASILUX</v>
          </cell>
          <cell r="C4906" t="str">
            <v>KT 150506226</v>
          </cell>
          <cell r="D4906" t="str">
            <v>BRASILUX</v>
          </cell>
          <cell r="E4906">
            <v>20003</v>
          </cell>
          <cell r="F4906" t="str">
            <v>EPOXI</v>
          </cell>
          <cell r="G4906" t="str">
            <v>INDUSTRIAL</v>
          </cell>
        </row>
        <row r="4907">
          <cell r="A4907">
            <v>84900</v>
          </cell>
          <cell r="B4907" t="str">
            <v>KIT PU CINZA N5 MEDIO KIT3,6L - RESISTENTE AO SOL</v>
          </cell>
          <cell r="C4907" t="str">
            <v>KT 150605426</v>
          </cell>
          <cell r="D4907" t="str">
            <v>BRASILUX</v>
          </cell>
          <cell r="E4907">
            <v>20003</v>
          </cell>
          <cell r="F4907" t="str">
            <v>EPOXI</v>
          </cell>
          <cell r="G4907" t="str">
            <v>INDUSTRIAL</v>
          </cell>
        </row>
        <row r="4908">
          <cell r="A4908">
            <v>85292</v>
          </cell>
          <cell r="B4908" t="str">
            <v>KIT PU PRETO N1 3,6L</v>
          </cell>
          <cell r="C4908" t="str">
            <v>KT 151500826</v>
          </cell>
          <cell r="D4908" t="str">
            <v>BRASILUX</v>
          </cell>
          <cell r="E4908">
            <v>20003</v>
          </cell>
          <cell r="F4908" t="str">
            <v>EPOXI</v>
          </cell>
          <cell r="G4908" t="str">
            <v>INDUSTRIAL</v>
          </cell>
        </row>
        <row r="4909">
          <cell r="A4909">
            <v>22594</v>
          </cell>
          <cell r="B4909" t="str">
            <v>LAZZUDUR PU BRANCO ARTICO-21,94-ST</v>
          </cell>
          <cell r="C4909" t="str">
            <v>55.00.03822-244</v>
          </cell>
          <cell r="D4909" t="str">
            <v>SHERWIN WILLIAMS</v>
          </cell>
          <cell r="E4909">
            <v>20003</v>
          </cell>
          <cell r="F4909" t="str">
            <v>TINTAS PU</v>
          </cell>
          <cell r="G4909" t="str">
            <v>AUTOMOTIVO</v>
          </cell>
        </row>
        <row r="4910">
          <cell r="A4910">
            <v>21036</v>
          </cell>
          <cell r="B4910" t="str">
            <v>LAZZUDUR PU BRANCO BANCHISA 675ML-21,94-ST</v>
          </cell>
          <cell r="C4910" t="str">
            <v>55.00.04049-244</v>
          </cell>
          <cell r="D4910" t="str">
            <v>SHERWIN WILLIAMS</v>
          </cell>
          <cell r="E4910">
            <v>20003</v>
          </cell>
          <cell r="F4910" t="str">
            <v>TINTAS PU</v>
          </cell>
          <cell r="G4910" t="str">
            <v>AUTOMOTIVO</v>
          </cell>
        </row>
        <row r="4911">
          <cell r="A4911">
            <v>21034</v>
          </cell>
          <cell r="B4911" t="str">
            <v>LAZZUDUR PU BRANCO GEADA 675ML-21,94-ST</v>
          </cell>
          <cell r="C4911" t="str">
            <v>55.00.01142-244</v>
          </cell>
          <cell r="D4911" t="str">
            <v>SHERWIN WILLIAMS</v>
          </cell>
          <cell r="E4911">
            <v>20003</v>
          </cell>
          <cell r="F4911" t="str">
            <v>TINTAS PU</v>
          </cell>
          <cell r="G4911" t="str">
            <v>AUTOMOTIVO</v>
          </cell>
        </row>
        <row r="4912">
          <cell r="A4912">
            <v>21820</v>
          </cell>
          <cell r="B4912" t="str">
            <v>LAZZUDUR PU BRANCO SUMMIT LISA WA8624 GM-21,94-ST</v>
          </cell>
          <cell r="C4912" t="str">
            <v>04.00.20094-004</v>
          </cell>
          <cell r="D4912" t="str">
            <v>SHERWIN WILLIAMS</v>
          </cell>
          <cell r="E4912">
            <v>20003</v>
          </cell>
          <cell r="F4912" t="str">
            <v>TINTAS PU</v>
          </cell>
          <cell r="G4912" t="str">
            <v>AUTOMOTIVO</v>
          </cell>
        </row>
        <row r="4913">
          <cell r="A4913">
            <v>23722</v>
          </cell>
          <cell r="B4913" t="str">
            <v>LAZZUDUR PU PRETO FOSCO-21,93-ST</v>
          </cell>
          <cell r="C4913" t="str">
            <v>55.10.00910-244</v>
          </cell>
          <cell r="D4913" t="str">
            <v>SHERWIN WILLIAMS</v>
          </cell>
          <cell r="E4913">
            <v>20003</v>
          </cell>
          <cell r="F4913" t="str">
            <v>TINTAS PU</v>
          </cell>
          <cell r="G4913" t="str">
            <v>AUTOMOTIVO</v>
          </cell>
        </row>
        <row r="4914">
          <cell r="A4914">
            <v>20384</v>
          </cell>
          <cell r="B4914" t="str">
            <v>LAZZUDUR PU PRETO NINJA LISA-21,93-ST</v>
          </cell>
          <cell r="C4914" t="str">
            <v>04.00.01576-004</v>
          </cell>
          <cell r="D4914" t="str">
            <v>SHERWIN WILLIAMS</v>
          </cell>
          <cell r="E4914">
            <v>20003</v>
          </cell>
          <cell r="F4914" t="str">
            <v>TINTAS PU</v>
          </cell>
          <cell r="G4914" t="str">
            <v>AUTOMOTIVO</v>
          </cell>
        </row>
        <row r="4915">
          <cell r="A4915">
            <v>23354</v>
          </cell>
          <cell r="B4915" t="str">
            <v>LAZZUDUR PU VERMELHO ALPINE-21,94-ST</v>
          </cell>
          <cell r="C4915" t="str">
            <v>55.00604053-244</v>
          </cell>
          <cell r="D4915" t="str">
            <v>SHERWIN WILLIAMS</v>
          </cell>
          <cell r="E4915">
            <v>20003</v>
          </cell>
          <cell r="F4915" t="str">
            <v>TINTAS PU</v>
          </cell>
          <cell r="G4915" t="str">
            <v>AUTOMOTIVO</v>
          </cell>
        </row>
        <row r="4916">
          <cell r="A4916">
            <v>23054</v>
          </cell>
          <cell r="B4916" t="str">
            <v>LAZZUDUR PU VERMELHO FLASH 675ML-21,94-ST</v>
          </cell>
          <cell r="C4916" t="str">
            <v>55.00.01149-244</v>
          </cell>
          <cell r="D4916" t="str">
            <v>SHERWIN WILLIAMS</v>
          </cell>
          <cell r="E4916">
            <v>20003</v>
          </cell>
          <cell r="F4916" t="str">
            <v>TINTAS PU</v>
          </cell>
          <cell r="G4916" t="str">
            <v>AUTOMOTIVO</v>
          </cell>
        </row>
        <row r="4917">
          <cell r="A4917">
            <v>21801</v>
          </cell>
          <cell r="B4917" t="str">
            <v>MIXING FLEET COLOR PU VERMELHO ESCARLATE -21,94-ST</v>
          </cell>
          <cell r="C4917" t="str">
            <v>67.00.FC616-027</v>
          </cell>
          <cell r="D4917" t="str">
            <v>.</v>
          </cell>
          <cell r="E4917">
            <v>20003</v>
          </cell>
          <cell r="F4917" t="str">
            <v>TINTAS PU</v>
          </cell>
          <cell r="G4917" t="str">
            <v>AUTOMOTIVO</v>
          </cell>
        </row>
        <row r="4918">
          <cell r="A4918">
            <v>84901</v>
          </cell>
          <cell r="B4918" t="str">
            <v>KIT PU VERDE 2,5 G 5/10 3,6L</v>
          </cell>
          <cell r="C4918" t="str">
            <v>KT 152264126</v>
          </cell>
          <cell r="D4918" t="str">
            <v>BRASILUX</v>
          </cell>
          <cell r="E4918">
            <v>20003</v>
          </cell>
          <cell r="F4918" t="str">
            <v>EPOXI</v>
          </cell>
          <cell r="G4918" t="str">
            <v>INDUSTRIAL</v>
          </cell>
        </row>
        <row r="4919">
          <cell r="A4919">
            <v>84418</v>
          </cell>
          <cell r="B4919" t="str">
            <v>PU AMARELO IMPERIAL VW 75. 0,675ML SKY-21,94-ST</v>
          </cell>
          <cell r="C4919" t="str">
            <v>6100201501D4</v>
          </cell>
          <cell r="D4919" t="str">
            <v>SKY</v>
          </cell>
          <cell r="E4919">
            <v>20003</v>
          </cell>
          <cell r="F4919" t="str">
            <v>TINTAS PU</v>
          </cell>
          <cell r="G4919" t="str">
            <v>AUTOMOTIVO</v>
          </cell>
        </row>
        <row r="4920">
          <cell r="A4920">
            <v>24145</v>
          </cell>
          <cell r="B4920" t="str">
            <v>PU BRANCO  POLAR HYUNDAI 0,675ML SKY-21,94-ST</v>
          </cell>
          <cell r="C4920" t="str">
            <v>6107234201D4</v>
          </cell>
          <cell r="D4920" t="str">
            <v>SKY</v>
          </cell>
          <cell r="E4920">
            <v>20003</v>
          </cell>
          <cell r="F4920" t="str">
            <v>TINTAS PU</v>
          </cell>
          <cell r="G4920" t="str">
            <v>AUTOMOTIVO</v>
          </cell>
        </row>
        <row r="4921">
          <cell r="A4921">
            <v>85</v>
          </cell>
          <cell r="B4921" t="str">
            <v>PU BRANCO 9004 MBB 91 0,675ML SKY-21,93-ST</v>
          </cell>
          <cell r="C4921">
            <v>610050340119</v>
          </cell>
          <cell r="D4921" t="str">
            <v>SKY</v>
          </cell>
          <cell r="E4921">
            <v>20003</v>
          </cell>
          <cell r="F4921" t="str">
            <v>TINTAS PU</v>
          </cell>
          <cell r="G4921" t="str">
            <v>AUTOMOTIVO</v>
          </cell>
        </row>
        <row r="4922">
          <cell r="A4922">
            <v>24142</v>
          </cell>
          <cell r="B4922" t="str">
            <v>PU BRANCO ARTICO III FORD 98 0,675ML SKY-21,46-ST</v>
          </cell>
          <cell r="C4922" t="str">
            <v>6100188101D4</v>
          </cell>
          <cell r="D4922" t="str">
            <v>SKY</v>
          </cell>
          <cell r="E4922">
            <v>20003</v>
          </cell>
          <cell r="F4922" t="str">
            <v>TINTAS PU</v>
          </cell>
          <cell r="G4922" t="str">
            <v>AUTOMOTIVO</v>
          </cell>
        </row>
        <row r="4923">
          <cell r="A4923">
            <v>24143</v>
          </cell>
          <cell r="B4923" t="str">
            <v>PU BRANCO BANCHISA VI FIAT 96/20 0,675ML SKY-21,46-ST</v>
          </cell>
          <cell r="C4923">
            <v>610035990119</v>
          </cell>
          <cell r="D4923" t="str">
            <v>SKY</v>
          </cell>
          <cell r="E4923">
            <v>20003</v>
          </cell>
          <cell r="F4923" t="str">
            <v>TINTAS PU</v>
          </cell>
          <cell r="G4923" t="str">
            <v>AUTOMOTIVO</v>
          </cell>
        </row>
        <row r="4924">
          <cell r="A4924">
            <v>24151</v>
          </cell>
          <cell r="B4924" t="str">
            <v>PU BRANCO CRISTAL II VW 99 0,675ML SKY-21,46-ST</v>
          </cell>
          <cell r="C4924">
            <v>610023200119</v>
          </cell>
          <cell r="D4924" t="str">
            <v>SKY</v>
          </cell>
          <cell r="E4924">
            <v>20003</v>
          </cell>
          <cell r="F4924" t="str">
            <v>TINTAS PU</v>
          </cell>
          <cell r="G4924" t="str">
            <v>AUTOMOTIVO</v>
          </cell>
        </row>
        <row r="4925">
          <cell r="A4925">
            <v>114</v>
          </cell>
          <cell r="B4925" t="str">
            <v>PU BRANCO GEADA VW 95 0,675ML SKY-21,45-ST</v>
          </cell>
          <cell r="C4925">
            <v>610020380119</v>
          </cell>
          <cell r="D4925" t="str">
            <v>SKY</v>
          </cell>
          <cell r="E4925">
            <v>20003</v>
          </cell>
          <cell r="F4925" t="str">
            <v>TINTAS PU</v>
          </cell>
          <cell r="G4925" t="str">
            <v>AUTOMOTIVO</v>
          </cell>
        </row>
        <row r="4926">
          <cell r="A4926">
            <v>24118</v>
          </cell>
          <cell r="B4926" t="str">
            <v>PU BRANCO GLACIER II RENAULT 90/20 0,675ML SKY-21,93-ST</v>
          </cell>
          <cell r="C4926">
            <v>610751120119</v>
          </cell>
          <cell r="D4926" t="str">
            <v>SKY</v>
          </cell>
          <cell r="E4926">
            <v>20003</v>
          </cell>
          <cell r="F4926" t="str">
            <v>TINTAS PU</v>
          </cell>
          <cell r="G4926" t="str">
            <v>AUTOMOTIVO</v>
          </cell>
        </row>
        <row r="4927">
          <cell r="A4927">
            <v>113</v>
          </cell>
          <cell r="B4927" t="str">
            <v>PU BRANCO GLACIER III RENAULT 90/20 0,675ML SKY-21,46-ST</v>
          </cell>
          <cell r="C4927">
            <v>610072920119</v>
          </cell>
          <cell r="D4927" t="str">
            <v>SKY</v>
          </cell>
          <cell r="E4927">
            <v>20003</v>
          </cell>
          <cell r="F4927" t="str">
            <v>TINTAS PU</v>
          </cell>
          <cell r="G4927" t="str">
            <v>AUTOMOTIVO</v>
          </cell>
        </row>
        <row r="4928">
          <cell r="A4928">
            <v>24147</v>
          </cell>
          <cell r="B4928" t="str">
            <v>PU BRANCO MAHLER II GM 0,675ML SKY-21,46-ST</v>
          </cell>
          <cell r="C4928">
            <v>610043480119</v>
          </cell>
          <cell r="D4928" t="str">
            <v>SKY</v>
          </cell>
          <cell r="E4928">
            <v>20003</v>
          </cell>
          <cell r="F4928" t="str">
            <v>TINTAS PU</v>
          </cell>
          <cell r="G4928" t="str">
            <v>AUTOMOTIVO</v>
          </cell>
        </row>
        <row r="4929">
          <cell r="A4929">
            <v>93</v>
          </cell>
          <cell r="B4929" t="str">
            <v>PU BRANCO NCS 1000 SCANIA 92 0,675ML SKY-21,93-ST</v>
          </cell>
          <cell r="C4929">
            <v>610009790119</v>
          </cell>
          <cell r="D4929" t="str">
            <v>SKY</v>
          </cell>
          <cell r="E4929">
            <v>20003</v>
          </cell>
          <cell r="F4929" t="str">
            <v>TINTAS PU</v>
          </cell>
          <cell r="G4929" t="str">
            <v>AUTOMOTIVO</v>
          </cell>
        </row>
        <row r="4930">
          <cell r="A4930">
            <v>107</v>
          </cell>
          <cell r="B4930" t="str">
            <v>PU BRANCO PURO 0,675ML SKY-21,45-ST</v>
          </cell>
          <cell r="C4930">
            <v>610009500119</v>
          </cell>
          <cell r="D4930" t="str">
            <v>SKY</v>
          </cell>
          <cell r="E4930">
            <v>20003</v>
          </cell>
          <cell r="F4930" t="str">
            <v>TINTAS PU</v>
          </cell>
          <cell r="G4930" t="str">
            <v>AUTOMOTIVO</v>
          </cell>
        </row>
        <row r="4931">
          <cell r="A4931">
            <v>24138</v>
          </cell>
          <cell r="B4931" t="str">
            <v>PU BRANCO SUMMIT IV 0,675ML SKY-21,46-ST</v>
          </cell>
          <cell r="C4931">
            <v>610049460119</v>
          </cell>
          <cell r="D4931" t="str">
            <v>SKY</v>
          </cell>
          <cell r="E4931">
            <v>20003</v>
          </cell>
          <cell r="F4931" t="str">
            <v>TINTAS PU</v>
          </cell>
          <cell r="G4931" t="str">
            <v>AUTOMOTIVO</v>
          </cell>
        </row>
        <row r="4932">
          <cell r="A4932">
            <v>24152</v>
          </cell>
          <cell r="B4932" t="str">
            <v>PU CINZA URANO VW 01 0,675ML SKY-21,46-ST</v>
          </cell>
          <cell r="C4932">
            <v>610021360119</v>
          </cell>
          <cell r="D4932" t="str">
            <v>SKY</v>
          </cell>
          <cell r="E4932">
            <v>20003</v>
          </cell>
          <cell r="F4932" t="str">
            <v>TINTAS PU</v>
          </cell>
          <cell r="G4932" t="str">
            <v>AUTOMOTIVO</v>
          </cell>
        </row>
        <row r="4933">
          <cell r="A4933">
            <v>24027</v>
          </cell>
          <cell r="B4933" t="str">
            <v>PU PRETO CADILLAC 0,675ML SKY-21,46-ST</v>
          </cell>
          <cell r="C4933">
            <v>610009100119</v>
          </cell>
          <cell r="D4933" t="str">
            <v>SKY</v>
          </cell>
          <cell r="E4933">
            <v>20003</v>
          </cell>
          <cell r="F4933" t="str">
            <v>TINTAS PU</v>
          </cell>
          <cell r="G4933" t="str">
            <v>AUTOMOTIVO</v>
          </cell>
        </row>
        <row r="4934">
          <cell r="A4934">
            <v>24140</v>
          </cell>
          <cell r="B4934" t="str">
            <v>PU PRETO LISZT GM 94 0,675ML SKY-21,46-ST</v>
          </cell>
          <cell r="C4934">
            <v>610041100119</v>
          </cell>
          <cell r="D4934" t="str">
            <v>SKY</v>
          </cell>
          <cell r="E4934">
            <v>20003</v>
          </cell>
          <cell r="F4934" t="str">
            <v>TINTAS PU</v>
          </cell>
          <cell r="G4934" t="str">
            <v>AUTOMOTIVO</v>
          </cell>
        </row>
        <row r="4935">
          <cell r="A4935">
            <v>24135</v>
          </cell>
          <cell r="B4935" t="str">
            <v>PU PRETO NINJA 0,675ML SKY-21,46-ST</v>
          </cell>
          <cell r="C4935">
            <v>610021600119</v>
          </cell>
          <cell r="D4935" t="str">
            <v>SKY</v>
          </cell>
          <cell r="E4935">
            <v>20003</v>
          </cell>
          <cell r="F4935" t="str">
            <v>TINTAS PU</v>
          </cell>
          <cell r="G4935" t="str">
            <v>AUTOMOTIVO</v>
          </cell>
        </row>
        <row r="4936">
          <cell r="A4936">
            <v>24028</v>
          </cell>
          <cell r="B4936" t="str">
            <v>PU PRETO VULCANO 0,675ML SKY-21,45-ST</v>
          </cell>
          <cell r="C4936" t="str">
            <v>610033780119.</v>
          </cell>
          <cell r="D4936" t="str">
            <v>SKY</v>
          </cell>
          <cell r="E4936">
            <v>20003</v>
          </cell>
          <cell r="F4936" t="str">
            <v>TINTAS PU</v>
          </cell>
          <cell r="G4936" t="str">
            <v>AUTOMOTIVO</v>
          </cell>
        </row>
        <row r="4937">
          <cell r="A4937">
            <v>24141</v>
          </cell>
          <cell r="B4937" t="str">
            <v>PU VERMELHO ALPINE FIAT 96 0,675ML SKY-21,45-ST</v>
          </cell>
          <cell r="C4937" t="str">
            <v>6100312101D4</v>
          </cell>
          <cell r="D4937" t="str">
            <v>SKY</v>
          </cell>
          <cell r="E4937">
            <v>20003</v>
          </cell>
          <cell r="F4937" t="str">
            <v>TINTAS PU</v>
          </cell>
          <cell r="G4937" t="str">
            <v>AUTOMOTIVO</v>
          </cell>
        </row>
        <row r="4938">
          <cell r="A4938">
            <v>24036</v>
          </cell>
          <cell r="B4938" t="str">
            <v>PU VERMELHO FLASH II 0,675ML SKY-21,45-ST</v>
          </cell>
          <cell r="C4938" t="str">
            <v>6100201401D4</v>
          </cell>
          <cell r="D4938" t="str">
            <v>SKY</v>
          </cell>
          <cell r="E4938">
            <v>20003</v>
          </cell>
          <cell r="F4938" t="str">
            <v>TINTAS PU</v>
          </cell>
          <cell r="G4938" t="str">
            <v>AUTOMOTIVO</v>
          </cell>
        </row>
        <row r="4939">
          <cell r="A4939">
            <v>24139</v>
          </cell>
          <cell r="B4939" t="str">
            <v>PU VERMELHO LYRA GM04 0,675ML SKY-21,46-ST</v>
          </cell>
          <cell r="C4939">
            <v>610041140119</v>
          </cell>
          <cell r="D4939" t="str">
            <v>SKY</v>
          </cell>
          <cell r="E4939">
            <v>20003</v>
          </cell>
          <cell r="F4939" t="str">
            <v>TINTAS PU</v>
          </cell>
          <cell r="G4939" t="str">
            <v>AUTOMOTIVO</v>
          </cell>
        </row>
        <row r="4940">
          <cell r="A4940">
            <v>24144</v>
          </cell>
          <cell r="B4940" t="str">
            <v>PU VERMELHO TORNADO VW 0,675ML SKY-21,46-ST</v>
          </cell>
          <cell r="C4940">
            <v>610023270119</v>
          </cell>
          <cell r="D4940" t="str">
            <v>SKY</v>
          </cell>
          <cell r="E4940">
            <v>20003</v>
          </cell>
          <cell r="F4940" t="str">
            <v>TINTAS PU</v>
          </cell>
          <cell r="G4940" t="str">
            <v>AUTOMOTIVO</v>
          </cell>
        </row>
        <row r="4941">
          <cell r="A4941">
            <v>85314</v>
          </cell>
          <cell r="B4941" t="str">
            <v>TINTA TECNICA ESPECIAL - KIT POWER PISO CINZA CLARO KIT 3,6</v>
          </cell>
          <cell r="C4941" t="str">
            <v>KT 150603126</v>
          </cell>
          <cell r="D4941" t="str">
            <v>BRASILUX</v>
          </cell>
          <cell r="E4941">
            <v>20003</v>
          </cell>
          <cell r="F4941" t="str">
            <v>TINTAS PU</v>
          </cell>
          <cell r="G4941" t="str">
            <v>AUTOMOTIVO</v>
          </cell>
        </row>
        <row r="4942">
          <cell r="A4942">
            <v>21428</v>
          </cell>
          <cell r="B4942" t="str">
            <v>ALUMINIO OPALESCENTE P/ RODAS 900ML LAZZURIL-21,46-ST</v>
          </cell>
          <cell r="C4942" t="str">
            <v>02.20.00922-004</v>
          </cell>
          <cell r="D4942" t="str">
            <v>SHERWIN WILLIAMS</v>
          </cell>
          <cell r="E4942">
            <v>20002</v>
          </cell>
          <cell r="F4942" t="str">
            <v>TINTAS POLIÉSTER</v>
          </cell>
          <cell r="G4942" t="str">
            <v>AUTOMOTIVO</v>
          </cell>
        </row>
        <row r="4943">
          <cell r="A4943">
            <v>89</v>
          </cell>
          <cell r="B4943" t="str">
            <v>BP AMARELO IMOLA LISA VW 06 0,900ML SKY-21,94-ST</v>
          </cell>
          <cell r="C4943">
            <v>210020180101</v>
          </cell>
          <cell r="D4943" t="str">
            <v>SKY</v>
          </cell>
          <cell r="E4943">
            <v>20002</v>
          </cell>
          <cell r="F4943" t="str">
            <v>TINTAS POLIÉSTER</v>
          </cell>
          <cell r="G4943" t="str">
            <v>AUTOMOTIVO</v>
          </cell>
        </row>
        <row r="4944">
          <cell r="A4944">
            <v>23373</v>
          </cell>
          <cell r="B4944" t="str">
            <v>BP AZUL BUZIOS FIAT 2000 900ML WANDA-21,45-ST</v>
          </cell>
          <cell r="C4944">
            <v>529520</v>
          </cell>
          <cell r="D4944" t="str">
            <v>WANDA</v>
          </cell>
          <cell r="E4944">
            <v>20002</v>
          </cell>
          <cell r="F4944" t="str">
            <v>TINTAS POLIÉSTER</v>
          </cell>
          <cell r="G4944" t="str">
            <v>AUTOMOTIVO</v>
          </cell>
        </row>
        <row r="4945">
          <cell r="A4945">
            <v>105</v>
          </cell>
          <cell r="B4945" t="str">
            <v>BP AZUL BUZIOS LISA FIAT 01/16 0,900ML SKY-21,94-ST</v>
          </cell>
          <cell r="C4945">
            <v>210031160101</v>
          </cell>
          <cell r="D4945" t="str">
            <v>SKY</v>
          </cell>
          <cell r="E4945">
            <v>20002</v>
          </cell>
          <cell r="F4945" t="str">
            <v>TINTAS POLIÉSTER</v>
          </cell>
          <cell r="G4945" t="str">
            <v>AUTOMOTIVO</v>
          </cell>
        </row>
        <row r="4946">
          <cell r="A4946">
            <v>101</v>
          </cell>
          <cell r="B4946" t="str">
            <v>BP BEGE ARTIO MET. GM 09 0,900ML SKY-21,94-ST</v>
          </cell>
          <cell r="C4946">
            <v>211049250101</v>
          </cell>
          <cell r="D4946" t="str">
            <v>SKY</v>
          </cell>
          <cell r="E4946">
            <v>20002</v>
          </cell>
          <cell r="F4946" t="str">
            <v>TINTAS POLIÉSTER</v>
          </cell>
          <cell r="G4946" t="str">
            <v>AUTOMOTIVO</v>
          </cell>
        </row>
        <row r="4947">
          <cell r="A4947">
            <v>88</v>
          </cell>
          <cell r="B4947" t="str">
            <v>BP BEGE DESERT MET. GM 11/16 0,900ML SKY-21,94-ST</v>
          </cell>
          <cell r="C4947">
            <v>211040420101</v>
          </cell>
          <cell r="D4947" t="str">
            <v>SKY</v>
          </cell>
          <cell r="E4947">
            <v>20002</v>
          </cell>
          <cell r="F4947" t="str">
            <v>TINTAS POLIÉSTER</v>
          </cell>
          <cell r="G4947" t="str">
            <v>AUTOMOTIVO</v>
          </cell>
        </row>
        <row r="4948">
          <cell r="A4948">
            <v>24124</v>
          </cell>
          <cell r="B4948" t="str">
            <v>BP BEGE HAZEL MET. GM 07 0,900ML SKY-21,93-ST</v>
          </cell>
          <cell r="C4948">
            <v>211044150101</v>
          </cell>
          <cell r="D4948" t="str">
            <v>SKY</v>
          </cell>
          <cell r="E4948">
            <v>20002</v>
          </cell>
          <cell r="F4948" t="str">
            <v>TINTAS POLIÉSTER</v>
          </cell>
          <cell r="G4948" t="str">
            <v>AUTOMOTIVO</v>
          </cell>
        </row>
        <row r="4949">
          <cell r="A4949">
            <v>83950</v>
          </cell>
          <cell r="B4949" t="str">
            <v>BP BEGE SAVANAH METALICO FIAT 2005 900ML WANDA-21,93-ST</v>
          </cell>
          <cell r="C4949">
            <v>563772</v>
          </cell>
          <cell r="D4949" t="str">
            <v>WANDA</v>
          </cell>
          <cell r="E4949">
            <v>20002</v>
          </cell>
          <cell r="F4949" t="str">
            <v>TINTAS POLIÉSTER</v>
          </cell>
          <cell r="G4949" t="str">
            <v>AUTOMOTIVO</v>
          </cell>
        </row>
        <row r="4950">
          <cell r="A4950">
            <v>104</v>
          </cell>
          <cell r="B4950" t="str">
            <v>BP BEGE SAVANNAH MET. FIAT 06/16 0,900ML SKY-21,93-ST</v>
          </cell>
          <cell r="C4950">
            <v>211035690101</v>
          </cell>
          <cell r="D4950" t="str">
            <v>SKY</v>
          </cell>
          <cell r="E4950">
            <v>20002</v>
          </cell>
          <cell r="F4950" t="str">
            <v>TINTAS POLIÉSTER</v>
          </cell>
          <cell r="G4950" t="str">
            <v>AUTOMOTIVO</v>
          </cell>
        </row>
        <row r="4951">
          <cell r="A4951">
            <v>84550</v>
          </cell>
          <cell r="B4951" t="str">
            <v>BP BLACK NOIR PEARL HY 900ML WANDA-21,67-ST</v>
          </cell>
          <cell r="C4951">
            <v>552821</v>
          </cell>
          <cell r="D4951" t="str">
            <v>WANDA</v>
          </cell>
          <cell r="E4951">
            <v>20002</v>
          </cell>
          <cell r="F4951" t="str">
            <v>TINTAS POLIÉSTER</v>
          </cell>
          <cell r="G4951" t="str">
            <v>AUTOMOTIVO</v>
          </cell>
        </row>
        <row r="4952">
          <cell r="A4952">
            <v>24001</v>
          </cell>
          <cell r="B4952" t="str">
            <v>BP BLACK NOIR PER. HYUNDAI 10/19 0,900ML SKY-21,94-ST</v>
          </cell>
          <cell r="C4952">
            <v>213707790101</v>
          </cell>
          <cell r="D4952" t="str">
            <v>SKY</v>
          </cell>
          <cell r="E4952">
            <v>20002</v>
          </cell>
          <cell r="F4952" t="str">
            <v>TINTAS POLIÉSTER</v>
          </cell>
          <cell r="G4952" t="str">
            <v>AUTOMOTIVO</v>
          </cell>
        </row>
        <row r="4953">
          <cell r="A4953">
            <v>106</v>
          </cell>
          <cell r="B4953" t="str">
            <v>BP BRANCO AMBIENTE II LISA FIAT/JEEP 07/22 0,900ML SKY-21,94-ST</v>
          </cell>
          <cell r="C4953" t="str">
            <v>2100315001B8</v>
          </cell>
          <cell r="D4953" t="str">
            <v>SKY</v>
          </cell>
          <cell r="E4953">
            <v>20002</v>
          </cell>
          <cell r="F4953" t="str">
            <v>TINTAS POLIÉSTER</v>
          </cell>
          <cell r="G4953" t="str">
            <v>AUTOMOTIVO</v>
          </cell>
        </row>
        <row r="4954">
          <cell r="A4954">
            <v>23375</v>
          </cell>
          <cell r="B4954" t="str">
            <v>BP BRANCO ARTICO FORD 1998 900ML WANDA-21,94-ST</v>
          </cell>
          <cell r="C4954">
            <v>529550</v>
          </cell>
          <cell r="D4954" t="str">
            <v>WANDA</v>
          </cell>
          <cell r="E4954">
            <v>20002</v>
          </cell>
          <cell r="F4954" t="str">
            <v>TINTAS POLIÉSTER</v>
          </cell>
          <cell r="G4954" t="str">
            <v>AUTOMOTIVO</v>
          </cell>
        </row>
        <row r="4955">
          <cell r="A4955">
            <v>24031</v>
          </cell>
          <cell r="B4955" t="str">
            <v>BP BRANCO ARTICO III LISA FORD 98 0,900ML SKY-21,45-ST</v>
          </cell>
          <cell r="C4955">
            <v>210018810101</v>
          </cell>
          <cell r="D4955" t="str">
            <v>SKY</v>
          </cell>
          <cell r="E4955">
            <v>20002</v>
          </cell>
          <cell r="F4955" t="str">
            <v>TINTAS POLIÉSTER</v>
          </cell>
          <cell r="G4955" t="str">
            <v>AUTOMOTIVO</v>
          </cell>
        </row>
        <row r="4956">
          <cell r="A4956">
            <v>98</v>
          </cell>
          <cell r="B4956" t="str">
            <v>BP BRANCO ASPEN LISA NISSAN 11/17 0,900ML SKY-21,94-ST</v>
          </cell>
          <cell r="C4956">
            <v>210711110101</v>
          </cell>
          <cell r="D4956" t="str">
            <v>SKY</v>
          </cell>
          <cell r="E4956">
            <v>20002</v>
          </cell>
          <cell r="F4956" t="str">
            <v>TINTAS POLIÉSTER</v>
          </cell>
          <cell r="G4956" t="str">
            <v>AUTOMOTIVO</v>
          </cell>
        </row>
        <row r="4957">
          <cell r="A4957">
            <v>21008</v>
          </cell>
          <cell r="B4957" t="str">
            <v>BP BRANCO BANCHISA FIAT 1996 900ML WANDA-21,46-ST</v>
          </cell>
          <cell r="C4957">
            <v>529497</v>
          </cell>
          <cell r="D4957" t="str">
            <v>WANDA</v>
          </cell>
          <cell r="E4957">
            <v>20002</v>
          </cell>
          <cell r="F4957" t="str">
            <v>TINTAS POLIÉSTER</v>
          </cell>
          <cell r="G4957" t="str">
            <v>AUTOMOTIVO</v>
          </cell>
        </row>
        <row r="4958">
          <cell r="A4958">
            <v>85149</v>
          </cell>
          <cell r="B4958" t="str">
            <v>BP BRANCO BANCHISA FIAT 96 900ML BRASIDUR</v>
          </cell>
          <cell r="C4958" t="str">
            <v>BP 340514201</v>
          </cell>
          <cell r="D4958" t="str">
            <v>BRASILUX</v>
          </cell>
          <cell r="E4958">
            <v>20002</v>
          </cell>
          <cell r="F4958" t="str">
            <v>TINTAS POLIÉSTER</v>
          </cell>
          <cell r="G4958" t="str">
            <v>AUTOMOTIVO</v>
          </cell>
        </row>
        <row r="4959">
          <cell r="A4959">
            <v>24017</v>
          </cell>
          <cell r="B4959" t="str">
            <v>BP BRANCO BANCHISA VI LISA FIAT 96/20 0,900ML SKY-21,46-ST</v>
          </cell>
          <cell r="C4959">
            <v>210035990101</v>
          </cell>
          <cell r="D4959" t="str">
            <v>SKY</v>
          </cell>
          <cell r="E4959">
            <v>20002</v>
          </cell>
          <cell r="F4959" t="str">
            <v>TINTAS POLIÉSTER</v>
          </cell>
          <cell r="G4959" t="str">
            <v>AUTOMOTIVO</v>
          </cell>
        </row>
        <row r="4960">
          <cell r="A4960">
            <v>87</v>
          </cell>
          <cell r="B4960" t="str">
            <v>BP BRANCO BANQUISE LISA PEUGEOT 01/16 0,900ML SKY-21,94-ST</v>
          </cell>
          <cell r="C4960">
            <v>210783130101</v>
          </cell>
          <cell r="D4960" t="str">
            <v>SKY</v>
          </cell>
          <cell r="E4960">
            <v>20002</v>
          </cell>
          <cell r="F4960" t="str">
            <v>TINTAS POLIÉSTER</v>
          </cell>
          <cell r="G4960" t="str">
            <v>AUTOMOTIVO</v>
          </cell>
        </row>
        <row r="4961">
          <cell r="A4961">
            <v>80</v>
          </cell>
          <cell r="B4961" t="str">
            <v>BP BRANCO BOSSA NOVA LISA TOYOTA 97/17 0,900ML SKY-21,94-ST</v>
          </cell>
          <cell r="C4961">
            <v>210081080101</v>
          </cell>
          <cell r="D4961" t="str">
            <v>SKY</v>
          </cell>
          <cell r="E4961">
            <v>20002</v>
          </cell>
          <cell r="F4961" t="str">
            <v>TINTAS POLIÉSTER</v>
          </cell>
          <cell r="G4961" t="str">
            <v>AUTOMOTIVO</v>
          </cell>
        </row>
        <row r="4962">
          <cell r="A4962">
            <v>24008</v>
          </cell>
          <cell r="B4962" t="str">
            <v>BP BRANCO CRISTAL II LISA VW 99 0,900ML SKY-21,46-ST</v>
          </cell>
          <cell r="C4962">
            <v>210023200101</v>
          </cell>
          <cell r="D4962" t="str">
            <v>SKY</v>
          </cell>
          <cell r="E4962">
            <v>20002</v>
          </cell>
          <cell r="F4962" t="str">
            <v>TINTAS POLIÉSTER</v>
          </cell>
          <cell r="G4962" t="str">
            <v>AUTOMOTIVO</v>
          </cell>
        </row>
        <row r="4963">
          <cell r="A4963">
            <v>22955</v>
          </cell>
          <cell r="B4963" t="str">
            <v>BP BRANCO CRISTAL VW 1997 900ML WANDA-21,67-ST</v>
          </cell>
          <cell r="C4963">
            <v>529513</v>
          </cell>
          <cell r="D4963" t="str">
            <v>WANDA</v>
          </cell>
          <cell r="E4963">
            <v>20002</v>
          </cell>
          <cell r="F4963" t="str">
            <v>TINTAS POLIÉSTER</v>
          </cell>
          <cell r="G4963" t="str">
            <v>AUTOMOTIVO</v>
          </cell>
        </row>
        <row r="4964">
          <cell r="A4964">
            <v>85152</v>
          </cell>
          <cell r="B4964" t="str">
            <v>BP BRANCO CRISTAL VW 2012 900ML BRASIDUR</v>
          </cell>
          <cell r="C4964" t="str">
            <v>BP 340543401</v>
          </cell>
          <cell r="D4964" t="str">
            <v>BRASILUX</v>
          </cell>
          <cell r="E4964">
            <v>20002</v>
          </cell>
          <cell r="F4964" t="str">
            <v>TINTAS POLIÉSTER</v>
          </cell>
          <cell r="G4964" t="str">
            <v>AUTOMOTIVO</v>
          </cell>
        </row>
        <row r="4965">
          <cell r="A4965">
            <v>108</v>
          </cell>
          <cell r="B4965" t="str">
            <v>BP BRANCO GEADA LISA VW 95 0,900ML SKY-21,46-ST</v>
          </cell>
          <cell r="C4965">
            <v>210020380101</v>
          </cell>
          <cell r="D4965" t="str">
            <v>SKY</v>
          </cell>
          <cell r="E4965">
            <v>20002</v>
          </cell>
          <cell r="F4965" t="str">
            <v>TINTAS POLIÉSTER</v>
          </cell>
          <cell r="G4965" t="str">
            <v>AUTOMOTIVO</v>
          </cell>
        </row>
        <row r="4966">
          <cell r="A4966">
            <v>21003</v>
          </cell>
          <cell r="B4966" t="str">
            <v>BP BRANCO GEADA VW 1995 900ML WANDA-21,94-ST</v>
          </cell>
          <cell r="C4966">
            <v>529492</v>
          </cell>
          <cell r="D4966" t="str">
            <v>WANDA</v>
          </cell>
          <cell r="E4966">
            <v>20002</v>
          </cell>
          <cell r="F4966" t="str">
            <v>TINTAS POLIÉSTER</v>
          </cell>
          <cell r="G4966" t="str">
            <v>AUTOMOTIVO</v>
          </cell>
        </row>
        <row r="4967">
          <cell r="A4967">
            <v>24000</v>
          </cell>
          <cell r="B4967" t="str">
            <v>BP BRANCO GLACIER II LISA RENAULT 90/20 0,900ML SKY-21,94-ST</v>
          </cell>
          <cell r="C4967">
            <v>210751120101</v>
          </cell>
          <cell r="D4967" t="str">
            <v>SKY</v>
          </cell>
          <cell r="E4967">
            <v>20002</v>
          </cell>
          <cell r="F4967" t="str">
            <v>TINTAS POLIÉSTER</v>
          </cell>
          <cell r="G4967" t="str">
            <v>AUTOMOTIVO</v>
          </cell>
        </row>
        <row r="4968">
          <cell r="A4968">
            <v>24414</v>
          </cell>
          <cell r="B4968" t="str">
            <v>BP BRANCO GLACIER III LISA RENAULT 90/20 0,900ML SKY-21,46-ST</v>
          </cell>
          <cell r="C4968" t="str">
            <v>2100729201B8</v>
          </cell>
          <cell r="D4968" t="str">
            <v>SKY</v>
          </cell>
          <cell r="E4968">
            <v>20002</v>
          </cell>
          <cell r="F4968" t="str">
            <v>TINTAS POLIÉSTER</v>
          </cell>
          <cell r="G4968" t="str">
            <v>AUTOMOTIVO</v>
          </cell>
        </row>
        <row r="4969">
          <cell r="A4969">
            <v>84929</v>
          </cell>
          <cell r="B4969" t="str">
            <v>BP BRANCO GLACIER RENAULT 2000 900ML WANDA-21,94-ST</v>
          </cell>
          <cell r="C4969">
            <v>596329</v>
          </cell>
          <cell r="D4969" t="str">
            <v>WANDA</v>
          </cell>
          <cell r="E4969">
            <v>20002</v>
          </cell>
          <cell r="F4969" t="str">
            <v>TINTAS POLIÉSTER</v>
          </cell>
          <cell r="G4969" t="str">
            <v>AUTOMOTIVO</v>
          </cell>
        </row>
        <row r="4970">
          <cell r="A4970">
            <v>21303</v>
          </cell>
          <cell r="B4970" t="str">
            <v>BP BRANCO MAHLER GM 1994 900ML WANDA-21,94-ST</v>
          </cell>
          <cell r="C4970">
            <v>529498</v>
          </cell>
          <cell r="D4970" t="str">
            <v>WANDA</v>
          </cell>
          <cell r="E4970">
            <v>20002</v>
          </cell>
          <cell r="F4970" t="str">
            <v>TINTAS POLIÉSTER</v>
          </cell>
          <cell r="G4970" t="str">
            <v>AUTOMOTIVO</v>
          </cell>
        </row>
        <row r="4971">
          <cell r="A4971">
            <v>24006</v>
          </cell>
          <cell r="B4971" t="str">
            <v>BP BRANCO MAHLER II LISA GM 97 0,900ML SKY-21,94-ST</v>
          </cell>
          <cell r="C4971">
            <v>210043480101</v>
          </cell>
          <cell r="D4971" t="str">
            <v>SKY</v>
          </cell>
          <cell r="E4971">
            <v>20002</v>
          </cell>
          <cell r="F4971" t="str">
            <v>TINTAS POLIÉSTER</v>
          </cell>
          <cell r="G4971" t="str">
            <v>AUTOMOTIVO</v>
          </cell>
        </row>
        <row r="4972">
          <cell r="A4972">
            <v>23391</v>
          </cell>
          <cell r="B4972" t="str">
            <v>BP BRANCO POLAR HYU 2013 900ML WANDA-21,46-ST</v>
          </cell>
          <cell r="C4972">
            <v>547485</v>
          </cell>
          <cell r="D4972" t="str">
            <v>WANDA</v>
          </cell>
          <cell r="E4972">
            <v>20002</v>
          </cell>
          <cell r="F4972" t="str">
            <v>TINTAS POLIÉSTER</v>
          </cell>
          <cell r="G4972" t="str">
            <v>AUTOMOTIVO</v>
          </cell>
        </row>
        <row r="4973">
          <cell r="A4973">
            <v>85151</v>
          </cell>
          <cell r="B4973" t="str">
            <v>BP BRANCO POLAR HYUNDAI 900ML BRASIDUR</v>
          </cell>
          <cell r="C4973" t="str">
            <v>BP 340540601</v>
          </cell>
          <cell r="D4973" t="str">
            <v>BRASILUX</v>
          </cell>
          <cell r="E4973">
            <v>20002</v>
          </cell>
          <cell r="F4973" t="str">
            <v>TINTAS POLIÉSTER</v>
          </cell>
          <cell r="G4973" t="str">
            <v>AUTOMOTIVO</v>
          </cell>
        </row>
        <row r="4974">
          <cell r="A4974">
            <v>24125</v>
          </cell>
          <cell r="B4974" t="str">
            <v>BP BRANCO POLAR LISA HYUNDAI 12/19 0,900ML SKY-21,45-ST</v>
          </cell>
          <cell r="C4974">
            <v>210723420101</v>
          </cell>
          <cell r="D4974" t="str">
            <v>SKY</v>
          </cell>
          <cell r="E4974">
            <v>20002</v>
          </cell>
          <cell r="F4974" t="str">
            <v>TINTAS POLIÉSTER</v>
          </cell>
          <cell r="G4974" t="str">
            <v>AUTOMOTIVO</v>
          </cell>
        </row>
        <row r="4975">
          <cell r="A4975">
            <v>122</v>
          </cell>
          <cell r="B4975" t="str">
            <v>BP BRANCO PURO LISA VW 11/19 0,900ML SKY-21,94-ST</v>
          </cell>
          <cell r="C4975" t="str">
            <v>2100219801B8</v>
          </cell>
          <cell r="D4975" t="str">
            <v>SKY</v>
          </cell>
          <cell r="E4975">
            <v>20002</v>
          </cell>
          <cell r="F4975" t="str">
            <v>TINTAS POLIÉSTER</v>
          </cell>
          <cell r="G4975" t="str">
            <v>AUTOMOTIVO</v>
          </cell>
        </row>
        <row r="4976">
          <cell r="A4976">
            <v>83951</v>
          </cell>
          <cell r="B4976" t="str">
            <v>BP BRANCO REGENTE/POLAR TOYOTA 2016 900ML WANDA-21,93-ST</v>
          </cell>
          <cell r="C4976">
            <v>563771</v>
          </cell>
          <cell r="D4976" t="str">
            <v>WANDA</v>
          </cell>
          <cell r="E4976">
            <v>20002</v>
          </cell>
          <cell r="F4976" t="str">
            <v>TINTAS POLIÉSTER</v>
          </cell>
          <cell r="G4976" t="str">
            <v>AUTOMOTIVO</v>
          </cell>
        </row>
        <row r="4977">
          <cell r="A4977">
            <v>23377</v>
          </cell>
          <cell r="B4977" t="str">
            <v>BP BRANCO SUMMIT GM 2012 900ML WANDA-21,67-ST</v>
          </cell>
          <cell r="C4977">
            <v>547472</v>
          </cell>
          <cell r="D4977" t="str">
            <v>WANDA</v>
          </cell>
          <cell r="E4977">
            <v>20002</v>
          </cell>
          <cell r="F4977" t="str">
            <v>TINTAS POLIÉSTER</v>
          </cell>
          <cell r="G4977" t="str">
            <v>AUTOMOTIVO</v>
          </cell>
        </row>
        <row r="4978">
          <cell r="A4978">
            <v>85150</v>
          </cell>
          <cell r="B4978" t="str">
            <v>BP BRANCO SUMMIT GM 900ML BRASIDUR</v>
          </cell>
          <cell r="C4978" t="str">
            <v>BP 340529201</v>
          </cell>
          <cell r="D4978" t="str">
            <v>BRASILUX</v>
          </cell>
          <cell r="E4978">
            <v>20002</v>
          </cell>
          <cell r="F4978" t="str">
            <v>TINTAS POLIÉSTER</v>
          </cell>
          <cell r="G4978" t="str">
            <v>AUTOMOTIVO</v>
          </cell>
        </row>
        <row r="4979">
          <cell r="A4979">
            <v>24016</v>
          </cell>
          <cell r="B4979" t="str">
            <v>BP BRANCO SUMMIT IV LISA GM 11/20 0,900ML SKY-21,46-ST</v>
          </cell>
          <cell r="C4979">
            <v>210049460101</v>
          </cell>
          <cell r="D4979" t="str">
            <v>SKY</v>
          </cell>
          <cell r="E4979">
            <v>20002</v>
          </cell>
          <cell r="F4979" t="str">
            <v>TINTAS POLIÉSTER</v>
          </cell>
          <cell r="G4979" t="str">
            <v>AUTOMOTIVO</v>
          </cell>
        </row>
        <row r="4980">
          <cell r="A4980">
            <v>84709</v>
          </cell>
          <cell r="B4980" t="str">
            <v>BP BRANCO TAFFETA HONDA 2003 0,9L ST - 21,46</v>
          </cell>
          <cell r="C4980">
            <v>563985</v>
          </cell>
          <cell r="D4980" t="str">
            <v>WANDA</v>
          </cell>
          <cell r="E4980">
            <v>20002</v>
          </cell>
          <cell r="F4980" t="str">
            <v>TINTAS POLIÉSTER</v>
          </cell>
          <cell r="G4980" t="str">
            <v>AUTOMOTIVO</v>
          </cell>
        </row>
        <row r="4981">
          <cell r="A4981">
            <v>24155</v>
          </cell>
          <cell r="B4981" t="str">
            <v>BP BRANCO TAFFETA LISA HONDA 99 0,900ML SKY-21,46-ST</v>
          </cell>
          <cell r="C4981">
            <v>210763030101</v>
          </cell>
          <cell r="D4981" t="str">
            <v>SKY</v>
          </cell>
          <cell r="E4981">
            <v>20002</v>
          </cell>
          <cell r="F4981" t="str">
            <v>TINTAS POLIÉSTER</v>
          </cell>
          <cell r="G4981" t="str">
            <v>AUTOMOTIVO</v>
          </cell>
        </row>
        <row r="4982">
          <cell r="A4982">
            <v>24126</v>
          </cell>
          <cell r="B4982" t="str">
            <v>BP CARBON FLASH MET. GM 08/16 0,900ML SKY-21,45-ST</v>
          </cell>
          <cell r="C4982">
            <v>211040270101</v>
          </cell>
          <cell r="D4982" t="str">
            <v>SKY</v>
          </cell>
          <cell r="E4982">
            <v>20002</v>
          </cell>
          <cell r="F4982" t="str">
            <v>TINTAS POLIÉSTER</v>
          </cell>
          <cell r="G4982" t="str">
            <v>AUTOMOTIVO</v>
          </cell>
        </row>
        <row r="4983">
          <cell r="A4983">
            <v>24160</v>
          </cell>
          <cell r="B4983" t="str">
            <v>BP CINZA BLUET MET. GM 07/10 0,900ML SKY-21,45-ST</v>
          </cell>
          <cell r="C4983">
            <v>211044140101</v>
          </cell>
          <cell r="D4983" t="str">
            <v>SKY</v>
          </cell>
          <cell r="E4983">
            <v>20002</v>
          </cell>
          <cell r="F4983" t="str">
            <v>TINTAS POLIÉSTER</v>
          </cell>
          <cell r="G4983" t="str">
            <v>AUTOMOTIVO</v>
          </cell>
        </row>
        <row r="4984">
          <cell r="A4984">
            <v>103</v>
          </cell>
          <cell r="B4984" t="str">
            <v>BP CINZA COLIMA MET GM 04 0,900ML SKY-21,94-ST</v>
          </cell>
          <cell r="C4984">
            <v>211041170101</v>
          </cell>
          <cell r="D4984" t="str">
            <v>SKY</v>
          </cell>
          <cell r="E4984">
            <v>20002</v>
          </cell>
          <cell r="F4984" t="str">
            <v>TINTAS POLIÉSTER</v>
          </cell>
          <cell r="G4984" t="str">
            <v>AUTOMOTIVO</v>
          </cell>
        </row>
        <row r="4985">
          <cell r="A4985">
            <v>83952</v>
          </cell>
          <cell r="B4985" t="str">
            <v>BP CINZA CROMO MET FIAT 2007 900ML WANDA-21,93-ST</v>
          </cell>
          <cell r="C4985">
            <v>529524</v>
          </cell>
          <cell r="D4985" t="str">
            <v>WANDA</v>
          </cell>
          <cell r="E4985">
            <v>20002</v>
          </cell>
          <cell r="F4985" t="str">
            <v>TINTAS POLIÉSTER</v>
          </cell>
          <cell r="G4985" t="str">
            <v>AUTOMOTIVO</v>
          </cell>
        </row>
        <row r="4986">
          <cell r="A4986">
            <v>24009</v>
          </cell>
          <cell r="B4986" t="str">
            <v>BP CINZA CROMO PER. FIAT 08/16 0,900ML SKY-21,46-ST</v>
          </cell>
          <cell r="C4986">
            <v>213032460101</v>
          </cell>
          <cell r="D4986" t="str">
            <v>SKY</v>
          </cell>
          <cell r="E4986">
            <v>20002</v>
          </cell>
          <cell r="F4986" t="str">
            <v>TINTAS POLIÉSTER</v>
          </cell>
          <cell r="G4986" t="str">
            <v>AUTOMOTIVO</v>
          </cell>
        </row>
        <row r="4987">
          <cell r="A4987">
            <v>83953</v>
          </cell>
          <cell r="B4987" t="str">
            <v>BP CINZA GRAPHITE MET GM 2015 900ML WANDA-21,93-ST</v>
          </cell>
          <cell r="C4987">
            <v>563982</v>
          </cell>
          <cell r="D4987" t="str">
            <v>WANDA</v>
          </cell>
          <cell r="E4987">
            <v>20002</v>
          </cell>
          <cell r="F4987" t="str">
            <v>TINTAS POLIÉSTER</v>
          </cell>
          <cell r="G4987" t="str">
            <v>AUTOMOTIVO</v>
          </cell>
        </row>
        <row r="4988">
          <cell r="A4988">
            <v>126</v>
          </cell>
          <cell r="B4988" t="str">
            <v>BP CINZA HOLOGRAMA MET. RENAULT 00/11 0,900ML SKY-21,94-ST</v>
          </cell>
          <cell r="C4988">
            <v>211751020101</v>
          </cell>
          <cell r="D4988" t="str">
            <v>SKY</v>
          </cell>
          <cell r="E4988">
            <v>20002</v>
          </cell>
          <cell r="F4988" t="str">
            <v>TINTAS POLIÉSTER</v>
          </cell>
          <cell r="G4988" t="str">
            <v>AUTOMOTIVO</v>
          </cell>
        </row>
        <row r="4989">
          <cell r="A4989">
            <v>24004</v>
          </cell>
          <cell r="B4989" t="str">
            <v>BP CINZA IRIDIUM II MET. HONDA 00/20 0,900ML SKY-21,46-ST</v>
          </cell>
          <cell r="C4989">
            <v>211061080101</v>
          </cell>
          <cell r="D4989" t="str">
            <v>SKY</v>
          </cell>
          <cell r="E4989">
            <v>20002</v>
          </cell>
          <cell r="F4989" t="str">
            <v>TINTAS POLIÉSTER</v>
          </cell>
          <cell r="G4989" t="str">
            <v>AUTOMOTIVO</v>
          </cell>
        </row>
        <row r="4990">
          <cell r="A4990">
            <v>24037</v>
          </cell>
          <cell r="B4990" t="str">
            <v>BP CINZA ORIUM MET. GM 11 0,900ML SKY-21,94-ST</v>
          </cell>
          <cell r="C4990">
            <v>211040700101</v>
          </cell>
          <cell r="D4990" t="str">
            <v>SKY</v>
          </cell>
          <cell r="E4990">
            <v>20002</v>
          </cell>
          <cell r="F4990" t="str">
            <v>TINTAS POLIÉSTER</v>
          </cell>
          <cell r="G4990" t="str">
            <v>AUTOMOTIVO</v>
          </cell>
        </row>
        <row r="4991">
          <cell r="A4991">
            <v>23998</v>
          </cell>
          <cell r="B4991" t="str">
            <v>BP CINZA PALADIUM MET. HONDA 09 0,900ML SKY-21,46-ST</v>
          </cell>
          <cell r="C4991" t="str">
            <v>2117740501B8</v>
          </cell>
          <cell r="D4991" t="str">
            <v>SKY</v>
          </cell>
          <cell r="E4991">
            <v>20002</v>
          </cell>
          <cell r="F4991" t="str">
            <v>TINTAS POLIÉSTER</v>
          </cell>
          <cell r="G4991" t="str">
            <v>AUTOMOTIVO</v>
          </cell>
        </row>
        <row r="4992">
          <cell r="A4992">
            <v>24032</v>
          </cell>
          <cell r="B4992" t="str">
            <v>BP CINZA PLATINUM MET. VW 02/20 0,900ML SKY-21,46-ST</v>
          </cell>
          <cell r="C4992">
            <v>211028660101</v>
          </cell>
          <cell r="D4992" t="str">
            <v>SKY</v>
          </cell>
          <cell r="E4992">
            <v>20002</v>
          </cell>
          <cell r="F4992" t="str">
            <v>TINTAS POLIÉSTER</v>
          </cell>
          <cell r="G4992" t="str">
            <v>AUTOMOTIVO</v>
          </cell>
        </row>
        <row r="4993">
          <cell r="A4993">
            <v>85549</v>
          </cell>
          <cell r="B4993" t="str">
            <v>BP CINZA PLATINUM METÁLICO VW 2012/2020 900ML</v>
          </cell>
          <cell r="C4993">
            <v>607734</v>
          </cell>
          <cell r="D4993" t="str">
            <v>WANDA</v>
          </cell>
          <cell r="E4993">
            <v>20002</v>
          </cell>
          <cell r="F4993" t="str">
            <v>TINTAS POLIÉSTER</v>
          </cell>
          <cell r="G4993" t="str">
            <v>AUTOMOTIVO</v>
          </cell>
        </row>
        <row r="4994">
          <cell r="A4994">
            <v>83919</v>
          </cell>
          <cell r="B4994" t="str">
            <v>BP CINZA SATIN STEEL MET. GM 12/17 0,900ML SKY-21,45-ST</v>
          </cell>
          <cell r="C4994">
            <v>211040750101</v>
          </cell>
          <cell r="D4994" t="str">
            <v>SKY</v>
          </cell>
          <cell r="E4994">
            <v>20002</v>
          </cell>
          <cell r="F4994" t="str">
            <v>TINTAS POLIÉSTER</v>
          </cell>
          <cell r="G4994" t="str">
            <v>AUTOMOTIVO</v>
          </cell>
        </row>
        <row r="4995">
          <cell r="A4995">
            <v>23357</v>
          </cell>
          <cell r="B4995" t="str">
            <v>BP CINZA SCANDIUM MET FIAT 2003 900ML WANDA-21,67-ST</v>
          </cell>
          <cell r="C4995">
            <v>529511</v>
          </cell>
          <cell r="D4995" t="str">
            <v>WANDA</v>
          </cell>
          <cell r="E4995">
            <v>20002</v>
          </cell>
          <cell r="F4995" t="str">
            <v>TINTAS POLIÉSTER</v>
          </cell>
          <cell r="G4995" t="str">
            <v>AUTOMOTIVO</v>
          </cell>
        </row>
        <row r="4996">
          <cell r="A4996">
            <v>24159</v>
          </cell>
          <cell r="B4996" t="str">
            <v>BP CINZA SCANDIUM MET. FIAT 04/16 0,900ML SKY-21,45-ST</v>
          </cell>
          <cell r="C4996">
            <v>211031230101</v>
          </cell>
          <cell r="D4996" t="str">
            <v>SKY</v>
          </cell>
          <cell r="E4996">
            <v>20002</v>
          </cell>
          <cell r="F4996" t="str">
            <v>TINTAS POLIÉSTER</v>
          </cell>
          <cell r="G4996" t="str">
            <v>AUTOMOTIVO</v>
          </cell>
        </row>
        <row r="4997">
          <cell r="A4997">
            <v>84706</v>
          </cell>
          <cell r="B4997" t="str">
            <v>BP CINZA SILVERSTONE MET. FIAT  19/23 0,900ML SKY-21,46-ST</v>
          </cell>
          <cell r="C4997" t="str">
            <v>2117675301B8</v>
          </cell>
          <cell r="D4997" t="str">
            <v>SKY</v>
          </cell>
          <cell r="E4997">
            <v>20002</v>
          </cell>
          <cell r="F4997" t="str">
            <v>TINTAS POLIÉSTER</v>
          </cell>
          <cell r="G4997" t="str">
            <v>AUTOMOTIVO</v>
          </cell>
        </row>
        <row r="4998">
          <cell r="A4998">
            <v>24123</v>
          </cell>
          <cell r="B4998" t="str">
            <v>BP CINZA SPECTRUS MET. 0,900ML SKY-21,94-ST</v>
          </cell>
          <cell r="C4998" t="str">
            <v>2110200101B8</v>
          </cell>
          <cell r="D4998" t="str">
            <v>SKY</v>
          </cell>
          <cell r="E4998">
            <v>20002</v>
          </cell>
          <cell r="F4998" t="str">
            <v>TINTAS POLIÉSTER</v>
          </cell>
          <cell r="G4998" t="str">
            <v>AUTOMOTIVO</v>
          </cell>
        </row>
        <row r="4999">
          <cell r="A4999">
            <v>84001</v>
          </cell>
          <cell r="B4999" t="str">
            <v>BP CINZA STEEL III MET. FIAT 96/04 0,900ML SKY-21,45-ST</v>
          </cell>
          <cell r="C4999">
            <v>211035430101</v>
          </cell>
          <cell r="D4999" t="str">
            <v>SKY</v>
          </cell>
          <cell r="E4999">
            <v>20002</v>
          </cell>
          <cell r="F4999" t="str">
            <v>TINTAS POLIÉSTER</v>
          </cell>
          <cell r="G4999" t="str">
            <v>AUTOMOTIVO</v>
          </cell>
        </row>
        <row r="5000">
          <cell r="A5000">
            <v>21302</v>
          </cell>
          <cell r="B5000" t="str">
            <v>BP CINZA STEEL MET FIAT 1996 900ML WANDA-21,46-ST</v>
          </cell>
          <cell r="C5000">
            <v>529488</v>
          </cell>
          <cell r="D5000" t="str">
            <v>WANDA</v>
          </cell>
          <cell r="E5000">
            <v>20002</v>
          </cell>
          <cell r="F5000" t="str">
            <v>TINTAS POLIÉSTER</v>
          </cell>
          <cell r="G5000" t="str">
            <v>AUTOMOTIVO</v>
          </cell>
        </row>
        <row r="5001">
          <cell r="A5001">
            <v>24161</v>
          </cell>
          <cell r="B5001" t="str">
            <v>BP CINZA TELLURIUM MET. FIAT 0,900ML SKY-21,45-ST</v>
          </cell>
          <cell r="C5001" t="str">
            <v>2110313001B8</v>
          </cell>
          <cell r="D5001" t="str">
            <v>SKY</v>
          </cell>
          <cell r="E5001">
            <v>20002</v>
          </cell>
          <cell r="F5001" t="str">
            <v>TINTAS POLIÉSTER</v>
          </cell>
          <cell r="G5001" t="str">
            <v>AUTOMOTIVO</v>
          </cell>
        </row>
        <row r="5002">
          <cell r="A5002">
            <v>24129</v>
          </cell>
          <cell r="B5002" t="str">
            <v>BP CINZA TITANIUM MET. 0,900ML SKY-21,46-ST</v>
          </cell>
          <cell r="C5002">
            <v>211723380101</v>
          </cell>
          <cell r="D5002" t="str">
            <v>SKY</v>
          </cell>
          <cell r="E5002">
            <v>20002</v>
          </cell>
          <cell r="F5002" t="str">
            <v>TINTAS POLIÉSTER</v>
          </cell>
          <cell r="G5002" t="str">
            <v>AUTOMOTIVO</v>
          </cell>
        </row>
        <row r="5003">
          <cell r="A5003">
            <v>85550</v>
          </cell>
          <cell r="B5003" t="str">
            <v>BP CINZA TITANIUM METÁLICO HYUNDAI 900ML WANDA</v>
          </cell>
          <cell r="C5003">
            <v>607716</v>
          </cell>
          <cell r="D5003" t="str">
            <v>WANDA</v>
          </cell>
          <cell r="E5003">
            <v>20002</v>
          </cell>
          <cell r="F5003" t="str">
            <v>TINTAS POLIÉSTER</v>
          </cell>
          <cell r="G5003" t="str">
            <v>AUTOMOTIVO</v>
          </cell>
        </row>
        <row r="5004">
          <cell r="A5004">
            <v>24007</v>
          </cell>
          <cell r="B5004" t="str">
            <v>BP CINZA URANO LISA 0,900ML SKY-21,94-ST</v>
          </cell>
          <cell r="C5004" t="str">
            <v>2100213601B8</v>
          </cell>
          <cell r="D5004" t="str">
            <v>SKY</v>
          </cell>
          <cell r="E5004">
            <v>20002</v>
          </cell>
          <cell r="F5004" t="str">
            <v>TINTAS POLIÉSTER</v>
          </cell>
          <cell r="G5004" t="str">
            <v>AUTOMOTIVO</v>
          </cell>
        </row>
        <row r="5005">
          <cell r="A5005">
            <v>23358</v>
          </cell>
          <cell r="B5005" t="str">
            <v>BP CINZA VULCAN MET VW 2008 900ML WANDA-21,46-ST</v>
          </cell>
          <cell r="C5005">
            <v>529517</v>
          </cell>
          <cell r="D5005" t="str">
            <v>WANDA</v>
          </cell>
          <cell r="E5005">
            <v>20002</v>
          </cell>
          <cell r="F5005" t="str">
            <v>TINTAS POLIÉSTER</v>
          </cell>
          <cell r="G5005" t="str">
            <v>AUTOMOTIVO</v>
          </cell>
        </row>
        <row r="5006">
          <cell r="A5006">
            <v>24137</v>
          </cell>
          <cell r="B5006" t="str">
            <v>BP CINZA VULCAN MET. 0,900ML SKY-21,46-ST</v>
          </cell>
          <cell r="C5006">
            <v>211028750101</v>
          </cell>
          <cell r="D5006" t="str">
            <v>SKY</v>
          </cell>
          <cell r="E5006">
            <v>20002</v>
          </cell>
          <cell r="F5006" t="str">
            <v>TINTAS POLIÉSTER</v>
          </cell>
          <cell r="G5006" t="str">
            <v>AUTOMOTIVO</v>
          </cell>
        </row>
        <row r="5007">
          <cell r="A5007">
            <v>85551</v>
          </cell>
          <cell r="B5007" t="str">
            <v>BP GRAY ACIER METÁLICO RENAULT 2008/2016 900ML WANDA</v>
          </cell>
          <cell r="C5007">
            <v>607715</v>
          </cell>
          <cell r="D5007" t="str">
            <v>WANDA</v>
          </cell>
          <cell r="E5007">
            <v>20002</v>
          </cell>
          <cell r="F5007" t="str">
            <v>TINTAS POLIÉSTER</v>
          </cell>
          <cell r="G5007" t="str">
            <v>AUTOMOTIVO</v>
          </cell>
        </row>
        <row r="5008">
          <cell r="A5008">
            <v>24044</v>
          </cell>
          <cell r="B5008" t="str">
            <v>BP GRIS ACIER MET.  RENAULT 08/16 0,900ML SKY-21,94-ST</v>
          </cell>
          <cell r="C5008">
            <v>21754360101</v>
          </cell>
          <cell r="D5008" t="str">
            <v>SKY</v>
          </cell>
          <cell r="E5008">
            <v>20002</v>
          </cell>
          <cell r="F5008" t="str">
            <v>TINTAS POLIÉSTER</v>
          </cell>
          <cell r="G5008" t="str">
            <v>AUTOMOTIVO</v>
          </cell>
        </row>
        <row r="5009">
          <cell r="A5009">
            <v>21290</v>
          </cell>
          <cell r="B5009" t="str">
            <v>BP GRIS ALUMINIUM MET PEUGEOT 2001 900ML WANDA-21,46-ST</v>
          </cell>
          <cell r="C5009">
            <v>529531</v>
          </cell>
          <cell r="D5009" t="str">
            <v>WANDA</v>
          </cell>
          <cell r="E5009">
            <v>20002</v>
          </cell>
          <cell r="F5009" t="str">
            <v>TINTAS POLIÉSTER</v>
          </cell>
          <cell r="G5009" t="str">
            <v>AUTOMOTIVO</v>
          </cell>
        </row>
        <row r="5010">
          <cell r="A5010">
            <v>24041</v>
          </cell>
          <cell r="B5010" t="str">
            <v>BP GRIS ALUMINIUM MET. 0,900ML SKY-21,45-ST</v>
          </cell>
          <cell r="C5010">
            <v>211781010101</v>
          </cell>
          <cell r="D5010" t="str">
            <v>SKY</v>
          </cell>
          <cell r="E5010">
            <v>20002</v>
          </cell>
          <cell r="F5010" t="str">
            <v>TINTAS POLIÉSTER</v>
          </cell>
          <cell r="G5010" t="str">
            <v>AUTOMOTIVO</v>
          </cell>
        </row>
        <row r="5011">
          <cell r="A5011">
            <v>24023</v>
          </cell>
          <cell r="B5011" t="str">
            <v>BP GRIS CENDRE MET. 0,900ML SKY-21,46-ST</v>
          </cell>
          <cell r="C5011">
            <v>211783720101</v>
          </cell>
          <cell r="D5011" t="str">
            <v>SKY</v>
          </cell>
          <cell r="E5011">
            <v>20002</v>
          </cell>
          <cell r="F5011" t="str">
            <v>TINTAS POLIÉSTER</v>
          </cell>
          <cell r="G5011" t="str">
            <v>AUTOMOTIVO</v>
          </cell>
        </row>
        <row r="5012">
          <cell r="A5012">
            <v>24011</v>
          </cell>
          <cell r="B5012" t="str">
            <v>BP MAGNESIUM MET. 0,900ML SKY-21,46-ST</v>
          </cell>
          <cell r="C5012" t="str">
            <v>2117634901B8</v>
          </cell>
          <cell r="D5012" t="str">
            <v>SKY</v>
          </cell>
          <cell r="E5012">
            <v>20002</v>
          </cell>
          <cell r="F5012" t="str">
            <v>TINTAS POLIÉSTER</v>
          </cell>
          <cell r="G5012" t="str">
            <v>AUTOMOTIVO</v>
          </cell>
        </row>
        <row r="5013">
          <cell r="A5013">
            <v>24015</v>
          </cell>
          <cell r="B5013" t="str">
            <v>BP PRATA BARI II MET. FIAT 03/16 0,900ML SKY-21,46-ST</v>
          </cell>
          <cell r="C5013">
            <v>211035480101</v>
          </cell>
          <cell r="D5013" t="str">
            <v>SKY</v>
          </cell>
          <cell r="E5013">
            <v>20002</v>
          </cell>
          <cell r="F5013" t="str">
            <v>TINTAS POLIÉSTER</v>
          </cell>
          <cell r="G5013" t="str">
            <v>AUTOMOTIVO</v>
          </cell>
        </row>
        <row r="5014">
          <cell r="A5014">
            <v>21281</v>
          </cell>
          <cell r="B5014" t="str">
            <v>BP PRATA BARI MET FIAT 2002 900ML WANDA-21,67-ST</v>
          </cell>
          <cell r="C5014">
            <v>529495</v>
          </cell>
          <cell r="D5014" t="str">
            <v>WANDA</v>
          </cell>
          <cell r="E5014">
            <v>20002</v>
          </cell>
          <cell r="F5014" t="str">
            <v>TINTAS POLIÉSTER</v>
          </cell>
          <cell r="G5014" t="str">
            <v>AUTOMOTIVO</v>
          </cell>
        </row>
        <row r="5015">
          <cell r="A5015">
            <v>24238</v>
          </cell>
          <cell r="B5015" t="str">
            <v>BP PRATA BARI MET. FIAT 0,900ML SKY-21,94-ST</v>
          </cell>
          <cell r="C5015">
            <v>211031090101</v>
          </cell>
          <cell r="D5015" t="str">
            <v>SKY</v>
          </cell>
          <cell r="E5015">
            <v>20002</v>
          </cell>
          <cell r="F5015" t="str">
            <v>TINTAS POLIÉSTER</v>
          </cell>
          <cell r="G5015" t="str">
            <v>AUTOMOTIVO</v>
          </cell>
        </row>
        <row r="5016">
          <cell r="A5016">
            <v>83921</v>
          </cell>
          <cell r="B5016" t="str">
            <v>BP PRATA BILLET MET. FIAT / JEEP 13/21 0,9L SKY-21,67-ST</v>
          </cell>
          <cell r="C5016">
            <v>211736710101</v>
          </cell>
          <cell r="D5016" t="str">
            <v>SKY</v>
          </cell>
          <cell r="E5016">
            <v>20002</v>
          </cell>
          <cell r="F5016" t="str">
            <v>TINTAS POLIÉSTER</v>
          </cell>
          <cell r="G5016" t="str">
            <v>AUTOMOTIVO</v>
          </cell>
        </row>
        <row r="5017">
          <cell r="A5017">
            <v>85552</v>
          </cell>
          <cell r="B5017" t="str">
            <v>BP PRATA BILLET METÁLICO FIAT 2012/2023 900ML WANDA</v>
          </cell>
          <cell r="C5017">
            <v>607721</v>
          </cell>
          <cell r="D5017" t="str">
            <v>WANDA</v>
          </cell>
          <cell r="E5017">
            <v>20002</v>
          </cell>
          <cell r="F5017" t="str">
            <v>TINTAS POLIÉSTER</v>
          </cell>
          <cell r="G5017" t="str">
            <v>AUTOMOTIVO</v>
          </cell>
        </row>
        <row r="5018">
          <cell r="A5018">
            <v>24164</v>
          </cell>
          <cell r="B5018" t="str">
            <v>BP PRATA BOREAL MET. RENAULT 0,900ML SKY-21,45-ST</v>
          </cell>
          <cell r="C5018">
            <v>211751000101</v>
          </cell>
          <cell r="D5018" t="str">
            <v>SKY</v>
          </cell>
          <cell r="E5018">
            <v>20002</v>
          </cell>
          <cell r="F5018" t="str">
            <v>TINTAS POLIÉSTER</v>
          </cell>
          <cell r="G5018" t="str">
            <v>AUTOMOTIVO</v>
          </cell>
        </row>
        <row r="5019">
          <cell r="A5019">
            <v>24014</v>
          </cell>
          <cell r="B5019" t="str">
            <v>BP PRATA CLASSIC MET. 0,900ML SKY-21,45-ST</v>
          </cell>
          <cell r="C5019" t="str">
            <v>2117059201B8</v>
          </cell>
          <cell r="D5019" t="str">
            <v>SKY</v>
          </cell>
          <cell r="E5019">
            <v>20002</v>
          </cell>
          <cell r="F5019" t="str">
            <v>TINTAS POLIÉSTER</v>
          </cell>
          <cell r="G5019" t="str">
            <v>AUTOMOTIVO</v>
          </cell>
        </row>
        <row r="5020">
          <cell r="A5020">
            <v>21298</v>
          </cell>
          <cell r="B5020" t="str">
            <v>BP PRATA COLUMBIA MET FORD 1991 900ML WANDA-21,94-ST</v>
          </cell>
          <cell r="C5020">
            <v>529503</v>
          </cell>
          <cell r="D5020" t="str">
            <v>WANDA</v>
          </cell>
          <cell r="E5020">
            <v>20002</v>
          </cell>
          <cell r="F5020" t="str">
            <v>TINTAS POLIÉSTER</v>
          </cell>
          <cell r="G5020" t="str">
            <v>AUTOMOTIVO</v>
          </cell>
        </row>
        <row r="5021">
          <cell r="A5021">
            <v>90</v>
          </cell>
          <cell r="B5021" t="str">
            <v>BP PRATA COLUMBIA MET. FORD 91 0,900ML SKY-21,93-ST</v>
          </cell>
          <cell r="C5021">
            <v>211011000101</v>
          </cell>
          <cell r="D5021" t="str">
            <v>SKY</v>
          </cell>
          <cell r="E5021">
            <v>20002</v>
          </cell>
          <cell r="F5021" t="str">
            <v>TINTAS POLIÉSTER</v>
          </cell>
          <cell r="G5021" t="str">
            <v>AUTOMOTIVO</v>
          </cell>
        </row>
        <row r="5022">
          <cell r="A5022">
            <v>23359</v>
          </cell>
          <cell r="B5022" t="str">
            <v>BP PRATA DUBLIN FRD 2010 900ML WANDA-21,46-ST</v>
          </cell>
          <cell r="C5022">
            <v>552820</v>
          </cell>
          <cell r="D5022" t="str">
            <v>WANDA</v>
          </cell>
          <cell r="E5022">
            <v>20002</v>
          </cell>
          <cell r="F5022" t="str">
            <v>TINTAS POLIÉSTER</v>
          </cell>
          <cell r="G5022" t="str">
            <v>AUTOMOTIVO</v>
          </cell>
        </row>
        <row r="5023">
          <cell r="A5023">
            <v>24244</v>
          </cell>
          <cell r="B5023" t="str">
            <v>BP PRATA DUBLIN MET. FORD 0,900ML SKY-21,46-ST</v>
          </cell>
          <cell r="C5023">
            <v>211020090101</v>
          </cell>
          <cell r="D5023" t="str">
            <v>SKY</v>
          </cell>
          <cell r="E5023">
            <v>20002</v>
          </cell>
          <cell r="F5023" t="str">
            <v>TINTAS POLIÉSTER</v>
          </cell>
          <cell r="G5023" t="str">
            <v>AUTOMOTIVO</v>
          </cell>
        </row>
        <row r="5024">
          <cell r="A5024">
            <v>124</v>
          </cell>
          <cell r="B5024" t="str">
            <v>BP PRATA EGITO MET VW 11/12 0,900ML SKY-21,94-ST</v>
          </cell>
          <cell r="C5024">
            <v>211020030101</v>
          </cell>
          <cell r="D5024" t="str">
            <v>SKY</v>
          </cell>
          <cell r="E5024">
            <v>20002</v>
          </cell>
          <cell r="F5024" t="str">
            <v>TINTAS POLIÉSTER</v>
          </cell>
          <cell r="G5024" t="str">
            <v>AUTOMOTIVO</v>
          </cell>
        </row>
        <row r="5025">
          <cell r="A5025">
            <v>23389</v>
          </cell>
          <cell r="B5025" t="str">
            <v>BP PRATA EGITO METALICO VW 2010 900ML WANDA-21,46-ST</v>
          </cell>
          <cell r="C5025">
            <v>547468</v>
          </cell>
          <cell r="D5025" t="str">
            <v>WANDA</v>
          </cell>
          <cell r="E5025">
            <v>20002</v>
          </cell>
          <cell r="F5025" t="str">
            <v>TINTAS POLIÉSTER</v>
          </cell>
          <cell r="G5025" t="str">
            <v>AUTOMOTIVO</v>
          </cell>
        </row>
        <row r="5026">
          <cell r="A5026">
            <v>21288</v>
          </cell>
          <cell r="B5026" t="str">
            <v>BP PRATA ENSEADA MET FORD 2007 900ML WANDA-21,94-ST</v>
          </cell>
          <cell r="C5026">
            <v>529525</v>
          </cell>
          <cell r="D5026" t="str">
            <v>WANDA</v>
          </cell>
          <cell r="E5026">
            <v>20002</v>
          </cell>
          <cell r="F5026" t="str">
            <v>TINTAS POLIÉSTER</v>
          </cell>
          <cell r="G5026" t="str">
            <v>AUTOMOTIVO</v>
          </cell>
        </row>
        <row r="5027">
          <cell r="A5027">
            <v>24243</v>
          </cell>
          <cell r="B5027" t="str">
            <v>BP PRATA ENSEADA MET. FORD 0,900ML SKY-21,46-ST</v>
          </cell>
          <cell r="C5027">
            <v>211019640101</v>
          </cell>
          <cell r="D5027" t="str">
            <v>SKY</v>
          </cell>
          <cell r="E5027">
            <v>20002</v>
          </cell>
          <cell r="F5027" t="str">
            <v>TINTAS POLIÉSTER</v>
          </cell>
          <cell r="G5027" t="str">
            <v>AUTOMOTIVO</v>
          </cell>
        </row>
        <row r="5028">
          <cell r="A5028">
            <v>81</v>
          </cell>
          <cell r="B5028" t="str">
            <v>BP PRATA ESCUNA II MET. GM 98 0,900ML SKY-21,46-ST</v>
          </cell>
          <cell r="C5028">
            <v>211046590101</v>
          </cell>
          <cell r="D5028" t="str">
            <v>SKY</v>
          </cell>
          <cell r="E5028">
            <v>20002</v>
          </cell>
          <cell r="F5028" t="str">
            <v>TINTAS POLIÉSTER</v>
          </cell>
          <cell r="G5028" t="str">
            <v>AUTOMOTIVO</v>
          </cell>
        </row>
        <row r="5029">
          <cell r="A5029">
            <v>21001</v>
          </cell>
          <cell r="B5029" t="str">
            <v>BP PRATA ESCUNA MET GM 1997 900ML WANDA-21,45-ST</v>
          </cell>
          <cell r="C5029">
            <v>529489</v>
          </cell>
          <cell r="D5029" t="str">
            <v>WANDA</v>
          </cell>
          <cell r="E5029">
            <v>20002</v>
          </cell>
          <cell r="F5029" t="str">
            <v>TINTAS POLIÉSTER</v>
          </cell>
          <cell r="G5029" t="str">
            <v>AUTOMOTIVO</v>
          </cell>
        </row>
        <row r="5030">
          <cell r="A5030">
            <v>24122</v>
          </cell>
          <cell r="B5030" t="str">
            <v>BP PRATA ETOILE MET. RENAULT 08/19 0,900ML SKY-21,46-ST</v>
          </cell>
          <cell r="C5030">
            <v>211754340101</v>
          </cell>
          <cell r="D5030" t="str">
            <v>SKY</v>
          </cell>
          <cell r="E5030">
            <v>20002</v>
          </cell>
          <cell r="F5030" t="str">
            <v>TINTAS POLIÉSTER</v>
          </cell>
          <cell r="G5030" t="str">
            <v>AUTOMOTIVO</v>
          </cell>
        </row>
        <row r="5031">
          <cell r="A5031">
            <v>23382</v>
          </cell>
          <cell r="B5031" t="str">
            <v>BP PRATA ETOILLE RENAULT 2007 900ML WANDA-21,67-ST</v>
          </cell>
          <cell r="C5031">
            <v>529544</v>
          </cell>
          <cell r="D5031" t="str">
            <v>WANDA</v>
          </cell>
          <cell r="E5031">
            <v>20002</v>
          </cell>
          <cell r="F5031" t="str">
            <v>TINTAS POLIÉSTER</v>
          </cell>
          <cell r="G5031" t="str">
            <v>AUTOMOTIVO</v>
          </cell>
        </row>
        <row r="5032">
          <cell r="A5032">
            <v>221</v>
          </cell>
          <cell r="B5032" t="str">
            <v>BP PRATA GEADA 0,900ML WEG-21,94-ST</v>
          </cell>
          <cell r="C5032">
            <v>1265478</v>
          </cell>
          <cell r="D5032" t="str">
            <v>.</v>
          </cell>
          <cell r="E5032">
            <v>20002</v>
          </cell>
          <cell r="F5032" t="str">
            <v>TINTAS POLIÉSTER</v>
          </cell>
          <cell r="G5032" t="str">
            <v>AUTOMOTIVO</v>
          </cell>
        </row>
        <row r="5033">
          <cell r="A5033">
            <v>127</v>
          </cell>
          <cell r="B5033" t="str">
            <v>BP PRATA GEADA II MET FORD 02/19 0,900ML SKY-21,46-ST</v>
          </cell>
          <cell r="C5033">
            <v>211011060101</v>
          </cell>
          <cell r="D5033" t="str">
            <v>SKY</v>
          </cell>
          <cell r="E5033">
            <v>20002</v>
          </cell>
          <cell r="F5033" t="str">
            <v>TINTAS POLIÉSTER</v>
          </cell>
          <cell r="G5033" t="str">
            <v>AUTOMOTIVO</v>
          </cell>
        </row>
        <row r="5034">
          <cell r="A5034">
            <v>85159</v>
          </cell>
          <cell r="B5034" t="str">
            <v>BP PRATA GEADA MET FD 02-03 900ML BRASIDUR</v>
          </cell>
          <cell r="C5034" t="str">
            <v>BP 343505101</v>
          </cell>
          <cell r="D5034" t="str">
            <v>BRASILUX</v>
          </cell>
          <cell r="E5034">
            <v>20002</v>
          </cell>
          <cell r="F5034" t="str">
            <v>TINTAS POLIÉSTER</v>
          </cell>
          <cell r="G5034" t="str">
            <v>AUTOMOTIVO</v>
          </cell>
        </row>
        <row r="5035">
          <cell r="A5035">
            <v>21015</v>
          </cell>
          <cell r="B5035" t="str">
            <v>BP PRATA GEADA MET FORD 2002 900ML WANDA-21,45-ST</v>
          </cell>
          <cell r="C5035">
            <v>529504</v>
          </cell>
          <cell r="D5035" t="str">
            <v>WANDA</v>
          </cell>
          <cell r="E5035">
            <v>20002</v>
          </cell>
          <cell r="F5035" t="str">
            <v>TINTAS POLIÉSTER</v>
          </cell>
          <cell r="G5035" t="str">
            <v>AUTOMOTIVO</v>
          </cell>
        </row>
        <row r="5036">
          <cell r="A5036">
            <v>85160</v>
          </cell>
          <cell r="B5036" t="str">
            <v>BP PRATA GLOBAL HONDA 900ML BRASIDUR</v>
          </cell>
          <cell r="C5036" t="str">
            <v>BP 343510301</v>
          </cell>
          <cell r="D5036" t="str">
            <v>BRASILUX</v>
          </cell>
          <cell r="E5036">
            <v>20002</v>
          </cell>
          <cell r="F5036" t="str">
            <v>TINTAS POLIÉSTER</v>
          </cell>
          <cell r="G5036" t="str">
            <v>AUTOMOTIVO</v>
          </cell>
        </row>
        <row r="5037">
          <cell r="A5037">
            <v>21289</v>
          </cell>
          <cell r="B5037" t="str">
            <v>BP PRATA GLOBAL MET HONDA 2005 900ML WANDA-21,67-ST</v>
          </cell>
          <cell r="C5037">
            <v>529530</v>
          </cell>
          <cell r="D5037" t="str">
            <v>WANDA</v>
          </cell>
          <cell r="E5037">
            <v>20002</v>
          </cell>
          <cell r="F5037" t="str">
            <v>TINTAS POLIÉSTER</v>
          </cell>
          <cell r="G5037" t="str">
            <v>AUTOMOTIVO</v>
          </cell>
        </row>
        <row r="5038">
          <cell r="A5038">
            <v>24005</v>
          </cell>
          <cell r="B5038" t="str">
            <v>BP PRATA GLOBAL MET. HONDA 06/16 0,900ML SKY-21,45-ST</v>
          </cell>
          <cell r="C5038">
            <v>211763740101</v>
          </cell>
          <cell r="D5038" t="str">
            <v>SKY</v>
          </cell>
          <cell r="E5038">
            <v>20002</v>
          </cell>
          <cell r="F5038" t="str">
            <v>TINTAS POLIÉSTER</v>
          </cell>
          <cell r="G5038" t="str">
            <v>AUTOMOTIVO</v>
          </cell>
        </row>
        <row r="5039">
          <cell r="A5039">
            <v>24039</v>
          </cell>
          <cell r="B5039" t="str">
            <v>BP PRATA HUET MET. 0,900ML SKY-21,94-ST</v>
          </cell>
          <cell r="C5039">
            <v>211041080101</v>
          </cell>
          <cell r="D5039" t="str">
            <v>SKY</v>
          </cell>
          <cell r="E5039">
            <v>20002</v>
          </cell>
          <cell r="F5039" t="str">
            <v>TINTAS POLIÉSTER</v>
          </cell>
          <cell r="G5039" t="str">
            <v>AUTOMOTIVO</v>
          </cell>
        </row>
        <row r="5040">
          <cell r="A5040">
            <v>21016</v>
          </cell>
          <cell r="B5040" t="str">
            <v>BP PRATA IMPERIAL MET VW 1997 900ML WANDA-21,67-ST</v>
          </cell>
          <cell r="C5040">
            <v>529505</v>
          </cell>
          <cell r="D5040" t="str">
            <v>WANDA</v>
          </cell>
          <cell r="E5040">
            <v>20002</v>
          </cell>
          <cell r="F5040" t="str">
            <v>TINTAS POLIÉSTER</v>
          </cell>
          <cell r="G5040" t="str">
            <v>AUTOMOTIVO</v>
          </cell>
        </row>
        <row r="5041">
          <cell r="A5041">
            <v>24002</v>
          </cell>
          <cell r="B5041" t="str">
            <v>BP PRATA IMPERIAL MET. 0,900ML SKY-21,94-ST</v>
          </cell>
          <cell r="C5041">
            <v>211021160101</v>
          </cell>
          <cell r="D5041" t="str">
            <v>SKY</v>
          </cell>
          <cell r="E5041">
            <v>20002</v>
          </cell>
          <cell r="F5041" t="str">
            <v>TINTAS POLIÉSTER</v>
          </cell>
          <cell r="G5041" t="str">
            <v>AUTOMOTIVO</v>
          </cell>
        </row>
        <row r="5042">
          <cell r="A5042">
            <v>21017</v>
          </cell>
          <cell r="B5042" t="str">
            <v>BP PRATA LIGHT MET VW 2003 900ML WANDA-21,45-ST</v>
          </cell>
          <cell r="C5042">
            <v>529506</v>
          </cell>
          <cell r="D5042" t="str">
            <v>WANDA</v>
          </cell>
          <cell r="E5042">
            <v>20002</v>
          </cell>
          <cell r="F5042" t="str">
            <v>TINTAS POLIÉSTER</v>
          </cell>
          <cell r="G5042" t="str">
            <v>AUTOMOTIVO</v>
          </cell>
        </row>
        <row r="5043">
          <cell r="A5043">
            <v>24003</v>
          </cell>
          <cell r="B5043" t="str">
            <v>BP PRATA LIGHT MET. 0,900ML SKY-21,46-ST</v>
          </cell>
          <cell r="C5043">
            <v>211021380101</v>
          </cell>
          <cell r="D5043" t="str">
            <v>SKY</v>
          </cell>
          <cell r="E5043">
            <v>20002</v>
          </cell>
          <cell r="F5043" t="str">
            <v>TINTAS POLIÉSTER</v>
          </cell>
          <cell r="G5043" t="str">
            <v>AUTOMOTIVO</v>
          </cell>
        </row>
        <row r="5044">
          <cell r="A5044">
            <v>21271</v>
          </cell>
          <cell r="B5044" t="str">
            <v>BP PRATA LUNAR MET VW 1990 900ML WANDA-21,67-ST</v>
          </cell>
          <cell r="C5044">
            <v>529490</v>
          </cell>
          <cell r="D5044" t="str">
            <v>WANDA</v>
          </cell>
          <cell r="E5044">
            <v>20002</v>
          </cell>
          <cell r="F5044" t="str">
            <v>TINTAS POLIÉSTER</v>
          </cell>
          <cell r="G5044" t="str">
            <v>AUTOMOTIVO</v>
          </cell>
        </row>
        <row r="5045">
          <cell r="A5045">
            <v>24156</v>
          </cell>
          <cell r="B5045" t="str">
            <v>BP PRATA LUNAR MET. VW 0,900ML SKY-21,46-ST</v>
          </cell>
          <cell r="C5045">
            <v>211021150101</v>
          </cell>
          <cell r="D5045" t="str">
            <v>SKY</v>
          </cell>
          <cell r="E5045">
            <v>20002</v>
          </cell>
          <cell r="F5045" t="str">
            <v>TINTAS POLIÉSTER</v>
          </cell>
          <cell r="G5045" t="str">
            <v>AUTOMOTIVO</v>
          </cell>
        </row>
        <row r="5046">
          <cell r="A5046">
            <v>83920</v>
          </cell>
          <cell r="B5046" t="str">
            <v>BP PRATA MELFI MET. FIAT / JEEP 15/22 0,9L SKY-21,67-ST</v>
          </cell>
          <cell r="C5046">
            <v>211030970101</v>
          </cell>
          <cell r="D5046" t="str">
            <v>SKY</v>
          </cell>
          <cell r="E5046">
            <v>20002</v>
          </cell>
          <cell r="F5046" t="str">
            <v>TINTAS POLIÉSTER</v>
          </cell>
          <cell r="G5046" t="str">
            <v>AUTOMOTIVO</v>
          </cell>
        </row>
        <row r="5047">
          <cell r="A5047">
            <v>24158</v>
          </cell>
          <cell r="B5047" t="str">
            <v>BP PRATA METALICO HYUNDAI 13/17 0,900ML SKY-21,45-ST</v>
          </cell>
          <cell r="C5047" t="str">
            <v>2117234001B8</v>
          </cell>
          <cell r="D5047" t="str">
            <v>SKY</v>
          </cell>
          <cell r="E5047">
            <v>20002</v>
          </cell>
          <cell r="F5047" t="str">
            <v>TINTAS POLIÉSTER</v>
          </cell>
          <cell r="G5047" t="str">
            <v>AUTOMOTIVO</v>
          </cell>
        </row>
        <row r="5048">
          <cell r="A5048">
            <v>24021</v>
          </cell>
          <cell r="B5048" t="str">
            <v>BP PRATA METALICO MET. HONDA 0,900ML SKY-21,94-ST</v>
          </cell>
          <cell r="C5048">
            <v>211761000101</v>
          </cell>
          <cell r="D5048" t="str">
            <v>SKY</v>
          </cell>
          <cell r="E5048">
            <v>20002</v>
          </cell>
          <cell r="F5048" t="str">
            <v>TINTAS POLIÉSTER</v>
          </cell>
          <cell r="G5048" t="str">
            <v>AUTOMOTIVO</v>
          </cell>
        </row>
        <row r="5049">
          <cell r="A5049">
            <v>24025</v>
          </cell>
          <cell r="B5049" t="str">
            <v>BP PRATA NEVOA MET. TOYOTA 00/20 0,900ML SKY-21,46-ST</v>
          </cell>
          <cell r="C5049" t="str">
            <v>2117743301B8</v>
          </cell>
          <cell r="D5049" t="str">
            <v>SKY</v>
          </cell>
          <cell r="E5049">
            <v>20002</v>
          </cell>
          <cell r="F5049" t="str">
            <v>TINTAS POLIÉSTER</v>
          </cell>
          <cell r="G5049" t="str">
            <v>AUTOMOTIVO</v>
          </cell>
        </row>
        <row r="5050">
          <cell r="A5050">
            <v>24165</v>
          </cell>
          <cell r="B5050" t="str">
            <v>BP PRATA PLATINUM MET. HONDA 16/20 0,900ML SKY-21,94-ST</v>
          </cell>
          <cell r="C5050">
            <v>211774320101</v>
          </cell>
          <cell r="D5050" t="str">
            <v>SKY</v>
          </cell>
          <cell r="E5050">
            <v>20002</v>
          </cell>
          <cell r="F5050" t="str">
            <v>TINTAS POLIÉSTER</v>
          </cell>
          <cell r="G5050" t="str">
            <v>AUTOMOTIVO</v>
          </cell>
        </row>
        <row r="5051">
          <cell r="A5051">
            <v>85553</v>
          </cell>
          <cell r="B5051" t="str">
            <v>BP PRATA PLATINUM METÁLICO HON 2016/2020 900ML WANDA</v>
          </cell>
          <cell r="C5051">
            <v>607733</v>
          </cell>
          <cell r="D5051" t="str">
            <v>WANDA</v>
          </cell>
          <cell r="E5051">
            <v>20002</v>
          </cell>
          <cell r="F5051" t="str">
            <v>TINTAS POLIÉSTER</v>
          </cell>
          <cell r="G5051" t="str">
            <v>AUTOMOTIVO</v>
          </cell>
        </row>
        <row r="5052">
          <cell r="A5052">
            <v>85161</v>
          </cell>
          <cell r="B5052" t="str">
            <v>BP PRATA POLARIS MET GM 06 900ML BRASIDUR</v>
          </cell>
          <cell r="C5052" t="str">
            <v>BP 343512201</v>
          </cell>
          <cell r="D5052" t="str">
            <v>BRASILUX</v>
          </cell>
          <cell r="E5052">
            <v>20002</v>
          </cell>
          <cell r="F5052" t="str">
            <v>TINTAS POLIÉSTER</v>
          </cell>
          <cell r="G5052" t="str">
            <v>AUTOMOTIVO</v>
          </cell>
        </row>
        <row r="5053">
          <cell r="A5053">
            <v>23999</v>
          </cell>
          <cell r="B5053" t="str">
            <v>BP PRATA POLARIS MET. GM 04/14 0,900ML SKY-21,46-ST</v>
          </cell>
          <cell r="C5053">
            <v>211041250101</v>
          </cell>
          <cell r="D5053" t="str">
            <v>SKY</v>
          </cell>
          <cell r="E5053">
            <v>20002</v>
          </cell>
          <cell r="F5053" t="str">
            <v>TINTAS POLIÉSTER</v>
          </cell>
          <cell r="G5053" t="str">
            <v>AUTOMOTIVO</v>
          </cell>
        </row>
        <row r="5054">
          <cell r="A5054">
            <v>22954</v>
          </cell>
          <cell r="B5054" t="str">
            <v>BP PRATA POLARIS METALICO GM 2004 900ML WANDA-21,67-ST</v>
          </cell>
          <cell r="C5054">
            <v>529507</v>
          </cell>
          <cell r="D5054" t="str">
            <v>WANDA</v>
          </cell>
          <cell r="E5054">
            <v>20002</v>
          </cell>
          <cell r="F5054" t="str">
            <v>TINTAS POLIÉSTER</v>
          </cell>
          <cell r="G5054" t="str">
            <v>AUTOMOTIVO</v>
          </cell>
        </row>
        <row r="5055">
          <cell r="A5055">
            <v>24242</v>
          </cell>
          <cell r="B5055" t="str">
            <v>BP PRATA REFLEX II MET. VW 01/20 0,900ML SKY-21,46-ST</v>
          </cell>
          <cell r="C5055">
            <v>211021500101</v>
          </cell>
          <cell r="D5055" t="str">
            <v>SKY</v>
          </cell>
          <cell r="E5055">
            <v>20002</v>
          </cell>
          <cell r="F5055" t="str">
            <v>TINTAS POLIÉSTER</v>
          </cell>
          <cell r="G5055" t="str">
            <v>AUTOMOTIVO</v>
          </cell>
        </row>
        <row r="5056">
          <cell r="A5056">
            <v>21299</v>
          </cell>
          <cell r="B5056" t="str">
            <v>BP PRATA REFLEX MET VW 1999 900ML WANDA-21,67-ST</v>
          </cell>
          <cell r="C5056">
            <v>529494</v>
          </cell>
          <cell r="D5056" t="str">
            <v>WANDA</v>
          </cell>
          <cell r="E5056">
            <v>20002</v>
          </cell>
          <cell r="F5056" t="str">
            <v>TINTAS POLIÉSTER</v>
          </cell>
          <cell r="G5056" t="str">
            <v>AUTOMOTIVO</v>
          </cell>
        </row>
        <row r="5057">
          <cell r="A5057">
            <v>97</v>
          </cell>
          <cell r="B5057" t="str">
            <v>BP PRATA RIVIEIRA MET FORD 5 0,900ML SKY-21,93-ST</v>
          </cell>
          <cell r="C5057">
            <v>211013580101</v>
          </cell>
          <cell r="D5057" t="str">
            <v>SKY</v>
          </cell>
          <cell r="E5057">
            <v>20002</v>
          </cell>
          <cell r="F5057" t="str">
            <v>TINTAS POLIÉSTER</v>
          </cell>
          <cell r="G5057" t="str">
            <v>AUTOMOTIVO</v>
          </cell>
        </row>
        <row r="5058">
          <cell r="A5058">
            <v>24034</v>
          </cell>
          <cell r="B5058" t="str">
            <v>BP PRATA SAND MET. HYUNDAI 15 0,900ML SKY-21,46-ST</v>
          </cell>
          <cell r="C5058">
            <v>211754620101</v>
          </cell>
          <cell r="D5058" t="str">
            <v>SKY</v>
          </cell>
          <cell r="E5058">
            <v>20002</v>
          </cell>
          <cell r="F5058" t="str">
            <v>TINTAS POLIÉSTER</v>
          </cell>
          <cell r="G5058" t="str">
            <v>AUTOMOTIVO</v>
          </cell>
        </row>
        <row r="5059">
          <cell r="A5059">
            <v>23376</v>
          </cell>
          <cell r="B5059" t="str">
            <v>BP PRATA SARGAS VW 2008 900ML WANDA-21,94-ST</v>
          </cell>
          <cell r="C5059">
            <v>552823</v>
          </cell>
          <cell r="D5059" t="str">
            <v>WANDA</v>
          </cell>
          <cell r="E5059">
            <v>20002</v>
          </cell>
          <cell r="F5059" t="str">
            <v>TINTAS POLIÉSTER</v>
          </cell>
          <cell r="G5059" t="str">
            <v>AUTOMOTIVO</v>
          </cell>
        </row>
        <row r="5060">
          <cell r="A5060">
            <v>23361</v>
          </cell>
          <cell r="B5060" t="str">
            <v>BP PRATA SIRIUS MET VW 2009 900ML WANDA-21,67-ST</v>
          </cell>
          <cell r="C5060">
            <v>529522</v>
          </cell>
          <cell r="D5060" t="str">
            <v>WANDA</v>
          </cell>
          <cell r="E5060">
            <v>20002</v>
          </cell>
          <cell r="F5060" t="str">
            <v>TINTAS POLIÉSTER</v>
          </cell>
          <cell r="G5060" t="str">
            <v>AUTOMOTIVO</v>
          </cell>
        </row>
        <row r="5061">
          <cell r="A5061">
            <v>24136</v>
          </cell>
          <cell r="B5061" t="str">
            <v>BP PRATA SIRIUS MET. VW 09/12 0,900ML SKY-21,46-ST</v>
          </cell>
          <cell r="C5061">
            <v>211028920101</v>
          </cell>
          <cell r="D5061" t="str">
            <v>SKY</v>
          </cell>
          <cell r="E5061">
            <v>20002</v>
          </cell>
          <cell r="F5061" t="str">
            <v>TINTAS POLIÉSTER</v>
          </cell>
          <cell r="G5061" t="str">
            <v>AUTOMOTIVO</v>
          </cell>
        </row>
        <row r="5062">
          <cell r="A5062">
            <v>85162</v>
          </cell>
          <cell r="B5062" t="str">
            <v>BP PRATA SIRIUS VW 2009 900ML BRASIDUR</v>
          </cell>
          <cell r="C5062" t="str">
            <v>BP 343512501</v>
          </cell>
          <cell r="D5062" t="str">
            <v>BRASILUX</v>
          </cell>
          <cell r="E5062">
            <v>20002</v>
          </cell>
          <cell r="F5062" t="str">
            <v>TINTAS POLIÉSTER</v>
          </cell>
          <cell r="G5062" t="str">
            <v>AUTOMOTIVO</v>
          </cell>
        </row>
        <row r="5063">
          <cell r="A5063">
            <v>85554</v>
          </cell>
          <cell r="B5063" t="str">
            <v>BP PRATA SOUL 1H6 METÁLICO TOYOTA 2012/2016 900ML WANDA</v>
          </cell>
          <cell r="C5063">
            <v>607714</v>
          </cell>
          <cell r="D5063" t="str">
            <v>WANDA</v>
          </cell>
          <cell r="E5063">
            <v>20002</v>
          </cell>
          <cell r="F5063" t="str">
            <v>TINTAS POLIÉSTER</v>
          </cell>
          <cell r="G5063" t="str">
            <v>AUTOMOTIVO</v>
          </cell>
        </row>
        <row r="5064">
          <cell r="A5064">
            <v>24131</v>
          </cell>
          <cell r="B5064" t="str">
            <v>BP PRATA SOUL MET. TOYOTA 12/16 0,900ML SKY-21,45-ST</v>
          </cell>
          <cell r="C5064">
            <v>211773640101</v>
          </cell>
          <cell r="D5064" t="str">
            <v>SKY</v>
          </cell>
          <cell r="E5064">
            <v>20002</v>
          </cell>
          <cell r="F5064" t="str">
            <v>TINTAS POLIÉSTER</v>
          </cell>
          <cell r="G5064" t="str">
            <v>AUTOMOTIVO</v>
          </cell>
        </row>
        <row r="5065">
          <cell r="A5065">
            <v>22225</v>
          </cell>
          <cell r="B5065" t="str">
            <v>BP PRATA SUPERNOVA MET TOYOTA 2003 900ML WANDA-21,67-ST</v>
          </cell>
          <cell r="C5065">
            <v>529528</v>
          </cell>
          <cell r="D5065" t="str">
            <v>WANDA</v>
          </cell>
          <cell r="E5065">
            <v>20002</v>
          </cell>
          <cell r="F5065" t="str">
            <v>TINTAS POLIÉSTER</v>
          </cell>
          <cell r="G5065" t="str">
            <v>AUTOMOTIVO</v>
          </cell>
        </row>
        <row r="5066">
          <cell r="A5066">
            <v>23997</v>
          </cell>
          <cell r="B5066" t="str">
            <v>BP PRATA SUPERNOVA MET. 0,900ML SKY-21,45-ST</v>
          </cell>
          <cell r="C5066">
            <v>211771060101</v>
          </cell>
          <cell r="D5066" t="str">
            <v>SKY</v>
          </cell>
          <cell r="E5066">
            <v>20002</v>
          </cell>
          <cell r="F5066" t="str">
            <v>TINTAS POLIÉSTER</v>
          </cell>
          <cell r="G5066" t="str">
            <v>AUTOMOTIVO</v>
          </cell>
        </row>
        <row r="5067">
          <cell r="A5067">
            <v>23360</v>
          </cell>
          <cell r="B5067" t="str">
            <v>BP PRATA SWITCHBLADE MET GM 2009 900ML WANDA-21,67-ST</v>
          </cell>
          <cell r="C5067">
            <v>529546</v>
          </cell>
          <cell r="D5067" t="str">
            <v>WANDA</v>
          </cell>
          <cell r="E5067">
            <v>20002</v>
          </cell>
          <cell r="F5067" t="str">
            <v>TINTAS POLIÉSTER</v>
          </cell>
          <cell r="G5067" t="str">
            <v>AUTOMOTIVO</v>
          </cell>
        </row>
        <row r="5068">
          <cell r="A5068">
            <v>24022</v>
          </cell>
          <cell r="B5068" t="str">
            <v>BP PRATA SWITCHBLADE MET. GM 11/18 0,900ML SKY-21,46-ST</v>
          </cell>
          <cell r="C5068">
            <v>7899494504773</v>
          </cell>
          <cell r="D5068" t="str">
            <v>SKY</v>
          </cell>
          <cell r="E5068">
            <v>20002</v>
          </cell>
          <cell r="F5068" t="str">
            <v>TINTAS POLIÉSTER</v>
          </cell>
          <cell r="G5068" t="str">
            <v>AUTOMOTIVO</v>
          </cell>
        </row>
        <row r="5069">
          <cell r="A5069">
            <v>85555</v>
          </cell>
          <cell r="B5069" t="str">
            <v>BP PRETO BRISTOL METÁLICO FORD 2009/2016 900ML WANDA</v>
          </cell>
          <cell r="C5069">
            <v>607713</v>
          </cell>
          <cell r="D5069" t="str">
            <v>WANDA</v>
          </cell>
          <cell r="E5069">
            <v>20002</v>
          </cell>
          <cell r="F5069" t="str">
            <v>TINTAS POLIÉSTER</v>
          </cell>
          <cell r="G5069" t="str">
            <v>AUTOMOTIVO</v>
          </cell>
        </row>
        <row r="5070">
          <cell r="A5070">
            <v>24012</v>
          </cell>
          <cell r="B5070" t="str">
            <v>BP PRETO BRISTOL PER. FORD 09/16 0,900ML SKY-21,46-ST</v>
          </cell>
          <cell r="C5070">
            <v>213011140101</v>
          </cell>
          <cell r="D5070" t="str">
            <v>SKY</v>
          </cell>
          <cell r="E5070">
            <v>20002</v>
          </cell>
          <cell r="F5070" t="str">
            <v>TINTAS POLIÉSTER</v>
          </cell>
          <cell r="G5070" t="str">
            <v>AUTOMOTIVO</v>
          </cell>
        </row>
        <row r="5071">
          <cell r="A5071">
            <v>85556</v>
          </cell>
          <cell r="B5071" t="str">
            <v>BP PRETO CARBON FLASH METÁLICO GM 2008/2016 900ML WANDA</v>
          </cell>
          <cell r="C5071">
            <v>607720</v>
          </cell>
          <cell r="D5071" t="str">
            <v>WANDA</v>
          </cell>
          <cell r="E5071">
            <v>20002</v>
          </cell>
          <cell r="F5071" t="str">
            <v>TINTAS POLIÉSTER</v>
          </cell>
          <cell r="G5071" t="str">
            <v>AUTOMOTIVO</v>
          </cell>
        </row>
        <row r="5072">
          <cell r="A5072">
            <v>82</v>
          </cell>
          <cell r="B5072" t="str">
            <v>BP PRETO CARBON PER. FIAT/JEEP 16/21 0,900ML SKY-21,94-ST</v>
          </cell>
          <cell r="C5072">
            <v>213030960101</v>
          </cell>
          <cell r="D5072" t="str">
            <v>SKY</v>
          </cell>
          <cell r="E5072">
            <v>20002</v>
          </cell>
          <cell r="F5072" t="str">
            <v>TINTAS POLIÉSTER</v>
          </cell>
          <cell r="G5072" t="str">
            <v>AUTOMOTIVO</v>
          </cell>
        </row>
        <row r="5073">
          <cell r="A5073">
            <v>24150</v>
          </cell>
          <cell r="B5073" t="str">
            <v>BP PRETO CRISTAL PER.HONDA 09/16 0,900ML SKY-21,45-ST</v>
          </cell>
          <cell r="C5073" t="str">
            <v>2137630201B8</v>
          </cell>
          <cell r="D5073" t="str">
            <v>SKY</v>
          </cell>
          <cell r="E5073">
            <v>20002</v>
          </cell>
          <cell r="F5073" t="str">
            <v>TINTAS POLIÉSTER</v>
          </cell>
          <cell r="G5073" t="str">
            <v>AUTOMOTIVO</v>
          </cell>
        </row>
        <row r="5074">
          <cell r="A5074">
            <v>21287</v>
          </cell>
          <cell r="B5074" t="str">
            <v>BP PRETO EBONY FORD 1998 900ML WANDA-21,67-ST</v>
          </cell>
          <cell r="C5074">
            <v>529519</v>
          </cell>
          <cell r="D5074" t="str">
            <v>WANDA</v>
          </cell>
          <cell r="E5074">
            <v>20002</v>
          </cell>
          <cell r="F5074" t="str">
            <v>TINTAS POLIÉSTER</v>
          </cell>
          <cell r="G5074" t="str">
            <v>AUTOMOTIVO</v>
          </cell>
        </row>
        <row r="5075">
          <cell r="A5075">
            <v>85155</v>
          </cell>
          <cell r="B5075" t="str">
            <v>BP PRETO EBONY FORD 98 900ML BRASIDUR</v>
          </cell>
          <cell r="C5075" t="str">
            <v>BP 341535601</v>
          </cell>
          <cell r="D5075" t="str">
            <v>BRASILUX</v>
          </cell>
          <cell r="E5075">
            <v>20002</v>
          </cell>
          <cell r="F5075" t="str">
            <v>TINTAS POLIÉSTER</v>
          </cell>
          <cell r="G5075" t="str">
            <v>AUTOMOTIVO</v>
          </cell>
        </row>
        <row r="5076">
          <cell r="A5076">
            <v>24117</v>
          </cell>
          <cell r="B5076" t="str">
            <v>BP PRETO EBONY LISA FORD 98 0,900ML SKY-21,46-ST</v>
          </cell>
          <cell r="C5076">
            <v>210011030101</v>
          </cell>
          <cell r="D5076" t="str">
            <v>SKY</v>
          </cell>
          <cell r="E5076">
            <v>20002</v>
          </cell>
          <cell r="F5076" t="str">
            <v>TINTAS POLIÉSTER</v>
          </cell>
          <cell r="G5076" t="str">
            <v>AUTOMOTIVO</v>
          </cell>
        </row>
        <row r="5077">
          <cell r="A5077">
            <v>85154</v>
          </cell>
          <cell r="B5077" t="str">
            <v>BP PRETO ECLIPSE MET. TOYOTA 900ML BRASIDUR</v>
          </cell>
          <cell r="C5077" t="str">
            <v>BP 341514501</v>
          </cell>
          <cell r="D5077" t="str">
            <v>BRASILUX</v>
          </cell>
          <cell r="E5077">
            <v>20002</v>
          </cell>
          <cell r="F5077" t="str">
            <v>TINTAS POLIÉSTER</v>
          </cell>
          <cell r="G5077" t="str">
            <v>AUTOMOTIVO</v>
          </cell>
        </row>
        <row r="5078">
          <cell r="A5078">
            <v>24120</v>
          </cell>
          <cell r="B5078" t="str">
            <v>BP PRETO ECLYPSE MET. TOYOTA 09/17 0,900ML SKY-21,46-ST</v>
          </cell>
          <cell r="C5078" t="str">
            <v>2117710401B8</v>
          </cell>
          <cell r="D5078" t="str">
            <v>SKY</v>
          </cell>
          <cell r="E5078">
            <v>20002</v>
          </cell>
          <cell r="F5078" t="str">
            <v>TINTAS POLIÉSTER</v>
          </cell>
          <cell r="G5078" t="str">
            <v>AUTOMOTIVO</v>
          </cell>
        </row>
        <row r="5079">
          <cell r="A5079">
            <v>24149</v>
          </cell>
          <cell r="B5079" t="str">
            <v>BP PRETO GALES PER. FORD 0,900ML SKY-21,46-ST</v>
          </cell>
          <cell r="C5079">
            <v>213079670101</v>
          </cell>
          <cell r="D5079" t="str">
            <v>SKY</v>
          </cell>
          <cell r="E5079">
            <v>20002</v>
          </cell>
          <cell r="F5079" t="str">
            <v>TINTAS POLIÉSTER</v>
          </cell>
          <cell r="G5079" t="str">
            <v>AUTOMOTIVO</v>
          </cell>
        </row>
        <row r="5080">
          <cell r="A5080">
            <v>84</v>
          </cell>
          <cell r="B5080" t="str">
            <v>BP PRETO GLOBAL LISA GM 10/16 0,900ML SKY-21,94-ST</v>
          </cell>
          <cell r="C5080">
            <v>210041310101</v>
          </cell>
          <cell r="D5080" t="str">
            <v>SKY</v>
          </cell>
          <cell r="E5080">
            <v>20002</v>
          </cell>
          <cell r="F5080" t="str">
            <v>TINTAS POLIÉSTER</v>
          </cell>
          <cell r="G5080" t="str">
            <v>AUTOMOTIVO</v>
          </cell>
        </row>
        <row r="5081">
          <cell r="A5081">
            <v>85153</v>
          </cell>
          <cell r="B5081" t="str">
            <v>BP PRETO LISZT GM 94 900ML BRASIDUR</v>
          </cell>
          <cell r="C5081" t="str">
            <v>BP 341506401</v>
          </cell>
          <cell r="D5081" t="str">
            <v>BRASILUX</v>
          </cell>
          <cell r="E5081">
            <v>20002</v>
          </cell>
          <cell r="F5081" t="str">
            <v>TINTAS POLIÉSTER</v>
          </cell>
          <cell r="G5081" t="str">
            <v>AUTOMOTIVO</v>
          </cell>
        </row>
        <row r="5082">
          <cell r="A5082">
            <v>24128</v>
          </cell>
          <cell r="B5082" t="str">
            <v>BP PRETO LISZT LISA GM 94 0,900ML SKY-21,94-ST</v>
          </cell>
          <cell r="C5082">
            <v>210041100101</v>
          </cell>
          <cell r="D5082" t="str">
            <v>SKY</v>
          </cell>
          <cell r="E5082">
            <v>20002</v>
          </cell>
          <cell r="F5082" t="str">
            <v>TINTAS POLIÉSTER</v>
          </cell>
          <cell r="G5082" t="str">
            <v>AUTOMOTIVO</v>
          </cell>
        </row>
        <row r="5083">
          <cell r="A5083">
            <v>21272</v>
          </cell>
          <cell r="B5083" t="str">
            <v>BP PRETO LIZST GM 1994 900ML WANDA-21,67-ST</v>
          </cell>
          <cell r="C5083">
            <v>529493</v>
          </cell>
          <cell r="D5083" t="str">
            <v>WANDA</v>
          </cell>
          <cell r="E5083">
            <v>20002</v>
          </cell>
          <cell r="F5083" t="str">
            <v>TINTAS POLIÉSTER</v>
          </cell>
          <cell r="G5083" t="str">
            <v>AUTOMOTIVO</v>
          </cell>
        </row>
        <row r="5084">
          <cell r="A5084">
            <v>24013</v>
          </cell>
          <cell r="B5084" t="str">
            <v>BP PRETO NINJA LISA VW 95 0,900ML SKY-21,94-ST</v>
          </cell>
          <cell r="C5084">
            <v>210021600101</v>
          </cell>
          <cell r="D5084" t="str">
            <v>SKY</v>
          </cell>
          <cell r="E5084">
            <v>20002</v>
          </cell>
          <cell r="F5084" t="str">
            <v>TINTAS POLIÉSTER</v>
          </cell>
          <cell r="G5084" t="str">
            <v>AUTOMOTIVO</v>
          </cell>
        </row>
        <row r="5085">
          <cell r="A5085">
            <v>23362</v>
          </cell>
          <cell r="B5085" t="str">
            <v>BP PRETO NINJA VW 1999 900ML WANDA-21,67-ST</v>
          </cell>
          <cell r="C5085">
            <v>529518</v>
          </cell>
          <cell r="D5085" t="str">
            <v>WANDA</v>
          </cell>
          <cell r="E5085">
            <v>20002</v>
          </cell>
          <cell r="F5085" t="str">
            <v>TINTAS POLIÉSTER</v>
          </cell>
          <cell r="G5085" t="str">
            <v>AUTOMOTIVO</v>
          </cell>
        </row>
        <row r="5086">
          <cell r="A5086">
            <v>85445</v>
          </cell>
          <cell r="B5086" t="str">
            <v>BP PRETO NINJA VW 900 ML BRASILUX</v>
          </cell>
          <cell r="C5086" t="str">
            <v>BP 341536701</v>
          </cell>
          <cell r="D5086" t="str">
            <v>BRASILUX</v>
          </cell>
          <cell r="E5086">
            <v>20002</v>
          </cell>
          <cell r="F5086" t="str">
            <v>TINTAS POLIÉSTER</v>
          </cell>
          <cell r="G5086" t="str">
            <v>AUTOMOTIVO</v>
          </cell>
        </row>
        <row r="5087">
          <cell r="A5087">
            <v>100</v>
          </cell>
          <cell r="B5087" t="str">
            <v>BP PRETO ONIX LISA HYUNDAI 12/16 0,900ML SKY-21,45-ST</v>
          </cell>
          <cell r="C5087">
            <v>210720420101</v>
          </cell>
          <cell r="D5087" t="str">
            <v>SKY</v>
          </cell>
          <cell r="E5087">
            <v>20002</v>
          </cell>
          <cell r="F5087" t="str">
            <v>TINTAS POLIÉSTER</v>
          </cell>
          <cell r="G5087" t="str">
            <v>AUTOMOTIVO</v>
          </cell>
        </row>
        <row r="5088">
          <cell r="A5088">
            <v>120</v>
          </cell>
          <cell r="B5088" t="str">
            <v>BP PRETO ONIX LISA PEUGEOT 82/16 0,900ML SKY-21,94-ST</v>
          </cell>
          <cell r="C5088">
            <v>210783140101</v>
          </cell>
          <cell r="D5088" t="str">
            <v>SKY</v>
          </cell>
          <cell r="E5088">
            <v>20002</v>
          </cell>
          <cell r="F5088" t="str">
            <v>TINTAS POLIÉSTER</v>
          </cell>
          <cell r="G5088" t="str">
            <v>AUTOMOTIVO</v>
          </cell>
        </row>
        <row r="5089">
          <cell r="A5089">
            <v>85089</v>
          </cell>
          <cell r="B5089" t="str">
            <v>BP PRETO OURO NEGRO GM 2016 900ML WANDA-21,67-ST</v>
          </cell>
          <cell r="C5089">
            <v>564080</v>
          </cell>
          <cell r="D5089" t="str">
            <v>WANDA</v>
          </cell>
          <cell r="E5089">
            <v>20002</v>
          </cell>
          <cell r="F5089" t="str">
            <v>TINTAS POLIÉSTER</v>
          </cell>
          <cell r="G5089" t="str">
            <v>AUTOMOTIVO</v>
          </cell>
        </row>
        <row r="5090">
          <cell r="A5090">
            <v>24019</v>
          </cell>
          <cell r="B5090" t="str">
            <v>BP PRETO OURO NEGRO MET. GM 16/20 0,900ML SKY-21,46-ST</v>
          </cell>
          <cell r="C5090">
            <v>211040740101</v>
          </cell>
          <cell r="D5090" t="str">
            <v>SKY</v>
          </cell>
          <cell r="E5090">
            <v>20002</v>
          </cell>
          <cell r="F5090" t="str">
            <v>TINTAS POLIÉSTER</v>
          </cell>
          <cell r="G5090" t="str">
            <v>AUTOMOTIVO</v>
          </cell>
        </row>
        <row r="5091">
          <cell r="A5091">
            <v>24040</v>
          </cell>
          <cell r="B5091" t="str">
            <v>BP PRETO PEROLA MET. TOYOTA 99/05 0,900ML SKY-21,93-ST</v>
          </cell>
          <cell r="C5091">
            <v>211773970101</v>
          </cell>
          <cell r="D5091" t="str">
            <v>SKY</v>
          </cell>
          <cell r="E5091">
            <v>20002</v>
          </cell>
          <cell r="F5091" t="str">
            <v>TINTAS POLIÉSTER</v>
          </cell>
          <cell r="G5091" t="str">
            <v>AUTOMOTIVO</v>
          </cell>
        </row>
        <row r="5092">
          <cell r="A5092">
            <v>24121</v>
          </cell>
          <cell r="B5092" t="str">
            <v>BP PRETO PEROLIZADO PER. HONDA 0,900ML SKY-21,94-ST</v>
          </cell>
          <cell r="C5092">
            <v>213761020101</v>
          </cell>
          <cell r="D5092" t="str">
            <v>SKY</v>
          </cell>
          <cell r="E5092">
            <v>20002</v>
          </cell>
          <cell r="F5092" t="str">
            <v>TINTAS POLIÉSTER</v>
          </cell>
          <cell r="G5092" t="str">
            <v>AUTOMOTIVO</v>
          </cell>
        </row>
        <row r="5093">
          <cell r="A5093">
            <v>24030</v>
          </cell>
          <cell r="B5093" t="str">
            <v>BP PRETO PREMIUM LISA NISSAN 89/20 0,900ML SKY-21,46-ST</v>
          </cell>
          <cell r="C5093">
            <v>210709630101</v>
          </cell>
          <cell r="D5093" t="str">
            <v>SKY</v>
          </cell>
          <cell r="E5093">
            <v>20002</v>
          </cell>
          <cell r="F5093" t="str">
            <v>TINTAS POLIÉSTER</v>
          </cell>
          <cell r="G5093" t="str">
            <v>AUTOMOTIVO</v>
          </cell>
        </row>
        <row r="5094">
          <cell r="A5094">
            <v>85557</v>
          </cell>
          <cell r="B5094" t="str">
            <v>BP PRETO PREMIUM NISSAN 900ML  WANDA</v>
          </cell>
          <cell r="C5094">
            <v>607655</v>
          </cell>
          <cell r="D5094" t="str">
            <v>WANDA</v>
          </cell>
          <cell r="E5094">
            <v>20002</v>
          </cell>
          <cell r="F5094" t="str">
            <v>TINTAS POLIÉSTER</v>
          </cell>
          <cell r="G5094" t="str">
            <v>AUTOMOTIVO</v>
          </cell>
        </row>
        <row r="5095">
          <cell r="A5095">
            <v>24148</v>
          </cell>
          <cell r="B5095" t="str">
            <v>BP PRETO ROCK PER. TOYOTA 11/20 0,900ML SKY-21,94-ST</v>
          </cell>
          <cell r="C5095" t="str">
            <v>2137737901B8</v>
          </cell>
          <cell r="D5095" t="str">
            <v>SKY</v>
          </cell>
          <cell r="E5095">
            <v>20002</v>
          </cell>
          <cell r="F5095" t="str">
            <v>TINTAS POLIÉSTER</v>
          </cell>
          <cell r="G5095" t="str">
            <v>AUTOMOTIVO</v>
          </cell>
        </row>
        <row r="5096">
          <cell r="A5096">
            <v>24146</v>
          </cell>
          <cell r="B5096" t="str">
            <v>BP PRETO UNIVERSAL LISA VW 0,900ML SKY-21,94-ST</v>
          </cell>
          <cell r="C5096">
            <v>210021190101</v>
          </cell>
          <cell r="D5096" t="str">
            <v>SKY</v>
          </cell>
          <cell r="E5096">
            <v>20002</v>
          </cell>
          <cell r="F5096" t="str">
            <v>TINTAS POLIÉSTER</v>
          </cell>
          <cell r="G5096" t="str">
            <v>AUTOMOTIVO</v>
          </cell>
        </row>
        <row r="5097">
          <cell r="A5097">
            <v>21300</v>
          </cell>
          <cell r="B5097" t="str">
            <v>BP PRETO UNIVERSAL VW 1993 900ML WANDA-21,94-ST</v>
          </cell>
          <cell r="C5097">
            <v>529501</v>
          </cell>
          <cell r="D5097" t="str">
            <v>WANDA</v>
          </cell>
          <cell r="E5097">
            <v>20002</v>
          </cell>
          <cell r="F5097" t="str">
            <v>TINTAS POLIÉSTER</v>
          </cell>
          <cell r="G5097" t="str">
            <v>AUTOMOTIVO</v>
          </cell>
        </row>
        <row r="5098">
          <cell r="A5098">
            <v>21285</v>
          </cell>
          <cell r="B5098" t="str">
            <v>BP PRETO VESUVIO MET FIAT 2000 900ML WANDA-21,46-ST</v>
          </cell>
          <cell r="C5098">
            <v>529516</v>
          </cell>
          <cell r="D5098" t="str">
            <v>WANDA</v>
          </cell>
          <cell r="E5098">
            <v>20002</v>
          </cell>
          <cell r="F5098" t="str">
            <v>TINTAS POLIÉSTER</v>
          </cell>
          <cell r="G5098" t="str">
            <v>AUTOMOTIVO</v>
          </cell>
        </row>
        <row r="5099">
          <cell r="A5099">
            <v>24035</v>
          </cell>
          <cell r="B5099" t="str">
            <v>BP PRETO VESUVIO MET. 0,900ML SKY-21,94-ST</v>
          </cell>
          <cell r="C5099">
            <v>211031290101</v>
          </cell>
          <cell r="D5099" t="str">
            <v>SKY</v>
          </cell>
          <cell r="E5099">
            <v>20002</v>
          </cell>
          <cell r="F5099" t="str">
            <v>TINTAS POLIÉSTER</v>
          </cell>
          <cell r="G5099" t="str">
            <v>AUTOMOTIVO</v>
          </cell>
        </row>
        <row r="5100">
          <cell r="A5100">
            <v>23378</v>
          </cell>
          <cell r="B5100" t="str">
            <v>BP PRETO VULCANO FIAT 1998 900ML WANDA-21,67-ST</v>
          </cell>
          <cell r="C5100">
            <v>529508</v>
          </cell>
          <cell r="D5100" t="str">
            <v>WANDA</v>
          </cell>
          <cell r="E5100">
            <v>20002</v>
          </cell>
          <cell r="F5100" t="str">
            <v>TINTAS POLIÉSTER</v>
          </cell>
          <cell r="G5100" t="str">
            <v>AUTOMOTIVO</v>
          </cell>
        </row>
        <row r="5101">
          <cell r="A5101">
            <v>85156</v>
          </cell>
          <cell r="B5101" t="str">
            <v>BP PRETO VULCANO FIAT 900ML BRASIDUR</v>
          </cell>
          <cell r="C5101" t="str">
            <v>BP 341537801</v>
          </cell>
          <cell r="D5101" t="str">
            <v>BRASILUX</v>
          </cell>
          <cell r="E5101">
            <v>20002</v>
          </cell>
          <cell r="F5101" t="str">
            <v>TINTAS POLIÉSTER</v>
          </cell>
          <cell r="G5101" t="str">
            <v>AUTOMOTIVO</v>
          </cell>
        </row>
        <row r="5102">
          <cell r="A5102">
            <v>121</v>
          </cell>
          <cell r="B5102" t="str">
            <v>BP PRETO VULCANO LISA FIAT 99/16 0,900ML SKY-21,45-ST</v>
          </cell>
          <cell r="C5102">
            <v>210033780101</v>
          </cell>
          <cell r="D5102" t="str">
            <v>SKY</v>
          </cell>
          <cell r="E5102">
            <v>20002</v>
          </cell>
          <cell r="F5102" t="str">
            <v>TINTAS POLIÉSTER</v>
          </cell>
          <cell r="G5102" t="str">
            <v>AUTOMOTIVO</v>
          </cell>
        </row>
        <row r="5103">
          <cell r="A5103">
            <v>24133</v>
          </cell>
          <cell r="B5103" t="str">
            <v>BP QUICK SILVER MET. 0,900ML SKY-21,94-ST</v>
          </cell>
          <cell r="C5103">
            <v>211732290101</v>
          </cell>
          <cell r="D5103" t="str">
            <v>SKY</v>
          </cell>
          <cell r="E5103">
            <v>20002</v>
          </cell>
          <cell r="F5103" t="str">
            <v>TINTAS POLIÉSTER</v>
          </cell>
          <cell r="G5103" t="str">
            <v>AUTOMOTIVO</v>
          </cell>
        </row>
        <row r="5104">
          <cell r="A5104">
            <v>24134</v>
          </cell>
          <cell r="B5104" t="str">
            <v>BP SHIMMERING SILVER MET. 0,900ML SKY-21,46-ST</v>
          </cell>
          <cell r="C5104">
            <v>211708060101</v>
          </cell>
          <cell r="D5104" t="str">
            <v>SKY</v>
          </cell>
          <cell r="E5104">
            <v>20002</v>
          </cell>
          <cell r="F5104" t="str">
            <v>TINTAS POLIÉSTER</v>
          </cell>
          <cell r="G5104" t="str">
            <v>AUTOMOTIVO</v>
          </cell>
        </row>
        <row r="5105">
          <cell r="A5105">
            <v>24026</v>
          </cell>
          <cell r="B5105" t="str">
            <v>BP SHORELINE BEIGE MET. 0,900ML SKY-21,46-ST</v>
          </cell>
          <cell r="C5105" t="str">
            <v>2117633701B8</v>
          </cell>
          <cell r="D5105" t="str">
            <v>SKY</v>
          </cell>
          <cell r="E5105">
            <v>20002</v>
          </cell>
          <cell r="F5105" t="str">
            <v>TINTAS POLIÉSTER</v>
          </cell>
          <cell r="G5105" t="str">
            <v>AUTOMOTIVO</v>
          </cell>
        </row>
        <row r="5106">
          <cell r="A5106">
            <v>24033</v>
          </cell>
          <cell r="B5106" t="str">
            <v>BP VERDE BALI PER. VW 97 0,900ML SKY-21,45-ST</v>
          </cell>
          <cell r="C5106">
            <v>213021200101</v>
          </cell>
          <cell r="D5106" t="str">
            <v>SKY</v>
          </cell>
          <cell r="E5106">
            <v>20002</v>
          </cell>
          <cell r="F5106" t="str">
            <v>TINTAS POLIÉSTER</v>
          </cell>
          <cell r="G5106" t="str">
            <v>AUTOMOTIVO</v>
          </cell>
        </row>
        <row r="5107">
          <cell r="A5107">
            <v>24038</v>
          </cell>
          <cell r="B5107" t="str">
            <v>BP VERDE EMERALD PER. 0,900ML SKY-21,94-ST</v>
          </cell>
          <cell r="C5107">
            <v>213031150101</v>
          </cell>
          <cell r="D5107" t="str">
            <v>SKY</v>
          </cell>
          <cell r="E5107">
            <v>20002</v>
          </cell>
          <cell r="F5107" t="str">
            <v>TINTAS POLIÉSTER</v>
          </cell>
          <cell r="G5107" t="str">
            <v>AUTOMOTIVO</v>
          </cell>
        </row>
        <row r="5108">
          <cell r="A5108">
            <v>24166</v>
          </cell>
          <cell r="B5108" t="str">
            <v>BP VERDE HERA MET GM 900ML SKY-21,46-ST</v>
          </cell>
          <cell r="C5108">
            <v>211049300101</v>
          </cell>
          <cell r="D5108" t="str">
            <v>SKY</v>
          </cell>
          <cell r="E5108">
            <v>20002</v>
          </cell>
          <cell r="F5108" t="str">
            <v>TINTAS POLIÉSTER</v>
          </cell>
          <cell r="G5108" t="str">
            <v>AUTOMOTIVO</v>
          </cell>
        </row>
        <row r="5109">
          <cell r="A5109">
            <v>21301</v>
          </cell>
          <cell r="B5109" t="str">
            <v>BP VERMELHO ALPINE FIAT 1995 900ML WANDA-21,94-ST</v>
          </cell>
          <cell r="C5109">
            <v>529537</v>
          </cell>
          <cell r="D5109" t="str">
            <v>WANDA</v>
          </cell>
          <cell r="E5109">
            <v>20002</v>
          </cell>
          <cell r="F5109" t="str">
            <v>TINTAS POLIÉSTER</v>
          </cell>
          <cell r="G5109" t="str">
            <v>AUTOMOTIVO</v>
          </cell>
        </row>
        <row r="5110">
          <cell r="A5110">
            <v>85157</v>
          </cell>
          <cell r="B5110" t="str">
            <v>BP VERMELHO ALPINE II FIAT 96 900ML BRASIDUR</v>
          </cell>
          <cell r="C5110" t="str">
            <v>BP 342323701</v>
          </cell>
          <cell r="D5110" t="str">
            <v>BRASILUX</v>
          </cell>
          <cell r="E5110">
            <v>20002</v>
          </cell>
          <cell r="F5110" t="str">
            <v>TINTAS POLIÉSTER</v>
          </cell>
          <cell r="G5110" t="str">
            <v>AUTOMOTIVO</v>
          </cell>
        </row>
        <row r="5111">
          <cell r="A5111">
            <v>24162</v>
          </cell>
          <cell r="B5111" t="str">
            <v>BP VERMELHO ALPINE LISA FIAT 96/18 0,900ML SKY-21,46-ST</v>
          </cell>
          <cell r="C5111">
            <v>210031210101</v>
          </cell>
          <cell r="D5111" t="str">
            <v>SKY</v>
          </cell>
          <cell r="E5111">
            <v>20002</v>
          </cell>
          <cell r="F5111" t="str">
            <v>TINTAS POLIÉSTER</v>
          </cell>
          <cell r="G5111" t="str">
            <v>AUTOMOTIVO</v>
          </cell>
        </row>
        <row r="5112">
          <cell r="A5112">
            <v>24024</v>
          </cell>
          <cell r="B5112" t="str">
            <v>BP VERMELHO ARPOADOR LISA FORD 07/20 0,900ML SKY-21,45-ST</v>
          </cell>
          <cell r="C5112">
            <v>210013410101</v>
          </cell>
          <cell r="D5112" t="str">
            <v>SKY</v>
          </cell>
          <cell r="E5112">
            <v>20002</v>
          </cell>
          <cell r="F5112" t="str">
            <v>TINTAS POLIÉSTER</v>
          </cell>
          <cell r="G5112" t="str">
            <v>AUTOMOTIVO</v>
          </cell>
        </row>
        <row r="5113">
          <cell r="A5113">
            <v>92</v>
          </cell>
          <cell r="B5113" t="str">
            <v>BP VERMELHO BARI LISA FORD 00 0,900ML SKY-21,94-ST</v>
          </cell>
          <cell r="C5113">
            <v>210017950101</v>
          </cell>
          <cell r="D5113" t="str">
            <v>SKY</v>
          </cell>
          <cell r="E5113">
            <v>20002</v>
          </cell>
          <cell r="F5113" t="str">
            <v>TINTAS POLIÉSTER</v>
          </cell>
          <cell r="G5113" t="str">
            <v>AUTOMOTIVO</v>
          </cell>
        </row>
        <row r="5114">
          <cell r="A5114">
            <v>24042</v>
          </cell>
          <cell r="B5114" t="str">
            <v>BP VERMELHO BARROCO PER. 0,900ML SKY-21,46-ST</v>
          </cell>
          <cell r="C5114">
            <v>213031190101</v>
          </cell>
          <cell r="D5114" t="str">
            <v>SKY</v>
          </cell>
          <cell r="E5114">
            <v>20002</v>
          </cell>
          <cell r="F5114" t="str">
            <v>TINTAS POLIÉSTER</v>
          </cell>
          <cell r="G5114" t="str">
            <v>AUTOMOTIVO</v>
          </cell>
        </row>
        <row r="5115">
          <cell r="A5115">
            <v>83918</v>
          </cell>
          <cell r="B5115" t="str">
            <v>BP VERMELHO CARMIM MET. GM 16/22 0,900ML SKY</v>
          </cell>
          <cell r="C5115" t="str">
            <v>2110408101B8</v>
          </cell>
          <cell r="D5115" t="str">
            <v>SKY</v>
          </cell>
          <cell r="E5115">
            <v>20002</v>
          </cell>
          <cell r="F5115" t="str">
            <v>TINTAS POLIÉSTER</v>
          </cell>
          <cell r="G5115" t="str">
            <v>AUTOMOTIVO</v>
          </cell>
        </row>
        <row r="5116">
          <cell r="A5116">
            <v>24168</v>
          </cell>
          <cell r="B5116" t="str">
            <v>BP VERMELHO CHARDON PER. GM 07/12 0,900ML SKY-21,94-ST</v>
          </cell>
          <cell r="C5116">
            <v>213044220101</v>
          </cell>
          <cell r="D5116" t="str">
            <v>SKY</v>
          </cell>
          <cell r="E5116">
            <v>20002</v>
          </cell>
          <cell r="F5116" t="str">
            <v>TINTAS POLIÉSTER</v>
          </cell>
          <cell r="G5116" t="str">
            <v>AUTOMOTIVO</v>
          </cell>
        </row>
        <row r="5117">
          <cell r="A5117">
            <v>24020</v>
          </cell>
          <cell r="B5117" t="str">
            <v>BP VERMELHO CORDOBA PER. FIAT 96 0,900ML SKY-21,94-ST</v>
          </cell>
          <cell r="C5117">
            <v>213031130101</v>
          </cell>
          <cell r="D5117" t="str">
            <v>SKY</v>
          </cell>
          <cell r="E5117">
            <v>20002</v>
          </cell>
          <cell r="F5117" t="str">
            <v>TINTAS POLIÉSTER</v>
          </cell>
          <cell r="G5117" t="str">
            <v>AUTOMOTIVO</v>
          </cell>
        </row>
        <row r="5118">
          <cell r="A5118">
            <v>21011</v>
          </cell>
          <cell r="B5118" t="str">
            <v>BP VERMELHO CORDOBA PEROL FIAT 1996 900ML WANDA-21,94-ST</v>
          </cell>
          <cell r="C5118">
            <v>529500</v>
          </cell>
          <cell r="D5118" t="str">
            <v>WANDA</v>
          </cell>
          <cell r="E5118">
            <v>20002</v>
          </cell>
          <cell r="F5118" t="str">
            <v>TINTAS POLIÉSTER</v>
          </cell>
          <cell r="G5118" t="str">
            <v>AUTOMOTIVO</v>
          </cell>
        </row>
        <row r="5119">
          <cell r="A5119">
            <v>24043</v>
          </cell>
          <cell r="B5119" t="str">
            <v>BP VERMELHO FIRENZE PER. 0,900ML SKY-21,45-ST</v>
          </cell>
          <cell r="C5119">
            <v>213031200101</v>
          </cell>
          <cell r="D5119" t="str">
            <v>SKY</v>
          </cell>
          <cell r="E5119">
            <v>20002</v>
          </cell>
          <cell r="F5119" t="str">
            <v>TINTAS POLIÉSTER</v>
          </cell>
          <cell r="G5119" t="str">
            <v>AUTOMOTIVO</v>
          </cell>
        </row>
        <row r="5120">
          <cell r="A5120">
            <v>24330</v>
          </cell>
          <cell r="B5120" t="str">
            <v>BP VERMELHO FLASH II LISA VW 02/16 0,900ML SKY-21,45-ST</v>
          </cell>
          <cell r="C5120">
            <v>210020140101</v>
          </cell>
          <cell r="D5120" t="str">
            <v>SKY</v>
          </cell>
          <cell r="E5120">
            <v>20002</v>
          </cell>
          <cell r="F5120" t="str">
            <v>TINTAS POLIÉSTER</v>
          </cell>
          <cell r="G5120" t="str">
            <v>AUTOMOTIVO</v>
          </cell>
        </row>
        <row r="5121">
          <cell r="A5121">
            <v>24235</v>
          </cell>
          <cell r="B5121" t="str">
            <v>BP VERMELHO FLASH IV LISA VW 0,900ML SKY-21,46-ST</v>
          </cell>
          <cell r="C5121" t="str">
            <v>2100203101B8</v>
          </cell>
          <cell r="D5121" t="str">
            <v>SKY</v>
          </cell>
          <cell r="E5121">
            <v>20002</v>
          </cell>
          <cell r="F5121" t="str">
            <v>TINTAS POLIÉSTER</v>
          </cell>
          <cell r="G5121" t="str">
            <v>AUTOMOTIVO</v>
          </cell>
        </row>
        <row r="5122">
          <cell r="A5122">
            <v>23259</v>
          </cell>
          <cell r="B5122" t="str">
            <v>BP VERMELHO FLASH VW 2009 900ML WANDA-21,94-ST</v>
          </cell>
          <cell r="C5122">
            <v>529536</v>
          </cell>
          <cell r="D5122" t="str">
            <v>WANDA</v>
          </cell>
          <cell r="E5122">
            <v>20002</v>
          </cell>
          <cell r="F5122" t="str">
            <v>TINTAS POLIÉSTER</v>
          </cell>
          <cell r="G5122" t="str">
            <v>AUTOMOTIVO</v>
          </cell>
        </row>
        <row r="5123">
          <cell r="A5123">
            <v>24132</v>
          </cell>
          <cell r="B5123" t="str">
            <v>BP VERMELHO FOGO MET. RENAULT 00 0,900ML SKY-21,46-ST</v>
          </cell>
          <cell r="C5123">
            <v>211051080101</v>
          </cell>
          <cell r="D5123" t="str">
            <v>SKY</v>
          </cell>
          <cell r="E5123">
            <v>20002</v>
          </cell>
          <cell r="F5123" t="str">
            <v>TINTAS POLIÉSTER</v>
          </cell>
          <cell r="G5123" t="str">
            <v>AUTOMOTIVO</v>
          </cell>
        </row>
        <row r="5124">
          <cell r="A5124">
            <v>258</v>
          </cell>
          <cell r="B5124" t="str">
            <v>BP VERMELHO GOYA PER. GM 95 0,900ML SKY-21,45-ST</v>
          </cell>
          <cell r="C5124">
            <v>213041120101</v>
          </cell>
          <cell r="D5124" t="str">
            <v>SKY</v>
          </cell>
          <cell r="E5124">
            <v>20002</v>
          </cell>
          <cell r="F5124" t="str">
            <v>TINTAS POLIÉSTER</v>
          </cell>
          <cell r="G5124" t="str">
            <v>AUTOMOTIVO</v>
          </cell>
        </row>
        <row r="5125">
          <cell r="A5125">
            <v>21283</v>
          </cell>
          <cell r="B5125" t="str">
            <v>BP VERMELHO GOYA PEROL GM 1995 900ML WANDA-21,46-ST</v>
          </cell>
          <cell r="C5125">
            <v>529499</v>
          </cell>
          <cell r="D5125" t="str">
            <v>WANDA</v>
          </cell>
          <cell r="E5125">
            <v>20002</v>
          </cell>
          <cell r="F5125" t="str">
            <v>TINTAS POLIÉSTER</v>
          </cell>
          <cell r="G5125" t="str">
            <v>AUTOMOTIVO</v>
          </cell>
        </row>
        <row r="5126">
          <cell r="A5126">
            <v>24153</v>
          </cell>
          <cell r="B5126" t="str">
            <v>BP VERMELHO LUCIFER PER. PEUGEOT 0,900ML SKY-21,46-ST</v>
          </cell>
          <cell r="C5126">
            <v>213781020101</v>
          </cell>
          <cell r="D5126" t="str">
            <v>SKY</v>
          </cell>
          <cell r="E5126">
            <v>20002</v>
          </cell>
          <cell r="F5126" t="str">
            <v>TINTAS POLIÉSTER</v>
          </cell>
          <cell r="G5126" t="str">
            <v>AUTOMOTIVO</v>
          </cell>
        </row>
        <row r="5127">
          <cell r="A5127">
            <v>85158</v>
          </cell>
          <cell r="B5127" t="str">
            <v>BP VERMELHO LYRA GM 04 900ML BRASIDUR</v>
          </cell>
          <cell r="C5127" t="str">
            <v>BP 342328701</v>
          </cell>
          <cell r="D5127" t="str">
            <v>BRASILUX</v>
          </cell>
          <cell r="E5127">
            <v>20002</v>
          </cell>
          <cell r="F5127" t="str">
            <v>TINTAS POLIÉSTER</v>
          </cell>
          <cell r="G5127" t="str">
            <v>AUTOMOTIVO</v>
          </cell>
        </row>
        <row r="5128">
          <cell r="A5128">
            <v>125</v>
          </cell>
          <cell r="B5128" t="str">
            <v>BP VERMELHO LYRA II LISA GM 04/11 0,900ML SKY-21,45-ST</v>
          </cell>
          <cell r="C5128">
            <v>210048590101</v>
          </cell>
          <cell r="D5128" t="str">
            <v>SKY</v>
          </cell>
          <cell r="E5128">
            <v>20002</v>
          </cell>
          <cell r="F5128" t="str">
            <v>TINTAS POLIÉSTER</v>
          </cell>
          <cell r="G5128" t="str">
            <v>AUTOMOTIVO</v>
          </cell>
        </row>
        <row r="5129">
          <cell r="A5129">
            <v>24018</v>
          </cell>
          <cell r="B5129" t="str">
            <v>BP VERMELHO MODENA LISA FIAT 05/160,900ML SKY-21,45-ST</v>
          </cell>
          <cell r="C5129">
            <v>210032410101</v>
          </cell>
          <cell r="D5129" t="str">
            <v>SKY</v>
          </cell>
          <cell r="E5129">
            <v>20002</v>
          </cell>
          <cell r="F5129" t="str">
            <v>TINTAS POLIÉSTER</v>
          </cell>
          <cell r="G5129" t="str">
            <v>AUTOMOTIVO</v>
          </cell>
        </row>
        <row r="5130">
          <cell r="A5130">
            <v>23390</v>
          </cell>
          <cell r="B5130" t="str">
            <v>BP VERMELHO PEPPER GM 2011 900ML WANDA-21,94-ST</v>
          </cell>
          <cell r="C5130">
            <v>529548</v>
          </cell>
          <cell r="D5130" t="str">
            <v>WANDA</v>
          </cell>
          <cell r="E5130">
            <v>20002</v>
          </cell>
          <cell r="F5130" t="str">
            <v>TINTAS POLIÉSTER</v>
          </cell>
          <cell r="G5130" t="str">
            <v>AUTOMOTIVO</v>
          </cell>
        </row>
        <row r="5131">
          <cell r="A5131">
            <v>24154</v>
          </cell>
          <cell r="B5131" t="str">
            <v>BP VERMELHO PEPPER LISA GM 0,900ML SKY-25,88-ST</v>
          </cell>
          <cell r="C5131">
            <v>210040410101</v>
          </cell>
          <cell r="D5131" t="str">
            <v>SKY</v>
          </cell>
          <cell r="E5131">
            <v>20002</v>
          </cell>
          <cell r="F5131" t="str">
            <v>TINTAS POLIÉSTER</v>
          </cell>
          <cell r="G5131" t="str">
            <v>AUTOMOTIVO</v>
          </cell>
        </row>
        <row r="5132">
          <cell r="A5132">
            <v>24010</v>
          </cell>
          <cell r="B5132" t="str">
            <v>BP VERMELHO REAL PER. 0,900ML SKY-21,46-ST</v>
          </cell>
          <cell r="C5132">
            <v>213021270101</v>
          </cell>
          <cell r="D5132" t="str">
            <v>SKY</v>
          </cell>
          <cell r="E5132">
            <v>20002</v>
          </cell>
          <cell r="F5132" t="str">
            <v>TINTAS POLIÉSTER</v>
          </cell>
          <cell r="G5132" t="str">
            <v>AUTOMOTIVO</v>
          </cell>
        </row>
        <row r="5133">
          <cell r="A5133">
            <v>24163</v>
          </cell>
          <cell r="B5133" t="str">
            <v>BP VERMELHO TORNADO LISA VW 0,900ML SKY-21,46-ST</v>
          </cell>
          <cell r="C5133">
            <v>210023270101</v>
          </cell>
          <cell r="D5133" t="str">
            <v>SKY</v>
          </cell>
          <cell r="E5133">
            <v>20002</v>
          </cell>
          <cell r="F5133" t="str">
            <v>TINTAS POLIÉSTER</v>
          </cell>
          <cell r="G5133" t="str">
            <v>AUTOMOTIVO</v>
          </cell>
        </row>
        <row r="5134">
          <cell r="A5134">
            <v>23363</v>
          </cell>
          <cell r="B5134" t="str">
            <v>BP VERMELHO TORNADO VW 1999 900ML WANDA-21,67-ST</v>
          </cell>
          <cell r="C5134">
            <v>529547</v>
          </cell>
          <cell r="D5134" t="str">
            <v>WANDA</v>
          </cell>
          <cell r="E5134">
            <v>20002</v>
          </cell>
          <cell r="F5134" t="str">
            <v>TINTAS POLIÉSTER</v>
          </cell>
          <cell r="G5134" t="str">
            <v>AUTOMOTIVO</v>
          </cell>
        </row>
        <row r="5135">
          <cell r="A5135">
            <v>24157</v>
          </cell>
          <cell r="B5135" t="str">
            <v>BP VERMELHO VIVO LISA RENAULT 99/16 0,900ML SKY-21,46-ST</v>
          </cell>
          <cell r="C5135" t="str">
            <v>2107536101B8</v>
          </cell>
          <cell r="D5135" t="str">
            <v>SKY</v>
          </cell>
          <cell r="E5135">
            <v>20002</v>
          </cell>
          <cell r="F5135" t="str">
            <v>TINTAS POLIÉSTER</v>
          </cell>
          <cell r="G5135" t="str">
            <v>AUTOMOTIVO</v>
          </cell>
        </row>
        <row r="5136">
          <cell r="A5136">
            <v>24029</v>
          </cell>
          <cell r="B5136" t="str">
            <v>BP VERT AMAZONIE MET. 0,900ML SKY-21,94-ST</v>
          </cell>
          <cell r="C5136">
            <v>211753420101</v>
          </cell>
          <cell r="D5136" t="str">
            <v>SKY</v>
          </cell>
          <cell r="E5136">
            <v>20002</v>
          </cell>
          <cell r="F5136" t="str">
            <v>TINTAS POLIÉSTER</v>
          </cell>
          <cell r="G5136" t="str">
            <v>AUTOMOTIVO</v>
          </cell>
        </row>
        <row r="5137">
          <cell r="A5137">
            <v>9891</v>
          </cell>
          <cell r="B5137" t="str">
            <v>BRANCO BOSSA NOVA ANJO-21,94-ST</v>
          </cell>
          <cell r="C5137" t="str">
            <v>422.02623.01</v>
          </cell>
          <cell r="D5137" t="str">
            <v>.</v>
          </cell>
          <cell r="E5137">
            <v>20002</v>
          </cell>
          <cell r="F5137" t="str">
            <v>TINTAS POLIÉSTER</v>
          </cell>
          <cell r="G5137" t="str">
            <v>AUTOMOTIVO</v>
          </cell>
        </row>
        <row r="5138">
          <cell r="A5138">
            <v>83780</v>
          </cell>
          <cell r="B5138" t="str">
            <v>BRANCO BRILHANTE 3,600ML GALVICOR-21,94-ST</v>
          </cell>
          <cell r="C5138">
            <v>202103002</v>
          </cell>
          <cell r="D5138" t="str">
            <v>RHAI</v>
          </cell>
          <cell r="E5138">
            <v>20002</v>
          </cell>
          <cell r="F5138" t="str">
            <v>TINTAS POLIÉSTER</v>
          </cell>
          <cell r="G5138" t="str">
            <v>AUTOMOTIVO</v>
          </cell>
        </row>
        <row r="5139">
          <cell r="A5139">
            <v>252</v>
          </cell>
          <cell r="B5139" t="str">
            <v>BRANCO GEADA PPG / ANJO-21,94-ST</v>
          </cell>
          <cell r="C5139" t="str">
            <v>CPU-10404</v>
          </cell>
          <cell r="D5139" t="str">
            <v>.</v>
          </cell>
          <cell r="E5139">
            <v>20002</v>
          </cell>
          <cell r="F5139" t="str">
            <v>TINTAS POLIÉSTER</v>
          </cell>
          <cell r="G5139" t="str">
            <v>AUTOMOTIVO</v>
          </cell>
        </row>
        <row r="5140">
          <cell r="A5140">
            <v>83773</v>
          </cell>
          <cell r="B5140" t="str">
            <v>BRANCO GLACIER-21,94-ST</v>
          </cell>
          <cell r="C5140" t="str">
            <v>034408-23</v>
          </cell>
          <cell r="D5140" t="str">
            <v>ANJO</v>
          </cell>
          <cell r="E5140">
            <v>20002</v>
          </cell>
          <cell r="F5140" t="str">
            <v>TINTAS POLIÉSTER</v>
          </cell>
          <cell r="G5140" t="str">
            <v>AUTOMOTIVO</v>
          </cell>
        </row>
        <row r="5141">
          <cell r="A5141">
            <v>21009</v>
          </cell>
          <cell r="B5141" t="str">
            <v>BRANCO MAHLER PU PPG-21,94-ST</v>
          </cell>
          <cell r="C5141" t="str">
            <v>302.00109.04</v>
          </cell>
          <cell r="D5141" t="str">
            <v>.</v>
          </cell>
          <cell r="E5141">
            <v>20002</v>
          </cell>
          <cell r="F5141" t="str">
            <v>TINTAS POLIÉSTER</v>
          </cell>
          <cell r="G5141" t="str">
            <v>AUTOMOTIVO</v>
          </cell>
        </row>
        <row r="5142">
          <cell r="A5142">
            <v>9777</v>
          </cell>
          <cell r="B5142" t="str">
            <v>BRANCO SUMMIT ANJO</v>
          </cell>
          <cell r="C5142" t="str">
            <v>034351-23</v>
          </cell>
          <cell r="D5142" t="str">
            <v>ANJO</v>
          </cell>
          <cell r="E5142">
            <v>20002</v>
          </cell>
          <cell r="F5142" t="str">
            <v>TINTAS POLIÉSTER</v>
          </cell>
          <cell r="G5142" t="str">
            <v>AUTOMOTIVO</v>
          </cell>
        </row>
        <row r="5143">
          <cell r="A5143">
            <v>253</v>
          </cell>
          <cell r="B5143" t="str">
            <v>BRANCO SUMMIT PPG-21,94-ST</v>
          </cell>
          <cell r="C5143" t="str">
            <v>CPP-10804</v>
          </cell>
          <cell r="D5143" t="str">
            <v>.</v>
          </cell>
          <cell r="E5143">
            <v>20002</v>
          </cell>
          <cell r="F5143" t="str">
            <v>TINTAS POLIÉSTER</v>
          </cell>
          <cell r="G5143" t="str">
            <v>AUTOMOTIVO</v>
          </cell>
        </row>
        <row r="5144">
          <cell r="A5144">
            <v>20118</v>
          </cell>
          <cell r="B5144" t="str">
            <v>BRANCO TAFFETA PPG-21,94-ST</v>
          </cell>
          <cell r="C5144">
            <v>6000326000</v>
          </cell>
          <cell r="D5144" t="str">
            <v>.</v>
          </cell>
          <cell r="E5144">
            <v>20002</v>
          </cell>
          <cell r="F5144" t="str">
            <v>TINTAS POLIÉSTER</v>
          </cell>
          <cell r="G5144" t="str">
            <v>AUTOMOTIVO</v>
          </cell>
        </row>
        <row r="5145">
          <cell r="A5145">
            <v>83990</v>
          </cell>
          <cell r="B5145" t="str">
            <v>BUMPER COLOR ANTRACITA 1L ROBERLO</v>
          </cell>
          <cell r="C5145">
            <v>61158</v>
          </cell>
          <cell r="D5145" t="str">
            <v>ROBERLO</v>
          </cell>
          <cell r="E5145">
            <v>20002</v>
          </cell>
          <cell r="F5145" t="str">
            <v>TINTAS POLIÉSTER</v>
          </cell>
          <cell r="G5145" t="str">
            <v>AUTOMOTIVO</v>
          </cell>
        </row>
        <row r="5146">
          <cell r="A5146">
            <v>23603</v>
          </cell>
          <cell r="B5146" t="str">
            <v>BUMPER COLOR BLACK 1L ROBERLO</v>
          </cell>
          <cell r="C5146">
            <v>61161</v>
          </cell>
          <cell r="D5146" t="str">
            <v>ROBERLO</v>
          </cell>
          <cell r="E5146">
            <v>20002</v>
          </cell>
          <cell r="F5146" t="str">
            <v>TINTAS POLIÉSTER</v>
          </cell>
          <cell r="G5146" t="str">
            <v>AUTOMOTIVO</v>
          </cell>
        </row>
        <row r="5147">
          <cell r="A5147">
            <v>83926</v>
          </cell>
          <cell r="B5147" t="str">
            <v>CABINE MVCOM - ECO 7000 - S/N: 0037MV-0189</v>
          </cell>
          <cell r="D5147" t="str">
            <v>WANDA</v>
          </cell>
          <cell r="E5147">
            <v>20002</v>
          </cell>
          <cell r="F5147" t="str">
            <v>TINTAS POLIÉSTER</v>
          </cell>
          <cell r="G5147" t="str">
            <v>AUTOMOTIVO</v>
          </cell>
        </row>
        <row r="5148">
          <cell r="A5148">
            <v>9846</v>
          </cell>
          <cell r="B5148" t="str">
            <v>CINZA ARTEMIS PPG-21,94-ST</v>
          </cell>
          <cell r="C5148">
            <v>0</v>
          </cell>
          <cell r="D5148" t="str">
            <v>.</v>
          </cell>
          <cell r="E5148">
            <v>20002</v>
          </cell>
          <cell r="F5148" t="str">
            <v>TINTAS POLIÉSTER</v>
          </cell>
          <cell r="G5148" t="str">
            <v>AUTOMOTIVO</v>
          </cell>
        </row>
        <row r="5149">
          <cell r="A5149">
            <v>9829</v>
          </cell>
          <cell r="B5149" t="str">
            <v>CINZA CROMO PPG-21,94-ST</v>
          </cell>
          <cell r="C5149" t="str">
            <v>CPP-305.04</v>
          </cell>
          <cell r="D5149" t="str">
            <v>.</v>
          </cell>
          <cell r="E5149">
            <v>20002</v>
          </cell>
          <cell r="F5149" t="str">
            <v>TINTAS POLIÉSTER</v>
          </cell>
          <cell r="G5149" t="str">
            <v>AUTOMOTIVO</v>
          </cell>
        </row>
        <row r="5150">
          <cell r="A5150">
            <v>10090</v>
          </cell>
          <cell r="B5150" t="str">
            <v>CINZA PALADIUM PPG</v>
          </cell>
          <cell r="C5150" t="str">
            <v>H0001964677</v>
          </cell>
          <cell r="D5150" t="str">
            <v>.</v>
          </cell>
          <cell r="E5150">
            <v>20002</v>
          </cell>
          <cell r="F5150" t="str">
            <v>TINTAS POLIÉSTER</v>
          </cell>
          <cell r="G5150" t="str">
            <v>AUTOMOTIVO</v>
          </cell>
        </row>
        <row r="5151">
          <cell r="A5151">
            <v>255</v>
          </cell>
          <cell r="B5151" t="str">
            <v>CINZA SCANDIUM ANJO-21,94-ST</v>
          </cell>
          <cell r="C5151">
            <v>22225555888</v>
          </cell>
          <cell r="D5151" t="str">
            <v>ANJO</v>
          </cell>
          <cell r="E5151">
            <v>20002</v>
          </cell>
          <cell r="F5151" t="str">
            <v>TINTAS POLIÉSTER</v>
          </cell>
          <cell r="G5151" t="str">
            <v>AUTOMOTIVO</v>
          </cell>
        </row>
        <row r="5152">
          <cell r="A5152">
            <v>83781</v>
          </cell>
          <cell r="B5152" t="str">
            <v>CINZA STEEL ANJO-21,94-ST</v>
          </cell>
          <cell r="C5152">
            <v>222114469</v>
          </cell>
          <cell r="D5152" t="str">
            <v>ANJO</v>
          </cell>
          <cell r="E5152">
            <v>20002</v>
          </cell>
          <cell r="F5152" t="str">
            <v>TINTAS POLIÉSTER</v>
          </cell>
          <cell r="G5152" t="str">
            <v>AUTOMOTIVO</v>
          </cell>
        </row>
        <row r="5153">
          <cell r="A5153">
            <v>261</v>
          </cell>
          <cell r="B5153" t="str">
            <v>CINZA URANO 0,900ML ANJO-21,94-ST</v>
          </cell>
          <cell r="C5153" t="str">
            <v>CPP-31104</v>
          </cell>
          <cell r="D5153" t="str">
            <v>.</v>
          </cell>
          <cell r="E5153">
            <v>20002</v>
          </cell>
          <cell r="F5153" t="str">
            <v>TINTAS POLIÉSTER</v>
          </cell>
          <cell r="G5153" t="str">
            <v>AUTOMOTIVO</v>
          </cell>
        </row>
        <row r="5154">
          <cell r="A5154">
            <v>10323</v>
          </cell>
          <cell r="B5154" t="str">
            <v>E.S ER PRETO CADILLAC SINTETICO ANJO-21,93-ST</v>
          </cell>
          <cell r="C5154" t="str">
            <v>000809-23</v>
          </cell>
          <cell r="D5154" t="str">
            <v>ANJO</v>
          </cell>
          <cell r="E5154">
            <v>20002</v>
          </cell>
          <cell r="F5154" t="str">
            <v>TINTAS POLIÉSTER</v>
          </cell>
          <cell r="G5154" t="str">
            <v>AUTOMOTIVO</v>
          </cell>
        </row>
        <row r="5155">
          <cell r="A5155">
            <v>123</v>
          </cell>
          <cell r="B5155" t="str">
            <v>ES PRETO CADILLAC 0,900ML SKY-21,94-ST</v>
          </cell>
          <cell r="C5155">
            <v>410009100101</v>
          </cell>
          <cell r="D5155" t="str">
            <v>SKY</v>
          </cell>
          <cell r="E5155">
            <v>20002</v>
          </cell>
          <cell r="F5155" t="str">
            <v>TINTAS POLIÉSTER</v>
          </cell>
          <cell r="G5155" t="str">
            <v>AUTOMOTIVO</v>
          </cell>
        </row>
        <row r="5156">
          <cell r="A5156">
            <v>112</v>
          </cell>
          <cell r="B5156" t="str">
            <v>ES PRETO CADILLAC 3,600ML SKY-21,94-ST</v>
          </cell>
          <cell r="C5156">
            <v>410009100113</v>
          </cell>
          <cell r="D5156" t="str">
            <v>SKY</v>
          </cell>
          <cell r="E5156">
            <v>20002</v>
          </cell>
          <cell r="F5156" t="str">
            <v>TINTAS POLIÉSTER</v>
          </cell>
          <cell r="G5156" t="str">
            <v>AUTOMOTIVO</v>
          </cell>
        </row>
        <row r="5157">
          <cell r="A5157">
            <v>20458</v>
          </cell>
          <cell r="B5157" t="str">
            <v>ESMALTE SINTETICO-PRETO CADILAC 900ML ANJO-21,46-ST</v>
          </cell>
          <cell r="C5157">
            <v>35023</v>
          </cell>
          <cell r="D5157" t="str">
            <v>ANJO</v>
          </cell>
          <cell r="E5157">
            <v>20002</v>
          </cell>
          <cell r="F5157" t="str">
            <v>TINTAS POLIÉSTER</v>
          </cell>
          <cell r="G5157" t="str">
            <v>AUTOMOTIVO</v>
          </cell>
        </row>
        <row r="5158">
          <cell r="A5158">
            <v>20459</v>
          </cell>
          <cell r="B5158" t="str">
            <v>ESMALTE SINTETICO-PRETO FOSCO 900ML ANJO-21,45-ST</v>
          </cell>
          <cell r="C5158" t="str">
            <v>1668-23</v>
          </cell>
          <cell r="D5158" t="str">
            <v>ANJO</v>
          </cell>
          <cell r="E5158">
            <v>20002</v>
          </cell>
          <cell r="F5158" t="str">
            <v>TINTAS POLIÉSTER</v>
          </cell>
          <cell r="G5158" t="str">
            <v>AUTOMOTIVO</v>
          </cell>
        </row>
        <row r="5159">
          <cell r="A5159">
            <v>266</v>
          </cell>
          <cell r="B5159" t="str">
            <v>GRIS ALUMINIO PPG-21,94-ST</v>
          </cell>
          <cell r="C5159" t="str">
            <v>CPP-315.04</v>
          </cell>
          <cell r="D5159" t="str">
            <v>.</v>
          </cell>
          <cell r="E5159">
            <v>20002</v>
          </cell>
          <cell r="F5159" t="str">
            <v>TINTAS POLIÉSTER</v>
          </cell>
          <cell r="G5159" t="str">
            <v>AUTOMOTIVO</v>
          </cell>
        </row>
        <row r="5160">
          <cell r="A5160">
            <v>85498</v>
          </cell>
          <cell r="B5160" t="str">
            <v>LACA  ALUMINIO P/ RODAS 900ML LAZZURIL-21,46-ST</v>
          </cell>
          <cell r="C5160" t="str">
            <v>01.20.00908-004</v>
          </cell>
          <cell r="D5160" t="str">
            <v>SHERWIN WILLIAMS</v>
          </cell>
          <cell r="E5160">
            <v>20002</v>
          </cell>
          <cell r="F5160" t="str">
            <v>TINTAS POLIÉSTER</v>
          </cell>
          <cell r="G5160" t="str">
            <v>AUTOMOTIVO</v>
          </cell>
        </row>
        <row r="5161">
          <cell r="A5161">
            <v>23812</v>
          </cell>
          <cell r="B5161" t="str">
            <v>LAZZUDUR BEGE SAVANAH MET. LAZZURIL-21,93-ST</v>
          </cell>
          <cell r="C5161">
            <v>3341</v>
          </cell>
          <cell r="D5161" t="str">
            <v>SHERWIN WILLIAMS</v>
          </cell>
          <cell r="E5161">
            <v>20002</v>
          </cell>
          <cell r="F5161" t="str">
            <v>TINTAS POLIÉSTER</v>
          </cell>
          <cell r="G5161" t="str">
            <v>AUTOMOTIVO</v>
          </cell>
        </row>
        <row r="5162">
          <cell r="A5162">
            <v>20375</v>
          </cell>
          <cell r="B5162" t="str">
            <v>LAZZUDUR BRANCO CRISTAL LISA ANO 95 VW-21,94-ST</v>
          </cell>
          <cell r="C5162" t="str">
            <v>04.00.01577-004</v>
          </cell>
          <cell r="D5162" t="str">
            <v>SHERWIN WILLIAMS</v>
          </cell>
          <cell r="E5162">
            <v>20002</v>
          </cell>
          <cell r="F5162" t="str">
            <v>TINTAS POLIÉSTER</v>
          </cell>
          <cell r="G5162" t="str">
            <v>AUTOMOTIVO</v>
          </cell>
        </row>
        <row r="5163">
          <cell r="A5163">
            <v>22619</v>
          </cell>
          <cell r="B5163" t="str">
            <v>LAZZUDUR BRANCO TAFFETA II-21,94-ST</v>
          </cell>
          <cell r="C5163" t="str">
            <v>04.00.81299-004</v>
          </cell>
          <cell r="D5163" t="str">
            <v>SHERWIN WILLIAMS</v>
          </cell>
          <cell r="E5163">
            <v>20002</v>
          </cell>
          <cell r="F5163" t="str">
            <v>TINTAS POLIÉSTER</v>
          </cell>
          <cell r="G5163" t="str">
            <v>AUTOMOTIVO</v>
          </cell>
        </row>
        <row r="5164">
          <cell r="A5164">
            <v>20319</v>
          </cell>
          <cell r="B5164" t="str">
            <v>LAZZUDUR CINZA CROMO PEROL. ANO 08/09 FIAT-21,94-ST</v>
          </cell>
          <cell r="C5164" t="str">
            <v>04.20.04328-004</v>
          </cell>
          <cell r="D5164" t="str">
            <v>SHERWIN WILLIAMS</v>
          </cell>
          <cell r="E5164">
            <v>20002</v>
          </cell>
          <cell r="F5164" t="str">
            <v>TINTAS POLIÉSTER</v>
          </cell>
          <cell r="G5164" t="str">
            <v>AUTOMOTIVO</v>
          </cell>
        </row>
        <row r="5165">
          <cell r="A5165">
            <v>21554</v>
          </cell>
          <cell r="B5165" t="str">
            <v>LAZZUDUR CINZA IRIDIUM MET LAZZURIL-21,94-ST</v>
          </cell>
          <cell r="C5165">
            <v>42088326</v>
          </cell>
          <cell r="D5165" t="str">
            <v>SHERWIN WILLIAMS</v>
          </cell>
          <cell r="E5165">
            <v>20002</v>
          </cell>
          <cell r="F5165" t="str">
            <v>TINTAS POLIÉSTER</v>
          </cell>
          <cell r="G5165" t="str">
            <v>AUTOMOTIVO</v>
          </cell>
        </row>
        <row r="5166">
          <cell r="A5166">
            <v>20321</v>
          </cell>
          <cell r="B5166" t="str">
            <v>LAZZUDUR CINZA SCANDIUM MET ANO 04 FIAT-21,94-ST</v>
          </cell>
          <cell r="C5166" t="str">
            <v>04.20.04764-004</v>
          </cell>
          <cell r="D5166" t="str">
            <v>SHERWIN WILLIAMS</v>
          </cell>
          <cell r="E5166">
            <v>20002</v>
          </cell>
          <cell r="F5166" t="str">
            <v>TINTAS POLIÉSTER</v>
          </cell>
          <cell r="G5166" t="str">
            <v>AUTOMOTIVO</v>
          </cell>
        </row>
        <row r="5167">
          <cell r="A5167">
            <v>85587</v>
          </cell>
          <cell r="B5167" t="str">
            <v>LAZZUDUR CINZA TRANCOSO MET</v>
          </cell>
          <cell r="C5167" t="str">
            <v>04.20.03888-004</v>
          </cell>
          <cell r="D5167" t="str">
            <v>SHERWIN WILLIAMS</v>
          </cell>
          <cell r="E5167">
            <v>20002</v>
          </cell>
          <cell r="F5167" t="str">
            <v>TINTAS POLIÉSTER</v>
          </cell>
          <cell r="G5167" t="str">
            <v>AUTOMOTIVO</v>
          </cell>
        </row>
        <row r="5168">
          <cell r="A5168">
            <v>20379</v>
          </cell>
          <cell r="B5168" t="str">
            <v>LAZZUDUR CINZA URANO LISA ANO 01/03 VW-21,93-ST</v>
          </cell>
          <cell r="C5168" t="str">
            <v>04.00.01855-004</v>
          </cell>
          <cell r="D5168" t="str">
            <v>SHERWIN WILLIAMS</v>
          </cell>
          <cell r="E5168">
            <v>20002</v>
          </cell>
          <cell r="F5168" t="str">
            <v>TINTAS POLIÉSTER</v>
          </cell>
          <cell r="G5168" t="str">
            <v>AUTOMOTIVO</v>
          </cell>
        </row>
        <row r="5169">
          <cell r="A5169">
            <v>21821</v>
          </cell>
          <cell r="B5169" t="str">
            <v>LAZZUDUR CINZA VULCAN MET VW-21,94-ST</v>
          </cell>
          <cell r="C5169" t="str">
            <v>04.20.01273-004</v>
          </cell>
          <cell r="D5169" t="str">
            <v>SHERWIN WILLIAMS</v>
          </cell>
          <cell r="E5169">
            <v>20002</v>
          </cell>
          <cell r="F5169" t="str">
            <v>TINTAS POLIÉSTER</v>
          </cell>
          <cell r="G5169" t="str">
            <v>AUTOMOTIVO</v>
          </cell>
        </row>
        <row r="5170">
          <cell r="A5170">
            <v>20325</v>
          </cell>
          <cell r="B5170" t="str">
            <v>LAZZUDUR PRATA BARI MET ANO 02 FIAT-21,94-ST</v>
          </cell>
          <cell r="C5170" t="str">
            <v>04.20.04747-004</v>
          </cell>
          <cell r="D5170" t="str">
            <v>SHERWIN WILLIAMS</v>
          </cell>
          <cell r="E5170">
            <v>20002</v>
          </cell>
          <cell r="F5170" t="str">
            <v>TINTAS POLIÉSTER</v>
          </cell>
          <cell r="G5170" t="str">
            <v>AUTOMOTIVO</v>
          </cell>
        </row>
        <row r="5171">
          <cell r="A5171">
            <v>21776</v>
          </cell>
          <cell r="B5171" t="str">
            <v>LAZZUDUR PRATA DUBLIN MET UX FORD 10/15-21,94-ST</v>
          </cell>
          <cell r="C5171" t="str">
            <v>04.20.03432-004</v>
          </cell>
          <cell r="D5171" t="str">
            <v>SHERWIN WILLIAMS</v>
          </cell>
          <cell r="E5171">
            <v>20002</v>
          </cell>
          <cell r="F5171" t="str">
            <v>TINTAS POLIÉSTER</v>
          </cell>
          <cell r="G5171" t="str">
            <v>AUTOMOTIVO</v>
          </cell>
        </row>
        <row r="5172">
          <cell r="A5172">
            <v>20338</v>
          </cell>
          <cell r="B5172" t="str">
            <v>LAZZUDUR PRATA ENSEADA MET ANO 07/09 FORD-21,94-ST</v>
          </cell>
          <cell r="C5172" t="str">
            <v>04.20.03188-004</v>
          </cell>
          <cell r="D5172" t="str">
            <v>SHERWIN WILLIAMS</v>
          </cell>
          <cell r="E5172">
            <v>20002</v>
          </cell>
          <cell r="F5172" t="str">
            <v>TINTAS POLIÉSTER</v>
          </cell>
          <cell r="G5172" t="str">
            <v>AUTOMOTIVO</v>
          </cell>
        </row>
        <row r="5173">
          <cell r="A5173">
            <v>20352</v>
          </cell>
          <cell r="B5173" t="str">
            <v>LAZZUDUR PRATA ESCUNA III MET ANO 98/04 GM-21,94-ST</v>
          </cell>
          <cell r="C5173" t="str">
            <v>04.20.02903-004</v>
          </cell>
          <cell r="D5173" t="str">
            <v>SHERWIN WILLIAMS</v>
          </cell>
          <cell r="E5173">
            <v>20002</v>
          </cell>
          <cell r="F5173" t="str">
            <v>TINTAS POLIÉSTER</v>
          </cell>
          <cell r="G5173" t="str">
            <v>AUTOMOTIVO</v>
          </cell>
        </row>
        <row r="5174">
          <cell r="A5174">
            <v>20936</v>
          </cell>
          <cell r="B5174" t="str">
            <v>LAZZUDUR PRATA ETOILE MET</v>
          </cell>
          <cell r="C5174" t="str">
            <v>04.20.88991-004</v>
          </cell>
          <cell r="D5174" t="str">
            <v>SHERWIN WILLIAMS</v>
          </cell>
          <cell r="E5174">
            <v>20002</v>
          </cell>
          <cell r="F5174" t="str">
            <v>TINTAS POLIÉSTER</v>
          </cell>
          <cell r="G5174" t="str">
            <v>AUTOMOTIVO</v>
          </cell>
        </row>
        <row r="5175">
          <cell r="A5175">
            <v>20472</v>
          </cell>
          <cell r="B5175" t="str">
            <v>LAZZUDUR PRATA GLOBAL MET 05 HONDA-21,94-ST</v>
          </cell>
          <cell r="C5175" t="str">
            <v>04.20.86840-004</v>
          </cell>
          <cell r="D5175" t="str">
            <v>SHERWIN WILLIAMS</v>
          </cell>
          <cell r="E5175">
            <v>20002</v>
          </cell>
          <cell r="F5175" t="str">
            <v>TINTAS POLIÉSTER</v>
          </cell>
          <cell r="G5175" t="str">
            <v>AUTOMOTIVO</v>
          </cell>
        </row>
        <row r="5176">
          <cell r="A5176">
            <v>20571</v>
          </cell>
          <cell r="B5176" t="str">
            <v>LAZZUDUR PRATA ICEBERG MET RENAULT 90/07-21,94-ST</v>
          </cell>
          <cell r="C5176" t="str">
            <v>04.20.84088-004</v>
          </cell>
          <cell r="D5176" t="str">
            <v>SHERWIN WILLIAMS</v>
          </cell>
          <cell r="E5176">
            <v>20002</v>
          </cell>
          <cell r="F5176" t="str">
            <v>TINTAS POLIÉSTER</v>
          </cell>
          <cell r="G5176" t="str">
            <v>AUTOMOTIVO</v>
          </cell>
        </row>
        <row r="5177">
          <cell r="A5177">
            <v>20381</v>
          </cell>
          <cell r="B5177" t="str">
            <v>LAZZUDUR PRATA LIGHT MET ANO 04 VW-21,94-ST</v>
          </cell>
          <cell r="C5177" t="str">
            <v>04.20.01972-004</v>
          </cell>
          <cell r="D5177" t="str">
            <v>SHERWIN WILLIAMS</v>
          </cell>
          <cell r="E5177">
            <v>20002</v>
          </cell>
          <cell r="F5177" t="str">
            <v>TINTAS POLIÉSTER</v>
          </cell>
          <cell r="G5177" t="str">
            <v>AUTOMOTIVO</v>
          </cell>
        </row>
        <row r="5178">
          <cell r="A5178">
            <v>20382</v>
          </cell>
          <cell r="B5178" t="str">
            <v>LAZZUDUR PRATA LUNAR MET ANO 91 VW-21,94-ST</v>
          </cell>
          <cell r="C5178" t="str">
            <v>04.20.01542-004</v>
          </cell>
          <cell r="D5178" t="str">
            <v>SHERWIN WILLIAMS</v>
          </cell>
          <cell r="E5178">
            <v>20002</v>
          </cell>
          <cell r="F5178" t="str">
            <v>TINTAS POLIÉSTER</v>
          </cell>
          <cell r="G5178" t="str">
            <v>AUTOMOTIVO</v>
          </cell>
        </row>
        <row r="5179">
          <cell r="A5179">
            <v>21783</v>
          </cell>
          <cell r="B5179" t="str">
            <v>LAZZUDUR PRATA MET R5S-21,94-ST</v>
          </cell>
          <cell r="C5179" t="str">
            <v>04.20.99076-004</v>
          </cell>
          <cell r="D5179" t="str">
            <v>SHERWIN WILLIAMS</v>
          </cell>
          <cell r="E5179">
            <v>20002</v>
          </cell>
          <cell r="F5179" t="str">
            <v>TINTAS POLIÉSTER</v>
          </cell>
          <cell r="G5179" t="str">
            <v>AUTOMOTIVO</v>
          </cell>
        </row>
        <row r="5180">
          <cell r="A5180">
            <v>23311</v>
          </cell>
          <cell r="B5180" t="str">
            <v>LAZZUDUR PRATA PLATINUM MET 0,9L-21,94-ST</v>
          </cell>
          <cell r="C5180" t="str">
            <v>04.20.91558-04</v>
          </cell>
          <cell r="D5180" t="str">
            <v>SHERWIN WILLIAMS</v>
          </cell>
          <cell r="E5180">
            <v>20002</v>
          </cell>
          <cell r="F5180" t="str">
            <v>TINTAS POLIÉSTER</v>
          </cell>
          <cell r="G5180" t="str">
            <v>AUTOMOTIVO</v>
          </cell>
        </row>
        <row r="5181">
          <cell r="A5181">
            <v>20354</v>
          </cell>
          <cell r="B5181" t="str">
            <v>LAZZUDUR PRATA POLARIS MET ANO 06 GM-21,94-ST</v>
          </cell>
          <cell r="C5181" t="str">
            <v>04.20.02863-004</v>
          </cell>
          <cell r="D5181" t="str">
            <v>SHERWIN WILLIAMS</v>
          </cell>
          <cell r="E5181">
            <v>20002</v>
          </cell>
          <cell r="F5181" t="str">
            <v>TINTAS POLIÉSTER</v>
          </cell>
          <cell r="G5181" t="str">
            <v>AUTOMOTIVO</v>
          </cell>
        </row>
        <row r="5182">
          <cell r="A5182">
            <v>20383</v>
          </cell>
          <cell r="B5182" t="str">
            <v>LAZZUDUR PRATA REFLEX MET ANO 02 VW-21,94-ST</v>
          </cell>
          <cell r="C5182" t="str">
            <v>04.20.01937-004</v>
          </cell>
          <cell r="D5182" t="str">
            <v>SHERWIN WILLIAMS</v>
          </cell>
          <cell r="E5182">
            <v>20002</v>
          </cell>
          <cell r="F5182" t="str">
            <v>TINTAS POLIÉSTER</v>
          </cell>
          <cell r="G5182" t="str">
            <v>AUTOMOTIVO</v>
          </cell>
        </row>
        <row r="5183">
          <cell r="A5183">
            <v>20569</v>
          </cell>
          <cell r="B5183" t="str">
            <v>LAZZUDUR PRATA RIVIERA FORD ANO 03/10-21,94-ST</v>
          </cell>
          <cell r="C5183" t="str">
            <v>04.20.03311-004</v>
          </cell>
          <cell r="D5183" t="str">
            <v>SHERWIN WILLIAMS</v>
          </cell>
          <cell r="E5183">
            <v>20002</v>
          </cell>
          <cell r="F5183" t="str">
            <v>TINTAS POLIÉSTER</v>
          </cell>
          <cell r="G5183" t="str">
            <v>AUTOMOTIVO</v>
          </cell>
        </row>
        <row r="5184">
          <cell r="A5184">
            <v>23616</v>
          </cell>
          <cell r="B5184" t="str">
            <v>LAZZUDUR PRATA SAND MET-21,45-ST</v>
          </cell>
          <cell r="C5184" t="str">
            <v>04.20.83069-004</v>
          </cell>
          <cell r="D5184" t="str">
            <v>SHERWIN WILLIAMS</v>
          </cell>
          <cell r="E5184">
            <v>20002</v>
          </cell>
          <cell r="F5184" t="str">
            <v>TINTAS POLIÉSTER</v>
          </cell>
          <cell r="G5184" t="str">
            <v>AUTOMOTIVO</v>
          </cell>
        </row>
        <row r="5185">
          <cell r="A5185">
            <v>21545</v>
          </cell>
          <cell r="B5185" t="str">
            <v>LAZZUDUR PRATA SARGAS MET- LA7W-8E8E LAZZURIL</v>
          </cell>
          <cell r="C5185" t="str">
            <v>04.20.01421-004</v>
          </cell>
          <cell r="D5185" t="str">
            <v>SHERWIN WILLIAMS</v>
          </cell>
          <cell r="E5185">
            <v>20002</v>
          </cell>
          <cell r="F5185" t="str">
            <v>TINTAS POLIÉSTER</v>
          </cell>
          <cell r="G5185" t="str">
            <v>AUTOMOTIVO</v>
          </cell>
        </row>
        <row r="5186">
          <cell r="A5186">
            <v>21548</v>
          </cell>
          <cell r="B5186" t="str">
            <v>LAZZUDUR PRETO BRISTOL MET- UH LAZZURIL-21,94-ST</v>
          </cell>
          <cell r="C5186" t="str">
            <v>04.20.03221-004</v>
          </cell>
          <cell r="D5186" t="str">
            <v>SHERWIN WILLIAMS</v>
          </cell>
          <cell r="E5186">
            <v>20002</v>
          </cell>
          <cell r="F5186" t="str">
            <v>TINTAS POLIÉSTER</v>
          </cell>
          <cell r="G5186" t="str">
            <v>AUTOMOTIVO</v>
          </cell>
        </row>
        <row r="5187">
          <cell r="A5187">
            <v>21823</v>
          </cell>
          <cell r="B5187" t="str">
            <v>LAZZUDUR PRETO CRISTAL PEROL. NH731P-21,94-ST</v>
          </cell>
          <cell r="C5187" t="str">
            <v>04.20.85463.004</v>
          </cell>
          <cell r="D5187" t="str">
            <v>SHERWIN WILLIAMS</v>
          </cell>
          <cell r="E5187">
            <v>20002</v>
          </cell>
          <cell r="F5187" t="str">
            <v>TINTAS POLIÉSTER</v>
          </cell>
          <cell r="G5187" t="str">
            <v>AUTOMOTIVO</v>
          </cell>
        </row>
        <row r="5188">
          <cell r="A5188">
            <v>20340</v>
          </cell>
          <cell r="B5188" t="str">
            <v>LAZZUDUR PRETO EBONY LISA ANO 98/03 FORD-21,94-ST</v>
          </cell>
          <cell r="C5188" t="str">
            <v>04.00.03739-004</v>
          </cell>
          <cell r="D5188" t="str">
            <v>SHERWIN WILLIAMS</v>
          </cell>
          <cell r="E5188">
            <v>20002</v>
          </cell>
          <cell r="F5188" t="str">
            <v>TINTAS POLIÉSTER</v>
          </cell>
          <cell r="G5188" t="str">
            <v>AUTOMOTIVO</v>
          </cell>
        </row>
        <row r="5189">
          <cell r="A5189">
            <v>21822</v>
          </cell>
          <cell r="B5189" t="str">
            <v>LAZZUDUR PRETO ECLIPSE PEROL.-21,94-ST</v>
          </cell>
          <cell r="C5189" t="str">
            <v>04.20.89611.004</v>
          </cell>
          <cell r="D5189" t="str">
            <v>SHERWIN WILLIAMS</v>
          </cell>
          <cell r="E5189">
            <v>20002</v>
          </cell>
          <cell r="F5189" t="str">
            <v>TINTAS POLIÉSTER</v>
          </cell>
          <cell r="G5189" t="str">
            <v>AUTOMOTIVO</v>
          </cell>
        </row>
        <row r="5190">
          <cell r="A5190">
            <v>22183</v>
          </cell>
          <cell r="B5190" t="str">
            <v>LAZZUDUR PRETO GALES MET 0,9L-21,94-ST</v>
          </cell>
          <cell r="C5190" t="str">
            <v>04.20.03128-004</v>
          </cell>
          <cell r="D5190" t="str">
            <v>SHERWIN WILLIAMS</v>
          </cell>
          <cell r="E5190">
            <v>20002</v>
          </cell>
          <cell r="F5190" t="str">
            <v>TINTAS POLIÉSTER</v>
          </cell>
          <cell r="G5190" t="str">
            <v>AUTOMOTIVO</v>
          </cell>
        </row>
        <row r="5191">
          <cell r="A5191">
            <v>20355</v>
          </cell>
          <cell r="B5191" t="str">
            <v>LAZZUDUR PRETO LISZT LISA ANO 94/04 GM-21,94-ST</v>
          </cell>
          <cell r="C5191" t="str">
            <v>04.00.02619-004</v>
          </cell>
          <cell r="D5191" t="str">
            <v>SHERWIN WILLIAMS</v>
          </cell>
          <cell r="E5191">
            <v>20002</v>
          </cell>
          <cell r="F5191" t="str">
            <v>TINTAS POLIÉSTER</v>
          </cell>
          <cell r="G5191" t="str">
            <v>AUTOMOTIVO</v>
          </cell>
        </row>
        <row r="5192">
          <cell r="A5192">
            <v>21216</v>
          </cell>
          <cell r="B5192" t="str">
            <v>LAZZUDUR PRETO NINJA II LISA POL VW-21,94-ST</v>
          </cell>
          <cell r="C5192" t="str">
            <v>04.00.01177-004</v>
          </cell>
          <cell r="D5192" t="str">
            <v>SHERWIN WILLIAMS</v>
          </cell>
          <cell r="E5192">
            <v>20002</v>
          </cell>
          <cell r="F5192" t="str">
            <v>TINTAS POLIÉSTER</v>
          </cell>
          <cell r="G5192" t="str">
            <v>AUTOMOTIVO</v>
          </cell>
        </row>
        <row r="5193">
          <cell r="A5193">
            <v>23721</v>
          </cell>
          <cell r="B5193" t="str">
            <v>LAZZUDUR PRETO PERLA PEROL.-21,94-ST</v>
          </cell>
          <cell r="C5193" t="str">
            <v>04.20.88345-004</v>
          </cell>
          <cell r="D5193" t="str">
            <v>SHERWIN WILLIAMS</v>
          </cell>
          <cell r="E5193">
            <v>20002</v>
          </cell>
          <cell r="F5193" t="str">
            <v>TINTAS POLIÉSTER</v>
          </cell>
          <cell r="G5193" t="str">
            <v>AUTOMOTIVO</v>
          </cell>
        </row>
        <row r="5194">
          <cell r="A5194">
            <v>20333</v>
          </cell>
          <cell r="B5194" t="str">
            <v>LAZZUDUR VERMELHO ALPINE LISA ANO 96 FIAT-21,94-ST</v>
          </cell>
          <cell r="C5194" t="str">
            <v>04.00.04053-004</v>
          </cell>
          <cell r="D5194" t="str">
            <v>SHERWIN WILLIAMS</v>
          </cell>
          <cell r="E5194">
            <v>20002</v>
          </cell>
          <cell r="F5194" t="str">
            <v>TINTAS POLIÉSTER</v>
          </cell>
          <cell r="G5194" t="str">
            <v>AUTOMOTIVO</v>
          </cell>
        </row>
        <row r="5195">
          <cell r="A5195">
            <v>21775</v>
          </cell>
          <cell r="B5195" t="str">
            <v>LAZZUDUR VERMELHO ARIZONA LISA PQ FORD 11/15-21,93-ST</v>
          </cell>
          <cell r="C5195" t="str">
            <v>04.00.31145-004</v>
          </cell>
          <cell r="D5195" t="str">
            <v>SHERWIN WILLIAMS</v>
          </cell>
          <cell r="E5195">
            <v>20002</v>
          </cell>
          <cell r="F5195" t="str">
            <v>TINTAS POLIÉSTER</v>
          </cell>
          <cell r="G5195" t="str">
            <v>AUTOMOTIVO</v>
          </cell>
        </row>
        <row r="5196">
          <cell r="A5196">
            <v>20570</v>
          </cell>
          <cell r="B5196" t="str">
            <v>LAZZUDUR VERMELHO BARROCO PEROL FIAT ANO 00/09-21,94-ST</v>
          </cell>
          <cell r="C5196" t="str">
            <v>04.20.04729-004</v>
          </cell>
          <cell r="D5196" t="str">
            <v>SHERWIN WILLIAMS</v>
          </cell>
          <cell r="E5196">
            <v>20002</v>
          </cell>
          <cell r="F5196" t="str">
            <v>TINTAS POLIÉSTER</v>
          </cell>
          <cell r="G5196" t="str">
            <v>AUTOMOTIVO</v>
          </cell>
        </row>
        <row r="5197">
          <cell r="A5197">
            <v>21215</v>
          </cell>
          <cell r="B5197" t="str">
            <v>LAZZUDUR VERMELHO FLASH IV POL. ANO 97 VW-21,94-ST</v>
          </cell>
          <cell r="C5197" t="str">
            <v>04.00.01352-004</v>
          </cell>
          <cell r="D5197" t="str">
            <v>SHERWIN WILLIAMS</v>
          </cell>
          <cell r="E5197">
            <v>20002</v>
          </cell>
          <cell r="F5197" t="str">
            <v>TINTAS POLIÉSTER</v>
          </cell>
          <cell r="G5197" t="str">
            <v>AUTOMOTIVO</v>
          </cell>
        </row>
        <row r="5198">
          <cell r="A5198">
            <v>85297</v>
          </cell>
          <cell r="B5198" t="str">
            <v>LAZZUDUR VERMELHO MONTE CARLO-21,94-ST</v>
          </cell>
          <cell r="C5198" t="str">
            <v>04.00.04173-004</v>
          </cell>
          <cell r="D5198" t="str">
            <v>SHERWIN WILLIAMS</v>
          </cell>
          <cell r="E5198">
            <v>20002</v>
          </cell>
          <cell r="F5198" t="str">
            <v>TINTAS POLIÉSTER</v>
          </cell>
          <cell r="G5198" t="str">
            <v>AUTOMOTIVO</v>
          </cell>
        </row>
        <row r="5199">
          <cell r="A5199">
            <v>23309</v>
          </cell>
          <cell r="B5199" t="str">
            <v>LAZZUDUR VERMELHO OPULENCE PEROL 0,9L-21,94-ST</v>
          </cell>
          <cell r="C5199" t="str">
            <v>04.20.04010-004</v>
          </cell>
          <cell r="D5199" t="str">
            <v>SHERWIN WILLIAMS</v>
          </cell>
          <cell r="E5199">
            <v>20002</v>
          </cell>
          <cell r="F5199" t="str">
            <v>TINTAS POLIÉSTER</v>
          </cell>
          <cell r="G5199" t="str">
            <v>AUTOMOTIVO</v>
          </cell>
        </row>
        <row r="5200">
          <cell r="A5200">
            <v>23719</v>
          </cell>
          <cell r="B5200" t="str">
            <v>LAZZUDUR VERMELHO VIVO LISA-21,94-ST</v>
          </cell>
          <cell r="C5200" t="str">
            <v>04.00.81252-004</v>
          </cell>
          <cell r="D5200" t="str">
            <v>SHERWIN WILLIAMS</v>
          </cell>
          <cell r="E5200">
            <v>20002</v>
          </cell>
          <cell r="F5200" t="str">
            <v>TINTAS POLIÉSTER</v>
          </cell>
          <cell r="G5200" t="str">
            <v>AUTOMOTIVO</v>
          </cell>
        </row>
        <row r="5201">
          <cell r="A5201">
            <v>9821</v>
          </cell>
          <cell r="B5201" t="str">
            <v>NOIR NACRE ANJO / PPG-21,94-ST</v>
          </cell>
          <cell r="C5201">
            <v>215466663322</v>
          </cell>
          <cell r="D5201" t="str">
            <v>ANJO</v>
          </cell>
          <cell r="E5201">
            <v>20002</v>
          </cell>
          <cell r="F5201" t="str">
            <v>TINTAS POLIÉSTER</v>
          </cell>
          <cell r="G5201" t="str">
            <v>AUTOMOTIVO</v>
          </cell>
        </row>
        <row r="5202">
          <cell r="A5202">
            <v>251</v>
          </cell>
          <cell r="B5202" t="str">
            <v>PRATA ESCUNA WEG-21,94-ST</v>
          </cell>
          <cell r="C5202">
            <v>12259341</v>
          </cell>
          <cell r="D5202" t="str">
            <v>.</v>
          </cell>
          <cell r="E5202">
            <v>20002</v>
          </cell>
          <cell r="F5202" t="str">
            <v>TINTAS POLIÉSTER</v>
          </cell>
          <cell r="G5202" t="str">
            <v>AUTOMOTIVO</v>
          </cell>
        </row>
        <row r="5203">
          <cell r="A5203">
            <v>262</v>
          </cell>
          <cell r="B5203" t="str">
            <v>PRATA GEADA PPG-21,94-ST</v>
          </cell>
          <cell r="C5203" t="str">
            <v>CPP-320.04</v>
          </cell>
          <cell r="D5203" t="str">
            <v>.</v>
          </cell>
          <cell r="E5203">
            <v>20002</v>
          </cell>
          <cell r="F5203" t="str">
            <v>TINTAS POLIÉSTER</v>
          </cell>
          <cell r="G5203" t="str">
            <v>AUTOMOTIVO</v>
          </cell>
        </row>
        <row r="5204">
          <cell r="A5204">
            <v>21004</v>
          </cell>
          <cell r="B5204" t="str">
            <v>PRATA GLOBAL PPG-21,94-ST</v>
          </cell>
          <cell r="C5204" t="str">
            <v>CPP-20204</v>
          </cell>
          <cell r="D5204" t="str">
            <v>.</v>
          </cell>
          <cell r="E5204">
            <v>20002</v>
          </cell>
          <cell r="F5204" t="str">
            <v>TINTAS POLIÉSTER</v>
          </cell>
          <cell r="G5204" t="str">
            <v>AUTOMOTIVO</v>
          </cell>
        </row>
        <row r="5205">
          <cell r="A5205">
            <v>21005</v>
          </cell>
          <cell r="B5205" t="str">
            <v>PRATA POLARIS MET GM 06 - POL-21,94-ST</v>
          </cell>
          <cell r="C5205" t="str">
            <v>302.00105.04</v>
          </cell>
          <cell r="D5205" t="str">
            <v>.</v>
          </cell>
          <cell r="E5205">
            <v>20002</v>
          </cell>
          <cell r="F5205" t="str">
            <v>TINTAS POLIÉSTER</v>
          </cell>
          <cell r="G5205" t="str">
            <v>AUTOMOTIVO</v>
          </cell>
        </row>
        <row r="5206">
          <cell r="A5206">
            <v>257</v>
          </cell>
          <cell r="B5206" t="str">
            <v>PRATA SIRIUS PPG-21,94-ST</v>
          </cell>
          <cell r="C5206" t="str">
            <v>CPP-328.04</v>
          </cell>
          <cell r="D5206" t="str">
            <v>.</v>
          </cell>
          <cell r="E5206">
            <v>20002</v>
          </cell>
          <cell r="F5206" t="str">
            <v>TINTAS POLIÉSTER</v>
          </cell>
          <cell r="G5206" t="str">
            <v>AUTOMOTIVO</v>
          </cell>
        </row>
        <row r="5207">
          <cell r="A5207">
            <v>256</v>
          </cell>
          <cell r="B5207" t="str">
            <v>PRATA SUPERNOVA PPG-21,94-ST</v>
          </cell>
          <cell r="C5207" t="str">
            <v>CPP-35004</v>
          </cell>
          <cell r="D5207" t="str">
            <v>.</v>
          </cell>
          <cell r="E5207">
            <v>20002</v>
          </cell>
          <cell r="F5207" t="str">
            <v>TINTAS POLIÉSTER</v>
          </cell>
          <cell r="G5207" t="str">
            <v>AUTOMOTIVO</v>
          </cell>
        </row>
        <row r="5208">
          <cell r="A5208">
            <v>21827</v>
          </cell>
          <cell r="B5208" t="str">
            <v>PRETO ECLIPSE PPG-21,94-ST</v>
          </cell>
          <cell r="C5208" t="str">
            <v>CPP-210.04</v>
          </cell>
          <cell r="D5208" t="str">
            <v>.</v>
          </cell>
          <cell r="E5208">
            <v>20002</v>
          </cell>
          <cell r="F5208" t="str">
            <v>TINTAS POLIÉSTER</v>
          </cell>
          <cell r="G5208" t="str">
            <v>AUTOMOTIVO</v>
          </cell>
        </row>
        <row r="5209">
          <cell r="A5209">
            <v>9848</v>
          </cell>
          <cell r="B5209" t="str">
            <v>PRETO LISZT PU-21,94-ST</v>
          </cell>
          <cell r="C5209" t="str">
            <v>CPU-205.04</v>
          </cell>
          <cell r="D5209" t="str">
            <v>.</v>
          </cell>
          <cell r="E5209">
            <v>20002</v>
          </cell>
          <cell r="F5209" t="str">
            <v>TINTAS POLIÉSTER</v>
          </cell>
          <cell r="G5209" t="str">
            <v>AUTOMOTIVO</v>
          </cell>
        </row>
        <row r="5210">
          <cell r="A5210">
            <v>9828</v>
          </cell>
          <cell r="B5210" t="str">
            <v>PRETO LIZST PPG-21,94-ST</v>
          </cell>
          <cell r="C5210" t="str">
            <v>CPP-202.04</v>
          </cell>
          <cell r="D5210" t="str">
            <v>.</v>
          </cell>
          <cell r="E5210">
            <v>20002</v>
          </cell>
          <cell r="F5210" t="str">
            <v>TINTAS POLIÉSTER</v>
          </cell>
          <cell r="G5210" t="str">
            <v>AUTOMOTIVO</v>
          </cell>
        </row>
        <row r="5211">
          <cell r="A5211">
            <v>254</v>
          </cell>
          <cell r="B5211" t="str">
            <v>PRETO VESUVIO PPG-21,94-ST</v>
          </cell>
          <cell r="C5211" t="str">
            <v>CPP-20604</v>
          </cell>
          <cell r="D5211" t="str">
            <v>.</v>
          </cell>
          <cell r="E5211">
            <v>20002</v>
          </cell>
          <cell r="F5211" t="str">
            <v>TINTAS POLIÉSTER</v>
          </cell>
          <cell r="G5211" t="str">
            <v>AUTOMOTIVO</v>
          </cell>
        </row>
        <row r="5212">
          <cell r="A5212">
            <v>24270</v>
          </cell>
          <cell r="B5212" t="str">
            <v>TINTA COLORLAC ALUMINIO OPALESCENTE 3,600 ML BRAZILIAN-21,94-ST</v>
          </cell>
          <cell r="C5212" t="str">
            <v>800182.24</v>
          </cell>
          <cell r="D5212" t="str">
            <v>BRAZILIAN</v>
          </cell>
          <cell r="E5212">
            <v>20002</v>
          </cell>
          <cell r="F5212" t="str">
            <v>TINTAS POLIÉSTER</v>
          </cell>
          <cell r="G5212" t="str">
            <v>AUTOMOTIVO</v>
          </cell>
        </row>
        <row r="5213">
          <cell r="A5213">
            <v>10103</v>
          </cell>
          <cell r="B5213" t="str">
            <v>TINTA HIPER PRATA 500ML</v>
          </cell>
          <cell r="C5213" t="str">
            <v>LB7777</v>
          </cell>
          <cell r="D5213" t="str">
            <v>.</v>
          </cell>
          <cell r="E5213">
            <v>20002</v>
          </cell>
          <cell r="F5213" t="str">
            <v>TINTAS POLIÉSTER</v>
          </cell>
          <cell r="G5213" t="str">
            <v>AUTOMOTIVO</v>
          </cell>
        </row>
        <row r="5214">
          <cell r="A5214">
            <v>21408</v>
          </cell>
          <cell r="B5214" t="str">
            <v>TINTA POLIESTER VERMELHO FLASH VW 97 900ML ANJO-21,94-ST</v>
          </cell>
          <cell r="C5214" t="str">
            <v>026753-23</v>
          </cell>
          <cell r="D5214" t="str">
            <v>ANJO</v>
          </cell>
          <cell r="E5214">
            <v>20002</v>
          </cell>
          <cell r="F5214" t="str">
            <v>TINTAS POLIÉSTER</v>
          </cell>
          <cell r="G5214" t="str">
            <v>AUTOMOTIVO</v>
          </cell>
        </row>
        <row r="5215">
          <cell r="A5215">
            <v>20428</v>
          </cell>
          <cell r="B5215" t="str">
            <v>TINTA SINTETICO PRETO FOSCO 3,600 BRAZILIAN-21,94-ST</v>
          </cell>
          <cell r="C5215" t="str">
            <v>900584.24</v>
          </cell>
          <cell r="D5215" t="str">
            <v>BRAZILIAN</v>
          </cell>
          <cell r="E5215">
            <v>20002</v>
          </cell>
          <cell r="F5215" t="str">
            <v>TINTAS POLIÉSTER</v>
          </cell>
          <cell r="G5215" t="str">
            <v>AUTOMOTIVO</v>
          </cell>
        </row>
        <row r="5216">
          <cell r="A5216">
            <v>9836</v>
          </cell>
          <cell r="B5216" t="str">
            <v>VERMELHO LYRA WEG-21,94-ST</v>
          </cell>
          <cell r="C5216">
            <v>12271523</v>
          </cell>
          <cell r="D5216" t="str">
            <v>.</v>
          </cell>
          <cell r="E5216">
            <v>20002</v>
          </cell>
          <cell r="F5216" t="str">
            <v>TINTAS POLIÉSTER</v>
          </cell>
          <cell r="G5216" t="str">
            <v>AUTOMOTIVO</v>
          </cell>
        </row>
        <row r="5217">
          <cell r="A5217">
            <v>9831</v>
          </cell>
          <cell r="B5217" t="str">
            <v>VERMELHO PEPPER ANJO-21,94-ST</v>
          </cell>
          <cell r="C5217" t="str">
            <v>034723-23</v>
          </cell>
          <cell r="D5217" t="str">
            <v>ANJO</v>
          </cell>
          <cell r="E5217">
            <v>20002</v>
          </cell>
          <cell r="F5217" t="str">
            <v>TINTAS POLIÉSTER</v>
          </cell>
          <cell r="G5217" t="str">
            <v>AUTOMOTIVO</v>
          </cell>
        </row>
        <row r="5218">
          <cell r="A5218">
            <v>260</v>
          </cell>
          <cell r="B5218" t="str">
            <v>VERMELHO PEPPER PPG-21,94-ST</v>
          </cell>
          <cell r="C5218">
            <v>1231545454</v>
          </cell>
          <cell r="D5218" t="str">
            <v>.</v>
          </cell>
          <cell r="E5218">
            <v>20002</v>
          </cell>
          <cell r="F5218" t="str">
            <v>TINTAS POLIÉSTER</v>
          </cell>
          <cell r="G5218" t="str">
            <v>AUTOMOTIVO</v>
          </cell>
        </row>
        <row r="5219">
          <cell r="A5219">
            <v>267</v>
          </cell>
          <cell r="B5219" t="str">
            <v>VERMELHO TORNADO-21,94-ST</v>
          </cell>
          <cell r="C5219" t="str">
            <v>CPP-711.04</v>
          </cell>
          <cell r="D5219" t="str">
            <v>.</v>
          </cell>
          <cell r="E5219">
            <v>20002</v>
          </cell>
          <cell r="F5219" t="str">
            <v>TINTAS POLIÉSTER</v>
          </cell>
          <cell r="G5219" t="str">
            <v>AUTOMOTIVO</v>
          </cell>
        </row>
        <row r="5220">
          <cell r="A5220">
            <v>22655</v>
          </cell>
          <cell r="B5220" t="str">
            <v>AUTOCOAT BT 371 THINNER 18L</v>
          </cell>
          <cell r="C5220">
            <v>529924</v>
          </cell>
          <cell r="D5220" t="str">
            <v>TECH FLEET</v>
          </cell>
          <cell r="E5220">
            <v>20001</v>
          </cell>
          <cell r="F5220" t="str">
            <v>DILUENTE</v>
          </cell>
          <cell r="G5220" t="str">
            <v>AUTOMOTIVO</v>
          </cell>
        </row>
        <row r="5221">
          <cell r="A5221">
            <v>84568</v>
          </cell>
          <cell r="B5221" t="str">
            <v>DILUENTE  5027 900ML BRASILUX</v>
          </cell>
          <cell r="C5221" t="str">
            <v>TN 710052701</v>
          </cell>
          <cell r="D5221" t="str">
            <v>BRASILUX</v>
          </cell>
          <cell r="E5221">
            <v>20001</v>
          </cell>
          <cell r="F5221" t="str">
            <v>DILUENTE</v>
          </cell>
          <cell r="G5221" t="str">
            <v>AUTOMOTIVO</v>
          </cell>
        </row>
        <row r="5222">
          <cell r="A5222">
            <v>84902</v>
          </cell>
          <cell r="B5222" t="str">
            <v>KIT PU VERMELHO 5R4/14 3,6L</v>
          </cell>
          <cell r="C5222" t="str">
            <v>KT 152304526</v>
          </cell>
          <cell r="D5222" t="str">
            <v>BRASILUX</v>
          </cell>
          <cell r="E5222">
            <v>20003</v>
          </cell>
          <cell r="F5222" t="str">
            <v>EPOXI</v>
          </cell>
          <cell r="G5222" t="str">
            <v>INDUSTRIAL</v>
          </cell>
        </row>
        <row r="5223">
          <cell r="A5223">
            <v>84867</v>
          </cell>
          <cell r="B5223" t="str">
            <v>PU ACRILICO BI COMPONENTE-CINZA N6.5 CLARO 2,7L BRASILUX</v>
          </cell>
          <cell r="C5223" t="str">
            <v>BT 150601714</v>
          </cell>
          <cell r="D5223" t="str">
            <v>BRASILUX</v>
          </cell>
          <cell r="E5223">
            <v>20003</v>
          </cell>
          <cell r="F5223" t="str">
            <v>EPOXI</v>
          </cell>
          <cell r="G5223" t="str">
            <v>INDUSTRIAL</v>
          </cell>
        </row>
        <row r="5224">
          <cell r="A5224">
            <v>85079</v>
          </cell>
          <cell r="B5224" t="str">
            <v>VERNIZ PU  ACAB FOSCO 750ML AUTOMOTIVO BRASIDUR</v>
          </cell>
          <cell r="C5224" t="str">
            <v>VN 240009213</v>
          </cell>
          <cell r="D5224" t="str">
            <v>BRASILUX</v>
          </cell>
          <cell r="E5224">
            <v>20034</v>
          </cell>
          <cell r="F5224" t="str">
            <v>VERNIZ AUTOMOTIVO</v>
          </cell>
          <cell r="G5224" t="str">
            <v>AUTOMOTIVO</v>
          </cell>
        </row>
        <row r="5225">
          <cell r="A5225">
            <v>24310</v>
          </cell>
          <cell r="B5225" t="str">
            <v>DILUENTE 654 PU 0,900ML THINSOL</v>
          </cell>
          <cell r="C5225" t="str">
            <v>001DPMQ-026</v>
          </cell>
          <cell r="D5225" t="str">
            <v>THINSOL</v>
          </cell>
          <cell r="E5225">
            <v>20001</v>
          </cell>
          <cell r="F5225" t="str">
            <v>DILUENTE</v>
          </cell>
          <cell r="G5225" t="str">
            <v>AUTOMOTIVO</v>
          </cell>
        </row>
        <row r="5226">
          <cell r="A5226">
            <v>24287</v>
          </cell>
          <cell r="B5226" t="str">
            <v>DILUENTE 654 PU GALAO 5L THINSOL</v>
          </cell>
          <cell r="C5226" t="str">
            <v>001DPMQ-002</v>
          </cell>
          <cell r="D5226" t="str">
            <v>THINSOL</v>
          </cell>
          <cell r="E5226">
            <v>20001</v>
          </cell>
          <cell r="F5226" t="str">
            <v>DILUENTE</v>
          </cell>
          <cell r="G5226" t="str">
            <v>AUTOMOTIVO</v>
          </cell>
        </row>
        <row r="5227">
          <cell r="A5227">
            <v>24321</v>
          </cell>
          <cell r="B5227" t="str">
            <v>DILUENTE 654 PU LATA 18L THINSOL</v>
          </cell>
          <cell r="C5227" t="str">
            <v>001DPMQ-943</v>
          </cell>
          <cell r="D5227" t="str">
            <v>THINSOL</v>
          </cell>
          <cell r="E5227">
            <v>20001</v>
          </cell>
          <cell r="F5227" t="str">
            <v>DILUENTE</v>
          </cell>
          <cell r="G5227" t="str">
            <v>AUTOMOTIVO</v>
          </cell>
        </row>
        <row r="5228">
          <cell r="A5228">
            <v>20435</v>
          </cell>
          <cell r="B5228" t="str">
            <v>DILUENTE PARA PU 500ML MAX RUBBER</v>
          </cell>
          <cell r="C5228" t="str">
            <v>2MP007</v>
          </cell>
          <cell r="D5228" t="str">
            <v>MAXI RUBBER</v>
          </cell>
          <cell r="E5228">
            <v>20001</v>
          </cell>
          <cell r="F5228" t="str">
            <v>DILUENTE</v>
          </cell>
          <cell r="G5228" t="str">
            <v>AUTOMOTIVO</v>
          </cell>
        </row>
        <row r="5229">
          <cell r="A5229">
            <v>20213</v>
          </cell>
          <cell r="B5229" t="str">
            <v>DILUENTE PARA PU 900ML MAX RUBBER</v>
          </cell>
          <cell r="C5229" t="str">
            <v>2MP009</v>
          </cell>
          <cell r="D5229" t="str">
            <v>MAXI RUBBER</v>
          </cell>
          <cell r="E5229">
            <v>20001</v>
          </cell>
          <cell r="F5229" t="str">
            <v>DILUENTE</v>
          </cell>
          <cell r="G5229" t="str">
            <v>AUTOMOTIVO</v>
          </cell>
        </row>
        <row r="5230">
          <cell r="A5230">
            <v>24181</v>
          </cell>
          <cell r="B5230" t="str">
            <v>REDUCER MEDIUM 18L SIKKENS</v>
          </cell>
          <cell r="C5230">
            <v>571603</v>
          </cell>
          <cell r="D5230" t="str">
            <v>SIKKENS</v>
          </cell>
          <cell r="E5230">
            <v>20001</v>
          </cell>
          <cell r="F5230" t="str">
            <v>DILUENTE</v>
          </cell>
          <cell r="G5230" t="str">
            <v>AUTOMOTIVO</v>
          </cell>
        </row>
        <row r="5231">
          <cell r="A5231">
            <v>9994</v>
          </cell>
          <cell r="B5231" t="str">
            <v>REDUCER MEDIUM 1LT SIKKENS</v>
          </cell>
          <cell r="C5231">
            <v>529777</v>
          </cell>
          <cell r="D5231" t="str">
            <v>SIKKENS</v>
          </cell>
          <cell r="E5231">
            <v>20001</v>
          </cell>
          <cell r="F5231" t="str">
            <v>DILUENTE</v>
          </cell>
          <cell r="G5231" t="str">
            <v>AUTOMOTIVO</v>
          </cell>
        </row>
        <row r="5232">
          <cell r="A5232">
            <v>9995</v>
          </cell>
          <cell r="B5232" t="str">
            <v>REDUCER MEDIUM 5LTS SIKKENS</v>
          </cell>
          <cell r="C5232">
            <v>529778</v>
          </cell>
          <cell r="D5232" t="str">
            <v>SIKKENS</v>
          </cell>
          <cell r="E5232">
            <v>20001</v>
          </cell>
          <cell r="F5232" t="str">
            <v>DILUENTE</v>
          </cell>
          <cell r="G5232" t="str">
            <v>AUTOMOTIVO</v>
          </cell>
        </row>
        <row r="5233">
          <cell r="A5233">
            <v>9996</v>
          </cell>
          <cell r="B5233" t="str">
            <v>REDUCER SLOW 5LTS SIKKENS</v>
          </cell>
          <cell r="C5233">
            <v>529780</v>
          </cell>
          <cell r="D5233" t="str">
            <v>SIKKENS</v>
          </cell>
          <cell r="E5233">
            <v>20001</v>
          </cell>
          <cell r="F5233" t="str">
            <v>DILUENTE</v>
          </cell>
          <cell r="G5233" t="str">
            <v>AUTOMOTIVO</v>
          </cell>
        </row>
        <row r="5234">
          <cell r="A5234">
            <v>21067</v>
          </cell>
          <cell r="B5234" t="str">
            <v>RRA ( RAPID REPAIR AGENT) 1LT</v>
          </cell>
          <cell r="C5234">
            <v>529789</v>
          </cell>
          <cell r="D5234" t="str">
            <v>SIKKENS</v>
          </cell>
          <cell r="E5234">
            <v>20001</v>
          </cell>
          <cell r="F5234" t="str">
            <v>DILUENTE</v>
          </cell>
          <cell r="G5234" t="str">
            <v>AUTOMOTIVO</v>
          </cell>
        </row>
        <row r="5235">
          <cell r="A5235">
            <v>23133</v>
          </cell>
          <cell r="B5235" t="str">
            <v>STANDOX VOC THINNER</v>
          </cell>
          <cell r="C5235" t="str">
            <v>T80012002/04</v>
          </cell>
          <cell r="D5235" t="str">
            <v>AXALTA</v>
          </cell>
          <cell r="E5235">
            <v>20001</v>
          </cell>
          <cell r="F5235" t="str">
            <v>DILUENTE</v>
          </cell>
          <cell r="G5235" t="str">
            <v>AUTOMOTIVO</v>
          </cell>
        </row>
        <row r="5236">
          <cell r="A5236">
            <v>23557</v>
          </cell>
          <cell r="B5236" t="str">
            <v>THINNER 12888 PU 900ML AUDI</v>
          </cell>
          <cell r="C5236" t="str">
            <v>TH12888900</v>
          </cell>
          <cell r="D5236" t="str">
            <v>NATRIELLI</v>
          </cell>
          <cell r="E5236">
            <v>20001</v>
          </cell>
          <cell r="F5236" t="str">
            <v>DILUENTE</v>
          </cell>
          <cell r="G5236" t="str">
            <v>AUTOMOTIVO</v>
          </cell>
        </row>
        <row r="5237">
          <cell r="A5237">
            <v>10302</v>
          </cell>
          <cell r="B5237" t="str">
            <v>THINNER 3020 5LTS ANJO</v>
          </cell>
          <cell r="C5237" t="str">
            <v>000084-28</v>
          </cell>
          <cell r="D5237" t="str">
            <v>ANJO</v>
          </cell>
          <cell r="E5237">
            <v>20001</v>
          </cell>
          <cell r="F5237" t="str">
            <v>DILUENTE</v>
          </cell>
          <cell r="G5237" t="str">
            <v>AUTOMOTIVO</v>
          </cell>
        </row>
        <row r="5238">
          <cell r="A5238">
            <v>10301</v>
          </cell>
          <cell r="B5238" t="str">
            <v>THINNER 3020 900ML ANJO</v>
          </cell>
          <cell r="C5238" t="str">
            <v>000084-23</v>
          </cell>
          <cell r="D5238" t="str">
            <v>ANJO</v>
          </cell>
          <cell r="E5238">
            <v>20001</v>
          </cell>
          <cell r="F5238" t="str">
            <v>DILUENTE</v>
          </cell>
          <cell r="G5238" t="str">
            <v>AUTOMOTIVO</v>
          </cell>
        </row>
        <row r="5239">
          <cell r="A5239">
            <v>20795</v>
          </cell>
          <cell r="B5239" t="str">
            <v>THINNER 4030 P/ PU/POLIESTER 18L WANDA</v>
          </cell>
          <cell r="C5239">
            <v>542714</v>
          </cell>
          <cell r="D5239" t="str">
            <v>WANDA</v>
          </cell>
          <cell r="E5239">
            <v>20001</v>
          </cell>
          <cell r="F5239" t="str">
            <v>DILUENTE</v>
          </cell>
          <cell r="G5239" t="str">
            <v>AUTOMOTIVO</v>
          </cell>
        </row>
        <row r="5240">
          <cell r="A5240">
            <v>9806</v>
          </cell>
          <cell r="B5240" t="str">
            <v>THINNER 4030 P/ PU/POLIESTER 5L WANDA</v>
          </cell>
          <cell r="C5240">
            <v>542713</v>
          </cell>
          <cell r="D5240" t="str">
            <v>WANDA</v>
          </cell>
          <cell r="E5240">
            <v>20001</v>
          </cell>
          <cell r="F5240" t="str">
            <v>DILUENTE</v>
          </cell>
          <cell r="G5240" t="str">
            <v>AUTOMOTIVO</v>
          </cell>
        </row>
        <row r="5241">
          <cell r="A5241">
            <v>9805</v>
          </cell>
          <cell r="B5241" t="str">
            <v>THINNER 4030 P/ PU/POLIESTER 900ML WANDA</v>
          </cell>
          <cell r="C5241">
            <v>542715</v>
          </cell>
          <cell r="D5241" t="str">
            <v>WANDA</v>
          </cell>
          <cell r="E5241">
            <v>20001</v>
          </cell>
          <cell r="F5241" t="str">
            <v>DILUENTE</v>
          </cell>
          <cell r="G5241" t="str">
            <v>AUTOMOTIVO</v>
          </cell>
        </row>
        <row r="5242">
          <cell r="A5242">
            <v>20746</v>
          </cell>
          <cell r="B5242" t="str">
            <v>THINNER 454 18L LAZZURIL</v>
          </cell>
          <cell r="C5242" t="str">
            <v>08.40.00454-022</v>
          </cell>
          <cell r="D5242" t="str">
            <v>SHERWIN WILLIAMS</v>
          </cell>
          <cell r="E5242">
            <v>20001</v>
          </cell>
          <cell r="F5242" t="str">
            <v>DILUENTE</v>
          </cell>
          <cell r="G5242" t="str">
            <v>AUTOMOTIVO</v>
          </cell>
        </row>
        <row r="5243">
          <cell r="A5243">
            <v>21316</v>
          </cell>
          <cell r="B5243" t="str">
            <v>THINNER 454 5L LAZZURIL</v>
          </cell>
          <cell r="C5243" t="str">
            <v>08.40.00454-008</v>
          </cell>
          <cell r="D5243" t="str">
            <v>SHERWIN WILLIAMS</v>
          </cell>
          <cell r="E5243">
            <v>20001</v>
          </cell>
          <cell r="F5243" t="str">
            <v>DILUENTE</v>
          </cell>
          <cell r="G5243" t="str">
            <v>AUTOMOTIVO</v>
          </cell>
        </row>
        <row r="5244">
          <cell r="A5244">
            <v>20414</v>
          </cell>
          <cell r="B5244" t="str">
            <v>THINNER 454 900ML LAZZURIL</v>
          </cell>
          <cell r="C5244" t="str">
            <v>08.40.00454-217</v>
          </cell>
          <cell r="D5244" t="str">
            <v>SHERWIN WILLIAMS</v>
          </cell>
          <cell r="E5244">
            <v>20001</v>
          </cell>
          <cell r="F5244" t="str">
            <v>DILUENTE</v>
          </cell>
          <cell r="G5244" t="str">
            <v>AUTOMOTIVO</v>
          </cell>
        </row>
        <row r="5245">
          <cell r="A5245">
            <v>85585</v>
          </cell>
          <cell r="B5245" t="str">
            <v>THINNER 4PARA PU MEDIO 8202 900 ML - RHAI</v>
          </cell>
          <cell r="C5245">
            <v>208202013</v>
          </cell>
          <cell r="D5245" t="str">
            <v>RHAI</v>
          </cell>
          <cell r="E5245">
            <v>20001</v>
          </cell>
          <cell r="F5245" t="str">
            <v>DILUENTE</v>
          </cell>
          <cell r="G5245" t="str">
            <v>AUTOMOTIVO</v>
          </cell>
        </row>
        <row r="5246">
          <cell r="A5246">
            <v>84825</v>
          </cell>
          <cell r="B5246" t="str">
            <v>THINNER 6028 DILUENTE 18L BRASILUX</v>
          </cell>
          <cell r="C5246" t="str">
            <v>TN 710062803</v>
          </cell>
          <cell r="D5246" t="str">
            <v>BRASILUX</v>
          </cell>
          <cell r="E5246">
            <v>20001</v>
          </cell>
          <cell r="F5246" t="str">
            <v>DILUENTE</v>
          </cell>
          <cell r="G5246" t="str">
            <v>AUTOMOTIVO</v>
          </cell>
        </row>
        <row r="5247">
          <cell r="A5247">
            <v>84826</v>
          </cell>
          <cell r="B5247" t="str">
            <v>THINNER 6028 DILUENTE 200L TAMBOR BRASILUX</v>
          </cell>
          <cell r="C5247" t="str">
            <v>TN 710062805</v>
          </cell>
          <cell r="D5247" t="str">
            <v>BRASILUX</v>
          </cell>
          <cell r="E5247">
            <v>20001</v>
          </cell>
          <cell r="F5247" t="str">
            <v>DILUENTE</v>
          </cell>
          <cell r="G5247" t="str">
            <v>AUTOMOTIVO</v>
          </cell>
        </row>
        <row r="5248">
          <cell r="A5248">
            <v>84894</v>
          </cell>
          <cell r="B5248" t="str">
            <v>THINNER 6028 DILUENTE 5L BRASILUX</v>
          </cell>
          <cell r="C5248" t="str">
            <v>TN 710062808</v>
          </cell>
          <cell r="D5248" t="str">
            <v>BRASILUX</v>
          </cell>
          <cell r="E5248">
            <v>20001</v>
          </cell>
          <cell r="F5248" t="str">
            <v>DILUENTE</v>
          </cell>
          <cell r="G5248" t="str">
            <v>AUTOMOTIVO</v>
          </cell>
        </row>
        <row r="5249">
          <cell r="A5249">
            <v>84774</v>
          </cell>
          <cell r="B5249" t="str">
            <v>THINNER 6028 DILUENTE 900ML BRASILUX</v>
          </cell>
          <cell r="C5249" t="str">
            <v>TN 710062801</v>
          </cell>
          <cell r="D5249" t="str">
            <v>BRASILUX</v>
          </cell>
          <cell r="E5249">
            <v>20001</v>
          </cell>
          <cell r="F5249" t="str">
            <v>DILUENTE</v>
          </cell>
          <cell r="G5249" t="str">
            <v>AUTOMOTIVO</v>
          </cell>
        </row>
        <row r="5250">
          <cell r="A5250">
            <v>24252</v>
          </cell>
          <cell r="B5250" t="str">
            <v>THINNER DE LIMPEZA 5L BRAZILIAN</v>
          </cell>
          <cell r="C5250" t="str">
            <v>9285.30</v>
          </cell>
          <cell r="D5250" t="str">
            <v>BRAZILIAN</v>
          </cell>
          <cell r="E5250">
            <v>20001</v>
          </cell>
          <cell r="F5250" t="str">
            <v>DILUENTE</v>
          </cell>
          <cell r="G5250" t="str">
            <v>AUTOMOTIVO</v>
          </cell>
        </row>
        <row r="5251">
          <cell r="A5251">
            <v>24249</v>
          </cell>
          <cell r="B5251" t="str">
            <v>THINNER DE LIMPEZA 900ML BRAZILIAN</v>
          </cell>
          <cell r="C5251" t="str">
            <v>009285.63</v>
          </cell>
          <cell r="D5251" t="str">
            <v>BRAZILIAN</v>
          </cell>
          <cell r="E5251">
            <v>20001</v>
          </cell>
          <cell r="F5251" t="str">
            <v>DILUENTE</v>
          </cell>
          <cell r="G5251" t="str">
            <v>AUTOMOTIVO</v>
          </cell>
        </row>
        <row r="5252">
          <cell r="A5252">
            <v>83863</v>
          </cell>
          <cell r="B5252" t="str">
            <v>THINNER DE LIMPEZA TAMBOR  BRAZILIAN</v>
          </cell>
          <cell r="C5252" t="str">
            <v>009285.45</v>
          </cell>
          <cell r="D5252" t="str">
            <v>BRAZILIAN</v>
          </cell>
          <cell r="E5252">
            <v>20001</v>
          </cell>
          <cell r="F5252" t="str">
            <v>DILUENTE</v>
          </cell>
          <cell r="G5252" t="str">
            <v>AUTOMOTIVO</v>
          </cell>
        </row>
        <row r="5253">
          <cell r="A5253">
            <v>117</v>
          </cell>
          <cell r="B5253" t="str">
            <v>THINNER P/ PU ALTA TEMPERATURA 900ML SKY</v>
          </cell>
          <cell r="C5253" t="str">
            <v>650TH7320122</v>
          </cell>
          <cell r="D5253" t="str">
            <v>SKY</v>
          </cell>
          <cell r="E5253">
            <v>20001</v>
          </cell>
          <cell r="F5253" t="str">
            <v>DILUENTE</v>
          </cell>
          <cell r="G5253" t="str">
            <v>AUTOMOTIVO</v>
          </cell>
        </row>
        <row r="5254">
          <cell r="A5254">
            <v>20430</v>
          </cell>
          <cell r="B5254" t="str">
            <v>THINNER P/ RETOQUE 900ML LAZZURIL</v>
          </cell>
          <cell r="C5254" t="str">
            <v>08.40.00446-217</v>
          </cell>
          <cell r="D5254" t="str">
            <v>.</v>
          </cell>
          <cell r="E5254">
            <v>20001</v>
          </cell>
          <cell r="F5254" t="str">
            <v>DILUENTE</v>
          </cell>
          <cell r="G5254" t="str">
            <v>AUTOMOTIVO</v>
          </cell>
        </row>
        <row r="5255">
          <cell r="A5255">
            <v>74</v>
          </cell>
          <cell r="B5255" t="str">
            <v>THINNER P/ RETOQUE 900ML SKY</v>
          </cell>
          <cell r="C5255" t="str">
            <v>150TH7020122</v>
          </cell>
          <cell r="D5255" t="str">
            <v>SKY</v>
          </cell>
          <cell r="E5255">
            <v>20001</v>
          </cell>
          <cell r="F5255" t="str">
            <v>DILUENTE</v>
          </cell>
          <cell r="G5255" t="str">
            <v>AUTOMOTIVO</v>
          </cell>
        </row>
        <row r="5256">
          <cell r="A5256">
            <v>9997</v>
          </cell>
          <cell r="B5256" t="str">
            <v>THINNER SRA 1LT SIKKENS</v>
          </cell>
          <cell r="C5256">
            <v>529783</v>
          </cell>
          <cell r="D5256" t="str">
            <v>SIKKENS</v>
          </cell>
          <cell r="E5256">
            <v>20001</v>
          </cell>
          <cell r="F5256" t="str">
            <v>DILUENTE</v>
          </cell>
          <cell r="G5256" t="str">
            <v>AUTOMOTIVO</v>
          </cell>
        </row>
        <row r="5257">
          <cell r="A5257">
            <v>23578</v>
          </cell>
          <cell r="B5257" t="str">
            <v>THINNER TH5003 PU 18L ANJO</v>
          </cell>
          <cell r="C5257" t="str">
            <v>035401-30</v>
          </cell>
          <cell r="D5257" t="str">
            <v>ANJO</v>
          </cell>
          <cell r="E5257">
            <v>20001</v>
          </cell>
          <cell r="F5257" t="str">
            <v>DILUENTE</v>
          </cell>
          <cell r="G5257" t="str">
            <v>AUTOMOTIVO</v>
          </cell>
        </row>
        <row r="5258">
          <cell r="A5258">
            <v>23577</v>
          </cell>
          <cell r="B5258" t="str">
            <v>THINNER TH5003 PU 5L ANJO</v>
          </cell>
          <cell r="C5258" t="str">
            <v>035401-28</v>
          </cell>
          <cell r="D5258" t="str">
            <v>ANJO</v>
          </cell>
          <cell r="E5258">
            <v>20001</v>
          </cell>
          <cell r="F5258" t="str">
            <v>DILUENTE</v>
          </cell>
          <cell r="G5258" t="str">
            <v>AUTOMOTIVO</v>
          </cell>
        </row>
        <row r="5259">
          <cell r="A5259">
            <v>193</v>
          </cell>
          <cell r="B5259" t="str">
            <v>THINNER TH5003 PU 900ML ANJO</v>
          </cell>
          <cell r="C5259" t="str">
            <v>035401-23</v>
          </cell>
          <cell r="D5259" t="str">
            <v>ANJO</v>
          </cell>
          <cell r="E5259">
            <v>20001</v>
          </cell>
          <cell r="F5259" t="str">
            <v>DILUENTE</v>
          </cell>
          <cell r="G5259" t="str">
            <v>AUTOMOTIVO</v>
          </cell>
        </row>
        <row r="5260">
          <cell r="A5260">
            <v>128</v>
          </cell>
          <cell r="B5260" t="str">
            <v>THINNER TH700 P/ PU/POLIESTER 5L SKY</v>
          </cell>
          <cell r="C5260" t="str">
            <v>150TH7000123</v>
          </cell>
          <cell r="D5260" t="str">
            <v>SKY</v>
          </cell>
          <cell r="E5260">
            <v>20001</v>
          </cell>
          <cell r="F5260" t="str">
            <v>DILUENTE</v>
          </cell>
          <cell r="G5260" t="str">
            <v>AUTOMOTIVO</v>
          </cell>
        </row>
        <row r="5261">
          <cell r="A5261">
            <v>24275</v>
          </cell>
          <cell r="B5261" t="str">
            <v>THINNER TH700 P/ PU/POLIESTER 900ML SKY</v>
          </cell>
          <cell r="C5261" t="str">
            <v>150TH7000122</v>
          </cell>
          <cell r="D5261" t="str">
            <v>SKY</v>
          </cell>
          <cell r="E5261">
            <v>20001</v>
          </cell>
          <cell r="F5261" t="str">
            <v>DILUENTE</v>
          </cell>
          <cell r="G5261" t="str">
            <v>AUTOMOTIVO</v>
          </cell>
        </row>
        <row r="5262">
          <cell r="A5262">
            <v>22249</v>
          </cell>
          <cell r="B5262" t="str">
            <v>WANDEPOXY DILUENTE 5L</v>
          </cell>
          <cell r="C5262">
            <v>11933</v>
          </cell>
          <cell r="D5262" t="str">
            <v>.</v>
          </cell>
          <cell r="E5262">
            <v>20001</v>
          </cell>
          <cell r="F5262" t="str">
            <v>DILUENTE</v>
          </cell>
          <cell r="G5262" t="str">
            <v>AUTOMOTIVO</v>
          </cell>
        </row>
        <row r="5263">
          <cell r="A5263">
            <v>84412</v>
          </cell>
          <cell r="B5263" t="str">
            <v> DILUENTE ACABAMENTO 5027 18L -  BRASILUX</v>
          </cell>
          <cell r="C5263" t="str">
            <v> TN 710052703</v>
          </cell>
          <cell r="D5263" t="str">
            <v>BRASILUX</v>
          </cell>
          <cell r="E5263">
            <v>20001</v>
          </cell>
          <cell r="F5263" t="str">
            <v>DILUENTE</v>
          </cell>
          <cell r="G5263" t="str">
            <v>AUTOMOTIVO</v>
          </cell>
        </row>
        <row r="5264">
          <cell r="A5264">
            <v>85075</v>
          </cell>
          <cell r="B5264" t="str">
            <v> DILUENTE ACABAMENTO 5027 5L BRASILUX</v>
          </cell>
          <cell r="C5264" t="str">
            <v>TN 710052708</v>
          </cell>
          <cell r="D5264" t="str">
            <v>BRASILUX</v>
          </cell>
          <cell r="E5264">
            <v>20001</v>
          </cell>
          <cell r="F5264" t="str">
            <v>DILUENTE</v>
          </cell>
          <cell r="G5264" t="str">
            <v>AUTOMOTIVO</v>
          </cell>
        </row>
        <row r="5265">
          <cell r="A5265">
            <v>10135</v>
          </cell>
          <cell r="B5265" t="str">
            <v>ADAPTADOR PARA POLITRIZ BOINA</v>
          </cell>
          <cell r="C5265" t="str">
            <v>FE101</v>
          </cell>
          <cell r="D5265" t="str">
            <v>COLOR BRILHO</v>
          </cell>
          <cell r="E5265">
            <v>1046</v>
          </cell>
          <cell r="F5265" t="str">
            <v>......................................</v>
          </cell>
          <cell r="G5265" t="str">
            <v>AUTOMOTIVO</v>
          </cell>
        </row>
        <row r="5266">
          <cell r="A5266">
            <v>85391</v>
          </cell>
          <cell r="B5266" t="str">
            <v>ECOPRIMER BD18 l</v>
          </cell>
          <cell r="C5266" t="str">
            <v>V0310947</v>
          </cell>
          <cell r="D5266" t="str">
            <v>.</v>
          </cell>
          <cell r="E5266">
            <v>1043</v>
          </cell>
          <cell r="F5266" t="str">
            <v>...........................................</v>
          </cell>
          <cell r="G5266" t="str">
            <v>AUTOMOTIVO</v>
          </cell>
        </row>
        <row r="5267">
          <cell r="A5267">
            <v>23763</v>
          </cell>
          <cell r="B5267" t="str">
            <v>EXPOSITOR</v>
          </cell>
          <cell r="C5267">
            <v>53150</v>
          </cell>
          <cell r="D5267" t="str">
            <v>UTILER</v>
          </cell>
          <cell r="E5267">
            <v>1043</v>
          </cell>
          <cell r="F5267" t="str">
            <v>...........................................</v>
          </cell>
          <cell r="G5267" t="str">
            <v>AUTOMOTIVO</v>
          </cell>
        </row>
        <row r="5268">
          <cell r="A5268">
            <v>85392</v>
          </cell>
          <cell r="B5268" t="str">
            <v>VIAMANTA POLIESTER 4 mm</v>
          </cell>
          <cell r="C5268" t="str">
            <v>V0118248</v>
          </cell>
          <cell r="D5268" t="str">
            <v>.</v>
          </cell>
          <cell r="E5268">
            <v>1043</v>
          </cell>
          <cell r="F5268" t="str">
            <v>...........................................</v>
          </cell>
          <cell r="G5268" t="str">
            <v>AUTOMOTIVO</v>
          </cell>
        </row>
        <row r="5269">
          <cell r="A5269">
            <v>23298</v>
          </cell>
          <cell r="B5269" t="str">
            <v>28508 LIXADEIRA ORB 6IN 3/16 CV PRO</v>
          </cell>
          <cell r="C5269" t="str">
            <v>HC000663746</v>
          </cell>
          <cell r="D5269" t="str">
            <v>3M</v>
          </cell>
          <cell r="E5269">
            <v>1037</v>
          </cell>
          <cell r="F5269" t="str">
            <v>...............................................</v>
          </cell>
          <cell r="G5269" t="str">
            <v>AUTOMOTIVO</v>
          </cell>
        </row>
        <row r="5270">
          <cell r="A5270">
            <v>23575</v>
          </cell>
          <cell r="B5270" t="str">
            <v>DESENGRAXANTE M700 1L SIKKENS</v>
          </cell>
          <cell r="C5270">
            <v>553980</v>
          </cell>
          <cell r="D5270" t="str">
            <v>SIKKENS</v>
          </cell>
          <cell r="E5270">
            <v>1035</v>
          </cell>
          <cell r="F5270" t="str">
            <v>........................................</v>
          </cell>
          <cell r="G5270" t="str">
            <v>AUTOMOTIVO</v>
          </cell>
        </row>
        <row r="5271">
          <cell r="A5271">
            <v>23276</v>
          </cell>
          <cell r="B5271" t="str">
            <v>FITA FILETE PVC 6MMX50M PREMIUM NORTON</v>
          </cell>
          <cell r="C5271">
            <v>63642524589</v>
          </cell>
          <cell r="D5271" t="str">
            <v>NORTON</v>
          </cell>
          <cell r="E5271">
            <v>1026</v>
          </cell>
          <cell r="F5271" t="str">
            <v>.......................................</v>
          </cell>
          <cell r="G5271" t="str">
            <v>AUTOMOTIVO</v>
          </cell>
        </row>
        <row r="5272">
          <cell r="A5272">
            <v>23268</v>
          </cell>
          <cell r="B5272" t="str">
            <v>LIXA  A-275 N.040 NORTON</v>
          </cell>
          <cell r="C5272">
            <v>66623373432</v>
          </cell>
          <cell r="D5272" t="str">
            <v>NORTON</v>
          </cell>
          <cell r="E5272">
            <v>1025</v>
          </cell>
          <cell r="F5272" t="str">
            <v>.....................................</v>
          </cell>
          <cell r="G5272" t="str">
            <v>AUTOMOTIVO</v>
          </cell>
        </row>
        <row r="5273">
          <cell r="A5273">
            <v>22051</v>
          </cell>
          <cell r="B5273" t="str">
            <v>LIXA A SECO Nº 40 3M</v>
          </cell>
          <cell r="C5273" t="str">
            <v>HC000622023</v>
          </cell>
          <cell r="D5273" t="str">
            <v>.</v>
          </cell>
          <cell r="E5273">
            <v>1025</v>
          </cell>
          <cell r="F5273" t="str">
            <v>.....................................</v>
          </cell>
          <cell r="G5273" t="str">
            <v>AUTOMOTIVO</v>
          </cell>
        </row>
        <row r="5274">
          <cell r="A5274">
            <v>10247</v>
          </cell>
          <cell r="B5274" t="str">
            <v>LIXA A-275 N.1200 NORTON</v>
          </cell>
          <cell r="C5274">
            <v>112233445566</v>
          </cell>
          <cell r="D5274" t="str">
            <v>NORTON</v>
          </cell>
          <cell r="E5274">
            <v>1025</v>
          </cell>
          <cell r="F5274" t="str">
            <v>.....................................</v>
          </cell>
          <cell r="G5274" t="str">
            <v>AUTOMOTIVO</v>
          </cell>
        </row>
        <row r="5275">
          <cell r="A5275">
            <v>21053</v>
          </cell>
          <cell r="B5275" t="str">
            <v>PISTOLA SLIM HTE 1.3 WALCOM</v>
          </cell>
          <cell r="C5275" t="str">
            <v>10083.13</v>
          </cell>
          <cell r="D5275" t="str">
            <v>MAXI RUBBER</v>
          </cell>
          <cell r="E5275">
            <v>1023</v>
          </cell>
          <cell r="F5275" t="str">
            <v>PISTOLAS</v>
          </cell>
          <cell r="G5275" t="str">
            <v>AUTOMOTIVO</v>
          </cell>
        </row>
        <row r="5276">
          <cell r="A5276">
            <v>23640</v>
          </cell>
          <cell r="B5276" t="str">
            <v>BOINA DUPLA FACE FIO DE LÃ AMAR MACIA 8 CLASSIC NORTON</v>
          </cell>
          <cell r="C5276">
            <v>78072712014</v>
          </cell>
          <cell r="D5276" t="str">
            <v>NORTON</v>
          </cell>
          <cell r="E5276">
            <v>1020</v>
          </cell>
          <cell r="F5276" t="str">
            <v>....................</v>
          </cell>
          <cell r="G5276" t="str">
            <v>AUTOMOTIVO</v>
          </cell>
        </row>
        <row r="5277">
          <cell r="A5277">
            <v>21360</v>
          </cell>
          <cell r="B5277" t="str">
            <v>ROBFOAM - ESPUMA DE MASCARAMENTO ( DART ) ROBERLO</v>
          </cell>
          <cell r="C5277">
            <v>62950</v>
          </cell>
          <cell r="D5277" t="str">
            <v>.</v>
          </cell>
          <cell r="E5277">
            <v>1010</v>
          </cell>
          <cell r="F5277" t="str">
            <v>..........</v>
          </cell>
          <cell r="G5277" t="str">
            <v>AUTOMOTIVO</v>
          </cell>
        </row>
        <row r="5278">
          <cell r="A5278">
            <v>84679</v>
          </cell>
          <cell r="B5278" t="str">
            <v>PISTOLA DE PINTURA GRAV. HVLP 1.7MM PDR FL</v>
          </cell>
          <cell r="D5278" t="str">
            <v>PDR</v>
          </cell>
          <cell r="F5278" t="str">
            <v>PISTOLAS</v>
          </cell>
          <cell r="G5278" t="str">
            <v>AUTOMOTIVO</v>
          </cell>
        </row>
        <row r="5279">
          <cell r="A5279">
            <v>25</v>
          </cell>
          <cell r="B5279" t="str">
            <v>ESPONJA ABRAS AUTOM ULTRA FINA (800/1000) 3M</v>
          </cell>
          <cell r="D5279" t="str">
            <v>3M</v>
          </cell>
          <cell r="F5279" t="str">
            <v xml:space="preserve">DISCOS / LIXAS / ABRASIVOS </v>
          </cell>
          <cell r="G5279" t="str">
            <v>AUTOMOTIVO</v>
          </cell>
        </row>
        <row r="5280">
          <cell r="A5280">
            <v>20174</v>
          </cell>
          <cell r="B5280" t="str">
            <v>LIXA DAGUA T-277 N. 150 NORTON</v>
          </cell>
          <cell r="D5280" t="str">
            <v>NORTON</v>
          </cell>
          <cell r="F5280" t="str">
            <v>LIXA DÁGUA</v>
          </cell>
          <cell r="G5280" t="str">
            <v>AUTOMOTIVO</v>
          </cell>
        </row>
        <row r="5281">
          <cell r="A5281">
            <v>86913</v>
          </cell>
          <cell r="B5281" t="str">
            <v>ESMALTE SINT AUTOMOTIVO CINZA MBB 7202 3,6L BRASILUX</v>
          </cell>
          <cell r="D5281" t="str">
            <v>BRASILUX</v>
          </cell>
          <cell r="F5281" t="str">
            <v>ESMALTES</v>
          </cell>
          <cell r="G5281" t="str">
            <v>INDUSTRIAL</v>
          </cell>
        </row>
        <row r="5282">
          <cell r="A5282">
            <v>20122</v>
          </cell>
          <cell r="B5282" t="str">
            <v>CLEAN SAND DISC P500 152MM 3M</v>
          </cell>
          <cell r="D5282" t="str">
            <v>3M</v>
          </cell>
          <cell r="F5282" t="str">
            <v xml:space="preserve">OUTROS DISCOS </v>
          </cell>
          <cell r="G5282" t="str">
            <v>AUTOMOTIVO</v>
          </cell>
        </row>
        <row r="5283">
          <cell r="A5283">
            <v>86861</v>
          </cell>
          <cell r="B5283" t="str">
            <v>CORANTE LIQUIDO XADREZ AMARELO 50ML</v>
          </cell>
          <cell r="D5283" t="str">
            <v>SHERWIN WILLIAMS</v>
          </cell>
          <cell r="F5283" t="str">
            <v>CORANTES</v>
          </cell>
          <cell r="G5283" t="str">
            <v>IMOBILIÁRIO</v>
          </cell>
        </row>
        <row r="5284">
          <cell r="A5284">
            <v>86865</v>
          </cell>
          <cell r="B5284" t="str">
            <v>CORANTE LIQUIDO XADREZ MARROM 50ML</v>
          </cell>
          <cell r="D5284" t="str">
            <v>SHERWIN WILLIAMS</v>
          </cell>
          <cell r="F5284" t="str">
            <v>CORANTES</v>
          </cell>
          <cell r="G5284" t="str">
            <v>IMOBILIÁRIO</v>
          </cell>
        </row>
        <row r="5285">
          <cell r="A5285">
            <v>86866</v>
          </cell>
          <cell r="B5285" t="str">
            <v>CORANTE LIQUIDO XADREZ PRETO 50ML</v>
          </cell>
          <cell r="D5285" t="str">
            <v>SHERWIN WILLIAMS</v>
          </cell>
          <cell r="F5285" t="str">
            <v>CORANTES</v>
          </cell>
          <cell r="G5285" t="str">
            <v>IMOBILIÁRIO</v>
          </cell>
        </row>
        <row r="5286">
          <cell r="A5286">
            <v>86867</v>
          </cell>
          <cell r="B5286" t="str">
            <v>CORANTE LIQUIDO XADREZ VERDE 50ML</v>
          </cell>
          <cell r="D5286" t="str">
            <v>SHERWIN WILLIAMS</v>
          </cell>
          <cell r="F5286" t="str">
            <v>CORANTES</v>
          </cell>
          <cell r="G5286" t="str">
            <v>IMOBILIÁRIO</v>
          </cell>
        </row>
        <row r="5287">
          <cell r="A5287">
            <v>86868</v>
          </cell>
          <cell r="B5287" t="str">
            <v>CORANTE LIQUIDO XADREZ VERMELHO 50ML</v>
          </cell>
          <cell r="D5287" t="str">
            <v>SHERWIN WILLIAMS</v>
          </cell>
          <cell r="F5287" t="str">
            <v>CORANTES</v>
          </cell>
          <cell r="G5287" t="str">
            <v>IMOBILIÁRIO</v>
          </cell>
        </row>
        <row r="5288">
          <cell r="A5288">
            <v>86869</v>
          </cell>
          <cell r="B5288" t="str">
            <v>CORANTE LIQUIDO XADREZ VIOLETA 50ML</v>
          </cell>
          <cell r="D5288" t="str">
            <v>SHERWIN WILLIAMS</v>
          </cell>
          <cell r="F5288" t="str">
            <v>CORANTES</v>
          </cell>
          <cell r="G5288" t="str">
            <v>IMOBILIÁRIO</v>
          </cell>
        </row>
        <row r="5289">
          <cell r="A5289">
            <v>10060</v>
          </cell>
          <cell r="B5289" t="str">
            <v>DISCO DE CORTE GROSSO 3M</v>
          </cell>
          <cell r="D5289" t="str">
            <v>3M</v>
          </cell>
          <cell r="F5289" t="str">
            <v xml:space="preserve">OUTROS DISCOS </v>
          </cell>
          <cell r="G5289" t="str">
            <v>AUTOMOTIVO</v>
          </cell>
        </row>
        <row r="5290">
          <cell r="A5290">
            <v>10219</v>
          </cell>
          <cell r="B5290" t="str">
            <v>DISCO DE LIXA N.050 NORTON</v>
          </cell>
          <cell r="D5290" t="str">
            <v>NORTON</v>
          </cell>
          <cell r="F5290" t="str">
            <v xml:space="preserve">OUTROS DISCOS </v>
          </cell>
          <cell r="G5290" t="str">
            <v>AUTOMOTIVO</v>
          </cell>
        </row>
        <row r="5291">
          <cell r="A5291">
            <v>10221</v>
          </cell>
          <cell r="B5291" t="str">
            <v>DISCO DE LIXA N.080 NORTON</v>
          </cell>
          <cell r="D5291" t="str">
            <v>NORTON</v>
          </cell>
          <cell r="F5291" t="str">
            <v xml:space="preserve">OUTROS DISCOS </v>
          </cell>
          <cell r="G5291" t="str">
            <v>AUTOMOTIVO</v>
          </cell>
        </row>
        <row r="5292">
          <cell r="A5292">
            <v>23455</v>
          </cell>
          <cell r="B5292" t="str">
            <v>KIT PROTECAO PARTES INTERNAS DE AUTOS SHERWIN WILLIAMS</v>
          </cell>
          <cell r="D5292" t="str">
            <v>SHERWIN WILLIAMS</v>
          </cell>
          <cell r="F5292" t="str">
            <v>OUTRAS FERRAMENTAS / EQUIPAMENTOS</v>
          </cell>
          <cell r="G5292" t="str">
            <v>AUTOMOTIVO</v>
          </cell>
        </row>
        <row r="5293">
          <cell r="A5293">
            <v>9785</v>
          </cell>
          <cell r="B5293" t="str">
            <v>KIT PU BRANCO SUMMIT GM 2011 900ML WANDA</v>
          </cell>
          <cell r="D5293" t="str">
            <v>WANDA</v>
          </cell>
          <cell r="F5293" t="str">
            <v>TINTAS PU</v>
          </cell>
          <cell r="G5293" t="str">
            <v>AUTOMOTIVO</v>
          </cell>
        </row>
        <row r="5294">
          <cell r="A5294">
            <v>21010</v>
          </cell>
          <cell r="B5294" t="str">
            <v>KIT PU PRETO NINJA VW 1995 900ML WANDA</v>
          </cell>
          <cell r="D5294" t="str">
            <v>WANDA</v>
          </cell>
          <cell r="F5294" t="str">
            <v>TINTAS PU</v>
          </cell>
          <cell r="G5294" t="str">
            <v>AUTOMOTIVO</v>
          </cell>
        </row>
        <row r="5295">
          <cell r="A5295">
            <v>22644</v>
          </cell>
          <cell r="B5295" t="str">
            <v>KIT PU PRETO VULCANO FIAT 99 900ML WANDA</v>
          </cell>
          <cell r="D5295" t="str">
            <v>WANDA</v>
          </cell>
          <cell r="F5295" t="str">
            <v>TINTAS PU</v>
          </cell>
          <cell r="G5295" t="str">
            <v>AUTOMOTIVO</v>
          </cell>
        </row>
        <row r="5296">
          <cell r="A5296">
            <v>23257</v>
          </cell>
          <cell r="B5296" t="str">
            <v>KIT PU VERMELHO ALPINE FIAT 900ML WANDA</v>
          </cell>
          <cell r="D5296" t="str">
            <v>WANDA</v>
          </cell>
          <cell r="F5296" t="str">
            <v>TINTAS PU</v>
          </cell>
          <cell r="G5296" t="str">
            <v>AUTOMOTIVO</v>
          </cell>
        </row>
        <row r="5297">
          <cell r="A5297">
            <v>21389</v>
          </cell>
          <cell r="B5297" t="str">
            <v>NORCLEAN POWER LIQUIDO POLIDOR N. 03 NORTON</v>
          </cell>
          <cell r="D5297" t="str">
            <v>NORTON</v>
          </cell>
          <cell r="F5297" t="str">
            <v xml:space="preserve">LÍQUIDOS P/ POLIMENTO </v>
          </cell>
          <cell r="G5297" t="str">
            <v>AUTOMOTIVO</v>
          </cell>
        </row>
        <row r="5298">
          <cell r="A5298">
            <v>86915</v>
          </cell>
          <cell r="B5298" t="str">
            <v>PISO ESTRADO MODULAR PLASTICO EM PP 33X33CM PRETO</v>
          </cell>
          <cell r="D5298" t="str">
            <v>NA</v>
          </cell>
          <cell r="F5298" t="str">
            <v>PISO MODULADO</v>
          </cell>
          <cell r="G5298" t="str">
            <v>IMOBILIÁRIO</v>
          </cell>
        </row>
        <row r="5299">
          <cell r="A5299">
            <v>86916</v>
          </cell>
          <cell r="B5299" t="str">
            <v>PISO ESTRADO MODULAR PLASTICO EM PP 33X33CM VERMELHO</v>
          </cell>
          <cell r="D5299" t="str">
            <v>NA</v>
          </cell>
          <cell r="F5299" t="str">
            <v>PISO MODULADO</v>
          </cell>
          <cell r="G5299" t="str">
            <v>IMOBILIÁRIO</v>
          </cell>
        </row>
        <row r="5300">
          <cell r="A5300">
            <v>86917</v>
          </cell>
          <cell r="B5300" t="str">
            <v>PISO ESTRADO MODULAR RAMPA ACAB. MACHO PLASTICO EM PP 33X33CM PRETO</v>
          </cell>
          <cell r="D5300" t="str">
            <v>NA</v>
          </cell>
          <cell r="F5300" t="str">
            <v>PISO MODULADO</v>
          </cell>
          <cell r="G5300" t="str">
            <v>IMOBILIÁRIO</v>
          </cell>
        </row>
        <row r="5301">
          <cell r="A5301">
            <v>85386</v>
          </cell>
          <cell r="B5301" t="str">
            <v>SIKAFLEX BRANCO 400G TUBO SIKA</v>
          </cell>
          <cell r="D5301" t="str">
            <v>SIKA</v>
          </cell>
          <cell r="F5301" t="str">
            <v>SILICONE</v>
          </cell>
          <cell r="G5301" t="str">
            <v>AUTOMOTIVO</v>
          </cell>
        </row>
        <row r="5302">
          <cell r="A5302">
            <v>86919</v>
          </cell>
          <cell r="B5302" t="str">
            <v>TEXTURA LAMATO CRISTALLO PRETO BALDE 23KG MAZA</v>
          </cell>
          <cell r="D5302" t="str">
            <v>MAZA</v>
          </cell>
          <cell r="F5302" t="str">
            <v>PEDRAS NATURAIS</v>
          </cell>
          <cell r="G5302" t="str">
            <v>IMOBILIÁRIO</v>
          </cell>
        </row>
        <row r="5303">
          <cell r="A5303">
            <v>86875</v>
          </cell>
          <cell r="B5303" t="str">
            <v>ASSENTO SANITARIO SLIMFORTTE ALMOFADADO BRANCO</v>
          </cell>
          <cell r="D5303" t="str">
            <v>UNIFORTE</v>
          </cell>
          <cell r="F5303" t="str">
            <v>ASSENTOS / SIFÕES</v>
          </cell>
          <cell r="G5303" t="str">
            <v>IMOBILIÁRIO</v>
          </cell>
        </row>
        <row r="5304">
          <cell r="A5304">
            <v>86874</v>
          </cell>
          <cell r="B5304" t="str">
            <v>ASSENTO SANITARIO SLIMFORTTE SOPRADO BRANCO</v>
          </cell>
          <cell r="D5304" t="str">
            <v>UNIFORTE</v>
          </cell>
          <cell r="F5304" t="str">
            <v>ASSENTOS / SIFÕES</v>
          </cell>
          <cell r="G5304" t="str">
            <v>IMOBILIÁRIO</v>
          </cell>
        </row>
        <row r="5305">
          <cell r="A5305">
            <v>86877</v>
          </cell>
          <cell r="B5305" t="str">
            <v>SIFAO SANFONADO DUPLO BRANCO</v>
          </cell>
          <cell r="D5305" t="str">
            <v>UNIFORTE</v>
          </cell>
          <cell r="F5305" t="str">
            <v>ASSENTOS / SIFÕES</v>
          </cell>
          <cell r="G5305" t="str">
            <v>IMOBILIÁRIO</v>
          </cell>
        </row>
        <row r="5306">
          <cell r="A5306">
            <v>86876</v>
          </cell>
          <cell r="B5306" t="str">
            <v>SIFAO SANFONADO SIMPLES BRANCO</v>
          </cell>
          <cell r="D5306" t="str">
            <v>UNIFORTE</v>
          </cell>
          <cell r="F5306" t="str">
            <v>ASSENTOS / SIFÕES</v>
          </cell>
          <cell r="G5306" t="str">
            <v>IMOBILIÁRIO</v>
          </cell>
        </row>
        <row r="5307">
          <cell r="A5307">
            <v>86942</v>
          </cell>
          <cell r="B5307" t="str">
            <v>ESMALTE SINT EXTRA RAPIDO SEMI-FOSCO PRETO 3,6L BRASILUX</v>
          </cell>
          <cell r="D5307" t="str">
            <v>BRASILUX</v>
          </cell>
          <cell r="F5307" t="str">
            <v>ESMALTES</v>
          </cell>
          <cell r="G5307" t="str">
            <v>INDUSTRIAL</v>
          </cell>
        </row>
        <row r="5308">
          <cell r="A5308">
            <v>86941</v>
          </cell>
          <cell r="B5308" t="str">
            <v>ESMALTE SINT SECAGEM EXTRA RAPIDA ALUMINIO 3,6LT</v>
          </cell>
          <cell r="D5308" t="str">
            <v>BRASILUX</v>
          </cell>
          <cell r="F5308" t="str">
            <v>ESMALTES</v>
          </cell>
          <cell r="G5308" t="str">
            <v>INDUSTRIAL</v>
          </cell>
        </row>
        <row r="5309">
          <cell r="A5309">
            <v>86864</v>
          </cell>
          <cell r="B5309" t="str">
            <v>CORANTE LIQUIDO XADREZ OCRE 50ML</v>
          </cell>
          <cell r="D5309" t="str">
            <v>SHERWIN WILLIAMS</v>
          </cell>
          <cell r="F5309" t="str">
            <v>CORANTES</v>
          </cell>
          <cell r="G5309" t="str">
            <v>IMOBILIÁRIO</v>
          </cell>
        </row>
        <row r="5310">
          <cell r="A5310">
            <v>86938</v>
          </cell>
          <cell r="B5310" t="str">
            <v>DISCO DE CORTE CUB3 114.3X1X22.22MM 3M</v>
          </cell>
          <cell r="D5310" t="str">
            <v>3M</v>
          </cell>
          <cell r="F5310" t="str">
            <v xml:space="preserve">OUTROS DISCOS </v>
          </cell>
          <cell r="G5310" t="str">
            <v>AUTOMOTIVO</v>
          </cell>
        </row>
        <row r="5311">
          <cell r="A5311">
            <v>10014</v>
          </cell>
          <cell r="B5311" t="str">
            <v>LIXA DAGUA Nº 100 3M FL</v>
          </cell>
          <cell r="D5311" t="str">
            <v>3M</v>
          </cell>
          <cell r="F5311" t="str">
            <v>LIXA DÁGUA</v>
          </cell>
          <cell r="G5311" t="str">
            <v>AUTOMOTIVO</v>
          </cell>
        </row>
        <row r="5312">
          <cell r="A5312">
            <v>23654</v>
          </cell>
          <cell r="B5312" t="str">
            <v>KIT PU PRETO EBONY FORD 98 900ML WANDA</v>
          </cell>
          <cell r="D5312" t="str">
            <v>WANDA</v>
          </cell>
          <cell r="F5312" t="str">
            <v>TINTAS PU</v>
          </cell>
          <cell r="G5312" t="str">
            <v>AUTOMOTIVO</v>
          </cell>
        </row>
        <row r="5313">
          <cell r="A5313">
            <v>22662</v>
          </cell>
          <cell r="B5313" t="str">
            <v>FOLHA MULTI FLEX AMF 134X240 MUIFINA VINHO 3M</v>
          </cell>
          <cell r="D5313" t="str">
            <v>3M</v>
          </cell>
          <cell r="F5313" t="str">
            <v>OUTRAS FERRAMENTAS / EQUIPAMENTOS</v>
          </cell>
          <cell r="G5313" t="str">
            <v>AUTOMOTIVO</v>
          </cell>
        </row>
        <row r="5314">
          <cell r="A5314">
            <v>86938</v>
          </cell>
          <cell r="B5314" t="str">
            <v>DISCO DE CORTE CUB3 114.3X1X22.22MM 3M</v>
          </cell>
          <cell r="D5314" t="str">
            <v>3M</v>
          </cell>
          <cell r="F5314" t="str">
            <v xml:space="preserve">OUTROS DISCOS </v>
          </cell>
          <cell r="G5314" t="str">
            <v>AUTOMOTIVO</v>
          </cell>
        </row>
        <row r="5315">
          <cell r="A5315">
            <v>86871</v>
          </cell>
          <cell r="B5315" t="str">
            <v>DISOLAC BUMPER COLOR PRETO 900ML ROBERLO</v>
          </cell>
          <cell r="D5315" t="str">
            <v>ROBERLO</v>
          </cell>
          <cell r="F5315" t="str">
            <v>TINTAS POLIÉSTER</v>
          </cell>
          <cell r="G5315" t="str">
            <v>AUTOMOTIVO</v>
          </cell>
        </row>
        <row r="5316">
          <cell r="A5316">
            <v>21741</v>
          </cell>
          <cell r="B5316" t="str">
            <v>COLA PARA PARABRISA PRETO TUBO 280ML SOLUFIX</v>
          </cell>
          <cell r="D5316" t="str">
            <v>SOLUFIX</v>
          </cell>
          <cell r="F5316" t="str">
            <v>COLA INST./ ADESIVOS COLANTES</v>
          </cell>
          <cell r="G5316" t="str">
            <v>AUTOMOTIVO</v>
          </cell>
        </row>
        <row r="5317">
          <cell r="A5317">
            <v>21842</v>
          </cell>
          <cell r="B5317" t="str">
            <v>KIT PU BRANCO PURO 900ML WANDA</v>
          </cell>
          <cell r="D5317" t="str">
            <v>WANDA</v>
          </cell>
          <cell r="F5317" t="str">
            <v>TINTAS PU</v>
          </cell>
          <cell r="G5317" t="str">
            <v>AUTOMOTIVO</v>
          </cell>
        </row>
        <row r="5318">
          <cell r="A5318">
            <v>86921</v>
          </cell>
          <cell r="B5318" t="str">
            <v>VERNIZ 9500 ALTO SOLIDOS 2:1 4L WANDA</v>
          </cell>
          <cell r="D5318" t="str">
            <v>WANDA</v>
          </cell>
          <cell r="F5318" t="str">
            <v>VERNIZ AUTOMOTIVO</v>
          </cell>
          <cell r="G5318" t="str">
            <v>AUTOMOTIVO</v>
          </cell>
        </row>
        <row r="5319">
          <cell r="A5319">
            <v>20633</v>
          </cell>
          <cell r="B5319" t="str">
            <v>LIXA DAGUA T277 Nº 060 NORTON FL</v>
          </cell>
          <cell r="D5319" t="str">
            <v>NORTON</v>
          </cell>
          <cell r="F5319" t="str">
            <v>LIXA DÁGUA</v>
          </cell>
          <cell r="G5319" t="str">
            <v>AUTOMOTIVO</v>
          </cell>
        </row>
        <row r="5320">
          <cell r="A5320">
            <v>86939</v>
          </cell>
          <cell r="B5320" t="str">
            <v>ROLO PELE DE CARNEIRO EXTRA 23CM 322/22 ATLAS</v>
          </cell>
          <cell r="D5320" t="str">
            <v>ATLAS</v>
          </cell>
          <cell r="F5320" t="str">
            <v>ROLOS / TRINCHAS / PINCÉIS / ESPÁTULAS</v>
          </cell>
          <cell r="G5320" t="str">
            <v>IMOBILIÁRIO</v>
          </cell>
        </row>
        <row r="5321">
          <cell r="A5321">
            <v>22</v>
          </cell>
          <cell r="B5321" t="str">
            <v>ESPONJA ABRASIVA MEDIA (120/180) 3M FL</v>
          </cell>
          <cell r="D5321" t="str">
            <v>3M</v>
          </cell>
          <cell r="F5321" t="str">
            <v>OUTRAS FERRAMENTAS / EQUIPAMENTOS</v>
          </cell>
          <cell r="G5321" t="str">
            <v>AUTOMOTIVO</v>
          </cell>
        </row>
        <row r="5322">
          <cell r="A5322">
            <v>86890</v>
          </cell>
          <cell r="B5322" t="str">
            <v>IMPERMEABILIZANTE VEDALIT 900ML VEDACIT</v>
          </cell>
          <cell r="D5322" t="str">
            <v>VEDACIT</v>
          </cell>
          <cell r="F5322" t="str">
            <v>IMPERMEABILIZANTES</v>
          </cell>
          <cell r="G5322" t="str">
            <v>IMOBILIÁRIO</v>
          </cell>
        </row>
        <row r="5323">
          <cell r="A5323">
            <v>86889</v>
          </cell>
          <cell r="B5323" t="str">
            <v>IMPERMEABILIZANTE VEDALIT 3,6LT VEDACIT</v>
          </cell>
          <cell r="D5323" t="str">
            <v>VEDACIT</v>
          </cell>
          <cell r="F5323" t="str">
            <v>IMPERMEABILIZANTES</v>
          </cell>
          <cell r="G5323" t="str">
            <v>IMOBILIÁRIO</v>
          </cell>
        </row>
        <row r="5324">
          <cell r="A5324">
            <v>86891</v>
          </cell>
          <cell r="B5324" t="str">
            <v>IMPERMEABILIZANTE VEDAPREN PAREDE BRANCO BALDE 18KG VEDACIT</v>
          </cell>
          <cell r="D5324" t="str">
            <v>VEDACIT</v>
          </cell>
          <cell r="F5324" t="str">
            <v>IMPERMEABILIZANTES</v>
          </cell>
          <cell r="G5324" t="str">
            <v>IMOBILIÁRIO</v>
          </cell>
        </row>
        <row r="5325">
          <cell r="A5325">
            <v>86943</v>
          </cell>
          <cell r="B5325" t="str">
            <v>FUNDO PREPARADOR PAREDE BRANCO B'AGUA PRO 1000 BALDE 14LT BRASILUX</v>
          </cell>
          <cell r="D5325" t="str">
            <v>BRASILUX</v>
          </cell>
          <cell r="F5325" t="str">
            <v>IMPERMEABILIZANTES</v>
          </cell>
          <cell r="G5325" t="str">
            <v>IMOBILIÁRIO</v>
          </cell>
        </row>
        <row r="5326">
          <cell r="A5326">
            <v>86935</v>
          </cell>
          <cell r="B5326" t="str">
            <v>TINTA TECNICA ESPECIAL KIT PU LARANJA 2.5YR6/14 3,6L</v>
          </cell>
          <cell r="D5326" t="str">
            <v>BRASILUX</v>
          </cell>
          <cell r="F5326" t="str">
            <v>EPOXI</v>
          </cell>
          <cell r="G5326" t="str">
            <v>INDUSTRIAL</v>
          </cell>
        </row>
        <row r="5327">
          <cell r="A5327">
            <v>9762</v>
          </cell>
          <cell r="B5327" t="str">
            <v>MASSA POLYKIT IV 1,5KG SIKKENS CV</v>
          </cell>
          <cell r="D5327" t="str">
            <v>SIKKENS</v>
          </cell>
          <cell r="F5327" t="str">
            <v>MASSA POLIÉSTER</v>
          </cell>
          <cell r="G5327" t="str">
            <v>AUTOMOTIVO</v>
          </cell>
        </row>
        <row r="5328">
          <cell r="A5328">
            <v>86873</v>
          </cell>
          <cell r="B5328" t="str">
            <v>PALHA DE AÇO Nº 0</v>
          </cell>
          <cell r="D5328" t="str">
            <v>AÇO BOM</v>
          </cell>
          <cell r="F5328" t="str">
            <v>PALHA DE AÇO</v>
          </cell>
          <cell r="G5328" t="str">
            <v>IMOBILIÁRIO</v>
          </cell>
        </row>
        <row r="5329">
          <cell r="A5329">
            <v>86951</v>
          </cell>
          <cell r="B5329" t="str">
            <v>BRASILINE ESMALTE BRANCO PURO N9,5 3,6L BRASILUX</v>
          </cell>
          <cell r="D5329" t="str">
            <v>BRASILUX</v>
          </cell>
          <cell r="F5329" t="str">
            <v>ESMALTES</v>
          </cell>
          <cell r="G5329" t="str">
            <v>INDUSTRIAL</v>
          </cell>
        </row>
        <row r="5330">
          <cell r="A5330">
            <v>86863</v>
          </cell>
          <cell r="B5330" t="str">
            <v>CORANTE LIQUIDO XADREZ AZUL 50ML</v>
          </cell>
          <cell r="D5330" t="str">
            <v>SHERWIN WILLIAMS</v>
          </cell>
          <cell r="F5330" t="str">
            <v>CORANTES</v>
          </cell>
          <cell r="G5330" t="str">
            <v>IMOBILIÁRIO</v>
          </cell>
        </row>
        <row r="5331">
          <cell r="A5331">
            <v>86928</v>
          </cell>
          <cell r="B5331" t="str">
            <v>ESCADA DE ALUMINIO C/ 5 DEGRAUS</v>
          </cell>
          <cell r="D5331" t="str">
            <v>BOTAFOGO</v>
          </cell>
          <cell r="F5331" t="str">
            <v>ESCADA</v>
          </cell>
          <cell r="G5331" t="str">
            <v>IMOBILIÁRIO</v>
          </cell>
        </row>
        <row r="5332">
          <cell r="A5332">
            <v>86929</v>
          </cell>
          <cell r="B5332" t="str">
            <v>ESCADA DE ALUMINIO C/ 6 DEGRAUS</v>
          </cell>
          <cell r="D5332" t="str">
            <v>BOTAFOGO</v>
          </cell>
          <cell r="F5332" t="str">
            <v>ESCADA</v>
          </cell>
          <cell r="G5332" t="str">
            <v>IMOBILIÁRIO</v>
          </cell>
        </row>
        <row r="5333">
          <cell r="A5333">
            <v>86930</v>
          </cell>
          <cell r="B5333" t="str">
            <v>ESCADA DE ALUMINIO C/ 8 DEGRAUS</v>
          </cell>
          <cell r="D5333" t="str">
            <v>BOTAFOGO</v>
          </cell>
          <cell r="F5333" t="str">
            <v>ESCADA</v>
          </cell>
          <cell r="G5333" t="str">
            <v>IMOBILIÁRIO</v>
          </cell>
        </row>
        <row r="5334">
          <cell r="A5334">
            <v>86931</v>
          </cell>
          <cell r="B5334" t="str">
            <v>ESCADA EXTENSIVA DE ALUMINIO 7X2 DEGRAUS</v>
          </cell>
          <cell r="D5334" t="str">
            <v>BOTAFOGO</v>
          </cell>
          <cell r="F5334" t="str">
            <v>ESCADA</v>
          </cell>
          <cell r="G5334" t="str">
            <v>IMOBILIÁRIO</v>
          </cell>
        </row>
        <row r="5335">
          <cell r="A5335">
            <v>86944</v>
          </cell>
          <cell r="B5335" t="str">
            <v>ESMALTE SINT EXTRA RAPIDO SEMI-FOSCO PRETO 900ML BRASILUX</v>
          </cell>
          <cell r="D5335" t="str">
            <v>BRASILUX</v>
          </cell>
          <cell r="F5335" t="str">
            <v>ESMALTES</v>
          </cell>
          <cell r="G5335" t="str">
            <v>INDUSTRIAL</v>
          </cell>
        </row>
        <row r="5336">
          <cell r="A5336">
            <v>86964</v>
          </cell>
          <cell r="B5336" t="str">
            <v>HYDROX FAST 500ML VONIXX</v>
          </cell>
          <cell r="D5336" t="str">
            <v>VONIXX</v>
          </cell>
          <cell r="F5336" t="str">
            <v>LINHA DE HIGENIZAÇÃO E ESTÉTICA  AUTOMOTIVA</v>
          </cell>
          <cell r="G5336" t="str">
            <v>AUTOMOTIVO</v>
          </cell>
        </row>
        <row r="5337">
          <cell r="A5337">
            <v>10261</v>
          </cell>
          <cell r="B5337" t="str">
            <v>LIXA FERRO N.80 NORTON</v>
          </cell>
          <cell r="D5337" t="str">
            <v>NORTON</v>
          </cell>
          <cell r="F5337" t="str">
            <v>LIXA FERRO</v>
          </cell>
          <cell r="G5337" t="str">
            <v>AUTOMOTIVO</v>
          </cell>
        </row>
        <row r="5338">
          <cell r="A5338">
            <v>86878</v>
          </cell>
          <cell r="B5338" t="str">
            <v>FITA MULTIUSO 10CM ROLO 10MT VEDACIT</v>
          </cell>
          <cell r="D5338" t="str">
            <v>VEDACIT</v>
          </cell>
          <cell r="F5338" t="str">
            <v>IMPERMEABILIZANTES</v>
          </cell>
          <cell r="G5338" t="str">
            <v>AUTOMOTIVO</v>
          </cell>
        </row>
        <row r="5339">
          <cell r="A5339">
            <v>86884</v>
          </cell>
          <cell r="B5339" t="str">
            <v>PRIMER ASFASLTICO BASE AGUA 900ML VEDACIT</v>
          </cell>
          <cell r="D5339" t="str">
            <v>VEDACIT</v>
          </cell>
          <cell r="F5339" t="str">
            <v>IMPERMEABILIZANTES</v>
          </cell>
          <cell r="G5339" t="str">
            <v>AUTOMOTIVO</v>
          </cell>
        </row>
        <row r="5340">
          <cell r="A5340">
            <v>86971</v>
          </cell>
          <cell r="B5340" t="str">
            <v>TORNEIRA COZINHA PVC 15CM 1/2 BRANCA HERC</v>
          </cell>
          <cell r="D5340" t="str">
            <v>HERC</v>
          </cell>
          <cell r="F5340" t="str">
            <v>TORNEIRAS / DUCHAS</v>
          </cell>
          <cell r="G5340" t="str">
            <v>IMOBILIÁRIO</v>
          </cell>
        </row>
        <row r="5341">
          <cell r="A5341">
            <v>86975</v>
          </cell>
          <cell r="B5341" t="str">
            <v>CHUVEIRO PVC 8  C/ BRAÇO S/ REGISTRO 30CM 1/2 BRANCO HERC</v>
          </cell>
          <cell r="D5341" t="str">
            <v>HERC</v>
          </cell>
          <cell r="F5341" t="str">
            <v>TORNEIRAS / DUCHAS</v>
          </cell>
          <cell r="G5341" t="str">
            <v>IMOBILIÁRIO</v>
          </cell>
        </row>
        <row r="5342">
          <cell r="A5342">
            <v>86967</v>
          </cell>
          <cell r="B5342" t="str">
            <v>TORNEIRA JARDIM PVC C/ ADAPTADOR P/ 3/4 PRETA HERC</v>
          </cell>
          <cell r="D5342" t="str">
            <v>HERC</v>
          </cell>
          <cell r="F5342" t="str">
            <v>TORNEIRAS / DUCHAS</v>
          </cell>
          <cell r="G5342" t="str">
            <v>IMOBILIÁRIO</v>
          </cell>
        </row>
        <row r="5343">
          <cell r="A5343">
            <v>86977</v>
          </cell>
          <cell r="B5343" t="str">
            <v>TORNEIRA TANQUE/MAQUINA DE LAVAR ABS C/ BICO SICILIA BRANCA HERC</v>
          </cell>
          <cell r="D5343" t="str">
            <v>HERC</v>
          </cell>
          <cell r="F5343" t="str">
            <v>TORNEIRAS / DUCHAS</v>
          </cell>
          <cell r="G5343" t="str">
            <v>IMOBILIÁRIO</v>
          </cell>
        </row>
        <row r="5344">
          <cell r="A5344">
            <v>86947</v>
          </cell>
          <cell r="B5344" t="str">
            <v>ADAPTADOR C/ ROSCA MACHO 1/4  P/ MANGUEIRA 5/16  AD657M5/16</v>
          </cell>
          <cell r="D5344" t="str">
            <v>SCHWERS</v>
          </cell>
          <cell r="F5344" t="str">
            <v>TORNEIRAS / DUCHAS</v>
          </cell>
          <cell r="G5344" t="str">
            <v>IMOBILIÁRIO</v>
          </cell>
        </row>
        <row r="5345">
          <cell r="A5345">
            <v>86946</v>
          </cell>
          <cell r="B5345" t="str">
            <v>ADAPTADOR C/ ROSCA FEMEA 1/4  P/ MANGUEIRA 5/16  AD657F</v>
          </cell>
          <cell r="D5345" t="str">
            <v>SCHWERS</v>
          </cell>
          <cell r="F5345" t="str">
            <v>APLICADORES / ADAPTADORES / ENGATES / SUPORTES</v>
          </cell>
          <cell r="G5345" t="str">
            <v>IMOBILIÁRIO</v>
          </cell>
        </row>
        <row r="5346">
          <cell r="A5346">
            <v>20318</v>
          </cell>
          <cell r="B5346" t="str">
            <v>LAZZUDUR POLIESTER BRANCO BANCHISA LISA 900ML</v>
          </cell>
          <cell r="D5346" t="str">
            <v>SHERWIN WILLIAMS</v>
          </cell>
          <cell r="F5346" t="str">
            <v>TINTAS POLIÉSTER</v>
          </cell>
          <cell r="G5346" t="str">
            <v>AUTOMOTIVO</v>
          </cell>
        </row>
        <row r="5347">
          <cell r="A5347">
            <v>86983</v>
          </cell>
          <cell r="B5347" t="str">
            <v>FUNDO PREPARADOR PAREDE BRANCO B'AGUA PRO 1000 3,6LT BRASILUX</v>
          </cell>
          <cell r="D5347" t="str">
            <v>BRASILUX</v>
          </cell>
          <cell r="F5347" t="str">
            <v>SELADOR ACRÍLICO</v>
          </cell>
          <cell r="G5347" t="str">
            <v>IMOBILIÁRIO</v>
          </cell>
        </row>
        <row r="5348">
          <cell r="A5348">
            <v>86880</v>
          </cell>
          <cell r="B5348" t="str">
            <v>FITA MULTIUSO 20CM ROLO 10MT VEDACIT</v>
          </cell>
          <cell r="D5348" t="str">
            <v>VEDACIT</v>
          </cell>
          <cell r="F5348" t="str">
            <v>IMPERMEABILIZANTES</v>
          </cell>
          <cell r="G5348" t="str">
            <v>IMOBILIÁRIO</v>
          </cell>
        </row>
        <row r="5349">
          <cell r="A5349">
            <v>86952</v>
          </cell>
          <cell r="B5349" t="str">
            <v>BRASILINE ESMALTE SUPER RAPIDO CINZA ESCURO 3,6L BRASILUX</v>
          </cell>
          <cell r="D5349" t="str">
            <v>BRASILUX</v>
          </cell>
          <cell r="F5349" t="str">
            <v>ESMALTES</v>
          </cell>
          <cell r="G5349" t="str">
            <v>INDUSTRIAL</v>
          </cell>
        </row>
        <row r="5350">
          <cell r="A5350">
            <v>86940</v>
          </cell>
          <cell r="B5350" t="str">
            <v>BROXA PINTURA REDONDA 75MM 799 ATLAS</v>
          </cell>
          <cell r="D5350" t="str">
            <v>ATLAS</v>
          </cell>
          <cell r="F5350" t="str">
            <v>ROLOS / TRINCHAS / PINCÉIS / ESPÁTULAS</v>
          </cell>
          <cell r="G5350" t="str">
            <v>IMOBILIÁRIO</v>
          </cell>
        </row>
        <row r="5351">
          <cell r="A5351">
            <v>23057</v>
          </cell>
          <cell r="B5351" t="str">
            <v>JOGO ESCOVA DE CARVAO GGS/GPO/GWS 127/220V DEWALT</v>
          </cell>
          <cell r="D5351" t="str">
            <v>VONDER</v>
          </cell>
          <cell r="F5351" t="str">
            <v>APLICADORES / ADAPTADORES / ENGATES / SUPORTES</v>
          </cell>
          <cell r="G5351" t="str">
            <v>AUTOMOTIVO</v>
          </cell>
        </row>
        <row r="5352">
          <cell r="A5352">
            <v>86965</v>
          </cell>
          <cell r="B5352" t="str">
            <v>FOCUS 240ML VONIXX</v>
          </cell>
          <cell r="D5352" t="str">
            <v>VONIXX</v>
          </cell>
          <cell r="F5352" t="str">
            <v>LINHA DE HIGENIZAÇÃO E ESTÉTICA  AUTOMOTIVA</v>
          </cell>
          <cell r="G5352" t="str">
            <v>AUTOMOTIVO</v>
          </cell>
        </row>
        <row r="5353">
          <cell r="A5353">
            <v>86927</v>
          </cell>
          <cell r="B5353" t="str">
            <v>ESCADA DE ALUMINIO C/ 4 DEGRAUS</v>
          </cell>
          <cell r="D5353" t="str">
            <v>BOTAFOGO</v>
          </cell>
          <cell r="F5353" t="str">
            <v>ESCADA</v>
          </cell>
          <cell r="G5353" t="str">
            <v>IMOBILIÁRIO</v>
          </cell>
        </row>
        <row r="5354">
          <cell r="A5354">
            <v>86984</v>
          </cell>
          <cell r="B5354" t="str">
            <v>PISTOLA AR DIRETO MODELO 90 USO GERAL ARPREX</v>
          </cell>
          <cell r="D5354" t="str">
            <v>ARPREX</v>
          </cell>
          <cell r="F5354" t="str">
            <v>PISTOLAS</v>
          </cell>
          <cell r="G5354" t="str">
            <v>IMOBILIÁRIO</v>
          </cell>
        </row>
        <row r="5355">
          <cell r="A5355">
            <v>21133</v>
          </cell>
          <cell r="B5355" t="str">
            <v>ESPIGÃO PARA MANGUEIRA MACHO PURFLEX</v>
          </cell>
          <cell r="D5355" t="str">
            <v>PURPLEX</v>
          </cell>
          <cell r="F5355" t="str">
            <v>APLICADORES / ADAPTADORES / ENGATES / SUPORTES</v>
          </cell>
          <cell r="G5355" t="str">
            <v>AUTOMOTIVO</v>
          </cell>
        </row>
        <row r="5356">
          <cell r="A5356">
            <v>86925</v>
          </cell>
          <cell r="B5356" t="str">
            <v>ESCADA BANQUETA DE ALUMINIO C/ 3 DEGRAUS</v>
          </cell>
          <cell r="D5356" t="str">
            <v>BOTAFOGO</v>
          </cell>
          <cell r="F5356" t="str">
            <v>ESCADA</v>
          </cell>
          <cell r="G5356" t="str">
            <v>IMOBILIÁRIO</v>
          </cell>
        </row>
        <row r="5357">
          <cell r="A5357">
            <v>86988</v>
          </cell>
          <cell r="B5357" t="str">
            <v>TEXTURA ACRILICA AREIA BALDE 25KG MISTERCYL</v>
          </cell>
          <cell r="D5357" t="str">
            <v>MISTERCRYL</v>
          </cell>
          <cell r="F5357" t="str">
            <v>TEXTURA</v>
          </cell>
          <cell r="G5357" t="str">
            <v>IMOBILIÁRIO</v>
          </cell>
        </row>
        <row r="5358">
          <cell r="A5358">
            <v>21090</v>
          </cell>
          <cell r="B5358" t="str">
            <v>COADOR DESCARTAVEL SHERWIN WILLIANS FL</v>
          </cell>
          <cell r="D5358" t="str">
            <v>SHERWIN WILLIAMS</v>
          </cell>
          <cell r="F5358" t="str">
            <v>COADORES</v>
          </cell>
          <cell r="G5358" t="str">
            <v>AUTOMOTIVO</v>
          </cell>
        </row>
        <row r="5359">
          <cell r="A5359">
            <v>86962</v>
          </cell>
          <cell r="B5359" t="str">
            <v>TRYON 500ML VONIXX</v>
          </cell>
          <cell r="D5359" t="str">
            <v>VONIXX</v>
          </cell>
          <cell r="F5359" t="str">
            <v>LINHA DE HIGENIZAÇÃO E ESTÉTICA  AUTOMOTIVA</v>
          </cell>
          <cell r="G5359" t="str">
            <v>AUTOMOTIVO</v>
          </cell>
        </row>
        <row r="5360">
          <cell r="A5360">
            <v>23708</v>
          </cell>
          <cell r="B5360" t="str">
            <v>COLA PARA PARABRISA PRETO SACHE 600ML SOLUFIX</v>
          </cell>
          <cell r="D5360" t="str">
            <v>SOLUFIX</v>
          </cell>
          <cell r="F5360" t="str">
            <v>COLA INST./ ADESIVOS COLANTES</v>
          </cell>
          <cell r="G5360" t="str">
            <v>AUTOMOTIVO</v>
          </cell>
        </row>
        <row r="5361">
          <cell r="A5361">
            <v>87007</v>
          </cell>
          <cell r="B5361" t="str">
            <v>BRASINIL ALGODÃO EGÍPICIO BALDE 18L BRASILUX</v>
          </cell>
          <cell r="D5361" t="str">
            <v>BRASILUX</v>
          </cell>
          <cell r="F5361" t="str">
            <v>TINTA PAREDE</v>
          </cell>
          <cell r="G5361" t="str">
            <v>IMOBILIÁRIO</v>
          </cell>
        </row>
        <row r="5362">
          <cell r="A5362">
            <v>86974</v>
          </cell>
          <cell r="B5362" t="str">
            <v>CHUVEIRO PVC 5  C/ BRAÇO S/ REGISTRO 30CM 1/2 BRANCO HERC</v>
          </cell>
          <cell r="D5362" t="str">
            <v>HERC</v>
          </cell>
          <cell r="F5362" t="str">
            <v>TORNEIRAS / DUCHAS</v>
          </cell>
          <cell r="G5362" t="str">
            <v>IMOBILIÁRIO</v>
          </cell>
        </row>
        <row r="5363">
          <cell r="A5363">
            <v>86995</v>
          </cell>
          <cell r="B5363" t="str">
            <v>FLANELA MICROFIBRA 40X60 COM COSTURA AMARELA AUTOAMERICA</v>
          </cell>
          <cell r="D5363" t="str">
            <v>AUTOAMERICA</v>
          </cell>
          <cell r="F5363" t="str">
            <v>FLANELAS / PANOS</v>
          </cell>
          <cell r="G5363" t="str">
            <v>AUTOMOTIVO</v>
          </cell>
        </row>
        <row r="5364">
          <cell r="A5364">
            <v>86888</v>
          </cell>
          <cell r="B5364" t="str">
            <v>IMPERMEABILIZANTE VEDALIT BALDE 18LT VEDACIT</v>
          </cell>
          <cell r="D5364" t="str">
            <v>VEDACIT</v>
          </cell>
          <cell r="F5364" t="str">
            <v>IMPERMEABILIZANTES</v>
          </cell>
          <cell r="G5364" t="str">
            <v>IMOBILIÁRIO</v>
          </cell>
        </row>
        <row r="5365">
          <cell r="A5365">
            <v>21782</v>
          </cell>
          <cell r="B5365" t="str">
            <v>LAZZUDUR POLIESTER BRANCO POLAR LISA 900ML</v>
          </cell>
          <cell r="D5365" t="str">
            <v>SHERWIN WILLIAMS</v>
          </cell>
          <cell r="F5365" t="str">
            <v>TINTAS POLIÉSTER</v>
          </cell>
          <cell r="G5365" t="str">
            <v>AUTOMOTIVO</v>
          </cell>
        </row>
        <row r="5366">
          <cell r="A5366">
            <v>23760</v>
          </cell>
          <cell r="B5366" t="str">
            <v>LAZZUDUR POLIESTER PRATA BARI V MET 619A 900ML</v>
          </cell>
          <cell r="D5366" t="str">
            <v>SHERWIN WILLIAMS</v>
          </cell>
          <cell r="F5366" t="str">
            <v>TINTAS POLIÉSTER</v>
          </cell>
          <cell r="G5366" t="str">
            <v>AUTOMOTIVO</v>
          </cell>
        </row>
        <row r="5367">
          <cell r="A5367">
            <v>20846</v>
          </cell>
          <cell r="B5367" t="str">
            <v>LAZZUDUR POLIESTER PRATA SIRIUS MET</v>
          </cell>
          <cell r="D5367" t="str">
            <v>SHERWIN WILLIAMS</v>
          </cell>
          <cell r="F5367" t="str">
            <v>TINTAS POLIÉSTER</v>
          </cell>
          <cell r="G5367" t="str">
            <v>AUTOMOTIVO</v>
          </cell>
        </row>
        <row r="5368">
          <cell r="A5368">
            <v>86968</v>
          </cell>
          <cell r="B5368" t="str">
            <v>TORNEIRA MULTI-USO PVC 15CM 1/2 BRANCA HERC</v>
          </cell>
          <cell r="D5368" t="str">
            <v>HERC</v>
          </cell>
          <cell r="F5368" t="str">
            <v>TORNEIRAS / DUCHAS</v>
          </cell>
          <cell r="G5368" t="str">
            <v>IMOBILIÁRIO</v>
          </cell>
        </row>
        <row r="5369">
          <cell r="A5369">
            <v>86969</v>
          </cell>
          <cell r="B5369" t="str">
            <v>TORNEIRA TANQUE PVC 10CM 1/2 BRANCA HERC</v>
          </cell>
          <cell r="D5369" t="str">
            <v>HERC</v>
          </cell>
          <cell r="F5369" t="str">
            <v>TORNEIRAS / DUCHAS</v>
          </cell>
          <cell r="G5369" t="str">
            <v>IMOBILIÁRIO</v>
          </cell>
        </row>
        <row r="5370">
          <cell r="A5370">
            <v>87000</v>
          </cell>
          <cell r="B5370" t="str">
            <v>MASSA POLIESTER 750G WANDA</v>
          </cell>
          <cell r="D5370" t="str">
            <v>WANDA</v>
          </cell>
          <cell r="F5370" t="str">
            <v>MASSA POLIÉSTER</v>
          </cell>
          <cell r="G5370" t="str">
            <v>AUTOMOTIVO</v>
          </cell>
        </row>
        <row r="5371">
          <cell r="A5371">
            <v>86982</v>
          </cell>
          <cell r="B5371" t="str">
            <v>ASPIRADOR PÓ E AGUA 12L WDL 1S 220V KARCHER</v>
          </cell>
          <cell r="D5371" t="str">
            <v>KARCHER</v>
          </cell>
          <cell r="F5371" t="str">
            <v>LINHA DE HIGENIZAÇÃO E ESTÉTICA  AUTOMOTIVA</v>
          </cell>
          <cell r="G5371" t="str">
            <v>AUTOMOTIVO</v>
          </cell>
        </row>
        <row r="5372">
          <cell r="A5372">
            <v>86886</v>
          </cell>
          <cell r="B5372" t="str">
            <v>IMPERMEABILIZANTE VEDACIT 3,6LT VEDACIT</v>
          </cell>
          <cell r="D5372" t="str">
            <v>VEDACIT</v>
          </cell>
          <cell r="F5372" t="str">
            <v>IMPERMEABILIZANTES</v>
          </cell>
          <cell r="G5372" t="str">
            <v>IMOBILIÁRIO</v>
          </cell>
        </row>
        <row r="5373">
          <cell r="A5373">
            <v>86992</v>
          </cell>
          <cell r="B5373" t="str">
            <v>TEXTURA ACRILICA BRANCA BALDE 25KG MISTERCYL</v>
          </cell>
          <cell r="D5373" t="str">
            <v>MISTERCRYL</v>
          </cell>
          <cell r="F5373" t="str">
            <v>TEXTURA</v>
          </cell>
          <cell r="G5373" t="str">
            <v>IMOBILIÁRIO</v>
          </cell>
        </row>
        <row r="5374">
          <cell r="A5374">
            <v>86987</v>
          </cell>
          <cell r="B5374" t="str">
            <v>HYDROX WASH 240ML VONIXX</v>
          </cell>
          <cell r="D5374" t="str">
            <v>VONIXX</v>
          </cell>
          <cell r="F5374" t="str">
            <v>LINHA DE HIGENIZAÇÃO E ESTÉTICA  AUTOMOTIVA</v>
          </cell>
          <cell r="G5374" t="str">
            <v>AUTOMOTIVO</v>
          </cell>
        </row>
        <row r="5375">
          <cell r="A5375">
            <v>86981</v>
          </cell>
          <cell r="B5375" t="str">
            <v>ASPIRADOR PÓ E AGUA PROFISSIONAL 20L NT 2000 220V KARCHER</v>
          </cell>
          <cell r="D5375" t="str">
            <v>KARCHER</v>
          </cell>
          <cell r="F5375" t="str">
            <v>LINHA DE HIGENIZAÇÃO E ESTÉTICA  AUTOMOTIVA</v>
          </cell>
          <cell r="G5375" t="str">
            <v>AUTOMOTIVO</v>
          </cell>
        </row>
        <row r="5376">
          <cell r="A5376">
            <v>87003</v>
          </cell>
          <cell r="B5376" t="str">
            <v>PANO MULTIUSO 28CMX240M BRANCO INOVE</v>
          </cell>
          <cell r="D5376" t="str">
            <v>VABENNE</v>
          </cell>
          <cell r="F5376" t="str">
            <v>FLANELAS / PANOS</v>
          </cell>
          <cell r="G5376" t="str">
            <v>AUTOMOTIVO</v>
          </cell>
        </row>
        <row r="5377">
          <cell r="A5377">
            <v>87001</v>
          </cell>
          <cell r="B5377" t="str">
            <v>TINTA DEMARCACAO VIARIA - VERDE FOLHA 18L BRASILUX</v>
          </cell>
          <cell r="D5377" t="str">
            <v>BRASILUX</v>
          </cell>
          <cell r="F5377" t="str">
            <v>TINTA PARA PISO</v>
          </cell>
          <cell r="G5377" t="str">
            <v>IMOBILIÁRIO</v>
          </cell>
        </row>
        <row r="5378">
          <cell r="A5378">
            <v>86926</v>
          </cell>
          <cell r="B5378" t="str">
            <v>ESCADA DE ALUMINIO C/ 3 DEGRAUS BOTAFOGO</v>
          </cell>
          <cell r="D5378" t="str">
            <v>BOTAFOGO</v>
          </cell>
          <cell r="F5378" t="str">
            <v>ESCADA</v>
          </cell>
          <cell r="G5378" t="str">
            <v>IMOBILIÁRIO</v>
          </cell>
        </row>
        <row r="5379">
          <cell r="A5379">
            <v>86934</v>
          </cell>
          <cell r="B5379" t="str">
            <v>POLIDOR DE ALUMINIO 150G AUTO AMERICA</v>
          </cell>
          <cell r="D5379" t="str">
            <v>AUTOAMERICA</v>
          </cell>
          <cell r="F5379" t="str">
            <v>MASSA DE POLIR</v>
          </cell>
          <cell r="G5379" t="str">
            <v>AUTOMOTIVO</v>
          </cell>
        </row>
        <row r="5380">
          <cell r="A5380">
            <v>86882</v>
          </cell>
          <cell r="B5380" t="str">
            <v>FITA MULTIUSO 45CM ROLO 10MT VEDACIT</v>
          </cell>
          <cell r="D5380" t="str">
            <v>VEDACIT</v>
          </cell>
          <cell r="F5380" t="str">
            <v>IMPERMEABILIZANTES</v>
          </cell>
          <cell r="G5380" t="str">
            <v>IMOBILIÁRIO</v>
          </cell>
        </row>
        <row r="5381">
          <cell r="A5381">
            <v>21491</v>
          </cell>
          <cell r="B5381" t="str">
            <v>LIMA FUNILEIRO CORTE FINO 299B 350 H1 PFERD</v>
          </cell>
          <cell r="D5381" t="str">
            <v>PFERD</v>
          </cell>
          <cell r="F5381" t="str">
            <v>OUTRAS FERRAMENTAS / EQUIPAMENTOS</v>
          </cell>
          <cell r="G5381" t="str">
            <v>AUTOMOTIVO</v>
          </cell>
        </row>
        <row r="5382">
          <cell r="A5382">
            <v>86972</v>
          </cell>
          <cell r="B5382" t="str">
            <v>TORNEIRA ALAVANCA PVC 18CM 1/2 BRANCA HERC</v>
          </cell>
          <cell r="D5382" t="str">
            <v>HERC</v>
          </cell>
          <cell r="F5382" t="str">
            <v>TORNEIRAS / DUCHAS</v>
          </cell>
          <cell r="G5382" t="str">
            <v>IMOBILIÁRIO</v>
          </cell>
        </row>
        <row r="5383">
          <cell r="A5383">
            <v>21819</v>
          </cell>
          <cell r="B5383" t="str">
            <v>LAZZUDUR POLIESTER BRANCO ARTICO LISA 900ML</v>
          </cell>
          <cell r="D5383" t="str">
            <v>SHERWIN WILLIAMS</v>
          </cell>
          <cell r="F5383" t="str">
            <v>TINTAS POLIÉSTER</v>
          </cell>
          <cell r="G5383" t="str">
            <v>AUTOMOTIVO</v>
          </cell>
        </row>
        <row r="5384">
          <cell r="A5384">
            <v>20374</v>
          </cell>
          <cell r="B5384" t="str">
            <v>LAZZUDUR POLIESTER BRANCO GEADA LISA 900ML</v>
          </cell>
          <cell r="D5384" t="str">
            <v>SHERWIN WILLIAMS</v>
          </cell>
          <cell r="F5384" t="str">
            <v>TINTAS POLIÉSTER</v>
          </cell>
          <cell r="G5384" t="str">
            <v>AUTOMOTIVO</v>
          </cell>
        </row>
        <row r="5385">
          <cell r="A5385">
            <v>87005</v>
          </cell>
          <cell r="B5385" t="str">
            <v>FIBRA ABRASIVA POS OBRA 11,5X29MM AT95/40 ATLAS</v>
          </cell>
          <cell r="D5385" t="str">
            <v>ATLAS</v>
          </cell>
          <cell r="F5385" t="str">
            <v>ROLOS / TRINCHAS / PINCÉIS / ESPÁTULAS</v>
          </cell>
          <cell r="G5385" t="str">
            <v>IMOBILIÁRIO</v>
          </cell>
        </row>
        <row r="5386">
          <cell r="A5386">
            <v>20556</v>
          </cell>
          <cell r="B5386" t="str">
            <v>PANO PEGA POEIRA RENOVA</v>
          </cell>
          <cell r="D5386" t="str">
            <v>RENOVA</v>
          </cell>
          <cell r="F5386" t="str">
            <v>COADORES</v>
          </cell>
          <cell r="G5386" t="str">
            <v>AUTOMOTIVO</v>
          </cell>
        </row>
        <row r="5387">
          <cell r="A5387">
            <v>86892</v>
          </cell>
          <cell r="B5387" t="str">
            <v>IMPERMEABILIZANTE VEDAPREN PAREDE BRANCO 3,6KG VEDACIT</v>
          </cell>
          <cell r="D5387" t="str">
            <v>VEDACIT</v>
          </cell>
          <cell r="F5387" t="str">
            <v>IMPERMEABILIZANTES</v>
          </cell>
          <cell r="G5387" t="str">
            <v>IMOBILIÁRIO</v>
          </cell>
        </row>
        <row r="5388">
          <cell r="A5388">
            <v>86998</v>
          </cell>
          <cell r="B5388" t="str">
            <v>MARTELADO-CINZA CLARO 900L BRASILUX</v>
          </cell>
          <cell r="D5388" t="str">
            <v>BRASILUX</v>
          </cell>
          <cell r="F5388" t="str">
            <v>ESMALTES</v>
          </cell>
          <cell r="G5388" t="str">
            <v>INDUSTRIAL</v>
          </cell>
        </row>
        <row r="5389">
          <cell r="A5389">
            <v>87015</v>
          </cell>
          <cell r="B5389" t="str">
            <v>DESEMPENADEIRA ACO TEMPERADO LISA 12X25 133 ATLAS</v>
          </cell>
          <cell r="D5389" t="str">
            <v>ATLAS</v>
          </cell>
          <cell r="F5389" t="str">
            <v>ROLOS / TRINCHAS / PINCÉIS / ESPÁTULAS</v>
          </cell>
          <cell r="G5389" t="str">
            <v>IMOBILIÁRIO</v>
          </cell>
        </row>
        <row r="5390">
          <cell r="A5390">
            <v>86883</v>
          </cell>
          <cell r="B5390" t="str">
            <v>PRIMER ASFASLTICO BASE AGUA 3,6LT VEDACIT</v>
          </cell>
          <cell r="D5390" t="str">
            <v>VEDACIT</v>
          </cell>
          <cell r="F5390" t="str">
            <v>IMPERMEABILIZANTES</v>
          </cell>
          <cell r="G5390" t="str">
            <v>IMOBILIÁRIO</v>
          </cell>
        </row>
        <row r="5391">
          <cell r="A5391">
            <v>87034</v>
          </cell>
          <cell r="B5391" t="str">
            <v>TOQUE DE BRILHO LONDRES BALDE 25KG MISTERCRYL</v>
          </cell>
          <cell r="D5391" t="str">
            <v>MISTERCRYL</v>
          </cell>
          <cell r="F5391" t="str">
            <v>TINTA PAREDE</v>
          </cell>
          <cell r="G5391" t="str">
            <v>IMOBILIÁRIO</v>
          </cell>
        </row>
        <row r="5392">
          <cell r="A5392">
            <v>22598</v>
          </cell>
          <cell r="B5392" t="str">
            <v>LAVADORA ALTA PRESSAO PORTATIL 1400W 220V KARCHER</v>
          </cell>
          <cell r="D5392" t="str">
            <v>KARCHER</v>
          </cell>
          <cell r="F5392" t="str">
            <v>OUTRAS FERRAMENTAS / EQUIPAMENTOS</v>
          </cell>
          <cell r="G5392" t="str">
            <v>AUTOMOTIVO</v>
          </cell>
        </row>
        <row r="5393">
          <cell r="A5393">
            <v>86862</v>
          </cell>
          <cell r="B5393" t="str">
            <v>CORANTE LIQUIDO XADREZ LARANJA 50ML</v>
          </cell>
          <cell r="D5393" t="str">
            <v>SHERWIN WILLIAMS</v>
          </cell>
          <cell r="F5393" t="str">
            <v>CORANTES</v>
          </cell>
          <cell r="G5393" t="str">
            <v>IMOBILIÁRIO</v>
          </cell>
        </row>
        <row r="5394">
          <cell r="A5394">
            <v>87038</v>
          </cell>
          <cell r="B5394" t="str">
            <v>GRAFIATO ACRILICO BRANCO BALDE 25KG MISTERCRYL</v>
          </cell>
          <cell r="D5394" t="str">
            <v>MISTERCRYL</v>
          </cell>
          <cell r="F5394" t="str">
            <v>TEXTURA</v>
          </cell>
          <cell r="G5394" t="str">
            <v>IMOBILIÁRIO</v>
          </cell>
        </row>
        <row r="5395">
          <cell r="A5395">
            <v>87027</v>
          </cell>
          <cell r="B5395" t="str">
            <v>APLICADOR PNEUMATICO AIR POWER 600 P/ SACHE 600ML SOLUFIX</v>
          </cell>
          <cell r="D5395" t="str">
            <v>SOLUFIX</v>
          </cell>
          <cell r="F5395" t="str">
            <v>OUTRAS FERRAMENTAS / EQUIPAMENTOS</v>
          </cell>
          <cell r="G5395" t="str">
            <v>AUTOMOTIVO</v>
          </cell>
        </row>
        <row r="5396">
          <cell r="A5396">
            <v>87044</v>
          </cell>
          <cell r="B5396" t="str">
            <v>BP CINZA URANO VW 2001 900ML WANDA</v>
          </cell>
          <cell r="D5396" t="str">
            <v>WANDA</v>
          </cell>
          <cell r="F5396" t="str">
            <v>TINTAS POLIÉSTER</v>
          </cell>
          <cell r="G5396" t="str">
            <v>AUTOMOTIVO</v>
          </cell>
        </row>
        <row r="5397">
          <cell r="A5397">
            <v>86936</v>
          </cell>
          <cell r="B5397" t="str">
            <v>PISTOLA DE PINTURA PININFARINA LS-400ETS 1.30 ENTECH HLVP ANEST IWATA</v>
          </cell>
          <cell r="D5397" t="str">
            <v>ANEST</v>
          </cell>
          <cell r="F5397" t="str">
            <v>PISTOLAS</v>
          </cell>
          <cell r="G5397" t="str">
            <v>AUTOMOTIVO</v>
          </cell>
        </row>
        <row r="5398">
          <cell r="A5398">
            <v>20149</v>
          </cell>
          <cell r="B5398" t="str">
            <v>TINTA LACA NC BRANCO PURO 900ML ANJO</v>
          </cell>
          <cell r="D5398" t="str">
            <v>ANJO</v>
          </cell>
          <cell r="F5398" t="str">
            <v>TINTAS LACA</v>
          </cell>
          <cell r="G5398" t="str">
            <v>AUTOMOTIVO</v>
          </cell>
        </row>
        <row r="5399">
          <cell r="A5399">
            <v>86885</v>
          </cell>
          <cell r="B5399" t="str">
            <v>IMPERMEABILIZANTE VEDACIT BALDE 18LT VEDACIT</v>
          </cell>
          <cell r="D5399" t="str">
            <v>VEDACIT</v>
          </cell>
          <cell r="F5399" t="str">
            <v>IMPERMEABILIZANTES</v>
          </cell>
          <cell r="G5399" t="str">
            <v>IMOBILIÁRIO</v>
          </cell>
        </row>
        <row r="5400">
          <cell r="A5400">
            <v>86996</v>
          </cell>
          <cell r="B5400" t="str">
            <v>PISTOLA DE PINTURA PSG PN26832 3M</v>
          </cell>
          <cell r="D5400" t="str">
            <v>3M</v>
          </cell>
          <cell r="F5400" t="str">
            <v>PISTOLAS</v>
          </cell>
          <cell r="G5400" t="str">
            <v>AUTOMOTIVO</v>
          </cell>
        </row>
        <row r="5401">
          <cell r="A5401">
            <v>10376</v>
          </cell>
          <cell r="B5401" t="str">
            <v>SUPORTE P/ BOINA DE ESPUMA 7  SIGMA FL</v>
          </cell>
          <cell r="D5401" t="str">
            <v>SIGMA</v>
          </cell>
          <cell r="F5401" t="str">
            <v>OUTRAS FERRAMENTAS / EQUIPAMENTOS</v>
          </cell>
          <cell r="G5401" t="str">
            <v>AUTOMOTIVO</v>
          </cell>
        </row>
        <row r="5402">
          <cell r="A5402">
            <v>87052</v>
          </cell>
          <cell r="B5402" t="str">
            <v>ONE STEP 3 EM 1 1LT AUTO AMERICA</v>
          </cell>
          <cell r="D5402" t="str">
            <v>AUTOAMERICA</v>
          </cell>
          <cell r="F5402" t="str">
            <v>LINHA DE HIGENIZAÇÃO E ESTÉTICA  AUTOMOTIVA</v>
          </cell>
          <cell r="G5402" t="str">
            <v>AUTOMOTIVO</v>
          </cell>
        </row>
        <row r="5403">
          <cell r="A5403">
            <v>10059</v>
          </cell>
          <cell r="B5403" t="str">
            <v>DISCO DE CORTE FINO 3M FL</v>
          </cell>
          <cell r="D5403" t="str">
            <v>3M</v>
          </cell>
          <cell r="F5403" t="str">
            <v xml:space="preserve">OUTROS DISCOS </v>
          </cell>
          <cell r="G5403" t="str">
            <v>AUTOMOTIVO</v>
          </cell>
        </row>
        <row r="5404">
          <cell r="A5404">
            <v>87054</v>
          </cell>
          <cell r="B5404" t="str">
            <v>COMPRESSOR DE AR 15+PES BLUE RCH200L C/MM 3HP MONOFÁSICO 110/220V CHIAPERINI</v>
          </cell>
          <cell r="D5404" t="str">
            <v>CHIAPERINI</v>
          </cell>
          <cell r="F5404" t="str">
            <v>OUTRAS FERRAMENTAS / EQUIPAMENTOS</v>
          </cell>
          <cell r="G5404" t="str">
            <v>AUTOMOTIVO</v>
          </cell>
        </row>
        <row r="5405">
          <cell r="A5405">
            <v>87048</v>
          </cell>
          <cell r="B5405" t="str">
            <v>TACO LIXADOR MANUAL RETANGULAR EXTRA GRANDE EM E.V.A 70X280MM PURPLEX</v>
          </cell>
          <cell r="D5405" t="str">
            <v>PURPLEX</v>
          </cell>
          <cell r="F5405" t="str">
            <v>APLICADORES / ADAPTADORES / ENGATES / SUPORTES</v>
          </cell>
          <cell r="G5405" t="str">
            <v>AUTOMOTIVO</v>
          </cell>
        </row>
        <row r="5406">
          <cell r="A5406">
            <v>87100</v>
          </cell>
          <cell r="B5406" t="str">
            <v>PAINEL DE SECAGEM INFRA 6 LAMPADAS C/ TEMPORIZADOR 220V BAND</v>
          </cell>
          <cell r="D5406" t="str">
            <v>BAND</v>
          </cell>
          <cell r="F5406" t="str">
            <v>OUTRAS FERRAMENTAS / EQUIPAMENTOS</v>
          </cell>
          <cell r="G5406" t="str">
            <v>AUTOMOTIVO</v>
          </cell>
        </row>
        <row r="5407">
          <cell r="A5407">
            <v>87061</v>
          </cell>
          <cell r="B5407" t="str">
            <v>ALINHADOR DE MONOBLOCO 8 TON C/ PROLONGADOR 26 PÇS 4003 MARCON</v>
          </cell>
          <cell r="D5407" t="str">
            <v>MARCON</v>
          </cell>
          <cell r="F5407" t="str">
            <v>OUTRAS FERRAMENTAS / EQUIPAMENTOS</v>
          </cell>
          <cell r="G5407" t="str">
            <v>AUTOMOTIVO</v>
          </cell>
        </row>
        <row r="5408">
          <cell r="A5408">
            <v>87099</v>
          </cell>
          <cell r="B5408" t="str">
            <v>ESTICADOR HIDRAULICO 10 TON 12 PEÇAS MEH-10 MARCON</v>
          </cell>
          <cell r="D5408" t="str">
            <v>MARCON</v>
          </cell>
          <cell r="F5408" t="str">
            <v>OUTRAS FERRAMENTAS / EQUIPAMENTOS</v>
          </cell>
          <cell r="G5408" t="str">
            <v>AUTOMOTIVO</v>
          </cell>
        </row>
        <row r="5409">
          <cell r="A5409">
            <v>86976</v>
          </cell>
          <cell r="B5409" t="str">
            <v>BICO TORNEIRA JARDIM PVC C/ PORCA PRETA HERC</v>
          </cell>
          <cell r="D5409" t="str">
            <v>HERC</v>
          </cell>
          <cell r="F5409" t="str">
            <v>TORNEIRAS / DUCHAS</v>
          </cell>
          <cell r="G5409" t="str">
            <v>IMOBILIÁRIO</v>
          </cell>
        </row>
        <row r="5410">
          <cell r="A5410">
            <v>87004</v>
          </cell>
          <cell r="B5410" t="str">
            <v>FIBRA ABRASIVA ACABAMENTOS 11,5X29MM AT95/10 ATLAS</v>
          </cell>
          <cell r="D5410" t="str">
            <v>ATLAS</v>
          </cell>
          <cell r="F5410" t="str">
            <v>ROLOS / TRINCHAS / PINCÉIS / ESPÁTULAS</v>
          </cell>
          <cell r="G5410" t="str">
            <v>IMOBILIÁRIO</v>
          </cell>
        </row>
        <row r="5411">
          <cell r="A5411">
            <v>87043</v>
          </cell>
          <cell r="B5411" t="str">
            <v>MASSA XTRA PLUS LIGHT 900GR ROBERLO</v>
          </cell>
          <cell r="D5411" t="str">
            <v>ROBERLO</v>
          </cell>
          <cell r="F5411" t="str">
            <v>MASSA POLIÉSTER</v>
          </cell>
          <cell r="G5411" t="str">
            <v>AUTOMOTIVO</v>
          </cell>
        </row>
        <row r="5412">
          <cell r="A5412">
            <v>87010</v>
          </cell>
          <cell r="B5412" t="str">
            <v>SUPORTE DISCO LIXA 4,5  RÍGIDO M14 DEWALT</v>
          </cell>
          <cell r="D5412" t="str">
            <v>DEWALT</v>
          </cell>
          <cell r="F5412" t="str">
            <v>OUTRAS FERRAMENTAS / EQUIPAMENTOS</v>
          </cell>
          <cell r="G5412" t="str">
            <v>AUTOMOTIVO</v>
          </cell>
        </row>
        <row r="5413">
          <cell r="A5413">
            <v>86879</v>
          </cell>
          <cell r="B5413" t="str">
            <v>FITA MULTIUSO 15CM ROLO 10MT VEDACIT</v>
          </cell>
          <cell r="D5413" t="str">
            <v>VEDACIT</v>
          </cell>
          <cell r="F5413" t="str">
            <v>IMPERMEABILIZANTES</v>
          </cell>
          <cell r="G5413" t="str">
            <v>IMOBILIÁRIO</v>
          </cell>
        </row>
        <row r="5414">
          <cell r="A5414">
            <v>86881</v>
          </cell>
          <cell r="B5414" t="str">
            <v>FITA MULTIUSO 30CM ROLO 10MT VEDACIT</v>
          </cell>
          <cell r="D5414" t="str">
            <v>VEDACIT</v>
          </cell>
          <cell r="F5414" t="str">
            <v>IMPERMEABILIZANTES</v>
          </cell>
          <cell r="G5414" t="str">
            <v>IMOBILIÁRIO</v>
          </cell>
        </row>
        <row r="5415">
          <cell r="A5415">
            <v>86985</v>
          </cell>
          <cell r="B5415" t="str">
            <v>REDUTOR DE IMPACTO/INTERFACE 5  VONIXX</v>
          </cell>
          <cell r="D5415" t="str">
            <v>VONIXX</v>
          </cell>
          <cell r="F5415" t="str">
            <v>LINHA DE HIGENIZAÇÃO E ESTÉTICA  AUTOMOTIVA</v>
          </cell>
          <cell r="G5415" t="str">
            <v>AUTOMOTIVO</v>
          </cell>
        </row>
        <row r="5416">
          <cell r="A5416">
            <v>87031</v>
          </cell>
          <cell r="B5416" t="str">
            <v>STAIN PROTETOR PARA MADEIRA FUNGOFF IMBUIA 3,6 LT BRASILUX</v>
          </cell>
          <cell r="D5416" t="str">
            <v>BRASILUX</v>
          </cell>
          <cell r="F5416" t="str">
            <v>MOVELEIRA</v>
          </cell>
          <cell r="G5416" t="str">
            <v>MOVELEIRA</v>
          </cell>
        </row>
        <row r="5417">
          <cell r="A5417">
            <v>87030</v>
          </cell>
          <cell r="B5417" t="str">
            <v>STAIN PROTETOR PARA MADEIRA FUNGOFF NATURAL 3,6 LT BRASILUX</v>
          </cell>
          <cell r="D5417" t="str">
            <v>BRASILUX</v>
          </cell>
          <cell r="F5417" t="str">
            <v>MOVELEIRA</v>
          </cell>
          <cell r="G5417" t="str">
            <v>MOVELEIRA</v>
          </cell>
        </row>
        <row r="5418">
          <cell r="A5418">
            <v>87080</v>
          </cell>
          <cell r="B5418" t="str">
            <v>ESMALTE SINT EXTRA RAPIDO IMERSAO VERMELHO EXTINTOR 18L BRASILUX</v>
          </cell>
          <cell r="D5418" t="str">
            <v>BRASILUX</v>
          </cell>
          <cell r="F5418" t="str">
            <v>ESMALTES</v>
          </cell>
          <cell r="G5418" t="str">
            <v>INDUSTRIAL</v>
          </cell>
        </row>
        <row r="5419">
          <cell r="A5419">
            <v>87057</v>
          </cell>
          <cell r="B5419" t="str">
            <v>BRASILINE ESMALTE AMARELO CAT 81 3,6L BRASILUX</v>
          </cell>
          <cell r="D5419" t="str">
            <v>BRASILUX</v>
          </cell>
          <cell r="F5419" t="str">
            <v>ESMALTES</v>
          </cell>
          <cell r="G5419" t="str">
            <v>INDUSTRIAL</v>
          </cell>
        </row>
        <row r="5420">
          <cell r="A5420">
            <v>84678</v>
          </cell>
          <cell r="B5420" t="str">
            <v>PISTOLA DE PINTURA GRAV. HVLP 1.4MM PDR</v>
          </cell>
          <cell r="D5420" t="str">
            <v>PDR</v>
          </cell>
          <cell r="F5420" t="str">
            <v>PISTOLAS</v>
          </cell>
          <cell r="G5420" t="str">
            <v>AUTOMOTIVO</v>
          </cell>
        </row>
        <row r="5421">
          <cell r="A5421">
            <v>87021</v>
          </cell>
          <cell r="B5421" t="str">
            <v>ACIDUS PRO 1,5L VONIXX</v>
          </cell>
          <cell r="D5421" t="str">
            <v>VONIXX</v>
          </cell>
          <cell r="F5421" t="str">
            <v>LINHA DE HIGENIZAÇÃO E ESTÉTICA  AUTOMOTIVA</v>
          </cell>
          <cell r="G5421" t="str">
            <v>AUTOMOTIVO</v>
          </cell>
        </row>
        <row r="5422">
          <cell r="A5422">
            <v>87014</v>
          </cell>
          <cell r="B5422" t="str">
            <v>ESTOJO DE PONTAS PHILLIPS MAXFIT ULTRA 1  30 PEÇAS DEWALT</v>
          </cell>
          <cell r="D5422" t="str">
            <v>DEWALT</v>
          </cell>
          <cell r="F5422" t="str">
            <v>OUTRAS FERRAMENTAS / EQUIPAMENTOS</v>
          </cell>
          <cell r="G5422" t="str">
            <v>AUTOMOTIVO</v>
          </cell>
        </row>
        <row r="5423">
          <cell r="A5423">
            <v>87058</v>
          </cell>
          <cell r="B5423" t="str">
            <v>KIT 3 PINCEIS DETALHAMENTO VINTEX SUPER MACIO VONIXX</v>
          </cell>
          <cell r="D5423" t="str">
            <v>VONIXX</v>
          </cell>
          <cell r="F5423" t="str">
            <v>LINHA DE HIGENIZAÇÃO E ESTÉTICA  AUTOMOTIVA</v>
          </cell>
          <cell r="G5423" t="str">
            <v>AUTOMOTIVO</v>
          </cell>
        </row>
        <row r="5424">
          <cell r="A5424">
            <v>20339</v>
          </cell>
          <cell r="B5424" t="str">
            <v>LAZZUDUR POLIESTER PRATA GEADA III MET 900ML</v>
          </cell>
          <cell r="D5424" t="str">
            <v>SHERWIN WILLIAMS</v>
          </cell>
          <cell r="F5424" t="str">
            <v>TINTAS PU</v>
          </cell>
          <cell r="G5424" t="str">
            <v>AUTOMOTIVO</v>
          </cell>
        </row>
        <row r="5425">
          <cell r="A5425">
            <v>87112</v>
          </cell>
          <cell r="B5425" t="str">
            <v>LAZZUDUR PU AMARELO INDIANAPOLIS 258A 675ML</v>
          </cell>
          <cell r="D5425" t="str">
            <v>SHERWIN WILLIAMS</v>
          </cell>
          <cell r="F5425" t="str">
            <v>TINTAS PU</v>
          </cell>
          <cell r="G5425" t="str">
            <v>AUTOMOTIVO</v>
          </cell>
        </row>
        <row r="5426">
          <cell r="A5426">
            <v>23122</v>
          </cell>
          <cell r="B5426" t="str">
            <v>LAZZUDUR PU AZUL BUZIOS 675ML</v>
          </cell>
          <cell r="D5426" t="str">
            <v>SHERWIN WILLIAMS</v>
          </cell>
          <cell r="F5426" t="str">
            <v>TINTAS PU</v>
          </cell>
          <cell r="G5426" t="str">
            <v>AUTOMOTIVO</v>
          </cell>
        </row>
        <row r="5427">
          <cell r="A5427">
            <v>21856</v>
          </cell>
          <cell r="B5427" t="str">
            <v>LAZZUDUR PU BRANCO CRISTAL 675ML</v>
          </cell>
          <cell r="D5427" t="str">
            <v>SHERWIN WILLIAMS</v>
          </cell>
          <cell r="F5427" t="str">
            <v>TINTAS PU</v>
          </cell>
          <cell r="G5427" t="str">
            <v>AUTOMOTIVO</v>
          </cell>
        </row>
        <row r="5428">
          <cell r="A5428">
            <v>87106</v>
          </cell>
          <cell r="B5428" t="str">
            <v>LAZZUDUR PU BRANCO SUMMIT WA8624 675ML</v>
          </cell>
          <cell r="D5428" t="str">
            <v>SHERWIN WILLIAMS</v>
          </cell>
          <cell r="F5428" t="str">
            <v>TINTAS PU</v>
          </cell>
          <cell r="G5428" t="str">
            <v>AUTOMOTIVO</v>
          </cell>
        </row>
        <row r="5429">
          <cell r="A5429">
            <v>87108</v>
          </cell>
          <cell r="B5429" t="str">
            <v>LAZZUDUR PU PRETO NINJA 675ML</v>
          </cell>
          <cell r="D5429" t="str">
            <v>SHERWIN WILLIAMS</v>
          </cell>
          <cell r="F5429" t="str">
            <v>TINTAS PU</v>
          </cell>
          <cell r="G5429" t="str">
            <v>AUTOMOTIVO</v>
          </cell>
        </row>
        <row r="5430">
          <cell r="A5430">
            <v>22986</v>
          </cell>
          <cell r="B5430" t="str">
            <v>PANO SACO XADREZ 60X80CM</v>
          </cell>
          <cell r="D5430" t="str">
            <v>VABENNE</v>
          </cell>
          <cell r="F5430" t="str">
            <v>LINHA DE HIGENIZAÇÃO E ESTÉTICA  AUTOMOTIVA</v>
          </cell>
          <cell r="G5430" t="str">
            <v>AUTOMOTIVO</v>
          </cell>
        </row>
        <row r="5431">
          <cell r="A5431">
            <v>87083</v>
          </cell>
          <cell r="B5431" t="str">
            <v>SPRAY COLOR PRATA BARI V MET. 300ML LAZZURIL</v>
          </cell>
          <cell r="D5431" t="str">
            <v>SHERWIN WILLIAMS</v>
          </cell>
          <cell r="F5431" t="str">
            <v xml:space="preserve">SPRAY </v>
          </cell>
          <cell r="G5431" t="str">
            <v>AUTOMOTIVO</v>
          </cell>
        </row>
        <row r="5432">
          <cell r="A5432">
            <v>87082</v>
          </cell>
          <cell r="B5432" t="str">
            <v>SPRAY COLOR SUB GRAY FOSCO 300ML LAZZURIL</v>
          </cell>
          <cell r="D5432" t="str">
            <v>SHERWIN WILLIAMS</v>
          </cell>
          <cell r="F5432" t="str">
            <v xml:space="preserve">SPRAY </v>
          </cell>
          <cell r="G5432" t="str">
            <v>AUTOMOTIVO</v>
          </cell>
        </row>
        <row r="5433">
          <cell r="A5433">
            <v>87086</v>
          </cell>
          <cell r="B5433" t="str">
            <v>SPRAY COLOR VERDE SEGURANÇA 10GY6/6 300ML LAZZURIL</v>
          </cell>
          <cell r="D5433" t="str">
            <v>SHERWIN WILLIAMS</v>
          </cell>
          <cell r="F5433" t="str">
            <v xml:space="preserve">SPRAY </v>
          </cell>
          <cell r="G5433" t="str">
            <v>AUTOMOTIVO</v>
          </cell>
        </row>
        <row r="5434">
          <cell r="A5434">
            <v>87046</v>
          </cell>
          <cell r="B5434" t="str">
            <v>TACO LIXADOR MANUAL MACIO P/ LIXAS 1200 A 2500 70X130MM PURPLEX</v>
          </cell>
          <cell r="D5434" t="str">
            <v>PURPLEX</v>
          </cell>
          <cell r="F5434" t="str">
            <v>APLICADORES / ADAPTADORES / ENGATES / SUPORTES</v>
          </cell>
          <cell r="G5434" t="str">
            <v>AUTOMOTIVO</v>
          </cell>
        </row>
        <row r="5435">
          <cell r="A5435">
            <v>87045</v>
          </cell>
          <cell r="B5435" t="str">
            <v>TACO LIXADOR MANUAL RETANGULAR EM E.V.A 70X130MM PURPLEX</v>
          </cell>
          <cell r="D5435" t="str">
            <v>PURPLEX</v>
          </cell>
          <cell r="F5435" t="str">
            <v>APLICADORES / ADAPTADORES / ENGATES / SUPORTES</v>
          </cell>
          <cell r="G5435" t="str">
            <v>AUTOMOTIVO</v>
          </cell>
        </row>
        <row r="5436">
          <cell r="A5436">
            <v>87047</v>
          </cell>
          <cell r="B5436" t="str">
            <v>TACO LIXADOR MANUAL RETANGULAR MEDIO EM E.V.A 70X200MM PURPLEX</v>
          </cell>
          <cell r="D5436" t="str">
            <v>PURPLEX</v>
          </cell>
          <cell r="F5436" t="str">
            <v>APLICADORES / ADAPTADORES / ENGATES / SUPORTES</v>
          </cell>
          <cell r="G5436" t="str">
            <v>AUTOMOTIVO</v>
          </cell>
        </row>
        <row r="5437">
          <cell r="A5437">
            <v>87036</v>
          </cell>
          <cell r="B5437" t="str">
            <v>VERTEX LIMPADOR DE ESTOFADOS 5L VONIXX</v>
          </cell>
          <cell r="D5437" t="str">
            <v>VONIXX</v>
          </cell>
          <cell r="F5437" t="str">
            <v>LINHA DE HIGENIZAÇÃO E ESTÉTICA  AUTOMOTIVA</v>
          </cell>
          <cell r="G5437" t="str">
            <v>AUTOMOTIVO</v>
          </cell>
        </row>
        <row r="5438">
          <cell r="A5438">
            <v>86949</v>
          </cell>
          <cell r="B5438" t="str">
            <v>PULVERIZADOR DE ALUMINIO C/ BOTAO ROSCA 1/4  PL09 SCHWEERS</v>
          </cell>
          <cell r="D5438" t="str">
            <v>SCHWERS</v>
          </cell>
          <cell r="F5438" t="str">
            <v>APLICADORES / ADAPTADORES / ENGATES / SUPORTES</v>
          </cell>
          <cell r="G5438" t="str">
            <v>AUTOMOTIVO</v>
          </cell>
        </row>
        <row r="5439">
          <cell r="A5439">
            <v>87160</v>
          </cell>
          <cell r="B5439" t="str">
            <v>RESINA P/ TELHA INCOLOR LATA 18LT MISTERCRYL</v>
          </cell>
          <cell r="D5439" t="str">
            <v>MISTERCRYL</v>
          </cell>
          <cell r="F5439" t="str">
            <v>SELADOR ACRÍLICO</v>
          </cell>
          <cell r="G5439" t="str">
            <v>IMOBILIÁRIO</v>
          </cell>
        </row>
        <row r="5440">
          <cell r="A5440">
            <v>87085</v>
          </cell>
          <cell r="B5440" t="str">
            <v>SPRAY COLOR VERMELHO CASE 300ML LAZZURIL</v>
          </cell>
          <cell r="D5440" t="str">
            <v>SHERWIN WILLIAMS</v>
          </cell>
          <cell r="F5440" t="str">
            <v xml:space="preserve">SPRAY </v>
          </cell>
          <cell r="G5440" t="str">
            <v>AUTOMOTIVO</v>
          </cell>
        </row>
        <row r="5441">
          <cell r="A5441">
            <v>22031</v>
          </cell>
          <cell r="B5441" t="str">
            <v>LAZZUDUR PU PRETO LISZT II 675ML</v>
          </cell>
          <cell r="D5441" t="str">
            <v>SHERWIN WILLIAMS</v>
          </cell>
          <cell r="F5441" t="str">
            <v>TINTAS PU</v>
          </cell>
          <cell r="G5441" t="str">
            <v>AUTOMOTIVO</v>
          </cell>
        </row>
        <row r="5442">
          <cell r="A5442">
            <v>21033</v>
          </cell>
          <cell r="B5442" t="str">
            <v>LAZZUDUR PU PRETO CADILAC 675ML</v>
          </cell>
          <cell r="D5442" t="str">
            <v>SHERWIN WILLIAMS</v>
          </cell>
          <cell r="F5442" t="str">
            <v>TINTAS PU</v>
          </cell>
          <cell r="G5442" t="str">
            <v>AUTOMOTIVO</v>
          </cell>
        </row>
        <row r="5443">
          <cell r="A5443">
            <v>20327</v>
          </cell>
          <cell r="B5443" t="str">
            <v>LAZZUDUR PRETO VESUVIO MET ANO 01/09 FIAT</v>
          </cell>
          <cell r="D5443" t="str">
            <v>SHERWIN WILLIAMS</v>
          </cell>
          <cell r="F5443" t="str">
            <v>TINTAS PU</v>
          </cell>
          <cell r="G5443" t="str">
            <v>AUTOMOTIVO</v>
          </cell>
        </row>
        <row r="5444">
          <cell r="A5444">
            <v>86973</v>
          </cell>
          <cell r="B5444" t="str">
            <v>TORNEIRA LAVATORIO PVC 1/2 BRANCA HERC</v>
          </cell>
          <cell r="D5444" t="str">
            <v>HERC</v>
          </cell>
          <cell r="F5444" t="str">
            <v>TORNEIRAS / DUCHAS</v>
          </cell>
          <cell r="G5444" t="str">
            <v>IMOBILIÁRIO</v>
          </cell>
        </row>
        <row r="5445">
          <cell r="A5445">
            <v>86887</v>
          </cell>
          <cell r="B5445" t="str">
            <v>IMPERMEABILIZANTE VEDACIT 900ML VEDACIT</v>
          </cell>
          <cell r="D5445" t="str">
            <v>VEDACIT</v>
          </cell>
          <cell r="F5445" t="str">
            <v>IMPERMEABILIZANTES</v>
          </cell>
          <cell r="G5445" t="str">
            <v>IMOBILIÁRIO</v>
          </cell>
        </row>
        <row r="5446">
          <cell r="A5446">
            <v>21577</v>
          </cell>
          <cell r="B5446" t="str">
            <v>LIXADEIRA ROTO ORBITAL 5  125MM 280W 220V DEWALT</v>
          </cell>
          <cell r="D5446" t="str">
            <v>DEWALT</v>
          </cell>
          <cell r="F5446" t="str">
            <v>OUTRAS FERRAMENTAS / EQUIPAMENTOS</v>
          </cell>
          <cell r="G5446" t="str">
            <v>AUTOMOTIVO</v>
          </cell>
        </row>
        <row r="5447">
          <cell r="A5447">
            <v>87104</v>
          </cell>
          <cell r="B5447" t="str">
            <v>TEXTURA ACRILICA TANGERINA BALDE 20KG INOVE</v>
          </cell>
          <cell r="D5447" t="str">
            <v>BRASILUX</v>
          </cell>
          <cell r="F5447" t="str">
            <v>TEXTURA</v>
          </cell>
          <cell r="G5447" t="str">
            <v>IMOBILIÁRIO</v>
          </cell>
        </row>
        <row r="5448">
          <cell r="A5448">
            <v>87175</v>
          </cell>
          <cell r="B5448" t="str">
            <v>BRASITEC ESMALTE SINT SECAGEM EXTRA RAPIDA PRETO ACETINADO 3,6LT BRASILUX</v>
          </cell>
          <cell r="D5448" t="str">
            <v>BRASILUX</v>
          </cell>
          <cell r="F5448" t="str">
            <v>ESMALTES</v>
          </cell>
          <cell r="G5448" t="str">
            <v>INDUSTRIAL</v>
          </cell>
        </row>
        <row r="5449">
          <cell r="A5449">
            <v>87109</v>
          </cell>
          <cell r="B5449" t="str">
            <v>LAZZUDUR PU PRETO VULCANO 675ML</v>
          </cell>
          <cell r="D5449" t="str">
            <v>SHERWIN WILLIAMS</v>
          </cell>
          <cell r="F5449" t="str">
            <v>TINTAS PU</v>
          </cell>
          <cell r="G5449" t="str">
            <v>AUTOMOTIVO</v>
          </cell>
        </row>
        <row r="5450">
          <cell r="A5450">
            <v>22218</v>
          </cell>
          <cell r="B5450" t="str">
            <v>ROLO VELUDO 9CM 329/9 ATLAS</v>
          </cell>
          <cell r="D5450" t="str">
            <v>ATLAS</v>
          </cell>
          <cell r="F5450" t="str">
            <v>ROLOS / TRINCHAS / PINCÉIS / ESPÁTULAS</v>
          </cell>
          <cell r="G5450" t="str">
            <v>AUTOMOTIVO</v>
          </cell>
        </row>
        <row r="5451">
          <cell r="A5451">
            <v>87182</v>
          </cell>
          <cell r="B5451" t="str">
            <v>TINTA DEMARCACAO BASE SOLVENTE AZUL 18L MAZA</v>
          </cell>
          <cell r="D5451" t="str">
            <v>MAZA</v>
          </cell>
          <cell r="F5451" t="str">
            <v>TINTA PARA PISO</v>
          </cell>
          <cell r="G5451" t="str">
            <v>IMOBILIÁRIO</v>
          </cell>
        </row>
        <row r="5452">
          <cell r="A5452">
            <v>87178</v>
          </cell>
          <cell r="B5452" t="str">
            <v>LAZZUDUR PONTE ADERENTE 83405 900ML SHERWIN</v>
          </cell>
          <cell r="D5452" t="str">
            <v>SHERWIN WILLIAMS</v>
          </cell>
          <cell r="F5452" t="str">
            <v>TINTAS POLIÉSTER</v>
          </cell>
          <cell r="G5452" t="str">
            <v>AUTOMOTIVO</v>
          </cell>
        </row>
        <row r="5453">
          <cell r="A5453">
            <v>87105</v>
          </cell>
          <cell r="B5453" t="str">
            <v>LAZZUDUR PU BRANCO PURO II 675ML</v>
          </cell>
          <cell r="D5453" t="str">
            <v>SHERWIN WILLIAMS</v>
          </cell>
          <cell r="F5453" t="str">
            <v>TINTAS POLIÉSTER</v>
          </cell>
          <cell r="G5453" t="str">
            <v>AUTOMOTIVO</v>
          </cell>
        </row>
        <row r="5454">
          <cell r="A5454">
            <v>87101</v>
          </cell>
          <cell r="B5454" t="str">
            <v>MAQUINA DE SOLDA MIG MULTIPROCESSO MIGFLEX250 220A 220V BOXER</v>
          </cell>
          <cell r="D5454" t="str">
            <v>BAND</v>
          </cell>
          <cell r="F5454" t="str">
            <v>OUTRAS FERRAMENTAS / EQUIPAMENTOS</v>
          </cell>
          <cell r="G5454" t="str">
            <v>AUTOMOTIVO</v>
          </cell>
        </row>
        <row r="5455">
          <cell r="A5455">
            <v>87110</v>
          </cell>
          <cell r="B5455" t="str">
            <v>LAZZUDUR PU VERMELHO LYRA 675ML</v>
          </cell>
          <cell r="D5455" t="str">
            <v>SHERWIN WILLIAMS</v>
          </cell>
          <cell r="F5455" t="str">
            <v>TINTAS POLIÉSTER</v>
          </cell>
          <cell r="G5455" t="str">
            <v>AUTOMOTIVO</v>
          </cell>
        </row>
      </sheetData>
      <sheetData sheetId="1"/>
      <sheetData sheetId="2"/>
      <sheetData sheetId="3"/>
      <sheetData sheetId="4"/>
      <sheetData sheetId="5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8BFBED1-B99E-441A-BA7E-5533E4B19798}" name="Tabela3" displayName="Tabela3" ref="A1:X3091" totalsRowShown="0">
  <autoFilter ref="A1:X3091" xr:uid="{98BFBED1-B99E-441A-BA7E-5533E4B19798}"/>
  <tableColumns count="24">
    <tableColumn id="1" xr3:uid="{8D5B0D9D-3A48-4990-BBFF-25B3D964B3C5}" name="CLIENTE"/>
    <tableColumn id="2" xr3:uid="{A993A838-0D3F-4D8E-86EC-C6E0D75DDA6D}" name="TELEFONE"/>
    <tableColumn id="3" xr3:uid="{D41046C9-D7C1-4476-AC68-AA1F7F37A36A}" name="Nº DOC"/>
    <tableColumn id="4" xr3:uid="{27AB17A5-81AE-43A6-AFB9-39B0E82F03DC}" name="DATA" dataDxfId="0"/>
    <tableColumn id="5" xr3:uid="{FA37E3E5-7A31-4F22-8EFE-CF53907A690F}" name="DOC"/>
    <tableColumn id="6" xr3:uid="{9DE2E77A-C102-4217-9D91-7B84F2B28758}" name="EMP"/>
    <tableColumn id="7" xr3:uid="{B280DB75-7E38-41D5-BEF3-F7BA8AA9C40A}" name="VEN"/>
    <tableColumn id="8" xr3:uid="{183D5BF3-E1EA-4BAB-81E3-340EE92F6184}" name="VENDEDOR">
      <calculatedColumnFormula>VLOOKUP(G2,[1]OPERADORES!$A:$B,2,0)</calculatedColumnFormula>
    </tableColumn>
    <tableColumn id="9" xr3:uid="{2101E33C-6CD4-4EC7-A557-D2E27A99767D}" name="CIDADE"/>
    <tableColumn id="10" xr3:uid="{A0AAD0E2-9DBB-485D-90DC-0A464535CCFC}" name="BAIRRO"/>
    <tableColumn id="11" xr3:uid="{38133052-1196-4ECA-9F44-E4CF57C4D775}" name="CPF/CNPJ"/>
    <tableColumn id="12" xr3:uid="{B7D16473-D202-4EAE-9AA4-B4E56BAAC0A1}" name="CÓD"/>
    <tableColumn id="13" xr3:uid="{C854B702-F657-4F75-895B-589724EFA63F}" name="DESCRIÇÃO"/>
    <tableColumn id="14" xr3:uid="{FED83ACB-1E79-4295-AA04-D43F04E3839F}" name="ESPAÇO VAZIO"/>
    <tableColumn id="15" xr3:uid="{11F574D1-8AB9-4AF5-BAB6-AF55B6286559}" name="UN"/>
    <tableColumn id="16" xr3:uid="{E6B2B913-9F81-4F59-99ED-184A483C0B23}" name="CFOP"/>
    <tableColumn id="17" xr3:uid="{F26A78A6-D8C8-4BA5-8B0C-D15AFE41DE52}" name="QTD"/>
    <tableColumn id="18" xr3:uid="{0258352C-A588-4EB5-8211-1F44CDC2FF96}" name="UNIT"/>
    <tableColumn id="19" xr3:uid="{5FEE4250-016F-4C1C-8A71-4C41558DF400}" name="VR.TOTAL"/>
    <tableColumn id="20" xr3:uid="{5CC16B63-D686-4697-98C7-99FBF9E3BF63}" name="CUSTO"/>
    <tableColumn id="21" xr3:uid="{D6F50289-FB2E-4FD4-8C0E-E024E2DD771D}" name="%MAR"/>
    <tableColumn id="22" xr3:uid="{C970FF85-5A13-4BD6-AC0A-02B255F088D2}" name="MARCA">
      <calculatedColumnFormula>VLOOKUP(L2,'[2]tabela de preços'!$A:$D,4,0)</calculatedColumnFormula>
    </tableColumn>
    <tableColumn id="23" xr3:uid="{7A64D562-70AC-4A89-B5E5-0C7ED79E1B0C}" name="LINHA">
      <calculatedColumnFormula>VLOOKUP(L2,'[2]tabela de preços'!$A:$F,6,0)</calculatedColumnFormula>
    </tableColumn>
    <tableColumn id="24" xr3:uid="{2D5941D7-1008-4584-AE90-F26610621B27}" name="SEGMENTO">
      <calculatedColumnFormula>VLOOKUP(L2,'[2]tabela de preços'!$A:$G,7,0)</calculatedColumnFormula>
    </tableColumn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178BCC-76BD-4FD3-8DE5-B1F49EC0C713}">
  <dimension ref="A1:X3091"/>
  <sheetViews>
    <sheetView tabSelected="1" topLeftCell="N2433" zoomScale="90" zoomScaleNormal="90" workbookViewId="0">
      <selection activeCell="X2454" sqref="X2454:X3091"/>
    </sheetView>
  </sheetViews>
  <sheetFormatPr defaultRowHeight="14.4" x14ac:dyDescent="0.3"/>
  <cols>
    <col min="1" max="1" width="67.5546875" bestFit="1" customWidth="1"/>
    <col min="2" max="2" width="15.33203125" bestFit="1" customWidth="1"/>
    <col min="3" max="3" width="19.44140625" bestFit="1" customWidth="1"/>
    <col min="4" max="4" width="11.6640625" bestFit="1" customWidth="1"/>
    <col min="5" max="5" width="26.44140625" bestFit="1" customWidth="1"/>
    <col min="6" max="6" width="6.88671875" customWidth="1"/>
    <col min="7" max="7" width="6.5546875" customWidth="1"/>
    <col min="8" max="8" width="29.33203125" bestFit="1" customWidth="1"/>
    <col min="9" max="9" width="36.109375" bestFit="1" customWidth="1"/>
    <col min="10" max="10" width="53.6640625" bestFit="1" customWidth="1"/>
    <col min="11" max="11" width="19.33203125" bestFit="1" customWidth="1"/>
    <col min="12" max="12" width="6.6640625" bestFit="1" customWidth="1"/>
    <col min="13" max="13" width="107.6640625" bestFit="1" customWidth="1"/>
    <col min="14" max="14" width="26.88671875" bestFit="1" customWidth="1"/>
    <col min="15" max="15" width="5.6640625" customWidth="1"/>
    <col min="16" max="16" width="7.5546875" customWidth="1"/>
    <col min="17" max="18" width="8.77734375" bestFit="1" customWidth="1"/>
    <col min="19" max="19" width="11.21875" customWidth="1"/>
    <col min="20" max="20" width="9.33203125" bestFit="1" customWidth="1"/>
    <col min="21" max="21" width="8.6640625" customWidth="1"/>
    <col min="22" max="22" width="18.5546875" bestFit="1" customWidth="1"/>
    <col min="23" max="23" width="48.88671875" bestFit="1" customWidth="1"/>
    <col min="24" max="24" width="18.5546875" customWidth="1"/>
  </cols>
  <sheetData>
    <row r="1" spans="1:24" x14ac:dyDescent="0.3">
      <c r="A1" t="s">
        <v>0</v>
      </c>
      <c r="B1" t="s">
        <v>1</v>
      </c>
      <c r="C1" t="s">
        <v>2</v>
      </c>
      <c r="D1" t="s">
        <v>3</v>
      </c>
      <c r="E1" t="s">
        <v>2365</v>
      </c>
      <c r="F1" t="s">
        <v>4</v>
      </c>
      <c r="G1" t="s">
        <v>5</v>
      </c>
      <c r="H1" t="s">
        <v>2361</v>
      </c>
      <c r="I1" t="s">
        <v>6</v>
      </c>
      <c r="J1" t="s">
        <v>7</v>
      </c>
      <c r="K1" t="s">
        <v>8</v>
      </c>
      <c r="L1" t="s">
        <v>9</v>
      </c>
      <c r="M1" t="s">
        <v>10</v>
      </c>
      <c r="N1" t="s">
        <v>2366</v>
      </c>
      <c r="O1" t="s">
        <v>11</v>
      </c>
      <c r="P1" t="s">
        <v>12</v>
      </c>
      <c r="Q1" t="s">
        <v>13</v>
      </c>
      <c r="R1" t="s">
        <v>14</v>
      </c>
      <c r="S1" t="s">
        <v>15</v>
      </c>
      <c r="T1" t="s">
        <v>16</v>
      </c>
      <c r="U1" t="s">
        <v>17</v>
      </c>
      <c r="V1" t="s">
        <v>2362</v>
      </c>
      <c r="W1" t="s">
        <v>2363</v>
      </c>
      <c r="X1" t="s">
        <v>2364</v>
      </c>
    </row>
    <row r="2" spans="1:24" x14ac:dyDescent="0.3">
      <c r="A2" t="s">
        <v>123</v>
      </c>
      <c r="C2" t="s">
        <v>124</v>
      </c>
      <c r="D2" s="1">
        <v>46024</v>
      </c>
      <c r="E2" t="s">
        <v>125</v>
      </c>
      <c r="F2">
        <v>9</v>
      </c>
      <c r="G2">
        <v>174</v>
      </c>
      <c r="H2" t="str">
        <f>VLOOKUP(G2,[1]OPERADORES!$A:$B,2,0)</f>
        <v>MIRIÃ LOBATO RODRIGUES</v>
      </c>
      <c r="I2" t="s">
        <v>126</v>
      </c>
      <c r="J2" t="s">
        <v>127</v>
      </c>
      <c r="K2" t="s">
        <v>128</v>
      </c>
      <c r="L2">
        <v>84557</v>
      </c>
      <c r="M2" t="s">
        <v>116</v>
      </c>
      <c r="O2" t="s">
        <v>11</v>
      </c>
      <c r="P2">
        <v>6102</v>
      </c>
      <c r="Q2">
        <v>4</v>
      </c>
      <c r="R2">
        <v>18.39</v>
      </c>
      <c r="S2">
        <v>73.56</v>
      </c>
      <c r="T2">
        <v>55.84</v>
      </c>
      <c r="U2">
        <v>24.09</v>
      </c>
      <c r="V2" t="str">
        <f>VLOOKUP(L2,'[2]tabela de preços'!$A:$D,4,0)</f>
        <v>BRASILUX</v>
      </c>
      <c r="W2" t="str">
        <f>VLOOKUP(L2,'[2]tabela de preços'!$A:$F,6,0)</f>
        <v>DILUENTE</v>
      </c>
      <c r="X2" t="str">
        <f>VLOOKUP(L2,'[2]tabela de preços'!$A:$G,7,0)</f>
        <v>AUTOMOTIVO</v>
      </c>
    </row>
    <row r="3" spans="1:24" x14ac:dyDescent="0.3">
      <c r="A3" t="s">
        <v>123</v>
      </c>
      <c r="C3" t="s">
        <v>124</v>
      </c>
      <c r="D3" s="1">
        <v>46024</v>
      </c>
      <c r="E3" t="s">
        <v>125</v>
      </c>
      <c r="F3">
        <v>9</v>
      </c>
      <c r="G3">
        <v>174</v>
      </c>
      <c r="H3" t="str">
        <f>VLOOKUP(G3,[1]OPERADORES!$A:$B,2,0)</f>
        <v>MIRIÃ LOBATO RODRIGUES</v>
      </c>
      <c r="I3" t="s">
        <v>126</v>
      </c>
      <c r="J3" t="s">
        <v>127</v>
      </c>
      <c r="K3" t="s">
        <v>128</v>
      </c>
      <c r="L3">
        <v>24248</v>
      </c>
      <c r="M3" t="s">
        <v>107</v>
      </c>
      <c r="O3" t="s">
        <v>11</v>
      </c>
      <c r="P3">
        <v>6102</v>
      </c>
      <c r="Q3">
        <v>12</v>
      </c>
      <c r="R3">
        <v>9.9</v>
      </c>
      <c r="S3">
        <v>118.8</v>
      </c>
      <c r="T3">
        <v>76.92</v>
      </c>
      <c r="U3">
        <v>35.25</v>
      </c>
      <c r="V3" t="str">
        <f>VLOOKUP(L3,'[2]tabela de preços'!$A:$D,4,0)</f>
        <v>SHERWIN WILLIAMS</v>
      </c>
      <c r="W3" t="str">
        <f>VLOOKUP(L3,'[2]tabela de preços'!$A:$F,6,0)</f>
        <v>PRIMER AUTOMOTIVO</v>
      </c>
      <c r="X3" t="str">
        <f>VLOOKUP(L3,'[2]tabela de preços'!$A:$G,7,0)</f>
        <v>AUTOMOTIVO</v>
      </c>
    </row>
    <row r="4" spans="1:24" x14ac:dyDescent="0.3">
      <c r="A4" t="s">
        <v>123</v>
      </c>
      <c r="C4" t="s">
        <v>124</v>
      </c>
      <c r="D4" s="1">
        <v>46024</v>
      </c>
      <c r="E4" t="s">
        <v>125</v>
      </c>
      <c r="F4">
        <v>9</v>
      </c>
      <c r="G4">
        <v>174</v>
      </c>
      <c r="H4" t="str">
        <f>VLOOKUP(G4,[1]OPERADORES!$A:$B,2,0)</f>
        <v>MIRIÃ LOBATO RODRIGUES</v>
      </c>
      <c r="I4" t="s">
        <v>126</v>
      </c>
      <c r="J4" t="s">
        <v>127</v>
      </c>
      <c r="K4" t="s">
        <v>128</v>
      </c>
      <c r="L4">
        <v>20383</v>
      </c>
      <c r="M4" t="s">
        <v>129</v>
      </c>
      <c r="O4" t="s">
        <v>11</v>
      </c>
      <c r="P4">
        <v>6403</v>
      </c>
      <c r="Q4">
        <v>2</v>
      </c>
      <c r="R4">
        <v>33.590000000000003</v>
      </c>
      <c r="S4">
        <v>67.180000000000007</v>
      </c>
      <c r="T4">
        <v>47.9</v>
      </c>
      <c r="U4">
        <v>28.7</v>
      </c>
      <c r="V4" t="str">
        <f>VLOOKUP(L4,'[2]tabela de preços'!$A:$D,4,0)</f>
        <v>SHERWIN WILLIAMS</v>
      </c>
      <c r="W4" t="str">
        <f>VLOOKUP(L4,'[2]tabela de preços'!$A:$F,6,0)</f>
        <v>TINTAS POLIÉSTER</v>
      </c>
      <c r="X4" t="str">
        <f>VLOOKUP(L4,'[2]tabela de preços'!$A:$G,7,0)</f>
        <v>AUTOMOTIVO</v>
      </c>
    </row>
    <row r="5" spans="1:24" x14ac:dyDescent="0.3">
      <c r="A5" t="s">
        <v>123</v>
      </c>
      <c r="C5" t="s">
        <v>124</v>
      </c>
      <c r="D5" s="1">
        <v>46024</v>
      </c>
      <c r="E5" t="s">
        <v>125</v>
      </c>
      <c r="F5">
        <v>9</v>
      </c>
      <c r="G5">
        <v>174</v>
      </c>
      <c r="H5" t="str">
        <f>VLOOKUP(G5,[1]OPERADORES!$A:$B,2,0)</f>
        <v>MIRIÃ LOBATO RODRIGUES</v>
      </c>
      <c r="I5" t="s">
        <v>126</v>
      </c>
      <c r="J5" t="s">
        <v>127</v>
      </c>
      <c r="K5" t="s">
        <v>128</v>
      </c>
      <c r="L5">
        <v>24247</v>
      </c>
      <c r="M5" t="s">
        <v>111</v>
      </c>
      <c r="O5" t="s">
        <v>11</v>
      </c>
      <c r="P5">
        <v>6403</v>
      </c>
      <c r="Q5">
        <v>12</v>
      </c>
      <c r="R5">
        <v>19.899999999999999</v>
      </c>
      <c r="S5">
        <v>238.8</v>
      </c>
      <c r="T5">
        <v>199.2</v>
      </c>
      <c r="U5">
        <v>16.579999999999998</v>
      </c>
      <c r="V5" t="str">
        <f>VLOOKUP(L5,'[2]tabela de preços'!$A:$D,4,0)</f>
        <v>SHERWIN WILLIAMS</v>
      </c>
      <c r="W5" t="str">
        <f>VLOOKUP(L5,'[2]tabela de preços'!$A:$F,6,0)</f>
        <v>PRIMER AUTOMOTIVO</v>
      </c>
      <c r="X5" t="str">
        <f>VLOOKUP(L5,'[2]tabela de preços'!$A:$G,7,0)</f>
        <v>AUTOMOTIVO</v>
      </c>
    </row>
    <row r="6" spans="1:24" x14ac:dyDescent="0.3">
      <c r="A6" t="s">
        <v>123</v>
      </c>
      <c r="C6" t="s">
        <v>124</v>
      </c>
      <c r="D6" s="1">
        <v>46024</v>
      </c>
      <c r="E6" t="s">
        <v>125</v>
      </c>
      <c r="F6">
        <v>9</v>
      </c>
      <c r="G6">
        <v>174</v>
      </c>
      <c r="H6" t="str">
        <f>VLOOKUP(G6,[1]OPERADORES!$A:$B,2,0)</f>
        <v>MIRIÃ LOBATO RODRIGUES</v>
      </c>
      <c r="I6" t="s">
        <v>126</v>
      </c>
      <c r="J6" t="s">
        <v>127</v>
      </c>
      <c r="K6" t="s">
        <v>128</v>
      </c>
      <c r="L6">
        <v>10404</v>
      </c>
      <c r="M6" t="s">
        <v>130</v>
      </c>
      <c r="O6" t="s">
        <v>11</v>
      </c>
      <c r="P6">
        <v>6102</v>
      </c>
      <c r="Q6">
        <v>8</v>
      </c>
      <c r="R6">
        <v>16.09</v>
      </c>
      <c r="S6">
        <v>128.72</v>
      </c>
      <c r="T6">
        <v>106.56</v>
      </c>
      <c r="U6">
        <v>17.22</v>
      </c>
      <c r="V6" t="str">
        <f>VLOOKUP(L6,'[2]tabela de preços'!$A:$D,4,0)</f>
        <v>MAXI RUBBER</v>
      </c>
      <c r="W6" t="str">
        <f>VLOOKUP(L6,'[2]tabela de preços'!$A:$F,6,0)</f>
        <v>VEDADORES / SELANTES</v>
      </c>
      <c r="X6" t="str">
        <f>VLOOKUP(L6,'[2]tabela de preços'!$A:$G,7,0)</f>
        <v>AUTOMOTIVO</v>
      </c>
    </row>
    <row r="7" spans="1:24" x14ac:dyDescent="0.3">
      <c r="A7" t="s">
        <v>378</v>
      </c>
      <c r="C7" t="s">
        <v>379</v>
      </c>
      <c r="D7" s="1">
        <v>46024</v>
      </c>
      <c r="E7" t="s">
        <v>380</v>
      </c>
      <c r="F7">
        <v>9</v>
      </c>
      <c r="G7">
        <v>174</v>
      </c>
      <c r="H7" t="str">
        <f>VLOOKUP(G7,[1]OPERADORES!$A:$B,2,0)</f>
        <v>MIRIÃ LOBATO RODRIGUES</v>
      </c>
      <c r="I7" t="s">
        <v>21</v>
      </c>
      <c r="J7" t="s">
        <v>381</v>
      </c>
      <c r="K7" t="s">
        <v>382</v>
      </c>
      <c r="L7">
        <v>23267</v>
      </c>
      <c r="M7" t="s">
        <v>164</v>
      </c>
      <c r="O7" t="s">
        <v>11</v>
      </c>
      <c r="P7">
        <v>5102</v>
      </c>
      <c r="Q7">
        <v>24</v>
      </c>
      <c r="R7">
        <v>25.75</v>
      </c>
      <c r="S7">
        <v>618</v>
      </c>
      <c r="T7">
        <v>468.96</v>
      </c>
      <c r="U7">
        <v>24.12</v>
      </c>
      <c r="V7" t="str">
        <f>VLOOKUP(L7,'[2]tabela de preços'!$A:$D,4,0)</f>
        <v>ANJO</v>
      </c>
      <c r="W7" t="str">
        <f>VLOOKUP(L7,'[2]tabela de preços'!$A:$F,6,0)</f>
        <v>MASSA POLIÉSTER</v>
      </c>
      <c r="X7" t="str">
        <f>VLOOKUP(L7,'[2]tabela de preços'!$A:$G,7,0)</f>
        <v>AUTOMOTIVO</v>
      </c>
    </row>
    <row r="8" spans="1:24" x14ac:dyDescent="0.3">
      <c r="A8" t="s">
        <v>378</v>
      </c>
      <c r="C8" t="s">
        <v>379</v>
      </c>
      <c r="D8" s="1">
        <v>46024</v>
      </c>
      <c r="E8" t="s">
        <v>380</v>
      </c>
      <c r="F8">
        <v>9</v>
      </c>
      <c r="G8">
        <v>174</v>
      </c>
      <c r="H8" t="str">
        <f>VLOOKUP(G8,[1]OPERADORES!$A:$B,2,0)</f>
        <v>MIRIÃ LOBATO RODRIGUES</v>
      </c>
      <c r="I8" t="s">
        <v>21</v>
      </c>
      <c r="J8" t="s">
        <v>381</v>
      </c>
      <c r="K8" t="s">
        <v>382</v>
      </c>
      <c r="L8">
        <v>9895</v>
      </c>
      <c r="M8" t="s">
        <v>383</v>
      </c>
      <c r="O8" t="s">
        <v>11</v>
      </c>
      <c r="P8">
        <v>5403</v>
      </c>
      <c r="Q8">
        <v>1</v>
      </c>
      <c r="R8">
        <v>112.83</v>
      </c>
      <c r="S8">
        <v>112.83</v>
      </c>
      <c r="T8">
        <v>82.72</v>
      </c>
      <c r="U8">
        <v>26.69</v>
      </c>
      <c r="V8" t="str">
        <f>VLOOKUP(L8,'[2]tabela de preços'!$A:$D,4,0)</f>
        <v>WANDA</v>
      </c>
      <c r="W8" t="str">
        <f>VLOOKUP(L8,'[2]tabela de preços'!$A:$F,6,0)</f>
        <v>BASES POLIÉSTER</v>
      </c>
      <c r="X8" t="str">
        <f>VLOOKUP(L8,'[2]tabela de preços'!$A:$G,7,0)</f>
        <v>AUTOMOTIVO</v>
      </c>
    </row>
    <row r="9" spans="1:24" x14ac:dyDescent="0.3">
      <c r="A9" t="s">
        <v>378</v>
      </c>
      <c r="C9" t="s">
        <v>379</v>
      </c>
      <c r="D9" s="1">
        <v>46024</v>
      </c>
      <c r="E9" t="s">
        <v>380</v>
      </c>
      <c r="F9">
        <v>9</v>
      </c>
      <c r="G9">
        <v>174</v>
      </c>
      <c r="H9" t="str">
        <f>VLOOKUP(G9,[1]OPERADORES!$A:$B,2,0)</f>
        <v>MIRIÃ LOBATO RODRIGUES</v>
      </c>
      <c r="I9" t="s">
        <v>21</v>
      </c>
      <c r="J9" t="s">
        <v>381</v>
      </c>
      <c r="K9" t="s">
        <v>382</v>
      </c>
      <c r="L9">
        <v>9899</v>
      </c>
      <c r="M9" t="s">
        <v>384</v>
      </c>
      <c r="O9" t="s">
        <v>11</v>
      </c>
      <c r="P9">
        <v>5403</v>
      </c>
      <c r="Q9">
        <v>1</v>
      </c>
      <c r="R9">
        <v>191.9</v>
      </c>
      <c r="S9">
        <v>191.9</v>
      </c>
      <c r="T9">
        <v>140.69</v>
      </c>
      <c r="U9">
        <v>26.69</v>
      </c>
      <c r="V9" t="str">
        <f>VLOOKUP(L9,'[2]tabela de preços'!$A:$D,4,0)</f>
        <v>WANDA</v>
      </c>
      <c r="W9" t="str">
        <f>VLOOKUP(L9,'[2]tabela de preços'!$A:$F,6,0)</f>
        <v>BASES POLIÉSTER</v>
      </c>
      <c r="X9" t="str">
        <f>VLOOKUP(L9,'[2]tabela de preços'!$A:$G,7,0)</f>
        <v>AUTOMOTIVO</v>
      </c>
    </row>
    <row r="10" spans="1:24" x14ac:dyDescent="0.3">
      <c r="A10" t="s">
        <v>1177</v>
      </c>
      <c r="C10" t="s">
        <v>1178</v>
      </c>
      <c r="D10" s="1">
        <v>46024</v>
      </c>
      <c r="E10" t="s">
        <v>1179</v>
      </c>
      <c r="F10">
        <v>9</v>
      </c>
      <c r="G10">
        <v>236</v>
      </c>
      <c r="H10" t="str">
        <f>VLOOKUP(G10,[1]OPERADORES!$A:$B,2,0)</f>
        <v>DANIEL</v>
      </c>
      <c r="I10" t="s">
        <v>244</v>
      </c>
      <c r="J10" t="s">
        <v>1180</v>
      </c>
      <c r="K10" t="s">
        <v>1181</v>
      </c>
      <c r="L10">
        <v>85402</v>
      </c>
      <c r="M10" t="s">
        <v>1182</v>
      </c>
      <c r="O10" t="s">
        <v>11</v>
      </c>
      <c r="P10">
        <v>6102</v>
      </c>
      <c r="Q10">
        <v>1</v>
      </c>
      <c r="R10">
        <v>564.86</v>
      </c>
      <c r="S10">
        <v>564.86</v>
      </c>
      <c r="T10">
        <v>393.5</v>
      </c>
      <c r="U10">
        <v>30.34</v>
      </c>
      <c r="V10" t="str">
        <f>VLOOKUP(L10,'[2]tabela de preços'!$A:$D,4,0)</f>
        <v>BRASILUX</v>
      </c>
      <c r="W10" t="str">
        <f>VLOOKUP(L10,'[2]tabela de preços'!$A:$F,6,0)</f>
        <v>TINTA EM PÓ</v>
      </c>
      <c r="X10" t="str">
        <f>VLOOKUP(L10,'[2]tabela de preços'!$A:$G,7,0)</f>
        <v>INDUSTRIAL</v>
      </c>
    </row>
    <row r="11" spans="1:24" x14ac:dyDescent="0.3">
      <c r="A11" t="s">
        <v>1177</v>
      </c>
      <c r="C11" t="s">
        <v>1178</v>
      </c>
      <c r="D11" s="1">
        <v>46024</v>
      </c>
      <c r="E11" t="s">
        <v>1179</v>
      </c>
      <c r="F11">
        <v>9</v>
      </c>
      <c r="G11">
        <v>236</v>
      </c>
      <c r="H11" t="str">
        <f>VLOOKUP(G11,[1]OPERADORES!$A:$B,2,0)</f>
        <v>DANIEL</v>
      </c>
      <c r="I11" t="s">
        <v>244</v>
      </c>
      <c r="J11" t="s">
        <v>1180</v>
      </c>
      <c r="K11" t="s">
        <v>1181</v>
      </c>
      <c r="L11">
        <v>85315</v>
      </c>
      <c r="M11" t="s">
        <v>485</v>
      </c>
      <c r="O11" t="s">
        <v>11</v>
      </c>
      <c r="P11">
        <v>6102</v>
      </c>
      <c r="Q11">
        <v>1</v>
      </c>
      <c r="R11">
        <v>569.72</v>
      </c>
      <c r="S11">
        <v>569.72</v>
      </c>
      <c r="T11">
        <v>406.22</v>
      </c>
      <c r="U11">
        <v>28.7</v>
      </c>
      <c r="V11" t="str">
        <f>VLOOKUP(L11,'[2]tabela de preços'!$A:$D,4,0)</f>
        <v>BRASILUX</v>
      </c>
      <c r="W11" t="str">
        <f>VLOOKUP(L11,'[2]tabela de preços'!$A:$F,6,0)</f>
        <v>TINTA EM PÓ</v>
      </c>
      <c r="X11" t="str">
        <f>VLOOKUP(L11,'[2]tabela de preços'!$A:$G,7,0)</f>
        <v>INDUSTRIAL</v>
      </c>
    </row>
    <row r="12" spans="1:24" x14ac:dyDescent="0.3">
      <c r="A12" t="s">
        <v>1177</v>
      </c>
      <c r="C12" t="s">
        <v>1178</v>
      </c>
      <c r="D12" s="1">
        <v>46024</v>
      </c>
      <c r="E12" t="s">
        <v>1179</v>
      </c>
      <c r="F12">
        <v>9</v>
      </c>
      <c r="G12">
        <v>236</v>
      </c>
      <c r="H12" t="str">
        <f>VLOOKUP(G12,[1]OPERADORES!$A:$B,2,0)</f>
        <v>DANIEL</v>
      </c>
      <c r="I12" t="s">
        <v>244</v>
      </c>
      <c r="J12" t="s">
        <v>1180</v>
      </c>
      <c r="K12" t="s">
        <v>1181</v>
      </c>
      <c r="L12">
        <v>85328</v>
      </c>
      <c r="M12" t="s">
        <v>605</v>
      </c>
      <c r="O12" t="s">
        <v>11</v>
      </c>
      <c r="P12">
        <v>6102</v>
      </c>
      <c r="Q12">
        <v>1</v>
      </c>
      <c r="R12">
        <v>579.12</v>
      </c>
      <c r="S12">
        <v>579.12</v>
      </c>
      <c r="T12">
        <v>403.43</v>
      </c>
      <c r="U12">
        <v>30.34</v>
      </c>
      <c r="V12" t="str">
        <f>VLOOKUP(L12,'[2]tabela de preços'!$A:$D,4,0)</f>
        <v>BRASILUX</v>
      </c>
      <c r="W12" t="str">
        <f>VLOOKUP(L12,'[2]tabela de preços'!$A:$F,6,0)</f>
        <v>TINTA EM PÓ</v>
      </c>
      <c r="X12" t="str">
        <f>VLOOKUP(L12,'[2]tabela de preços'!$A:$G,7,0)</f>
        <v>INDUSTRIAL</v>
      </c>
    </row>
    <row r="13" spans="1:24" x14ac:dyDescent="0.3">
      <c r="A13" t="s">
        <v>1389</v>
      </c>
      <c r="C13" t="s">
        <v>1390</v>
      </c>
      <c r="D13" s="1">
        <v>46024</v>
      </c>
      <c r="E13" t="s">
        <v>1391</v>
      </c>
      <c r="F13">
        <v>9</v>
      </c>
      <c r="G13">
        <v>230</v>
      </c>
      <c r="H13" t="str">
        <f>VLOOKUP(G13,[1]OPERADORES!$A:$B,2,0)</f>
        <v>SÔNIA</v>
      </c>
      <c r="I13" t="s">
        <v>21</v>
      </c>
      <c r="J13" t="s">
        <v>66</v>
      </c>
      <c r="K13" t="s">
        <v>1392</v>
      </c>
      <c r="L13">
        <v>84111</v>
      </c>
      <c r="M13" t="s">
        <v>1393</v>
      </c>
      <c r="O13" t="s">
        <v>11</v>
      </c>
      <c r="P13">
        <v>5403</v>
      </c>
      <c r="Q13">
        <v>1</v>
      </c>
      <c r="R13">
        <v>153.99</v>
      </c>
      <c r="S13">
        <v>153.99</v>
      </c>
      <c r="T13">
        <v>116.88</v>
      </c>
      <c r="U13">
        <v>24.1</v>
      </c>
      <c r="V13" t="str">
        <f>VLOOKUP(L13,'[2]tabela de preços'!$A:$D,4,0)</f>
        <v>BRASILUX</v>
      </c>
      <c r="W13" t="str">
        <f>VLOOKUP(L13,'[2]tabela de preços'!$A:$F,6,0)</f>
        <v>EPOXI</v>
      </c>
      <c r="X13" t="str">
        <f>VLOOKUP(L13,'[2]tabela de preços'!$A:$G,7,0)</f>
        <v>INDUSTRIAL</v>
      </c>
    </row>
    <row r="14" spans="1:24" x14ac:dyDescent="0.3">
      <c r="A14" t="s">
        <v>1424</v>
      </c>
      <c r="C14" t="s">
        <v>1425</v>
      </c>
      <c r="D14" s="1">
        <v>46024</v>
      </c>
      <c r="E14" t="s">
        <v>1426</v>
      </c>
      <c r="F14">
        <v>9</v>
      </c>
      <c r="G14">
        <v>230</v>
      </c>
      <c r="H14" t="str">
        <f>VLOOKUP(G14,[1]OPERADORES!$A:$B,2,0)</f>
        <v>SÔNIA</v>
      </c>
      <c r="I14" t="s">
        <v>21</v>
      </c>
      <c r="J14" t="s">
        <v>1427</v>
      </c>
      <c r="K14" t="s">
        <v>1428</v>
      </c>
      <c r="L14">
        <v>84175</v>
      </c>
      <c r="M14" t="s">
        <v>1429</v>
      </c>
      <c r="O14" t="s">
        <v>11</v>
      </c>
      <c r="P14">
        <v>5403</v>
      </c>
      <c r="Q14">
        <v>1</v>
      </c>
      <c r="R14">
        <v>91.77</v>
      </c>
      <c r="S14">
        <v>91.77</v>
      </c>
      <c r="T14">
        <v>69.66</v>
      </c>
      <c r="U14">
        <v>24.09</v>
      </c>
      <c r="V14" t="str">
        <f>VLOOKUP(L14,'[2]tabela de preços'!$A:$D,4,0)</f>
        <v>BRASILUX</v>
      </c>
      <c r="W14" t="str">
        <f>VLOOKUP(L14,'[2]tabela de preços'!$A:$F,6,0)</f>
        <v>ESMALTES</v>
      </c>
      <c r="X14" t="str">
        <f>VLOOKUP(L14,'[2]tabela de preços'!$A:$G,7,0)</f>
        <v>INDUSTRIAL</v>
      </c>
    </row>
    <row r="15" spans="1:24" x14ac:dyDescent="0.3">
      <c r="A15" t="s">
        <v>1424</v>
      </c>
      <c r="C15" t="s">
        <v>1425</v>
      </c>
      <c r="D15" s="1">
        <v>46024</v>
      </c>
      <c r="E15" t="s">
        <v>1426</v>
      </c>
      <c r="F15">
        <v>9</v>
      </c>
      <c r="G15">
        <v>230</v>
      </c>
      <c r="H15" t="str">
        <f>VLOOKUP(G15,[1]OPERADORES!$A:$B,2,0)</f>
        <v>SÔNIA</v>
      </c>
      <c r="I15" t="s">
        <v>21</v>
      </c>
      <c r="J15" t="s">
        <v>1427</v>
      </c>
      <c r="K15" t="s">
        <v>1428</v>
      </c>
      <c r="L15">
        <v>84113</v>
      </c>
      <c r="M15" t="s">
        <v>737</v>
      </c>
      <c r="O15" t="s">
        <v>11</v>
      </c>
      <c r="P15">
        <v>5403</v>
      </c>
      <c r="Q15">
        <v>1</v>
      </c>
      <c r="R15">
        <v>153.99</v>
      </c>
      <c r="S15">
        <v>153.99</v>
      </c>
      <c r="T15">
        <v>116.88</v>
      </c>
      <c r="U15">
        <v>24.1</v>
      </c>
      <c r="V15" t="str">
        <f>VLOOKUP(L15,'[2]tabela de preços'!$A:$D,4,0)</f>
        <v>BRASILUX</v>
      </c>
      <c r="W15" t="str">
        <f>VLOOKUP(L15,'[2]tabela de preços'!$A:$F,6,0)</f>
        <v>EPOXI</v>
      </c>
      <c r="X15" t="str">
        <f>VLOOKUP(L15,'[2]tabela de preços'!$A:$G,7,0)</f>
        <v>INDUSTRIAL</v>
      </c>
    </row>
    <row r="16" spans="1:24" x14ac:dyDescent="0.3">
      <c r="A16" t="s">
        <v>1739</v>
      </c>
      <c r="C16" t="s">
        <v>1740</v>
      </c>
      <c r="D16" s="1">
        <v>46024</v>
      </c>
      <c r="E16" t="s">
        <v>1741</v>
      </c>
      <c r="F16">
        <v>9</v>
      </c>
      <c r="G16">
        <v>174</v>
      </c>
      <c r="H16" t="str">
        <f>VLOOKUP(G16,[1]OPERADORES!$A:$B,2,0)</f>
        <v>MIRIÃ LOBATO RODRIGUES</v>
      </c>
      <c r="I16" t="s">
        <v>21</v>
      </c>
      <c r="J16" t="s">
        <v>66</v>
      </c>
      <c r="K16" t="s">
        <v>1742</v>
      </c>
      <c r="L16">
        <v>20461</v>
      </c>
      <c r="M16" t="s">
        <v>1085</v>
      </c>
      <c r="O16" t="s">
        <v>11</v>
      </c>
      <c r="P16">
        <v>5102</v>
      </c>
      <c r="Q16">
        <v>3</v>
      </c>
      <c r="R16">
        <v>56.32</v>
      </c>
      <c r="S16">
        <v>168.96</v>
      </c>
      <c r="T16">
        <v>128.25</v>
      </c>
      <c r="U16">
        <v>24.09</v>
      </c>
      <c r="V16" t="str">
        <f>VLOOKUP(L16,'[2]tabela de preços'!$A:$D,4,0)</f>
        <v>SHERWIN WILLIAMS</v>
      </c>
      <c r="W16" t="str">
        <f>VLOOKUP(L16,'[2]tabela de preços'!$A:$F,6,0)</f>
        <v>VERNIZ AUTOMOTIVO</v>
      </c>
      <c r="X16" t="str">
        <f>VLOOKUP(L16,'[2]tabela de preços'!$A:$G,7,0)</f>
        <v>AUTOMOTIVO</v>
      </c>
    </row>
    <row r="17" spans="1:24" x14ac:dyDescent="0.3">
      <c r="A17" t="s">
        <v>1739</v>
      </c>
      <c r="C17" t="s">
        <v>1740</v>
      </c>
      <c r="D17" s="1">
        <v>46024</v>
      </c>
      <c r="E17" t="s">
        <v>1741</v>
      </c>
      <c r="F17">
        <v>9</v>
      </c>
      <c r="G17">
        <v>174</v>
      </c>
      <c r="H17" t="str">
        <f>VLOOKUP(G17,[1]OPERADORES!$A:$B,2,0)</f>
        <v>MIRIÃ LOBATO RODRIGUES</v>
      </c>
      <c r="I17" t="s">
        <v>21</v>
      </c>
      <c r="J17" t="s">
        <v>66</v>
      </c>
      <c r="K17" t="s">
        <v>1742</v>
      </c>
      <c r="L17">
        <v>24247</v>
      </c>
      <c r="M17" t="s">
        <v>111</v>
      </c>
      <c r="O17" t="s">
        <v>11</v>
      </c>
      <c r="P17">
        <v>5403</v>
      </c>
      <c r="Q17">
        <v>12</v>
      </c>
      <c r="R17">
        <v>19.899999999999999</v>
      </c>
      <c r="S17">
        <v>238.8</v>
      </c>
      <c r="T17">
        <v>199.2</v>
      </c>
      <c r="U17">
        <v>16.579999999999998</v>
      </c>
      <c r="V17" t="str">
        <f>VLOOKUP(L17,'[2]tabela de preços'!$A:$D,4,0)</f>
        <v>SHERWIN WILLIAMS</v>
      </c>
      <c r="W17" t="str">
        <f>VLOOKUP(L17,'[2]tabela de preços'!$A:$F,6,0)</f>
        <v>PRIMER AUTOMOTIVO</v>
      </c>
      <c r="X17" t="str">
        <f>VLOOKUP(L17,'[2]tabela de preços'!$A:$G,7,0)</f>
        <v>AUTOMOTIVO</v>
      </c>
    </row>
    <row r="18" spans="1:24" x14ac:dyDescent="0.3">
      <c r="A18" t="s">
        <v>1739</v>
      </c>
      <c r="C18" t="s">
        <v>1740</v>
      </c>
      <c r="D18" s="1">
        <v>46024</v>
      </c>
      <c r="E18" t="s">
        <v>1741</v>
      </c>
      <c r="F18">
        <v>9</v>
      </c>
      <c r="G18">
        <v>174</v>
      </c>
      <c r="H18" t="str">
        <f>VLOOKUP(G18,[1]OPERADORES!$A:$B,2,0)</f>
        <v>MIRIÃ LOBATO RODRIGUES</v>
      </c>
      <c r="I18" t="s">
        <v>21</v>
      </c>
      <c r="J18" t="s">
        <v>66</v>
      </c>
      <c r="K18" t="s">
        <v>1742</v>
      </c>
      <c r="L18">
        <v>10298</v>
      </c>
      <c r="M18" t="s">
        <v>85</v>
      </c>
      <c r="O18" t="s">
        <v>11</v>
      </c>
      <c r="P18">
        <v>5102</v>
      </c>
      <c r="Q18">
        <v>4</v>
      </c>
      <c r="R18">
        <v>56.8</v>
      </c>
      <c r="S18">
        <v>227.2</v>
      </c>
      <c r="T18">
        <v>189.52</v>
      </c>
      <c r="U18">
        <v>16.579999999999998</v>
      </c>
      <c r="V18" t="str">
        <f>VLOOKUP(L18,'[2]tabela de preços'!$A:$D,4,0)</f>
        <v>ANJO</v>
      </c>
      <c r="W18" t="str">
        <f>VLOOKUP(L18,'[2]tabela de preços'!$A:$F,6,0)</f>
        <v>THINNER DE LIMPEZA</v>
      </c>
      <c r="X18" t="str">
        <f>VLOOKUP(L18,'[2]tabela de preços'!$A:$G,7,0)</f>
        <v>THINNER</v>
      </c>
    </row>
    <row r="19" spans="1:24" x14ac:dyDescent="0.3">
      <c r="A19" t="s">
        <v>1739</v>
      </c>
      <c r="C19" t="s">
        <v>1740</v>
      </c>
      <c r="D19" s="1">
        <v>46024</v>
      </c>
      <c r="E19" t="s">
        <v>1741</v>
      </c>
      <c r="F19">
        <v>9</v>
      </c>
      <c r="G19">
        <v>174</v>
      </c>
      <c r="H19" t="str">
        <f>VLOOKUP(G19,[1]OPERADORES!$A:$B,2,0)</f>
        <v>MIRIÃ LOBATO RODRIGUES</v>
      </c>
      <c r="I19" t="s">
        <v>21</v>
      </c>
      <c r="J19" t="s">
        <v>66</v>
      </c>
      <c r="K19" t="s">
        <v>1742</v>
      </c>
      <c r="L19">
        <v>20454</v>
      </c>
      <c r="M19" t="s">
        <v>1086</v>
      </c>
      <c r="O19" t="s">
        <v>11</v>
      </c>
      <c r="P19">
        <v>5403</v>
      </c>
      <c r="Q19">
        <v>1</v>
      </c>
      <c r="R19">
        <v>181.24</v>
      </c>
      <c r="S19">
        <v>181.24</v>
      </c>
      <c r="T19">
        <v>137.56</v>
      </c>
      <c r="U19">
        <v>24.1</v>
      </c>
      <c r="V19" t="str">
        <f>VLOOKUP(L19,'[2]tabela de preços'!$A:$D,4,0)</f>
        <v>SHERWIN WILLIAMS</v>
      </c>
      <c r="W19" t="str">
        <f>VLOOKUP(L19,'[2]tabela de preços'!$A:$F,6,0)</f>
        <v>VERNIZ AUTOMOTIVO</v>
      </c>
      <c r="X19" t="str">
        <f>VLOOKUP(L19,'[2]tabela de preços'!$A:$G,7,0)</f>
        <v>AUTOMOTIVO</v>
      </c>
    </row>
    <row r="20" spans="1:24" x14ac:dyDescent="0.3">
      <c r="A20" t="s">
        <v>1847</v>
      </c>
      <c r="B20" t="s">
        <v>1848</v>
      </c>
      <c r="C20" t="s">
        <v>1849</v>
      </c>
      <c r="D20" s="1">
        <v>46024</v>
      </c>
      <c r="E20" t="s">
        <v>1850</v>
      </c>
      <c r="F20">
        <v>9</v>
      </c>
      <c r="G20">
        <v>236</v>
      </c>
      <c r="H20" t="str">
        <f>VLOOKUP(G20,[1]OPERADORES!$A:$B,2,0)</f>
        <v>DANIEL</v>
      </c>
      <c r="I20" t="s">
        <v>21</v>
      </c>
      <c r="J20" t="s">
        <v>357</v>
      </c>
      <c r="K20" t="s">
        <v>1851</v>
      </c>
      <c r="L20">
        <v>10298</v>
      </c>
      <c r="M20" t="s">
        <v>85</v>
      </c>
      <c r="O20" t="s">
        <v>11</v>
      </c>
      <c r="P20">
        <v>5102</v>
      </c>
      <c r="Q20">
        <v>4</v>
      </c>
      <c r="R20">
        <v>56.8</v>
      </c>
      <c r="S20">
        <v>227.2</v>
      </c>
      <c r="T20">
        <v>189.52</v>
      </c>
      <c r="U20">
        <v>16.579999999999998</v>
      </c>
      <c r="V20" t="str">
        <f>VLOOKUP(L20,'[2]tabela de preços'!$A:$D,4,0)</f>
        <v>ANJO</v>
      </c>
      <c r="W20" t="str">
        <f>VLOOKUP(L20,'[2]tabela de preços'!$A:$F,6,0)</f>
        <v>THINNER DE LIMPEZA</v>
      </c>
      <c r="X20" t="str">
        <f>VLOOKUP(L20,'[2]tabela de preços'!$A:$G,7,0)</f>
        <v>THINNER</v>
      </c>
    </row>
    <row r="21" spans="1:24" x14ac:dyDescent="0.3">
      <c r="A21" t="s">
        <v>1847</v>
      </c>
      <c r="B21" t="s">
        <v>1848</v>
      </c>
      <c r="C21" t="s">
        <v>1852</v>
      </c>
      <c r="D21" s="1">
        <v>46024</v>
      </c>
      <c r="E21" t="s">
        <v>1853</v>
      </c>
      <c r="F21">
        <v>9</v>
      </c>
      <c r="G21">
        <v>236</v>
      </c>
      <c r="H21" t="str">
        <f>VLOOKUP(G21,[1]OPERADORES!$A:$B,2,0)</f>
        <v>DANIEL</v>
      </c>
      <c r="I21" t="s">
        <v>21</v>
      </c>
      <c r="J21" t="s">
        <v>357</v>
      </c>
      <c r="K21" t="s">
        <v>1851</v>
      </c>
      <c r="L21">
        <v>24293</v>
      </c>
      <c r="M21" t="s">
        <v>1241</v>
      </c>
      <c r="O21" t="s">
        <v>11</v>
      </c>
      <c r="P21">
        <v>5102</v>
      </c>
      <c r="Q21">
        <v>1</v>
      </c>
      <c r="R21">
        <v>30.59</v>
      </c>
      <c r="S21">
        <v>30.59</v>
      </c>
      <c r="T21">
        <v>21.93</v>
      </c>
      <c r="U21">
        <v>28.31</v>
      </c>
      <c r="V21" t="str">
        <f>VLOOKUP(L21,'[2]tabela de preços'!$A:$D,4,0)</f>
        <v>VONIXX</v>
      </c>
      <c r="W21" t="str">
        <f>VLOOKUP(L21,'[2]tabela de preços'!$A:$F,6,0)</f>
        <v>LINHA DE HIGENIZAÇÃO E ESTÉTICA  AUTOMOTIVA</v>
      </c>
      <c r="X21" t="str">
        <f>VLOOKUP(L21,'[2]tabela de preços'!$A:$G,7,0)</f>
        <v>AUTOMOTIVO</v>
      </c>
    </row>
    <row r="22" spans="1:24" x14ac:dyDescent="0.3">
      <c r="A22" t="s">
        <v>2025</v>
      </c>
      <c r="C22" t="s">
        <v>2026</v>
      </c>
      <c r="D22" s="1">
        <v>46024</v>
      </c>
      <c r="E22" t="s">
        <v>2027</v>
      </c>
      <c r="F22">
        <v>9</v>
      </c>
      <c r="G22">
        <v>174</v>
      </c>
      <c r="H22" t="str">
        <f>VLOOKUP(G22,[1]OPERADORES!$A:$B,2,0)</f>
        <v>MIRIÃ LOBATO RODRIGUES</v>
      </c>
      <c r="I22" t="s">
        <v>21</v>
      </c>
      <c r="J22" t="s">
        <v>762</v>
      </c>
      <c r="K22" t="s">
        <v>2028</v>
      </c>
      <c r="L22">
        <v>23433</v>
      </c>
      <c r="M22" t="s">
        <v>2029</v>
      </c>
      <c r="O22" t="s">
        <v>11</v>
      </c>
      <c r="P22">
        <v>5102</v>
      </c>
      <c r="Q22">
        <v>1</v>
      </c>
      <c r="R22">
        <v>153.11000000000001</v>
      </c>
      <c r="S22">
        <v>153.11000000000001</v>
      </c>
      <c r="T22">
        <v>116.21</v>
      </c>
      <c r="U22">
        <v>24.1</v>
      </c>
      <c r="V22" t="str">
        <f>VLOOKUP(L22,'[2]tabela de preços'!$A:$D,4,0)</f>
        <v>3M</v>
      </c>
      <c r="W22" t="str">
        <f>VLOOKUP(L22,'[2]tabela de preços'!$A:$F,6,0)</f>
        <v xml:space="preserve">MASCARAMENTO </v>
      </c>
      <c r="X22" t="str">
        <f>VLOOKUP(L22,'[2]tabela de preços'!$A:$G,7,0)</f>
        <v>AUTOMOTIVO</v>
      </c>
    </row>
    <row r="23" spans="1:24" x14ac:dyDescent="0.3">
      <c r="A23" t="s">
        <v>2025</v>
      </c>
      <c r="C23" t="s">
        <v>2026</v>
      </c>
      <c r="D23" s="1">
        <v>46024</v>
      </c>
      <c r="E23" t="s">
        <v>2027</v>
      </c>
      <c r="F23">
        <v>9</v>
      </c>
      <c r="G23">
        <v>174</v>
      </c>
      <c r="H23" t="str">
        <f>VLOOKUP(G23,[1]OPERADORES!$A:$B,2,0)</f>
        <v>MIRIÃ LOBATO RODRIGUES</v>
      </c>
      <c r="I23" t="s">
        <v>21</v>
      </c>
      <c r="J23" t="s">
        <v>762</v>
      </c>
      <c r="K23" t="s">
        <v>2028</v>
      </c>
      <c r="L23">
        <v>22684</v>
      </c>
      <c r="M23" t="s">
        <v>73</v>
      </c>
      <c r="O23" t="s">
        <v>11</v>
      </c>
      <c r="P23">
        <v>5102</v>
      </c>
      <c r="Q23">
        <v>10</v>
      </c>
      <c r="R23">
        <v>3.65</v>
      </c>
      <c r="S23">
        <v>36.5</v>
      </c>
      <c r="T23">
        <v>30.8</v>
      </c>
      <c r="U23">
        <v>15.62</v>
      </c>
      <c r="V23" t="str">
        <f>VLOOKUP(L23,'[2]tabela de preços'!$A:$D,4,0)</f>
        <v>3M</v>
      </c>
      <c r="W23" t="str">
        <f>VLOOKUP(L23,'[2]tabela de preços'!$A:$F,6,0)</f>
        <v>FITA AUTOMOTIVA</v>
      </c>
      <c r="X23" t="str">
        <f>VLOOKUP(L23,'[2]tabela de preços'!$A:$G,7,0)</f>
        <v>AUTOMOTIVO</v>
      </c>
    </row>
    <row r="24" spans="1:24" x14ac:dyDescent="0.3">
      <c r="A24" t="s">
        <v>2025</v>
      </c>
      <c r="C24" t="s">
        <v>2026</v>
      </c>
      <c r="D24" s="1">
        <v>46024</v>
      </c>
      <c r="E24" t="s">
        <v>2027</v>
      </c>
      <c r="F24">
        <v>9</v>
      </c>
      <c r="G24">
        <v>174</v>
      </c>
      <c r="H24" t="str">
        <f>VLOOKUP(G24,[1]OPERADORES!$A:$B,2,0)</f>
        <v>MIRIÃ LOBATO RODRIGUES</v>
      </c>
      <c r="I24" t="s">
        <v>21</v>
      </c>
      <c r="J24" t="s">
        <v>762</v>
      </c>
      <c r="K24" t="s">
        <v>2028</v>
      </c>
      <c r="L24">
        <v>22188</v>
      </c>
      <c r="M24" t="s">
        <v>78</v>
      </c>
      <c r="O24" t="s">
        <v>11</v>
      </c>
      <c r="P24">
        <v>5102</v>
      </c>
      <c r="Q24">
        <v>5</v>
      </c>
      <c r="R24">
        <v>12.89</v>
      </c>
      <c r="S24">
        <v>64.45</v>
      </c>
      <c r="T24">
        <v>54.45</v>
      </c>
      <c r="U24">
        <v>15.52</v>
      </c>
      <c r="V24" t="str">
        <f>VLOOKUP(L24,'[2]tabela de preços'!$A:$D,4,0)</f>
        <v>3M</v>
      </c>
      <c r="W24" t="str">
        <f>VLOOKUP(L24,'[2]tabela de preços'!$A:$F,6,0)</f>
        <v>FITA AUTOMOTIVA</v>
      </c>
      <c r="X24" t="str">
        <f>VLOOKUP(L24,'[2]tabela de preços'!$A:$G,7,0)</f>
        <v>AUTOMOTIVO</v>
      </c>
    </row>
    <row r="25" spans="1:24" x14ac:dyDescent="0.3">
      <c r="A25" t="s">
        <v>2025</v>
      </c>
      <c r="C25" t="s">
        <v>2026</v>
      </c>
      <c r="D25" s="1">
        <v>46024</v>
      </c>
      <c r="E25" t="s">
        <v>2027</v>
      </c>
      <c r="F25">
        <v>9</v>
      </c>
      <c r="G25">
        <v>174</v>
      </c>
      <c r="H25" t="str">
        <f>VLOOKUP(G25,[1]OPERADORES!$A:$B,2,0)</f>
        <v>MIRIÃ LOBATO RODRIGUES</v>
      </c>
      <c r="I25" t="s">
        <v>21</v>
      </c>
      <c r="J25" t="s">
        <v>762</v>
      </c>
      <c r="K25" t="s">
        <v>2028</v>
      </c>
      <c r="L25">
        <v>23653</v>
      </c>
      <c r="M25" t="s">
        <v>644</v>
      </c>
      <c r="O25" t="s">
        <v>11</v>
      </c>
      <c r="P25">
        <v>5102</v>
      </c>
      <c r="Q25">
        <v>1</v>
      </c>
      <c r="R25">
        <v>67.150000000000006</v>
      </c>
      <c r="S25">
        <v>67.150000000000006</v>
      </c>
      <c r="T25">
        <v>50.97</v>
      </c>
      <c r="U25">
        <v>24.1</v>
      </c>
      <c r="V25" t="str">
        <f>VLOOKUP(L25,'[2]tabela de preços'!$A:$D,4,0)</f>
        <v>SIKKENS</v>
      </c>
      <c r="W25" t="str">
        <f>VLOOKUP(L25,'[2]tabela de preços'!$A:$F,6,0)</f>
        <v>CATALISADORES INDIVIDUAS</v>
      </c>
      <c r="X25" t="str">
        <f>VLOOKUP(L25,'[2]tabela de preços'!$A:$G,7,0)</f>
        <v>AUTOMOTIVO</v>
      </c>
    </row>
    <row r="26" spans="1:24" x14ac:dyDescent="0.3">
      <c r="A26" t="s">
        <v>2025</v>
      </c>
      <c r="C26" t="s">
        <v>2026</v>
      </c>
      <c r="D26" s="1">
        <v>46024</v>
      </c>
      <c r="E26" t="s">
        <v>2027</v>
      </c>
      <c r="F26">
        <v>9</v>
      </c>
      <c r="G26">
        <v>174</v>
      </c>
      <c r="H26" t="str">
        <f>VLOOKUP(G26,[1]OPERADORES!$A:$B,2,0)</f>
        <v>MIRIÃ LOBATO RODRIGUES</v>
      </c>
      <c r="I26" t="s">
        <v>21</v>
      </c>
      <c r="J26" t="s">
        <v>762</v>
      </c>
      <c r="K26" t="s">
        <v>2028</v>
      </c>
      <c r="L26">
        <v>23926</v>
      </c>
      <c r="M26" t="s">
        <v>645</v>
      </c>
      <c r="O26" t="s">
        <v>11</v>
      </c>
      <c r="P26">
        <v>5403</v>
      </c>
      <c r="Q26">
        <v>1</v>
      </c>
      <c r="R26">
        <v>135.72</v>
      </c>
      <c r="S26">
        <v>135.72</v>
      </c>
      <c r="T26">
        <v>103.01</v>
      </c>
      <c r="U26">
        <v>24.1</v>
      </c>
      <c r="V26" t="str">
        <f>VLOOKUP(L26,'[2]tabela de preços'!$A:$D,4,0)</f>
        <v>SIKKENS</v>
      </c>
      <c r="W26" t="str">
        <f>VLOOKUP(L26,'[2]tabela de preços'!$A:$F,6,0)</f>
        <v>PRIMER AUTOMOTIVO</v>
      </c>
      <c r="X26" t="str">
        <f>VLOOKUP(L26,'[2]tabela de preços'!$A:$G,7,0)</f>
        <v>AUTOMOTIVO</v>
      </c>
    </row>
    <row r="27" spans="1:24" x14ac:dyDescent="0.3">
      <c r="A27" t="s">
        <v>2025</v>
      </c>
      <c r="C27" t="s">
        <v>2026</v>
      </c>
      <c r="D27" s="1">
        <v>46024</v>
      </c>
      <c r="E27" t="s">
        <v>2027</v>
      </c>
      <c r="F27">
        <v>9</v>
      </c>
      <c r="G27">
        <v>174</v>
      </c>
      <c r="H27" t="str">
        <f>VLOOKUP(G27,[1]OPERADORES!$A:$B,2,0)</f>
        <v>MIRIÃ LOBATO RODRIGUES</v>
      </c>
      <c r="I27" t="s">
        <v>21</v>
      </c>
      <c r="J27" t="s">
        <v>762</v>
      </c>
      <c r="K27" t="s">
        <v>2028</v>
      </c>
      <c r="L27">
        <v>10298</v>
      </c>
      <c r="M27" t="s">
        <v>85</v>
      </c>
      <c r="O27" t="s">
        <v>11</v>
      </c>
      <c r="P27">
        <v>5102</v>
      </c>
      <c r="Q27">
        <v>2</v>
      </c>
      <c r="R27">
        <v>56.8</v>
      </c>
      <c r="S27">
        <v>113.6</v>
      </c>
      <c r="T27">
        <v>94.76</v>
      </c>
      <c r="U27">
        <v>16.579999999999998</v>
      </c>
      <c r="V27" t="str">
        <f>VLOOKUP(L27,'[2]tabela de preços'!$A:$D,4,0)</f>
        <v>ANJO</v>
      </c>
      <c r="W27" t="str">
        <f>VLOOKUP(L27,'[2]tabela de preços'!$A:$F,6,0)</f>
        <v>THINNER DE LIMPEZA</v>
      </c>
      <c r="X27" t="str">
        <f>VLOOKUP(L27,'[2]tabela de preços'!$A:$G,7,0)</f>
        <v>THINNER</v>
      </c>
    </row>
    <row r="28" spans="1:24" x14ac:dyDescent="0.3">
      <c r="A28" t="s">
        <v>2206</v>
      </c>
      <c r="C28" t="s">
        <v>2207</v>
      </c>
      <c r="D28" s="1">
        <v>46024</v>
      </c>
      <c r="E28" t="s">
        <v>2208</v>
      </c>
      <c r="F28">
        <v>9</v>
      </c>
      <c r="G28">
        <v>145</v>
      </c>
      <c r="H28" t="str">
        <f>VLOOKUP(G28,[1]OPERADORES!$A:$B,2,0)</f>
        <v xml:space="preserve">FABRICIA </v>
      </c>
      <c r="I28" t="s">
        <v>2209</v>
      </c>
      <c r="J28" t="s">
        <v>2210</v>
      </c>
      <c r="K28" t="s">
        <v>2211</v>
      </c>
      <c r="L28">
        <v>84201</v>
      </c>
      <c r="M28" t="s">
        <v>1005</v>
      </c>
      <c r="O28" t="s">
        <v>11</v>
      </c>
      <c r="P28">
        <v>6403</v>
      </c>
      <c r="Q28">
        <v>5</v>
      </c>
      <c r="R28">
        <v>80.14</v>
      </c>
      <c r="S28">
        <v>400.7</v>
      </c>
      <c r="T28">
        <v>329.1</v>
      </c>
      <c r="U28">
        <v>17.87</v>
      </c>
      <c r="V28" t="str">
        <f>VLOOKUP(L28,'[2]tabela de preços'!$A:$D,4,0)</f>
        <v>BRASILUX</v>
      </c>
      <c r="W28" t="str">
        <f>VLOOKUP(L28,'[2]tabela de preços'!$A:$F,6,0)</f>
        <v>SELADOR ACRÍLICO</v>
      </c>
      <c r="X28" t="str">
        <f>VLOOKUP(L28,'[2]tabela de preços'!$A:$G,7,0)</f>
        <v>IMOBILIÁRIO</v>
      </c>
    </row>
    <row r="29" spans="1:24" x14ac:dyDescent="0.3">
      <c r="A29" t="s">
        <v>2206</v>
      </c>
      <c r="C29" t="s">
        <v>2207</v>
      </c>
      <c r="D29" s="1">
        <v>46024</v>
      </c>
      <c r="E29" t="s">
        <v>2208</v>
      </c>
      <c r="F29">
        <v>9</v>
      </c>
      <c r="G29">
        <v>145</v>
      </c>
      <c r="H29" t="str">
        <f>VLOOKUP(G29,[1]OPERADORES!$A:$B,2,0)</f>
        <v xml:space="preserve">FABRICIA </v>
      </c>
      <c r="I29" t="s">
        <v>2209</v>
      </c>
      <c r="J29" t="s">
        <v>2210</v>
      </c>
      <c r="K29" t="s">
        <v>2211</v>
      </c>
      <c r="L29">
        <v>21254</v>
      </c>
      <c r="M29" t="s">
        <v>2212</v>
      </c>
      <c r="O29" t="s">
        <v>11</v>
      </c>
      <c r="P29">
        <v>6403</v>
      </c>
      <c r="Q29">
        <v>1</v>
      </c>
      <c r="R29">
        <v>200.74</v>
      </c>
      <c r="S29">
        <v>200.74</v>
      </c>
      <c r="T29">
        <v>198.93</v>
      </c>
      <c r="U29">
        <v>0.9</v>
      </c>
      <c r="V29" t="str">
        <f>VLOOKUP(L29,'[2]tabela de preços'!$A:$D,4,0)</f>
        <v>WANDA</v>
      </c>
      <c r="W29" t="str">
        <f>VLOOKUP(L29,'[2]tabela de preços'!$A:$F,6,0)</f>
        <v>BASES POLIÉSTER</v>
      </c>
      <c r="X29" t="str">
        <f>VLOOKUP(L29,'[2]tabela de preços'!$A:$G,7,0)</f>
        <v>AUTOMOTIVO</v>
      </c>
    </row>
    <row r="30" spans="1:24" x14ac:dyDescent="0.3">
      <c r="A30" t="s">
        <v>2333</v>
      </c>
      <c r="B30" t="s">
        <v>2334</v>
      </c>
      <c r="C30" t="s">
        <v>2335</v>
      </c>
      <c r="D30" s="1">
        <v>46024</v>
      </c>
      <c r="E30" t="s">
        <v>2336</v>
      </c>
      <c r="F30">
        <v>9</v>
      </c>
      <c r="G30">
        <v>174</v>
      </c>
      <c r="H30" t="str">
        <f>VLOOKUP(G30,[1]OPERADORES!$A:$B,2,0)</f>
        <v>MIRIÃ LOBATO RODRIGUES</v>
      </c>
      <c r="I30" t="s">
        <v>126</v>
      </c>
      <c r="J30" t="s">
        <v>2337</v>
      </c>
      <c r="K30" t="s">
        <v>2338</v>
      </c>
      <c r="L30">
        <v>84030</v>
      </c>
      <c r="M30" t="s">
        <v>900</v>
      </c>
      <c r="O30" t="s">
        <v>11</v>
      </c>
      <c r="P30">
        <v>6102</v>
      </c>
      <c r="Q30">
        <v>6</v>
      </c>
      <c r="R30">
        <v>55.81</v>
      </c>
      <c r="S30">
        <v>334.86</v>
      </c>
      <c r="T30">
        <v>254.16</v>
      </c>
      <c r="U30">
        <v>24.1</v>
      </c>
      <c r="V30" t="str">
        <f>VLOOKUP(L30,'[2]tabela de preços'!$A:$D,4,0)</f>
        <v>BRASILUX</v>
      </c>
      <c r="W30" t="str">
        <f>VLOOKUP(L30,'[2]tabela de preços'!$A:$F,6,0)</f>
        <v>AGUARRAS</v>
      </c>
      <c r="X30" t="str">
        <f>VLOOKUP(L30,'[2]tabela de preços'!$A:$G,7,0)</f>
        <v>IMOBILIÁRIO</v>
      </c>
    </row>
    <row r="31" spans="1:24" x14ac:dyDescent="0.3">
      <c r="A31" t="s">
        <v>2333</v>
      </c>
      <c r="B31" t="s">
        <v>2334</v>
      </c>
      <c r="C31" t="s">
        <v>2335</v>
      </c>
      <c r="D31" s="1">
        <v>46024</v>
      </c>
      <c r="E31" t="s">
        <v>2336</v>
      </c>
      <c r="F31">
        <v>9</v>
      </c>
      <c r="G31">
        <v>174</v>
      </c>
      <c r="H31" t="str">
        <f>VLOOKUP(G31,[1]OPERADORES!$A:$B,2,0)</f>
        <v>MIRIÃ LOBATO RODRIGUES</v>
      </c>
      <c r="I31" t="s">
        <v>126</v>
      </c>
      <c r="J31" t="s">
        <v>2337</v>
      </c>
      <c r="K31" t="s">
        <v>2338</v>
      </c>
      <c r="L31">
        <v>84029</v>
      </c>
      <c r="M31" t="s">
        <v>29</v>
      </c>
      <c r="O31" t="s">
        <v>11</v>
      </c>
      <c r="P31">
        <v>6102</v>
      </c>
      <c r="Q31">
        <v>12</v>
      </c>
      <c r="R31">
        <v>11.45</v>
      </c>
      <c r="S31">
        <v>137.4</v>
      </c>
      <c r="T31">
        <v>104.28</v>
      </c>
      <c r="U31">
        <v>24.1</v>
      </c>
      <c r="V31" t="str">
        <f>VLOOKUP(L31,'[2]tabela de preços'!$A:$D,4,0)</f>
        <v>BRASILUX</v>
      </c>
      <c r="W31" t="str">
        <f>VLOOKUP(L31,'[2]tabela de preços'!$A:$F,6,0)</f>
        <v>AGUARRAS</v>
      </c>
      <c r="X31" t="str">
        <f>VLOOKUP(L31,'[2]tabela de preços'!$A:$G,7,0)</f>
        <v>IMOBILIÁRIO</v>
      </c>
    </row>
    <row r="32" spans="1:24" x14ac:dyDescent="0.3">
      <c r="A32" t="s">
        <v>2333</v>
      </c>
      <c r="B32" t="s">
        <v>2334</v>
      </c>
      <c r="C32" t="s">
        <v>2335</v>
      </c>
      <c r="D32" s="1">
        <v>46024</v>
      </c>
      <c r="E32" t="s">
        <v>2336</v>
      </c>
      <c r="F32">
        <v>9</v>
      </c>
      <c r="G32">
        <v>174</v>
      </c>
      <c r="H32" t="str">
        <f>VLOOKUP(G32,[1]OPERADORES!$A:$B,2,0)</f>
        <v>MIRIÃ LOBATO RODRIGUES</v>
      </c>
      <c r="I32" t="s">
        <v>126</v>
      </c>
      <c r="J32" t="s">
        <v>2337</v>
      </c>
      <c r="K32" t="s">
        <v>2338</v>
      </c>
      <c r="L32">
        <v>84020</v>
      </c>
      <c r="M32" t="s">
        <v>518</v>
      </c>
      <c r="O32" t="s">
        <v>11</v>
      </c>
      <c r="P32">
        <v>6102</v>
      </c>
      <c r="Q32">
        <v>50</v>
      </c>
      <c r="R32">
        <v>0.82</v>
      </c>
      <c r="S32">
        <v>41</v>
      </c>
      <c r="T32">
        <v>34.5</v>
      </c>
      <c r="U32">
        <v>15.85</v>
      </c>
      <c r="V32" t="str">
        <f>VLOOKUP(L32,'[2]tabela de preços'!$A:$D,4,0)</f>
        <v>3M</v>
      </c>
      <c r="W32" t="str">
        <f>VLOOKUP(L32,'[2]tabela de preços'!$A:$F,6,0)</f>
        <v>LIXA MASSA  /MADEIRA / PAREDE</v>
      </c>
      <c r="X32" t="str">
        <f>VLOOKUP(L32,'[2]tabela de preços'!$A:$G,7,0)</f>
        <v>IMOBILIÁRIO</v>
      </c>
    </row>
    <row r="33" spans="1:24" x14ac:dyDescent="0.3">
      <c r="A33" t="s">
        <v>2333</v>
      </c>
      <c r="B33" t="s">
        <v>2334</v>
      </c>
      <c r="C33" t="s">
        <v>2335</v>
      </c>
      <c r="D33" s="1">
        <v>46024</v>
      </c>
      <c r="E33" t="s">
        <v>2336</v>
      </c>
      <c r="F33">
        <v>9</v>
      </c>
      <c r="G33">
        <v>174</v>
      </c>
      <c r="H33" t="str">
        <f>VLOOKUP(G33,[1]OPERADORES!$A:$B,2,0)</f>
        <v>MIRIÃ LOBATO RODRIGUES</v>
      </c>
      <c r="I33" t="s">
        <v>126</v>
      </c>
      <c r="J33" t="s">
        <v>2337</v>
      </c>
      <c r="K33" t="s">
        <v>2338</v>
      </c>
      <c r="L33">
        <v>84016</v>
      </c>
      <c r="M33" t="s">
        <v>862</v>
      </c>
      <c r="O33" t="s">
        <v>11</v>
      </c>
      <c r="P33">
        <v>6102</v>
      </c>
      <c r="Q33">
        <v>50</v>
      </c>
      <c r="R33">
        <v>0.52</v>
      </c>
      <c r="S33">
        <v>26</v>
      </c>
      <c r="T33">
        <v>23</v>
      </c>
      <c r="U33">
        <v>11.54</v>
      </c>
      <c r="V33" t="str">
        <f>VLOOKUP(L33,'[2]tabela de preços'!$A:$D,4,0)</f>
        <v>3M</v>
      </c>
      <c r="W33" t="str">
        <f>VLOOKUP(L33,'[2]tabela de preços'!$A:$F,6,0)</f>
        <v>LIXA MASSA  /MADEIRA / PAREDE</v>
      </c>
      <c r="X33" t="str">
        <f>VLOOKUP(L33,'[2]tabela de preços'!$A:$G,7,0)</f>
        <v>IMOBILIÁRIO</v>
      </c>
    </row>
    <row r="34" spans="1:24" x14ac:dyDescent="0.3">
      <c r="A34" t="s">
        <v>2333</v>
      </c>
      <c r="B34" t="s">
        <v>2334</v>
      </c>
      <c r="C34" t="s">
        <v>2335</v>
      </c>
      <c r="D34" s="1">
        <v>46024</v>
      </c>
      <c r="E34" t="s">
        <v>2336</v>
      </c>
      <c r="F34">
        <v>9</v>
      </c>
      <c r="G34">
        <v>174</v>
      </c>
      <c r="H34" t="str">
        <f>VLOOKUP(G34,[1]OPERADORES!$A:$B,2,0)</f>
        <v>MIRIÃ LOBATO RODRIGUES</v>
      </c>
      <c r="I34" t="s">
        <v>126</v>
      </c>
      <c r="J34" t="s">
        <v>2337</v>
      </c>
      <c r="K34" t="s">
        <v>2338</v>
      </c>
      <c r="L34">
        <v>84017</v>
      </c>
      <c r="M34" t="s">
        <v>519</v>
      </c>
      <c r="O34" t="s">
        <v>11</v>
      </c>
      <c r="P34">
        <v>6102</v>
      </c>
      <c r="Q34">
        <v>100</v>
      </c>
      <c r="R34">
        <v>0.52</v>
      </c>
      <c r="S34">
        <v>52</v>
      </c>
      <c r="T34">
        <v>46</v>
      </c>
      <c r="U34">
        <v>11.54</v>
      </c>
      <c r="V34" t="str">
        <f>VLOOKUP(L34,'[2]tabela de preços'!$A:$D,4,0)</f>
        <v>3M</v>
      </c>
      <c r="W34" t="str">
        <f>VLOOKUP(L34,'[2]tabela de preços'!$A:$F,6,0)</f>
        <v>LIXA MASSA  /MADEIRA / PAREDE</v>
      </c>
      <c r="X34" t="str">
        <f>VLOOKUP(L34,'[2]tabela de preços'!$A:$G,7,0)</f>
        <v>IMOBILIÁRIO</v>
      </c>
    </row>
    <row r="35" spans="1:24" x14ac:dyDescent="0.3">
      <c r="A35" t="s">
        <v>2333</v>
      </c>
      <c r="B35" t="s">
        <v>2334</v>
      </c>
      <c r="C35" t="s">
        <v>2335</v>
      </c>
      <c r="D35" s="1">
        <v>46024</v>
      </c>
      <c r="E35" t="s">
        <v>2336</v>
      </c>
      <c r="F35">
        <v>9</v>
      </c>
      <c r="G35">
        <v>174</v>
      </c>
      <c r="H35" t="str">
        <f>VLOOKUP(G35,[1]OPERADORES!$A:$B,2,0)</f>
        <v>MIRIÃ LOBATO RODRIGUES</v>
      </c>
      <c r="I35" t="s">
        <v>126</v>
      </c>
      <c r="J35" t="s">
        <v>2337</v>
      </c>
      <c r="K35" t="s">
        <v>2338</v>
      </c>
      <c r="L35">
        <v>84018</v>
      </c>
      <c r="M35" t="s">
        <v>818</v>
      </c>
      <c r="O35" t="s">
        <v>11</v>
      </c>
      <c r="P35">
        <v>6102</v>
      </c>
      <c r="Q35">
        <v>50</v>
      </c>
      <c r="R35">
        <v>0.52</v>
      </c>
      <c r="S35">
        <v>26</v>
      </c>
      <c r="T35">
        <v>23</v>
      </c>
      <c r="U35">
        <v>11.54</v>
      </c>
      <c r="V35" t="str">
        <f>VLOOKUP(L35,'[2]tabela de preços'!$A:$D,4,0)</f>
        <v>3M</v>
      </c>
      <c r="W35" t="str">
        <f>VLOOKUP(L35,'[2]tabela de preços'!$A:$F,6,0)</f>
        <v>LIXA MASSA  /MADEIRA / PAREDE</v>
      </c>
      <c r="X35" t="str">
        <f>VLOOKUP(L35,'[2]tabela de preços'!$A:$G,7,0)</f>
        <v>IMOBILIÁRIO</v>
      </c>
    </row>
    <row r="36" spans="1:24" x14ac:dyDescent="0.3">
      <c r="A36" t="s">
        <v>2333</v>
      </c>
      <c r="B36" t="s">
        <v>2334</v>
      </c>
      <c r="C36" t="s">
        <v>2335</v>
      </c>
      <c r="D36" s="1">
        <v>46024</v>
      </c>
      <c r="E36" t="s">
        <v>2336</v>
      </c>
      <c r="F36">
        <v>9</v>
      </c>
      <c r="G36">
        <v>174</v>
      </c>
      <c r="H36" t="str">
        <f>VLOOKUP(G36,[1]OPERADORES!$A:$B,2,0)</f>
        <v>MIRIÃ LOBATO RODRIGUES</v>
      </c>
      <c r="I36" t="s">
        <v>126</v>
      </c>
      <c r="J36" t="s">
        <v>2337</v>
      </c>
      <c r="K36" t="s">
        <v>2338</v>
      </c>
      <c r="L36">
        <v>10240</v>
      </c>
      <c r="M36" t="s">
        <v>81</v>
      </c>
      <c r="O36" t="s">
        <v>11</v>
      </c>
      <c r="P36">
        <v>6102</v>
      </c>
      <c r="Q36">
        <v>100</v>
      </c>
      <c r="R36">
        <v>2.79</v>
      </c>
      <c r="S36">
        <v>279</v>
      </c>
      <c r="T36">
        <v>228</v>
      </c>
      <c r="U36">
        <v>18.28</v>
      </c>
      <c r="V36" t="str">
        <f>VLOOKUP(L36,'[2]tabela de preços'!$A:$D,4,0)</f>
        <v>NORTON</v>
      </c>
      <c r="W36" t="str">
        <f>VLOOKUP(L36,'[2]tabela de preços'!$A:$F,6,0)</f>
        <v xml:space="preserve">DISCOS / LIXAS / ABRASIVOS </v>
      </c>
      <c r="X36" t="str">
        <f>VLOOKUP(L36,'[2]tabela de preços'!$A:$G,7,0)</f>
        <v>AUTOMOTIVO</v>
      </c>
    </row>
    <row r="37" spans="1:24" x14ac:dyDescent="0.3">
      <c r="A37" t="s">
        <v>2333</v>
      </c>
      <c r="B37" t="s">
        <v>2334</v>
      </c>
      <c r="C37" t="s">
        <v>2335</v>
      </c>
      <c r="D37" s="1">
        <v>46024</v>
      </c>
      <c r="E37" t="s">
        <v>2336</v>
      </c>
      <c r="F37">
        <v>9</v>
      </c>
      <c r="G37">
        <v>174</v>
      </c>
      <c r="H37" t="str">
        <f>VLOOKUP(G37,[1]OPERADORES!$A:$B,2,0)</f>
        <v>MIRIÃ LOBATO RODRIGUES</v>
      </c>
      <c r="I37" t="s">
        <v>126</v>
      </c>
      <c r="J37" t="s">
        <v>2337</v>
      </c>
      <c r="K37" t="s">
        <v>2338</v>
      </c>
      <c r="L37">
        <v>84702</v>
      </c>
      <c r="M37" t="s">
        <v>2339</v>
      </c>
      <c r="O37" t="s">
        <v>11</v>
      </c>
      <c r="P37">
        <v>6102</v>
      </c>
      <c r="Q37">
        <v>12</v>
      </c>
      <c r="R37">
        <v>36.01</v>
      </c>
      <c r="S37">
        <v>432.12</v>
      </c>
      <c r="T37">
        <v>327.96</v>
      </c>
      <c r="U37">
        <v>24.1</v>
      </c>
      <c r="V37" t="str">
        <f>VLOOKUP(L37,'[2]tabela de preços'!$A:$D,4,0)</f>
        <v>ATLAS</v>
      </c>
      <c r="W37" t="str">
        <f>VLOOKUP(L37,'[2]tabela de preços'!$A:$F,6,0)</f>
        <v>ROLOS / TRINCHAS / PINCÉIS / ESPÁTULAS</v>
      </c>
      <c r="X37" t="str">
        <f>VLOOKUP(L37,'[2]tabela de preços'!$A:$G,7,0)</f>
        <v>IMOBILIÁRIO</v>
      </c>
    </row>
    <row r="38" spans="1:24" x14ac:dyDescent="0.3">
      <c r="A38" t="s">
        <v>2333</v>
      </c>
      <c r="B38" t="s">
        <v>2334</v>
      </c>
      <c r="C38" t="s">
        <v>2335</v>
      </c>
      <c r="D38" s="1">
        <v>46024</v>
      </c>
      <c r="E38" t="s">
        <v>2336</v>
      </c>
      <c r="F38">
        <v>9</v>
      </c>
      <c r="G38">
        <v>174</v>
      </c>
      <c r="H38" t="str">
        <f>VLOOKUP(G38,[1]OPERADORES!$A:$B,2,0)</f>
        <v>MIRIÃ LOBATO RODRIGUES</v>
      </c>
      <c r="I38" t="s">
        <v>126</v>
      </c>
      <c r="J38" t="s">
        <v>2337</v>
      </c>
      <c r="K38" t="s">
        <v>2338</v>
      </c>
      <c r="L38">
        <v>10298</v>
      </c>
      <c r="M38" t="s">
        <v>85</v>
      </c>
      <c r="O38" t="s">
        <v>11</v>
      </c>
      <c r="P38">
        <v>6102</v>
      </c>
      <c r="Q38">
        <v>12</v>
      </c>
      <c r="R38">
        <v>56.8</v>
      </c>
      <c r="S38">
        <v>681.6</v>
      </c>
      <c r="T38">
        <v>568.55999999999995</v>
      </c>
      <c r="U38">
        <v>16.579999999999998</v>
      </c>
      <c r="V38" t="str">
        <f>VLOOKUP(L38,'[2]tabela de preços'!$A:$D,4,0)</f>
        <v>ANJO</v>
      </c>
      <c r="W38" t="str">
        <f>VLOOKUP(L38,'[2]tabela de preços'!$A:$F,6,0)</f>
        <v>THINNER DE LIMPEZA</v>
      </c>
      <c r="X38" t="str">
        <f>VLOOKUP(L38,'[2]tabela de preços'!$A:$G,7,0)</f>
        <v>THINNER</v>
      </c>
    </row>
    <row r="39" spans="1:24" x14ac:dyDescent="0.3">
      <c r="A39" t="s">
        <v>2333</v>
      </c>
      <c r="B39" t="s">
        <v>2334</v>
      </c>
      <c r="C39" t="s">
        <v>2335</v>
      </c>
      <c r="D39" s="1">
        <v>46024</v>
      </c>
      <c r="E39" t="s">
        <v>2336</v>
      </c>
      <c r="F39">
        <v>9</v>
      </c>
      <c r="G39">
        <v>174</v>
      </c>
      <c r="H39" t="str">
        <f>VLOOKUP(G39,[1]OPERADORES!$A:$B,2,0)</f>
        <v>MIRIÃ LOBATO RODRIGUES</v>
      </c>
      <c r="I39" t="s">
        <v>126</v>
      </c>
      <c r="J39" t="s">
        <v>2337</v>
      </c>
      <c r="K39" t="s">
        <v>2338</v>
      </c>
      <c r="L39">
        <v>10297</v>
      </c>
      <c r="M39" t="s">
        <v>41</v>
      </c>
      <c r="O39" t="s">
        <v>11</v>
      </c>
      <c r="P39">
        <v>6102</v>
      </c>
      <c r="Q39">
        <v>24</v>
      </c>
      <c r="R39">
        <v>10.95</v>
      </c>
      <c r="S39">
        <v>262.8</v>
      </c>
      <c r="T39">
        <v>220.08</v>
      </c>
      <c r="U39">
        <v>16.260000000000002</v>
      </c>
      <c r="V39" t="str">
        <f>VLOOKUP(L39,'[2]tabela de preços'!$A:$D,4,0)</f>
        <v>ANJO</v>
      </c>
      <c r="W39" t="str">
        <f>VLOOKUP(L39,'[2]tabela de preços'!$A:$F,6,0)</f>
        <v>THINNER DE LIMPEZA</v>
      </c>
      <c r="X39" t="str">
        <f>VLOOKUP(L39,'[2]tabela de preços'!$A:$G,7,0)</f>
        <v>THINNER</v>
      </c>
    </row>
    <row r="40" spans="1:24" x14ac:dyDescent="0.3">
      <c r="A40" t="s">
        <v>63</v>
      </c>
      <c r="C40" t="s">
        <v>64</v>
      </c>
      <c r="D40" s="1">
        <v>46027</v>
      </c>
      <c r="E40" t="s">
        <v>65</v>
      </c>
      <c r="F40">
        <v>9</v>
      </c>
      <c r="G40">
        <v>236</v>
      </c>
      <c r="H40" t="str">
        <f>VLOOKUP(G40,[1]OPERADORES!$A:$B,2,0)</f>
        <v>DANIEL</v>
      </c>
      <c r="I40" t="s">
        <v>21</v>
      </c>
      <c r="J40" t="s">
        <v>66</v>
      </c>
      <c r="K40" t="s">
        <v>67</v>
      </c>
      <c r="L40">
        <v>10333</v>
      </c>
      <c r="M40" t="s">
        <v>68</v>
      </c>
      <c r="O40" t="s">
        <v>11</v>
      </c>
      <c r="P40">
        <v>5102</v>
      </c>
      <c r="Q40">
        <v>6</v>
      </c>
      <c r="R40">
        <v>28.65</v>
      </c>
      <c r="S40">
        <v>171.9</v>
      </c>
      <c r="T40">
        <v>130.44</v>
      </c>
      <c r="U40">
        <v>24.12</v>
      </c>
      <c r="V40" t="str">
        <f>VLOOKUP(L40,'[2]tabela de preços'!$A:$D,4,0)</f>
        <v>ANJO</v>
      </c>
      <c r="W40" t="str">
        <f>VLOOKUP(L40,'[2]tabela de preços'!$A:$F,6,0)</f>
        <v>REMOVEDOR PASTOSO</v>
      </c>
      <c r="X40" t="str">
        <f>VLOOKUP(L40,'[2]tabela de preços'!$A:$G,7,0)</f>
        <v>AUTOMOTIVO</v>
      </c>
    </row>
    <row r="41" spans="1:24" x14ac:dyDescent="0.3">
      <c r="A41" t="s">
        <v>186</v>
      </c>
      <c r="C41" t="s">
        <v>187</v>
      </c>
      <c r="D41" s="1">
        <v>46027</v>
      </c>
      <c r="E41" t="s">
        <v>188</v>
      </c>
      <c r="F41">
        <v>9</v>
      </c>
      <c r="G41">
        <v>236</v>
      </c>
      <c r="H41" t="str">
        <f>VLOOKUP(G41,[1]OPERADORES!$A:$B,2,0)</f>
        <v>DANIEL</v>
      </c>
      <c r="I41" t="s">
        <v>21</v>
      </c>
      <c r="J41" t="s">
        <v>189</v>
      </c>
      <c r="K41" t="s">
        <v>190</v>
      </c>
      <c r="L41">
        <v>83870</v>
      </c>
      <c r="M41" t="s">
        <v>191</v>
      </c>
      <c r="O41" t="s">
        <v>11</v>
      </c>
      <c r="P41">
        <v>5102</v>
      </c>
      <c r="Q41">
        <v>2</v>
      </c>
      <c r="R41">
        <v>41.3</v>
      </c>
      <c r="S41">
        <v>82.6</v>
      </c>
      <c r="T41">
        <v>62.7</v>
      </c>
      <c r="U41">
        <v>24.09</v>
      </c>
      <c r="V41" t="str">
        <f>VLOOKUP(L41,'[2]tabela de preços'!$A:$D,4,0)</f>
        <v>VONIXX</v>
      </c>
      <c r="W41" t="str">
        <f>VLOOKUP(L41,'[2]tabela de preços'!$A:$F,6,0)</f>
        <v>LINHA DE HIGENIZAÇÃO E ESTÉTICA  AUTOMOTIVA</v>
      </c>
      <c r="X41" t="str">
        <f>VLOOKUP(L41,'[2]tabela de preços'!$A:$G,7,0)</f>
        <v>AUTOMOTIVO</v>
      </c>
    </row>
    <row r="42" spans="1:24" x14ac:dyDescent="0.3">
      <c r="A42" t="s">
        <v>186</v>
      </c>
      <c r="C42" t="s">
        <v>187</v>
      </c>
      <c r="D42" s="1">
        <v>46027</v>
      </c>
      <c r="E42" t="s">
        <v>188</v>
      </c>
      <c r="F42">
        <v>9</v>
      </c>
      <c r="G42">
        <v>236</v>
      </c>
      <c r="H42" t="str">
        <f>VLOOKUP(G42,[1]OPERADORES!$A:$B,2,0)</f>
        <v>DANIEL</v>
      </c>
      <c r="I42" t="s">
        <v>21</v>
      </c>
      <c r="J42" t="s">
        <v>189</v>
      </c>
      <c r="K42" t="s">
        <v>190</v>
      </c>
      <c r="L42">
        <v>23713</v>
      </c>
      <c r="M42" t="s">
        <v>192</v>
      </c>
      <c r="O42" t="s">
        <v>11</v>
      </c>
      <c r="P42">
        <v>5102</v>
      </c>
      <c r="Q42">
        <v>1</v>
      </c>
      <c r="R42">
        <v>37.9</v>
      </c>
      <c r="S42">
        <v>37.9</v>
      </c>
      <c r="T42">
        <v>30.9</v>
      </c>
      <c r="U42">
        <v>18.47</v>
      </c>
      <c r="V42" t="str">
        <f>VLOOKUP(L42,'[2]tabela de preços'!$A:$D,4,0)</f>
        <v>NEW PAD</v>
      </c>
      <c r="W42" t="str">
        <f>VLOOKUP(L42,'[2]tabela de preços'!$A:$F,6,0)</f>
        <v>BOINAS PARA POLIMENTO</v>
      </c>
      <c r="X42" t="str">
        <f>VLOOKUP(L42,'[2]tabela de preços'!$A:$G,7,0)</f>
        <v>AUTOMOTIVO</v>
      </c>
    </row>
    <row r="43" spans="1:24" x14ac:dyDescent="0.3">
      <c r="A43" t="s">
        <v>186</v>
      </c>
      <c r="C43" t="s">
        <v>187</v>
      </c>
      <c r="D43" s="1">
        <v>46027</v>
      </c>
      <c r="E43" t="s">
        <v>188</v>
      </c>
      <c r="F43">
        <v>9</v>
      </c>
      <c r="G43">
        <v>236</v>
      </c>
      <c r="H43" t="str">
        <f>VLOOKUP(G43,[1]OPERADORES!$A:$B,2,0)</f>
        <v>DANIEL</v>
      </c>
      <c r="I43" t="s">
        <v>21</v>
      </c>
      <c r="J43" t="s">
        <v>189</v>
      </c>
      <c r="K43" t="s">
        <v>190</v>
      </c>
      <c r="L43">
        <v>10230</v>
      </c>
      <c r="M43" t="s">
        <v>193</v>
      </c>
      <c r="O43" t="s">
        <v>11</v>
      </c>
      <c r="P43">
        <v>5102</v>
      </c>
      <c r="Q43">
        <v>5</v>
      </c>
      <c r="R43">
        <v>2.79</v>
      </c>
      <c r="S43">
        <v>13.95</v>
      </c>
      <c r="T43">
        <v>11.8</v>
      </c>
      <c r="U43">
        <v>15.41</v>
      </c>
      <c r="V43" t="str">
        <f>VLOOKUP(L43,'[2]tabela de preços'!$A:$D,4,0)</f>
        <v>NORTON</v>
      </c>
      <c r="W43" t="str">
        <f>VLOOKUP(L43,'[2]tabela de preços'!$A:$F,6,0)</f>
        <v xml:space="preserve">DISCOS / LIXAS / ABRASIVOS </v>
      </c>
      <c r="X43" t="str">
        <f>VLOOKUP(L43,'[2]tabela de preços'!$A:$G,7,0)</f>
        <v>AUTOMOTIVO</v>
      </c>
    </row>
    <row r="44" spans="1:24" x14ac:dyDescent="0.3">
      <c r="A44" t="s">
        <v>186</v>
      </c>
      <c r="C44" t="s">
        <v>187</v>
      </c>
      <c r="D44" s="1">
        <v>46027</v>
      </c>
      <c r="E44" t="s">
        <v>188</v>
      </c>
      <c r="F44">
        <v>9</v>
      </c>
      <c r="G44">
        <v>236</v>
      </c>
      <c r="H44" t="str">
        <f>VLOOKUP(G44,[1]OPERADORES!$A:$B,2,0)</f>
        <v>DANIEL</v>
      </c>
      <c r="I44" t="s">
        <v>21</v>
      </c>
      <c r="J44" t="s">
        <v>189</v>
      </c>
      <c r="K44" t="s">
        <v>190</v>
      </c>
      <c r="L44">
        <v>22173</v>
      </c>
      <c r="M44" t="s">
        <v>194</v>
      </c>
      <c r="O44" t="s">
        <v>11</v>
      </c>
      <c r="P44">
        <v>5102</v>
      </c>
      <c r="Q44">
        <v>20</v>
      </c>
      <c r="R44">
        <v>4.74</v>
      </c>
      <c r="S44">
        <v>94.8</v>
      </c>
      <c r="T44">
        <v>69.599999999999994</v>
      </c>
      <c r="U44">
        <v>26.58</v>
      </c>
      <c r="V44" t="str">
        <f>VLOOKUP(L44,'[2]tabela de preços'!$A:$D,4,0)</f>
        <v>3M</v>
      </c>
      <c r="W44" t="str">
        <f>VLOOKUP(L44,'[2]tabela de preços'!$A:$F,6,0)</f>
        <v>FITA AUTOMOTIVA</v>
      </c>
      <c r="X44" t="str">
        <f>VLOOKUP(L44,'[2]tabela de preços'!$A:$G,7,0)</f>
        <v>AUTOMOTIVO</v>
      </c>
    </row>
    <row r="45" spans="1:24" x14ac:dyDescent="0.3">
      <c r="A45" t="s">
        <v>186</v>
      </c>
      <c r="C45" t="s">
        <v>187</v>
      </c>
      <c r="D45" s="1">
        <v>46027</v>
      </c>
      <c r="E45" t="s">
        <v>188</v>
      </c>
      <c r="F45">
        <v>9</v>
      </c>
      <c r="G45">
        <v>236</v>
      </c>
      <c r="H45" t="str">
        <f>VLOOKUP(G45,[1]OPERADORES!$A:$B,2,0)</f>
        <v>DANIEL</v>
      </c>
      <c r="I45" t="s">
        <v>21</v>
      </c>
      <c r="J45" t="s">
        <v>189</v>
      </c>
      <c r="K45" t="s">
        <v>190</v>
      </c>
      <c r="L45">
        <v>10238</v>
      </c>
      <c r="M45" t="s">
        <v>79</v>
      </c>
      <c r="O45" t="s">
        <v>11</v>
      </c>
      <c r="P45">
        <v>5102</v>
      </c>
      <c r="Q45">
        <v>5</v>
      </c>
      <c r="R45">
        <v>2.79</v>
      </c>
      <c r="S45">
        <v>13.95</v>
      </c>
      <c r="T45">
        <v>11.35</v>
      </c>
      <c r="U45">
        <v>18.64</v>
      </c>
      <c r="V45" t="str">
        <f>VLOOKUP(L45,'[2]tabela de preços'!$A:$D,4,0)</f>
        <v>NORTON</v>
      </c>
      <c r="W45" t="str">
        <f>VLOOKUP(L45,'[2]tabela de preços'!$A:$F,6,0)</f>
        <v xml:space="preserve">DISCOS / LIXAS / ABRASIVOS </v>
      </c>
      <c r="X45" t="str">
        <f>VLOOKUP(L45,'[2]tabela de preços'!$A:$G,7,0)</f>
        <v>AUTOMOTIVO</v>
      </c>
    </row>
    <row r="46" spans="1:24" x14ac:dyDescent="0.3">
      <c r="A46" t="s">
        <v>186</v>
      </c>
      <c r="C46" t="s">
        <v>187</v>
      </c>
      <c r="D46" s="1">
        <v>46027</v>
      </c>
      <c r="E46" t="s">
        <v>188</v>
      </c>
      <c r="F46">
        <v>9</v>
      </c>
      <c r="G46">
        <v>236</v>
      </c>
      <c r="H46" t="str">
        <f>VLOOKUP(G46,[1]OPERADORES!$A:$B,2,0)</f>
        <v>DANIEL</v>
      </c>
      <c r="I46" t="s">
        <v>21</v>
      </c>
      <c r="J46" t="s">
        <v>189</v>
      </c>
      <c r="K46" t="s">
        <v>190</v>
      </c>
      <c r="L46">
        <v>10243</v>
      </c>
      <c r="M46" t="s">
        <v>83</v>
      </c>
      <c r="O46" t="s">
        <v>11</v>
      </c>
      <c r="P46">
        <v>5102</v>
      </c>
      <c r="Q46">
        <v>5</v>
      </c>
      <c r="R46">
        <v>2.79</v>
      </c>
      <c r="S46">
        <v>13.95</v>
      </c>
      <c r="T46">
        <v>9.75</v>
      </c>
      <c r="U46">
        <v>30.11</v>
      </c>
      <c r="V46" t="str">
        <f>VLOOKUP(L46,'[2]tabela de preços'!$A:$D,4,0)</f>
        <v>NORTON</v>
      </c>
      <c r="W46" t="str">
        <f>VLOOKUP(L46,'[2]tabela de preços'!$A:$F,6,0)</f>
        <v xml:space="preserve">DISCOS / LIXAS / ABRASIVOS </v>
      </c>
      <c r="X46" t="str">
        <f>VLOOKUP(L46,'[2]tabela de preços'!$A:$G,7,0)</f>
        <v>AUTOMOTIVO</v>
      </c>
    </row>
    <row r="47" spans="1:24" x14ac:dyDescent="0.3">
      <c r="A47" t="s">
        <v>186</v>
      </c>
      <c r="C47" t="s">
        <v>187</v>
      </c>
      <c r="D47" s="1">
        <v>46027</v>
      </c>
      <c r="E47" t="s">
        <v>188</v>
      </c>
      <c r="F47">
        <v>9</v>
      </c>
      <c r="G47">
        <v>236</v>
      </c>
      <c r="H47" t="str">
        <f>VLOOKUP(G47,[1]OPERADORES!$A:$B,2,0)</f>
        <v>DANIEL</v>
      </c>
      <c r="I47" t="s">
        <v>21</v>
      </c>
      <c r="J47" t="s">
        <v>189</v>
      </c>
      <c r="K47" t="s">
        <v>190</v>
      </c>
      <c r="L47">
        <v>10245</v>
      </c>
      <c r="M47" t="s">
        <v>195</v>
      </c>
      <c r="O47" t="s">
        <v>11</v>
      </c>
      <c r="P47">
        <v>5102</v>
      </c>
      <c r="Q47">
        <v>5</v>
      </c>
      <c r="R47">
        <v>2.79</v>
      </c>
      <c r="S47">
        <v>13.95</v>
      </c>
      <c r="T47">
        <v>9.75</v>
      </c>
      <c r="U47">
        <v>30.11</v>
      </c>
      <c r="V47" t="str">
        <f>VLOOKUP(L47,'[2]tabela de preços'!$A:$D,4,0)</f>
        <v>NORTON</v>
      </c>
      <c r="W47" t="str">
        <f>VLOOKUP(L47,'[2]tabela de preços'!$A:$F,6,0)</f>
        <v xml:space="preserve">DISCOS / LIXAS / ABRASIVOS </v>
      </c>
      <c r="X47" t="str">
        <f>VLOOKUP(L47,'[2]tabela de preços'!$A:$G,7,0)</f>
        <v>AUTOMOTIVO</v>
      </c>
    </row>
    <row r="48" spans="1:24" x14ac:dyDescent="0.3">
      <c r="A48" t="s">
        <v>186</v>
      </c>
      <c r="C48" t="s">
        <v>187</v>
      </c>
      <c r="D48" s="1">
        <v>46027</v>
      </c>
      <c r="E48" t="s">
        <v>188</v>
      </c>
      <c r="F48">
        <v>9</v>
      </c>
      <c r="G48">
        <v>236</v>
      </c>
      <c r="H48" t="str">
        <f>VLOOKUP(G48,[1]OPERADORES!$A:$B,2,0)</f>
        <v>DANIEL</v>
      </c>
      <c r="I48" t="s">
        <v>21</v>
      </c>
      <c r="J48" t="s">
        <v>189</v>
      </c>
      <c r="K48" t="s">
        <v>190</v>
      </c>
      <c r="L48">
        <v>23584</v>
      </c>
      <c r="M48" t="s">
        <v>196</v>
      </c>
      <c r="O48" t="s">
        <v>11</v>
      </c>
      <c r="P48">
        <v>5102</v>
      </c>
      <c r="Q48">
        <v>2</v>
      </c>
      <c r="R48">
        <v>23.04</v>
      </c>
      <c r="S48">
        <v>46.08</v>
      </c>
      <c r="T48">
        <v>34.979999999999997</v>
      </c>
      <c r="U48">
        <v>24.09</v>
      </c>
      <c r="V48" t="str">
        <f>VLOOKUP(L48,'[2]tabela de preços'!$A:$D,4,0)</f>
        <v>MAXI RUBBER</v>
      </c>
      <c r="W48" t="str">
        <f>VLOOKUP(L48,'[2]tabela de preços'!$A:$F,6,0)</f>
        <v>MASSA POLIÉSTER</v>
      </c>
      <c r="X48" t="str">
        <f>VLOOKUP(L48,'[2]tabela de preços'!$A:$G,7,0)</f>
        <v>AUTOMOTIVO</v>
      </c>
    </row>
    <row r="49" spans="1:24" x14ac:dyDescent="0.3">
      <c r="A49" t="s">
        <v>186</v>
      </c>
      <c r="C49" t="s">
        <v>187</v>
      </c>
      <c r="D49" s="1">
        <v>46027</v>
      </c>
      <c r="E49" t="s">
        <v>188</v>
      </c>
      <c r="F49">
        <v>9</v>
      </c>
      <c r="G49">
        <v>236</v>
      </c>
      <c r="H49" t="str">
        <f>VLOOKUP(G49,[1]OPERADORES!$A:$B,2,0)</f>
        <v>DANIEL</v>
      </c>
      <c r="I49" t="s">
        <v>21</v>
      </c>
      <c r="J49" t="s">
        <v>189</v>
      </c>
      <c r="K49" t="s">
        <v>190</v>
      </c>
      <c r="L49">
        <v>85189</v>
      </c>
      <c r="M49" t="s">
        <v>197</v>
      </c>
      <c r="O49" t="s">
        <v>11</v>
      </c>
      <c r="P49">
        <v>5102</v>
      </c>
      <c r="Q49">
        <v>1</v>
      </c>
      <c r="R49">
        <v>189.9</v>
      </c>
      <c r="S49">
        <v>189.9</v>
      </c>
      <c r="T49">
        <v>138.15</v>
      </c>
      <c r="U49">
        <v>27.25</v>
      </c>
      <c r="V49" t="str">
        <f>VLOOKUP(L49,'[2]tabela de preços'!$A:$D,4,0)</f>
        <v>PDR</v>
      </c>
      <c r="W49" t="str">
        <f>VLOOKUP(L49,'[2]tabela de preços'!$A:$F,6,0)</f>
        <v>PISTOLAS</v>
      </c>
      <c r="X49" t="str">
        <f>VLOOKUP(L49,'[2]tabela de preços'!$A:$G,7,0)</f>
        <v>AUTOMOTIVO</v>
      </c>
    </row>
    <row r="50" spans="1:24" x14ac:dyDescent="0.3">
      <c r="A50" t="s">
        <v>186</v>
      </c>
      <c r="C50" t="s">
        <v>187</v>
      </c>
      <c r="D50" s="1">
        <v>46027</v>
      </c>
      <c r="E50" t="s">
        <v>188</v>
      </c>
      <c r="F50">
        <v>9</v>
      </c>
      <c r="G50">
        <v>236</v>
      </c>
      <c r="H50" t="str">
        <f>VLOOKUP(G50,[1]OPERADORES!$A:$B,2,0)</f>
        <v>DANIEL</v>
      </c>
      <c r="I50" t="s">
        <v>21</v>
      </c>
      <c r="J50" t="s">
        <v>189</v>
      </c>
      <c r="K50" t="s">
        <v>190</v>
      </c>
      <c r="L50">
        <v>20212</v>
      </c>
      <c r="M50" t="s">
        <v>198</v>
      </c>
      <c r="O50" t="s">
        <v>11</v>
      </c>
      <c r="P50">
        <v>5403</v>
      </c>
      <c r="Q50">
        <v>1</v>
      </c>
      <c r="R50">
        <v>26.95</v>
      </c>
      <c r="S50">
        <v>26.95</v>
      </c>
      <c r="T50">
        <v>20.46</v>
      </c>
      <c r="U50">
        <v>24.08</v>
      </c>
      <c r="V50" t="str">
        <f>VLOOKUP(L50,'[2]tabela de preços'!$A:$D,4,0)</f>
        <v>MAXI RUBBER</v>
      </c>
      <c r="W50" t="str">
        <f>VLOOKUP(L50,'[2]tabela de preços'!$A:$F,6,0)</f>
        <v>SELADORA P/ PLASTICO</v>
      </c>
      <c r="X50" t="str">
        <f>VLOOKUP(L50,'[2]tabela de preços'!$A:$G,7,0)</f>
        <v>AUTOMOTIVO</v>
      </c>
    </row>
    <row r="51" spans="1:24" x14ac:dyDescent="0.3">
      <c r="A51" t="s">
        <v>186</v>
      </c>
      <c r="C51" t="s">
        <v>187</v>
      </c>
      <c r="D51" s="1">
        <v>46027</v>
      </c>
      <c r="E51" t="s">
        <v>188</v>
      </c>
      <c r="F51">
        <v>9</v>
      </c>
      <c r="G51">
        <v>236</v>
      </c>
      <c r="H51" t="str">
        <f>VLOOKUP(G51,[1]OPERADORES!$A:$B,2,0)</f>
        <v>DANIEL</v>
      </c>
      <c r="I51" t="s">
        <v>21</v>
      </c>
      <c r="J51" t="s">
        <v>189</v>
      </c>
      <c r="K51" t="s">
        <v>190</v>
      </c>
      <c r="L51">
        <v>20414</v>
      </c>
      <c r="M51" t="s">
        <v>112</v>
      </c>
      <c r="O51" t="s">
        <v>11</v>
      </c>
      <c r="P51">
        <v>5102</v>
      </c>
      <c r="Q51">
        <v>1</v>
      </c>
      <c r="R51">
        <v>21.89</v>
      </c>
      <c r="S51">
        <v>21.89</v>
      </c>
      <c r="T51">
        <v>18</v>
      </c>
      <c r="U51">
        <v>17.77</v>
      </c>
      <c r="V51" t="str">
        <f>VLOOKUP(L51,'[2]tabela de preços'!$A:$D,4,0)</f>
        <v>SHERWIN WILLIAMS</v>
      </c>
      <c r="W51" t="str">
        <f>VLOOKUP(L51,'[2]tabela de preços'!$A:$F,6,0)</f>
        <v>DILUENTE</v>
      </c>
      <c r="X51" t="str">
        <f>VLOOKUP(L51,'[2]tabela de preços'!$A:$G,7,0)</f>
        <v>AUTOMOTIVO</v>
      </c>
    </row>
    <row r="52" spans="1:24" x14ac:dyDescent="0.3">
      <c r="A52" t="s">
        <v>360</v>
      </c>
      <c r="C52" t="s">
        <v>361</v>
      </c>
      <c r="D52" s="1">
        <v>46027</v>
      </c>
      <c r="E52" t="s">
        <v>362</v>
      </c>
      <c r="F52">
        <v>9</v>
      </c>
      <c r="G52">
        <v>231</v>
      </c>
      <c r="H52" t="str">
        <f>VLOOKUP(G52,[1]OPERADORES!$A:$B,2,0)</f>
        <v>EDIJANE</v>
      </c>
      <c r="I52" t="s">
        <v>21</v>
      </c>
      <c r="J52" t="s">
        <v>363</v>
      </c>
      <c r="K52" t="s">
        <v>364</v>
      </c>
      <c r="L52">
        <v>85316</v>
      </c>
      <c r="M52" t="s">
        <v>365</v>
      </c>
      <c r="O52" t="s">
        <v>11</v>
      </c>
      <c r="P52">
        <v>5102</v>
      </c>
      <c r="Q52">
        <v>1</v>
      </c>
      <c r="R52">
        <v>670.83</v>
      </c>
      <c r="S52">
        <v>670.83</v>
      </c>
      <c r="T52">
        <v>478.31</v>
      </c>
      <c r="U52">
        <v>28.7</v>
      </c>
      <c r="V52" t="str">
        <f>VLOOKUP(L52,'[2]tabela de preços'!$A:$D,4,0)</f>
        <v>BRASILUX</v>
      </c>
      <c r="W52" t="str">
        <f>VLOOKUP(L52,'[2]tabela de preços'!$A:$F,6,0)</f>
        <v>TINTA EM PÓ</v>
      </c>
      <c r="X52" t="str">
        <f>VLOOKUP(L52,'[2]tabela de preços'!$A:$G,7,0)</f>
        <v>INDUSTRIAL</v>
      </c>
    </row>
    <row r="53" spans="1:24" x14ac:dyDescent="0.3">
      <c r="A53" t="s">
        <v>393</v>
      </c>
      <c r="B53" t="s">
        <v>394</v>
      </c>
      <c r="C53" t="s">
        <v>395</v>
      </c>
      <c r="D53" s="1">
        <v>46027</v>
      </c>
      <c r="E53" t="s">
        <v>396</v>
      </c>
      <c r="F53">
        <v>9</v>
      </c>
      <c r="G53">
        <v>174</v>
      </c>
      <c r="H53" t="str">
        <f>VLOOKUP(G53,[1]OPERADORES!$A:$B,2,0)</f>
        <v>MIRIÃ LOBATO RODRIGUES</v>
      </c>
      <c r="I53" t="s">
        <v>21</v>
      </c>
      <c r="J53" t="s">
        <v>397</v>
      </c>
      <c r="K53" t="s">
        <v>398</v>
      </c>
      <c r="L53">
        <v>21037</v>
      </c>
      <c r="M53" t="s">
        <v>108</v>
      </c>
      <c r="O53" t="s">
        <v>11</v>
      </c>
      <c r="P53">
        <v>5102</v>
      </c>
      <c r="Q53">
        <v>2</v>
      </c>
      <c r="R53">
        <v>17.43</v>
      </c>
      <c r="S53">
        <v>34.86</v>
      </c>
      <c r="T53">
        <v>25.84</v>
      </c>
      <c r="U53">
        <v>25.87</v>
      </c>
      <c r="V53" t="str">
        <f>VLOOKUP(L53,'[2]tabela de preços'!$A:$D,4,0)</f>
        <v>SHERWIN WILLIAMS</v>
      </c>
      <c r="W53" t="str">
        <f>VLOOKUP(L53,'[2]tabela de preços'!$A:$F,6,0)</f>
        <v>CATALISADORES INDIVIDUAS</v>
      </c>
      <c r="X53" t="str">
        <f>VLOOKUP(L53,'[2]tabela de preços'!$A:$G,7,0)</f>
        <v>AUTOMOTIVO</v>
      </c>
    </row>
    <row r="54" spans="1:24" x14ac:dyDescent="0.3">
      <c r="A54" t="s">
        <v>393</v>
      </c>
      <c r="B54" t="s">
        <v>394</v>
      </c>
      <c r="C54" t="s">
        <v>395</v>
      </c>
      <c r="D54" s="1">
        <v>46027</v>
      </c>
      <c r="E54" t="s">
        <v>396</v>
      </c>
      <c r="F54">
        <v>9</v>
      </c>
      <c r="G54">
        <v>174</v>
      </c>
      <c r="H54" t="str">
        <f>VLOOKUP(G54,[1]OPERADORES!$A:$B,2,0)</f>
        <v>MIRIÃ LOBATO RODRIGUES</v>
      </c>
      <c r="I54" t="s">
        <v>21</v>
      </c>
      <c r="J54" t="s">
        <v>397</v>
      </c>
      <c r="K54" t="s">
        <v>398</v>
      </c>
      <c r="L54">
        <v>21036</v>
      </c>
      <c r="M54" t="s">
        <v>399</v>
      </c>
      <c r="O54" t="s">
        <v>11</v>
      </c>
      <c r="P54">
        <v>5403</v>
      </c>
      <c r="Q54">
        <v>2</v>
      </c>
      <c r="R54">
        <v>35.14</v>
      </c>
      <c r="S54">
        <v>70.28</v>
      </c>
      <c r="T54">
        <v>52.12</v>
      </c>
      <c r="U54">
        <v>25.84</v>
      </c>
      <c r="V54" t="str">
        <f>VLOOKUP(L54,'[2]tabela de preços'!$A:$D,4,0)</f>
        <v>SHERWIN WILLIAMS</v>
      </c>
      <c r="W54" t="str">
        <f>VLOOKUP(L54,'[2]tabela de preços'!$A:$F,6,0)</f>
        <v>TINTAS PU</v>
      </c>
      <c r="X54" t="str">
        <f>VLOOKUP(L54,'[2]tabela de preços'!$A:$G,7,0)</f>
        <v>AUTOMOTIVO</v>
      </c>
    </row>
    <row r="55" spans="1:24" x14ac:dyDescent="0.3">
      <c r="A55" t="s">
        <v>452</v>
      </c>
      <c r="C55" t="s">
        <v>453</v>
      </c>
      <c r="D55" s="1">
        <v>46027</v>
      </c>
      <c r="E55" t="s">
        <v>454</v>
      </c>
      <c r="F55">
        <v>9</v>
      </c>
      <c r="G55">
        <v>174</v>
      </c>
      <c r="H55" t="str">
        <f>VLOOKUP(G55,[1]OPERADORES!$A:$B,2,0)</f>
        <v>MIRIÃ LOBATO RODRIGUES</v>
      </c>
      <c r="I55" t="s">
        <v>455</v>
      </c>
      <c r="J55" t="s">
        <v>456</v>
      </c>
      <c r="K55" t="s">
        <v>457</v>
      </c>
      <c r="L55">
        <v>10067</v>
      </c>
      <c r="M55" t="s">
        <v>177</v>
      </c>
      <c r="O55" t="s">
        <v>11</v>
      </c>
      <c r="P55">
        <v>6102</v>
      </c>
      <c r="Q55">
        <v>2</v>
      </c>
      <c r="R55">
        <v>89.9</v>
      </c>
      <c r="S55">
        <v>179.8</v>
      </c>
      <c r="T55">
        <v>147.16</v>
      </c>
      <c r="U55">
        <v>18.149999999999999</v>
      </c>
      <c r="V55" t="str">
        <f>VLOOKUP(L55,'[2]tabela de preços'!$A:$D,4,0)</f>
        <v>3M</v>
      </c>
      <c r="W55" t="str">
        <f>VLOOKUP(L55,'[2]tabela de preços'!$A:$F,6,0)</f>
        <v>BOINAS PARA POLIMENTO</v>
      </c>
      <c r="X55" t="str">
        <f>VLOOKUP(L55,'[2]tabela de preços'!$A:$G,7,0)</f>
        <v>AUTOMOTIVO</v>
      </c>
    </row>
    <row r="56" spans="1:24" x14ac:dyDescent="0.3">
      <c r="A56" t="s">
        <v>452</v>
      </c>
      <c r="C56" t="s">
        <v>453</v>
      </c>
      <c r="D56" s="1">
        <v>46027</v>
      </c>
      <c r="E56" t="s">
        <v>454</v>
      </c>
      <c r="F56">
        <v>9</v>
      </c>
      <c r="G56">
        <v>174</v>
      </c>
      <c r="H56" t="str">
        <f>VLOOKUP(G56,[1]OPERADORES!$A:$B,2,0)</f>
        <v>MIRIÃ LOBATO RODRIGUES</v>
      </c>
      <c r="I56" t="s">
        <v>455</v>
      </c>
      <c r="J56" t="s">
        <v>456</v>
      </c>
      <c r="K56" t="s">
        <v>457</v>
      </c>
      <c r="L56">
        <v>84108</v>
      </c>
      <c r="M56" t="s">
        <v>144</v>
      </c>
      <c r="O56" t="s">
        <v>11</v>
      </c>
      <c r="P56">
        <v>6403</v>
      </c>
      <c r="Q56">
        <v>3</v>
      </c>
      <c r="R56">
        <v>27.29</v>
      </c>
      <c r="S56">
        <v>81.87</v>
      </c>
      <c r="T56">
        <v>62.13</v>
      </c>
      <c r="U56">
        <v>24.11</v>
      </c>
      <c r="V56" t="str">
        <f>VLOOKUP(L56,'[2]tabela de preços'!$A:$D,4,0)</f>
        <v>BRASILUX</v>
      </c>
      <c r="W56" t="str">
        <f>VLOOKUP(L56,'[2]tabela de preços'!$A:$F,6,0)</f>
        <v>TINTAS LACA</v>
      </c>
      <c r="X56" t="str">
        <f>VLOOKUP(L56,'[2]tabela de preços'!$A:$G,7,0)</f>
        <v>AUTOMOTIVO</v>
      </c>
    </row>
    <row r="57" spans="1:24" x14ac:dyDescent="0.3">
      <c r="A57" t="s">
        <v>452</v>
      </c>
      <c r="C57" t="s">
        <v>453</v>
      </c>
      <c r="D57" s="1">
        <v>46027</v>
      </c>
      <c r="E57" t="s">
        <v>454</v>
      </c>
      <c r="F57">
        <v>9</v>
      </c>
      <c r="G57">
        <v>174</v>
      </c>
      <c r="H57" t="str">
        <f>VLOOKUP(G57,[1]OPERADORES!$A:$B,2,0)</f>
        <v>MIRIÃ LOBATO RODRIGUES</v>
      </c>
      <c r="I57" t="s">
        <v>455</v>
      </c>
      <c r="J57" t="s">
        <v>456</v>
      </c>
      <c r="K57" t="s">
        <v>457</v>
      </c>
      <c r="L57">
        <v>23580</v>
      </c>
      <c r="M57" t="s">
        <v>115</v>
      </c>
      <c r="O57" t="s">
        <v>11</v>
      </c>
      <c r="P57">
        <v>6102</v>
      </c>
      <c r="Q57">
        <v>40</v>
      </c>
      <c r="R57">
        <v>0.48</v>
      </c>
      <c r="S57">
        <v>19.2</v>
      </c>
      <c r="T57">
        <v>14.4</v>
      </c>
      <c r="U57">
        <v>25</v>
      </c>
      <c r="V57" t="str">
        <f>VLOOKUP(L57,'[2]tabela de preços'!$A:$D,4,0)</f>
        <v>RENOVA COADORES</v>
      </c>
      <c r="W57" t="str">
        <f>VLOOKUP(L57,'[2]tabela de preços'!$A:$F,6,0)</f>
        <v>COADORES</v>
      </c>
      <c r="X57" t="str">
        <f>VLOOKUP(L57,'[2]tabela de preços'!$A:$G,7,0)</f>
        <v>AUTOMOTIVO</v>
      </c>
    </row>
    <row r="58" spans="1:24" x14ac:dyDescent="0.3">
      <c r="A58" t="s">
        <v>452</v>
      </c>
      <c r="C58" t="s">
        <v>453</v>
      </c>
      <c r="D58" s="1">
        <v>46027</v>
      </c>
      <c r="E58" t="s">
        <v>458</v>
      </c>
      <c r="F58">
        <v>9</v>
      </c>
      <c r="G58">
        <v>174</v>
      </c>
      <c r="H58" t="str">
        <f>VLOOKUP(G58,[1]OPERADORES!$A:$B,2,0)</f>
        <v>MIRIÃ LOBATO RODRIGUES</v>
      </c>
      <c r="I58" t="s">
        <v>455</v>
      </c>
      <c r="J58" t="s">
        <v>456</v>
      </c>
      <c r="K58" t="s">
        <v>457</v>
      </c>
      <c r="L58">
        <v>10236</v>
      </c>
      <c r="M58" t="s">
        <v>133</v>
      </c>
      <c r="O58" t="s">
        <v>11</v>
      </c>
      <c r="P58">
        <v>6102</v>
      </c>
      <c r="Q58">
        <v>102</v>
      </c>
      <c r="R58">
        <v>2.79</v>
      </c>
      <c r="S58">
        <v>284.58</v>
      </c>
      <c r="T58">
        <v>241.74</v>
      </c>
      <c r="U58">
        <v>15.05</v>
      </c>
      <c r="V58" t="str">
        <f>VLOOKUP(L58,'[2]tabela de preços'!$A:$D,4,0)</f>
        <v>NORTON</v>
      </c>
      <c r="W58" t="str">
        <f>VLOOKUP(L58,'[2]tabela de preços'!$A:$F,6,0)</f>
        <v xml:space="preserve">DISCOS / LIXAS / ABRASIVOS </v>
      </c>
      <c r="X58" t="str">
        <f>VLOOKUP(L58,'[2]tabela de preços'!$A:$G,7,0)</f>
        <v>AUTOMOTIVO</v>
      </c>
    </row>
    <row r="59" spans="1:24" x14ac:dyDescent="0.3">
      <c r="A59" t="s">
        <v>452</v>
      </c>
      <c r="C59" t="s">
        <v>453</v>
      </c>
      <c r="D59" s="1">
        <v>46027</v>
      </c>
      <c r="E59" t="s">
        <v>454</v>
      </c>
      <c r="F59">
        <v>9</v>
      </c>
      <c r="G59">
        <v>174</v>
      </c>
      <c r="H59" t="str">
        <f>VLOOKUP(G59,[1]OPERADORES!$A:$B,2,0)</f>
        <v>MIRIÃ LOBATO RODRIGUES</v>
      </c>
      <c r="I59" t="s">
        <v>455</v>
      </c>
      <c r="J59" t="s">
        <v>456</v>
      </c>
      <c r="K59" t="s">
        <v>457</v>
      </c>
      <c r="L59">
        <v>20135</v>
      </c>
      <c r="M59" t="s">
        <v>459</v>
      </c>
      <c r="O59" t="s">
        <v>11</v>
      </c>
      <c r="P59">
        <v>6102</v>
      </c>
      <c r="Q59">
        <v>5</v>
      </c>
      <c r="R59">
        <v>25.37</v>
      </c>
      <c r="S59">
        <v>126.85</v>
      </c>
      <c r="T59">
        <v>96.3</v>
      </c>
      <c r="U59">
        <v>24.08</v>
      </c>
      <c r="V59" t="str">
        <f>VLOOKUP(L59,'[2]tabela de preços'!$A:$D,4,0)</f>
        <v>3M</v>
      </c>
      <c r="W59" t="str">
        <f>VLOOKUP(L59,'[2]tabela de preços'!$A:$F,6,0)</f>
        <v>DISCO TRIZACT</v>
      </c>
      <c r="X59" t="str">
        <f>VLOOKUP(L59,'[2]tabela de preços'!$A:$G,7,0)</f>
        <v>AUTOMOTIVO</v>
      </c>
    </row>
    <row r="60" spans="1:24" x14ac:dyDescent="0.3">
      <c r="A60" t="s">
        <v>452</v>
      </c>
      <c r="C60" t="s">
        <v>453</v>
      </c>
      <c r="D60" s="1">
        <v>46027</v>
      </c>
      <c r="E60" t="s">
        <v>454</v>
      </c>
      <c r="F60">
        <v>9</v>
      </c>
      <c r="G60">
        <v>174</v>
      </c>
      <c r="H60" t="str">
        <f>VLOOKUP(G60,[1]OPERADORES!$A:$B,2,0)</f>
        <v>MIRIÃ LOBATO RODRIGUES</v>
      </c>
      <c r="I60" t="s">
        <v>455</v>
      </c>
      <c r="J60" t="s">
        <v>456</v>
      </c>
      <c r="K60" t="s">
        <v>457</v>
      </c>
      <c r="L60">
        <v>20433</v>
      </c>
      <c r="M60" t="s">
        <v>460</v>
      </c>
      <c r="O60" t="s">
        <v>11</v>
      </c>
      <c r="P60">
        <v>6102</v>
      </c>
      <c r="Q60">
        <v>4</v>
      </c>
      <c r="R60">
        <v>31.66</v>
      </c>
      <c r="S60">
        <v>126.64</v>
      </c>
      <c r="T60">
        <v>96.12</v>
      </c>
      <c r="U60">
        <v>24.1</v>
      </c>
      <c r="V60" t="str">
        <f>VLOOKUP(L60,'[2]tabela de preços'!$A:$D,4,0)</f>
        <v>SHERWIN WILLIAMS</v>
      </c>
      <c r="W60" t="str">
        <f>VLOOKUP(L60,'[2]tabela de preços'!$A:$F,6,0)</f>
        <v>VERNIZ AUTOMOTIVO</v>
      </c>
      <c r="X60" t="str">
        <f>VLOOKUP(L60,'[2]tabela de preços'!$A:$G,7,0)</f>
        <v>AUTOMOTIVO</v>
      </c>
    </row>
    <row r="61" spans="1:24" x14ac:dyDescent="0.3">
      <c r="A61" t="s">
        <v>452</v>
      </c>
      <c r="C61" t="s">
        <v>453</v>
      </c>
      <c r="D61" s="1">
        <v>46027</v>
      </c>
      <c r="E61" t="s">
        <v>454</v>
      </c>
      <c r="F61">
        <v>9</v>
      </c>
      <c r="G61">
        <v>174</v>
      </c>
      <c r="H61" t="str">
        <f>VLOOKUP(G61,[1]OPERADORES!$A:$B,2,0)</f>
        <v>MIRIÃ LOBATO RODRIGUES</v>
      </c>
      <c r="I61" t="s">
        <v>455</v>
      </c>
      <c r="J61" t="s">
        <v>456</v>
      </c>
      <c r="K61" t="s">
        <v>457</v>
      </c>
      <c r="L61">
        <v>5</v>
      </c>
      <c r="M61" t="s">
        <v>147</v>
      </c>
      <c r="O61" t="s">
        <v>11</v>
      </c>
      <c r="P61">
        <v>6102</v>
      </c>
      <c r="Q61">
        <v>16</v>
      </c>
      <c r="R61">
        <v>4.8499999999999996</v>
      </c>
      <c r="S61">
        <v>77.599999999999994</v>
      </c>
      <c r="T61">
        <v>62.56</v>
      </c>
      <c r="U61">
        <v>19.38</v>
      </c>
      <c r="V61" t="str">
        <f>VLOOKUP(L61,'[2]tabela de preços'!$A:$D,4,0)</f>
        <v>BRILHO ESTOPA</v>
      </c>
      <c r="W61" t="str">
        <f>VLOOKUP(L61,'[2]tabela de preços'!$A:$F,6,0)</f>
        <v>ESTOPAS</v>
      </c>
      <c r="X61" t="str">
        <f>VLOOKUP(L61,'[2]tabela de preços'!$A:$G,7,0)</f>
        <v>AUTOMOTIVO</v>
      </c>
    </row>
    <row r="62" spans="1:24" x14ac:dyDescent="0.3">
      <c r="A62" t="s">
        <v>452</v>
      </c>
      <c r="C62" t="s">
        <v>453</v>
      </c>
      <c r="D62" s="1">
        <v>46027</v>
      </c>
      <c r="E62" t="s">
        <v>454</v>
      </c>
      <c r="F62">
        <v>9</v>
      </c>
      <c r="G62">
        <v>174</v>
      </c>
      <c r="H62" t="str">
        <f>VLOOKUP(G62,[1]OPERADORES!$A:$B,2,0)</f>
        <v>MIRIÃ LOBATO RODRIGUES</v>
      </c>
      <c r="I62" t="s">
        <v>455</v>
      </c>
      <c r="J62" t="s">
        <v>456</v>
      </c>
      <c r="K62" t="s">
        <v>457</v>
      </c>
      <c r="L62">
        <v>10097</v>
      </c>
      <c r="M62" t="s">
        <v>461</v>
      </c>
      <c r="O62" t="s">
        <v>11</v>
      </c>
      <c r="P62">
        <v>6102</v>
      </c>
      <c r="Q62">
        <v>8</v>
      </c>
      <c r="R62">
        <v>8.82</v>
      </c>
      <c r="S62">
        <v>70.56</v>
      </c>
      <c r="T62">
        <v>53.6</v>
      </c>
      <c r="U62">
        <v>24.04</v>
      </c>
      <c r="V62" t="str">
        <f>VLOOKUP(L62,'[2]tabela de preços'!$A:$D,4,0)</f>
        <v>3M</v>
      </c>
      <c r="W62" t="str">
        <f>VLOOKUP(L62,'[2]tabela de preços'!$A:$F,6,0)</f>
        <v>EPI´S</v>
      </c>
      <c r="X62" t="str">
        <f>VLOOKUP(L62,'[2]tabela de preços'!$A:$G,7,0)</f>
        <v>AUTOMOTIVO</v>
      </c>
    </row>
    <row r="63" spans="1:24" x14ac:dyDescent="0.3">
      <c r="A63" t="s">
        <v>452</v>
      </c>
      <c r="C63" t="s">
        <v>453</v>
      </c>
      <c r="D63" s="1">
        <v>46027</v>
      </c>
      <c r="E63" t="s">
        <v>454</v>
      </c>
      <c r="F63">
        <v>9</v>
      </c>
      <c r="G63">
        <v>174</v>
      </c>
      <c r="H63" t="str">
        <f>VLOOKUP(G63,[1]OPERADORES!$A:$B,2,0)</f>
        <v>MIRIÃ LOBATO RODRIGUES</v>
      </c>
      <c r="I63" t="s">
        <v>455</v>
      </c>
      <c r="J63" t="s">
        <v>456</v>
      </c>
      <c r="K63" t="s">
        <v>457</v>
      </c>
      <c r="L63">
        <v>22684</v>
      </c>
      <c r="M63" t="s">
        <v>73</v>
      </c>
      <c r="O63" t="s">
        <v>11</v>
      </c>
      <c r="P63">
        <v>6102</v>
      </c>
      <c r="Q63">
        <v>80</v>
      </c>
      <c r="R63">
        <v>3.65</v>
      </c>
      <c r="S63">
        <v>292</v>
      </c>
      <c r="T63">
        <v>246.4</v>
      </c>
      <c r="U63">
        <v>15.62</v>
      </c>
      <c r="V63" t="str">
        <f>VLOOKUP(L63,'[2]tabela de preços'!$A:$D,4,0)</f>
        <v>3M</v>
      </c>
      <c r="W63" t="str">
        <f>VLOOKUP(L63,'[2]tabela de preços'!$A:$F,6,0)</f>
        <v>FITA AUTOMOTIVA</v>
      </c>
      <c r="X63" t="str">
        <f>VLOOKUP(L63,'[2]tabela de preços'!$A:$G,7,0)</f>
        <v>AUTOMOTIVO</v>
      </c>
    </row>
    <row r="64" spans="1:24" x14ac:dyDescent="0.3">
      <c r="A64" t="s">
        <v>452</v>
      </c>
      <c r="C64" t="s">
        <v>453</v>
      </c>
      <c r="D64" s="1">
        <v>46027</v>
      </c>
      <c r="E64" t="s">
        <v>454</v>
      </c>
      <c r="F64">
        <v>9</v>
      </c>
      <c r="G64">
        <v>174</v>
      </c>
      <c r="H64" t="str">
        <f>VLOOKUP(G64,[1]OPERADORES!$A:$B,2,0)</f>
        <v>MIRIÃ LOBATO RODRIGUES</v>
      </c>
      <c r="I64" t="s">
        <v>455</v>
      </c>
      <c r="J64" t="s">
        <v>456</v>
      </c>
      <c r="K64" t="s">
        <v>457</v>
      </c>
      <c r="L64">
        <v>22233</v>
      </c>
      <c r="M64" t="s">
        <v>184</v>
      </c>
      <c r="O64" t="s">
        <v>11</v>
      </c>
      <c r="P64">
        <v>6102</v>
      </c>
      <c r="Q64">
        <v>3</v>
      </c>
      <c r="R64">
        <v>30.17</v>
      </c>
      <c r="S64">
        <v>90.51</v>
      </c>
      <c r="T64">
        <v>68.7</v>
      </c>
      <c r="U64">
        <v>24.1</v>
      </c>
      <c r="V64" t="str">
        <f>VLOOKUP(L64,'[2]tabela de preços'!$A:$D,4,0)</f>
        <v>3M</v>
      </c>
      <c r="W64" t="str">
        <f>VLOOKUP(L64,'[2]tabela de preços'!$A:$F,6,0)</f>
        <v>FITA DUPLA FACE</v>
      </c>
      <c r="X64" t="str">
        <f>VLOOKUP(L64,'[2]tabela de preços'!$A:$G,7,0)</f>
        <v>AUTOMOTIVO</v>
      </c>
    </row>
    <row r="65" spans="1:24" x14ac:dyDescent="0.3">
      <c r="A65" t="s">
        <v>452</v>
      </c>
      <c r="C65" t="s">
        <v>453</v>
      </c>
      <c r="D65" s="1">
        <v>46027</v>
      </c>
      <c r="E65" t="s">
        <v>454</v>
      </c>
      <c r="F65">
        <v>9</v>
      </c>
      <c r="G65">
        <v>174</v>
      </c>
      <c r="H65" t="str">
        <f>VLOOKUP(G65,[1]OPERADORES!$A:$B,2,0)</f>
        <v>MIRIÃ LOBATO RODRIGUES</v>
      </c>
      <c r="I65" t="s">
        <v>455</v>
      </c>
      <c r="J65" t="s">
        <v>456</v>
      </c>
      <c r="K65" t="s">
        <v>457</v>
      </c>
      <c r="L65">
        <v>86995</v>
      </c>
      <c r="M65" t="s">
        <v>37</v>
      </c>
      <c r="O65" t="s">
        <v>11</v>
      </c>
      <c r="P65">
        <v>6102</v>
      </c>
      <c r="Q65">
        <v>8</v>
      </c>
      <c r="R65">
        <v>7.39</v>
      </c>
      <c r="S65">
        <v>59.12</v>
      </c>
      <c r="T65">
        <v>46.64</v>
      </c>
      <c r="U65">
        <v>21.11</v>
      </c>
      <c r="V65" t="str">
        <f>VLOOKUP(L65,'[2]tabela de preços'!$A:$D,4,0)</f>
        <v>AUTOAMERICA</v>
      </c>
      <c r="W65" t="str">
        <f>VLOOKUP(L65,'[2]tabela de preços'!$A:$F,6,0)</f>
        <v>FLANELAS / PANOS</v>
      </c>
      <c r="X65" t="str">
        <f>VLOOKUP(L65,'[2]tabela de preços'!$A:$G,7,0)</f>
        <v>AUTOMOTIVO</v>
      </c>
    </row>
    <row r="66" spans="1:24" x14ac:dyDescent="0.3">
      <c r="A66" t="s">
        <v>452</v>
      </c>
      <c r="C66" t="s">
        <v>453</v>
      </c>
      <c r="D66" s="1">
        <v>46027</v>
      </c>
      <c r="E66" t="s">
        <v>454</v>
      </c>
      <c r="F66">
        <v>9</v>
      </c>
      <c r="G66">
        <v>174</v>
      </c>
      <c r="H66" t="str">
        <f>VLOOKUP(G66,[1]OPERADORES!$A:$B,2,0)</f>
        <v>MIRIÃ LOBATO RODRIGUES</v>
      </c>
      <c r="I66" t="s">
        <v>455</v>
      </c>
      <c r="J66" t="s">
        <v>456</v>
      </c>
      <c r="K66" t="s">
        <v>457</v>
      </c>
      <c r="L66">
        <v>23076</v>
      </c>
      <c r="M66" t="s">
        <v>97</v>
      </c>
      <c r="O66" t="s">
        <v>11</v>
      </c>
      <c r="P66">
        <v>6403</v>
      </c>
      <c r="Q66">
        <v>30</v>
      </c>
      <c r="R66">
        <v>33.89</v>
      </c>
      <c r="S66" s="2">
        <v>1016.7</v>
      </c>
      <c r="T66">
        <v>795.9</v>
      </c>
      <c r="U66">
        <v>21.72</v>
      </c>
      <c r="V66" t="str">
        <f>VLOOKUP(L66,'[2]tabela de preços'!$A:$D,4,0)</f>
        <v>WANDA</v>
      </c>
      <c r="W66" t="str">
        <f>VLOOKUP(L66,'[2]tabela de preços'!$A:$F,6,0)</f>
        <v>PRIMER AUTOMOTIVO</v>
      </c>
      <c r="X66" t="str">
        <f>VLOOKUP(L66,'[2]tabela de preços'!$A:$G,7,0)</f>
        <v>AUTOMOTIVO</v>
      </c>
    </row>
    <row r="67" spans="1:24" x14ac:dyDescent="0.3">
      <c r="A67" t="s">
        <v>452</v>
      </c>
      <c r="C67" t="s">
        <v>453</v>
      </c>
      <c r="D67" s="1">
        <v>46027</v>
      </c>
      <c r="E67" t="s">
        <v>454</v>
      </c>
      <c r="F67">
        <v>9</v>
      </c>
      <c r="G67">
        <v>174</v>
      </c>
      <c r="H67" t="str">
        <f>VLOOKUP(G67,[1]OPERADORES!$A:$B,2,0)</f>
        <v>MIRIÃ LOBATO RODRIGUES</v>
      </c>
      <c r="I67" t="s">
        <v>455</v>
      </c>
      <c r="J67" t="s">
        <v>456</v>
      </c>
      <c r="K67" t="s">
        <v>457</v>
      </c>
      <c r="L67">
        <v>23399</v>
      </c>
      <c r="M67" t="s">
        <v>462</v>
      </c>
      <c r="O67" t="s">
        <v>11</v>
      </c>
      <c r="P67">
        <v>6102</v>
      </c>
      <c r="Q67">
        <v>1</v>
      </c>
      <c r="R67">
        <v>231.14</v>
      </c>
      <c r="S67">
        <v>231.14</v>
      </c>
      <c r="T67">
        <v>175.44</v>
      </c>
      <c r="U67">
        <v>24.1</v>
      </c>
      <c r="V67" t="str">
        <f>VLOOKUP(L67,'[2]tabela de preços'!$A:$D,4,0)</f>
        <v>3M</v>
      </c>
      <c r="W67" t="str">
        <f>VLOOKUP(L67,'[2]tabela de preços'!$A:$F,6,0)</f>
        <v>EPI´S</v>
      </c>
      <c r="X67" t="str">
        <f>VLOOKUP(L67,'[2]tabela de preços'!$A:$G,7,0)</f>
        <v>AUTOMOTIVO</v>
      </c>
    </row>
    <row r="68" spans="1:24" x14ac:dyDescent="0.3">
      <c r="A68" t="s">
        <v>452</v>
      </c>
      <c r="C68" t="s">
        <v>453</v>
      </c>
      <c r="D68" s="1">
        <v>46027</v>
      </c>
      <c r="E68" t="s">
        <v>454</v>
      </c>
      <c r="F68">
        <v>9</v>
      </c>
      <c r="G68">
        <v>174</v>
      </c>
      <c r="H68" t="str">
        <f>VLOOKUP(G68,[1]OPERADORES!$A:$B,2,0)</f>
        <v>MIRIÃ LOBATO RODRIGUES</v>
      </c>
      <c r="I68" t="s">
        <v>455</v>
      </c>
      <c r="J68" t="s">
        <v>456</v>
      </c>
      <c r="K68" t="s">
        <v>457</v>
      </c>
      <c r="L68">
        <v>13</v>
      </c>
      <c r="M68" t="s">
        <v>152</v>
      </c>
      <c r="O68" t="s">
        <v>11</v>
      </c>
      <c r="P68">
        <v>6102</v>
      </c>
      <c r="Q68">
        <v>50</v>
      </c>
      <c r="R68">
        <v>5.65</v>
      </c>
      <c r="S68">
        <v>282.5</v>
      </c>
      <c r="T68">
        <v>208</v>
      </c>
      <c r="U68">
        <v>26.37</v>
      </c>
      <c r="V68" t="str">
        <f>VLOOKUP(L68,'[2]tabela de preços'!$A:$D,4,0)</f>
        <v>3M</v>
      </c>
      <c r="W68" t="str">
        <f>VLOOKUP(L68,'[2]tabela de preços'!$A:$F,6,0)</f>
        <v>LIXA DÁGUA</v>
      </c>
      <c r="X68" t="str">
        <f>VLOOKUP(L68,'[2]tabela de preços'!$A:$G,7,0)</f>
        <v>AUTOMOTIVO</v>
      </c>
    </row>
    <row r="69" spans="1:24" x14ac:dyDescent="0.3">
      <c r="A69" t="s">
        <v>452</v>
      </c>
      <c r="C69" t="s">
        <v>453</v>
      </c>
      <c r="D69" s="1">
        <v>46027</v>
      </c>
      <c r="E69" t="s">
        <v>454</v>
      </c>
      <c r="F69">
        <v>9</v>
      </c>
      <c r="G69">
        <v>174</v>
      </c>
      <c r="H69" t="str">
        <f>VLOOKUP(G69,[1]OPERADORES!$A:$B,2,0)</f>
        <v>MIRIÃ LOBATO RODRIGUES</v>
      </c>
      <c r="I69" t="s">
        <v>455</v>
      </c>
      <c r="J69" t="s">
        <v>456</v>
      </c>
      <c r="K69" t="s">
        <v>457</v>
      </c>
      <c r="L69">
        <v>10238</v>
      </c>
      <c r="M69" t="s">
        <v>79</v>
      </c>
      <c r="O69" t="s">
        <v>11</v>
      </c>
      <c r="P69">
        <v>6102</v>
      </c>
      <c r="Q69">
        <v>50</v>
      </c>
      <c r="R69">
        <v>2.79</v>
      </c>
      <c r="S69">
        <v>139.5</v>
      </c>
      <c r="T69">
        <v>113.5</v>
      </c>
      <c r="U69">
        <v>18.64</v>
      </c>
      <c r="V69" t="str">
        <f>VLOOKUP(L69,'[2]tabela de preços'!$A:$D,4,0)</f>
        <v>NORTON</v>
      </c>
      <c r="W69" t="str">
        <f>VLOOKUP(L69,'[2]tabela de preços'!$A:$F,6,0)</f>
        <v xml:space="preserve">DISCOS / LIXAS / ABRASIVOS </v>
      </c>
      <c r="X69" t="str">
        <f>VLOOKUP(L69,'[2]tabela de preços'!$A:$G,7,0)</f>
        <v>AUTOMOTIVO</v>
      </c>
    </row>
    <row r="70" spans="1:24" x14ac:dyDescent="0.3">
      <c r="A70" t="s">
        <v>452</v>
      </c>
      <c r="C70" t="s">
        <v>453</v>
      </c>
      <c r="D70" s="1">
        <v>46027</v>
      </c>
      <c r="E70" t="s">
        <v>454</v>
      </c>
      <c r="F70">
        <v>9</v>
      </c>
      <c r="G70">
        <v>174</v>
      </c>
      <c r="H70" t="str">
        <f>VLOOKUP(G70,[1]OPERADORES!$A:$B,2,0)</f>
        <v>MIRIÃ LOBATO RODRIGUES</v>
      </c>
      <c r="I70" t="s">
        <v>455</v>
      </c>
      <c r="J70" t="s">
        <v>456</v>
      </c>
      <c r="K70" t="s">
        <v>457</v>
      </c>
      <c r="L70">
        <v>10240</v>
      </c>
      <c r="M70" t="s">
        <v>81</v>
      </c>
      <c r="O70" t="s">
        <v>11</v>
      </c>
      <c r="P70">
        <v>6102</v>
      </c>
      <c r="Q70">
        <v>50</v>
      </c>
      <c r="R70">
        <v>2.79</v>
      </c>
      <c r="S70">
        <v>139.5</v>
      </c>
      <c r="T70">
        <v>114</v>
      </c>
      <c r="U70">
        <v>18.28</v>
      </c>
      <c r="V70" t="str">
        <f>VLOOKUP(L70,'[2]tabela de preços'!$A:$D,4,0)</f>
        <v>NORTON</v>
      </c>
      <c r="W70" t="str">
        <f>VLOOKUP(L70,'[2]tabela de preços'!$A:$F,6,0)</f>
        <v xml:space="preserve">DISCOS / LIXAS / ABRASIVOS </v>
      </c>
      <c r="X70" t="str">
        <f>VLOOKUP(L70,'[2]tabela de preços'!$A:$G,7,0)</f>
        <v>AUTOMOTIVO</v>
      </c>
    </row>
    <row r="71" spans="1:24" x14ac:dyDescent="0.3">
      <c r="A71" t="s">
        <v>452</v>
      </c>
      <c r="C71" t="s">
        <v>453</v>
      </c>
      <c r="D71" s="1">
        <v>46027</v>
      </c>
      <c r="E71" t="s">
        <v>454</v>
      </c>
      <c r="F71">
        <v>9</v>
      </c>
      <c r="G71">
        <v>174</v>
      </c>
      <c r="H71" t="str">
        <f>VLOOKUP(G71,[1]OPERADORES!$A:$B,2,0)</f>
        <v>MIRIÃ LOBATO RODRIGUES</v>
      </c>
      <c r="I71" t="s">
        <v>455</v>
      </c>
      <c r="J71" t="s">
        <v>456</v>
      </c>
      <c r="K71" t="s">
        <v>457</v>
      </c>
      <c r="L71">
        <v>10242</v>
      </c>
      <c r="M71" t="s">
        <v>82</v>
      </c>
      <c r="O71" t="s">
        <v>11</v>
      </c>
      <c r="P71">
        <v>6102</v>
      </c>
      <c r="Q71">
        <v>50</v>
      </c>
      <c r="R71">
        <v>2.79</v>
      </c>
      <c r="S71">
        <v>139.5</v>
      </c>
      <c r="T71">
        <v>114</v>
      </c>
      <c r="U71">
        <v>18.28</v>
      </c>
      <c r="V71" t="str">
        <f>VLOOKUP(L71,'[2]tabela de preços'!$A:$D,4,0)</f>
        <v>NORTON</v>
      </c>
      <c r="W71" t="str">
        <f>VLOOKUP(L71,'[2]tabela de preços'!$A:$F,6,0)</f>
        <v xml:space="preserve">DISCOS / LIXAS / ABRASIVOS </v>
      </c>
      <c r="X71" t="str">
        <f>VLOOKUP(L71,'[2]tabela de preços'!$A:$G,7,0)</f>
        <v>AUTOMOTIVO</v>
      </c>
    </row>
    <row r="72" spans="1:24" x14ac:dyDescent="0.3">
      <c r="A72" t="s">
        <v>452</v>
      </c>
      <c r="C72" t="s">
        <v>453</v>
      </c>
      <c r="D72" s="1">
        <v>46027</v>
      </c>
      <c r="E72" t="s">
        <v>454</v>
      </c>
      <c r="F72">
        <v>9</v>
      </c>
      <c r="G72">
        <v>174</v>
      </c>
      <c r="H72" t="str">
        <f>VLOOKUP(G72,[1]OPERADORES!$A:$B,2,0)</f>
        <v>MIRIÃ LOBATO RODRIGUES</v>
      </c>
      <c r="I72" t="s">
        <v>455</v>
      </c>
      <c r="J72" t="s">
        <v>456</v>
      </c>
      <c r="K72" t="s">
        <v>457</v>
      </c>
      <c r="L72">
        <v>10243</v>
      </c>
      <c r="M72" t="s">
        <v>83</v>
      </c>
      <c r="O72" t="s">
        <v>11</v>
      </c>
      <c r="P72">
        <v>6102</v>
      </c>
      <c r="Q72">
        <v>50</v>
      </c>
      <c r="R72">
        <v>2.79</v>
      </c>
      <c r="S72">
        <v>139.5</v>
      </c>
      <c r="T72">
        <v>97.5</v>
      </c>
      <c r="U72">
        <v>30.11</v>
      </c>
      <c r="V72" t="str">
        <f>VLOOKUP(L72,'[2]tabela de preços'!$A:$D,4,0)</f>
        <v>NORTON</v>
      </c>
      <c r="W72" t="str">
        <f>VLOOKUP(L72,'[2]tabela de preços'!$A:$F,6,0)</f>
        <v xml:space="preserve">DISCOS / LIXAS / ABRASIVOS </v>
      </c>
      <c r="X72" t="str">
        <f>VLOOKUP(L72,'[2]tabela de preços'!$A:$G,7,0)</f>
        <v>AUTOMOTIVO</v>
      </c>
    </row>
    <row r="73" spans="1:24" x14ac:dyDescent="0.3">
      <c r="A73" t="s">
        <v>452</v>
      </c>
      <c r="C73" t="s">
        <v>453</v>
      </c>
      <c r="D73" s="1">
        <v>46027</v>
      </c>
      <c r="E73" t="s">
        <v>454</v>
      </c>
      <c r="F73">
        <v>9</v>
      </c>
      <c r="G73">
        <v>174</v>
      </c>
      <c r="H73" t="str">
        <f>VLOOKUP(G73,[1]OPERADORES!$A:$B,2,0)</f>
        <v>MIRIÃ LOBATO RODRIGUES</v>
      </c>
      <c r="I73" t="s">
        <v>455</v>
      </c>
      <c r="J73" t="s">
        <v>456</v>
      </c>
      <c r="K73" t="s">
        <v>457</v>
      </c>
      <c r="L73">
        <v>10244</v>
      </c>
      <c r="M73" t="s">
        <v>84</v>
      </c>
      <c r="O73" t="s">
        <v>11</v>
      </c>
      <c r="P73">
        <v>6102</v>
      </c>
      <c r="Q73">
        <v>50</v>
      </c>
      <c r="R73">
        <v>2.79</v>
      </c>
      <c r="S73">
        <v>139.5</v>
      </c>
      <c r="T73">
        <v>98.5</v>
      </c>
      <c r="U73">
        <v>29.39</v>
      </c>
      <c r="V73" t="str">
        <f>VLOOKUP(L73,'[2]tabela de preços'!$A:$D,4,0)</f>
        <v>NORTON</v>
      </c>
      <c r="W73" t="str">
        <f>VLOOKUP(L73,'[2]tabela de preços'!$A:$F,6,0)</f>
        <v xml:space="preserve">DISCOS / LIXAS / ABRASIVOS </v>
      </c>
      <c r="X73" t="str">
        <f>VLOOKUP(L73,'[2]tabela de preços'!$A:$G,7,0)</f>
        <v>AUTOMOTIVO</v>
      </c>
    </row>
    <row r="74" spans="1:24" x14ac:dyDescent="0.3">
      <c r="A74" t="s">
        <v>452</v>
      </c>
      <c r="C74" t="s">
        <v>453</v>
      </c>
      <c r="D74" s="1">
        <v>46027</v>
      </c>
      <c r="E74" t="s">
        <v>454</v>
      </c>
      <c r="F74">
        <v>9</v>
      </c>
      <c r="G74">
        <v>174</v>
      </c>
      <c r="H74" t="str">
        <f>VLOOKUP(G74,[1]OPERADORES!$A:$B,2,0)</f>
        <v>MIRIÃ LOBATO RODRIGUES</v>
      </c>
      <c r="I74" t="s">
        <v>455</v>
      </c>
      <c r="J74" t="s">
        <v>456</v>
      </c>
      <c r="K74" t="s">
        <v>457</v>
      </c>
      <c r="L74">
        <v>10245</v>
      </c>
      <c r="M74" t="s">
        <v>195</v>
      </c>
      <c r="O74" t="s">
        <v>11</v>
      </c>
      <c r="P74">
        <v>6102</v>
      </c>
      <c r="Q74">
        <v>50</v>
      </c>
      <c r="R74">
        <v>2.79</v>
      </c>
      <c r="S74">
        <v>139.5</v>
      </c>
      <c r="T74">
        <v>97.5</v>
      </c>
      <c r="U74">
        <v>30.11</v>
      </c>
      <c r="V74" t="str">
        <f>VLOOKUP(L74,'[2]tabela de preços'!$A:$D,4,0)</f>
        <v>NORTON</v>
      </c>
      <c r="W74" t="str">
        <f>VLOOKUP(L74,'[2]tabela de preços'!$A:$F,6,0)</f>
        <v xml:space="preserve">DISCOS / LIXAS / ABRASIVOS </v>
      </c>
      <c r="X74" t="str">
        <f>VLOOKUP(L74,'[2]tabela de preços'!$A:$G,7,0)</f>
        <v>AUTOMOTIVO</v>
      </c>
    </row>
    <row r="75" spans="1:24" x14ac:dyDescent="0.3">
      <c r="A75" t="s">
        <v>452</v>
      </c>
      <c r="C75" t="s">
        <v>453</v>
      </c>
      <c r="D75" s="1">
        <v>46027</v>
      </c>
      <c r="E75" t="s">
        <v>454</v>
      </c>
      <c r="F75">
        <v>9</v>
      </c>
      <c r="G75">
        <v>174</v>
      </c>
      <c r="H75" t="str">
        <f>VLOOKUP(G75,[1]OPERADORES!$A:$B,2,0)</f>
        <v>MIRIÃ LOBATO RODRIGUES</v>
      </c>
      <c r="I75" t="s">
        <v>455</v>
      </c>
      <c r="J75" t="s">
        <v>456</v>
      </c>
      <c r="K75" t="s">
        <v>457</v>
      </c>
      <c r="L75">
        <v>10246</v>
      </c>
      <c r="M75" t="s">
        <v>206</v>
      </c>
      <c r="O75" t="s">
        <v>11</v>
      </c>
      <c r="P75">
        <v>6102</v>
      </c>
      <c r="Q75">
        <v>50</v>
      </c>
      <c r="R75">
        <v>2.79</v>
      </c>
      <c r="S75">
        <v>139.5</v>
      </c>
      <c r="T75">
        <v>97.5</v>
      </c>
      <c r="U75">
        <v>30.11</v>
      </c>
      <c r="V75" t="str">
        <f>VLOOKUP(L75,'[2]tabela de preços'!$A:$D,4,0)</f>
        <v>NORTON</v>
      </c>
      <c r="W75" t="str">
        <f>VLOOKUP(L75,'[2]tabela de preços'!$A:$F,6,0)</f>
        <v xml:space="preserve">DISCOS / LIXAS / ABRASIVOS </v>
      </c>
      <c r="X75" t="str">
        <f>VLOOKUP(L75,'[2]tabela de preços'!$A:$G,7,0)</f>
        <v>AUTOMOTIVO</v>
      </c>
    </row>
    <row r="76" spans="1:24" x14ac:dyDescent="0.3">
      <c r="A76" t="s">
        <v>452</v>
      </c>
      <c r="C76" t="s">
        <v>453</v>
      </c>
      <c r="D76" s="1">
        <v>46027</v>
      </c>
      <c r="E76" t="s">
        <v>454</v>
      </c>
      <c r="F76">
        <v>9</v>
      </c>
      <c r="G76">
        <v>174</v>
      </c>
      <c r="H76" t="str">
        <f>VLOOKUP(G76,[1]OPERADORES!$A:$B,2,0)</f>
        <v>MIRIÃ LOBATO RODRIGUES</v>
      </c>
      <c r="I76" t="s">
        <v>455</v>
      </c>
      <c r="J76" t="s">
        <v>456</v>
      </c>
      <c r="K76" t="s">
        <v>457</v>
      </c>
      <c r="L76">
        <v>20817</v>
      </c>
      <c r="M76" t="s">
        <v>153</v>
      </c>
      <c r="O76" t="s">
        <v>11</v>
      </c>
      <c r="P76">
        <v>6102</v>
      </c>
      <c r="Q76">
        <v>6</v>
      </c>
      <c r="R76">
        <v>22.89</v>
      </c>
      <c r="S76">
        <v>137.34</v>
      </c>
      <c r="T76">
        <v>111.72</v>
      </c>
      <c r="U76">
        <v>18.649999999999999</v>
      </c>
      <c r="V76" t="str">
        <f>VLOOKUP(L76,'[2]tabela de preços'!$A:$D,4,0)</f>
        <v>AUTO AMERICA</v>
      </c>
      <c r="W76" t="str">
        <f>VLOOKUP(L76,'[2]tabela de preços'!$A:$F,6,0)</f>
        <v>MASSA DE POLIR</v>
      </c>
      <c r="X76" t="str">
        <f>VLOOKUP(L76,'[2]tabela de preços'!$A:$G,7,0)</f>
        <v>AUTOMOTIVO</v>
      </c>
    </row>
    <row r="77" spans="1:24" x14ac:dyDescent="0.3">
      <c r="A77" t="s">
        <v>452</v>
      </c>
      <c r="C77" t="s">
        <v>453</v>
      </c>
      <c r="D77" s="1">
        <v>46027</v>
      </c>
      <c r="E77" t="s">
        <v>454</v>
      </c>
      <c r="F77">
        <v>9</v>
      </c>
      <c r="G77">
        <v>174</v>
      </c>
      <c r="H77" t="str">
        <f>VLOOKUP(G77,[1]OPERADORES!$A:$B,2,0)</f>
        <v>MIRIÃ LOBATO RODRIGUES</v>
      </c>
      <c r="I77" t="s">
        <v>455</v>
      </c>
      <c r="J77" t="s">
        <v>456</v>
      </c>
      <c r="K77" t="s">
        <v>457</v>
      </c>
      <c r="L77">
        <v>9764</v>
      </c>
      <c r="M77" t="s">
        <v>173</v>
      </c>
      <c r="O77" t="s">
        <v>11</v>
      </c>
      <c r="P77">
        <v>6102</v>
      </c>
      <c r="Q77">
        <v>3</v>
      </c>
      <c r="R77">
        <v>33.54</v>
      </c>
      <c r="S77">
        <v>100.62</v>
      </c>
      <c r="T77">
        <v>76.38</v>
      </c>
      <c r="U77">
        <v>24.09</v>
      </c>
      <c r="V77" t="str">
        <f>VLOOKUP(L77,'[2]tabela de preços'!$A:$D,4,0)</f>
        <v>SIKKENS</v>
      </c>
      <c r="W77" t="str">
        <f>VLOOKUP(L77,'[2]tabela de preços'!$A:$F,6,0)</f>
        <v>MASSA DE PEQUENOS REPAROS</v>
      </c>
      <c r="X77" t="str">
        <f>VLOOKUP(L77,'[2]tabela de preços'!$A:$G,7,0)</f>
        <v>AUTOMOTIVO</v>
      </c>
    </row>
    <row r="78" spans="1:24" x14ac:dyDescent="0.3">
      <c r="A78" t="s">
        <v>452</v>
      </c>
      <c r="C78" t="s">
        <v>453</v>
      </c>
      <c r="D78" s="1">
        <v>46027</v>
      </c>
      <c r="E78" t="s">
        <v>454</v>
      </c>
      <c r="F78">
        <v>9</v>
      </c>
      <c r="G78">
        <v>174</v>
      </c>
      <c r="H78" t="str">
        <f>VLOOKUP(G78,[1]OPERADORES!$A:$B,2,0)</f>
        <v>MIRIÃ LOBATO RODRIGUES</v>
      </c>
      <c r="I78" t="s">
        <v>455</v>
      </c>
      <c r="J78" t="s">
        <v>456</v>
      </c>
      <c r="K78" t="s">
        <v>457</v>
      </c>
      <c r="L78">
        <v>84658</v>
      </c>
      <c r="M78" t="s">
        <v>100</v>
      </c>
      <c r="O78" t="s">
        <v>11</v>
      </c>
      <c r="P78">
        <v>6102</v>
      </c>
      <c r="Q78">
        <v>8</v>
      </c>
      <c r="R78">
        <v>40.840000000000003</v>
      </c>
      <c r="S78">
        <v>326.72000000000003</v>
      </c>
      <c r="T78">
        <v>248</v>
      </c>
      <c r="U78">
        <v>24.09</v>
      </c>
      <c r="V78" t="str">
        <f>VLOOKUP(L78,'[2]tabela de preços'!$A:$D,4,0)</f>
        <v>ANJO</v>
      </c>
      <c r="W78" t="str">
        <f>VLOOKUP(L78,'[2]tabela de preços'!$A:$F,6,0)</f>
        <v>MASSA POLIÉSTER</v>
      </c>
      <c r="X78" t="str">
        <f>VLOOKUP(L78,'[2]tabela de preços'!$A:$G,7,0)</f>
        <v>AUTOMOTIVO</v>
      </c>
    </row>
    <row r="79" spans="1:24" x14ac:dyDescent="0.3">
      <c r="A79" t="s">
        <v>452</v>
      </c>
      <c r="C79" t="s">
        <v>453</v>
      </c>
      <c r="D79" s="1">
        <v>46027</v>
      </c>
      <c r="E79" t="s">
        <v>454</v>
      </c>
      <c r="F79">
        <v>9</v>
      </c>
      <c r="G79">
        <v>174</v>
      </c>
      <c r="H79" t="str">
        <f>VLOOKUP(G79,[1]OPERADORES!$A:$B,2,0)</f>
        <v>MIRIÃ LOBATO RODRIGUES</v>
      </c>
      <c r="I79" t="s">
        <v>455</v>
      </c>
      <c r="J79" t="s">
        <v>456</v>
      </c>
      <c r="K79" t="s">
        <v>457</v>
      </c>
      <c r="L79">
        <v>84445</v>
      </c>
      <c r="M79" t="s">
        <v>463</v>
      </c>
      <c r="O79" t="s">
        <v>11</v>
      </c>
      <c r="P79">
        <v>6102</v>
      </c>
      <c r="Q79">
        <v>5</v>
      </c>
      <c r="R79">
        <v>50.21</v>
      </c>
      <c r="S79">
        <v>251.05</v>
      </c>
      <c r="T79">
        <v>190.55</v>
      </c>
      <c r="U79">
        <v>24.1</v>
      </c>
      <c r="V79" t="str">
        <f>VLOOKUP(L79,'[2]tabela de preços'!$A:$D,4,0)</f>
        <v>ALEC</v>
      </c>
      <c r="W79" t="str">
        <f>VLOOKUP(L79,'[2]tabela de preços'!$A:$F,6,0)</f>
        <v>PAPEL DE MASCARAMENTO</v>
      </c>
      <c r="X79" t="str">
        <f>VLOOKUP(L79,'[2]tabela de preços'!$A:$G,7,0)</f>
        <v>AUTOMOTIVO</v>
      </c>
    </row>
    <row r="80" spans="1:24" x14ac:dyDescent="0.3">
      <c r="A80" t="s">
        <v>452</v>
      </c>
      <c r="C80" t="s">
        <v>453</v>
      </c>
      <c r="D80" s="1">
        <v>46027</v>
      </c>
      <c r="E80" t="s">
        <v>454</v>
      </c>
      <c r="F80">
        <v>9</v>
      </c>
      <c r="G80">
        <v>174</v>
      </c>
      <c r="H80" t="str">
        <f>VLOOKUP(G80,[1]OPERADORES!$A:$B,2,0)</f>
        <v>MIRIÃ LOBATO RODRIGUES</v>
      </c>
      <c r="I80" t="s">
        <v>455</v>
      </c>
      <c r="J80" t="s">
        <v>456</v>
      </c>
      <c r="K80" t="s">
        <v>457</v>
      </c>
      <c r="L80">
        <v>24267</v>
      </c>
      <c r="M80" t="s">
        <v>442</v>
      </c>
      <c r="O80" t="s">
        <v>11</v>
      </c>
      <c r="P80">
        <v>6102</v>
      </c>
      <c r="Q80">
        <v>1</v>
      </c>
      <c r="R80">
        <v>30.54</v>
      </c>
      <c r="S80">
        <v>30.54</v>
      </c>
      <c r="T80">
        <v>23.18</v>
      </c>
      <c r="U80">
        <v>24.1</v>
      </c>
      <c r="V80" t="str">
        <f>VLOOKUP(L80,'[2]tabela de preços'!$A:$D,4,0)</f>
        <v>VONIXX</v>
      </c>
      <c r="W80" t="str">
        <f>VLOOKUP(L80,'[2]tabela de preços'!$A:$F,6,0)</f>
        <v>LINHA DE HIGENIZAÇÃO E ESTÉTICA  AUTOMOTIVA</v>
      </c>
      <c r="X80" t="str">
        <f>VLOOKUP(L80,'[2]tabela de preços'!$A:$G,7,0)</f>
        <v>AUTOMOTIVO</v>
      </c>
    </row>
    <row r="81" spans="1:24" x14ac:dyDescent="0.3">
      <c r="A81" t="s">
        <v>452</v>
      </c>
      <c r="C81" t="s">
        <v>453</v>
      </c>
      <c r="D81" s="1">
        <v>46027</v>
      </c>
      <c r="E81" t="s">
        <v>454</v>
      </c>
      <c r="F81">
        <v>9</v>
      </c>
      <c r="G81">
        <v>174</v>
      </c>
      <c r="H81" t="str">
        <f>VLOOKUP(G81,[1]OPERADORES!$A:$B,2,0)</f>
        <v>MIRIÃ LOBATO RODRIGUES</v>
      </c>
      <c r="I81" t="s">
        <v>455</v>
      </c>
      <c r="J81" t="s">
        <v>456</v>
      </c>
      <c r="K81" t="s">
        <v>457</v>
      </c>
      <c r="L81">
        <v>10298</v>
      </c>
      <c r="M81" t="s">
        <v>85</v>
      </c>
      <c r="O81" t="s">
        <v>11</v>
      </c>
      <c r="P81">
        <v>6102</v>
      </c>
      <c r="Q81">
        <v>8</v>
      </c>
      <c r="R81">
        <v>56.8</v>
      </c>
      <c r="S81">
        <v>454.4</v>
      </c>
      <c r="T81">
        <v>379.04</v>
      </c>
      <c r="U81">
        <v>16.579999999999998</v>
      </c>
      <c r="V81" t="str">
        <f>VLOOKUP(L81,'[2]tabela de preços'!$A:$D,4,0)</f>
        <v>ANJO</v>
      </c>
      <c r="W81" t="str">
        <f>VLOOKUP(L81,'[2]tabela de preços'!$A:$F,6,0)</f>
        <v>THINNER DE LIMPEZA</v>
      </c>
      <c r="X81" t="str">
        <f>VLOOKUP(L81,'[2]tabela de preços'!$A:$G,7,0)</f>
        <v>THINNER</v>
      </c>
    </row>
    <row r="82" spans="1:24" x14ac:dyDescent="0.3">
      <c r="A82" t="s">
        <v>452</v>
      </c>
      <c r="C82" t="s">
        <v>453</v>
      </c>
      <c r="D82" s="1">
        <v>46027</v>
      </c>
      <c r="E82" t="s">
        <v>454</v>
      </c>
      <c r="F82">
        <v>9</v>
      </c>
      <c r="G82">
        <v>174</v>
      </c>
      <c r="H82" t="str">
        <f>VLOOKUP(G82,[1]OPERADORES!$A:$B,2,0)</f>
        <v>MIRIÃ LOBATO RODRIGUES</v>
      </c>
      <c r="I82" t="s">
        <v>455</v>
      </c>
      <c r="J82" t="s">
        <v>456</v>
      </c>
      <c r="K82" t="s">
        <v>457</v>
      </c>
      <c r="L82">
        <v>20414</v>
      </c>
      <c r="M82" t="s">
        <v>112</v>
      </c>
      <c r="O82" t="s">
        <v>11</v>
      </c>
      <c r="P82">
        <v>6102</v>
      </c>
      <c r="Q82">
        <v>10</v>
      </c>
      <c r="R82">
        <v>21.89</v>
      </c>
      <c r="S82">
        <v>218.9</v>
      </c>
      <c r="T82">
        <v>180</v>
      </c>
      <c r="U82">
        <v>17.77</v>
      </c>
      <c r="V82" t="str">
        <f>VLOOKUP(L82,'[2]tabela de preços'!$A:$D,4,0)</f>
        <v>SHERWIN WILLIAMS</v>
      </c>
      <c r="W82" t="str">
        <f>VLOOKUP(L82,'[2]tabela de preços'!$A:$F,6,0)</f>
        <v>DILUENTE</v>
      </c>
      <c r="X82" t="str">
        <f>VLOOKUP(L82,'[2]tabela de preços'!$A:$G,7,0)</f>
        <v>AUTOMOTIVO</v>
      </c>
    </row>
    <row r="83" spans="1:24" x14ac:dyDescent="0.3">
      <c r="A83" t="s">
        <v>452</v>
      </c>
      <c r="C83" t="s">
        <v>453</v>
      </c>
      <c r="D83" s="1">
        <v>46027</v>
      </c>
      <c r="E83" t="s">
        <v>454</v>
      </c>
      <c r="F83">
        <v>9</v>
      </c>
      <c r="G83">
        <v>174</v>
      </c>
      <c r="H83" t="str">
        <f>VLOOKUP(G83,[1]OPERADORES!$A:$B,2,0)</f>
        <v>MIRIÃ LOBATO RODRIGUES</v>
      </c>
      <c r="I83" t="s">
        <v>455</v>
      </c>
      <c r="J83" t="s">
        <v>456</v>
      </c>
      <c r="K83" t="s">
        <v>457</v>
      </c>
      <c r="L83">
        <v>84873</v>
      </c>
      <c r="M83" t="s">
        <v>464</v>
      </c>
      <c r="O83" t="s">
        <v>11</v>
      </c>
      <c r="P83">
        <v>6102</v>
      </c>
      <c r="Q83">
        <v>1</v>
      </c>
      <c r="R83">
        <v>20.6</v>
      </c>
      <c r="S83">
        <v>20.6</v>
      </c>
      <c r="T83">
        <v>15.64</v>
      </c>
      <c r="U83">
        <v>24.08</v>
      </c>
      <c r="V83" t="str">
        <f>VLOOKUP(L83,'[2]tabela de preços'!$A:$D,4,0)</f>
        <v>VONIXX</v>
      </c>
      <c r="W83" t="str">
        <f>VLOOKUP(L83,'[2]tabela de preços'!$A:$F,6,0)</f>
        <v>LINHA DE HIGENIZAÇÃO E ESTÉTICA  AUTOMOTIVA</v>
      </c>
      <c r="X83" t="str">
        <f>VLOOKUP(L83,'[2]tabela de preços'!$A:$G,7,0)</f>
        <v>AUTOMOTIVO</v>
      </c>
    </row>
    <row r="84" spans="1:24" x14ac:dyDescent="0.3">
      <c r="A84" t="s">
        <v>452</v>
      </c>
      <c r="C84" t="s">
        <v>453</v>
      </c>
      <c r="D84" s="1">
        <v>46027</v>
      </c>
      <c r="E84" t="s">
        <v>454</v>
      </c>
      <c r="F84">
        <v>9</v>
      </c>
      <c r="G84">
        <v>174</v>
      </c>
      <c r="H84" t="str">
        <f>VLOOKUP(G84,[1]OPERADORES!$A:$B,2,0)</f>
        <v>MIRIÃ LOBATO RODRIGUES</v>
      </c>
      <c r="I84" t="s">
        <v>455</v>
      </c>
      <c r="J84" t="s">
        <v>456</v>
      </c>
      <c r="K84" t="s">
        <v>457</v>
      </c>
      <c r="L84">
        <v>10404</v>
      </c>
      <c r="M84" t="s">
        <v>130</v>
      </c>
      <c r="O84" t="s">
        <v>11</v>
      </c>
      <c r="P84">
        <v>6102</v>
      </c>
      <c r="Q84">
        <v>7</v>
      </c>
      <c r="R84">
        <v>16.09</v>
      </c>
      <c r="S84">
        <v>112.63</v>
      </c>
      <c r="T84">
        <v>93.24</v>
      </c>
      <c r="U84">
        <v>17.22</v>
      </c>
      <c r="V84" t="str">
        <f>VLOOKUP(L84,'[2]tabela de preços'!$A:$D,4,0)</f>
        <v>MAXI RUBBER</v>
      </c>
      <c r="W84" t="str">
        <f>VLOOKUP(L84,'[2]tabela de preços'!$A:$F,6,0)</f>
        <v>VEDADORES / SELANTES</v>
      </c>
      <c r="X84" t="str">
        <f>VLOOKUP(L84,'[2]tabela de preços'!$A:$G,7,0)</f>
        <v>AUTOMOTIVO</v>
      </c>
    </row>
    <row r="85" spans="1:24" x14ac:dyDescent="0.3">
      <c r="A85" t="s">
        <v>452</v>
      </c>
      <c r="C85" t="s">
        <v>453</v>
      </c>
      <c r="D85" s="1">
        <v>46027</v>
      </c>
      <c r="E85" t="s">
        <v>454</v>
      </c>
      <c r="F85">
        <v>9</v>
      </c>
      <c r="G85">
        <v>174</v>
      </c>
      <c r="H85" t="str">
        <f>VLOOKUP(G85,[1]OPERADORES!$A:$B,2,0)</f>
        <v>MIRIÃ LOBATO RODRIGUES</v>
      </c>
      <c r="I85" t="s">
        <v>455</v>
      </c>
      <c r="J85" t="s">
        <v>456</v>
      </c>
      <c r="K85" t="s">
        <v>457</v>
      </c>
      <c r="L85">
        <v>20399</v>
      </c>
      <c r="M85" t="s">
        <v>465</v>
      </c>
      <c r="O85" t="s">
        <v>11</v>
      </c>
      <c r="P85">
        <v>6403</v>
      </c>
      <c r="Q85">
        <v>4</v>
      </c>
      <c r="R85">
        <v>34.700000000000003</v>
      </c>
      <c r="S85">
        <v>138.80000000000001</v>
      </c>
      <c r="T85">
        <v>105.4</v>
      </c>
      <c r="U85">
        <v>24.06</v>
      </c>
      <c r="V85" t="str">
        <f>VLOOKUP(L85,'[2]tabela de preços'!$A:$D,4,0)</f>
        <v>SHERWIN WILLIAMS</v>
      </c>
      <c r="W85" t="str">
        <f>VLOOKUP(L85,'[2]tabela de preços'!$A:$F,6,0)</f>
        <v>VERNIZ AUTOMOTIVO</v>
      </c>
      <c r="X85" t="str">
        <f>VLOOKUP(L85,'[2]tabela de preços'!$A:$G,7,0)</f>
        <v>AUTOMOTIVO</v>
      </c>
    </row>
    <row r="86" spans="1:24" x14ac:dyDescent="0.3">
      <c r="A86" t="s">
        <v>508</v>
      </c>
      <c r="C86" t="s">
        <v>509</v>
      </c>
      <c r="D86" s="1">
        <v>46027</v>
      </c>
      <c r="E86" t="s">
        <v>510</v>
      </c>
      <c r="F86">
        <v>9</v>
      </c>
      <c r="G86">
        <v>231</v>
      </c>
      <c r="H86" t="str">
        <f>VLOOKUP(G86,[1]OPERADORES!$A:$B,2,0)</f>
        <v>EDIJANE</v>
      </c>
      <c r="I86" t="s">
        <v>21</v>
      </c>
      <c r="J86" t="s">
        <v>66</v>
      </c>
      <c r="K86" t="s">
        <v>511</v>
      </c>
      <c r="L86">
        <v>86875</v>
      </c>
      <c r="M86" t="s">
        <v>512</v>
      </c>
      <c r="O86" t="s">
        <v>11</v>
      </c>
      <c r="P86">
        <v>5102</v>
      </c>
      <c r="Q86">
        <v>12</v>
      </c>
      <c r="R86">
        <v>29.85</v>
      </c>
      <c r="S86">
        <v>358.2</v>
      </c>
      <c r="T86">
        <v>271.92</v>
      </c>
      <c r="U86">
        <v>24.09</v>
      </c>
      <c r="V86" t="str">
        <f>VLOOKUP(L86,'[2]tabela de preços'!$A:$D,4,0)</f>
        <v>UNIFORTE</v>
      </c>
      <c r="W86" t="str">
        <f>VLOOKUP(L86,'[2]tabela de preços'!$A:$F,6,0)</f>
        <v>ASSENTOS / SIFÕES</v>
      </c>
      <c r="X86" t="str">
        <f>VLOOKUP(L86,'[2]tabela de preços'!$A:$G,7,0)</f>
        <v>IMOBILIÁRIO</v>
      </c>
    </row>
    <row r="87" spans="1:24" x14ac:dyDescent="0.3">
      <c r="A87" t="s">
        <v>508</v>
      </c>
      <c r="C87" t="s">
        <v>509</v>
      </c>
      <c r="D87" s="1">
        <v>46027</v>
      </c>
      <c r="E87" t="s">
        <v>510</v>
      </c>
      <c r="F87">
        <v>9</v>
      </c>
      <c r="G87">
        <v>231</v>
      </c>
      <c r="H87" t="str">
        <f>VLOOKUP(G87,[1]OPERADORES!$A:$B,2,0)</f>
        <v>EDIJANE</v>
      </c>
      <c r="I87" t="s">
        <v>21</v>
      </c>
      <c r="J87" t="s">
        <v>66</v>
      </c>
      <c r="K87" t="s">
        <v>511</v>
      </c>
      <c r="L87">
        <v>86874</v>
      </c>
      <c r="M87" t="s">
        <v>513</v>
      </c>
      <c r="O87" t="s">
        <v>11</v>
      </c>
      <c r="P87">
        <v>5102</v>
      </c>
      <c r="Q87">
        <v>20</v>
      </c>
      <c r="R87">
        <v>15.61</v>
      </c>
      <c r="S87">
        <v>312.2</v>
      </c>
      <c r="T87">
        <v>237</v>
      </c>
      <c r="U87">
        <v>24.09</v>
      </c>
      <c r="V87" t="str">
        <f>VLOOKUP(L87,'[2]tabela de preços'!$A:$D,4,0)</f>
        <v>UNIFORTE</v>
      </c>
      <c r="W87" t="str">
        <f>VLOOKUP(L87,'[2]tabela de preços'!$A:$F,6,0)</f>
        <v>ASSENTOS / SIFÕES</v>
      </c>
      <c r="X87" t="str">
        <f>VLOOKUP(L87,'[2]tabela de preços'!$A:$G,7,0)</f>
        <v>IMOBILIÁRIO</v>
      </c>
    </row>
    <row r="88" spans="1:24" x14ac:dyDescent="0.3">
      <c r="A88" t="s">
        <v>508</v>
      </c>
      <c r="C88" t="s">
        <v>509</v>
      </c>
      <c r="D88" s="1">
        <v>46027</v>
      </c>
      <c r="E88" t="s">
        <v>510</v>
      </c>
      <c r="F88">
        <v>9</v>
      </c>
      <c r="G88">
        <v>231</v>
      </c>
      <c r="H88" t="str">
        <f>VLOOKUP(G88,[1]OPERADORES!$A:$B,2,0)</f>
        <v>EDIJANE</v>
      </c>
      <c r="I88" t="s">
        <v>21</v>
      </c>
      <c r="J88" t="s">
        <v>66</v>
      </c>
      <c r="K88" t="s">
        <v>511</v>
      </c>
      <c r="L88">
        <v>10109</v>
      </c>
      <c r="M88" t="s">
        <v>514</v>
      </c>
      <c r="O88" t="s">
        <v>11</v>
      </c>
      <c r="P88">
        <v>5102</v>
      </c>
      <c r="Q88">
        <v>6</v>
      </c>
      <c r="R88">
        <v>11.98</v>
      </c>
      <c r="S88">
        <v>71.88</v>
      </c>
      <c r="T88">
        <v>54.54</v>
      </c>
      <c r="U88">
        <v>24.12</v>
      </c>
      <c r="V88" t="str">
        <f>VLOOKUP(L88,'[2]tabela de preços'!$A:$D,4,0)</f>
        <v>ATLAS</v>
      </c>
      <c r="W88" t="str">
        <f>VLOOKUP(L88,'[2]tabela de preços'!$A:$F,6,0)</f>
        <v>ROLOS / TRINCHAS / PINCÉIS / ESPÁTULAS</v>
      </c>
      <c r="X88" t="str">
        <f>VLOOKUP(L88,'[2]tabela de preços'!$A:$G,7,0)</f>
        <v>IMOBILIÁRIO</v>
      </c>
    </row>
    <row r="89" spans="1:24" x14ac:dyDescent="0.3">
      <c r="A89" t="s">
        <v>508</v>
      </c>
      <c r="C89" t="s">
        <v>509</v>
      </c>
      <c r="D89" s="1">
        <v>46027</v>
      </c>
      <c r="E89" t="s">
        <v>510</v>
      </c>
      <c r="F89">
        <v>9</v>
      </c>
      <c r="G89">
        <v>231</v>
      </c>
      <c r="H89" t="str">
        <f>VLOOKUP(G89,[1]OPERADORES!$A:$B,2,0)</f>
        <v>EDIJANE</v>
      </c>
      <c r="I89" t="s">
        <v>21</v>
      </c>
      <c r="J89" t="s">
        <v>66</v>
      </c>
      <c r="K89" t="s">
        <v>511</v>
      </c>
      <c r="L89">
        <v>20029</v>
      </c>
      <c r="M89" t="s">
        <v>515</v>
      </c>
      <c r="O89" t="s">
        <v>11</v>
      </c>
      <c r="P89">
        <v>5102</v>
      </c>
      <c r="Q89">
        <v>5</v>
      </c>
      <c r="R89">
        <v>13.57</v>
      </c>
      <c r="S89">
        <v>67.849999999999994</v>
      </c>
      <c r="T89">
        <v>51.5</v>
      </c>
      <c r="U89">
        <v>24.1</v>
      </c>
      <c r="V89" t="str">
        <f>VLOOKUP(L89,'[2]tabela de preços'!$A:$D,4,0)</f>
        <v>ATLAS</v>
      </c>
      <c r="W89" t="str">
        <f>VLOOKUP(L89,'[2]tabela de preços'!$A:$F,6,0)</f>
        <v>ROLOS / TRINCHAS / PINCÉIS / ESPÁTULAS</v>
      </c>
      <c r="X89" t="str">
        <f>VLOOKUP(L89,'[2]tabela de preços'!$A:$G,7,0)</f>
        <v>IMOBILIÁRIO</v>
      </c>
    </row>
    <row r="90" spans="1:24" x14ac:dyDescent="0.3">
      <c r="A90" t="s">
        <v>508</v>
      </c>
      <c r="C90" t="s">
        <v>509</v>
      </c>
      <c r="D90" s="1">
        <v>46027</v>
      </c>
      <c r="E90" t="s">
        <v>510</v>
      </c>
      <c r="F90">
        <v>9</v>
      </c>
      <c r="G90">
        <v>231</v>
      </c>
      <c r="H90" t="str">
        <f>VLOOKUP(G90,[1]OPERADORES!$A:$B,2,0)</f>
        <v>EDIJANE</v>
      </c>
      <c r="I90" t="s">
        <v>21</v>
      </c>
      <c r="J90" t="s">
        <v>66</v>
      </c>
      <c r="K90" t="s">
        <v>511</v>
      </c>
      <c r="L90">
        <v>84428</v>
      </c>
      <c r="M90" t="s">
        <v>516</v>
      </c>
      <c r="O90" t="s">
        <v>11</v>
      </c>
      <c r="P90">
        <v>5102</v>
      </c>
      <c r="Q90">
        <v>2</v>
      </c>
      <c r="R90">
        <v>18.3</v>
      </c>
      <c r="S90">
        <v>36.6</v>
      </c>
      <c r="T90">
        <v>27.78</v>
      </c>
      <c r="U90">
        <v>24.1</v>
      </c>
      <c r="V90" t="str">
        <f>VLOOKUP(L90,'[2]tabela de preços'!$A:$D,4,0)</f>
        <v>ATLAS</v>
      </c>
      <c r="W90" t="str">
        <f>VLOOKUP(L90,'[2]tabela de preços'!$A:$F,6,0)</f>
        <v>ROLOS / TRINCHAS / PINCÉIS / ESPÁTULAS</v>
      </c>
      <c r="X90" t="str">
        <f>VLOOKUP(L90,'[2]tabela de preços'!$A:$G,7,0)</f>
        <v>IMOBILIÁRIO</v>
      </c>
    </row>
    <row r="91" spans="1:24" x14ac:dyDescent="0.3">
      <c r="A91" t="s">
        <v>508</v>
      </c>
      <c r="C91" t="s">
        <v>509</v>
      </c>
      <c r="D91" s="1">
        <v>46027</v>
      </c>
      <c r="E91" t="s">
        <v>510</v>
      </c>
      <c r="F91">
        <v>9</v>
      </c>
      <c r="G91">
        <v>231</v>
      </c>
      <c r="H91" t="str">
        <f>VLOOKUP(G91,[1]OPERADORES!$A:$B,2,0)</f>
        <v>EDIJANE</v>
      </c>
      <c r="I91" t="s">
        <v>21</v>
      </c>
      <c r="J91" t="s">
        <v>66</v>
      </c>
      <c r="K91" t="s">
        <v>511</v>
      </c>
      <c r="L91">
        <v>10108</v>
      </c>
      <c r="M91" t="s">
        <v>517</v>
      </c>
      <c r="O91" t="s">
        <v>11</v>
      </c>
      <c r="P91">
        <v>5102</v>
      </c>
      <c r="Q91">
        <v>6</v>
      </c>
      <c r="R91">
        <v>9.2100000000000009</v>
      </c>
      <c r="S91">
        <v>55.26</v>
      </c>
      <c r="T91">
        <v>41.94</v>
      </c>
      <c r="U91">
        <v>24.1</v>
      </c>
      <c r="V91" t="str">
        <f>VLOOKUP(L91,'[2]tabela de preços'!$A:$D,4,0)</f>
        <v>ATLAS</v>
      </c>
      <c r="W91" t="str">
        <f>VLOOKUP(L91,'[2]tabela de preços'!$A:$F,6,0)</f>
        <v>ROLOS / TRINCHAS / PINCÉIS / ESPÁTULAS</v>
      </c>
      <c r="X91" t="str">
        <f>VLOOKUP(L91,'[2]tabela de preços'!$A:$G,7,0)</f>
        <v>IMOBILIÁRIO</v>
      </c>
    </row>
    <row r="92" spans="1:24" x14ac:dyDescent="0.3">
      <c r="A92" t="s">
        <v>508</v>
      </c>
      <c r="C92" t="s">
        <v>509</v>
      </c>
      <c r="D92" s="1">
        <v>46027</v>
      </c>
      <c r="E92" t="s">
        <v>510</v>
      </c>
      <c r="F92">
        <v>9</v>
      </c>
      <c r="G92">
        <v>231</v>
      </c>
      <c r="H92" t="str">
        <f>VLOOKUP(G92,[1]OPERADORES!$A:$B,2,0)</f>
        <v>EDIJANE</v>
      </c>
      <c r="I92" t="s">
        <v>21</v>
      </c>
      <c r="J92" t="s">
        <v>66</v>
      </c>
      <c r="K92" t="s">
        <v>511</v>
      </c>
      <c r="L92">
        <v>84020</v>
      </c>
      <c r="M92" t="s">
        <v>518</v>
      </c>
      <c r="O92" t="s">
        <v>11</v>
      </c>
      <c r="P92">
        <v>5102</v>
      </c>
      <c r="Q92">
        <v>50</v>
      </c>
      <c r="R92">
        <v>0.82</v>
      </c>
      <c r="S92">
        <v>41</v>
      </c>
      <c r="T92">
        <v>34.5</v>
      </c>
      <c r="U92">
        <v>15.85</v>
      </c>
      <c r="V92" t="str">
        <f>VLOOKUP(L92,'[2]tabela de preços'!$A:$D,4,0)</f>
        <v>3M</v>
      </c>
      <c r="W92" t="str">
        <f>VLOOKUP(L92,'[2]tabela de preços'!$A:$F,6,0)</f>
        <v>LIXA MASSA  /MADEIRA / PAREDE</v>
      </c>
      <c r="X92" t="str">
        <f>VLOOKUP(L92,'[2]tabela de preços'!$A:$G,7,0)</f>
        <v>IMOBILIÁRIO</v>
      </c>
    </row>
    <row r="93" spans="1:24" x14ac:dyDescent="0.3">
      <c r="A93" t="s">
        <v>508</v>
      </c>
      <c r="C93" t="s">
        <v>509</v>
      </c>
      <c r="D93" s="1">
        <v>46027</v>
      </c>
      <c r="E93" t="s">
        <v>510</v>
      </c>
      <c r="F93">
        <v>9</v>
      </c>
      <c r="G93">
        <v>231</v>
      </c>
      <c r="H93" t="str">
        <f>VLOOKUP(G93,[1]OPERADORES!$A:$B,2,0)</f>
        <v>EDIJANE</v>
      </c>
      <c r="I93" t="s">
        <v>21</v>
      </c>
      <c r="J93" t="s">
        <v>66</v>
      </c>
      <c r="K93" t="s">
        <v>511</v>
      </c>
      <c r="L93">
        <v>84017</v>
      </c>
      <c r="M93" t="s">
        <v>519</v>
      </c>
      <c r="O93" t="s">
        <v>11</v>
      </c>
      <c r="P93">
        <v>5102</v>
      </c>
      <c r="Q93">
        <v>50</v>
      </c>
      <c r="R93">
        <v>0.52</v>
      </c>
      <c r="S93">
        <v>26</v>
      </c>
      <c r="T93">
        <v>23</v>
      </c>
      <c r="U93">
        <v>11.54</v>
      </c>
      <c r="V93" t="str">
        <f>VLOOKUP(L93,'[2]tabela de preços'!$A:$D,4,0)</f>
        <v>3M</v>
      </c>
      <c r="W93" t="str">
        <f>VLOOKUP(L93,'[2]tabela de preços'!$A:$F,6,0)</f>
        <v>LIXA MASSA  /MADEIRA / PAREDE</v>
      </c>
      <c r="X93" t="str">
        <f>VLOOKUP(L93,'[2]tabela de preços'!$A:$G,7,0)</f>
        <v>IMOBILIÁRIO</v>
      </c>
    </row>
    <row r="94" spans="1:24" x14ac:dyDescent="0.3">
      <c r="A94" t="s">
        <v>508</v>
      </c>
      <c r="C94" t="s">
        <v>509</v>
      </c>
      <c r="D94" s="1">
        <v>46027</v>
      </c>
      <c r="E94" t="s">
        <v>510</v>
      </c>
      <c r="F94">
        <v>9</v>
      </c>
      <c r="G94">
        <v>231</v>
      </c>
      <c r="H94" t="str">
        <f>VLOOKUP(G94,[1]OPERADORES!$A:$B,2,0)</f>
        <v>EDIJANE</v>
      </c>
      <c r="I94" t="s">
        <v>21</v>
      </c>
      <c r="J94" t="s">
        <v>66</v>
      </c>
      <c r="K94" t="s">
        <v>511</v>
      </c>
      <c r="L94">
        <v>24300</v>
      </c>
      <c r="M94" t="s">
        <v>520</v>
      </c>
      <c r="O94" t="s">
        <v>46</v>
      </c>
      <c r="P94">
        <v>5403</v>
      </c>
      <c r="Q94">
        <v>50</v>
      </c>
      <c r="R94">
        <v>3.54</v>
      </c>
      <c r="S94">
        <v>177</v>
      </c>
      <c r="T94">
        <v>134.5</v>
      </c>
      <c r="U94">
        <v>24.01</v>
      </c>
      <c r="V94" t="str">
        <f>VLOOKUP(L94,'[2]tabela de preços'!$A:$D,4,0)</f>
        <v>VONDER</v>
      </c>
      <c r="W94" t="str">
        <f>VLOOKUP(L94,'[2]tabela de preços'!$A:$F,6,0)</f>
        <v>APLICADORES / ADAPTADORES / ENGATES / SUPORTES</v>
      </c>
      <c r="X94" t="str">
        <f>VLOOKUP(L94,'[2]tabela de preços'!$A:$G,7,0)</f>
        <v>AUTOMOTIVO</v>
      </c>
    </row>
    <row r="95" spans="1:24" x14ac:dyDescent="0.3">
      <c r="A95" t="s">
        <v>508</v>
      </c>
      <c r="C95" t="s">
        <v>509</v>
      </c>
      <c r="D95" s="1">
        <v>46027</v>
      </c>
      <c r="E95" t="s">
        <v>510</v>
      </c>
      <c r="F95">
        <v>9</v>
      </c>
      <c r="G95">
        <v>231</v>
      </c>
      <c r="H95" t="str">
        <f>VLOOKUP(G95,[1]OPERADORES!$A:$B,2,0)</f>
        <v>EDIJANE</v>
      </c>
      <c r="I95" t="s">
        <v>21</v>
      </c>
      <c r="J95" t="s">
        <v>66</v>
      </c>
      <c r="K95" t="s">
        <v>511</v>
      </c>
      <c r="L95">
        <v>85683</v>
      </c>
      <c r="M95" t="s">
        <v>521</v>
      </c>
      <c r="O95" t="s">
        <v>11</v>
      </c>
      <c r="P95">
        <v>5102</v>
      </c>
      <c r="Q95">
        <v>6</v>
      </c>
      <c r="R95">
        <v>8.68</v>
      </c>
      <c r="S95">
        <v>52.08</v>
      </c>
      <c r="T95">
        <v>39.54</v>
      </c>
      <c r="U95">
        <v>24.08</v>
      </c>
      <c r="V95" t="str">
        <f>VLOOKUP(L95,'[2]tabela de preços'!$A:$D,4,0)</f>
        <v>UNIPEGA</v>
      </c>
      <c r="W95" t="str">
        <f>VLOOKUP(L95,'[2]tabela de preços'!$A:$F,6,0)</f>
        <v>SILICONE</v>
      </c>
      <c r="X95" t="str">
        <f>VLOOKUP(L95,'[2]tabela de preços'!$A:$G,7,0)</f>
        <v>IMOBILIÁRIO</v>
      </c>
    </row>
    <row r="96" spans="1:24" x14ac:dyDescent="0.3">
      <c r="A96" t="s">
        <v>508</v>
      </c>
      <c r="C96" t="s">
        <v>509</v>
      </c>
      <c r="D96" s="1">
        <v>46027</v>
      </c>
      <c r="E96" t="s">
        <v>510</v>
      </c>
      <c r="F96">
        <v>9</v>
      </c>
      <c r="G96">
        <v>231</v>
      </c>
      <c r="H96" t="str">
        <f>VLOOKUP(G96,[1]OPERADORES!$A:$B,2,0)</f>
        <v>EDIJANE</v>
      </c>
      <c r="I96" t="s">
        <v>21</v>
      </c>
      <c r="J96" t="s">
        <v>66</v>
      </c>
      <c r="K96" t="s">
        <v>511</v>
      </c>
      <c r="L96">
        <v>23750</v>
      </c>
      <c r="M96" t="s">
        <v>522</v>
      </c>
      <c r="O96" t="s">
        <v>11</v>
      </c>
      <c r="P96">
        <v>5102</v>
      </c>
      <c r="Q96">
        <v>2</v>
      </c>
      <c r="R96">
        <v>15.89</v>
      </c>
      <c r="S96">
        <v>31.78</v>
      </c>
      <c r="T96">
        <v>25.92</v>
      </c>
      <c r="U96">
        <v>18.440000000000001</v>
      </c>
      <c r="V96" t="str">
        <f>VLOOKUP(L96,'[2]tabela de preços'!$A:$D,4,0)</f>
        <v>PURPLEX</v>
      </c>
      <c r="W96" t="str">
        <f>VLOOKUP(L96,'[2]tabela de preços'!$A:$F,6,0)</f>
        <v>TACO LIXADOR</v>
      </c>
      <c r="X96" t="str">
        <f>VLOOKUP(L96,'[2]tabela de preços'!$A:$G,7,0)</f>
        <v>AUTOMOTIVO</v>
      </c>
    </row>
    <row r="97" spans="1:24" x14ac:dyDescent="0.3">
      <c r="A97" t="s">
        <v>508</v>
      </c>
      <c r="C97" t="s">
        <v>509</v>
      </c>
      <c r="D97" s="1">
        <v>46027</v>
      </c>
      <c r="E97" t="s">
        <v>510</v>
      </c>
      <c r="F97">
        <v>9</v>
      </c>
      <c r="G97">
        <v>231</v>
      </c>
      <c r="H97" t="str">
        <f>VLOOKUP(G97,[1]OPERADORES!$A:$B,2,0)</f>
        <v>EDIJANE</v>
      </c>
      <c r="I97" t="s">
        <v>21</v>
      </c>
      <c r="J97" t="s">
        <v>66</v>
      </c>
      <c r="K97" t="s">
        <v>511</v>
      </c>
      <c r="L97">
        <v>20154</v>
      </c>
      <c r="M97" t="s">
        <v>523</v>
      </c>
      <c r="O97" t="s">
        <v>11</v>
      </c>
      <c r="P97">
        <v>5102</v>
      </c>
      <c r="Q97">
        <v>2</v>
      </c>
      <c r="R97">
        <v>12.89</v>
      </c>
      <c r="S97">
        <v>25.78</v>
      </c>
      <c r="T97">
        <v>20.46</v>
      </c>
      <c r="U97">
        <v>20.64</v>
      </c>
      <c r="V97" t="str">
        <f>VLOOKUP(L97,'[2]tabela de preços'!$A:$D,4,0)</f>
        <v>PURPLEX</v>
      </c>
      <c r="W97" t="str">
        <f>VLOOKUP(L97,'[2]tabela de preços'!$A:$F,6,0)</f>
        <v>TACO LIXADOR</v>
      </c>
      <c r="X97" t="str">
        <f>VLOOKUP(L97,'[2]tabela de preços'!$A:$G,7,0)</f>
        <v>AUTOMOTIVO</v>
      </c>
    </row>
    <row r="98" spans="1:24" x14ac:dyDescent="0.3">
      <c r="A98" t="s">
        <v>508</v>
      </c>
      <c r="C98" t="s">
        <v>509</v>
      </c>
      <c r="D98" s="1">
        <v>46027</v>
      </c>
      <c r="E98" t="s">
        <v>510</v>
      </c>
      <c r="F98">
        <v>9</v>
      </c>
      <c r="G98">
        <v>231</v>
      </c>
      <c r="H98" t="str">
        <f>VLOOKUP(G98,[1]OPERADORES!$A:$B,2,0)</f>
        <v>EDIJANE</v>
      </c>
      <c r="I98" t="s">
        <v>21</v>
      </c>
      <c r="J98" t="s">
        <v>66</v>
      </c>
      <c r="K98" t="s">
        <v>511</v>
      </c>
      <c r="L98">
        <v>10297</v>
      </c>
      <c r="M98" t="s">
        <v>41</v>
      </c>
      <c r="O98" t="s">
        <v>11</v>
      </c>
      <c r="P98">
        <v>5102</v>
      </c>
      <c r="Q98">
        <v>12</v>
      </c>
      <c r="R98">
        <v>10.95</v>
      </c>
      <c r="S98">
        <v>131.4</v>
      </c>
      <c r="T98">
        <v>110.04</v>
      </c>
      <c r="U98">
        <v>16.260000000000002</v>
      </c>
      <c r="V98" t="str">
        <f>VLOOKUP(L98,'[2]tabela de preços'!$A:$D,4,0)</f>
        <v>ANJO</v>
      </c>
      <c r="W98" t="str">
        <f>VLOOKUP(L98,'[2]tabela de preços'!$A:$F,6,0)</f>
        <v>THINNER DE LIMPEZA</v>
      </c>
      <c r="X98" t="str">
        <f>VLOOKUP(L98,'[2]tabela de preços'!$A:$G,7,0)</f>
        <v>THINNER</v>
      </c>
    </row>
    <row r="99" spans="1:24" x14ac:dyDescent="0.3">
      <c r="A99" t="s">
        <v>584</v>
      </c>
      <c r="C99" t="s">
        <v>585</v>
      </c>
      <c r="D99" s="1">
        <v>46027</v>
      </c>
      <c r="E99" t="s">
        <v>586</v>
      </c>
      <c r="F99">
        <v>9</v>
      </c>
      <c r="G99">
        <v>231</v>
      </c>
      <c r="H99" t="str">
        <f>VLOOKUP(G99,[1]OPERADORES!$A:$B,2,0)</f>
        <v>EDIJANE</v>
      </c>
      <c r="I99" t="s">
        <v>21</v>
      </c>
      <c r="J99" t="s">
        <v>587</v>
      </c>
      <c r="K99" t="s">
        <v>588</v>
      </c>
      <c r="L99">
        <v>85696</v>
      </c>
      <c r="M99" t="s">
        <v>268</v>
      </c>
      <c r="O99" t="s">
        <v>11</v>
      </c>
      <c r="P99">
        <v>5102</v>
      </c>
      <c r="Q99">
        <v>12</v>
      </c>
      <c r="R99">
        <v>3.69</v>
      </c>
      <c r="S99">
        <v>44.28</v>
      </c>
      <c r="T99">
        <v>34.92</v>
      </c>
      <c r="U99">
        <v>21.14</v>
      </c>
      <c r="V99" t="str">
        <f>VLOOKUP(L99,'[2]tabela de preços'!$A:$D,4,0)</f>
        <v>UNIPEGA</v>
      </c>
      <c r="W99" t="str">
        <f>VLOOKUP(L99,'[2]tabela de preços'!$A:$F,6,0)</f>
        <v>PU 40</v>
      </c>
      <c r="X99" t="str">
        <f>VLOOKUP(L99,'[2]tabela de preços'!$A:$G,7,0)</f>
        <v>IMOBILIÁRIO</v>
      </c>
    </row>
    <row r="100" spans="1:24" x14ac:dyDescent="0.3">
      <c r="A100" t="s">
        <v>584</v>
      </c>
      <c r="C100" t="s">
        <v>585</v>
      </c>
      <c r="D100" s="1">
        <v>46027</v>
      </c>
      <c r="E100" t="s">
        <v>586</v>
      </c>
      <c r="F100">
        <v>9</v>
      </c>
      <c r="G100">
        <v>231</v>
      </c>
      <c r="H100" t="str">
        <f>VLOOKUP(G100,[1]OPERADORES!$A:$B,2,0)</f>
        <v>EDIJANE</v>
      </c>
      <c r="I100" t="s">
        <v>21</v>
      </c>
      <c r="J100" t="s">
        <v>587</v>
      </c>
      <c r="K100" t="s">
        <v>588</v>
      </c>
      <c r="L100">
        <v>85693</v>
      </c>
      <c r="M100" t="s">
        <v>526</v>
      </c>
      <c r="O100" t="s">
        <v>11</v>
      </c>
      <c r="P100">
        <v>5102</v>
      </c>
      <c r="Q100">
        <v>1</v>
      </c>
      <c r="R100">
        <v>7.89</v>
      </c>
      <c r="S100">
        <v>7.89</v>
      </c>
      <c r="T100">
        <v>6.51</v>
      </c>
      <c r="U100">
        <v>17.489999999999998</v>
      </c>
      <c r="V100" t="str">
        <f>VLOOKUP(L100,'[2]tabela de preços'!$A:$D,4,0)</f>
        <v>UNIPEGA</v>
      </c>
      <c r="W100" t="str">
        <f>VLOOKUP(L100,'[2]tabela de preços'!$A:$F,6,0)</f>
        <v>PU 40</v>
      </c>
      <c r="X100" t="str">
        <f>VLOOKUP(L100,'[2]tabela de preços'!$A:$G,7,0)</f>
        <v>IMOBILIÁRIO</v>
      </c>
    </row>
    <row r="101" spans="1:24" x14ac:dyDescent="0.3">
      <c r="A101" t="s">
        <v>584</v>
      </c>
      <c r="C101" t="s">
        <v>585</v>
      </c>
      <c r="D101" s="1">
        <v>46027</v>
      </c>
      <c r="E101" t="s">
        <v>586</v>
      </c>
      <c r="F101">
        <v>9</v>
      </c>
      <c r="G101">
        <v>231</v>
      </c>
      <c r="H101" t="str">
        <f>VLOOKUP(G101,[1]OPERADORES!$A:$B,2,0)</f>
        <v>EDIJANE</v>
      </c>
      <c r="I101" t="s">
        <v>21</v>
      </c>
      <c r="J101" t="s">
        <v>587</v>
      </c>
      <c r="K101" t="s">
        <v>588</v>
      </c>
      <c r="L101">
        <v>84029</v>
      </c>
      <c r="M101" t="s">
        <v>29</v>
      </c>
      <c r="O101" t="s">
        <v>11</v>
      </c>
      <c r="P101">
        <v>5102</v>
      </c>
      <c r="Q101">
        <v>12</v>
      </c>
      <c r="R101">
        <v>11.45</v>
      </c>
      <c r="S101">
        <v>137.4</v>
      </c>
      <c r="T101">
        <v>104.28</v>
      </c>
      <c r="U101">
        <v>24.1</v>
      </c>
      <c r="V101" t="str">
        <f>VLOOKUP(L101,'[2]tabela de preços'!$A:$D,4,0)</f>
        <v>BRASILUX</v>
      </c>
      <c r="W101" t="str">
        <f>VLOOKUP(L101,'[2]tabela de preços'!$A:$F,6,0)</f>
        <v>AGUARRAS</v>
      </c>
      <c r="X101" t="str">
        <f>VLOOKUP(L101,'[2]tabela de preços'!$A:$G,7,0)</f>
        <v>IMOBILIÁRIO</v>
      </c>
    </row>
    <row r="102" spans="1:24" x14ac:dyDescent="0.3">
      <c r="A102" t="s">
        <v>584</v>
      </c>
      <c r="C102" t="s">
        <v>585</v>
      </c>
      <c r="D102" s="1">
        <v>46027</v>
      </c>
      <c r="E102" t="s">
        <v>586</v>
      </c>
      <c r="F102">
        <v>9</v>
      </c>
      <c r="G102">
        <v>231</v>
      </c>
      <c r="H102" t="str">
        <f>VLOOKUP(G102,[1]OPERADORES!$A:$B,2,0)</f>
        <v>EDIJANE</v>
      </c>
      <c r="I102" t="s">
        <v>21</v>
      </c>
      <c r="J102" t="s">
        <v>587</v>
      </c>
      <c r="K102" t="s">
        <v>588</v>
      </c>
      <c r="L102">
        <v>84134</v>
      </c>
      <c r="M102" t="s">
        <v>589</v>
      </c>
      <c r="O102" t="s">
        <v>11</v>
      </c>
      <c r="P102">
        <v>5403</v>
      </c>
      <c r="Q102">
        <v>4</v>
      </c>
      <c r="R102">
        <v>7.55</v>
      </c>
      <c r="S102">
        <v>30.2</v>
      </c>
      <c r="T102">
        <v>22.92</v>
      </c>
      <c r="U102">
        <v>24.11</v>
      </c>
      <c r="V102" t="str">
        <f>VLOOKUP(L102,'[2]tabela de preços'!$A:$D,4,0)</f>
        <v>BRASILUX</v>
      </c>
      <c r="W102" t="str">
        <f>VLOOKUP(L102,'[2]tabela de preços'!$A:$F,6,0)</f>
        <v>ESMALTES</v>
      </c>
      <c r="X102" t="str">
        <f>VLOOKUP(L102,'[2]tabela de preços'!$A:$G,7,0)</f>
        <v>INDUSTRIAL</v>
      </c>
    </row>
    <row r="103" spans="1:24" x14ac:dyDescent="0.3">
      <c r="A103" t="s">
        <v>584</v>
      </c>
      <c r="C103" t="s">
        <v>585</v>
      </c>
      <c r="D103" s="1">
        <v>46027</v>
      </c>
      <c r="E103" t="s">
        <v>586</v>
      </c>
      <c r="F103">
        <v>9</v>
      </c>
      <c r="G103">
        <v>231</v>
      </c>
      <c r="H103" t="str">
        <f>VLOOKUP(G103,[1]OPERADORES!$A:$B,2,0)</f>
        <v>EDIJANE</v>
      </c>
      <c r="I103" t="s">
        <v>21</v>
      </c>
      <c r="J103" t="s">
        <v>587</v>
      </c>
      <c r="K103" t="s">
        <v>588</v>
      </c>
      <c r="L103">
        <v>84357</v>
      </c>
      <c r="M103" t="s">
        <v>580</v>
      </c>
      <c r="O103" t="s">
        <v>11</v>
      </c>
      <c r="P103">
        <v>5403</v>
      </c>
      <c r="Q103">
        <v>2</v>
      </c>
      <c r="R103">
        <v>21.7</v>
      </c>
      <c r="S103">
        <v>43.4</v>
      </c>
      <c r="T103">
        <v>32.94</v>
      </c>
      <c r="U103">
        <v>24.1</v>
      </c>
      <c r="V103" t="str">
        <f>VLOOKUP(L103,'[2]tabela de preços'!$A:$D,4,0)</f>
        <v>BRASILUX</v>
      </c>
      <c r="W103" t="str">
        <f>VLOOKUP(L103,'[2]tabela de preços'!$A:$F,6,0)</f>
        <v>ESMALTES</v>
      </c>
      <c r="X103" t="str">
        <f>VLOOKUP(L103,'[2]tabela de preços'!$A:$G,7,0)</f>
        <v>INDUSTRIAL</v>
      </c>
    </row>
    <row r="104" spans="1:24" x14ac:dyDescent="0.3">
      <c r="A104" t="s">
        <v>584</v>
      </c>
      <c r="C104" t="s">
        <v>585</v>
      </c>
      <c r="D104" s="1">
        <v>46027</v>
      </c>
      <c r="E104" t="s">
        <v>586</v>
      </c>
      <c r="F104">
        <v>9</v>
      </c>
      <c r="G104">
        <v>231</v>
      </c>
      <c r="H104" t="str">
        <f>VLOOKUP(G104,[1]OPERADORES!$A:$B,2,0)</f>
        <v>EDIJANE</v>
      </c>
      <c r="I104" t="s">
        <v>21</v>
      </c>
      <c r="J104" t="s">
        <v>587</v>
      </c>
      <c r="K104" t="s">
        <v>588</v>
      </c>
      <c r="L104">
        <v>84139</v>
      </c>
      <c r="M104" t="s">
        <v>590</v>
      </c>
      <c r="O104" t="s">
        <v>11</v>
      </c>
      <c r="P104">
        <v>5403</v>
      </c>
      <c r="Q104">
        <v>4</v>
      </c>
      <c r="R104">
        <v>7.74</v>
      </c>
      <c r="S104">
        <v>30.96</v>
      </c>
      <c r="T104">
        <v>23.52</v>
      </c>
      <c r="U104">
        <v>24.03</v>
      </c>
      <c r="V104" t="str">
        <f>VLOOKUP(L104,'[2]tabela de preços'!$A:$D,4,0)</f>
        <v>BRASILUX</v>
      </c>
      <c r="W104" t="str">
        <f>VLOOKUP(L104,'[2]tabela de preços'!$A:$F,6,0)</f>
        <v>ESMALTES</v>
      </c>
      <c r="X104" t="str">
        <f>VLOOKUP(L104,'[2]tabela de preços'!$A:$G,7,0)</f>
        <v>INDUSTRIAL</v>
      </c>
    </row>
    <row r="105" spans="1:24" x14ac:dyDescent="0.3">
      <c r="A105" t="s">
        <v>584</v>
      </c>
      <c r="C105" t="s">
        <v>585</v>
      </c>
      <c r="D105" s="1">
        <v>46027</v>
      </c>
      <c r="E105" t="s">
        <v>586</v>
      </c>
      <c r="F105">
        <v>9</v>
      </c>
      <c r="G105">
        <v>231</v>
      </c>
      <c r="H105" t="str">
        <f>VLOOKUP(G105,[1]OPERADORES!$A:$B,2,0)</f>
        <v>EDIJANE</v>
      </c>
      <c r="I105" t="s">
        <v>21</v>
      </c>
      <c r="J105" t="s">
        <v>587</v>
      </c>
      <c r="K105" t="s">
        <v>588</v>
      </c>
      <c r="L105">
        <v>85602</v>
      </c>
      <c r="M105" t="s">
        <v>591</v>
      </c>
      <c r="O105" t="s">
        <v>11</v>
      </c>
      <c r="P105">
        <v>5102</v>
      </c>
      <c r="Q105">
        <v>40</v>
      </c>
      <c r="R105">
        <v>2.2400000000000002</v>
      </c>
      <c r="S105">
        <v>89.6</v>
      </c>
      <c r="T105">
        <v>68</v>
      </c>
      <c r="U105">
        <v>24.11</v>
      </c>
      <c r="V105" t="str">
        <f>VLOOKUP(L105,'[2]tabela de preços'!$A:$D,4,0)</f>
        <v>REJUMASSA</v>
      </c>
      <c r="W105" t="str">
        <f>VLOOKUP(L105,'[2]tabela de preços'!$A:$F,6,0)</f>
        <v>GESSO</v>
      </c>
      <c r="X105" t="str">
        <f>VLOOKUP(L105,'[2]tabela de preços'!$A:$G,7,0)</f>
        <v>IMOBILIÁRIO</v>
      </c>
    </row>
    <row r="106" spans="1:24" x14ac:dyDescent="0.3">
      <c r="A106" t="s">
        <v>584</v>
      </c>
      <c r="C106" t="s">
        <v>585</v>
      </c>
      <c r="D106" s="1">
        <v>46027</v>
      </c>
      <c r="E106" t="s">
        <v>586</v>
      </c>
      <c r="F106">
        <v>9</v>
      </c>
      <c r="G106">
        <v>231</v>
      </c>
      <c r="H106" t="str">
        <f>VLOOKUP(G106,[1]OPERADORES!$A:$B,2,0)</f>
        <v>EDIJANE</v>
      </c>
      <c r="I106" t="s">
        <v>21</v>
      </c>
      <c r="J106" t="s">
        <v>587</v>
      </c>
      <c r="K106" t="s">
        <v>588</v>
      </c>
      <c r="L106">
        <v>85460</v>
      </c>
      <c r="M106" t="s">
        <v>592</v>
      </c>
      <c r="O106" t="s">
        <v>11</v>
      </c>
      <c r="P106">
        <v>5102</v>
      </c>
      <c r="Q106">
        <v>40</v>
      </c>
      <c r="R106">
        <v>2.57</v>
      </c>
      <c r="S106">
        <v>102.8</v>
      </c>
      <c r="T106">
        <v>78</v>
      </c>
      <c r="U106">
        <v>24.12</v>
      </c>
      <c r="V106" t="str">
        <f>VLOOKUP(L106,'[2]tabela de preços'!$A:$D,4,0)</f>
        <v>CIMENTMIX</v>
      </c>
      <c r="W106" t="str">
        <f>VLOOKUP(L106,'[2]tabela de preços'!$A:$F,6,0)</f>
        <v>GESSO</v>
      </c>
      <c r="X106" t="str">
        <f>VLOOKUP(L106,'[2]tabela de preços'!$A:$G,7,0)</f>
        <v>IMOBILIÁRIO</v>
      </c>
    </row>
    <row r="107" spans="1:24" x14ac:dyDescent="0.3">
      <c r="A107" t="s">
        <v>584</v>
      </c>
      <c r="C107" t="s">
        <v>585</v>
      </c>
      <c r="D107" s="1">
        <v>46027</v>
      </c>
      <c r="E107" t="s">
        <v>586</v>
      </c>
      <c r="F107">
        <v>9</v>
      </c>
      <c r="G107">
        <v>231</v>
      </c>
      <c r="H107" t="str">
        <f>VLOOKUP(G107,[1]OPERADORES!$A:$B,2,0)</f>
        <v>EDIJANE</v>
      </c>
      <c r="I107" t="s">
        <v>21</v>
      </c>
      <c r="J107" t="s">
        <v>587</v>
      </c>
      <c r="K107" t="s">
        <v>588</v>
      </c>
      <c r="L107">
        <v>84038</v>
      </c>
      <c r="M107" t="s">
        <v>593</v>
      </c>
      <c r="O107" t="s">
        <v>11</v>
      </c>
      <c r="P107">
        <v>5102</v>
      </c>
      <c r="Q107">
        <v>2</v>
      </c>
      <c r="R107">
        <v>17.72</v>
      </c>
      <c r="S107">
        <v>35.44</v>
      </c>
      <c r="T107">
        <v>26.9</v>
      </c>
      <c r="U107">
        <v>24.1</v>
      </c>
      <c r="V107" t="str">
        <f>VLOOKUP(L107,'[2]tabela de preços'!$A:$D,4,0)</f>
        <v>BRASILUX</v>
      </c>
      <c r="W107" t="str">
        <f>VLOOKUP(L107,'[2]tabela de preços'!$A:$F,6,0)</f>
        <v>MASSA CORRIDA / ACRÍLICA</v>
      </c>
      <c r="X107" t="str">
        <f>VLOOKUP(L107,'[2]tabela de preços'!$A:$G,7,0)</f>
        <v>IMOBILIÁRIO</v>
      </c>
    </row>
    <row r="108" spans="1:24" x14ac:dyDescent="0.3">
      <c r="A108" t="s">
        <v>584</v>
      </c>
      <c r="C108" t="s">
        <v>585</v>
      </c>
      <c r="D108" s="1">
        <v>46027</v>
      </c>
      <c r="E108" t="s">
        <v>586</v>
      </c>
      <c r="F108">
        <v>9</v>
      </c>
      <c r="G108">
        <v>231</v>
      </c>
      <c r="H108" t="str">
        <f>VLOOKUP(G108,[1]OPERADORES!$A:$B,2,0)</f>
        <v>EDIJANE</v>
      </c>
      <c r="I108" t="s">
        <v>21</v>
      </c>
      <c r="J108" t="s">
        <v>587</v>
      </c>
      <c r="K108" t="s">
        <v>588</v>
      </c>
      <c r="L108">
        <v>84039</v>
      </c>
      <c r="M108" t="s">
        <v>594</v>
      </c>
      <c r="O108" t="s">
        <v>11</v>
      </c>
      <c r="P108">
        <v>5102</v>
      </c>
      <c r="Q108">
        <v>12</v>
      </c>
      <c r="R108">
        <v>6.32</v>
      </c>
      <c r="S108">
        <v>75.84</v>
      </c>
      <c r="T108">
        <v>57.6</v>
      </c>
      <c r="U108">
        <v>24.05</v>
      </c>
      <c r="V108" t="str">
        <f>VLOOKUP(L108,'[2]tabela de preços'!$A:$D,4,0)</f>
        <v>BRASILUX</v>
      </c>
      <c r="W108" t="str">
        <f>VLOOKUP(L108,'[2]tabela de preços'!$A:$F,6,0)</f>
        <v>MASSA CORRIDA / ACRÍLICA</v>
      </c>
      <c r="X108" t="str">
        <f>VLOOKUP(L108,'[2]tabela de preços'!$A:$G,7,0)</f>
        <v>IMOBILIÁRIO</v>
      </c>
    </row>
    <row r="109" spans="1:24" x14ac:dyDescent="0.3">
      <c r="A109" t="s">
        <v>584</v>
      </c>
      <c r="C109" t="s">
        <v>585</v>
      </c>
      <c r="D109" s="1">
        <v>46027</v>
      </c>
      <c r="E109" t="s">
        <v>586</v>
      </c>
      <c r="F109">
        <v>9</v>
      </c>
      <c r="G109">
        <v>231</v>
      </c>
      <c r="H109" t="str">
        <f>VLOOKUP(G109,[1]OPERADORES!$A:$B,2,0)</f>
        <v>EDIJANE</v>
      </c>
      <c r="I109" t="s">
        <v>21</v>
      </c>
      <c r="J109" t="s">
        <v>587</v>
      </c>
      <c r="K109" t="s">
        <v>588</v>
      </c>
      <c r="L109">
        <v>85021</v>
      </c>
      <c r="M109" t="s">
        <v>595</v>
      </c>
      <c r="O109" t="s">
        <v>11</v>
      </c>
      <c r="P109">
        <v>5102</v>
      </c>
      <c r="Q109">
        <v>20</v>
      </c>
      <c r="R109">
        <v>1.07</v>
      </c>
      <c r="S109">
        <v>21.4</v>
      </c>
      <c r="T109">
        <v>16.2</v>
      </c>
      <c r="U109">
        <v>24.3</v>
      </c>
      <c r="V109" t="str">
        <f>VLOOKUP(L109,'[2]tabela de preços'!$A:$D,4,0)</f>
        <v>.</v>
      </c>
      <c r="W109" t="str">
        <f>VLOOKUP(L109,'[2]tabela de preços'!$A:$F,6,0)</f>
        <v>PALHA DE AÇO</v>
      </c>
      <c r="X109" t="str">
        <f>VLOOKUP(L109,'[2]tabela de preços'!$A:$G,7,0)</f>
        <v>IMOBILIÁRIO</v>
      </c>
    </row>
    <row r="110" spans="1:24" x14ac:dyDescent="0.3">
      <c r="A110" t="s">
        <v>584</v>
      </c>
      <c r="C110" t="s">
        <v>585</v>
      </c>
      <c r="D110" s="1">
        <v>46027</v>
      </c>
      <c r="E110" t="s">
        <v>586</v>
      </c>
      <c r="F110">
        <v>9</v>
      </c>
      <c r="G110">
        <v>231</v>
      </c>
      <c r="H110" t="str">
        <f>VLOOKUP(G110,[1]OPERADORES!$A:$B,2,0)</f>
        <v>EDIJANE</v>
      </c>
      <c r="I110" t="s">
        <v>21</v>
      </c>
      <c r="J110" t="s">
        <v>587</v>
      </c>
      <c r="K110" t="s">
        <v>588</v>
      </c>
      <c r="L110">
        <v>85164</v>
      </c>
      <c r="M110" t="s">
        <v>278</v>
      </c>
      <c r="O110" t="s">
        <v>11</v>
      </c>
      <c r="P110">
        <v>5102</v>
      </c>
      <c r="Q110">
        <v>4</v>
      </c>
      <c r="R110">
        <v>13.29</v>
      </c>
      <c r="S110">
        <v>53.16</v>
      </c>
      <c r="T110">
        <v>40.36</v>
      </c>
      <c r="U110">
        <v>24.08</v>
      </c>
      <c r="V110" t="str">
        <f>VLOOKUP(L110,'[2]tabela de preços'!$A:$D,4,0)</f>
        <v>BRASILUX</v>
      </c>
      <c r="W110" t="str">
        <f>VLOOKUP(L110,'[2]tabela de preços'!$A:$F,6,0)</f>
        <v>QUEROSENE</v>
      </c>
      <c r="X110" t="str">
        <f>VLOOKUP(L110,'[2]tabela de preços'!$A:$G,7,0)</f>
        <v>AUTOMOTIVO</v>
      </c>
    </row>
    <row r="111" spans="1:24" x14ac:dyDescent="0.3">
      <c r="A111" t="s">
        <v>584</v>
      </c>
      <c r="C111" t="s">
        <v>585</v>
      </c>
      <c r="D111" s="1">
        <v>46027</v>
      </c>
      <c r="E111" t="s">
        <v>586</v>
      </c>
      <c r="F111">
        <v>9</v>
      </c>
      <c r="G111">
        <v>231</v>
      </c>
      <c r="H111" t="str">
        <f>VLOOKUP(G111,[1]OPERADORES!$A:$B,2,0)</f>
        <v>EDIJANE</v>
      </c>
      <c r="I111" t="s">
        <v>21</v>
      </c>
      <c r="J111" t="s">
        <v>587</v>
      </c>
      <c r="K111" t="s">
        <v>588</v>
      </c>
      <c r="L111">
        <v>85682</v>
      </c>
      <c r="M111" t="s">
        <v>596</v>
      </c>
      <c r="O111" t="s">
        <v>11</v>
      </c>
      <c r="P111">
        <v>5102</v>
      </c>
      <c r="Q111">
        <v>12</v>
      </c>
      <c r="R111">
        <v>3.3</v>
      </c>
      <c r="S111">
        <v>39.6</v>
      </c>
      <c r="T111">
        <v>30</v>
      </c>
      <c r="U111">
        <v>24.24</v>
      </c>
      <c r="V111" t="str">
        <f>VLOOKUP(L111,'[2]tabela de preços'!$A:$D,4,0)</f>
        <v>UNIPEGA</v>
      </c>
      <c r="W111" t="str">
        <f>VLOOKUP(L111,'[2]tabela de preços'!$A:$F,6,0)</f>
        <v>SILICONE</v>
      </c>
      <c r="X111" t="str">
        <f>VLOOKUP(L111,'[2]tabela de preços'!$A:$G,7,0)</f>
        <v>IMOBILIÁRIO</v>
      </c>
    </row>
    <row r="112" spans="1:24" x14ac:dyDescent="0.3">
      <c r="A112" t="s">
        <v>584</v>
      </c>
      <c r="C112" t="s">
        <v>585</v>
      </c>
      <c r="D112" s="1">
        <v>46027</v>
      </c>
      <c r="E112" t="s">
        <v>586</v>
      </c>
      <c r="F112">
        <v>9</v>
      </c>
      <c r="G112">
        <v>231</v>
      </c>
      <c r="H112" t="str">
        <f>VLOOKUP(G112,[1]OPERADORES!$A:$B,2,0)</f>
        <v>EDIJANE</v>
      </c>
      <c r="I112" t="s">
        <v>21</v>
      </c>
      <c r="J112" t="s">
        <v>587</v>
      </c>
      <c r="K112" t="s">
        <v>588</v>
      </c>
      <c r="L112">
        <v>86972</v>
      </c>
      <c r="M112" t="s">
        <v>597</v>
      </c>
      <c r="O112" t="s">
        <v>11</v>
      </c>
      <c r="P112">
        <v>5102</v>
      </c>
      <c r="Q112">
        <v>12</v>
      </c>
      <c r="R112">
        <v>6.59</v>
      </c>
      <c r="S112">
        <v>79.08</v>
      </c>
      <c r="T112">
        <v>60</v>
      </c>
      <c r="U112">
        <v>24.13</v>
      </c>
      <c r="V112" t="str">
        <f>VLOOKUP(L112,'[2]tabela de preços'!$A:$D,4,0)</f>
        <v>HERC</v>
      </c>
      <c r="W112" t="str">
        <f>VLOOKUP(L112,'[2]tabela de preços'!$A:$F,6,0)</f>
        <v>TORNEIRAS / DUCHAS</v>
      </c>
      <c r="X112" t="str">
        <f>VLOOKUP(L112,'[2]tabela de preços'!$A:$G,7,0)</f>
        <v>IMOBILIÁRIO</v>
      </c>
    </row>
    <row r="113" spans="1:24" x14ac:dyDescent="0.3">
      <c r="A113" t="s">
        <v>584</v>
      </c>
      <c r="C113" t="s">
        <v>585</v>
      </c>
      <c r="D113" s="1">
        <v>46027</v>
      </c>
      <c r="E113" t="s">
        <v>586</v>
      </c>
      <c r="F113">
        <v>9</v>
      </c>
      <c r="G113">
        <v>231</v>
      </c>
      <c r="H113" t="str">
        <f>VLOOKUP(G113,[1]OPERADORES!$A:$B,2,0)</f>
        <v>EDIJANE</v>
      </c>
      <c r="I113" t="s">
        <v>21</v>
      </c>
      <c r="J113" t="s">
        <v>587</v>
      </c>
      <c r="K113" t="s">
        <v>588</v>
      </c>
      <c r="L113">
        <v>86973</v>
      </c>
      <c r="M113" t="s">
        <v>598</v>
      </c>
      <c r="O113" t="s">
        <v>11</v>
      </c>
      <c r="P113">
        <v>5102</v>
      </c>
      <c r="Q113">
        <v>12</v>
      </c>
      <c r="R113">
        <v>8</v>
      </c>
      <c r="S113">
        <v>96</v>
      </c>
      <c r="T113">
        <v>72.84</v>
      </c>
      <c r="U113">
        <v>24.13</v>
      </c>
      <c r="V113" t="str">
        <f>VLOOKUP(L113,'[2]tabela de preços'!$A:$D,4,0)</f>
        <v>HERC</v>
      </c>
      <c r="W113" t="str">
        <f>VLOOKUP(L113,'[2]tabela de preços'!$A:$F,6,0)</f>
        <v>TORNEIRAS / DUCHAS</v>
      </c>
      <c r="X113" t="str">
        <f>VLOOKUP(L113,'[2]tabela de preços'!$A:$G,7,0)</f>
        <v>IMOBILIÁRIO</v>
      </c>
    </row>
    <row r="114" spans="1:24" x14ac:dyDescent="0.3">
      <c r="A114" t="s">
        <v>712</v>
      </c>
      <c r="C114" t="s">
        <v>713</v>
      </c>
      <c r="D114" s="1">
        <v>46027</v>
      </c>
      <c r="E114" t="s">
        <v>714</v>
      </c>
      <c r="F114">
        <v>9</v>
      </c>
      <c r="G114">
        <v>174</v>
      </c>
      <c r="H114" t="str">
        <f>VLOOKUP(G114,[1]OPERADORES!$A:$B,2,0)</f>
        <v>MIRIÃ LOBATO RODRIGUES</v>
      </c>
      <c r="I114" t="s">
        <v>715</v>
      </c>
      <c r="J114" t="s">
        <v>716</v>
      </c>
      <c r="K114" t="s">
        <v>717</v>
      </c>
      <c r="L114">
        <v>10067</v>
      </c>
      <c r="M114" t="s">
        <v>177</v>
      </c>
      <c r="O114" t="s">
        <v>11</v>
      </c>
      <c r="P114">
        <v>6102</v>
      </c>
      <c r="Q114">
        <v>5</v>
      </c>
      <c r="R114">
        <v>89.9</v>
      </c>
      <c r="S114">
        <v>449.5</v>
      </c>
      <c r="T114">
        <v>367.9</v>
      </c>
      <c r="U114">
        <v>18.149999999999999</v>
      </c>
      <c r="V114" t="str">
        <f>VLOOKUP(L114,'[2]tabela de preços'!$A:$D,4,0)</f>
        <v>3M</v>
      </c>
      <c r="W114" t="str">
        <f>VLOOKUP(L114,'[2]tabela de preços'!$A:$F,6,0)</f>
        <v>BOINAS PARA POLIMENTO</v>
      </c>
      <c r="X114" t="str">
        <f>VLOOKUP(L114,'[2]tabela de preços'!$A:$G,7,0)</f>
        <v>AUTOMOTIVO</v>
      </c>
    </row>
    <row r="115" spans="1:24" x14ac:dyDescent="0.3">
      <c r="A115" t="s">
        <v>712</v>
      </c>
      <c r="C115" t="s">
        <v>713</v>
      </c>
      <c r="D115" s="1">
        <v>46027</v>
      </c>
      <c r="E115" t="s">
        <v>714</v>
      </c>
      <c r="F115">
        <v>9</v>
      </c>
      <c r="G115">
        <v>174</v>
      </c>
      <c r="H115" t="str">
        <f>VLOOKUP(G115,[1]OPERADORES!$A:$B,2,0)</f>
        <v>MIRIÃ LOBATO RODRIGUES</v>
      </c>
      <c r="I115" t="s">
        <v>715</v>
      </c>
      <c r="J115" t="s">
        <v>716</v>
      </c>
      <c r="K115" t="s">
        <v>717</v>
      </c>
      <c r="L115">
        <v>20433</v>
      </c>
      <c r="M115" t="s">
        <v>460</v>
      </c>
      <c r="O115" t="s">
        <v>11</v>
      </c>
      <c r="P115">
        <v>6102</v>
      </c>
      <c r="Q115">
        <v>12</v>
      </c>
      <c r="R115">
        <v>31.66</v>
      </c>
      <c r="S115">
        <v>379.92</v>
      </c>
      <c r="T115">
        <v>288.36</v>
      </c>
      <c r="U115">
        <v>24.1</v>
      </c>
      <c r="V115" t="str">
        <f>VLOOKUP(L115,'[2]tabela de preços'!$A:$D,4,0)</f>
        <v>SHERWIN WILLIAMS</v>
      </c>
      <c r="W115" t="str">
        <f>VLOOKUP(L115,'[2]tabela de preços'!$A:$F,6,0)</f>
        <v>VERNIZ AUTOMOTIVO</v>
      </c>
      <c r="X115" t="str">
        <f>VLOOKUP(L115,'[2]tabela de preços'!$A:$G,7,0)</f>
        <v>AUTOMOTIVO</v>
      </c>
    </row>
    <row r="116" spans="1:24" x14ac:dyDescent="0.3">
      <c r="A116" t="s">
        <v>712</v>
      </c>
      <c r="C116" t="s">
        <v>713</v>
      </c>
      <c r="D116" s="1">
        <v>46027</v>
      </c>
      <c r="E116" t="s">
        <v>714</v>
      </c>
      <c r="F116">
        <v>9</v>
      </c>
      <c r="G116">
        <v>174</v>
      </c>
      <c r="H116" t="str">
        <f>VLOOKUP(G116,[1]OPERADORES!$A:$B,2,0)</f>
        <v>MIRIÃ LOBATO RODRIGUES</v>
      </c>
      <c r="I116" t="s">
        <v>715</v>
      </c>
      <c r="J116" t="s">
        <v>716</v>
      </c>
      <c r="K116" t="s">
        <v>717</v>
      </c>
      <c r="L116">
        <v>20817</v>
      </c>
      <c r="M116" t="s">
        <v>153</v>
      </c>
      <c r="O116" t="s">
        <v>11</v>
      </c>
      <c r="P116">
        <v>6102</v>
      </c>
      <c r="Q116">
        <v>24</v>
      </c>
      <c r="R116">
        <v>22.89</v>
      </c>
      <c r="S116">
        <v>549.36</v>
      </c>
      <c r="T116">
        <v>446.88</v>
      </c>
      <c r="U116">
        <v>18.649999999999999</v>
      </c>
      <c r="V116" t="str">
        <f>VLOOKUP(L116,'[2]tabela de preços'!$A:$D,4,0)</f>
        <v>AUTO AMERICA</v>
      </c>
      <c r="W116" t="str">
        <f>VLOOKUP(L116,'[2]tabela de preços'!$A:$F,6,0)</f>
        <v>MASSA DE POLIR</v>
      </c>
      <c r="X116" t="str">
        <f>VLOOKUP(L116,'[2]tabela de preços'!$A:$G,7,0)</f>
        <v>AUTOMOTIVO</v>
      </c>
    </row>
    <row r="117" spans="1:24" x14ac:dyDescent="0.3">
      <c r="A117" t="s">
        <v>712</v>
      </c>
      <c r="C117" t="s">
        <v>713</v>
      </c>
      <c r="D117" s="1">
        <v>46027</v>
      </c>
      <c r="E117" t="s">
        <v>714</v>
      </c>
      <c r="F117">
        <v>9</v>
      </c>
      <c r="G117">
        <v>174</v>
      </c>
      <c r="H117" t="str">
        <f>VLOOKUP(G117,[1]OPERADORES!$A:$B,2,0)</f>
        <v>MIRIÃ LOBATO RODRIGUES</v>
      </c>
      <c r="I117" t="s">
        <v>715</v>
      </c>
      <c r="J117" t="s">
        <v>716</v>
      </c>
      <c r="K117" t="s">
        <v>717</v>
      </c>
      <c r="L117">
        <v>20399</v>
      </c>
      <c r="M117" t="s">
        <v>465</v>
      </c>
      <c r="O117" t="s">
        <v>11</v>
      </c>
      <c r="P117">
        <v>6403</v>
      </c>
      <c r="Q117">
        <v>12</v>
      </c>
      <c r="R117">
        <v>34.700000000000003</v>
      </c>
      <c r="S117">
        <v>416.4</v>
      </c>
      <c r="T117">
        <v>316.2</v>
      </c>
      <c r="U117">
        <v>24.06</v>
      </c>
      <c r="V117" t="str">
        <f>VLOOKUP(L117,'[2]tabela de preços'!$A:$D,4,0)</f>
        <v>SHERWIN WILLIAMS</v>
      </c>
      <c r="W117" t="str">
        <f>VLOOKUP(L117,'[2]tabela de preços'!$A:$F,6,0)</f>
        <v>VERNIZ AUTOMOTIVO</v>
      </c>
      <c r="X117" t="str">
        <f>VLOOKUP(L117,'[2]tabela de preços'!$A:$G,7,0)</f>
        <v>AUTOMOTIVO</v>
      </c>
    </row>
    <row r="118" spans="1:24" x14ac:dyDescent="0.3">
      <c r="A118" t="s">
        <v>727</v>
      </c>
      <c r="C118" t="s">
        <v>728</v>
      </c>
      <c r="D118" s="1">
        <v>46027</v>
      </c>
      <c r="E118" t="s">
        <v>729</v>
      </c>
      <c r="F118">
        <v>9</v>
      </c>
      <c r="G118">
        <v>231</v>
      </c>
      <c r="H118" t="str">
        <f>VLOOKUP(G118,[1]OPERADORES!$A:$B,2,0)</f>
        <v>EDIJANE</v>
      </c>
      <c r="I118" t="s">
        <v>21</v>
      </c>
      <c r="J118" t="s">
        <v>730</v>
      </c>
      <c r="K118" t="s">
        <v>731</v>
      </c>
      <c r="L118">
        <v>84767</v>
      </c>
      <c r="M118" t="s">
        <v>732</v>
      </c>
      <c r="O118" t="s">
        <v>11</v>
      </c>
      <c r="P118">
        <v>5403</v>
      </c>
      <c r="Q118">
        <v>18</v>
      </c>
      <c r="R118">
        <v>153.99</v>
      </c>
      <c r="S118" s="2">
        <v>2771.82</v>
      </c>
      <c r="T118" s="2">
        <v>2103.84</v>
      </c>
      <c r="U118">
        <v>24.1</v>
      </c>
      <c r="V118" t="str">
        <f>VLOOKUP(L118,'[2]tabela de preços'!$A:$D,4,0)</f>
        <v>BRASILUX</v>
      </c>
      <c r="W118" t="str">
        <f>VLOOKUP(L118,'[2]tabela de preços'!$A:$F,6,0)</f>
        <v>EPOXI</v>
      </c>
      <c r="X118" t="str">
        <f>VLOOKUP(L118,'[2]tabela de preços'!$A:$G,7,0)</f>
        <v>INDUSTRIAL</v>
      </c>
    </row>
    <row r="119" spans="1:24" x14ac:dyDescent="0.3">
      <c r="A119" t="s">
        <v>1080</v>
      </c>
      <c r="C119" t="s">
        <v>1081</v>
      </c>
      <c r="D119" s="1">
        <v>46027</v>
      </c>
      <c r="E119" t="s">
        <v>1082</v>
      </c>
      <c r="F119">
        <v>9</v>
      </c>
      <c r="G119">
        <v>230</v>
      </c>
      <c r="H119" t="str">
        <f>VLOOKUP(G119,[1]OPERADORES!$A:$B,2,0)</f>
        <v>SÔNIA</v>
      </c>
      <c r="I119" t="s">
        <v>715</v>
      </c>
      <c r="J119" t="s">
        <v>1083</v>
      </c>
      <c r="K119" t="s">
        <v>1084</v>
      </c>
      <c r="L119">
        <v>20461</v>
      </c>
      <c r="M119" t="s">
        <v>1085</v>
      </c>
      <c r="O119" t="s">
        <v>11</v>
      </c>
      <c r="P119">
        <v>6102</v>
      </c>
      <c r="Q119">
        <v>9</v>
      </c>
      <c r="R119">
        <v>56.32</v>
      </c>
      <c r="S119">
        <v>506.88</v>
      </c>
      <c r="T119">
        <v>384.75</v>
      </c>
      <c r="U119">
        <v>24.09</v>
      </c>
      <c r="V119" t="str">
        <f>VLOOKUP(L119,'[2]tabela de preços'!$A:$D,4,0)</f>
        <v>SHERWIN WILLIAMS</v>
      </c>
      <c r="W119" t="str">
        <f>VLOOKUP(L119,'[2]tabela de preços'!$A:$F,6,0)</f>
        <v>VERNIZ AUTOMOTIVO</v>
      </c>
      <c r="X119" t="str">
        <f>VLOOKUP(L119,'[2]tabela de preços'!$A:$G,7,0)</f>
        <v>AUTOMOTIVO</v>
      </c>
    </row>
    <row r="120" spans="1:24" x14ac:dyDescent="0.3">
      <c r="A120" t="s">
        <v>1080</v>
      </c>
      <c r="C120" t="s">
        <v>1081</v>
      </c>
      <c r="D120" s="1">
        <v>46027</v>
      </c>
      <c r="E120" t="s">
        <v>1082</v>
      </c>
      <c r="F120">
        <v>9</v>
      </c>
      <c r="G120">
        <v>230</v>
      </c>
      <c r="H120" t="str">
        <f>VLOOKUP(G120,[1]OPERADORES!$A:$B,2,0)</f>
        <v>SÔNIA</v>
      </c>
      <c r="I120" t="s">
        <v>715</v>
      </c>
      <c r="J120" t="s">
        <v>1083</v>
      </c>
      <c r="K120" t="s">
        <v>1084</v>
      </c>
      <c r="L120">
        <v>24248</v>
      </c>
      <c r="M120" t="s">
        <v>107</v>
      </c>
      <c r="O120" t="s">
        <v>11</v>
      </c>
      <c r="P120">
        <v>6102</v>
      </c>
      <c r="Q120">
        <v>12</v>
      </c>
      <c r="R120">
        <v>9.9</v>
      </c>
      <c r="S120">
        <v>118.8</v>
      </c>
      <c r="T120">
        <v>76.92</v>
      </c>
      <c r="U120">
        <v>35.25</v>
      </c>
      <c r="V120" t="str">
        <f>VLOOKUP(L120,'[2]tabela de preços'!$A:$D,4,0)</f>
        <v>SHERWIN WILLIAMS</v>
      </c>
      <c r="W120" t="str">
        <f>VLOOKUP(L120,'[2]tabela de preços'!$A:$F,6,0)</f>
        <v>PRIMER AUTOMOTIVO</v>
      </c>
      <c r="X120" t="str">
        <f>VLOOKUP(L120,'[2]tabela de preços'!$A:$G,7,0)</f>
        <v>AUTOMOTIVO</v>
      </c>
    </row>
    <row r="121" spans="1:24" x14ac:dyDescent="0.3">
      <c r="A121" t="s">
        <v>1080</v>
      </c>
      <c r="C121" t="s">
        <v>1081</v>
      </c>
      <c r="D121" s="1">
        <v>46027</v>
      </c>
      <c r="E121" t="s">
        <v>1082</v>
      </c>
      <c r="F121">
        <v>9</v>
      </c>
      <c r="G121">
        <v>230</v>
      </c>
      <c r="H121" t="str">
        <f>VLOOKUP(G121,[1]OPERADORES!$A:$B,2,0)</f>
        <v>SÔNIA</v>
      </c>
      <c r="I121" t="s">
        <v>715</v>
      </c>
      <c r="J121" t="s">
        <v>1083</v>
      </c>
      <c r="K121" t="s">
        <v>1084</v>
      </c>
      <c r="L121">
        <v>24240</v>
      </c>
      <c r="M121" t="s">
        <v>240</v>
      </c>
      <c r="O121" t="s">
        <v>11</v>
      </c>
      <c r="P121">
        <v>6102</v>
      </c>
      <c r="Q121">
        <v>100</v>
      </c>
      <c r="R121">
        <v>3.87</v>
      </c>
      <c r="S121">
        <v>387</v>
      </c>
      <c r="T121">
        <v>328</v>
      </c>
      <c r="U121">
        <v>15.25</v>
      </c>
      <c r="V121" t="str">
        <f>VLOOKUP(L121,'[2]tabela de preços'!$A:$D,4,0)</f>
        <v>ADERE</v>
      </c>
      <c r="W121" t="str">
        <f>VLOOKUP(L121,'[2]tabela de preços'!$A:$F,6,0)</f>
        <v>FITA AUTOMOTIVA</v>
      </c>
      <c r="X121" t="str">
        <f>VLOOKUP(L121,'[2]tabela de preços'!$A:$G,7,0)</f>
        <v>AUTOMOTIVO</v>
      </c>
    </row>
    <row r="122" spans="1:24" x14ac:dyDescent="0.3">
      <c r="A122" t="s">
        <v>1080</v>
      </c>
      <c r="C122" t="s">
        <v>1081</v>
      </c>
      <c r="D122" s="1">
        <v>46027</v>
      </c>
      <c r="E122" t="s">
        <v>1082</v>
      </c>
      <c r="F122">
        <v>9</v>
      </c>
      <c r="G122">
        <v>230</v>
      </c>
      <c r="H122" t="str">
        <f>VLOOKUP(G122,[1]OPERADORES!$A:$B,2,0)</f>
        <v>SÔNIA</v>
      </c>
      <c r="I122" t="s">
        <v>715</v>
      </c>
      <c r="J122" t="s">
        <v>1083</v>
      </c>
      <c r="K122" t="s">
        <v>1084</v>
      </c>
      <c r="L122">
        <v>21077</v>
      </c>
      <c r="M122" t="s">
        <v>207</v>
      </c>
      <c r="O122" t="s">
        <v>11</v>
      </c>
      <c r="P122">
        <v>6102</v>
      </c>
      <c r="Q122">
        <v>12</v>
      </c>
      <c r="R122">
        <v>44.68</v>
      </c>
      <c r="S122">
        <v>536.16</v>
      </c>
      <c r="T122">
        <v>407.04</v>
      </c>
      <c r="U122">
        <v>24.08</v>
      </c>
      <c r="V122" t="str">
        <f>VLOOKUP(L122,'[2]tabela de preços'!$A:$D,4,0)</f>
        <v>SHERWIN WILLIAMS</v>
      </c>
      <c r="W122" t="str">
        <f>VLOOKUP(L122,'[2]tabela de preços'!$A:$F,6,0)</f>
        <v>MASSA POLIÉSTER</v>
      </c>
      <c r="X122" t="str">
        <f>VLOOKUP(L122,'[2]tabela de preços'!$A:$G,7,0)</f>
        <v>AUTOMOTIVO</v>
      </c>
    </row>
    <row r="123" spans="1:24" x14ac:dyDescent="0.3">
      <c r="A123" t="s">
        <v>1080</v>
      </c>
      <c r="C123" t="s">
        <v>1081</v>
      </c>
      <c r="D123" s="1">
        <v>46027</v>
      </c>
      <c r="E123" t="s">
        <v>1082</v>
      </c>
      <c r="F123">
        <v>9</v>
      </c>
      <c r="G123">
        <v>230</v>
      </c>
      <c r="H123" t="str">
        <f>VLOOKUP(G123,[1]OPERADORES!$A:$B,2,0)</f>
        <v>SÔNIA</v>
      </c>
      <c r="I123" t="s">
        <v>715</v>
      </c>
      <c r="J123" t="s">
        <v>1083</v>
      </c>
      <c r="K123" t="s">
        <v>1084</v>
      </c>
      <c r="L123">
        <v>22180</v>
      </c>
      <c r="M123" t="s">
        <v>404</v>
      </c>
      <c r="O123" t="s">
        <v>11</v>
      </c>
      <c r="P123">
        <v>6102</v>
      </c>
      <c r="Q123">
        <v>6</v>
      </c>
      <c r="R123">
        <v>19.29</v>
      </c>
      <c r="S123">
        <v>115.74</v>
      </c>
      <c r="T123">
        <v>87.84</v>
      </c>
      <c r="U123">
        <v>24.11</v>
      </c>
      <c r="V123" t="str">
        <f>VLOOKUP(L123,'[2]tabela de preços'!$A:$D,4,0)</f>
        <v>MADRUGA</v>
      </c>
      <c r="W123" t="str">
        <f>VLOOKUP(L123,'[2]tabela de preços'!$A:$F,6,0)</f>
        <v>PAPEL DE MASCARAMENTO</v>
      </c>
      <c r="X123" t="str">
        <f>VLOOKUP(L123,'[2]tabela de preços'!$A:$G,7,0)</f>
        <v>AUTOMOTIVO</v>
      </c>
    </row>
    <row r="124" spans="1:24" x14ac:dyDescent="0.3">
      <c r="A124" t="s">
        <v>1080</v>
      </c>
      <c r="C124" t="s">
        <v>1081</v>
      </c>
      <c r="D124" s="1">
        <v>46027</v>
      </c>
      <c r="E124" t="s">
        <v>1082</v>
      </c>
      <c r="F124">
        <v>9</v>
      </c>
      <c r="G124">
        <v>230</v>
      </c>
      <c r="H124" t="str">
        <f>VLOOKUP(G124,[1]OPERADORES!$A:$B,2,0)</f>
        <v>SÔNIA</v>
      </c>
      <c r="I124" t="s">
        <v>715</v>
      </c>
      <c r="J124" t="s">
        <v>1083</v>
      </c>
      <c r="K124" t="s">
        <v>1084</v>
      </c>
      <c r="L124">
        <v>24247</v>
      </c>
      <c r="M124" t="s">
        <v>111</v>
      </c>
      <c r="O124" t="s">
        <v>11</v>
      </c>
      <c r="P124">
        <v>6403</v>
      </c>
      <c r="Q124">
        <v>12</v>
      </c>
      <c r="R124">
        <v>19.899999999999999</v>
      </c>
      <c r="S124">
        <v>238.8</v>
      </c>
      <c r="T124">
        <v>199.2</v>
      </c>
      <c r="U124">
        <v>16.579999999999998</v>
      </c>
      <c r="V124" t="str">
        <f>VLOOKUP(L124,'[2]tabela de preços'!$A:$D,4,0)</f>
        <v>SHERWIN WILLIAMS</v>
      </c>
      <c r="W124" t="str">
        <f>VLOOKUP(L124,'[2]tabela de preços'!$A:$F,6,0)</f>
        <v>PRIMER AUTOMOTIVO</v>
      </c>
      <c r="X124" t="str">
        <f>VLOOKUP(L124,'[2]tabela de preços'!$A:$G,7,0)</f>
        <v>AUTOMOTIVO</v>
      </c>
    </row>
    <row r="125" spans="1:24" x14ac:dyDescent="0.3">
      <c r="A125" t="s">
        <v>1080</v>
      </c>
      <c r="C125" t="s">
        <v>1081</v>
      </c>
      <c r="D125" s="1">
        <v>46027</v>
      </c>
      <c r="E125" t="s">
        <v>1082</v>
      </c>
      <c r="F125">
        <v>9</v>
      </c>
      <c r="G125">
        <v>230</v>
      </c>
      <c r="H125" t="str">
        <f>VLOOKUP(G125,[1]OPERADORES!$A:$B,2,0)</f>
        <v>SÔNIA</v>
      </c>
      <c r="I125" t="s">
        <v>715</v>
      </c>
      <c r="J125" t="s">
        <v>1083</v>
      </c>
      <c r="K125" t="s">
        <v>1084</v>
      </c>
      <c r="L125">
        <v>10298</v>
      </c>
      <c r="M125" t="s">
        <v>85</v>
      </c>
      <c r="O125" t="s">
        <v>11</v>
      </c>
      <c r="P125">
        <v>6102</v>
      </c>
      <c r="Q125">
        <v>4</v>
      </c>
      <c r="R125">
        <v>56.8</v>
      </c>
      <c r="S125">
        <v>227.2</v>
      </c>
      <c r="T125">
        <v>189.52</v>
      </c>
      <c r="U125">
        <v>16.579999999999998</v>
      </c>
      <c r="V125" t="str">
        <f>VLOOKUP(L125,'[2]tabela de preços'!$A:$D,4,0)</f>
        <v>ANJO</v>
      </c>
      <c r="W125" t="str">
        <f>VLOOKUP(L125,'[2]tabela de preços'!$A:$F,6,0)</f>
        <v>THINNER DE LIMPEZA</v>
      </c>
      <c r="X125" t="str">
        <f>VLOOKUP(L125,'[2]tabela de preços'!$A:$G,7,0)</f>
        <v>THINNER</v>
      </c>
    </row>
    <row r="126" spans="1:24" x14ac:dyDescent="0.3">
      <c r="A126" t="s">
        <v>1080</v>
      </c>
      <c r="C126" t="s">
        <v>1081</v>
      </c>
      <c r="D126" s="1">
        <v>46027</v>
      </c>
      <c r="E126" t="s">
        <v>1082</v>
      </c>
      <c r="F126">
        <v>9</v>
      </c>
      <c r="G126">
        <v>230</v>
      </c>
      <c r="H126" t="str">
        <f>VLOOKUP(G126,[1]OPERADORES!$A:$B,2,0)</f>
        <v>SÔNIA</v>
      </c>
      <c r="I126" t="s">
        <v>715</v>
      </c>
      <c r="J126" t="s">
        <v>1083</v>
      </c>
      <c r="K126" t="s">
        <v>1084</v>
      </c>
      <c r="L126">
        <v>20414</v>
      </c>
      <c r="M126" t="s">
        <v>112</v>
      </c>
      <c r="O126" t="s">
        <v>11</v>
      </c>
      <c r="P126">
        <v>6102</v>
      </c>
      <c r="Q126">
        <v>15</v>
      </c>
      <c r="R126">
        <v>21.89</v>
      </c>
      <c r="S126">
        <v>328.35</v>
      </c>
      <c r="T126">
        <v>270</v>
      </c>
      <c r="U126">
        <v>17.77</v>
      </c>
      <c r="V126" t="str">
        <f>VLOOKUP(L126,'[2]tabela de preços'!$A:$D,4,0)</f>
        <v>SHERWIN WILLIAMS</v>
      </c>
      <c r="W126" t="str">
        <f>VLOOKUP(L126,'[2]tabela de preços'!$A:$F,6,0)</f>
        <v>DILUENTE</v>
      </c>
      <c r="X126" t="str">
        <f>VLOOKUP(L126,'[2]tabela de preços'!$A:$G,7,0)</f>
        <v>AUTOMOTIVO</v>
      </c>
    </row>
    <row r="127" spans="1:24" x14ac:dyDescent="0.3">
      <c r="A127" t="s">
        <v>1080</v>
      </c>
      <c r="C127" t="s">
        <v>1081</v>
      </c>
      <c r="D127" s="1">
        <v>46027</v>
      </c>
      <c r="E127" t="s">
        <v>1082</v>
      </c>
      <c r="F127">
        <v>9</v>
      </c>
      <c r="G127">
        <v>230</v>
      </c>
      <c r="H127" t="str">
        <f>VLOOKUP(G127,[1]OPERADORES!$A:$B,2,0)</f>
        <v>SÔNIA</v>
      </c>
      <c r="I127" t="s">
        <v>715</v>
      </c>
      <c r="J127" t="s">
        <v>1083</v>
      </c>
      <c r="K127" t="s">
        <v>1084</v>
      </c>
      <c r="L127">
        <v>20454</v>
      </c>
      <c r="M127" t="s">
        <v>1086</v>
      </c>
      <c r="O127" t="s">
        <v>11</v>
      </c>
      <c r="P127">
        <v>6403</v>
      </c>
      <c r="Q127">
        <v>3</v>
      </c>
      <c r="R127">
        <v>181.24</v>
      </c>
      <c r="S127">
        <v>543.72</v>
      </c>
      <c r="T127">
        <v>412.68</v>
      </c>
      <c r="U127">
        <v>24.1</v>
      </c>
      <c r="V127" t="str">
        <f>VLOOKUP(L127,'[2]tabela de preços'!$A:$D,4,0)</f>
        <v>SHERWIN WILLIAMS</v>
      </c>
      <c r="W127" t="str">
        <f>VLOOKUP(L127,'[2]tabela de preços'!$A:$F,6,0)</f>
        <v>VERNIZ AUTOMOTIVO</v>
      </c>
      <c r="X127" t="str">
        <f>VLOOKUP(L127,'[2]tabela de preços'!$A:$G,7,0)</f>
        <v>AUTOMOTIVO</v>
      </c>
    </row>
    <row r="128" spans="1:24" x14ac:dyDescent="0.3">
      <c r="A128" t="s">
        <v>1135</v>
      </c>
      <c r="C128" t="s">
        <v>1136</v>
      </c>
      <c r="D128" s="1">
        <v>46027</v>
      </c>
      <c r="E128" t="s">
        <v>1137</v>
      </c>
      <c r="F128">
        <v>9</v>
      </c>
      <c r="G128">
        <v>230</v>
      </c>
      <c r="H128" t="str">
        <f>VLOOKUP(G128,[1]OPERADORES!$A:$B,2,0)</f>
        <v>SÔNIA</v>
      </c>
      <c r="I128" t="s">
        <v>1138</v>
      </c>
      <c r="J128" t="s">
        <v>1139</v>
      </c>
      <c r="K128" t="s">
        <v>1140</v>
      </c>
      <c r="L128">
        <v>85135</v>
      </c>
      <c r="M128" t="s">
        <v>1141</v>
      </c>
      <c r="O128" t="s">
        <v>11</v>
      </c>
      <c r="P128">
        <v>6403</v>
      </c>
      <c r="Q128">
        <v>15</v>
      </c>
      <c r="R128">
        <v>174.83</v>
      </c>
      <c r="S128" s="2">
        <v>2622.45</v>
      </c>
      <c r="T128" s="2">
        <v>1402.37</v>
      </c>
      <c r="U128">
        <v>46.52</v>
      </c>
      <c r="V128" t="str">
        <f>VLOOKUP(L128,'[2]tabela de preços'!$A:$D,4,0)</f>
        <v>BRASILUX</v>
      </c>
      <c r="W128" t="str">
        <f>VLOOKUP(L128,'[2]tabela de preços'!$A:$F,6,0)</f>
        <v>TINTA DE LABORATÓRIO</v>
      </c>
      <c r="X128" t="str">
        <f>VLOOKUP(L128,'[2]tabela de preços'!$A:$G,7,0)</f>
        <v>AUTOMOTIVO</v>
      </c>
    </row>
    <row r="129" spans="1:24" x14ac:dyDescent="0.3">
      <c r="A129" t="s">
        <v>1135</v>
      </c>
      <c r="C129" t="s">
        <v>1136</v>
      </c>
      <c r="D129" s="1">
        <v>46027</v>
      </c>
      <c r="E129" t="s">
        <v>1137</v>
      </c>
      <c r="F129">
        <v>9</v>
      </c>
      <c r="G129">
        <v>230</v>
      </c>
      <c r="H129" t="str">
        <f>VLOOKUP(G129,[1]OPERADORES!$A:$B,2,0)</f>
        <v>SÔNIA</v>
      </c>
      <c r="I129" t="s">
        <v>1138</v>
      </c>
      <c r="J129" t="s">
        <v>1139</v>
      </c>
      <c r="K129" t="s">
        <v>1140</v>
      </c>
      <c r="L129">
        <v>85280</v>
      </c>
      <c r="M129" t="s">
        <v>943</v>
      </c>
      <c r="O129" t="s">
        <v>11</v>
      </c>
      <c r="P129">
        <v>6102</v>
      </c>
      <c r="Q129">
        <v>15</v>
      </c>
      <c r="R129">
        <v>55.72</v>
      </c>
      <c r="S129">
        <v>835.8</v>
      </c>
      <c r="T129">
        <v>634.35</v>
      </c>
      <c r="U129">
        <v>24.1</v>
      </c>
      <c r="V129" t="str">
        <f>VLOOKUP(L129,'[2]tabela de preços'!$A:$D,4,0)</f>
        <v>BRASILUX</v>
      </c>
      <c r="W129" t="str">
        <f>VLOOKUP(L129,'[2]tabela de preços'!$A:$F,6,0)</f>
        <v>CATALISADORES INDIVIDUAIS</v>
      </c>
      <c r="X129" t="str">
        <f>VLOOKUP(L129,'[2]tabela de preços'!$A:$G,7,0)</f>
        <v>IMOBILIÁRIO</v>
      </c>
    </row>
    <row r="130" spans="1:24" x14ac:dyDescent="0.3">
      <c r="A130" t="s">
        <v>1135</v>
      </c>
      <c r="C130" t="s">
        <v>1136</v>
      </c>
      <c r="D130" s="1">
        <v>46027</v>
      </c>
      <c r="E130" t="s">
        <v>1137</v>
      </c>
      <c r="F130">
        <v>9</v>
      </c>
      <c r="G130">
        <v>230</v>
      </c>
      <c r="H130" t="str">
        <f>VLOOKUP(G130,[1]OPERADORES!$A:$B,2,0)</f>
        <v>SÔNIA</v>
      </c>
      <c r="I130" t="s">
        <v>1138</v>
      </c>
      <c r="J130" t="s">
        <v>1139</v>
      </c>
      <c r="K130" t="s">
        <v>1140</v>
      </c>
      <c r="L130">
        <v>21627</v>
      </c>
      <c r="M130" t="s">
        <v>1142</v>
      </c>
      <c r="O130" t="s">
        <v>11</v>
      </c>
      <c r="P130">
        <v>6102</v>
      </c>
      <c r="Q130">
        <v>6</v>
      </c>
      <c r="R130">
        <v>33.58</v>
      </c>
      <c r="S130">
        <v>201.48</v>
      </c>
      <c r="T130">
        <v>152.94</v>
      </c>
      <c r="U130">
        <v>24.09</v>
      </c>
      <c r="V130" t="str">
        <f>VLOOKUP(L130,'[2]tabela de preços'!$A:$D,4,0)</f>
        <v>SHERWIN WILLIAMS</v>
      </c>
      <c r="W130" t="str">
        <f>VLOOKUP(L130,'[2]tabela de preços'!$A:$F,6,0)</f>
        <v>VERNIZ AUTOMOTIVO</v>
      </c>
      <c r="X130" t="str">
        <f>VLOOKUP(L130,'[2]tabela de preços'!$A:$G,7,0)</f>
        <v>AUTOMOTIVO</v>
      </c>
    </row>
    <row r="131" spans="1:24" x14ac:dyDescent="0.3">
      <c r="A131" t="s">
        <v>1135</v>
      </c>
      <c r="C131" t="s">
        <v>1136</v>
      </c>
      <c r="D131" s="1">
        <v>46027</v>
      </c>
      <c r="E131" t="s">
        <v>1137</v>
      </c>
      <c r="F131">
        <v>9</v>
      </c>
      <c r="G131">
        <v>230</v>
      </c>
      <c r="H131" t="str">
        <f>VLOOKUP(G131,[1]OPERADORES!$A:$B,2,0)</f>
        <v>SÔNIA</v>
      </c>
      <c r="I131" t="s">
        <v>1138</v>
      </c>
      <c r="J131" t="s">
        <v>1139</v>
      </c>
      <c r="K131" t="s">
        <v>1140</v>
      </c>
      <c r="L131">
        <v>84863</v>
      </c>
      <c r="M131" t="s">
        <v>1049</v>
      </c>
      <c r="O131" t="s">
        <v>11</v>
      </c>
      <c r="P131">
        <v>6403</v>
      </c>
      <c r="Q131">
        <v>10</v>
      </c>
      <c r="R131">
        <v>117.04</v>
      </c>
      <c r="S131" s="2">
        <v>1170.4000000000001</v>
      </c>
      <c r="T131">
        <v>834.5</v>
      </c>
      <c r="U131">
        <v>28.7</v>
      </c>
      <c r="V131" t="str">
        <f>VLOOKUP(L131,'[2]tabela de preços'!$A:$D,4,0)</f>
        <v>BRASILUX</v>
      </c>
      <c r="W131" t="str">
        <f>VLOOKUP(L131,'[2]tabela de preços'!$A:$F,6,0)</f>
        <v>ESMALTES</v>
      </c>
      <c r="X131" t="str">
        <f>VLOOKUP(L131,'[2]tabela de preços'!$A:$G,7,0)</f>
        <v>INDUSTRIAL</v>
      </c>
    </row>
    <row r="132" spans="1:24" x14ac:dyDescent="0.3">
      <c r="A132" t="s">
        <v>1135</v>
      </c>
      <c r="C132" t="s">
        <v>1136</v>
      </c>
      <c r="D132" s="1">
        <v>46027</v>
      </c>
      <c r="E132" t="s">
        <v>1137</v>
      </c>
      <c r="F132">
        <v>9</v>
      </c>
      <c r="G132">
        <v>230</v>
      </c>
      <c r="H132" t="str">
        <f>VLOOKUP(G132,[1]OPERADORES!$A:$B,2,0)</f>
        <v>SÔNIA</v>
      </c>
      <c r="I132" t="s">
        <v>1138</v>
      </c>
      <c r="J132" t="s">
        <v>1139</v>
      </c>
      <c r="K132" t="s">
        <v>1140</v>
      </c>
      <c r="L132">
        <v>85178</v>
      </c>
      <c r="M132" t="s">
        <v>1143</v>
      </c>
      <c r="O132" t="s">
        <v>11</v>
      </c>
      <c r="P132">
        <v>6403</v>
      </c>
      <c r="Q132">
        <v>2</v>
      </c>
      <c r="R132">
        <v>87.3</v>
      </c>
      <c r="S132">
        <v>174.6</v>
      </c>
      <c r="T132">
        <v>124.5</v>
      </c>
      <c r="U132">
        <v>28.69</v>
      </c>
      <c r="V132" t="str">
        <f>VLOOKUP(L132,'[2]tabela de preços'!$A:$D,4,0)</f>
        <v>BRASILUX</v>
      </c>
      <c r="W132" t="str">
        <f>VLOOKUP(L132,'[2]tabela de preços'!$A:$F,6,0)</f>
        <v>ESMALTES</v>
      </c>
      <c r="X132" t="str">
        <f>VLOOKUP(L132,'[2]tabela de preços'!$A:$G,7,0)</f>
        <v>INDUSTRIAL</v>
      </c>
    </row>
    <row r="133" spans="1:24" x14ac:dyDescent="0.3">
      <c r="A133" t="s">
        <v>1135</v>
      </c>
      <c r="C133" t="s">
        <v>1136</v>
      </c>
      <c r="D133" s="1">
        <v>46027</v>
      </c>
      <c r="E133" t="s">
        <v>1137</v>
      </c>
      <c r="F133">
        <v>9</v>
      </c>
      <c r="G133">
        <v>230</v>
      </c>
      <c r="H133" t="str">
        <f>VLOOKUP(G133,[1]OPERADORES!$A:$B,2,0)</f>
        <v>SÔNIA</v>
      </c>
      <c r="I133" t="s">
        <v>1138</v>
      </c>
      <c r="J133" t="s">
        <v>1139</v>
      </c>
      <c r="K133" t="s">
        <v>1140</v>
      </c>
      <c r="L133">
        <v>85281</v>
      </c>
      <c r="M133" t="s">
        <v>1144</v>
      </c>
      <c r="O133" t="s">
        <v>11</v>
      </c>
      <c r="P133">
        <v>6403</v>
      </c>
      <c r="Q133">
        <v>1</v>
      </c>
      <c r="R133">
        <v>87.34</v>
      </c>
      <c r="S133">
        <v>87.34</v>
      </c>
      <c r="T133">
        <v>62.27</v>
      </c>
      <c r="U133">
        <v>28.7</v>
      </c>
      <c r="V133" t="str">
        <f>VLOOKUP(L133,'[2]tabela de preços'!$A:$D,4,0)</f>
        <v>BRASILUX</v>
      </c>
      <c r="W133" t="str">
        <f>VLOOKUP(L133,'[2]tabela de preços'!$A:$F,6,0)</f>
        <v>ESMALTES</v>
      </c>
      <c r="X133" t="str">
        <f>VLOOKUP(L133,'[2]tabela de preços'!$A:$G,7,0)</f>
        <v>INDUSTRIAL</v>
      </c>
    </row>
    <row r="134" spans="1:24" x14ac:dyDescent="0.3">
      <c r="A134" t="s">
        <v>1135</v>
      </c>
      <c r="C134" t="s">
        <v>1136</v>
      </c>
      <c r="D134" s="1">
        <v>46027</v>
      </c>
      <c r="E134" t="s">
        <v>1137</v>
      </c>
      <c r="F134">
        <v>9</v>
      </c>
      <c r="G134">
        <v>230</v>
      </c>
      <c r="H134" t="str">
        <f>VLOOKUP(G134,[1]OPERADORES!$A:$B,2,0)</f>
        <v>SÔNIA</v>
      </c>
      <c r="I134" t="s">
        <v>1138</v>
      </c>
      <c r="J134" t="s">
        <v>1139</v>
      </c>
      <c r="K134" t="s">
        <v>1140</v>
      </c>
      <c r="L134">
        <v>20454</v>
      </c>
      <c r="M134" t="s">
        <v>1086</v>
      </c>
      <c r="O134" t="s">
        <v>11</v>
      </c>
      <c r="P134">
        <v>6403</v>
      </c>
      <c r="Q134">
        <v>2</v>
      </c>
      <c r="R134">
        <v>181.24</v>
      </c>
      <c r="S134">
        <v>362.48</v>
      </c>
      <c r="T134">
        <v>275.12</v>
      </c>
      <c r="U134">
        <v>24.1</v>
      </c>
      <c r="V134" t="str">
        <f>VLOOKUP(L134,'[2]tabela de preços'!$A:$D,4,0)</f>
        <v>SHERWIN WILLIAMS</v>
      </c>
      <c r="W134" t="str">
        <f>VLOOKUP(L134,'[2]tabela de preços'!$A:$F,6,0)</f>
        <v>VERNIZ AUTOMOTIVO</v>
      </c>
      <c r="X134" t="str">
        <f>VLOOKUP(L134,'[2]tabela de preços'!$A:$G,7,0)</f>
        <v>AUTOMOTIVO</v>
      </c>
    </row>
    <row r="135" spans="1:24" x14ac:dyDescent="0.3">
      <c r="A135" t="s">
        <v>1135</v>
      </c>
      <c r="C135" t="s">
        <v>1145</v>
      </c>
      <c r="D135" s="1">
        <v>46027</v>
      </c>
      <c r="E135" t="s">
        <v>1146</v>
      </c>
      <c r="F135">
        <v>9</v>
      </c>
      <c r="G135">
        <v>230</v>
      </c>
      <c r="H135" t="str">
        <f>VLOOKUP(G135,[1]OPERADORES!$A:$B,2,0)</f>
        <v>SÔNIA</v>
      </c>
      <c r="I135" t="s">
        <v>1138</v>
      </c>
      <c r="J135" t="s">
        <v>1139</v>
      </c>
      <c r="K135" t="s">
        <v>1140</v>
      </c>
      <c r="L135">
        <v>10236</v>
      </c>
      <c r="M135" t="s">
        <v>133</v>
      </c>
      <c r="O135" t="s">
        <v>11</v>
      </c>
      <c r="P135">
        <v>6102</v>
      </c>
      <c r="Q135">
        <v>204</v>
      </c>
      <c r="R135">
        <v>2.79</v>
      </c>
      <c r="S135">
        <v>569.16</v>
      </c>
      <c r="T135">
        <v>483.48</v>
      </c>
      <c r="U135">
        <v>15.05</v>
      </c>
      <c r="V135" t="str">
        <f>VLOOKUP(L135,'[2]tabela de preços'!$A:$D,4,0)</f>
        <v>NORTON</v>
      </c>
      <c r="W135" t="str">
        <f>VLOOKUP(L135,'[2]tabela de preços'!$A:$F,6,0)</f>
        <v xml:space="preserve">DISCOS / LIXAS / ABRASIVOS </v>
      </c>
      <c r="X135" t="str">
        <f>VLOOKUP(L135,'[2]tabela de preços'!$A:$G,7,0)</f>
        <v>AUTOMOTIVO</v>
      </c>
    </row>
    <row r="136" spans="1:24" x14ac:dyDescent="0.3">
      <c r="A136" t="s">
        <v>1199</v>
      </c>
      <c r="C136" t="s">
        <v>1200</v>
      </c>
      <c r="D136" s="1">
        <v>46027</v>
      </c>
      <c r="E136" t="s">
        <v>1201</v>
      </c>
      <c r="F136">
        <v>9</v>
      </c>
      <c r="G136">
        <v>174</v>
      </c>
      <c r="H136" t="str">
        <f>VLOOKUP(G136,[1]OPERADORES!$A:$B,2,0)</f>
        <v>MIRIÃ LOBATO RODRIGUES</v>
      </c>
      <c r="I136" t="s">
        <v>21</v>
      </c>
      <c r="J136" t="s">
        <v>1128</v>
      </c>
      <c r="K136" t="s">
        <v>1202</v>
      </c>
      <c r="L136">
        <v>23110</v>
      </c>
      <c r="M136" t="s">
        <v>409</v>
      </c>
      <c r="O136" t="s">
        <v>11</v>
      </c>
      <c r="P136">
        <v>5102</v>
      </c>
      <c r="Q136">
        <v>50</v>
      </c>
      <c r="R136">
        <v>2.35</v>
      </c>
      <c r="S136">
        <v>117.5</v>
      </c>
      <c r="T136">
        <v>92.5</v>
      </c>
      <c r="U136">
        <v>21.28</v>
      </c>
      <c r="V136" t="str">
        <f>VLOOKUP(L136,'[2]tabela de preços'!$A:$D,4,0)</f>
        <v>3M</v>
      </c>
      <c r="W136" t="str">
        <f>VLOOKUP(L136,'[2]tabela de preços'!$A:$F,6,0)</f>
        <v xml:space="preserve">DISCOS / LIXAS / ABRASIVOS </v>
      </c>
      <c r="X136" t="str">
        <f>VLOOKUP(L136,'[2]tabela de preços'!$A:$G,7,0)</f>
        <v>AUTOMOTIVO</v>
      </c>
    </row>
    <row r="137" spans="1:24" x14ac:dyDescent="0.3">
      <c r="A137" t="s">
        <v>1199</v>
      </c>
      <c r="C137" t="s">
        <v>1200</v>
      </c>
      <c r="D137" s="1">
        <v>46027</v>
      </c>
      <c r="E137" t="s">
        <v>1201</v>
      </c>
      <c r="F137">
        <v>9</v>
      </c>
      <c r="G137">
        <v>174</v>
      </c>
      <c r="H137" t="str">
        <f>VLOOKUP(G137,[1]OPERADORES!$A:$B,2,0)</f>
        <v>MIRIÃ LOBATO RODRIGUES</v>
      </c>
      <c r="I137" t="s">
        <v>21</v>
      </c>
      <c r="J137" t="s">
        <v>1128</v>
      </c>
      <c r="K137" t="s">
        <v>1202</v>
      </c>
      <c r="L137">
        <v>22684</v>
      </c>
      <c r="M137" t="s">
        <v>73</v>
      </c>
      <c r="O137" t="s">
        <v>11</v>
      </c>
      <c r="P137">
        <v>5102</v>
      </c>
      <c r="Q137">
        <v>240</v>
      </c>
      <c r="R137">
        <v>3.65</v>
      </c>
      <c r="S137">
        <v>876</v>
      </c>
      <c r="T137">
        <v>739.2</v>
      </c>
      <c r="U137">
        <v>15.62</v>
      </c>
      <c r="V137" t="str">
        <f>VLOOKUP(L137,'[2]tabela de preços'!$A:$D,4,0)</f>
        <v>3M</v>
      </c>
      <c r="W137" t="str">
        <f>VLOOKUP(L137,'[2]tabela de preços'!$A:$F,6,0)</f>
        <v>FITA AUTOMOTIVA</v>
      </c>
      <c r="X137" t="str">
        <f>VLOOKUP(L137,'[2]tabela de preços'!$A:$G,7,0)</f>
        <v>AUTOMOTIVO</v>
      </c>
    </row>
    <row r="138" spans="1:24" x14ac:dyDescent="0.3">
      <c r="A138" t="s">
        <v>1199</v>
      </c>
      <c r="C138" t="s">
        <v>1200</v>
      </c>
      <c r="D138" s="1">
        <v>46027</v>
      </c>
      <c r="E138" t="s">
        <v>1201</v>
      </c>
      <c r="F138">
        <v>9</v>
      </c>
      <c r="G138">
        <v>174</v>
      </c>
      <c r="H138" t="str">
        <f>VLOOKUP(G138,[1]OPERADORES!$A:$B,2,0)</f>
        <v>MIRIÃ LOBATO RODRIGUES</v>
      </c>
      <c r="I138" t="s">
        <v>21</v>
      </c>
      <c r="J138" t="s">
        <v>1128</v>
      </c>
      <c r="K138" t="s">
        <v>1202</v>
      </c>
      <c r="L138">
        <v>84560</v>
      </c>
      <c r="M138" t="s">
        <v>118</v>
      </c>
      <c r="O138" t="s">
        <v>11</v>
      </c>
      <c r="P138">
        <v>5102</v>
      </c>
      <c r="Q138">
        <v>36</v>
      </c>
      <c r="R138">
        <v>46.9</v>
      </c>
      <c r="S138" s="2">
        <v>1688.4</v>
      </c>
      <c r="T138" s="2">
        <v>1409.76</v>
      </c>
      <c r="U138">
        <v>16.5</v>
      </c>
      <c r="V138" t="str">
        <f>VLOOKUP(L138,'[2]tabela de preços'!$A:$D,4,0)</f>
        <v>BRASILUX</v>
      </c>
      <c r="W138" t="str">
        <f>VLOOKUP(L138,'[2]tabela de preços'!$A:$F,6,0)</f>
        <v>THINNER DE LIMPEZA</v>
      </c>
      <c r="X138" t="str">
        <f>VLOOKUP(L138,'[2]tabela de preços'!$A:$G,7,0)</f>
        <v>THINNER</v>
      </c>
    </row>
    <row r="139" spans="1:24" x14ac:dyDescent="0.3">
      <c r="A139" t="s">
        <v>1275</v>
      </c>
      <c r="C139" t="s">
        <v>1276</v>
      </c>
      <c r="D139" s="1">
        <v>46027</v>
      </c>
      <c r="E139" t="s">
        <v>1277</v>
      </c>
      <c r="F139">
        <v>9</v>
      </c>
      <c r="G139">
        <v>197</v>
      </c>
      <c r="H139" t="str">
        <f>VLOOKUP(G139,[1]OPERADORES!$A:$B,2,0)</f>
        <v xml:space="preserve">POLIANA LORRANE DE AMORIM </v>
      </c>
      <c r="I139" t="s">
        <v>21</v>
      </c>
      <c r="J139" t="s">
        <v>1278</v>
      </c>
      <c r="K139" t="s">
        <v>1279</v>
      </c>
      <c r="L139">
        <v>87057</v>
      </c>
      <c r="M139" t="s">
        <v>1280</v>
      </c>
      <c r="O139" t="s">
        <v>11</v>
      </c>
      <c r="P139">
        <v>5403</v>
      </c>
      <c r="Q139">
        <v>3</v>
      </c>
      <c r="R139">
        <v>79.63</v>
      </c>
      <c r="S139">
        <v>238.89</v>
      </c>
      <c r="T139">
        <v>175.14</v>
      </c>
      <c r="U139">
        <v>26.69</v>
      </c>
      <c r="V139" t="str">
        <f>VLOOKUP(L139,'[2]tabela de preços'!$A:$D,4,0)</f>
        <v>BRASILUX</v>
      </c>
      <c r="W139" t="str">
        <f>VLOOKUP(L139,'[2]tabela de preços'!$A:$F,6,0)</f>
        <v>ESMALTES</v>
      </c>
      <c r="X139" t="str">
        <f>VLOOKUP(L139,'[2]tabela de preços'!$A:$G,7,0)</f>
        <v>INDUSTRIAL</v>
      </c>
    </row>
    <row r="140" spans="1:24" x14ac:dyDescent="0.3">
      <c r="A140" t="s">
        <v>1297</v>
      </c>
      <c r="C140" t="s">
        <v>1298</v>
      </c>
      <c r="D140" s="1">
        <v>46027</v>
      </c>
      <c r="E140" t="s">
        <v>1299</v>
      </c>
      <c r="F140">
        <v>9</v>
      </c>
      <c r="G140">
        <v>236</v>
      </c>
      <c r="H140" t="str">
        <f>VLOOKUP(G140,[1]OPERADORES!$A:$B,2,0)</f>
        <v>DANIEL</v>
      </c>
      <c r="I140" t="s">
        <v>168</v>
      </c>
      <c r="J140" t="s">
        <v>1300</v>
      </c>
      <c r="K140" t="s">
        <v>1301</v>
      </c>
      <c r="L140">
        <v>84762</v>
      </c>
      <c r="M140" t="s">
        <v>1014</v>
      </c>
      <c r="O140" t="s">
        <v>11</v>
      </c>
      <c r="P140">
        <v>6403</v>
      </c>
      <c r="Q140">
        <v>3</v>
      </c>
      <c r="R140">
        <v>163.04</v>
      </c>
      <c r="S140">
        <v>489.12</v>
      </c>
      <c r="T140">
        <v>350.64</v>
      </c>
      <c r="U140">
        <v>28.31</v>
      </c>
      <c r="V140" t="str">
        <f>VLOOKUP(L140,'[2]tabela de preços'!$A:$D,4,0)</f>
        <v>BRASILUX</v>
      </c>
      <c r="W140" t="str">
        <f>VLOOKUP(L140,'[2]tabela de preços'!$A:$F,6,0)</f>
        <v>EPOXI</v>
      </c>
      <c r="X140" t="str">
        <f>VLOOKUP(L140,'[2]tabela de preços'!$A:$G,7,0)</f>
        <v>INDUSTRIAL</v>
      </c>
    </row>
    <row r="141" spans="1:24" x14ac:dyDescent="0.3">
      <c r="A141" t="s">
        <v>1389</v>
      </c>
      <c r="C141" t="s">
        <v>1394</v>
      </c>
      <c r="D141" s="1">
        <v>46027</v>
      </c>
      <c r="E141" t="s">
        <v>1395</v>
      </c>
      <c r="F141">
        <v>9</v>
      </c>
      <c r="G141">
        <v>230</v>
      </c>
      <c r="H141" t="str">
        <f>VLOOKUP(G141,[1]OPERADORES!$A:$B,2,0)</f>
        <v>SÔNIA</v>
      </c>
      <c r="I141" t="s">
        <v>21</v>
      </c>
      <c r="J141" t="s">
        <v>66</v>
      </c>
      <c r="K141" t="s">
        <v>1392</v>
      </c>
      <c r="L141">
        <v>84111</v>
      </c>
      <c r="M141" t="s">
        <v>1393</v>
      </c>
      <c r="O141" t="s">
        <v>11</v>
      </c>
      <c r="P141">
        <v>5403</v>
      </c>
      <c r="Q141">
        <v>1</v>
      </c>
      <c r="R141">
        <v>153.99</v>
      </c>
      <c r="S141">
        <v>153.99</v>
      </c>
      <c r="T141">
        <v>116.88</v>
      </c>
      <c r="U141">
        <v>24.1</v>
      </c>
      <c r="V141" t="str">
        <f>VLOOKUP(L141,'[2]tabela de preços'!$A:$D,4,0)</f>
        <v>BRASILUX</v>
      </c>
      <c r="W141" t="str">
        <f>VLOOKUP(L141,'[2]tabela de preços'!$A:$F,6,0)</f>
        <v>EPOXI</v>
      </c>
      <c r="X141" t="str">
        <f>VLOOKUP(L141,'[2]tabela de preços'!$A:$G,7,0)</f>
        <v>INDUSTRIAL</v>
      </c>
    </row>
    <row r="142" spans="1:24" x14ac:dyDescent="0.3">
      <c r="A142" t="s">
        <v>1486</v>
      </c>
      <c r="C142" t="s">
        <v>1487</v>
      </c>
      <c r="D142" s="1">
        <v>46027</v>
      </c>
      <c r="E142" t="s">
        <v>1488</v>
      </c>
      <c r="F142">
        <v>9</v>
      </c>
      <c r="G142">
        <v>236</v>
      </c>
      <c r="H142" t="str">
        <f>VLOOKUP(G142,[1]OPERADORES!$A:$B,2,0)</f>
        <v>DANIEL</v>
      </c>
      <c r="I142" t="s">
        <v>1489</v>
      </c>
      <c r="J142" t="s">
        <v>1490</v>
      </c>
      <c r="K142" t="s">
        <v>1491</v>
      </c>
      <c r="L142">
        <v>23076</v>
      </c>
      <c r="M142" t="s">
        <v>97</v>
      </c>
      <c r="O142" t="s">
        <v>11</v>
      </c>
      <c r="P142">
        <v>6403</v>
      </c>
      <c r="Q142">
        <v>60</v>
      </c>
      <c r="R142">
        <v>36.26</v>
      </c>
      <c r="S142" s="2">
        <v>2175.6</v>
      </c>
      <c r="T142" s="2">
        <v>1591.8</v>
      </c>
      <c r="U142">
        <v>26.83</v>
      </c>
      <c r="V142" t="str">
        <f>VLOOKUP(L142,'[2]tabela de preços'!$A:$D,4,0)</f>
        <v>WANDA</v>
      </c>
      <c r="W142" t="str">
        <f>VLOOKUP(L142,'[2]tabela de preços'!$A:$F,6,0)</f>
        <v>PRIMER AUTOMOTIVO</v>
      </c>
      <c r="X142" t="str">
        <f>VLOOKUP(L142,'[2]tabela de preços'!$A:$G,7,0)</f>
        <v>AUTOMOTIVO</v>
      </c>
    </row>
    <row r="143" spans="1:24" x14ac:dyDescent="0.3">
      <c r="A143" t="s">
        <v>1486</v>
      </c>
      <c r="C143" t="s">
        <v>1487</v>
      </c>
      <c r="D143" s="1">
        <v>46027</v>
      </c>
      <c r="E143" t="s">
        <v>1488</v>
      </c>
      <c r="F143">
        <v>9</v>
      </c>
      <c r="G143">
        <v>236</v>
      </c>
      <c r="H143" t="str">
        <f>VLOOKUP(G143,[1]OPERADORES!$A:$B,2,0)</f>
        <v>DANIEL</v>
      </c>
      <c r="I143" t="s">
        <v>1489</v>
      </c>
      <c r="J143" t="s">
        <v>1490</v>
      </c>
      <c r="K143" t="s">
        <v>1491</v>
      </c>
      <c r="L143">
        <v>20525</v>
      </c>
      <c r="M143" t="s">
        <v>137</v>
      </c>
      <c r="O143" t="s">
        <v>11</v>
      </c>
      <c r="P143">
        <v>6102</v>
      </c>
      <c r="Q143">
        <v>18</v>
      </c>
      <c r="R143">
        <v>13.65</v>
      </c>
      <c r="S143">
        <v>245.7</v>
      </c>
      <c r="T143">
        <v>186.48</v>
      </c>
      <c r="U143">
        <v>24.1</v>
      </c>
      <c r="V143" t="str">
        <f>VLOOKUP(L143,'[2]tabela de preços'!$A:$D,4,0)</f>
        <v>SHERWIN WILLIAMS</v>
      </c>
      <c r="W143" t="str">
        <f>VLOOKUP(L143,'[2]tabela de preços'!$A:$F,6,0)</f>
        <v>MASSA DE PEQUENOS REPAROS</v>
      </c>
      <c r="X143" t="str">
        <f>VLOOKUP(L143,'[2]tabela de preços'!$A:$G,7,0)</f>
        <v>AUTOMOTIVO</v>
      </c>
    </row>
    <row r="144" spans="1:24" x14ac:dyDescent="0.3">
      <c r="A144" t="s">
        <v>1486</v>
      </c>
      <c r="C144" t="s">
        <v>1487</v>
      </c>
      <c r="D144" s="1">
        <v>46027</v>
      </c>
      <c r="E144" t="s">
        <v>1488</v>
      </c>
      <c r="F144">
        <v>9</v>
      </c>
      <c r="G144">
        <v>236</v>
      </c>
      <c r="H144" t="str">
        <f>VLOOKUP(G144,[1]OPERADORES!$A:$B,2,0)</f>
        <v>DANIEL</v>
      </c>
      <c r="I144" t="s">
        <v>1489</v>
      </c>
      <c r="J144" t="s">
        <v>1490</v>
      </c>
      <c r="K144" t="s">
        <v>1491</v>
      </c>
      <c r="L144">
        <v>9752</v>
      </c>
      <c r="M144" t="s">
        <v>1492</v>
      </c>
      <c r="O144" t="s">
        <v>11</v>
      </c>
      <c r="P144">
        <v>6403</v>
      </c>
      <c r="Q144">
        <v>12</v>
      </c>
      <c r="R144">
        <v>42.68</v>
      </c>
      <c r="S144">
        <v>512.16</v>
      </c>
      <c r="T144">
        <v>365.16</v>
      </c>
      <c r="U144">
        <v>28.7</v>
      </c>
      <c r="V144" t="str">
        <f>VLOOKUP(L144,'[2]tabela de preços'!$A:$D,4,0)</f>
        <v>WANDA</v>
      </c>
      <c r="W144" t="str">
        <f>VLOOKUP(L144,'[2]tabela de preços'!$A:$F,6,0)</f>
        <v>SELADORA P/ PLASTICO</v>
      </c>
      <c r="X144" t="str">
        <f>VLOOKUP(L144,'[2]tabela de preços'!$A:$G,7,0)</f>
        <v>AUTOMOTIVO</v>
      </c>
    </row>
    <row r="145" spans="1:24" x14ac:dyDescent="0.3">
      <c r="A145" t="s">
        <v>1630</v>
      </c>
      <c r="C145" t="s">
        <v>1631</v>
      </c>
      <c r="D145" s="1">
        <v>46027</v>
      </c>
      <c r="E145" t="s">
        <v>1632</v>
      </c>
      <c r="F145">
        <v>9</v>
      </c>
      <c r="G145">
        <v>174</v>
      </c>
      <c r="H145" t="str">
        <f>VLOOKUP(G145,[1]OPERADORES!$A:$B,2,0)</f>
        <v>MIRIÃ LOBATO RODRIGUES</v>
      </c>
      <c r="I145" t="s">
        <v>21</v>
      </c>
      <c r="J145" t="s">
        <v>762</v>
      </c>
      <c r="K145" t="s">
        <v>1633</v>
      </c>
      <c r="L145">
        <v>16</v>
      </c>
      <c r="M145" t="s">
        <v>122</v>
      </c>
      <c r="O145" t="s">
        <v>11</v>
      </c>
      <c r="P145">
        <v>5102</v>
      </c>
      <c r="Q145">
        <v>50</v>
      </c>
      <c r="R145">
        <v>2.9</v>
      </c>
      <c r="S145">
        <v>145</v>
      </c>
      <c r="T145">
        <v>110</v>
      </c>
      <c r="U145">
        <v>24.14</v>
      </c>
      <c r="V145" t="str">
        <f>VLOOKUP(L145,'[2]tabela de preços'!$A:$D,4,0)</f>
        <v>3M</v>
      </c>
      <c r="W145" t="str">
        <f>VLOOKUP(L145,'[2]tabela de preços'!$A:$F,6,0)</f>
        <v>LIXA DÁGUA</v>
      </c>
      <c r="X145" t="str">
        <f>VLOOKUP(L145,'[2]tabela de preços'!$A:$G,7,0)</f>
        <v>AUTOMOTIVO</v>
      </c>
    </row>
    <row r="146" spans="1:24" x14ac:dyDescent="0.3">
      <c r="A146" t="s">
        <v>1630</v>
      </c>
      <c r="C146" t="s">
        <v>1631</v>
      </c>
      <c r="D146" s="1">
        <v>46027</v>
      </c>
      <c r="E146" t="s">
        <v>1632</v>
      </c>
      <c r="F146">
        <v>9</v>
      </c>
      <c r="G146">
        <v>174</v>
      </c>
      <c r="H146" t="str">
        <f>VLOOKUP(G146,[1]OPERADORES!$A:$B,2,0)</f>
        <v>MIRIÃ LOBATO RODRIGUES</v>
      </c>
      <c r="I146" t="s">
        <v>21</v>
      </c>
      <c r="J146" t="s">
        <v>762</v>
      </c>
      <c r="K146" t="s">
        <v>1633</v>
      </c>
      <c r="L146">
        <v>83819</v>
      </c>
      <c r="M146" t="s">
        <v>1237</v>
      </c>
      <c r="O146" t="s">
        <v>11</v>
      </c>
      <c r="P146">
        <v>5102</v>
      </c>
      <c r="Q146">
        <v>50</v>
      </c>
      <c r="R146">
        <v>3.49</v>
      </c>
      <c r="S146">
        <v>174.5</v>
      </c>
      <c r="T146">
        <v>132.5</v>
      </c>
      <c r="U146">
        <v>24.07</v>
      </c>
      <c r="V146" t="str">
        <f>VLOOKUP(L146,'[2]tabela de preços'!$A:$D,4,0)</f>
        <v>3M</v>
      </c>
      <c r="W146" t="str">
        <f>VLOOKUP(L146,'[2]tabela de preços'!$A:$F,6,0)</f>
        <v>LIXA DÁGUA</v>
      </c>
      <c r="X146" t="str">
        <f>VLOOKUP(L146,'[2]tabela de preços'!$A:$G,7,0)</f>
        <v>AUTOMOTIVO</v>
      </c>
    </row>
    <row r="147" spans="1:24" x14ac:dyDescent="0.3">
      <c r="A147" t="s">
        <v>1630</v>
      </c>
      <c r="C147" t="s">
        <v>1631</v>
      </c>
      <c r="D147" s="1">
        <v>46027</v>
      </c>
      <c r="E147" t="s">
        <v>1632</v>
      </c>
      <c r="F147">
        <v>9</v>
      </c>
      <c r="G147">
        <v>174</v>
      </c>
      <c r="H147" t="str">
        <f>VLOOKUP(G147,[1]OPERADORES!$A:$B,2,0)</f>
        <v>MIRIÃ LOBATO RODRIGUES</v>
      </c>
      <c r="I147" t="s">
        <v>21</v>
      </c>
      <c r="J147" t="s">
        <v>762</v>
      </c>
      <c r="K147" t="s">
        <v>1633</v>
      </c>
      <c r="L147">
        <v>21067</v>
      </c>
      <c r="M147" t="s">
        <v>640</v>
      </c>
      <c r="O147" t="s">
        <v>11</v>
      </c>
      <c r="P147">
        <v>5102</v>
      </c>
      <c r="Q147">
        <v>6</v>
      </c>
      <c r="R147">
        <v>37.58</v>
      </c>
      <c r="S147">
        <v>225.48</v>
      </c>
      <c r="T147">
        <v>171.12</v>
      </c>
      <c r="U147">
        <v>24.11</v>
      </c>
      <c r="V147" t="str">
        <f>VLOOKUP(L147,'[2]tabela de preços'!$A:$D,4,0)</f>
        <v>SIKKENS</v>
      </c>
      <c r="W147" t="str">
        <f>VLOOKUP(L147,'[2]tabela de preços'!$A:$F,6,0)</f>
        <v>DILUENTE</v>
      </c>
      <c r="X147" t="str">
        <f>VLOOKUP(L147,'[2]tabela de preços'!$A:$G,7,0)</f>
        <v>AUTOMOTIVO</v>
      </c>
    </row>
    <row r="148" spans="1:24" x14ac:dyDescent="0.3">
      <c r="A148" t="s">
        <v>1701</v>
      </c>
      <c r="C148" t="s">
        <v>1702</v>
      </c>
      <c r="D148" s="1">
        <v>46027</v>
      </c>
      <c r="E148" t="s">
        <v>1703</v>
      </c>
      <c r="F148">
        <v>9</v>
      </c>
      <c r="G148">
        <v>197</v>
      </c>
      <c r="H148" t="str">
        <f>VLOOKUP(G148,[1]OPERADORES!$A:$B,2,0)</f>
        <v xml:space="preserve">POLIANA LORRANE DE AMORIM </v>
      </c>
      <c r="I148" t="s">
        <v>21</v>
      </c>
      <c r="J148" t="s">
        <v>265</v>
      </c>
      <c r="K148" t="s">
        <v>1704</v>
      </c>
      <c r="L148">
        <v>84328</v>
      </c>
      <c r="M148" t="s">
        <v>496</v>
      </c>
      <c r="O148" t="s">
        <v>11</v>
      </c>
      <c r="P148">
        <v>5403</v>
      </c>
      <c r="Q148">
        <v>1</v>
      </c>
      <c r="R148">
        <v>60.89</v>
      </c>
      <c r="S148">
        <v>60.89</v>
      </c>
      <c r="T148">
        <v>44.79</v>
      </c>
      <c r="U148">
        <v>26.44</v>
      </c>
      <c r="V148" t="str">
        <f>VLOOKUP(L148,'[2]tabela de preços'!$A:$D,4,0)</f>
        <v>BRASILUX</v>
      </c>
      <c r="W148" t="str">
        <f>VLOOKUP(L148,'[2]tabela de preços'!$A:$F,6,0)</f>
        <v>ESMALTES</v>
      </c>
      <c r="X148" t="str">
        <f>VLOOKUP(L148,'[2]tabela de preços'!$A:$G,7,0)</f>
        <v>INDUSTRIAL</v>
      </c>
    </row>
    <row r="149" spans="1:24" x14ac:dyDescent="0.3">
      <c r="A149" t="s">
        <v>1701</v>
      </c>
      <c r="C149" t="s">
        <v>1702</v>
      </c>
      <c r="D149" s="1">
        <v>46027</v>
      </c>
      <c r="E149" t="s">
        <v>1703</v>
      </c>
      <c r="F149">
        <v>9</v>
      </c>
      <c r="G149">
        <v>197</v>
      </c>
      <c r="H149" t="str">
        <f>VLOOKUP(G149,[1]OPERADORES!$A:$B,2,0)</f>
        <v xml:space="preserve">POLIANA LORRANE DE AMORIM </v>
      </c>
      <c r="I149" t="s">
        <v>21</v>
      </c>
      <c r="J149" t="s">
        <v>265</v>
      </c>
      <c r="K149" t="s">
        <v>1704</v>
      </c>
      <c r="L149">
        <v>84355</v>
      </c>
      <c r="M149" t="s">
        <v>1705</v>
      </c>
      <c r="O149" t="s">
        <v>11</v>
      </c>
      <c r="P149">
        <v>5403</v>
      </c>
      <c r="Q149">
        <v>1</v>
      </c>
      <c r="R149">
        <v>20.03</v>
      </c>
      <c r="S149">
        <v>20.03</v>
      </c>
      <c r="T149">
        <v>15.21</v>
      </c>
      <c r="U149">
        <v>24.06</v>
      </c>
      <c r="V149" t="str">
        <f>VLOOKUP(L149,'[2]tabela de preços'!$A:$D,4,0)</f>
        <v>BRASILUX</v>
      </c>
      <c r="W149" t="str">
        <f>VLOOKUP(L149,'[2]tabela de preços'!$A:$F,6,0)</f>
        <v>ESMALTES</v>
      </c>
      <c r="X149" t="str">
        <f>VLOOKUP(L149,'[2]tabela de preços'!$A:$G,7,0)</f>
        <v>INDUSTRIAL</v>
      </c>
    </row>
    <row r="150" spans="1:24" x14ac:dyDescent="0.3">
      <c r="A150" t="s">
        <v>1701</v>
      </c>
      <c r="C150" t="s">
        <v>1702</v>
      </c>
      <c r="D150" s="1">
        <v>46027</v>
      </c>
      <c r="E150" t="s">
        <v>1703</v>
      </c>
      <c r="F150">
        <v>9</v>
      </c>
      <c r="G150">
        <v>197</v>
      </c>
      <c r="H150" t="str">
        <f>VLOOKUP(G150,[1]OPERADORES!$A:$B,2,0)</f>
        <v xml:space="preserve">POLIANA LORRANE DE AMORIM </v>
      </c>
      <c r="I150" t="s">
        <v>21</v>
      </c>
      <c r="J150" t="s">
        <v>265</v>
      </c>
      <c r="K150" t="s">
        <v>1704</v>
      </c>
      <c r="L150">
        <v>84143</v>
      </c>
      <c r="M150" t="s">
        <v>1706</v>
      </c>
      <c r="O150" t="s">
        <v>11</v>
      </c>
      <c r="P150">
        <v>5403</v>
      </c>
      <c r="Q150">
        <v>1</v>
      </c>
      <c r="R150">
        <v>20.41</v>
      </c>
      <c r="S150">
        <v>20.41</v>
      </c>
      <c r="T150">
        <v>15.49</v>
      </c>
      <c r="U150">
        <v>24.11</v>
      </c>
      <c r="V150" t="str">
        <f>VLOOKUP(L150,'[2]tabela de preços'!$A:$D,4,0)</f>
        <v>BRASILUX</v>
      </c>
      <c r="W150" t="str">
        <f>VLOOKUP(L150,'[2]tabela de preços'!$A:$F,6,0)</f>
        <v>ESMALTES</v>
      </c>
      <c r="X150" t="str">
        <f>VLOOKUP(L150,'[2]tabela de preços'!$A:$G,7,0)</f>
        <v>INDUSTRIAL</v>
      </c>
    </row>
    <row r="151" spans="1:24" x14ac:dyDescent="0.3">
      <c r="A151" t="s">
        <v>1701</v>
      </c>
      <c r="C151" t="s">
        <v>1702</v>
      </c>
      <c r="D151" s="1">
        <v>46027</v>
      </c>
      <c r="E151" t="s">
        <v>1703</v>
      </c>
      <c r="F151">
        <v>9</v>
      </c>
      <c r="G151">
        <v>197</v>
      </c>
      <c r="H151" t="str">
        <f>VLOOKUP(G151,[1]OPERADORES!$A:$B,2,0)</f>
        <v xml:space="preserve">POLIANA LORRANE DE AMORIM </v>
      </c>
      <c r="I151" t="s">
        <v>21</v>
      </c>
      <c r="J151" t="s">
        <v>265</v>
      </c>
      <c r="K151" t="s">
        <v>1704</v>
      </c>
      <c r="L151">
        <v>84357</v>
      </c>
      <c r="M151" t="s">
        <v>580</v>
      </c>
      <c r="O151" t="s">
        <v>11</v>
      </c>
      <c r="P151">
        <v>5403</v>
      </c>
      <c r="Q151">
        <v>5</v>
      </c>
      <c r="R151">
        <v>21.7</v>
      </c>
      <c r="S151">
        <v>108.5</v>
      </c>
      <c r="T151">
        <v>82.35</v>
      </c>
      <c r="U151">
        <v>24.1</v>
      </c>
      <c r="V151" t="str">
        <f>VLOOKUP(L151,'[2]tabela de preços'!$A:$D,4,0)</f>
        <v>BRASILUX</v>
      </c>
      <c r="W151" t="str">
        <f>VLOOKUP(L151,'[2]tabela de preços'!$A:$F,6,0)</f>
        <v>ESMALTES</v>
      </c>
      <c r="X151" t="str">
        <f>VLOOKUP(L151,'[2]tabela de preços'!$A:$G,7,0)</f>
        <v>INDUSTRIAL</v>
      </c>
    </row>
    <row r="152" spans="1:24" x14ac:dyDescent="0.3">
      <c r="A152" t="s">
        <v>1701</v>
      </c>
      <c r="C152" t="s">
        <v>1702</v>
      </c>
      <c r="D152" s="1">
        <v>46027</v>
      </c>
      <c r="E152" t="s">
        <v>1703</v>
      </c>
      <c r="F152">
        <v>9</v>
      </c>
      <c r="G152">
        <v>197</v>
      </c>
      <c r="H152" t="str">
        <f>VLOOKUP(G152,[1]OPERADORES!$A:$B,2,0)</f>
        <v xml:space="preserve">POLIANA LORRANE DE AMORIM </v>
      </c>
      <c r="I152" t="s">
        <v>21</v>
      </c>
      <c r="J152" t="s">
        <v>265</v>
      </c>
      <c r="K152" t="s">
        <v>1704</v>
      </c>
      <c r="L152">
        <v>84146</v>
      </c>
      <c r="M152" t="s">
        <v>1707</v>
      </c>
      <c r="O152" t="s">
        <v>11</v>
      </c>
      <c r="P152">
        <v>5403</v>
      </c>
      <c r="Q152">
        <v>2</v>
      </c>
      <c r="R152">
        <v>21.56</v>
      </c>
      <c r="S152">
        <v>43.12</v>
      </c>
      <c r="T152">
        <v>32.74</v>
      </c>
      <c r="U152">
        <v>24.07</v>
      </c>
      <c r="V152" t="str">
        <f>VLOOKUP(L152,'[2]tabela de preços'!$A:$D,4,0)</f>
        <v>BRASILUX</v>
      </c>
      <c r="W152" t="str">
        <f>VLOOKUP(L152,'[2]tabela de preços'!$A:$F,6,0)</f>
        <v>ESMALTES</v>
      </c>
      <c r="X152" t="str">
        <f>VLOOKUP(L152,'[2]tabela de preços'!$A:$G,7,0)</f>
        <v>INDUSTRIAL</v>
      </c>
    </row>
    <row r="153" spans="1:24" x14ac:dyDescent="0.3">
      <c r="A153" t="s">
        <v>1701</v>
      </c>
      <c r="C153" t="s">
        <v>1702</v>
      </c>
      <c r="D153" s="1">
        <v>46027</v>
      </c>
      <c r="E153" t="s">
        <v>1703</v>
      </c>
      <c r="F153">
        <v>9</v>
      </c>
      <c r="G153">
        <v>197</v>
      </c>
      <c r="H153" t="str">
        <f>VLOOKUP(G153,[1]OPERADORES!$A:$B,2,0)</f>
        <v xml:space="preserve">POLIANA LORRANE DE AMORIM </v>
      </c>
      <c r="I153" t="s">
        <v>21</v>
      </c>
      <c r="J153" t="s">
        <v>265</v>
      </c>
      <c r="K153" t="s">
        <v>1704</v>
      </c>
      <c r="L153">
        <v>84121</v>
      </c>
      <c r="M153" t="s">
        <v>1708</v>
      </c>
      <c r="O153" t="s">
        <v>11</v>
      </c>
      <c r="P153">
        <v>5403</v>
      </c>
      <c r="Q153">
        <v>1</v>
      </c>
      <c r="R153">
        <v>17</v>
      </c>
      <c r="S153">
        <v>17</v>
      </c>
      <c r="T153">
        <v>12.9</v>
      </c>
      <c r="U153">
        <v>24.12</v>
      </c>
      <c r="V153" t="str">
        <f>VLOOKUP(L153,'[2]tabela de preços'!$A:$D,4,0)</f>
        <v>BRASILUX</v>
      </c>
      <c r="W153" t="str">
        <f>VLOOKUP(L153,'[2]tabela de preços'!$A:$F,6,0)</f>
        <v>ESMALTES</v>
      </c>
      <c r="X153" t="str">
        <f>VLOOKUP(L153,'[2]tabela de preços'!$A:$G,7,0)</f>
        <v>INDUSTRIAL</v>
      </c>
    </row>
    <row r="154" spans="1:24" x14ac:dyDescent="0.3">
      <c r="A154" t="s">
        <v>1701</v>
      </c>
      <c r="C154" t="s">
        <v>1702</v>
      </c>
      <c r="D154" s="1">
        <v>46027</v>
      </c>
      <c r="E154" t="s">
        <v>1703</v>
      </c>
      <c r="F154">
        <v>9</v>
      </c>
      <c r="G154">
        <v>197</v>
      </c>
      <c r="H154" t="str">
        <f>VLOOKUP(G154,[1]OPERADORES!$A:$B,2,0)</f>
        <v xml:space="preserve">POLIANA LORRANE DE AMORIM </v>
      </c>
      <c r="I154" t="s">
        <v>21</v>
      </c>
      <c r="J154" t="s">
        <v>265</v>
      </c>
      <c r="K154" t="s">
        <v>1704</v>
      </c>
      <c r="L154">
        <v>84342</v>
      </c>
      <c r="M154" t="s">
        <v>498</v>
      </c>
      <c r="O154" t="s">
        <v>11</v>
      </c>
      <c r="P154">
        <v>5403</v>
      </c>
      <c r="Q154">
        <v>2</v>
      </c>
      <c r="R154">
        <v>60.89</v>
      </c>
      <c r="S154">
        <v>121.78</v>
      </c>
      <c r="T154">
        <v>91.56</v>
      </c>
      <c r="U154">
        <v>24.82</v>
      </c>
      <c r="V154" t="str">
        <f>VLOOKUP(L154,'[2]tabela de preços'!$A:$D,4,0)</f>
        <v>BRASILUX</v>
      </c>
      <c r="W154" t="str">
        <f>VLOOKUP(L154,'[2]tabela de preços'!$A:$F,6,0)</f>
        <v>ESMALTES</v>
      </c>
      <c r="X154" t="str">
        <f>VLOOKUP(L154,'[2]tabela de preços'!$A:$G,7,0)</f>
        <v>INDUSTRIAL</v>
      </c>
    </row>
    <row r="155" spans="1:24" x14ac:dyDescent="0.3">
      <c r="A155" t="s">
        <v>1701</v>
      </c>
      <c r="C155" t="s">
        <v>1702</v>
      </c>
      <c r="D155" s="1">
        <v>46027</v>
      </c>
      <c r="E155" t="s">
        <v>1703</v>
      </c>
      <c r="F155">
        <v>9</v>
      </c>
      <c r="G155">
        <v>197</v>
      </c>
      <c r="H155" t="str">
        <f>VLOOKUP(G155,[1]OPERADORES!$A:$B,2,0)</f>
        <v xml:space="preserve">POLIANA LORRANE DE AMORIM </v>
      </c>
      <c r="I155" t="s">
        <v>21</v>
      </c>
      <c r="J155" t="s">
        <v>265</v>
      </c>
      <c r="K155" t="s">
        <v>1704</v>
      </c>
      <c r="L155">
        <v>84123</v>
      </c>
      <c r="M155" t="s">
        <v>296</v>
      </c>
      <c r="O155" t="s">
        <v>11</v>
      </c>
      <c r="P155">
        <v>5403</v>
      </c>
      <c r="Q155">
        <v>2</v>
      </c>
      <c r="R155">
        <v>19.100000000000001</v>
      </c>
      <c r="S155">
        <v>38.200000000000003</v>
      </c>
      <c r="T155">
        <v>29</v>
      </c>
      <c r="U155">
        <v>24.08</v>
      </c>
      <c r="V155" t="str">
        <f>VLOOKUP(L155,'[2]tabela de preços'!$A:$D,4,0)</f>
        <v>BRASILUX</v>
      </c>
      <c r="W155" t="str">
        <f>VLOOKUP(L155,'[2]tabela de preços'!$A:$F,6,0)</f>
        <v>ESMALTES</v>
      </c>
      <c r="X155" t="str">
        <f>VLOOKUP(L155,'[2]tabela de preços'!$A:$G,7,0)</f>
        <v>INDUSTRIAL</v>
      </c>
    </row>
    <row r="156" spans="1:24" x14ac:dyDescent="0.3">
      <c r="A156" t="s">
        <v>1701</v>
      </c>
      <c r="C156" t="s">
        <v>1702</v>
      </c>
      <c r="D156" s="1">
        <v>46027</v>
      </c>
      <c r="E156" t="s">
        <v>1703</v>
      </c>
      <c r="F156">
        <v>9</v>
      </c>
      <c r="G156">
        <v>197</v>
      </c>
      <c r="H156" t="str">
        <f>VLOOKUP(G156,[1]OPERADORES!$A:$B,2,0)</f>
        <v xml:space="preserve">POLIANA LORRANE DE AMORIM </v>
      </c>
      <c r="I156" t="s">
        <v>21</v>
      </c>
      <c r="J156" t="s">
        <v>265</v>
      </c>
      <c r="K156" t="s">
        <v>1704</v>
      </c>
      <c r="L156">
        <v>84127</v>
      </c>
      <c r="M156" t="s">
        <v>1709</v>
      </c>
      <c r="O156" t="s">
        <v>11</v>
      </c>
      <c r="P156">
        <v>5403</v>
      </c>
      <c r="Q156">
        <v>1</v>
      </c>
      <c r="R156">
        <v>17.690000000000001</v>
      </c>
      <c r="S156">
        <v>17.690000000000001</v>
      </c>
      <c r="T156">
        <v>13.43</v>
      </c>
      <c r="U156">
        <v>24.08</v>
      </c>
      <c r="V156" t="str">
        <f>VLOOKUP(L156,'[2]tabela de preços'!$A:$D,4,0)</f>
        <v>BRASILUX</v>
      </c>
      <c r="W156" t="str">
        <f>VLOOKUP(L156,'[2]tabela de preços'!$A:$F,6,0)</f>
        <v>ESMALTES</v>
      </c>
      <c r="X156" t="str">
        <f>VLOOKUP(L156,'[2]tabela de preços'!$A:$G,7,0)</f>
        <v>INDUSTRIAL</v>
      </c>
    </row>
    <row r="157" spans="1:24" x14ac:dyDescent="0.3">
      <c r="A157" t="s">
        <v>1701</v>
      </c>
      <c r="C157" t="s">
        <v>1702</v>
      </c>
      <c r="D157" s="1">
        <v>46027</v>
      </c>
      <c r="E157" t="s">
        <v>1703</v>
      </c>
      <c r="F157">
        <v>9</v>
      </c>
      <c r="G157">
        <v>197</v>
      </c>
      <c r="H157" t="str">
        <f>VLOOKUP(G157,[1]OPERADORES!$A:$B,2,0)</f>
        <v xml:space="preserve">POLIANA LORRANE DE AMORIM </v>
      </c>
      <c r="I157" t="s">
        <v>21</v>
      </c>
      <c r="J157" t="s">
        <v>265</v>
      </c>
      <c r="K157" t="s">
        <v>1704</v>
      </c>
      <c r="L157">
        <v>84347</v>
      </c>
      <c r="M157" t="s">
        <v>1150</v>
      </c>
      <c r="O157" t="s">
        <v>11</v>
      </c>
      <c r="P157">
        <v>5403</v>
      </c>
      <c r="Q157">
        <v>1</v>
      </c>
      <c r="R157">
        <v>60.89</v>
      </c>
      <c r="S157">
        <v>60.89</v>
      </c>
      <c r="T157">
        <v>52</v>
      </c>
      <c r="U157">
        <v>14.6</v>
      </c>
      <c r="V157" t="str">
        <f>VLOOKUP(L157,'[2]tabela de preços'!$A:$D,4,0)</f>
        <v>BRASILUX</v>
      </c>
      <c r="W157" t="str">
        <f>VLOOKUP(L157,'[2]tabela de preços'!$A:$F,6,0)</f>
        <v>ESMALTES</v>
      </c>
      <c r="X157" t="str">
        <f>VLOOKUP(L157,'[2]tabela de preços'!$A:$G,7,0)</f>
        <v>INDUSTRIAL</v>
      </c>
    </row>
    <row r="158" spans="1:24" x14ac:dyDescent="0.3">
      <c r="A158" t="s">
        <v>1701</v>
      </c>
      <c r="C158" t="s">
        <v>1702</v>
      </c>
      <c r="D158" s="1">
        <v>46027</v>
      </c>
      <c r="E158" t="s">
        <v>1703</v>
      </c>
      <c r="F158">
        <v>9</v>
      </c>
      <c r="G158">
        <v>197</v>
      </c>
      <c r="H158" t="str">
        <f>VLOOKUP(G158,[1]OPERADORES!$A:$B,2,0)</f>
        <v xml:space="preserve">POLIANA LORRANE DE AMORIM </v>
      </c>
      <c r="I158" t="s">
        <v>21</v>
      </c>
      <c r="J158" t="s">
        <v>265</v>
      </c>
      <c r="K158" t="s">
        <v>1704</v>
      </c>
      <c r="L158">
        <v>84128</v>
      </c>
      <c r="M158" t="s">
        <v>1710</v>
      </c>
      <c r="O158" t="s">
        <v>11</v>
      </c>
      <c r="P158">
        <v>5403</v>
      </c>
      <c r="Q158">
        <v>2</v>
      </c>
      <c r="R158">
        <v>20.87</v>
      </c>
      <c r="S158">
        <v>41.74</v>
      </c>
      <c r="T158">
        <v>31.68</v>
      </c>
      <c r="U158">
        <v>24.1</v>
      </c>
      <c r="V158" t="str">
        <f>VLOOKUP(L158,'[2]tabela de preços'!$A:$D,4,0)</f>
        <v>BRASILUX</v>
      </c>
      <c r="W158" t="str">
        <f>VLOOKUP(L158,'[2]tabela de preços'!$A:$F,6,0)</f>
        <v>ESMALTES</v>
      </c>
      <c r="X158" t="str">
        <f>VLOOKUP(L158,'[2]tabela de preços'!$A:$G,7,0)</f>
        <v>INDUSTRIAL</v>
      </c>
    </row>
    <row r="159" spans="1:24" x14ac:dyDescent="0.3">
      <c r="A159" t="s">
        <v>1701</v>
      </c>
      <c r="C159" t="s">
        <v>1702</v>
      </c>
      <c r="D159" s="1">
        <v>46027</v>
      </c>
      <c r="E159" t="s">
        <v>1703</v>
      </c>
      <c r="F159">
        <v>9</v>
      </c>
      <c r="G159">
        <v>197</v>
      </c>
      <c r="H159" t="str">
        <f>VLOOKUP(G159,[1]OPERADORES!$A:$B,2,0)</f>
        <v xml:space="preserve">POLIANA LORRANE DE AMORIM </v>
      </c>
      <c r="I159" t="s">
        <v>21</v>
      </c>
      <c r="J159" t="s">
        <v>265</v>
      </c>
      <c r="K159" t="s">
        <v>1704</v>
      </c>
      <c r="L159">
        <v>84348</v>
      </c>
      <c r="M159" t="s">
        <v>1711</v>
      </c>
      <c r="O159" t="s">
        <v>11</v>
      </c>
      <c r="P159">
        <v>5403</v>
      </c>
      <c r="Q159">
        <v>2</v>
      </c>
      <c r="R159">
        <v>60.89</v>
      </c>
      <c r="S159">
        <v>121.78</v>
      </c>
      <c r="T159">
        <v>95.32</v>
      </c>
      <c r="U159">
        <v>21.73</v>
      </c>
      <c r="V159" t="str">
        <f>VLOOKUP(L159,'[2]tabela de preços'!$A:$D,4,0)</f>
        <v>BRASILUX</v>
      </c>
      <c r="W159" t="str">
        <f>VLOOKUP(L159,'[2]tabela de preços'!$A:$F,6,0)</f>
        <v>ESMALTES</v>
      </c>
      <c r="X159" t="str">
        <f>VLOOKUP(L159,'[2]tabela de preços'!$A:$G,7,0)</f>
        <v>INDUSTRIAL</v>
      </c>
    </row>
    <row r="160" spans="1:24" x14ac:dyDescent="0.3">
      <c r="A160" t="s">
        <v>1701</v>
      </c>
      <c r="C160" t="s">
        <v>1702</v>
      </c>
      <c r="D160" s="1">
        <v>46027</v>
      </c>
      <c r="E160" t="s">
        <v>1703</v>
      </c>
      <c r="F160">
        <v>9</v>
      </c>
      <c r="G160">
        <v>197</v>
      </c>
      <c r="H160" t="str">
        <f>VLOOKUP(G160,[1]OPERADORES!$A:$B,2,0)</f>
        <v xml:space="preserve">POLIANA LORRANE DE AMORIM </v>
      </c>
      <c r="I160" t="s">
        <v>21</v>
      </c>
      <c r="J160" t="s">
        <v>265</v>
      </c>
      <c r="K160" t="s">
        <v>1704</v>
      </c>
      <c r="L160">
        <v>84129</v>
      </c>
      <c r="M160" t="s">
        <v>1712</v>
      </c>
      <c r="O160" t="s">
        <v>11</v>
      </c>
      <c r="P160">
        <v>5403</v>
      </c>
      <c r="Q160">
        <v>2</v>
      </c>
      <c r="R160">
        <v>18.97</v>
      </c>
      <c r="S160">
        <v>37.94</v>
      </c>
      <c r="T160">
        <v>28.8</v>
      </c>
      <c r="U160">
        <v>24.09</v>
      </c>
      <c r="V160" t="str">
        <f>VLOOKUP(L160,'[2]tabela de preços'!$A:$D,4,0)</f>
        <v>BRASILUX</v>
      </c>
      <c r="W160" t="str">
        <f>VLOOKUP(L160,'[2]tabela de preços'!$A:$F,6,0)</f>
        <v>ESMALTES</v>
      </c>
      <c r="X160" t="str">
        <f>VLOOKUP(L160,'[2]tabela de preços'!$A:$G,7,0)</f>
        <v>INDUSTRIAL</v>
      </c>
    </row>
    <row r="161" spans="1:24" x14ac:dyDescent="0.3">
      <c r="A161" t="s">
        <v>1701</v>
      </c>
      <c r="C161" t="s">
        <v>1702</v>
      </c>
      <c r="D161" s="1">
        <v>46027</v>
      </c>
      <c r="E161" t="s">
        <v>1703</v>
      </c>
      <c r="F161">
        <v>9</v>
      </c>
      <c r="G161">
        <v>197</v>
      </c>
      <c r="H161" t="str">
        <f>VLOOKUP(G161,[1]OPERADORES!$A:$B,2,0)</f>
        <v xml:space="preserve">POLIANA LORRANE DE AMORIM </v>
      </c>
      <c r="I161" t="s">
        <v>21</v>
      </c>
      <c r="J161" t="s">
        <v>265</v>
      </c>
      <c r="K161" t="s">
        <v>1704</v>
      </c>
      <c r="L161">
        <v>84960</v>
      </c>
      <c r="M161" t="s">
        <v>1004</v>
      </c>
      <c r="O161" t="s">
        <v>11</v>
      </c>
      <c r="P161">
        <v>5403</v>
      </c>
      <c r="Q161">
        <v>2</v>
      </c>
      <c r="R161">
        <v>78.31</v>
      </c>
      <c r="S161">
        <v>156.62</v>
      </c>
      <c r="T161">
        <v>118.88</v>
      </c>
      <c r="U161">
        <v>24.1</v>
      </c>
      <c r="V161" t="str">
        <f>VLOOKUP(L161,'[2]tabela de preços'!$A:$D,4,0)</f>
        <v>BRASILUX</v>
      </c>
      <c r="W161" t="str">
        <f>VLOOKUP(L161,'[2]tabela de preços'!$A:$F,6,0)</f>
        <v>IMPERMEABILIZANTES</v>
      </c>
      <c r="X161" t="str">
        <f>VLOOKUP(L161,'[2]tabela de preços'!$A:$G,7,0)</f>
        <v>IMOBILIÁRIO</v>
      </c>
    </row>
    <row r="162" spans="1:24" x14ac:dyDescent="0.3">
      <c r="A162" t="s">
        <v>1701</v>
      </c>
      <c r="C162" t="s">
        <v>1702</v>
      </c>
      <c r="D162" s="1">
        <v>46027</v>
      </c>
      <c r="E162" t="s">
        <v>1703</v>
      </c>
      <c r="F162">
        <v>9</v>
      </c>
      <c r="G162">
        <v>197</v>
      </c>
      <c r="H162" t="str">
        <f>VLOOKUP(G162,[1]OPERADORES!$A:$B,2,0)</f>
        <v xml:space="preserve">POLIANA LORRANE DE AMORIM </v>
      </c>
      <c r="I162" t="s">
        <v>21</v>
      </c>
      <c r="J162" t="s">
        <v>265</v>
      </c>
      <c r="K162" t="s">
        <v>1704</v>
      </c>
      <c r="L162">
        <v>10297</v>
      </c>
      <c r="M162" t="s">
        <v>41</v>
      </c>
      <c r="O162" t="s">
        <v>11</v>
      </c>
      <c r="P162">
        <v>5102</v>
      </c>
      <c r="Q162">
        <v>36</v>
      </c>
      <c r="R162">
        <v>10.49</v>
      </c>
      <c r="S162">
        <v>377.64</v>
      </c>
      <c r="T162">
        <v>330.12</v>
      </c>
      <c r="U162">
        <v>12.58</v>
      </c>
      <c r="V162" t="str">
        <f>VLOOKUP(L162,'[2]tabela de preços'!$A:$D,4,0)</f>
        <v>ANJO</v>
      </c>
      <c r="W162" t="str">
        <f>VLOOKUP(L162,'[2]tabela de preços'!$A:$F,6,0)</f>
        <v>THINNER DE LIMPEZA</v>
      </c>
      <c r="X162" t="str">
        <f>VLOOKUP(L162,'[2]tabela de preços'!$A:$G,7,0)</f>
        <v>THINNER</v>
      </c>
    </row>
    <row r="163" spans="1:24" x14ac:dyDescent="0.3">
      <c r="A163" t="s">
        <v>1824</v>
      </c>
      <c r="B163" t="s">
        <v>1825</v>
      </c>
      <c r="C163" t="s">
        <v>1826</v>
      </c>
      <c r="D163" s="1">
        <v>46027</v>
      </c>
      <c r="E163" t="s">
        <v>1827</v>
      </c>
      <c r="F163">
        <v>9</v>
      </c>
      <c r="G163">
        <v>197</v>
      </c>
      <c r="H163" t="str">
        <f>VLOOKUP(G163,[1]OPERADORES!$A:$B,2,0)</f>
        <v xml:space="preserve">POLIANA LORRANE DE AMORIM </v>
      </c>
      <c r="I163" t="s">
        <v>21</v>
      </c>
      <c r="J163" t="s">
        <v>1788</v>
      </c>
      <c r="K163" t="s">
        <v>1828</v>
      </c>
      <c r="L163">
        <v>24240</v>
      </c>
      <c r="M163" t="s">
        <v>240</v>
      </c>
      <c r="O163" t="s">
        <v>11</v>
      </c>
      <c r="P163">
        <v>5102</v>
      </c>
      <c r="Q163">
        <v>15</v>
      </c>
      <c r="R163">
        <v>3.87</v>
      </c>
      <c r="S163">
        <v>58.05</v>
      </c>
      <c r="T163">
        <v>49.2</v>
      </c>
      <c r="U163">
        <v>15.25</v>
      </c>
      <c r="V163" t="str">
        <f>VLOOKUP(L163,'[2]tabela de preços'!$A:$D,4,0)</f>
        <v>ADERE</v>
      </c>
      <c r="W163" t="str">
        <f>VLOOKUP(L163,'[2]tabela de preços'!$A:$F,6,0)</f>
        <v>FITA AUTOMOTIVA</v>
      </c>
      <c r="X163" t="str">
        <f>VLOOKUP(L163,'[2]tabela de preços'!$A:$G,7,0)</f>
        <v>AUTOMOTIVO</v>
      </c>
    </row>
    <row r="164" spans="1:24" x14ac:dyDescent="0.3">
      <c r="A164" t="s">
        <v>1824</v>
      </c>
      <c r="B164" t="s">
        <v>1825</v>
      </c>
      <c r="C164" t="s">
        <v>1826</v>
      </c>
      <c r="D164" s="1">
        <v>46027</v>
      </c>
      <c r="E164" t="s">
        <v>1827</v>
      </c>
      <c r="F164">
        <v>9</v>
      </c>
      <c r="G164">
        <v>197</v>
      </c>
      <c r="H164" t="str">
        <f>VLOOKUP(G164,[1]OPERADORES!$A:$B,2,0)</f>
        <v xml:space="preserve">POLIANA LORRANE DE AMORIM </v>
      </c>
      <c r="I164" t="s">
        <v>21</v>
      </c>
      <c r="J164" t="s">
        <v>1788</v>
      </c>
      <c r="K164" t="s">
        <v>1828</v>
      </c>
      <c r="L164">
        <v>23690</v>
      </c>
      <c r="M164" t="s">
        <v>98</v>
      </c>
      <c r="O164" t="s">
        <v>11</v>
      </c>
      <c r="P164">
        <v>5403</v>
      </c>
      <c r="Q164">
        <v>6</v>
      </c>
      <c r="R164">
        <v>39.89</v>
      </c>
      <c r="S164">
        <v>239.34</v>
      </c>
      <c r="T164">
        <v>189.66</v>
      </c>
      <c r="U164">
        <v>20.76</v>
      </c>
      <c r="V164" t="str">
        <f>VLOOKUP(L164,'[2]tabela de preços'!$A:$D,4,0)</f>
        <v>WANDA</v>
      </c>
      <c r="W164" t="str">
        <f>VLOOKUP(L164,'[2]tabela de preços'!$A:$F,6,0)</f>
        <v>VERNIZ AUTOMOTIVO</v>
      </c>
      <c r="X164" t="str">
        <f>VLOOKUP(L164,'[2]tabela de preços'!$A:$G,7,0)</f>
        <v>AUTOMOTIVO</v>
      </c>
    </row>
    <row r="165" spans="1:24" x14ac:dyDescent="0.3">
      <c r="A165" t="s">
        <v>1824</v>
      </c>
      <c r="B165" t="s">
        <v>1825</v>
      </c>
      <c r="C165" t="s">
        <v>1826</v>
      </c>
      <c r="D165" s="1">
        <v>46027</v>
      </c>
      <c r="E165" t="s">
        <v>1827</v>
      </c>
      <c r="F165">
        <v>9</v>
      </c>
      <c r="G165">
        <v>197</v>
      </c>
      <c r="H165" t="str">
        <f>VLOOKUP(G165,[1]OPERADORES!$A:$B,2,0)</f>
        <v xml:space="preserve">POLIANA LORRANE DE AMORIM </v>
      </c>
      <c r="I165" t="s">
        <v>21</v>
      </c>
      <c r="J165" t="s">
        <v>1788</v>
      </c>
      <c r="K165" t="s">
        <v>1828</v>
      </c>
      <c r="L165">
        <v>87043</v>
      </c>
      <c r="M165" t="s">
        <v>217</v>
      </c>
      <c r="O165" t="s">
        <v>11</v>
      </c>
      <c r="P165">
        <v>5102</v>
      </c>
      <c r="Q165">
        <v>8</v>
      </c>
      <c r="R165">
        <v>22.89</v>
      </c>
      <c r="S165">
        <v>183.12</v>
      </c>
      <c r="T165">
        <v>144.16</v>
      </c>
      <c r="U165">
        <v>21.28</v>
      </c>
      <c r="V165" t="str">
        <f>VLOOKUP(L165,'[2]tabela de preços'!$A:$D,4,0)</f>
        <v>ROBERLO</v>
      </c>
      <c r="W165" t="str">
        <f>VLOOKUP(L165,'[2]tabela de preços'!$A:$F,6,0)</f>
        <v>MASSA POLIÉSTER</v>
      </c>
      <c r="X165" t="str">
        <f>VLOOKUP(L165,'[2]tabela de preços'!$A:$G,7,0)</f>
        <v>AUTOMOTIVO</v>
      </c>
    </row>
    <row r="166" spans="1:24" x14ac:dyDescent="0.3">
      <c r="A166" t="s">
        <v>1824</v>
      </c>
      <c r="B166" t="s">
        <v>1825</v>
      </c>
      <c r="C166" t="s">
        <v>1826</v>
      </c>
      <c r="D166" s="1">
        <v>46027</v>
      </c>
      <c r="E166" t="s">
        <v>1827</v>
      </c>
      <c r="F166">
        <v>9</v>
      </c>
      <c r="G166">
        <v>197</v>
      </c>
      <c r="H166" t="str">
        <f>VLOOKUP(G166,[1]OPERADORES!$A:$B,2,0)</f>
        <v xml:space="preserve">POLIANA LORRANE DE AMORIM </v>
      </c>
      <c r="I166" t="s">
        <v>21</v>
      </c>
      <c r="J166" t="s">
        <v>1788</v>
      </c>
      <c r="K166" t="s">
        <v>1828</v>
      </c>
      <c r="L166">
        <v>21316</v>
      </c>
      <c r="M166" t="s">
        <v>1829</v>
      </c>
      <c r="O166" t="s">
        <v>11</v>
      </c>
      <c r="P166">
        <v>5102</v>
      </c>
      <c r="Q166">
        <v>1</v>
      </c>
      <c r="R166">
        <v>124.15</v>
      </c>
      <c r="S166">
        <v>124.15</v>
      </c>
      <c r="T166">
        <v>94.23</v>
      </c>
      <c r="U166">
        <v>24.1</v>
      </c>
      <c r="V166" t="str">
        <f>VLOOKUP(L166,'[2]tabela de preços'!$A:$D,4,0)</f>
        <v>SHERWIN WILLIAMS</v>
      </c>
      <c r="W166" t="str">
        <f>VLOOKUP(L166,'[2]tabela de preços'!$A:$F,6,0)</f>
        <v>DILUENTE</v>
      </c>
      <c r="X166" t="str">
        <f>VLOOKUP(L166,'[2]tabela de preços'!$A:$G,7,0)</f>
        <v>AUTOMOTIVO</v>
      </c>
    </row>
    <row r="167" spans="1:24" x14ac:dyDescent="0.3">
      <c r="A167" t="s">
        <v>1875</v>
      </c>
      <c r="C167" t="s">
        <v>1876</v>
      </c>
      <c r="D167" s="1">
        <v>46027</v>
      </c>
      <c r="E167" t="s">
        <v>1877</v>
      </c>
      <c r="F167">
        <v>9</v>
      </c>
      <c r="G167">
        <v>231</v>
      </c>
      <c r="H167" t="str">
        <f>VLOOKUP(G167,[1]OPERADORES!$A:$B,2,0)</f>
        <v>EDIJANE</v>
      </c>
      <c r="I167" t="s">
        <v>21</v>
      </c>
      <c r="J167" t="s">
        <v>1878</v>
      </c>
      <c r="K167" t="s">
        <v>1879</v>
      </c>
      <c r="L167">
        <v>85639</v>
      </c>
      <c r="M167" t="s">
        <v>474</v>
      </c>
      <c r="O167" t="s">
        <v>11</v>
      </c>
      <c r="P167">
        <v>5403</v>
      </c>
      <c r="Q167">
        <v>24</v>
      </c>
      <c r="R167">
        <v>8.19</v>
      </c>
      <c r="S167">
        <v>196.56</v>
      </c>
      <c r="T167">
        <v>166.08</v>
      </c>
      <c r="U167">
        <v>15.51</v>
      </c>
      <c r="V167" t="str">
        <f>VLOOKUP(L167,'[2]tabela de preços'!$A:$D,4,0)</f>
        <v>UNIPEGA</v>
      </c>
      <c r="W167" t="str">
        <f>VLOOKUP(L167,'[2]tabela de preços'!$A:$F,6,0)</f>
        <v xml:space="preserve">SPRAYS </v>
      </c>
      <c r="X167" t="str">
        <f>VLOOKUP(L167,'[2]tabela de preços'!$A:$G,7,0)</f>
        <v>AUTOMOTIVO</v>
      </c>
    </row>
    <row r="168" spans="1:24" x14ac:dyDescent="0.3">
      <c r="A168" t="s">
        <v>1875</v>
      </c>
      <c r="C168" t="s">
        <v>1876</v>
      </c>
      <c r="D168" s="1">
        <v>46027</v>
      </c>
      <c r="E168" t="s">
        <v>1877</v>
      </c>
      <c r="F168">
        <v>9</v>
      </c>
      <c r="G168">
        <v>231</v>
      </c>
      <c r="H168" t="str">
        <f>VLOOKUP(G168,[1]OPERADORES!$A:$B,2,0)</f>
        <v>EDIJANE</v>
      </c>
      <c r="I168" t="s">
        <v>21</v>
      </c>
      <c r="J168" t="s">
        <v>1878</v>
      </c>
      <c r="K168" t="s">
        <v>1879</v>
      </c>
      <c r="L168">
        <v>85643</v>
      </c>
      <c r="M168" t="s">
        <v>476</v>
      </c>
      <c r="O168" t="s">
        <v>11</v>
      </c>
      <c r="P168">
        <v>5403</v>
      </c>
      <c r="Q168">
        <v>30</v>
      </c>
      <c r="R168">
        <v>8.19</v>
      </c>
      <c r="S168">
        <v>245.7</v>
      </c>
      <c r="T168">
        <v>201.3</v>
      </c>
      <c r="U168">
        <v>18.07</v>
      </c>
      <c r="V168" t="str">
        <f>VLOOKUP(L168,'[2]tabela de preços'!$A:$D,4,0)</f>
        <v>UNIPEGA</v>
      </c>
      <c r="W168" t="str">
        <f>VLOOKUP(L168,'[2]tabela de preços'!$A:$F,6,0)</f>
        <v xml:space="preserve">SPRAYS </v>
      </c>
      <c r="X168" t="str">
        <f>VLOOKUP(L168,'[2]tabela de preços'!$A:$G,7,0)</f>
        <v>AUTOMOTIVO</v>
      </c>
    </row>
    <row r="169" spans="1:24" x14ac:dyDescent="0.3">
      <c r="A169" t="s">
        <v>1875</v>
      </c>
      <c r="C169" t="s">
        <v>1876</v>
      </c>
      <c r="D169" s="1">
        <v>46027</v>
      </c>
      <c r="E169" t="s">
        <v>1877</v>
      </c>
      <c r="F169">
        <v>9</v>
      </c>
      <c r="G169">
        <v>231</v>
      </c>
      <c r="H169" t="str">
        <f>VLOOKUP(G169,[1]OPERADORES!$A:$B,2,0)</f>
        <v>EDIJANE</v>
      </c>
      <c r="I169" t="s">
        <v>21</v>
      </c>
      <c r="J169" t="s">
        <v>1878</v>
      </c>
      <c r="K169" t="s">
        <v>1879</v>
      </c>
      <c r="L169">
        <v>85644</v>
      </c>
      <c r="M169" t="s">
        <v>689</v>
      </c>
      <c r="O169" t="s">
        <v>11</v>
      </c>
      <c r="P169">
        <v>5403</v>
      </c>
      <c r="Q169">
        <v>12</v>
      </c>
      <c r="R169">
        <v>8.19</v>
      </c>
      <c r="S169">
        <v>98.28</v>
      </c>
      <c r="T169">
        <v>80.52</v>
      </c>
      <c r="U169">
        <v>18.07</v>
      </c>
      <c r="V169" t="str">
        <f>VLOOKUP(L169,'[2]tabela de preços'!$A:$D,4,0)</f>
        <v>UNIPEGA</v>
      </c>
      <c r="W169" t="str">
        <f>VLOOKUP(L169,'[2]tabela de preços'!$A:$F,6,0)</f>
        <v xml:space="preserve">SPRAYS </v>
      </c>
      <c r="X169" t="str">
        <f>VLOOKUP(L169,'[2]tabela de preços'!$A:$G,7,0)</f>
        <v>AUTOMOTIVO</v>
      </c>
    </row>
    <row r="170" spans="1:24" x14ac:dyDescent="0.3">
      <c r="A170" t="s">
        <v>1875</v>
      </c>
      <c r="C170" t="s">
        <v>1876</v>
      </c>
      <c r="D170" s="1">
        <v>46027</v>
      </c>
      <c r="E170" t="s">
        <v>1877</v>
      </c>
      <c r="F170">
        <v>9</v>
      </c>
      <c r="G170">
        <v>231</v>
      </c>
      <c r="H170" t="str">
        <f>VLOOKUP(G170,[1]OPERADORES!$A:$B,2,0)</f>
        <v>EDIJANE</v>
      </c>
      <c r="I170" t="s">
        <v>21</v>
      </c>
      <c r="J170" t="s">
        <v>1878</v>
      </c>
      <c r="K170" t="s">
        <v>1879</v>
      </c>
      <c r="L170">
        <v>85648</v>
      </c>
      <c r="M170" t="s">
        <v>726</v>
      </c>
      <c r="O170" t="s">
        <v>11</v>
      </c>
      <c r="P170">
        <v>5403</v>
      </c>
      <c r="Q170">
        <v>6</v>
      </c>
      <c r="R170">
        <v>8.19</v>
      </c>
      <c r="S170">
        <v>49.14</v>
      </c>
      <c r="T170">
        <v>41.52</v>
      </c>
      <c r="U170">
        <v>15.51</v>
      </c>
      <c r="V170" t="str">
        <f>VLOOKUP(L170,'[2]tabela de preços'!$A:$D,4,0)</f>
        <v>UNIPEGA</v>
      </c>
      <c r="W170" t="str">
        <f>VLOOKUP(L170,'[2]tabela de preços'!$A:$F,6,0)</f>
        <v xml:space="preserve">SPRAYS </v>
      </c>
      <c r="X170" t="str">
        <f>VLOOKUP(L170,'[2]tabela de preços'!$A:$G,7,0)</f>
        <v>AUTOMOTIVO</v>
      </c>
    </row>
    <row r="171" spans="1:24" x14ac:dyDescent="0.3">
      <c r="A171" t="s">
        <v>1875</v>
      </c>
      <c r="C171" t="s">
        <v>1876</v>
      </c>
      <c r="D171" s="1">
        <v>46027</v>
      </c>
      <c r="E171" t="s">
        <v>1877</v>
      </c>
      <c r="F171">
        <v>9</v>
      </c>
      <c r="G171">
        <v>231</v>
      </c>
      <c r="H171" t="str">
        <f>VLOOKUP(G171,[1]OPERADORES!$A:$B,2,0)</f>
        <v>EDIJANE</v>
      </c>
      <c r="I171" t="s">
        <v>21</v>
      </c>
      <c r="J171" t="s">
        <v>1878</v>
      </c>
      <c r="K171" t="s">
        <v>1879</v>
      </c>
      <c r="L171">
        <v>85649</v>
      </c>
      <c r="M171" t="s">
        <v>478</v>
      </c>
      <c r="O171" t="s">
        <v>11</v>
      </c>
      <c r="P171">
        <v>5403</v>
      </c>
      <c r="Q171">
        <v>36</v>
      </c>
      <c r="R171">
        <v>8.19</v>
      </c>
      <c r="S171">
        <v>294.83999999999997</v>
      </c>
      <c r="T171">
        <v>249.12</v>
      </c>
      <c r="U171">
        <v>15.51</v>
      </c>
      <c r="V171" t="str">
        <f>VLOOKUP(L171,'[2]tabela de preços'!$A:$D,4,0)</f>
        <v>UNIPEGA</v>
      </c>
      <c r="W171" t="str">
        <f>VLOOKUP(L171,'[2]tabela de preços'!$A:$F,6,0)</f>
        <v xml:space="preserve">SPRAYS </v>
      </c>
      <c r="X171" t="str">
        <f>VLOOKUP(L171,'[2]tabela de preços'!$A:$G,7,0)</f>
        <v>AUTOMOTIVO</v>
      </c>
    </row>
    <row r="172" spans="1:24" x14ac:dyDescent="0.3">
      <c r="A172" t="s">
        <v>1926</v>
      </c>
      <c r="C172" t="s">
        <v>1927</v>
      </c>
      <c r="D172" s="1">
        <v>46027</v>
      </c>
      <c r="E172" t="s">
        <v>1928</v>
      </c>
      <c r="F172">
        <v>9</v>
      </c>
      <c r="G172">
        <v>174</v>
      </c>
      <c r="H172" t="str">
        <f>VLOOKUP(G172,[1]OPERADORES!$A:$B,2,0)</f>
        <v>MIRIÃ LOBATO RODRIGUES</v>
      </c>
      <c r="I172" t="s">
        <v>21</v>
      </c>
      <c r="J172" t="s">
        <v>363</v>
      </c>
      <c r="K172" t="s">
        <v>1929</v>
      </c>
      <c r="L172">
        <v>84557</v>
      </c>
      <c r="M172" t="s">
        <v>116</v>
      </c>
      <c r="O172" t="s">
        <v>11</v>
      </c>
      <c r="P172">
        <v>5102</v>
      </c>
      <c r="Q172">
        <v>12</v>
      </c>
      <c r="R172">
        <v>18.39</v>
      </c>
      <c r="S172">
        <v>220.68</v>
      </c>
      <c r="T172">
        <v>167.52</v>
      </c>
      <c r="U172">
        <v>24.09</v>
      </c>
      <c r="V172" t="str">
        <f>VLOOKUP(L172,'[2]tabela de preços'!$A:$D,4,0)</f>
        <v>BRASILUX</v>
      </c>
      <c r="W172" t="str">
        <f>VLOOKUP(L172,'[2]tabela de preços'!$A:$F,6,0)</f>
        <v>DILUENTE</v>
      </c>
      <c r="X172" t="str">
        <f>VLOOKUP(L172,'[2]tabela de preços'!$A:$G,7,0)</f>
        <v>AUTOMOTIVO</v>
      </c>
    </row>
    <row r="173" spans="1:24" x14ac:dyDescent="0.3">
      <c r="A173" t="s">
        <v>1926</v>
      </c>
      <c r="C173" t="s">
        <v>1927</v>
      </c>
      <c r="D173" s="1">
        <v>46027</v>
      </c>
      <c r="E173" t="s">
        <v>1928</v>
      </c>
      <c r="F173">
        <v>9</v>
      </c>
      <c r="G173">
        <v>174</v>
      </c>
      <c r="H173" t="str">
        <f>VLOOKUP(G173,[1]OPERADORES!$A:$B,2,0)</f>
        <v>MIRIÃ LOBATO RODRIGUES</v>
      </c>
      <c r="I173" t="s">
        <v>21</v>
      </c>
      <c r="J173" t="s">
        <v>363</v>
      </c>
      <c r="K173" t="s">
        <v>1929</v>
      </c>
      <c r="L173">
        <v>10236</v>
      </c>
      <c r="M173" t="s">
        <v>133</v>
      </c>
      <c r="O173" t="s">
        <v>11</v>
      </c>
      <c r="P173">
        <v>5102</v>
      </c>
      <c r="Q173">
        <v>102</v>
      </c>
      <c r="R173">
        <v>2.79</v>
      </c>
      <c r="S173">
        <v>284.58</v>
      </c>
      <c r="T173">
        <v>241.74</v>
      </c>
      <c r="U173">
        <v>15.05</v>
      </c>
      <c r="V173" t="str">
        <f>VLOOKUP(L173,'[2]tabela de preços'!$A:$D,4,0)</f>
        <v>NORTON</v>
      </c>
      <c r="W173" t="str">
        <f>VLOOKUP(L173,'[2]tabela de preços'!$A:$F,6,0)</f>
        <v xml:space="preserve">DISCOS / LIXAS / ABRASIVOS </v>
      </c>
      <c r="X173" t="str">
        <f>VLOOKUP(L173,'[2]tabela de preços'!$A:$G,7,0)</f>
        <v>AUTOMOTIVO</v>
      </c>
    </row>
    <row r="174" spans="1:24" x14ac:dyDescent="0.3">
      <c r="A174" t="s">
        <v>1926</v>
      </c>
      <c r="C174" t="s">
        <v>1927</v>
      </c>
      <c r="D174" s="1">
        <v>46027</v>
      </c>
      <c r="E174" t="s">
        <v>1928</v>
      </c>
      <c r="F174">
        <v>9</v>
      </c>
      <c r="G174">
        <v>174</v>
      </c>
      <c r="H174" t="str">
        <f>VLOOKUP(G174,[1]OPERADORES!$A:$B,2,0)</f>
        <v>MIRIÃ LOBATO RODRIGUES</v>
      </c>
      <c r="I174" t="s">
        <v>21</v>
      </c>
      <c r="J174" t="s">
        <v>363</v>
      </c>
      <c r="K174" t="s">
        <v>1929</v>
      </c>
      <c r="L174">
        <v>10230</v>
      </c>
      <c r="M174" t="s">
        <v>193</v>
      </c>
      <c r="O174" t="s">
        <v>11</v>
      </c>
      <c r="P174">
        <v>5102</v>
      </c>
      <c r="Q174">
        <v>102</v>
      </c>
      <c r="R174">
        <v>2.79</v>
      </c>
      <c r="S174">
        <v>284.58</v>
      </c>
      <c r="T174">
        <v>240.72</v>
      </c>
      <c r="U174">
        <v>15.41</v>
      </c>
      <c r="V174" t="str">
        <f>VLOOKUP(L174,'[2]tabela de preços'!$A:$D,4,0)</f>
        <v>NORTON</v>
      </c>
      <c r="W174" t="str">
        <f>VLOOKUP(L174,'[2]tabela de preços'!$A:$F,6,0)</f>
        <v xml:space="preserve">DISCOS / LIXAS / ABRASIVOS </v>
      </c>
      <c r="X174" t="str">
        <f>VLOOKUP(L174,'[2]tabela de preços'!$A:$G,7,0)</f>
        <v>AUTOMOTIVO</v>
      </c>
    </row>
    <row r="175" spans="1:24" x14ac:dyDescent="0.3">
      <c r="A175" t="s">
        <v>1926</v>
      </c>
      <c r="C175" t="s">
        <v>1927</v>
      </c>
      <c r="D175" s="1">
        <v>46027</v>
      </c>
      <c r="E175" t="s">
        <v>1928</v>
      </c>
      <c r="F175">
        <v>9</v>
      </c>
      <c r="G175">
        <v>174</v>
      </c>
      <c r="H175" t="str">
        <f>VLOOKUP(G175,[1]OPERADORES!$A:$B,2,0)</f>
        <v>MIRIÃ LOBATO RODRIGUES</v>
      </c>
      <c r="I175" t="s">
        <v>21</v>
      </c>
      <c r="J175" t="s">
        <v>363</v>
      </c>
      <c r="K175" t="s">
        <v>1929</v>
      </c>
      <c r="L175">
        <v>10232</v>
      </c>
      <c r="M175" t="s">
        <v>134</v>
      </c>
      <c r="O175" t="s">
        <v>11</v>
      </c>
      <c r="P175">
        <v>5102</v>
      </c>
      <c r="Q175">
        <v>102</v>
      </c>
      <c r="R175">
        <v>2.79</v>
      </c>
      <c r="S175">
        <v>284.58</v>
      </c>
      <c r="T175">
        <v>233.58</v>
      </c>
      <c r="U175">
        <v>17.920000000000002</v>
      </c>
      <c r="V175" t="str">
        <f>VLOOKUP(L175,'[2]tabela de preços'!$A:$D,4,0)</f>
        <v>NORTON</v>
      </c>
      <c r="W175" t="str">
        <f>VLOOKUP(L175,'[2]tabela de preços'!$A:$F,6,0)</f>
        <v xml:space="preserve">DISCOS / LIXAS / ABRASIVOS </v>
      </c>
      <c r="X175" t="str">
        <f>VLOOKUP(L175,'[2]tabela de preços'!$A:$G,7,0)</f>
        <v>AUTOMOTIVO</v>
      </c>
    </row>
    <row r="176" spans="1:24" x14ac:dyDescent="0.3">
      <c r="A176" t="s">
        <v>1926</v>
      </c>
      <c r="C176" t="s">
        <v>1927</v>
      </c>
      <c r="D176" s="1">
        <v>46027</v>
      </c>
      <c r="E176" t="s">
        <v>1928</v>
      </c>
      <c r="F176">
        <v>9</v>
      </c>
      <c r="G176">
        <v>174</v>
      </c>
      <c r="H176" t="str">
        <f>VLOOKUP(G176,[1]OPERADORES!$A:$B,2,0)</f>
        <v>MIRIÃ LOBATO RODRIGUES</v>
      </c>
      <c r="I176" t="s">
        <v>21</v>
      </c>
      <c r="J176" t="s">
        <v>363</v>
      </c>
      <c r="K176" t="s">
        <v>1929</v>
      </c>
      <c r="L176">
        <v>10237</v>
      </c>
      <c r="M176" t="s">
        <v>271</v>
      </c>
      <c r="O176" t="s">
        <v>11</v>
      </c>
      <c r="P176">
        <v>5102</v>
      </c>
      <c r="Q176">
        <v>102</v>
      </c>
      <c r="R176">
        <v>2.79</v>
      </c>
      <c r="S176">
        <v>284.58</v>
      </c>
      <c r="T176">
        <v>233.58</v>
      </c>
      <c r="U176">
        <v>17.920000000000002</v>
      </c>
      <c r="V176" t="str">
        <f>VLOOKUP(L176,'[2]tabela de preços'!$A:$D,4,0)</f>
        <v>NORTON</v>
      </c>
      <c r="W176" t="str">
        <f>VLOOKUP(L176,'[2]tabela de preços'!$A:$F,6,0)</f>
        <v xml:space="preserve">DISCOS / LIXAS / ABRASIVOS </v>
      </c>
      <c r="X176" t="str">
        <f>VLOOKUP(L176,'[2]tabela de preços'!$A:$G,7,0)</f>
        <v>AUTOMOTIVO</v>
      </c>
    </row>
    <row r="177" spans="1:24" x14ac:dyDescent="0.3">
      <c r="A177" t="s">
        <v>1926</v>
      </c>
      <c r="C177" t="s">
        <v>1927</v>
      </c>
      <c r="D177" s="1">
        <v>46027</v>
      </c>
      <c r="E177" t="s">
        <v>1928</v>
      </c>
      <c r="F177">
        <v>9</v>
      </c>
      <c r="G177">
        <v>174</v>
      </c>
      <c r="H177" t="str">
        <f>VLOOKUP(G177,[1]OPERADORES!$A:$B,2,0)</f>
        <v>MIRIÃ LOBATO RODRIGUES</v>
      </c>
      <c r="I177" t="s">
        <v>21</v>
      </c>
      <c r="J177" t="s">
        <v>363</v>
      </c>
      <c r="K177" t="s">
        <v>1929</v>
      </c>
      <c r="L177">
        <v>24248</v>
      </c>
      <c r="M177" t="s">
        <v>107</v>
      </c>
      <c r="O177" t="s">
        <v>11</v>
      </c>
      <c r="P177">
        <v>5102</v>
      </c>
      <c r="Q177">
        <v>24</v>
      </c>
      <c r="R177">
        <v>9.9</v>
      </c>
      <c r="S177">
        <v>237.6</v>
      </c>
      <c r="T177">
        <v>153.84</v>
      </c>
      <c r="U177">
        <v>35.25</v>
      </c>
      <c r="V177" t="str">
        <f>VLOOKUP(L177,'[2]tabela de preços'!$A:$D,4,0)</f>
        <v>SHERWIN WILLIAMS</v>
      </c>
      <c r="W177" t="str">
        <f>VLOOKUP(L177,'[2]tabela de preços'!$A:$F,6,0)</f>
        <v>PRIMER AUTOMOTIVO</v>
      </c>
      <c r="X177" t="str">
        <f>VLOOKUP(L177,'[2]tabela de preços'!$A:$G,7,0)</f>
        <v>AUTOMOTIVO</v>
      </c>
    </row>
    <row r="178" spans="1:24" x14ac:dyDescent="0.3">
      <c r="A178" t="s">
        <v>1926</v>
      </c>
      <c r="C178" t="s">
        <v>1927</v>
      </c>
      <c r="D178" s="1">
        <v>46027</v>
      </c>
      <c r="E178" t="s">
        <v>1928</v>
      </c>
      <c r="F178">
        <v>9</v>
      </c>
      <c r="G178">
        <v>174</v>
      </c>
      <c r="H178" t="str">
        <f>VLOOKUP(G178,[1]OPERADORES!$A:$B,2,0)</f>
        <v>MIRIÃ LOBATO RODRIGUES</v>
      </c>
      <c r="I178" t="s">
        <v>21</v>
      </c>
      <c r="J178" t="s">
        <v>363</v>
      </c>
      <c r="K178" t="s">
        <v>1929</v>
      </c>
      <c r="L178">
        <v>24240</v>
      </c>
      <c r="M178" t="s">
        <v>240</v>
      </c>
      <c r="O178" t="s">
        <v>11</v>
      </c>
      <c r="P178">
        <v>5102</v>
      </c>
      <c r="Q178">
        <v>32</v>
      </c>
      <c r="R178">
        <v>3.87</v>
      </c>
      <c r="S178">
        <v>123.84</v>
      </c>
      <c r="T178">
        <v>104.96</v>
      </c>
      <c r="U178">
        <v>15.25</v>
      </c>
      <c r="V178" t="str">
        <f>VLOOKUP(L178,'[2]tabela de preços'!$A:$D,4,0)</f>
        <v>ADERE</v>
      </c>
      <c r="W178" t="str">
        <f>VLOOKUP(L178,'[2]tabela de preços'!$A:$F,6,0)</f>
        <v>FITA AUTOMOTIVA</v>
      </c>
      <c r="X178" t="str">
        <f>VLOOKUP(L178,'[2]tabela de preços'!$A:$G,7,0)</f>
        <v>AUTOMOTIVO</v>
      </c>
    </row>
    <row r="179" spans="1:24" x14ac:dyDescent="0.3">
      <c r="A179" t="s">
        <v>1926</v>
      </c>
      <c r="C179" t="s">
        <v>1927</v>
      </c>
      <c r="D179" s="1">
        <v>46027</v>
      </c>
      <c r="E179" t="s">
        <v>1928</v>
      </c>
      <c r="F179">
        <v>9</v>
      </c>
      <c r="G179">
        <v>174</v>
      </c>
      <c r="H179" t="str">
        <f>VLOOKUP(G179,[1]OPERADORES!$A:$B,2,0)</f>
        <v>MIRIÃ LOBATO RODRIGUES</v>
      </c>
      <c r="I179" t="s">
        <v>21</v>
      </c>
      <c r="J179" t="s">
        <v>363</v>
      </c>
      <c r="K179" t="s">
        <v>1929</v>
      </c>
      <c r="L179">
        <v>24241</v>
      </c>
      <c r="M179" t="s">
        <v>233</v>
      </c>
      <c r="O179" t="s">
        <v>11</v>
      </c>
      <c r="P179">
        <v>5102</v>
      </c>
      <c r="Q179">
        <v>36</v>
      </c>
      <c r="R179">
        <v>12.2</v>
      </c>
      <c r="S179">
        <v>439.2</v>
      </c>
      <c r="T179">
        <v>333.36</v>
      </c>
      <c r="U179">
        <v>24.1</v>
      </c>
      <c r="V179" t="str">
        <f>VLOOKUP(L179,'[2]tabela de preços'!$A:$D,4,0)</f>
        <v>ADERE</v>
      </c>
      <c r="W179" t="str">
        <f>VLOOKUP(L179,'[2]tabela de preços'!$A:$F,6,0)</f>
        <v>FITA AUTOMOTIVA</v>
      </c>
      <c r="X179" t="str">
        <f>VLOOKUP(L179,'[2]tabela de preços'!$A:$G,7,0)</f>
        <v>AUTOMOTIVO</v>
      </c>
    </row>
    <row r="180" spans="1:24" x14ac:dyDescent="0.3">
      <c r="A180" t="s">
        <v>1926</v>
      </c>
      <c r="C180" t="s">
        <v>1927</v>
      </c>
      <c r="D180" s="1">
        <v>46027</v>
      </c>
      <c r="E180" t="s">
        <v>1928</v>
      </c>
      <c r="F180">
        <v>9</v>
      </c>
      <c r="G180">
        <v>174</v>
      </c>
      <c r="H180" t="str">
        <f>VLOOKUP(G180,[1]OPERADORES!$A:$B,2,0)</f>
        <v>MIRIÃ LOBATO RODRIGUES</v>
      </c>
      <c r="I180" t="s">
        <v>21</v>
      </c>
      <c r="J180" t="s">
        <v>363</v>
      </c>
      <c r="K180" t="s">
        <v>1929</v>
      </c>
      <c r="L180">
        <v>23076</v>
      </c>
      <c r="M180" t="s">
        <v>97</v>
      </c>
      <c r="O180" t="s">
        <v>11</v>
      </c>
      <c r="P180">
        <v>5403</v>
      </c>
      <c r="Q180">
        <v>24</v>
      </c>
      <c r="R180">
        <v>33.89</v>
      </c>
      <c r="S180">
        <v>813.36</v>
      </c>
      <c r="T180">
        <v>636.72</v>
      </c>
      <c r="U180">
        <v>21.72</v>
      </c>
      <c r="V180" t="str">
        <f>VLOOKUP(L180,'[2]tabela de preços'!$A:$D,4,0)</f>
        <v>WANDA</v>
      </c>
      <c r="W180" t="str">
        <f>VLOOKUP(L180,'[2]tabela de preços'!$A:$F,6,0)</f>
        <v>PRIMER AUTOMOTIVO</v>
      </c>
      <c r="X180" t="str">
        <f>VLOOKUP(L180,'[2]tabela de preços'!$A:$G,7,0)</f>
        <v>AUTOMOTIVO</v>
      </c>
    </row>
    <row r="181" spans="1:24" x14ac:dyDescent="0.3">
      <c r="A181" t="s">
        <v>1926</v>
      </c>
      <c r="C181" t="s">
        <v>1927</v>
      </c>
      <c r="D181" s="1">
        <v>46027</v>
      </c>
      <c r="E181" t="s">
        <v>1928</v>
      </c>
      <c r="F181">
        <v>9</v>
      </c>
      <c r="G181">
        <v>174</v>
      </c>
      <c r="H181" t="str">
        <f>VLOOKUP(G181,[1]OPERADORES!$A:$B,2,0)</f>
        <v>MIRIÃ LOBATO RODRIGUES</v>
      </c>
      <c r="I181" t="s">
        <v>21</v>
      </c>
      <c r="J181" t="s">
        <v>363</v>
      </c>
      <c r="K181" t="s">
        <v>1929</v>
      </c>
      <c r="L181">
        <v>20431</v>
      </c>
      <c r="M181" t="s">
        <v>202</v>
      </c>
      <c r="O181" t="s">
        <v>11</v>
      </c>
      <c r="P181">
        <v>5403</v>
      </c>
      <c r="Q181">
        <v>36</v>
      </c>
      <c r="R181">
        <v>36.89</v>
      </c>
      <c r="S181" s="2">
        <v>1328.04</v>
      </c>
      <c r="T181" s="2">
        <v>1072.08</v>
      </c>
      <c r="U181">
        <v>19.27</v>
      </c>
      <c r="V181" t="str">
        <f>VLOOKUP(L181,'[2]tabela de preços'!$A:$D,4,0)</f>
        <v>SHERWIN WILLIAMS</v>
      </c>
      <c r="W181" t="str">
        <f>VLOOKUP(L181,'[2]tabela de preços'!$A:$F,6,0)</f>
        <v>VERNIZ AUTOMOTIVO</v>
      </c>
      <c r="X181" t="str">
        <f>VLOOKUP(L181,'[2]tabela de preços'!$A:$G,7,0)</f>
        <v>AUTOMOTIVO</v>
      </c>
    </row>
    <row r="182" spans="1:24" x14ac:dyDescent="0.3">
      <c r="A182" t="s">
        <v>1926</v>
      </c>
      <c r="C182" t="s">
        <v>1927</v>
      </c>
      <c r="D182" s="1">
        <v>46027</v>
      </c>
      <c r="E182" t="s">
        <v>1928</v>
      </c>
      <c r="F182">
        <v>9</v>
      </c>
      <c r="G182">
        <v>174</v>
      </c>
      <c r="H182" t="str">
        <f>VLOOKUP(G182,[1]OPERADORES!$A:$B,2,0)</f>
        <v>MIRIÃ LOBATO RODRIGUES</v>
      </c>
      <c r="I182" t="s">
        <v>21</v>
      </c>
      <c r="J182" t="s">
        <v>363</v>
      </c>
      <c r="K182" t="s">
        <v>1929</v>
      </c>
      <c r="L182">
        <v>10238</v>
      </c>
      <c r="M182" t="s">
        <v>79</v>
      </c>
      <c r="O182" t="s">
        <v>11</v>
      </c>
      <c r="P182">
        <v>5102</v>
      </c>
      <c r="Q182">
        <v>50</v>
      </c>
      <c r="R182">
        <v>2.79</v>
      </c>
      <c r="S182">
        <v>139.5</v>
      </c>
      <c r="T182">
        <v>113.5</v>
      </c>
      <c r="U182">
        <v>18.64</v>
      </c>
      <c r="V182" t="str">
        <f>VLOOKUP(L182,'[2]tabela de preços'!$A:$D,4,0)</f>
        <v>NORTON</v>
      </c>
      <c r="W182" t="str">
        <f>VLOOKUP(L182,'[2]tabela de preços'!$A:$F,6,0)</f>
        <v xml:space="preserve">DISCOS / LIXAS / ABRASIVOS </v>
      </c>
      <c r="X182" t="str">
        <f>VLOOKUP(L182,'[2]tabela de preços'!$A:$G,7,0)</f>
        <v>AUTOMOTIVO</v>
      </c>
    </row>
    <row r="183" spans="1:24" x14ac:dyDescent="0.3">
      <c r="A183" t="s">
        <v>1926</v>
      </c>
      <c r="C183" t="s">
        <v>1927</v>
      </c>
      <c r="D183" s="1">
        <v>46027</v>
      </c>
      <c r="E183" t="s">
        <v>1928</v>
      </c>
      <c r="F183">
        <v>9</v>
      </c>
      <c r="G183">
        <v>174</v>
      </c>
      <c r="H183" t="str">
        <f>VLOOKUP(G183,[1]OPERADORES!$A:$B,2,0)</f>
        <v>MIRIÃ LOBATO RODRIGUES</v>
      </c>
      <c r="I183" t="s">
        <v>21</v>
      </c>
      <c r="J183" t="s">
        <v>363</v>
      </c>
      <c r="K183" t="s">
        <v>1929</v>
      </c>
      <c r="L183">
        <v>10242</v>
      </c>
      <c r="M183" t="s">
        <v>82</v>
      </c>
      <c r="O183" t="s">
        <v>11</v>
      </c>
      <c r="P183">
        <v>5102</v>
      </c>
      <c r="Q183">
        <v>50</v>
      </c>
      <c r="R183">
        <v>2.79</v>
      </c>
      <c r="S183">
        <v>139.5</v>
      </c>
      <c r="T183">
        <v>114</v>
      </c>
      <c r="U183">
        <v>18.28</v>
      </c>
      <c r="V183" t="str">
        <f>VLOOKUP(L183,'[2]tabela de preços'!$A:$D,4,0)</f>
        <v>NORTON</v>
      </c>
      <c r="W183" t="str">
        <f>VLOOKUP(L183,'[2]tabela de preços'!$A:$F,6,0)</f>
        <v xml:space="preserve">DISCOS / LIXAS / ABRASIVOS </v>
      </c>
      <c r="X183" t="str">
        <f>VLOOKUP(L183,'[2]tabela de preços'!$A:$G,7,0)</f>
        <v>AUTOMOTIVO</v>
      </c>
    </row>
    <row r="184" spans="1:24" x14ac:dyDescent="0.3">
      <c r="A184" t="s">
        <v>1926</v>
      </c>
      <c r="C184" t="s">
        <v>1927</v>
      </c>
      <c r="D184" s="1">
        <v>46027</v>
      </c>
      <c r="E184" t="s">
        <v>1928</v>
      </c>
      <c r="F184">
        <v>9</v>
      </c>
      <c r="G184">
        <v>174</v>
      </c>
      <c r="H184" t="str">
        <f>VLOOKUP(G184,[1]OPERADORES!$A:$B,2,0)</f>
        <v>MIRIÃ LOBATO RODRIGUES</v>
      </c>
      <c r="I184" t="s">
        <v>21</v>
      </c>
      <c r="J184" t="s">
        <v>363</v>
      </c>
      <c r="K184" t="s">
        <v>1929</v>
      </c>
      <c r="L184">
        <v>10243</v>
      </c>
      <c r="M184" t="s">
        <v>83</v>
      </c>
      <c r="O184" t="s">
        <v>11</v>
      </c>
      <c r="P184">
        <v>5102</v>
      </c>
      <c r="Q184">
        <v>50</v>
      </c>
      <c r="R184">
        <v>2.79</v>
      </c>
      <c r="S184">
        <v>139.5</v>
      </c>
      <c r="T184">
        <v>97.5</v>
      </c>
      <c r="U184">
        <v>30.11</v>
      </c>
      <c r="V184" t="str">
        <f>VLOOKUP(L184,'[2]tabela de preços'!$A:$D,4,0)</f>
        <v>NORTON</v>
      </c>
      <c r="W184" t="str">
        <f>VLOOKUP(L184,'[2]tabela de preços'!$A:$F,6,0)</f>
        <v xml:space="preserve">DISCOS / LIXAS / ABRASIVOS </v>
      </c>
      <c r="X184" t="str">
        <f>VLOOKUP(L184,'[2]tabela de preços'!$A:$G,7,0)</f>
        <v>AUTOMOTIVO</v>
      </c>
    </row>
    <row r="185" spans="1:24" x14ac:dyDescent="0.3">
      <c r="A185" t="s">
        <v>1926</v>
      </c>
      <c r="C185" t="s">
        <v>1927</v>
      </c>
      <c r="D185" s="1">
        <v>46027</v>
      </c>
      <c r="E185" t="s">
        <v>1928</v>
      </c>
      <c r="F185">
        <v>9</v>
      </c>
      <c r="G185">
        <v>174</v>
      </c>
      <c r="H185" t="str">
        <f>VLOOKUP(G185,[1]OPERADORES!$A:$B,2,0)</f>
        <v>MIRIÃ LOBATO RODRIGUES</v>
      </c>
      <c r="I185" t="s">
        <v>21</v>
      </c>
      <c r="J185" t="s">
        <v>363</v>
      </c>
      <c r="K185" t="s">
        <v>1929</v>
      </c>
      <c r="L185">
        <v>20525</v>
      </c>
      <c r="M185" t="s">
        <v>137</v>
      </c>
      <c r="O185" t="s">
        <v>11</v>
      </c>
      <c r="P185">
        <v>5102</v>
      </c>
      <c r="Q185">
        <v>12</v>
      </c>
      <c r="R185">
        <v>13.65</v>
      </c>
      <c r="S185">
        <v>163.80000000000001</v>
      </c>
      <c r="T185">
        <v>124.32</v>
      </c>
      <c r="U185">
        <v>24.1</v>
      </c>
      <c r="V185" t="str">
        <f>VLOOKUP(L185,'[2]tabela de preços'!$A:$D,4,0)</f>
        <v>SHERWIN WILLIAMS</v>
      </c>
      <c r="W185" t="str">
        <f>VLOOKUP(L185,'[2]tabela de preços'!$A:$F,6,0)</f>
        <v>MASSA DE PEQUENOS REPAROS</v>
      </c>
      <c r="X185" t="str">
        <f>VLOOKUP(L185,'[2]tabela de preços'!$A:$G,7,0)</f>
        <v>AUTOMOTIVO</v>
      </c>
    </row>
    <row r="186" spans="1:24" x14ac:dyDescent="0.3">
      <c r="A186" t="s">
        <v>1926</v>
      </c>
      <c r="C186" t="s">
        <v>1927</v>
      </c>
      <c r="D186" s="1">
        <v>46027</v>
      </c>
      <c r="E186" t="s">
        <v>1928</v>
      </c>
      <c r="F186">
        <v>9</v>
      </c>
      <c r="G186">
        <v>174</v>
      </c>
      <c r="H186" t="str">
        <f>VLOOKUP(G186,[1]OPERADORES!$A:$B,2,0)</f>
        <v>MIRIÃ LOBATO RODRIGUES</v>
      </c>
      <c r="I186" t="s">
        <v>21</v>
      </c>
      <c r="J186" t="s">
        <v>363</v>
      </c>
      <c r="K186" t="s">
        <v>1929</v>
      </c>
      <c r="L186">
        <v>87000</v>
      </c>
      <c r="M186" t="s">
        <v>333</v>
      </c>
      <c r="O186" t="s">
        <v>11</v>
      </c>
      <c r="P186">
        <v>5102</v>
      </c>
      <c r="Q186">
        <v>12</v>
      </c>
      <c r="R186">
        <v>19.98</v>
      </c>
      <c r="S186">
        <v>239.76</v>
      </c>
      <c r="T186">
        <v>202.08</v>
      </c>
      <c r="U186">
        <v>15.72</v>
      </c>
      <c r="V186" t="str">
        <f>VLOOKUP(L186,'[2]tabela de preços'!$A:$D,4,0)</f>
        <v>WANDA</v>
      </c>
      <c r="W186" t="str">
        <f>VLOOKUP(L186,'[2]tabela de preços'!$A:$F,6,0)</f>
        <v>MASSA POLIÉSTER</v>
      </c>
      <c r="X186" t="str">
        <f>VLOOKUP(L186,'[2]tabela de preços'!$A:$G,7,0)</f>
        <v>AUTOMOTIVO</v>
      </c>
    </row>
    <row r="187" spans="1:24" x14ac:dyDescent="0.3">
      <c r="A187" t="s">
        <v>1926</v>
      </c>
      <c r="C187" t="s">
        <v>1927</v>
      </c>
      <c r="D187" s="1">
        <v>46027</v>
      </c>
      <c r="E187" t="s">
        <v>1928</v>
      </c>
      <c r="F187">
        <v>9</v>
      </c>
      <c r="G187">
        <v>174</v>
      </c>
      <c r="H187" t="str">
        <f>VLOOKUP(G187,[1]OPERADORES!$A:$B,2,0)</f>
        <v>MIRIÃ LOBATO RODRIGUES</v>
      </c>
      <c r="I187" t="s">
        <v>21</v>
      </c>
      <c r="J187" t="s">
        <v>363</v>
      </c>
      <c r="K187" t="s">
        <v>1929</v>
      </c>
      <c r="L187">
        <v>87043</v>
      </c>
      <c r="M187" t="s">
        <v>217</v>
      </c>
      <c r="O187" t="s">
        <v>11</v>
      </c>
      <c r="P187">
        <v>5102</v>
      </c>
      <c r="Q187">
        <v>32</v>
      </c>
      <c r="R187">
        <v>22.89</v>
      </c>
      <c r="S187">
        <v>732.48</v>
      </c>
      <c r="T187">
        <v>576.64</v>
      </c>
      <c r="U187">
        <v>21.28</v>
      </c>
      <c r="V187" t="str">
        <f>VLOOKUP(L187,'[2]tabela de preços'!$A:$D,4,0)</f>
        <v>ROBERLO</v>
      </c>
      <c r="W187" t="str">
        <f>VLOOKUP(L187,'[2]tabela de preços'!$A:$F,6,0)</f>
        <v>MASSA POLIÉSTER</v>
      </c>
      <c r="X187" t="str">
        <f>VLOOKUP(L187,'[2]tabela de preços'!$A:$G,7,0)</f>
        <v>AUTOMOTIVO</v>
      </c>
    </row>
    <row r="188" spans="1:24" x14ac:dyDescent="0.3">
      <c r="A188" t="s">
        <v>1926</v>
      </c>
      <c r="C188" t="s">
        <v>1927</v>
      </c>
      <c r="D188" s="1">
        <v>46027</v>
      </c>
      <c r="E188" t="s">
        <v>1928</v>
      </c>
      <c r="F188">
        <v>9</v>
      </c>
      <c r="G188">
        <v>174</v>
      </c>
      <c r="H188" t="str">
        <f>VLOOKUP(G188,[1]OPERADORES!$A:$B,2,0)</f>
        <v>MIRIÃ LOBATO RODRIGUES</v>
      </c>
      <c r="I188" t="s">
        <v>21</v>
      </c>
      <c r="J188" t="s">
        <v>363</v>
      </c>
      <c r="K188" t="s">
        <v>1929</v>
      </c>
      <c r="L188">
        <v>24247</v>
      </c>
      <c r="M188" t="s">
        <v>111</v>
      </c>
      <c r="O188" t="s">
        <v>11</v>
      </c>
      <c r="P188">
        <v>5403</v>
      </c>
      <c r="Q188">
        <v>24</v>
      </c>
      <c r="R188">
        <v>19.899999999999999</v>
      </c>
      <c r="S188">
        <v>477.6</v>
      </c>
      <c r="T188">
        <v>398.4</v>
      </c>
      <c r="U188">
        <v>16.579999999999998</v>
      </c>
      <c r="V188" t="str">
        <f>VLOOKUP(L188,'[2]tabela de preços'!$A:$D,4,0)</f>
        <v>SHERWIN WILLIAMS</v>
      </c>
      <c r="W188" t="str">
        <f>VLOOKUP(L188,'[2]tabela de preços'!$A:$F,6,0)</f>
        <v>PRIMER AUTOMOTIVO</v>
      </c>
      <c r="X188" t="str">
        <f>VLOOKUP(L188,'[2]tabela de preços'!$A:$G,7,0)</f>
        <v>AUTOMOTIVO</v>
      </c>
    </row>
    <row r="189" spans="1:24" x14ac:dyDescent="0.3">
      <c r="A189" t="s">
        <v>1926</v>
      </c>
      <c r="C189" t="s">
        <v>1927</v>
      </c>
      <c r="D189" s="1">
        <v>46027</v>
      </c>
      <c r="E189" t="s">
        <v>1928</v>
      </c>
      <c r="F189">
        <v>9</v>
      </c>
      <c r="G189">
        <v>174</v>
      </c>
      <c r="H189" t="str">
        <f>VLOOKUP(G189,[1]OPERADORES!$A:$B,2,0)</f>
        <v>MIRIÃ LOBATO RODRIGUES</v>
      </c>
      <c r="I189" t="s">
        <v>21</v>
      </c>
      <c r="J189" t="s">
        <v>363</v>
      </c>
      <c r="K189" t="s">
        <v>1929</v>
      </c>
      <c r="L189">
        <v>84560</v>
      </c>
      <c r="M189" t="s">
        <v>118</v>
      </c>
      <c r="O189" t="s">
        <v>11</v>
      </c>
      <c r="P189">
        <v>5102</v>
      </c>
      <c r="Q189">
        <v>4</v>
      </c>
      <c r="R189">
        <v>46.9</v>
      </c>
      <c r="S189">
        <v>187.6</v>
      </c>
      <c r="T189">
        <v>156.63999999999999</v>
      </c>
      <c r="U189">
        <v>16.5</v>
      </c>
      <c r="V189" t="str">
        <f>VLOOKUP(L189,'[2]tabela de preços'!$A:$D,4,0)</f>
        <v>BRASILUX</v>
      </c>
      <c r="W189" t="str">
        <f>VLOOKUP(L189,'[2]tabela de preços'!$A:$F,6,0)</f>
        <v>THINNER DE LIMPEZA</v>
      </c>
      <c r="X189" t="str">
        <f>VLOOKUP(L189,'[2]tabela de preços'!$A:$G,7,0)</f>
        <v>THINNER</v>
      </c>
    </row>
    <row r="190" spans="1:24" x14ac:dyDescent="0.3">
      <c r="A190" t="s">
        <v>1926</v>
      </c>
      <c r="C190" t="s">
        <v>1927</v>
      </c>
      <c r="D190" s="1">
        <v>46027</v>
      </c>
      <c r="E190" t="s">
        <v>1928</v>
      </c>
      <c r="F190">
        <v>9</v>
      </c>
      <c r="G190">
        <v>174</v>
      </c>
      <c r="H190" t="str">
        <f>VLOOKUP(G190,[1]OPERADORES!$A:$B,2,0)</f>
        <v>MIRIÃ LOBATO RODRIGUES</v>
      </c>
      <c r="I190" t="s">
        <v>21</v>
      </c>
      <c r="J190" t="s">
        <v>363</v>
      </c>
      <c r="K190" t="s">
        <v>1929</v>
      </c>
      <c r="L190">
        <v>10404</v>
      </c>
      <c r="M190" t="s">
        <v>130</v>
      </c>
      <c r="O190" t="s">
        <v>11</v>
      </c>
      <c r="P190">
        <v>5102</v>
      </c>
      <c r="Q190">
        <v>24</v>
      </c>
      <c r="R190">
        <v>16.09</v>
      </c>
      <c r="S190">
        <v>386.16</v>
      </c>
      <c r="T190">
        <v>319.68</v>
      </c>
      <c r="U190">
        <v>17.22</v>
      </c>
      <c r="V190" t="str">
        <f>VLOOKUP(L190,'[2]tabela de preços'!$A:$D,4,0)</f>
        <v>MAXI RUBBER</v>
      </c>
      <c r="W190" t="str">
        <f>VLOOKUP(L190,'[2]tabela de preços'!$A:$F,6,0)</f>
        <v>VEDADORES / SELANTES</v>
      </c>
      <c r="X190" t="str">
        <f>VLOOKUP(L190,'[2]tabela de preços'!$A:$G,7,0)</f>
        <v>AUTOMOTIVO</v>
      </c>
    </row>
    <row r="191" spans="1:24" x14ac:dyDescent="0.3">
      <c r="A191" t="s">
        <v>1969</v>
      </c>
      <c r="C191" t="s">
        <v>1970</v>
      </c>
      <c r="D191" s="1">
        <v>46027</v>
      </c>
      <c r="E191" t="s">
        <v>1971</v>
      </c>
      <c r="F191">
        <v>9</v>
      </c>
      <c r="G191">
        <v>230</v>
      </c>
      <c r="H191" t="str">
        <f>VLOOKUP(G191,[1]OPERADORES!$A:$B,2,0)</f>
        <v>SÔNIA</v>
      </c>
      <c r="I191" t="s">
        <v>715</v>
      </c>
      <c r="J191" t="s">
        <v>1972</v>
      </c>
      <c r="K191" t="s">
        <v>1973</v>
      </c>
      <c r="L191">
        <v>10232</v>
      </c>
      <c r="M191" t="s">
        <v>134</v>
      </c>
      <c r="O191" t="s">
        <v>11</v>
      </c>
      <c r="P191">
        <v>6102</v>
      </c>
      <c r="Q191">
        <v>5</v>
      </c>
      <c r="R191">
        <v>2.79</v>
      </c>
      <c r="S191">
        <v>13.95</v>
      </c>
      <c r="T191">
        <v>11.45</v>
      </c>
      <c r="U191">
        <v>17.920000000000002</v>
      </c>
      <c r="V191" t="str">
        <f>VLOOKUP(L191,'[2]tabela de preços'!$A:$D,4,0)</f>
        <v>NORTON</v>
      </c>
      <c r="W191" t="str">
        <f>VLOOKUP(L191,'[2]tabela de preços'!$A:$F,6,0)</f>
        <v xml:space="preserve">DISCOS / LIXAS / ABRASIVOS </v>
      </c>
      <c r="X191" t="str">
        <f>VLOOKUP(L191,'[2]tabela de preços'!$A:$G,7,0)</f>
        <v>AUTOMOTIVO</v>
      </c>
    </row>
    <row r="192" spans="1:24" x14ac:dyDescent="0.3">
      <c r="A192" t="s">
        <v>1969</v>
      </c>
      <c r="C192" t="s">
        <v>1970</v>
      </c>
      <c r="D192" s="1">
        <v>46027</v>
      </c>
      <c r="E192" t="s">
        <v>1971</v>
      </c>
      <c r="F192">
        <v>9</v>
      </c>
      <c r="G192">
        <v>230</v>
      </c>
      <c r="H192" t="str">
        <f>VLOOKUP(G192,[1]OPERADORES!$A:$B,2,0)</f>
        <v>SÔNIA</v>
      </c>
      <c r="I192" t="s">
        <v>715</v>
      </c>
      <c r="J192" t="s">
        <v>1972</v>
      </c>
      <c r="K192" t="s">
        <v>1973</v>
      </c>
      <c r="L192">
        <v>10234</v>
      </c>
      <c r="M192" t="s">
        <v>157</v>
      </c>
      <c r="O192" t="s">
        <v>11</v>
      </c>
      <c r="P192">
        <v>6102</v>
      </c>
      <c r="Q192">
        <v>5</v>
      </c>
      <c r="R192">
        <v>2.79</v>
      </c>
      <c r="S192">
        <v>13.95</v>
      </c>
      <c r="T192">
        <v>11.85</v>
      </c>
      <c r="U192">
        <v>15.05</v>
      </c>
      <c r="V192" t="str">
        <f>VLOOKUP(L192,'[2]tabela de preços'!$A:$D,4,0)</f>
        <v>NORTON</v>
      </c>
      <c r="W192" t="str">
        <f>VLOOKUP(L192,'[2]tabela de preços'!$A:$F,6,0)</f>
        <v xml:space="preserve">DISCOS / LIXAS / ABRASIVOS </v>
      </c>
      <c r="X192" t="str">
        <f>VLOOKUP(L192,'[2]tabela de preços'!$A:$G,7,0)</f>
        <v>AUTOMOTIVO</v>
      </c>
    </row>
    <row r="193" spans="1:24" x14ac:dyDescent="0.3">
      <c r="A193" t="s">
        <v>1969</v>
      </c>
      <c r="C193" t="s">
        <v>1970</v>
      </c>
      <c r="D193" s="1">
        <v>46027</v>
      </c>
      <c r="E193" t="s">
        <v>1971</v>
      </c>
      <c r="F193">
        <v>9</v>
      </c>
      <c r="G193">
        <v>230</v>
      </c>
      <c r="H193" t="str">
        <f>VLOOKUP(G193,[1]OPERADORES!$A:$B,2,0)</f>
        <v>SÔNIA</v>
      </c>
      <c r="I193" t="s">
        <v>715</v>
      </c>
      <c r="J193" t="s">
        <v>1972</v>
      </c>
      <c r="K193" t="s">
        <v>1973</v>
      </c>
      <c r="L193">
        <v>22684</v>
      </c>
      <c r="M193" t="s">
        <v>73</v>
      </c>
      <c r="O193" t="s">
        <v>11</v>
      </c>
      <c r="P193">
        <v>6102</v>
      </c>
      <c r="Q193">
        <v>80</v>
      </c>
      <c r="R193">
        <v>3.65</v>
      </c>
      <c r="S193">
        <v>292</v>
      </c>
      <c r="T193">
        <v>246.4</v>
      </c>
      <c r="U193">
        <v>15.62</v>
      </c>
      <c r="V193" t="str">
        <f>VLOOKUP(L193,'[2]tabela de preços'!$A:$D,4,0)</f>
        <v>3M</v>
      </c>
      <c r="W193" t="str">
        <f>VLOOKUP(L193,'[2]tabela de preços'!$A:$F,6,0)</f>
        <v>FITA AUTOMOTIVA</v>
      </c>
      <c r="X193" t="str">
        <f>VLOOKUP(L193,'[2]tabela de preços'!$A:$G,7,0)</f>
        <v>AUTOMOTIVO</v>
      </c>
    </row>
    <row r="194" spans="1:24" x14ac:dyDescent="0.3">
      <c r="A194" t="s">
        <v>1969</v>
      </c>
      <c r="C194" t="s">
        <v>1970</v>
      </c>
      <c r="D194" s="1">
        <v>46027</v>
      </c>
      <c r="E194" t="s">
        <v>1971</v>
      </c>
      <c r="F194">
        <v>9</v>
      </c>
      <c r="G194">
        <v>230</v>
      </c>
      <c r="H194" t="str">
        <f>VLOOKUP(G194,[1]OPERADORES!$A:$B,2,0)</f>
        <v>SÔNIA</v>
      </c>
      <c r="I194" t="s">
        <v>715</v>
      </c>
      <c r="J194" t="s">
        <v>1972</v>
      </c>
      <c r="K194" t="s">
        <v>1973</v>
      </c>
      <c r="L194">
        <v>24183</v>
      </c>
      <c r="M194" t="s">
        <v>1655</v>
      </c>
      <c r="O194" t="s">
        <v>11</v>
      </c>
      <c r="P194">
        <v>6102</v>
      </c>
      <c r="Q194">
        <v>1</v>
      </c>
      <c r="R194">
        <v>30.45</v>
      </c>
      <c r="S194">
        <v>30.45</v>
      </c>
      <c r="T194">
        <v>23.11</v>
      </c>
      <c r="U194">
        <v>24.11</v>
      </c>
      <c r="V194" t="str">
        <f>VLOOKUP(L194,'[2]tabela de preços'!$A:$D,4,0)</f>
        <v>3M</v>
      </c>
      <c r="W194" t="str">
        <f>VLOOKUP(L194,'[2]tabela de preços'!$A:$F,6,0)</f>
        <v>FITA DUPLA FACE</v>
      </c>
      <c r="X194" t="str">
        <f>VLOOKUP(L194,'[2]tabela de preços'!$A:$G,7,0)</f>
        <v>AUTOMOTIVO</v>
      </c>
    </row>
    <row r="195" spans="1:24" x14ac:dyDescent="0.3">
      <c r="A195" t="s">
        <v>1969</v>
      </c>
      <c r="C195" t="s">
        <v>1970</v>
      </c>
      <c r="D195" s="1">
        <v>46027</v>
      </c>
      <c r="E195" t="s">
        <v>1971</v>
      </c>
      <c r="F195">
        <v>9</v>
      </c>
      <c r="G195">
        <v>230</v>
      </c>
      <c r="H195" t="str">
        <f>VLOOKUP(G195,[1]OPERADORES!$A:$B,2,0)</f>
        <v>SÔNIA</v>
      </c>
      <c r="I195" t="s">
        <v>715</v>
      </c>
      <c r="J195" t="s">
        <v>1972</v>
      </c>
      <c r="K195" t="s">
        <v>1973</v>
      </c>
      <c r="L195">
        <v>85616</v>
      </c>
      <c r="M195" t="s">
        <v>471</v>
      </c>
      <c r="O195" t="s">
        <v>11</v>
      </c>
      <c r="P195">
        <v>6102</v>
      </c>
      <c r="Q195">
        <v>1</v>
      </c>
      <c r="R195">
        <v>2.64</v>
      </c>
      <c r="S195">
        <v>2.64</v>
      </c>
      <c r="T195">
        <v>2.2799999999999998</v>
      </c>
      <c r="U195">
        <v>13.64</v>
      </c>
      <c r="V195" t="str">
        <f>VLOOKUP(L195,'[2]tabela de preços'!$A:$D,4,0)</f>
        <v>ADERE</v>
      </c>
      <c r="W195" t="str">
        <f>VLOOKUP(L195,'[2]tabela de preços'!$A:$F,6,0)</f>
        <v xml:space="preserve">FITA DE USO GERAL </v>
      </c>
      <c r="X195" t="str">
        <f>VLOOKUP(L195,'[2]tabela de preços'!$A:$G,7,0)</f>
        <v>IMOBILIÁRIO</v>
      </c>
    </row>
    <row r="196" spans="1:24" x14ac:dyDescent="0.3">
      <c r="A196" t="s">
        <v>1969</v>
      </c>
      <c r="C196" t="s">
        <v>1970</v>
      </c>
      <c r="D196" s="1">
        <v>46027</v>
      </c>
      <c r="E196" t="s">
        <v>1971</v>
      </c>
      <c r="F196">
        <v>9</v>
      </c>
      <c r="G196">
        <v>230</v>
      </c>
      <c r="H196" t="str">
        <f>VLOOKUP(G196,[1]OPERADORES!$A:$B,2,0)</f>
        <v>SÔNIA</v>
      </c>
      <c r="I196" t="s">
        <v>715</v>
      </c>
      <c r="J196" t="s">
        <v>1972</v>
      </c>
      <c r="K196" t="s">
        <v>1973</v>
      </c>
      <c r="L196">
        <v>23076</v>
      </c>
      <c r="M196" t="s">
        <v>97</v>
      </c>
      <c r="O196" t="s">
        <v>11</v>
      </c>
      <c r="P196">
        <v>6403</v>
      </c>
      <c r="Q196">
        <v>12</v>
      </c>
      <c r="R196">
        <v>33.89</v>
      </c>
      <c r="S196">
        <v>406.68</v>
      </c>
      <c r="T196">
        <v>318.36</v>
      </c>
      <c r="U196">
        <v>21.72</v>
      </c>
      <c r="V196" t="str">
        <f>VLOOKUP(L196,'[2]tabela de preços'!$A:$D,4,0)</f>
        <v>WANDA</v>
      </c>
      <c r="W196" t="str">
        <f>VLOOKUP(L196,'[2]tabela de preços'!$A:$F,6,0)</f>
        <v>PRIMER AUTOMOTIVO</v>
      </c>
      <c r="X196" t="str">
        <f>VLOOKUP(L196,'[2]tabela de preços'!$A:$G,7,0)</f>
        <v>AUTOMOTIVO</v>
      </c>
    </row>
    <row r="197" spans="1:24" x14ac:dyDescent="0.3">
      <c r="A197" t="s">
        <v>1969</v>
      </c>
      <c r="C197" t="s">
        <v>1970</v>
      </c>
      <c r="D197" s="1">
        <v>46027</v>
      </c>
      <c r="E197" t="s">
        <v>1971</v>
      </c>
      <c r="F197">
        <v>9</v>
      </c>
      <c r="G197">
        <v>230</v>
      </c>
      <c r="H197" t="str">
        <f>VLOOKUP(G197,[1]OPERADORES!$A:$B,2,0)</f>
        <v>SÔNIA</v>
      </c>
      <c r="I197" t="s">
        <v>715</v>
      </c>
      <c r="J197" t="s">
        <v>1972</v>
      </c>
      <c r="K197" t="s">
        <v>1973</v>
      </c>
      <c r="L197">
        <v>23690</v>
      </c>
      <c r="M197" t="s">
        <v>98</v>
      </c>
      <c r="O197" t="s">
        <v>11</v>
      </c>
      <c r="P197">
        <v>6403</v>
      </c>
      <c r="Q197">
        <v>6</v>
      </c>
      <c r="R197">
        <v>39.89</v>
      </c>
      <c r="S197">
        <v>239.34</v>
      </c>
      <c r="T197">
        <v>189.66</v>
      </c>
      <c r="U197">
        <v>20.76</v>
      </c>
      <c r="V197" t="str">
        <f>VLOOKUP(L197,'[2]tabela de preços'!$A:$D,4,0)</f>
        <v>WANDA</v>
      </c>
      <c r="W197" t="str">
        <f>VLOOKUP(L197,'[2]tabela de preços'!$A:$F,6,0)</f>
        <v>VERNIZ AUTOMOTIVO</v>
      </c>
      <c r="X197" t="str">
        <f>VLOOKUP(L197,'[2]tabela de preços'!$A:$G,7,0)</f>
        <v>AUTOMOTIVO</v>
      </c>
    </row>
    <row r="198" spans="1:24" x14ac:dyDescent="0.3">
      <c r="A198" t="s">
        <v>1969</v>
      </c>
      <c r="C198" t="s">
        <v>1970</v>
      </c>
      <c r="D198" s="1">
        <v>46027</v>
      </c>
      <c r="E198" t="s">
        <v>1971</v>
      </c>
      <c r="F198">
        <v>9</v>
      </c>
      <c r="G198">
        <v>230</v>
      </c>
      <c r="H198" t="str">
        <f>VLOOKUP(G198,[1]OPERADORES!$A:$B,2,0)</f>
        <v>SÔNIA</v>
      </c>
      <c r="I198" t="s">
        <v>715</v>
      </c>
      <c r="J198" t="s">
        <v>1972</v>
      </c>
      <c r="K198" t="s">
        <v>1973</v>
      </c>
      <c r="L198">
        <v>15</v>
      </c>
      <c r="M198" t="s">
        <v>205</v>
      </c>
      <c r="O198" t="s">
        <v>11</v>
      </c>
      <c r="P198">
        <v>6102</v>
      </c>
      <c r="Q198">
        <v>15</v>
      </c>
      <c r="R198">
        <v>5.65</v>
      </c>
      <c r="S198">
        <v>84.75</v>
      </c>
      <c r="T198">
        <v>62.4</v>
      </c>
      <c r="U198">
        <v>26.37</v>
      </c>
      <c r="V198" t="str">
        <f>VLOOKUP(L198,'[2]tabela de preços'!$A:$D,4,0)</f>
        <v>3M</v>
      </c>
      <c r="W198" t="str">
        <f>VLOOKUP(L198,'[2]tabela de preços'!$A:$F,6,0)</f>
        <v>LIXA DÁGUA</v>
      </c>
      <c r="X198" t="str">
        <f>VLOOKUP(L198,'[2]tabela de preços'!$A:$G,7,0)</f>
        <v>AUTOMOTIVO</v>
      </c>
    </row>
    <row r="199" spans="1:24" x14ac:dyDescent="0.3">
      <c r="A199" t="s">
        <v>1969</v>
      </c>
      <c r="C199" t="s">
        <v>1970</v>
      </c>
      <c r="D199" s="1">
        <v>46027</v>
      </c>
      <c r="E199" t="s">
        <v>1971</v>
      </c>
      <c r="F199">
        <v>9</v>
      </c>
      <c r="G199">
        <v>230</v>
      </c>
      <c r="H199" t="str">
        <f>VLOOKUP(G199,[1]OPERADORES!$A:$B,2,0)</f>
        <v>SÔNIA</v>
      </c>
      <c r="I199" t="s">
        <v>715</v>
      </c>
      <c r="J199" t="s">
        <v>1972</v>
      </c>
      <c r="K199" t="s">
        <v>1973</v>
      </c>
      <c r="L199">
        <v>16</v>
      </c>
      <c r="M199" t="s">
        <v>122</v>
      </c>
      <c r="O199" t="s">
        <v>11</v>
      </c>
      <c r="P199">
        <v>6102</v>
      </c>
      <c r="Q199">
        <v>15</v>
      </c>
      <c r="R199">
        <v>2.9</v>
      </c>
      <c r="S199">
        <v>43.5</v>
      </c>
      <c r="T199">
        <v>33</v>
      </c>
      <c r="U199">
        <v>24.14</v>
      </c>
      <c r="V199" t="str">
        <f>VLOOKUP(L199,'[2]tabela de preços'!$A:$D,4,0)</f>
        <v>3M</v>
      </c>
      <c r="W199" t="str">
        <f>VLOOKUP(L199,'[2]tabela de preços'!$A:$F,6,0)</f>
        <v>LIXA DÁGUA</v>
      </c>
      <c r="X199" t="str">
        <f>VLOOKUP(L199,'[2]tabela de preços'!$A:$G,7,0)</f>
        <v>AUTOMOTIVO</v>
      </c>
    </row>
    <row r="200" spans="1:24" x14ac:dyDescent="0.3">
      <c r="A200" t="s">
        <v>1969</v>
      </c>
      <c r="C200" t="s">
        <v>1970</v>
      </c>
      <c r="D200" s="1">
        <v>46027</v>
      </c>
      <c r="E200" t="s">
        <v>1971</v>
      </c>
      <c r="F200">
        <v>9</v>
      </c>
      <c r="G200">
        <v>230</v>
      </c>
      <c r="H200" t="str">
        <f>VLOOKUP(G200,[1]OPERADORES!$A:$B,2,0)</f>
        <v>SÔNIA</v>
      </c>
      <c r="I200" t="s">
        <v>715</v>
      </c>
      <c r="J200" t="s">
        <v>1972</v>
      </c>
      <c r="K200" t="s">
        <v>1973</v>
      </c>
      <c r="L200">
        <v>83819</v>
      </c>
      <c r="M200" t="s">
        <v>1237</v>
      </c>
      <c r="O200" t="s">
        <v>11</v>
      </c>
      <c r="P200">
        <v>6102</v>
      </c>
      <c r="Q200">
        <v>15</v>
      </c>
      <c r="R200">
        <v>3.49</v>
      </c>
      <c r="S200">
        <v>52.35</v>
      </c>
      <c r="T200">
        <v>39.75</v>
      </c>
      <c r="U200">
        <v>24.07</v>
      </c>
      <c r="V200" t="str">
        <f>VLOOKUP(L200,'[2]tabela de preços'!$A:$D,4,0)</f>
        <v>3M</v>
      </c>
      <c r="W200" t="str">
        <f>VLOOKUP(L200,'[2]tabela de preços'!$A:$F,6,0)</f>
        <v>LIXA DÁGUA</v>
      </c>
      <c r="X200" t="str">
        <f>VLOOKUP(L200,'[2]tabela de preços'!$A:$G,7,0)</f>
        <v>AUTOMOTIVO</v>
      </c>
    </row>
    <row r="201" spans="1:24" x14ac:dyDescent="0.3">
      <c r="A201" t="s">
        <v>1969</v>
      </c>
      <c r="C201" t="s">
        <v>1970</v>
      </c>
      <c r="D201" s="1">
        <v>46027</v>
      </c>
      <c r="E201" t="s">
        <v>1971</v>
      </c>
      <c r="F201">
        <v>9</v>
      </c>
      <c r="G201">
        <v>230</v>
      </c>
      <c r="H201" t="str">
        <f>VLOOKUP(G201,[1]OPERADORES!$A:$B,2,0)</f>
        <v>SÔNIA</v>
      </c>
      <c r="I201" t="s">
        <v>715</v>
      </c>
      <c r="J201" t="s">
        <v>1972</v>
      </c>
      <c r="K201" t="s">
        <v>1973</v>
      </c>
      <c r="L201">
        <v>10238</v>
      </c>
      <c r="M201" t="s">
        <v>79</v>
      </c>
      <c r="O201" t="s">
        <v>11</v>
      </c>
      <c r="P201">
        <v>6102</v>
      </c>
      <c r="Q201">
        <v>15</v>
      </c>
      <c r="R201">
        <v>2.79</v>
      </c>
      <c r="S201">
        <v>41.85</v>
      </c>
      <c r="T201">
        <v>34.049999999999997</v>
      </c>
      <c r="U201">
        <v>18.64</v>
      </c>
      <c r="V201" t="str">
        <f>VLOOKUP(L201,'[2]tabela de preços'!$A:$D,4,0)</f>
        <v>NORTON</v>
      </c>
      <c r="W201" t="str">
        <f>VLOOKUP(L201,'[2]tabela de preços'!$A:$F,6,0)</f>
        <v xml:space="preserve">DISCOS / LIXAS / ABRASIVOS </v>
      </c>
      <c r="X201" t="str">
        <f>VLOOKUP(L201,'[2]tabela de preços'!$A:$G,7,0)</f>
        <v>AUTOMOTIVO</v>
      </c>
    </row>
    <row r="202" spans="1:24" x14ac:dyDescent="0.3">
      <c r="A202" t="s">
        <v>1969</v>
      </c>
      <c r="C202" t="s">
        <v>1970</v>
      </c>
      <c r="D202" s="1">
        <v>46027</v>
      </c>
      <c r="E202" t="s">
        <v>1971</v>
      </c>
      <c r="F202">
        <v>9</v>
      </c>
      <c r="G202">
        <v>230</v>
      </c>
      <c r="H202" t="str">
        <f>VLOOKUP(G202,[1]OPERADORES!$A:$B,2,0)</f>
        <v>SÔNIA</v>
      </c>
      <c r="I202" t="s">
        <v>715</v>
      </c>
      <c r="J202" t="s">
        <v>1972</v>
      </c>
      <c r="K202" t="s">
        <v>1973</v>
      </c>
      <c r="L202">
        <v>10240</v>
      </c>
      <c r="M202" t="s">
        <v>81</v>
      </c>
      <c r="O202" t="s">
        <v>11</v>
      </c>
      <c r="P202">
        <v>6102</v>
      </c>
      <c r="Q202">
        <v>15</v>
      </c>
      <c r="R202">
        <v>2.79</v>
      </c>
      <c r="S202">
        <v>41.85</v>
      </c>
      <c r="T202">
        <v>34.200000000000003</v>
      </c>
      <c r="U202">
        <v>18.28</v>
      </c>
      <c r="V202" t="str">
        <f>VLOOKUP(L202,'[2]tabela de preços'!$A:$D,4,0)</f>
        <v>NORTON</v>
      </c>
      <c r="W202" t="str">
        <f>VLOOKUP(L202,'[2]tabela de preços'!$A:$F,6,0)</f>
        <v xml:space="preserve">DISCOS / LIXAS / ABRASIVOS </v>
      </c>
      <c r="X202" t="str">
        <f>VLOOKUP(L202,'[2]tabela de preços'!$A:$G,7,0)</f>
        <v>AUTOMOTIVO</v>
      </c>
    </row>
    <row r="203" spans="1:24" x14ac:dyDescent="0.3">
      <c r="A203" t="s">
        <v>1969</v>
      </c>
      <c r="C203" t="s">
        <v>1970</v>
      </c>
      <c r="D203" s="1">
        <v>46027</v>
      </c>
      <c r="E203" t="s">
        <v>1971</v>
      </c>
      <c r="F203">
        <v>9</v>
      </c>
      <c r="G203">
        <v>230</v>
      </c>
      <c r="H203" t="str">
        <f>VLOOKUP(G203,[1]OPERADORES!$A:$B,2,0)</f>
        <v>SÔNIA</v>
      </c>
      <c r="I203" t="s">
        <v>715</v>
      </c>
      <c r="J203" t="s">
        <v>1972</v>
      </c>
      <c r="K203" t="s">
        <v>1973</v>
      </c>
      <c r="L203">
        <v>10297</v>
      </c>
      <c r="M203" t="s">
        <v>41</v>
      </c>
      <c r="O203" t="s">
        <v>11</v>
      </c>
      <c r="P203">
        <v>6102</v>
      </c>
      <c r="Q203">
        <v>12</v>
      </c>
      <c r="R203">
        <v>10.95</v>
      </c>
      <c r="S203">
        <v>131.4</v>
      </c>
      <c r="T203">
        <v>110.04</v>
      </c>
      <c r="U203">
        <v>16.260000000000002</v>
      </c>
      <c r="V203" t="str">
        <f>VLOOKUP(L203,'[2]tabela de preços'!$A:$D,4,0)</f>
        <v>ANJO</v>
      </c>
      <c r="W203" t="str">
        <f>VLOOKUP(L203,'[2]tabela de preços'!$A:$F,6,0)</f>
        <v>THINNER DE LIMPEZA</v>
      </c>
      <c r="X203" t="str">
        <f>VLOOKUP(L203,'[2]tabela de preços'!$A:$G,7,0)</f>
        <v>THINNER</v>
      </c>
    </row>
    <row r="204" spans="1:24" x14ac:dyDescent="0.3">
      <c r="A204" t="s">
        <v>1969</v>
      </c>
      <c r="C204" t="s">
        <v>1970</v>
      </c>
      <c r="D204" s="1">
        <v>46027</v>
      </c>
      <c r="E204" t="s">
        <v>1971</v>
      </c>
      <c r="F204">
        <v>9</v>
      </c>
      <c r="G204">
        <v>230</v>
      </c>
      <c r="H204" t="str">
        <f>VLOOKUP(G204,[1]OPERADORES!$A:$B,2,0)</f>
        <v>SÔNIA</v>
      </c>
      <c r="I204" t="s">
        <v>715</v>
      </c>
      <c r="J204" t="s">
        <v>1972</v>
      </c>
      <c r="K204" t="s">
        <v>1973</v>
      </c>
      <c r="L204">
        <v>20414</v>
      </c>
      <c r="M204" t="s">
        <v>112</v>
      </c>
      <c r="O204" t="s">
        <v>11</v>
      </c>
      <c r="P204">
        <v>6102</v>
      </c>
      <c r="Q204">
        <v>20</v>
      </c>
      <c r="R204">
        <v>21.89</v>
      </c>
      <c r="S204">
        <v>437.8</v>
      </c>
      <c r="T204">
        <v>360</v>
      </c>
      <c r="U204">
        <v>17.77</v>
      </c>
      <c r="V204" t="str">
        <f>VLOOKUP(L204,'[2]tabela de preços'!$A:$D,4,0)</f>
        <v>SHERWIN WILLIAMS</v>
      </c>
      <c r="W204" t="str">
        <f>VLOOKUP(L204,'[2]tabela de preços'!$A:$F,6,0)</f>
        <v>DILUENTE</v>
      </c>
      <c r="X204" t="str">
        <f>VLOOKUP(L204,'[2]tabela de preços'!$A:$G,7,0)</f>
        <v>AUTOMOTIVO</v>
      </c>
    </row>
    <row r="205" spans="1:24" x14ac:dyDescent="0.3">
      <c r="A205" t="s">
        <v>2221</v>
      </c>
      <c r="B205" t="s">
        <v>2222</v>
      </c>
      <c r="C205" t="s">
        <v>2223</v>
      </c>
      <c r="D205" s="1">
        <v>46027</v>
      </c>
      <c r="E205" t="s">
        <v>2224</v>
      </c>
      <c r="F205">
        <v>9</v>
      </c>
      <c r="G205">
        <v>236</v>
      </c>
      <c r="H205" t="str">
        <f>VLOOKUP(G205,[1]OPERADORES!$A:$B,2,0)</f>
        <v>DANIEL</v>
      </c>
      <c r="I205" t="s">
        <v>21</v>
      </c>
      <c r="J205" t="s">
        <v>2225</v>
      </c>
      <c r="K205" t="s">
        <v>2226</v>
      </c>
      <c r="L205">
        <v>85666</v>
      </c>
      <c r="M205" t="s">
        <v>341</v>
      </c>
      <c r="O205" t="s">
        <v>11</v>
      </c>
      <c r="P205">
        <v>5403</v>
      </c>
      <c r="Q205">
        <v>20</v>
      </c>
      <c r="R205">
        <v>13.89</v>
      </c>
      <c r="S205">
        <v>277.8</v>
      </c>
      <c r="T205">
        <v>239.8</v>
      </c>
      <c r="U205">
        <v>13.68</v>
      </c>
      <c r="V205" t="str">
        <f>VLOOKUP(L205,'[2]tabela de preços'!$A:$D,4,0)</f>
        <v>UNIPEGA</v>
      </c>
      <c r="W205" t="str">
        <f>VLOOKUP(L205,'[2]tabela de preços'!$A:$F,6,0)</f>
        <v xml:space="preserve">SPRAYS </v>
      </c>
      <c r="X205" t="str">
        <f>VLOOKUP(L205,'[2]tabela de preços'!$A:$G,7,0)</f>
        <v>AUTOMOTIVO</v>
      </c>
    </row>
    <row r="206" spans="1:24" x14ac:dyDescent="0.3">
      <c r="A206" t="s">
        <v>2221</v>
      </c>
      <c r="B206" t="s">
        <v>2222</v>
      </c>
      <c r="C206" t="s">
        <v>2223</v>
      </c>
      <c r="D206" s="1">
        <v>46027</v>
      </c>
      <c r="E206" t="s">
        <v>2224</v>
      </c>
      <c r="F206">
        <v>9</v>
      </c>
      <c r="G206">
        <v>236</v>
      </c>
      <c r="H206" t="str">
        <f>VLOOKUP(G206,[1]OPERADORES!$A:$B,2,0)</f>
        <v>DANIEL</v>
      </c>
      <c r="I206" t="s">
        <v>21</v>
      </c>
      <c r="J206" t="s">
        <v>2225</v>
      </c>
      <c r="K206" t="s">
        <v>2226</v>
      </c>
      <c r="L206">
        <v>85661</v>
      </c>
      <c r="M206" t="s">
        <v>342</v>
      </c>
      <c r="O206" t="s">
        <v>11</v>
      </c>
      <c r="P206">
        <v>5403</v>
      </c>
      <c r="Q206">
        <v>10</v>
      </c>
      <c r="R206">
        <v>13.89</v>
      </c>
      <c r="S206">
        <v>138.9</v>
      </c>
      <c r="T206">
        <v>110</v>
      </c>
      <c r="U206">
        <v>20.81</v>
      </c>
      <c r="V206" t="str">
        <f>VLOOKUP(L206,'[2]tabela de preços'!$A:$D,4,0)</f>
        <v>UNIPEGA</v>
      </c>
      <c r="W206" t="str">
        <f>VLOOKUP(L206,'[2]tabela de preços'!$A:$F,6,0)</f>
        <v xml:space="preserve">SPRAYS </v>
      </c>
      <c r="X206" t="str">
        <f>VLOOKUP(L206,'[2]tabela de preços'!$A:$G,7,0)</f>
        <v>AUTOMOTIVO</v>
      </c>
    </row>
    <row r="207" spans="1:24" x14ac:dyDescent="0.3">
      <c r="A207" t="s">
        <v>123</v>
      </c>
      <c r="C207" t="s">
        <v>131</v>
      </c>
      <c r="D207" s="1">
        <v>46028</v>
      </c>
      <c r="E207" t="s">
        <v>132</v>
      </c>
      <c r="F207">
        <v>9</v>
      </c>
      <c r="G207">
        <v>174</v>
      </c>
      <c r="H207" t="str">
        <f>VLOOKUP(G207,[1]OPERADORES!$A:$B,2,0)</f>
        <v>MIRIÃ LOBATO RODRIGUES</v>
      </c>
      <c r="I207" t="s">
        <v>126</v>
      </c>
      <c r="J207" t="s">
        <v>127</v>
      </c>
      <c r="K207" t="s">
        <v>128</v>
      </c>
      <c r="L207">
        <v>10236</v>
      </c>
      <c r="M207" t="s">
        <v>133</v>
      </c>
      <c r="O207" t="s">
        <v>11</v>
      </c>
      <c r="P207">
        <v>6102</v>
      </c>
      <c r="Q207">
        <v>30</v>
      </c>
      <c r="R207">
        <v>2.79</v>
      </c>
      <c r="S207">
        <v>83.7</v>
      </c>
      <c r="T207">
        <v>71.099999999999994</v>
      </c>
      <c r="U207">
        <v>15.05</v>
      </c>
      <c r="V207" t="str">
        <f>VLOOKUP(L207,'[2]tabela de preços'!$A:$D,4,0)</f>
        <v>NORTON</v>
      </c>
      <c r="W207" t="str">
        <f>VLOOKUP(L207,'[2]tabela de preços'!$A:$F,6,0)</f>
        <v xml:space="preserve">DISCOS / LIXAS / ABRASIVOS </v>
      </c>
      <c r="X207" t="str">
        <f>VLOOKUP(L207,'[2]tabela de preços'!$A:$G,7,0)</f>
        <v>AUTOMOTIVO</v>
      </c>
    </row>
    <row r="208" spans="1:24" x14ac:dyDescent="0.3">
      <c r="A208" t="s">
        <v>123</v>
      </c>
      <c r="C208" t="s">
        <v>131</v>
      </c>
      <c r="D208" s="1">
        <v>46028</v>
      </c>
      <c r="E208" t="s">
        <v>132</v>
      </c>
      <c r="F208">
        <v>9</v>
      </c>
      <c r="G208">
        <v>174</v>
      </c>
      <c r="H208" t="str">
        <f>VLOOKUP(G208,[1]OPERADORES!$A:$B,2,0)</f>
        <v>MIRIÃ LOBATO RODRIGUES</v>
      </c>
      <c r="I208" t="s">
        <v>126</v>
      </c>
      <c r="J208" t="s">
        <v>127</v>
      </c>
      <c r="K208" t="s">
        <v>128</v>
      </c>
      <c r="L208">
        <v>10232</v>
      </c>
      <c r="M208" t="s">
        <v>134</v>
      </c>
      <c r="O208" t="s">
        <v>11</v>
      </c>
      <c r="P208">
        <v>6102</v>
      </c>
      <c r="Q208">
        <v>10</v>
      </c>
      <c r="R208">
        <v>2.79</v>
      </c>
      <c r="S208">
        <v>27.9</v>
      </c>
      <c r="T208">
        <v>22.9</v>
      </c>
      <c r="U208">
        <v>17.920000000000002</v>
      </c>
      <c r="V208" t="str">
        <f>VLOOKUP(L208,'[2]tabela de preços'!$A:$D,4,0)</f>
        <v>NORTON</v>
      </c>
      <c r="W208" t="str">
        <f>VLOOKUP(L208,'[2]tabela de preços'!$A:$F,6,0)</f>
        <v xml:space="preserve">DISCOS / LIXAS / ABRASIVOS </v>
      </c>
      <c r="X208" t="str">
        <f>VLOOKUP(L208,'[2]tabela de preços'!$A:$G,7,0)</f>
        <v>AUTOMOTIVO</v>
      </c>
    </row>
    <row r="209" spans="1:24" x14ac:dyDescent="0.3">
      <c r="A209" t="s">
        <v>123</v>
      </c>
      <c r="C209" t="s">
        <v>131</v>
      </c>
      <c r="D209" s="1">
        <v>46028</v>
      </c>
      <c r="E209" t="s">
        <v>132</v>
      </c>
      <c r="F209">
        <v>9</v>
      </c>
      <c r="G209">
        <v>174</v>
      </c>
      <c r="H209" t="str">
        <f>VLOOKUP(G209,[1]OPERADORES!$A:$B,2,0)</f>
        <v>MIRIÃ LOBATO RODRIGUES</v>
      </c>
      <c r="I209" t="s">
        <v>126</v>
      </c>
      <c r="J209" t="s">
        <v>127</v>
      </c>
      <c r="K209" t="s">
        <v>128</v>
      </c>
      <c r="L209">
        <v>10277</v>
      </c>
      <c r="M209" t="s">
        <v>135</v>
      </c>
      <c r="O209" t="s">
        <v>11</v>
      </c>
      <c r="P209">
        <v>6102</v>
      </c>
      <c r="Q209">
        <v>4</v>
      </c>
      <c r="R209">
        <v>16.97</v>
      </c>
      <c r="S209">
        <v>67.88</v>
      </c>
      <c r="T209">
        <v>51.52</v>
      </c>
      <c r="U209">
        <v>24.1</v>
      </c>
      <c r="V209" t="str">
        <f>VLOOKUP(L209,'[2]tabela de preços'!$A:$D,4,0)</f>
        <v>RETOQUE</v>
      </c>
      <c r="W209" t="str">
        <f>VLOOKUP(L209,'[2]tabela de preços'!$A:$F,6,0)</f>
        <v xml:space="preserve">COLA  PLÁSTICA </v>
      </c>
      <c r="X209" t="str">
        <f>VLOOKUP(L209,'[2]tabela de preços'!$A:$G,7,0)</f>
        <v>AUTOMOTIVO</v>
      </c>
    </row>
    <row r="210" spans="1:24" x14ac:dyDescent="0.3">
      <c r="A210" t="s">
        <v>123</v>
      </c>
      <c r="C210" t="s">
        <v>131</v>
      </c>
      <c r="D210" s="1">
        <v>46028</v>
      </c>
      <c r="E210" t="s">
        <v>132</v>
      </c>
      <c r="F210">
        <v>9</v>
      </c>
      <c r="G210">
        <v>174</v>
      </c>
      <c r="H210" t="str">
        <f>VLOOKUP(G210,[1]OPERADORES!$A:$B,2,0)</f>
        <v>MIRIÃ LOBATO RODRIGUES</v>
      </c>
      <c r="I210" t="s">
        <v>126</v>
      </c>
      <c r="J210" t="s">
        <v>127</v>
      </c>
      <c r="K210" t="s">
        <v>128</v>
      </c>
      <c r="L210">
        <v>20318</v>
      </c>
      <c r="M210" t="s">
        <v>136</v>
      </c>
      <c r="O210" t="s">
        <v>11</v>
      </c>
      <c r="P210">
        <v>6403</v>
      </c>
      <c r="Q210">
        <v>1</v>
      </c>
      <c r="R210">
        <v>33.4</v>
      </c>
      <c r="S210">
        <v>33.4</v>
      </c>
      <c r="T210">
        <v>23.81</v>
      </c>
      <c r="U210">
        <v>28.71</v>
      </c>
      <c r="V210" t="str">
        <f>VLOOKUP(L210,'[2]tabela de preços'!$A:$D,4,0)</f>
        <v>SHERWIN WILLIAMS</v>
      </c>
      <c r="W210" t="str">
        <f>VLOOKUP(L210,'[2]tabela de preços'!$A:$F,6,0)</f>
        <v>TINTAS POLIÉSTER</v>
      </c>
      <c r="X210" t="str">
        <f>VLOOKUP(L210,'[2]tabela de preços'!$A:$G,7,0)</f>
        <v>AUTOMOTIVO</v>
      </c>
    </row>
    <row r="211" spans="1:24" x14ac:dyDescent="0.3">
      <c r="A211" t="s">
        <v>123</v>
      </c>
      <c r="C211" t="s">
        <v>131</v>
      </c>
      <c r="D211" s="1">
        <v>46028</v>
      </c>
      <c r="E211" t="s">
        <v>132</v>
      </c>
      <c r="F211">
        <v>9</v>
      </c>
      <c r="G211">
        <v>174</v>
      </c>
      <c r="H211" t="str">
        <f>VLOOKUP(G211,[1]OPERADORES!$A:$B,2,0)</f>
        <v>MIRIÃ LOBATO RODRIGUES</v>
      </c>
      <c r="I211" t="s">
        <v>126</v>
      </c>
      <c r="J211" t="s">
        <v>127</v>
      </c>
      <c r="K211" t="s">
        <v>128</v>
      </c>
      <c r="L211">
        <v>16</v>
      </c>
      <c r="M211" t="s">
        <v>122</v>
      </c>
      <c r="O211" t="s">
        <v>11</v>
      </c>
      <c r="P211">
        <v>6102</v>
      </c>
      <c r="Q211">
        <v>10</v>
      </c>
      <c r="R211">
        <v>2.97</v>
      </c>
      <c r="S211">
        <v>29.7</v>
      </c>
      <c r="T211">
        <v>22</v>
      </c>
      <c r="U211">
        <v>25.93</v>
      </c>
      <c r="V211" t="str">
        <f>VLOOKUP(L211,'[2]tabela de preços'!$A:$D,4,0)</f>
        <v>3M</v>
      </c>
      <c r="W211" t="str">
        <f>VLOOKUP(L211,'[2]tabela de preços'!$A:$F,6,0)</f>
        <v>LIXA DÁGUA</v>
      </c>
      <c r="X211" t="str">
        <f>VLOOKUP(L211,'[2]tabela de preços'!$A:$G,7,0)</f>
        <v>AUTOMOTIVO</v>
      </c>
    </row>
    <row r="212" spans="1:24" x14ac:dyDescent="0.3">
      <c r="A212" t="s">
        <v>123</v>
      </c>
      <c r="C212" t="s">
        <v>131</v>
      </c>
      <c r="D212" s="1">
        <v>46028</v>
      </c>
      <c r="E212" t="s">
        <v>132</v>
      </c>
      <c r="F212">
        <v>9</v>
      </c>
      <c r="G212">
        <v>174</v>
      </c>
      <c r="H212" t="str">
        <f>VLOOKUP(G212,[1]OPERADORES!$A:$B,2,0)</f>
        <v>MIRIÃ LOBATO RODRIGUES</v>
      </c>
      <c r="I212" t="s">
        <v>126</v>
      </c>
      <c r="J212" t="s">
        <v>127</v>
      </c>
      <c r="K212" t="s">
        <v>128</v>
      </c>
      <c r="L212">
        <v>10242</v>
      </c>
      <c r="M212" t="s">
        <v>82</v>
      </c>
      <c r="O212" t="s">
        <v>11</v>
      </c>
      <c r="P212">
        <v>6102</v>
      </c>
      <c r="Q212">
        <v>30</v>
      </c>
      <c r="R212">
        <v>2.79</v>
      </c>
      <c r="S212">
        <v>83.7</v>
      </c>
      <c r="T212">
        <v>68.400000000000006</v>
      </c>
      <c r="U212">
        <v>18.28</v>
      </c>
      <c r="V212" t="str">
        <f>VLOOKUP(L212,'[2]tabela de preços'!$A:$D,4,0)</f>
        <v>NORTON</v>
      </c>
      <c r="W212" t="str">
        <f>VLOOKUP(L212,'[2]tabela de preços'!$A:$F,6,0)</f>
        <v xml:space="preserve">DISCOS / LIXAS / ABRASIVOS </v>
      </c>
      <c r="X212" t="str">
        <f>VLOOKUP(L212,'[2]tabela de preços'!$A:$G,7,0)</f>
        <v>AUTOMOTIVO</v>
      </c>
    </row>
    <row r="213" spans="1:24" x14ac:dyDescent="0.3">
      <c r="A213" t="s">
        <v>123</v>
      </c>
      <c r="C213" t="s">
        <v>131</v>
      </c>
      <c r="D213" s="1">
        <v>46028</v>
      </c>
      <c r="E213" t="s">
        <v>132</v>
      </c>
      <c r="F213">
        <v>9</v>
      </c>
      <c r="G213">
        <v>174</v>
      </c>
      <c r="H213" t="str">
        <f>VLOOKUP(G213,[1]OPERADORES!$A:$B,2,0)</f>
        <v>MIRIÃ LOBATO RODRIGUES</v>
      </c>
      <c r="I213" t="s">
        <v>126</v>
      </c>
      <c r="J213" t="s">
        <v>127</v>
      </c>
      <c r="K213" t="s">
        <v>128</v>
      </c>
      <c r="L213">
        <v>10243</v>
      </c>
      <c r="M213" t="s">
        <v>83</v>
      </c>
      <c r="O213" t="s">
        <v>11</v>
      </c>
      <c r="P213">
        <v>6102</v>
      </c>
      <c r="Q213">
        <v>15</v>
      </c>
      <c r="R213">
        <v>2.79</v>
      </c>
      <c r="S213">
        <v>41.85</v>
      </c>
      <c r="T213">
        <v>29.25</v>
      </c>
      <c r="U213">
        <v>30.11</v>
      </c>
      <c r="V213" t="str">
        <f>VLOOKUP(L213,'[2]tabela de preços'!$A:$D,4,0)</f>
        <v>NORTON</v>
      </c>
      <c r="W213" t="str">
        <f>VLOOKUP(L213,'[2]tabela de preços'!$A:$F,6,0)</f>
        <v xml:space="preserve">DISCOS / LIXAS / ABRASIVOS </v>
      </c>
      <c r="X213" t="str">
        <f>VLOOKUP(L213,'[2]tabela de preços'!$A:$G,7,0)</f>
        <v>AUTOMOTIVO</v>
      </c>
    </row>
    <row r="214" spans="1:24" x14ac:dyDescent="0.3">
      <c r="A214" t="s">
        <v>123</v>
      </c>
      <c r="C214" t="s">
        <v>131</v>
      </c>
      <c r="D214" s="1">
        <v>46028</v>
      </c>
      <c r="E214" t="s">
        <v>132</v>
      </c>
      <c r="F214">
        <v>9</v>
      </c>
      <c r="G214">
        <v>174</v>
      </c>
      <c r="H214" t="str">
        <f>VLOOKUP(G214,[1]OPERADORES!$A:$B,2,0)</f>
        <v>MIRIÃ LOBATO RODRIGUES</v>
      </c>
      <c r="I214" t="s">
        <v>126</v>
      </c>
      <c r="J214" t="s">
        <v>127</v>
      </c>
      <c r="K214" t="s">
        <v>128</v>
      </c>
      <c r="L214">
        <v>10244</v>
      </c>
      <c r="M214" t="s">
        <v>84</v>
      </c>
      <c r="O214" t="s">
        <v>11</v>
      </c>
      <c r="P214">
        <v>6102</v>
      </c>
      <c r="Q214">
        <v>30</v>
      </c>
      <c r="R214">
        <v>2.79</v>
      </c>
      <c r="S214">
        <v>83.7</v>
      </c>
      <c r="T214">
        <v>59.1</v>
      </c>
      <c r="U214">
        <v>29.39</v>
      </c>
      <c r="V214" t="str">
        <f>VLOOKUP(L214,'[2]tabela de preços'!$A:$D,4,0)</f>
        <v>NORTON</v>
      </c>
      <c r="W214" t="str">
        <f>VLOOKUP(L214,'[2]tabela de preços'!$A:$F,6,0)</f>
        <v xml:space="preserve">DISCOS / LIXAS / ABRASIVOS </v>
      </c>
      <c r="X214" t="str">
        <f>VLOOKUP(L214,'[2]tabela de preços'!$A:$G,7,0)</f>
        <v>AUTOMOTIVO</v>
      </c>
    </row>
    <row r="215" spans="1:24" x14ac:dyDescent="0.3">
      <c r="A215" t="s">
        <v>123</v>
      </c>
      <c r="C215" t="s">
        <v>131</v>
      </c>
      <c r="D215" s="1">
        <v>46028</v>
      </c>
      <c r="E215" t="s">
        <v>132</v>
      </c>
      <c r="F215">
        <v>9</v>
      </c>
      <c r="G215">
        <v>174</v>
      </c>
      <c r="H215" t="str">
        <f>VLOOKUP(G215,[1]OPERADORES!$A:$B,2,0)</f>
        <v>MIRIÃ LOBATO RODRIGUES</v>
      </c>
      <c r="I215" t="s">
        <v>126</v>
      </c>
      <c r="J215" t="s">
        <v>127</v>
      </c>
      <c r="K215" t="s">
        <v>128</v>
      </c>
      <c r="L215">
        <v>20525</v>
      </c>
      <c r="M215" t="s">
        <v>137</v>
      </c>
      <c r="O215" t="s">
        <v>11</v>
      </c>
      <c r="P215">
        <v>6102</v>
      </c>
      <c r="Q215">
        <v>5</v>
      </c>
      <c r="R215">
        <v>13.65</v>
      </c>
      <c r="S215">
        <v>68.25</v>
      </c>
      <c r="T215">
        <v>51.8</v>
      </c>
      <c r="U215">
        <v>24.1</v>
      </c>
      <c r="V215" t="str">
        <f>VLOOKUP(L215,'[2]tabela de preços'!$A:$D,4,0)</f>
        <v>SHERWIN WILLIAMS</v>
      </c>
      <c r="W215" t="str">
        <f>VLOOKUP(L215,'[2]tabela de preços'!$A:$F,6,0)</f>
        <v>MASSA DE PEQUENOS REPAROS</v>
      </c>
      <c r="X215" t="str">
        <f>VLOOKUP(L215,'[2]tabela de preços'!$A:$G,7,0)</f>
        <v>AUTOMOTIVO</v>
      </c>
    </row>
    <row r="216" spans="1:24" x14ac:dyDescent="0.3">
      <c r="A216" t="s">
        <v>123</v>
      </c>
      <c r="C216" t="s">
        <v>131</v>
      </c>
      <c r="D216" s="1">
        <v>46028</v>
      </c>
      <c r="E216" t="s">
        <v>132</v>
      </c>
      <c r="F216">
        <v>9</v>
      </c>
      <c r="G216">
        <v>174</v>
      </c>
      <c r="H216" t="str">
        <f>VLOOKUP(G216,[1]OPERADORES!$A:$B,2,0)</f>
        <v>MIRIÃ LOBATO RODRIGUES</v>
      </c>
      <c r="I216" t="s">
        <v>126</v>
      </c>
      <c r="J216" t="s">
        <v>127</v>
      </c>
      <c r="K216" t="s">
        <v>128</v>
      </c>
      <c r="L216">
        <v>10402</v>
      </c>
      <c r="M216" t="s">
        <v>138</v>
      </c>
      <c r="O216" t="s">
        <v>11</v>
      </c>
      <c r="P216">
        <v>6102</v>
      </c>
      <c r="Q216">
        <v>1</v>
      </c>
      <c r="R216">
        <v>22.83</v>
      </c>
      <c r="S216">
        <v>22.83</v>
      </c>
      <c r="T216">
        <v>17.329999999999998</v>
      </c>
      <c r="U216">
        <v>24.09</v>
      </c>
      <c r="V216" t="str">
        <f>VLOOKUP(L216,'[2]tabela de preços'!$A:$D,4,0)</f>
        <v>MAXI RUBBER</v>
      </c>
      <c r="W216" t="str">
        <f>VLOOKUP(L216,'[2]tabela de preços'!$A:$F,6,0)</f>
        <v>REMOVEDOR PASTOSO</v>
      </c>
      <c r="X216" t="str">
        <f>VLOOKUP(L216,'[2]tabela de preços'!$A:$G,7,0)</f>
        <v>AUTOMOTIVO</v>
      </c>
    </row>
    <row r="217" spans="1:24" x14ac:dyDescent="0.3">
      <c r="A217" t="s">
        <v>123</v>
      </c>
      <c r="C217" t="s">
        <v>139</v>
      </c>
      <c r="D217" s="1">
        <v>46028</v>
      </c>
      <c r="E217" t="s">
        <v>140</v>
      </c>
      <c r="F217">
        <v>9</v>
      </c>
      <c r="G217">
        <v>174</v>
      </c>
      <c r="H217" t="str">
        <f>VLOOKUP(G217,[1]OPERADORES!$A:$B,2,0)</f>
        <v>MIRIÃ LOBATO RODRIGUES</v>
      </c>
      <c r="I217" t="s">
        <v>126</v>
      </c>
      <c r="J217" t="s">
        <v>127</v>
      </c>
      <c r="K217" t="s">
        <v>128</v>
      </c>
      <c r="L217">
        <v>21078</v>
      </c>
      <c r="M217" t="s">
        <v>141</v>
      </c>
      <c r="O217" t="s">
        <v>11</v>
      </c>
      <c r="P217">
        <v>6102</v>
      </c>
      <c r="Q217">
        <v>4</v>
      </c>
      <c r="R217">
        <v>24.58</v>
      </c>
      <c r="S217">
        <v>98.32</v>
      </c>
      <c r="T217">
        <v>74.64</v>
      </c>
      <c r="U217">
        <v>24.08</v>
      </c>
      <c r="V217" t="str">
        <f>VLOOKUP(L217,'[2]tabela de preços'!$A:$D,4,0)</f>
        <v>SHERWIN WILLIAMS</v>
      </c>
      <c r="W217" t="str">
        <f>VLOOKUP(L217,'[2]tabela de preços'!$A:$F,6,0)</f>
        <v>MASSA POLIÉSTER</v>
      </c>
      <c r="X217" t="str">
        <f>VLOOKUP(L217,'[2]tabela de preços'!$A:$G,7,0)</f>
        <v>AUTOMOTIVO</v>
      </c>
    </row>
    <row r="218" spans="1:24" x14ac:dyDescent="0.3">
      <c r="A218" t="s">
        <v>279</v>
      </c>
      <c r="C218" t="s">
        <v>280</v>
      </c>
      <c r="D218" s="1">
        <v>46028</v>
      </c>
      <c r="E218" t="s">
        <v>281</v>
      </c>
      <c r="F218">
        <v>9</v>
      </c>
      <c r="G218">
        <v>197</v>
      </c>
      <c r="H218" t="str">
        <f>VLOOKUP(G218,[1]OPERADORES!$A:$B,2,0)</f>
        <v xml:space="preserve">POLIANA LORRANE DE AMORIM </v>
      </c>
      <c r="I218" t="s">
        <v>282</v>
      </c>
      <c r="J218" t="s">
        <v>283</v>
      </c>
      <c r="K218" t="s">
        <v>284</v>
      </c>
      <c r="L218">
        <v>84329</v>
      </c>
      <c r="M218" t="s">
        <v>285</v>
      </c>
      <c r="O218" t="s">
        <v>11</v>
      </c>
      <c r="P218">
        <v>6403</v>
      </c>
      <c r="Q218">
        <v>4</v>
      </c>
      <c r="R218">
        <v>60.89</v>
      </c>
      <c r="S218">
        <v>243.56</v>
      </c>
      <c r="T218">
        <v>193.08</v>
      </c>
      <c r="U218">
        <v>20.73</v>
      </c>
      <c r="V218" t="str">
        <f>VLOOKUP(L218,'[2]tabela de preços'!$A:$D,4,0)</f>
        <v>BRASILUX</v>
      </c>
      <c r="W218" t="str">
        <f>VLOOKUP(L218,'[2]tabela de preços'!$A:$F,6,0)</f>
        <v>ESMALTES</v>
      </c>
      <c r="X218" t="str">
        <f>VLOOKUP(L218,'[2]tabela de preços'!$A:$G,7,0)</f>
        <v>INDUSTRIAL</v>
      </c>
    </row>
    <row r="219" spans="1:24" x14ac:dyDescent="0.3">
      <c r="A219" t="s">
        <v>279</v>
      </c>
      <c r="C219" t="s">
        <v>280</v>
      </c>
      <c r="D219" s="1">
        <v>46028</v>
      </c>
      <c r="E219" t="s">
        <v>281</v>
      </c>
      <c r="F219">
        <v>9</v>
      </c>
      <c r="G219">
        <v>197</v>
      </c>
      <c r="H219" t="str">
        <f>VLOOKUP(G219,[1]OPERADORES!$A:$B,2,0)</f>
        <v xml:space="preserve">POLIANA LORRANE DE AMORIM </v>
      </c>
      <c r="I219" t="s">
        <v>282</v>
      </c>
      <c r="J219" t="s">
        <v>283</v>
      </c>
      <c r="K219" t="s">
        <v>284</v>
      </c>
      <c r="L219">
        <v>85009</v>
      </c>
      <c r="M219" t="s">
        <v>286</v>
      </c>
      <c r="O219" t="s">
        <v>11</v>
      </c>
      <c r="P219">
        <v>6403</v>
      </c>
      <c r="Q219">
        <v>4</v>
      </c>
      <c r="R219">
        <v>60.89</v>
      </c>
      <c r="S219">
        <v>243.56</v>
      </c>
      <c r="T219">
        <v>193.76</v>
      </c>
      <c r="U219">
        <v>20.45</v>
      </c>
      <c r="V219" t="str">
        <f>VLOOKUP(L219,'[2]tabela de preços'!$A:$D,4,0)</f>
        <v>BRASILUX</v>
      </c>
      <c r="W219" t="str">
        <f>VLOOKUP(L219,'[2]tabela de preços'!$A:$F,6,0)</f>
        <v>ESMALTES</v>
      </c>
      <c r="X219" t="str">
        <f>VLOOKUP(L219,'[2]tabela de preços'!$A:$G,7,0)</f>
        <v>INDUSTRIAL</v>
      </c>
    </row>
    <row r="220" spans="1:24" x14ac:dyDescent="0.3">
      <c r="A220" t="s">
        <v>279</v>
      </c>
      <c r="C220" t="s">
        <v>280</v>
      </c>
      <c r="D220" s="1">
        <v>46028</v>
      </c>
      <c r="E220" t="s">
        <v>281</v>
      </c>
      <c r="F220">
        <v>9</v>
      </c>
      <c r="G220">
        <v>197</v>
      </c>
      <c r="H220" t="str">
        <f>VLOOKUP(G220,[1]OPERADORES!$A:$B,2,0)</f>
        <v xml:space="preserve">POLIANA LORRANE DE AMORIM </v>
      </c>
      <c r="I220" t="s">
        <v>282</v>
      </c>
      <c r="J220" t="s">
        <v>283</v>
      </c>
      <c r="K220" t="s">
        <v>284</v>
      </c>
      <c r="L220">
        <v>84122</v>
      </c>
      <c r="M220" t="s">
        <v>287</v>
      </c>
      <c r="O220" t="s">
        <v>11</v>
      </c>
      <c r="P220">
        <v>6403</v>
      </c>
      <c r="Q220">
        <v>6</v>
      </c>
      <c r="R220">
        <v>18.38</v>
      </c>
      <c r="S220">
        <v>110.28</v>
      </c>
      <c r="T220">
        <v>83.7</v>
      </c>
      <c r="U220">
        <v>24.1</v>
      </c>
      <c r="V220" t="str">
        <f>VLOOKUP(L220,'[2]tabela de preços'!$A:$D,4,0)</f>
        <v>BRASILUX</v>
      </c>
      <c r="W220" t="str">
        <f>VLOOKUP(L220,'[2]tabela de preços'!$A:$F,6,0)</f>
        <v>ESMALTES</v>
      </c>
      <c r="X220" t="str">
        <f>VLOOKUP(L220,'[2]tabela de preços'!$A:$G,7,0)</f>
        <v>INDUSTRIAL</v>
      </c>
    </row>
    <row r="221" spans="1:24" x14ac:dyDescent="0.3">
      <c r="A221" t="s">
        <v>279</v>
      </c>
      <c r="C221" t="s">
        <v>280</v>
      </c>
      <c r="D221" s="1">
        <v>46028</v>
      </c>
      <c r="E221" t="s">
        <v>281</v>
      </c>
      <c r="F221">
        <v>9</v>
      </c>
      <c r="G221">
        <v>197</v>
      </c>
      <c r="H221" t="str">
        <f>VLOOKUP(G221,[1]OPERADORES!$A:$B,2,0)</f>
        <v xml:space="preserve">POLIANA LORRANE DE AMORIM </v>
      </c>
      <c r="I221" t="s">
        <v>282</v>
      </c>
      <c r="J221" t="s">
        <v>283</v>
      </c>
      <c r="K221" t="s">
        <v>284</v>
      </c>
      <c r="L221">
        <v>84124</v>
      </c>
      <c r="M221" t="s">
        <v>288</v>
      </c>
      <c r="O221" t="s">
        <v>11</v>
      </c>
      <c r="P221">
        <v>6403</v>
      </c>
      <c r="Q221">
        <v>6</v>
      </c>
      <c r="R221">
        <v>17.61</v>
      </c>
      <c r="S221">
        <v>105.66</v>
      </c>
      <c r="T221">
        <v>80.22</v>
      </c>
      <c r="U221">
        <v>24.08</v>
      </c>
      <c r="V221" t="str">
        <f>VLOOKUP(L221,'[2]tabela de preços'!$A:$D,4,0)</f>
        <v>BRASILUX</v>
      </c>
      <c r="W221" t="str">
        <f>VLOOKUP(L221,'[2]tabela de preços'!$A:$F,6,0)</f>
        <v>ESMALTES</v>
      </c>
      <c r="X221" t="str">
        <f>VLOOKUP(L221,'[2]tabela de preços'!$A:$G,7,0)</f>
        <v>INDUSTRIAL</v>
      </c>
    </row>
    <row r="222" spans="1:24" x14ac:dyDescent="0.3">
      <c r="A222" t="s">
        <v>279</v>
      </c>
      <c r="C222" t="s">
        <v>280</v>
      </c>
      <c r="D222" s="1">
        <v>46028</v>
      </c>
      <c r="E222" t="s">
        <v>281</v>
      </c>
      <c r="F222">
        <v>9</v>
      </c>
      <c r="G222">
        <v>197</v>
      </c>
      <c r="H222" t="str">
        <f>VLOOKUP(G222,[1]OPERADORES!$A:$B,2,0)</f>
        <v xml:space="preserve">POLIANA LORRANE DE AMORIM </v>
      </c>
      <c r="I222" t="s">
        <v>282</v>
      </c>
      <c r="J222" t="s">
        <v>283</v>
      </c>
      <c r="K222" t="s">
        <v>284</v>
      </c>
      <c r="L222">
        <v>84036</v>
      </c>
      <c r="M222" t="s">
        <v>289</v>
      </c>
      <c r="O222" t="s">
        <v>11</v>
      </c>
      <c r="P222">
        <v>6102</v>
      </c>
      <c r="Q222">
        <v>15</v>
      </c>
      <c r="R222">
        <v>47.89</v>
      </c>
      <c r="S222">
        <v>718.35</v>
      </c>
      <c r="T222">
        <v>624.45000000000005</v>
      </c>
      <c r="U222">
        <v>13.07</v>
      </c>
      <c r="V222" t="str">
        <f>VLOOKUP(L222,'[2]tabela de preços'!$A:$D,4,0)</f>
        <v>BRASILUX</v>
      </c>
      <c r="W222" t="str">
        <f>VLOOKUP(L222,'[2]tabela de preços'!$A:$F,6,0)</f>
        <v>MASSA CORRIDA / ACRÍLICA</v>
      </c>
      <c r="X222" t="str">
        <f>VLOOKUP(L222,'[2]tabela de preços'!$A:$G,7,0)</f>
        <v>IMOBILIÁRIO</v>
      </c>
    </row>
    <row r="223" spans="1:24" x14ac:dyDescent="0.3">
      <c r="A223" t="s">
        <v>313</v>
      </c>
      <c r="B223" t="s">
        <v>314</v>
      </c>
      <c r="C223" t="s">
        <v>315</v>
      </c>
      <c r="D223" s="1">
        <v>46028</v>
      </c>
      <c r="E223" t="s">
        <v>316</v>
      </c>
      <c r="F223">
        <v>9</v>
      </c>
      <c r="G223">
        <v>197</v>
      </c>
      <c r="H223" t="str">
        <f>VLOOKUP(G223,[1]OPERADORES!$A:$B,2,0)</f>
        <v xml:space="preserve">POLIANA LORRANE DE AMORIM </v>
      </c>
      <c r="I223" t="s">
        <v>317</v>
      </c>
      <c r="J223" t="s">
        <v>318</v>
      </c>
      <c r="K223" t="s">
        <v>319</v>
      </c>
      <c r="L223">
        <v>23714</v>
      </c>
      <c r="M223" t="s">
        <v>213</v>
      </c>
      <c r="O223" t="s">
        <v>11</v>
      </c>
      <c r="P223">
        <v>6102</v>
      </c>
      <c r="Q223">
        <v>2</v>
      </c>
      <c r="R223">
        <v>40.71</v>
      </c>
      <c r="S223">
        <v>81.42</v>
      </c>
      <c r="T223">
        <v>61.8</v>
      </c>
      <c r="U223">
        <v>24.1</v>
      </c>
      <c r="V223" t="str">
        <f>VLOOKUP(L223,'[2]tabela de preços'!$A:$D,4,0)</f>
        <v>NEW PAD</v>
      </c>
      <c r="W223" t="str">
        <f>VLOOKUP(L223,'[2]tabela de preços'!$A:$F,6,0)</f>
        <v>BOINAS PARA POLIMENTO</v>
      </c>
      <c r="X223" t="str">
        <f>VLOOKUP(L223,'[2]tabela de preços'!$A:$G,7,0)</f>
        <v>AUTOMOTIVO</v>
      </c>
    </row>
    <row r="224" spans="1:24" x14ac:dyDescent="0.3">
      <c r="A224" t="s">
        <v>313</v>
      </c>
      <c r="B224" t="s">
        <v>314</v>
      </c>
      <c r="C224" t="s">
        <v>315</v>
      </c>
      <c r="D224" s="1">
        <v>46028</v>
      </c>
      <c r="E224" t="s">
        <v>316</v>
      </c>
      <c r="F224">
        <v>9</v>
      </c>
      <c r="G224">
        <v>197</v>
      </c>
      <c r="H224" t="str">
        <f>VLOOKUP(G224,[1]OPERADORES!$A:$B,2,0)</f>
        <v xml:space="preserve">POLIANA LORRANE DE AMORIM </v>
      </c>
      <c r="I224" t="s">
        <v>317</v>
      </c>
      <c r="J224" t="s">
        <v>318</v>
      </c>
      <c r="K224" t="s">
        <v>319</v>
      </c>
      <c r="L224">
        <v>16</v>
      </c>
      <c r="M224" t="s">
        <v>122</v>
      </c>
      <c r="O224" t="s">
        <v>11</v>
      </c>
      <c r="P224">
        <v>6102</v>
      </c>
      <c r="Q224">
        <v>15</v>
      </c>
      <c r="R224">
        <v>2.9</v>
      </c>
      <c r="S224">
        <v>43.5</v>
      </c>
      <c r="T224">
        <v>33</v>
      </c>
      <c r="U224">
        <v>24.14</v>
      </c>
      <c r="V224" t="str">
        <f>VLOOKUP(L224,'[2]tabela de preços'!$A:$D,4,0)</f>
        <v>3M</v>
      </c>
      <c r="W224" t="str">
        <f>VLOOKUP(L224,'[2]tabela de preços'!$A:$F,6,0)</f>
        <v>LIXA DÁGUA</v>
      </c>
      <c r="X224" t="str">
        <f>VLOOKUP(L224,'[2]tabela de preços'!$A:$G,7,0)</f>
        <v>AUTOMOTIVO</v>
      </c>
    </row>
    <row r="225" spans="1:24" x14ac:dyDescent="0.3">
      <c r="A225" t="s">
        <v>313</v>
      </c>
      <c r="B225" t="s">
        <v>314</v>
      </c>
      <c r="C225" t="s">
        <v>315</v>
      </c>
      <c r="D225" s="1">
        <v>46028</v>
      </c>
      <c r="E225" t="s">
        <v>316</v>
      </c>
      <c r="F225">
        <v>9</v>
      </c>
      <c r="G225">
        <v>197</v>
      </c>
      <c r="H225" t="str">
        <f>VLOOKUP(G225,[1]OPERADORES!$A:$B,2,0)</f>
        <v xml:space="preserve">POLIANA LORRANE DE AMORIM </v>
      </c>
      <c r="I225" t="s">
        <v>317</v>
      </c>
      <c r="J225" t="s">
        <v>318</v>
      </c>
      <c r="K225" t="s">
        <v>319</v>
      </c>
      <c r="L225">
        <v>20021</v>
      </c>
      <c r="M225" t="s">
        <v>276</v>
      </c>
      <c r="O225" t="s">
        <v>11</v>
      </c>
      <c r="P225">
        <v>6102</v>
      </c>
      <c r="Q225">
        <v>15</v>
      </c>
      <c r="R225">
        <v>3.43</v>
      </c>
      <c r="S225">
        <v>51.45</v>
      </c>
      <c r="T225">
        <v>39</v>
      </c>
      <c r="U225">
        <v>24.2</v>
      </c>
      <c r="V225" t="str">
        <f>VLOOKUP(L225,'[2]tabela de preços'!$A:$D,4,0)</f>
        <v>3M</v>
      </c>
      <c r="W225" t="str">
        <f>VLOOKUP(L225,'[2]tabela de preços'!$A:$F,6,0)</f>
        <v>LIXA DÁGUA</v>
      </c>
      <c r="X225" t="str">
        <f>VLOOKUP(L225,'[2]tabela de preços'!$A:$G,7,0)</f>
        <v>AUTOMOTIVO</v>
      </c>
    </row>
    <row r="226" spans="1:24" x14ac:dyDescent="0.3">
      <c r="A226" t="s">
        <v>313</v>
      </c>
      <c r="B226" t="s">
        <v>314</v>
      </c>
      <c r="C226" t="s">
        <v>315</v>
      </c>
      <c r="D226" s="1">
        <v>46028</v>
      </c>
      <c r="E226" t="s">
        <v>316</v>
      </c>
      <c r="F226">
        <v>9</v>
      </c>
      <c r="G226">
        <v>197</v>
      </c>
      <c r="H226" t="str">
        <f>VLOOKUP(G226,[1]OPERADORES!$A:$B,2,0)</f>
        <v xml:space="preserve">POLIANA LORRANE DE AMORIM </v>
      </c>
      <c r="I226" t="s">
        <v>317</v>
      </c>
      <c r="J226" t="s">
        <v>318</v>
      </c>
      <c r="K226" t="s">
        <v>319</v>
      </c>
      <c r="L226">
        <v>20525</v>
      </c>
      <c r="M226" t="s">
        <v>137</v>
      </c>
      <c r="O226" t="s">
        <v>11</v>
      </c>
      <c r="P226">
        <v>6102</v>
      </c>
      <c r="Q226">
        <v>6</v>
      </c>
      <c r="R226">
        <v>13.65</v>
      </c>
      <c r="S226">
        <v>81.900000000000006</v>
      </c>
      <c r="T226">
        <v>62.16</v>
      </c>
      <c r="U226">
        <v>24.1</v>
      </c>
      <c r="V226" t="str">
        <f>VLOOKUP(L226,'[2]tabela de preços'!$A:$D,4,0)</f>
        <v>SHERWIN WILLIAMS</v>
      </c>
      <c r="W226" t="str">
        <f>VLOOKUP(L226,'[2]tabela de preços'!$A:$F,6,0)</f>
        <v>MASSA DE PEQUENOS REPAROS</v>
      </c>
      <c r="X226" t="str">
        <f>VLOOKUP(L226,'[2]tabela de preços'!$A:$G,7,0)</f>
        <v>AUTOMOTIVO</v>
      </c>
    </row>
    <row r="227" spans="1:24" x14ac:dyDescent="0.3">
      <c r="A227" t="s">
        <v>313</v>
      </c>
      <c r="B227" t="s">
        <v>314</v>
      </c>
      <c r="C227" t="s">
        <v>315</v>
      </c>
      <c r="D227" s="1">
        <v>46028</v>
      </c>
      <c r="E227" t="s">
        <v>316</v>
      </c>
      <c r="F227">
        <v>9</v>
      </c>
      <c r="G227">
        <v>197</v>
      </c>
      <c r="H227" t="str">
        <f>VLOOKUP(G227,[1]OPERADORES!$A:$B,2,0)</f>
        <v xml:space="preserve">POLIANA LORRANE DE AMORIM </v>
      </c>
      <c r="I227" t="s">
        <v>317</v>
      </c>
      <c r="J227" t="s">
        <v>318</v>
      </c>
      <c r="K227" t="s">
        <v>319</v>
      </c>
      <c r="L227">
        <v>23584</v>
      </c>
      <c r="M227" t="s">
        <v>196</v>
      </c>
      <c r="O227" t="s">
        <v>11</v>
      </c>
      <c r="P227">
        <v>6102</v>
      </c>
      <c r="Q227">
        <v>12</v>
      </c>
      <c r="R227">
        <v>23.04</v>
      </c>
      <c r="S227">
        <v>276.48</v>
      </c>
      <c r="T227">
        <v>209.88</v>
      </c>
      <c r="U227">
        <v>24.09</v>
      </c>
      <c r="V227" t="str">
        <f>VLOOKUP(L227,'[2]tabela de preços'!$A:$D,4,0)</f>
        <v>MAXI RUBBER</v>
      </c>
      <c r="W227" t="str">
        <f>VLOOKUP(L227,'[2]tabela de preços'!$A:$F,6,0)</f>
        <v>MASSA POLIÉSTER</v>
      </c>
      <c r="X227" t="str">
        <f>VLOOKUP(L227,'[2]tabela de preços'!$A:$G,7,0)</f>
        <v>AUTOMOTIVO</v>
      </c>
    </row>
    <row r="228" spans="1:24" x14ac:dyDescent="0.3">
      <c r="A228" t="s">
        <v>313</v>
      </c>
      <c r="B228" t="s">
        <v>314</v>
      </c>
      <c r="C228" t="s">
        <v>315</v>
      </c>
      <c r="D228" s="1">
        <v>46028</v>
      </c>
      <c r="E228" t="s">
        <v>316</v>
      </c>
      <c r="F228">
        <v>9</v>
      </c>
      <c r="G228">
        <v>197</v>
      </c>
      <c r="H228" t="str">
        <f>VLOOKUP(G228,[1]OPERADORES!$A:$B,2,0)</f>
        <v xml:space="preserve">POLIANA LORRANE DE AMORIM </v>
      </c>
      <c r="I228" t="s">
        <v>317</v>
      </c>
      <c r="J228" t="s">
        <v>318</v>
      </c>
      <c r="K228" t="s">
        <v>319</v>
      </c>
      <c r="L228">
        <v>21321</v>
      </c>
      <c r="M228" t="s">
        <v>272</v>
      </c>
      <c r="O228" t="s">
        <v>11</v>
      </c>
      <c r="P228">
        <v>6102</v>
      </c>
      <c r="Q228">
        <v>4</v>
      </c>
      <c r="R228">
        <v>18.899999999999999</v>
      </c>
      <c r="S228">
        <v>75.599999999999994</v>
      </c>
      <c r="T228">
        <v>61.44</v>
      </c>
      <c r="U228">
        <v>18.73</v>
      </c>
      <c r="V228" t="str">
        <f>VLOOKUP(L228,'[2]tabela de preços'!$A:$D,4,0)</f>
        <v>AUTO AMERICA</v>
      </c>
      <c r="W228" t="str">
        <f>VLOOKUP(L228,'[2]tabela de preços'!$A:$F,6,0)</f>
        <v>CERA  / LIMPEZA /  POLIMENTO VEICULAR</v>
      </c>
      <c r="X228" t="str">
        <f>VLOOKUP(L228,'[2]tabela de preços'!$A:$G,7,0)</f>
        <v>AUTOMOTIVO</v>
      </c>
    </row>
    <row r="229" spans="1:24" x14ac:dyDescent="0.3">
      <c r="A229" t="s">
        <v>378</v>
      </c>
      <c r="C229" t="s">
        <v>385</v>
      </c>
      <c r="D229" s="1">
        <v>46028</v>
      </c>
      <c r="E229" t="s">
        <v>386</v>
      </c>
      <c r="F229">
        <v>9</v>
      </c>
      <c r="G229">
        <v>174</v>
      </c>
      <c r="H229" t="str">
        <f>VLOOKUP(G229,[1]OPERADORES!$A:$B,2,0)</f>
        <v>MIRIÃ LOBATO RODRIGUES</v>
      </c>
      <c r="I229" t="s">
        <v>21</v>
      </c>
      <c r="J229" t="s">
        <v>381</v>
      </c>
      <c r="K229" t="s">
        <v>382</v>
      </c>
      <c r="L229">
        <v>10277</v>
      </c>
      <c r="M229" t="s">
        <v>135</v>
      </c>
      <c r="O229" t="s">
        <v>11</v>
      </c>
      <c r="P229">
        <v>5102</v>
      </c>
      <c r="Q229">
        <v>60</v>
      </c>
      <c r="R229">
        <v>16.97</v>
      </c>
      <c r="S229" s="2">
        <v>1018.2</v>
      </c>
      <c r="T229">
        <v>772.8</v>
      </c>
      <c r="U229">
        <v>24.1</v>
      </c>
      <c r="V229" t="str">
        <f>VLOOKUP(L229,'[2]tabela de preços'!$A:$D,4,0)</f>
        <v>RETOQUE</v>
      </c>
      <c r="W229" t="str">
        <f>VLOOKUP(L229,'[2]tabela de preços'!$A:$F,6,0)</f>
        <v xml:space="preserve">COLA  PLÁSTICA </v>
      </c>
      <c r="X229" t="str">
        <f>VLOOKUP(L229,'[2]tabela de preços'!$A:$G,7,0)</f>
        <v>AUTOMOTIVO</v>
      </c>
    </row>
    <row r="230" spans="1:24" x14ac:dyDescent="0.3">
      <c r="A230" t="s">
        <v>378</v>
      </c>
      <c r="C230" t="s">
        <v>385</v>
      </c>
      <c r="D230" s="1">
        <v>46028</v>
      </c>
      <c r="E230" t="s">
        <v>386</v>
      </c>
      <c r="F230">
        <v>9</v>
      </c>
      <c r="G230">
        <v>174</v>
      </c>
      <c r="H230" t="str">
        <f>VLOOKUP(G230,[1]OPERADORES!$A:$B,2,0)</f>
        <v>MIRIÃ LOBATO RODRIGUES</v>
      </c>
      <c r="I230" t="s">
        <v>21</v>
      </c>
      <c r="J230" t="s">
        <v>381</v>
      </c>
      <c r="K230" t="s">
        <v>382</v>
      </c>
      <c r="L230">
        <v>10238</v>
      </c>
      <c r="M230" t="s">
        <v>79</v>
      </c>
      <c r="O230" t="s">
        <v>11</v>
      </c>
      <c r="P230">
        <v>5102</v>
      </c>
      <c r="Q230">
        <v>100</v>
      </c>
      <c r="R230">
        <v>2.79</v>
      </c>
      <c r="S230">
        <v>279</v>
      </c>
      <c r="T230">
        <v>227</v>
      </c>
      <c r="U230">
        <v>18.64</v>
      </c>
      <c r="V230" t="str">
        <f>VLOOKUP(L230,'[2]tabela de preços'!$A:$D,4,0)</f>
        <v>NORTON</v>
      </c>
      <c r="W230" t="str">
        <f>VLOOKUP(L230,'[2]tabela de preços'!$A:$F,6,0)</f>
        <v xml:space="preserve">DISCOS / LIXAS / ABRASIVOS </v>
      </c>
      <c r="X230" t="str">
        <f>VLOOKUP(L230,'[2]tabela de preços'!$A:$G,7,0)</f>
        <v>AUTOMOTIVO</v>
      </c>
    </row>
    <row r="231" spans="1:24" x14ac:dyDescent="0.3">
      <c r="A231" t="s">
        <v>466</v>
      </c>
      <c r="C231" t="s">
        <v>467</v>
      </c>
      <c r="D231" s="1">
        <v>46028</v>
      </c>
      <c r="E231" t="s">
        <v>468</v>
      </c>
      <c r="F231">
        <v>9</v>
      </c>
      <c r="G231">
        <v>197</v>
      </c>
      <c r="H231" t="str">
        <f>VLOOKUP(G231,[1]OPERADORES!$A:$B,2,0)</f>
        <v xml:space="preserve">POLIANA LORRANE DE AMORIM </v>
      </c>
      <c r="I231" t="s">
        <v>21</v>
      </c>
      <c r="J231" t="s">
        <v>469</v>
      </c>
      <c r="K231" t="s">
        <v>470</v>
      </c>
      <c r="L231">
        <v>22684</v>
      </c>
      <c r="M231" t="s">
        <v>73</v>
      </c>
      <c r="O231" t="s">
        <v>11</v>
      </c>
      <c r="P231">
        <v>5102</v>
      </c>
      <c r="Q231">
        <v>24</v>
      </c>
      <c r="R231">
        <v>3.65</v>
      </c>
      <c r="S231">
        <v>87.6</v>
      </c>
      <c r="T231">
        <v>73.92</v>
      </c>
      <c r="U231">
        <v>15.62</v>
      </c>
      <c r="V231" t="str">
        <f>VLOOKUP(L231,'[2]tabela de preços'!$A:$D,4,0)</f>
        <v>3M</v>
      </c>
      <c r="W231" t="str">
        <f>VLOOKUP(L231,'[2]tabela de preços'!$A:$F,6,0)</f>
        <v>FITA AUTOMOTIVA</v>
      </c>
      <c r="X231" t="str">
        <f>VLOOKUP(L231,'[2]tabela de preços'!$A:$G,7,0)</f>
        <v>AUTOMOTIVO</v>
      </c>
    </row>
    <row r="232" spans="1:24" x14ac:dyDescent="0.3">
      <c r="A232" t="s">
        <v>466</v>
      </c>
      <c r="C232" t="s">
        <v>467</v>
      </c>
      <c r="D232" s="1">
        <v>46028</v>
      </c>
      <c r="E232" t="s">
        <v>468</v>
      </c>
      <c r="F232">
        <v>9</v>
      </c>
      <c r="G232">
        <v>197</v>
      </c>
      <c r="H232" t="str">
        <f>VLOOKUP(G232,[1]OPERADORES!$A:$B,2,0)</f>
        <v xml:space="preserve">POLIANA LORRANE DE AMORIM </v>
      </c>
      <c r="I232" t="s">
        <v>21</v>
      </c>
      <c r="J232" t="s">
        <v>469</v>
      </c>
      <c r="K232" t="s">
        <v>470</v>
      </c>
      <c r="L232">
        <v>85616</v>
      </c>
      <c r="M232" t="s">
        <v>471</v>
      </c>
      <c r="O232" t="s">
        <v>11</v>
      </c>
      <c r="P232">
        <v>5102</v>
      </c>
      <c r="Q232">
        <v>12</v>
      </c>
      <c r="R232">
        <v>2.64</v>
      </c>
      <c r="S232">
        <v>31.68</v>
      </c>
      <c r="T232">
        <v>27.36</v>
      </c>
      <c r="U232">
        <v>13.64</v>
      </c>
      <c r="V232" t="str">
        <f>VLOOKUP(L232,'[2]tabela de preços'!$A:$D,4,0)</f>
        <v>ADERE</v>
      </c>
      <c r="W232" t="str">
        <f>VLOOKUP(L232,'[2]tabela de preços'!$A:$F,6,0)</f>
        <v xml:space="preserve">FITA DE USO GERAL </v>
      </c>
      <c r="X232" t="str">
        <f>VLOOKUP(L232,'[2]tabela de preços'!$A:$G,7,0)</f>
        <v>IMOBILIÁRIO</v>
      </c>
    </row>
    <row r="233" spans="1:24" x14ac:dyDescent="0.3">
      <c r="A233" t="s">
        <v>466</v>
      </c>
      <c r="C233" t="s">
        <v>467</v>
      </c>
      <c r="D233" s="1">
        <v>46028</v>
      </c>
      <c r="E233" t="s">
        <v>468</v>
      </c>
      <c r="F233">
        <v>9</v>
      </c>
      <c r="G233">
        <v>197</v>
      </c>
      <c r="H233" t="str">
        <f>VLOOKUP(G233,[1]OPERADORES!$A:$B,2,0)</f>
        <v xml:space="preserve">POLIANA LORRANE DE AMORIM </v>
      </c>
      <c r="I233" t="s">
        <v>21</v>
      </c>
      <c r="J233" t="s">
        <v>469</v>
      </c>
      <c r="K233" t="s">
        <v>470</v>
      </c>
      <c r="L233">
        <v>85599</v>
      </c>
      <c r="M233" t="s">
        <v>38</v>
      </c>
      <c r="O233" t="s">
        <v>11</v>
      </c>
      <c r="P233">
        <v>5102</v>
      </c>
      <c r="Q233">
        <v>20</v>
      </c>
      <c r="R233">
        <v>2.68</v>
      </c>
      <c r="S233">
        <v>53.6</v>
      </c>
      <c r="T233">
        <v>39.200000000000003</v>
      </c>
      <c r="U233">
        <v>26.87</v>
      </c>
      <c r="V233" t="str">
        <f>VLOOKUP(L233,'[2]tabela de preços'!$A:$D,4,0)</f>
        <v>REJUMASSA</v>
      </c>
      <c r="W233" t="str">
        <f>VLOOKUP(L233,'[2]tabela de preços'!$A:$F,6,0)</f>
        <v>GESSO</v>
      </c>
      <c r="X233" t="str">
        <f>VLOOKUP(L233,'[2]tabela de preços'!$A:$G,7,0)</f>
        <v>IMOBILIÁRIO</v>
      </c>
    </row>
    <row r="234" spans="1:24" x14ac:dyDescent="0.3">
      <c r="A234" t="s">
        <v>466</v>
      </c>
      <c r="C234" t="s">
        <v>467</v>
      </c>
      <c r="D234" s="1">
        <v>46028</v>
      </c>
      <c r="E234" t="s">
        <v>468</v>
      </c>
      <c r="F234">
        <v>9</v>
      </c>
      <c r="G234">
        <v>197</v>
      </c>
      <c r="H234" t="str">
        <f>VLOOKUP(G234,[1]OPERADORES!$A:$B,2,0)</f>
        <v xml:space="preserve">POLIANA LORRANE DE AMORIM </v>
      </c>
      <c r="I234" t="s">
        <v>21</v>
      </c>
      <c r="J234" t="s">
        <v>469</v>
      </c>
      <c r="K234" t="s">
        <v>470</v>
      </c>
      <c r="L234">
        <v>10297</v>
      </c>
      <c r="M234" t="s">
        <v>41</v>
      </c>
      <c r="O234" t="s">
        <v>11</v>
      </c>
      <c r="P234">
        <v>5102</v>
      </c>
      <c r="Q234">
        <v>36</v>
      </c>
      <c r="R234">
        <v>10.49</v>
      </c>
      <c r="S234">
        <v>377.64</v>
      </c>
      <c r="T234">
        <v>330.12</v>
      </c>
      <c r="U234">
        <v>12.58</v>
      </c>
      <c r="V234" t="str">
        <f>VLOOKUP(L234,'[2]tabela de preços'!$A:$D,4,0)</f>
        <v>ANJO</v>
      </c>
      <c r="W234" t="str">
        <f>VLOOKUP(L234,'[2]tabela de preços'!$A:$F,6,0)</f>
        <v>THINNER DE LIMPEZA</v>
      </c>
      <c r="X234" t="str">
        <f>VLOOKUP(L234,'[2]tabela de preços'!$A:$G,7,0)</f>
        <v>THINNER</v>
      </c>
    </row>
    <row r="235" spans="1:24" x14ac:dyDescent="0.3">
      <c r="A235" t="s">
        <v>466</v>
      </c>
      <c r="C235" t="s">
        <v>467</v>
      </c>
      <c r="D235" s="1">
        <v>46028</v>
      </c>
      <c r="E235" t="s">
        <v>468</v>
      </c>
      <c r="F235">
        <v>9</v>
      </c>
      <c r="G235">
        <v>197</v>
      </c>
      <c r="H235" t="str">
        <f>VLOOKUP(G235,[1]OPERADORES!$A:$B,2,0)</f>
        <v xml:space="preserve">POLIANA LORRANE DE AMORIM </v>
      </c>
      <c r="I235" t="s">
        <v>21</v>
      </c>
      <c r="J235" t="s">
        <v>469</v>
      </c>
      <c r="K235" t="s">
        <v>470</v>
      </c>
      <c r="L235">
        <v>85667</v>
      </c>
      <c r="M235" t="s">
        <v>472</v>
      </c>
      <c r="O235" t="s">
        <v>11</v>
      </c>
      <c r="P235">
        <v>5403</v>
      </c>
      <c r="Q235">
        <v>6</v>
      </c>
      <c r="R235">
        <v>13.89</v>
      </c>
      <c r="S235">
        <v>83.34</v>
      </c>
      <c r="T235">
        <v>71.94</v>
      </c>
      <c r="U235">
        <v>13.68</v>
      </c>
      <c r="V235" t="str">
        <f>VLOOKUP(L235,'[2]tabela de preços'!$A:$D,4,0)</f>
        <v>UNIPEGA</v>
      </c>
      <c r="W235" t="str">
        <f>VLOOKUP(L235,'[2]tabela de preços'!$A:$F,6,0)</f>
        <v xml:space="preserve">SPRAYS </v>
      </c>
      <c r="X235" t="str">
        <f>VLOOKUP(L235,'[2]tabela de preços'!$A:$G,7,0)</f>
        <v>AUTOMOTIVO</v>
      </c>
    </row>
    <row r="236" spans="1:24" x14ac:dyDescent="0.3">
      <c r="A236" t="s">
        <v>466</v>
      </c>
      <c r="C236" t="s">
        <v>467</v>
      </c>
      <c r="D236" s="1">
        <v>46028</v>
      </c>
      <c r="E236" t="s">
        <v>468</v>
      </c>
      <c r="F236">
        <v>9</v>
      </c>
      <c r="G236">
        <v>197</v>
      </c>
      <c r="H236" t="str">
        <f>VLOOKUP(G236,[1]OPERADORES!$A:$B,2,0)</f>
        <v xml:space="preserve">POLIANA LORRANE DE AMORIM </v>
      </c>
      <c r="I236" t="s">
        <v>21</v>
      </c>
      <c r="J236" t="s">
        <v>469</v>
      </c>
      <c r="K236" t="s">
        <v>470</v>
      </c>
      <c r="L236">
        <v>85665</v>
      </c>
      <c r="M236" t="s">
        <v>473</v>
      </c>
      <c r="O236" t="s">
        <v>11</v>
      </c>
      <c r="P236">
        <v>5403</v>
      </c>
      <c r="Q236">
        <v>6</v>
      </c>
      <c r="R236">
        <v>13.89</v>
      </c>
      <c r="S236">
        <v>83.34</v>
      </c>
      <c r="T236">
        <v>71.94</v>
      </c>
      <c r="U236">
        <v>13.68</v>
      </c>
      <c r="V236" t="str">
        <f>VLOOKUP(L236,'[2]tabela de preços'!$A:$D,4,0)</f>
        <v>UNIPEGA</v>
      </c>
      <c r="W236" t="str">
        <f>VLOOKUP(L236,'[2]tabela de preços'!$A:$F,6,0)</f>
        <v xml:space="preserve">SPRAYS </v>
      </c>
      <c r="X236" t="str">
        <f>VLOOKUP(L236,'[2]tabela de preços'!$A:$G,7,0)</f>
        <v>AUTOMOTIVO</v>
      </c>
    </row>
    <row r="237" spans="1:24" x14ac:dyDescent="0.3">
      <c r="A237" t="s">
        <v>466</v>
      </c>
      <c r="C237" t="s">
        <v>467</v>
      </c>
      <c r="D237" s="1">
        <v>46028</v>
      </c>
      <c r="E237" t="s">
        <v>468</v>
      </c>
      <c r="F237">
        <v>9</v>
      </c>
      <c r="G237">
        <v>197</v>
      </c>
      <c r="H237" t="str">
        <f>VLOOKUP(G237,[1]OPERADORES!$A:$B,2,0)</f>
        <v xml:space="preserve">POLIANA LORRANE DE AMORIM </v>
      </c>
      <c r="I237" t="s">
        <v>21</v>
      </c>
      <c r="J237" t="s">
        <v>469</v>
      </c>
      <c r="K237" t="s">
        <v>470</v>
      </c>
      <c r="L237">
        <v>85666</v>
      </c>
      <c r="M237" t="s">
        <v>341</v>
      </c>
      <c r="O237" t="s">
        <v>11</v>
      </c>
      <c r="P237">
        <v>5403</v>
      </c>
      <c r="Q237">
        <v>6</v>
      </c>
      <c r="R237">
        <v>13.89</v>
      </c>
      <c r="S237">
        <v>83.34</v>
      </c>
      <c r="T237">
        <v>71.94</v>
      </c>
      <c r="U237">
        <v>13.68</v>
      </c>
      <c r="V237" t="str">
        <f>VLOOKUP(L237,'[2]tabela de preços'!$A:$D,4,0)</f>
        <v>UNIPEGA</v>
      </c>
      <c r="W237" t="str">
        <f>VLOOKUP(L237,'[2]tabela de preços'!$A:$F,6,0)</f>
        <v xml:space="preserve">SPRAYS </v>
      </c>
      <c r="X237" t="str">
        <f>VLOOKUP(L237,'[2]tabela de preços'!$A:$G,7,0)</f>
        <v>AUTOMOTIVO</v>
      </c>
    </row>
    <row r="238" spans="1:24" x14ac:dyDescent="0.3">
      <c r="A238" t="s">
        <v>466</v>
      </c>
      <c r="C238" t="s">
        <v>467</v>
      </c>
      <c r="D238" s="1">
        <v>46028</v>
      </c>
      <c r="E238" t="s">
        <v>468</v>
      </c>
      <c r="F238">
        <v>9</v>
      </c>
      <c r="G238">
        <v>197</v>
      </c>
      <c r="H238" t="str">
        <f>VLOOKUP(G238,[1]OPERADORES!$A:$B,2,0)</f>
        <v xml:space="preserve">POLIANA LORRANE DE AMORIM </v>
      </c>
      <c r="I238" t="s">
        <v>21</v>
      </c>
      <c r="J238" t="s">
        <v>469</v>
      </c>
      <c r="K238" t="s">
        <v>470</v>
      </c>
      <c r="L238">
        <v>85639</v>
      </c>
      <c r="M238" t="s">
        <v>474</v>
      </c>
      <c r="O238" t="s">
        <v>11</v>
      </c>
      <c r="P238">
        <v>5403</v>
      </c>
      <c r="Q238">
        <v>6</v>
      </c>
      <c r="R238">
        <v>8.19</v>
      </c>
      <c r="S238">
        <v>49.14</v>
      </c>
      <c r="T238">
        <v>41.52</v>
      </c>
      <c r="U238">
        <v>15.51</v>
      </c>
      <c r="V238" t="str">
        <f>VLOOKUP(L238,'[2]tabela de preços'!$A:$D,4,0)</f>
        <v>UNIPEGA</v>
      </c>
      <c r="W238" t="str">
        <f>VLOOKUP(L238,'[2]tabela de preços'!$A:$F,6,0)</f>
        <v xml:space="preserve">SPRAYS </v>
      </c>
      <c r="X238" t="str">
        <f>VLOOKUP(L238,'[2]tabela de preços'!$A:$G,7,0)</f>
        <v>AUTOMOTIVO</v>
      </c>
    </row>
    <row r="239" spans="1:24" x14ac:dyDescent="0.3">
      <c r="A239" t="s">
        <v>466</v>
      </c>
      <c r="C239" t="s">
        <v>467</v>
      </c>
      <c r="D239" s="1">
        <v>46028</v>
      </c>
      <c r="E239" t="s">
        <v>468</v>
      </c>
      <c r="F239">
        <v>9</v>
      </c>
      <c r="G239">
        <v>197</v>
      </c>
      <c r="H239" t="str">
        <f>VLOOKUP(G239,[1]OPERADORES!$A:$B,2,0)</f>
        <v xml:space="preserve">POLIANA LORRANE DE AMORIM </v>
      </c>
      <c r="I239" t="s">
        <v>21</v>
      </c>
      <c r="J239" t="s">
        <v>469</v>
      </c>
      <c r="K239" t="s">
        <v>470</v>
      </c>
      <c r="L239">
        <v>85640</v>
      </c>
      <c r="M239" t="s">
        <v>475</v>
      </c>
      <c r="O239" t="s">
        <v>11</v>
      </c>
      <c r="P239">
        <v>5403</v>
      </c>
      <c r="Q239">
        <v>6</v>
      </c>
      <c r="R239">
        <v>8.19</v>
      </c>
      <c r="S239">
        <v>49.14</v>
      </c>
      <c r="T239">
        <v>41.52</v>
      </c>
      <c r="U239">
        <v>15.51</v>
      </c>
      <c r="V239" t="str">
        <f>VLOOKUP(L239,'[2]tabela de preços'!$A:$D,4,0)</f>
        <v>UNIPEGA</v>
      </c>
      <c r="W239" t="str">
        <f>VLOOKUP(L239,'[2]tabela de preços'!$A:$F,6,0)</f>
        <v xml:space="preserve">SPRAYS </v>
      </c>
      <c r="X239" t="str">
        <f>VLOOKUP(L239,'[2]tabela de preços'!$A:$G,7,0)</f>
        <v>AUTOMOTIVO</v>
      </c>
    </row>
    <row r="240" spans="1:24" x14ac:dyDescent="0.3">
      <c r="A240" t="s">
        <v>466</v>
      </c>
      <c r="C240" t="s">
        <v>467</v>
      </c>
      <c r="D240" s="1">
        <v>46028</v>
      </c>
      <c r="E240" t="s">
        <v>468</v>
      </c>
      <c r="F240">
        <v>9</v>
      </c>
      <c r="G240">
        <v>197</v>
      </c>
      <c r="H240" t="str">
        <f>VLOOKUP(G240,[1]OPERADORES!$A:$B,2,0)</f>
        <v xml:space="preserve">POLIANA LORRANE DE AMORIM </v>
      </c>
      <c r="I240" t="s">
        <v>21</v>
      </c>
      <c r="J240" t="s">
        <v>469</v>
      </c>
      <c r="K240" t="s">
        <v>470</v>
      </c>
      <c r="L240">
        <v>85643</v>
      </c>
      <c r="M240" t="s">
        <v>476</v>
      </c>
      <c r="O240" t="s">
        <v>11</v>
      </c>
      <c r="P240">
        <v>5403</v>
      </c>
      <c r="Q240">
        <v>6</v>
      </c>
      <c r="R240">
        <v>8.19</v>
      </c>
      <c r="S240">
        <v>49.14</v>
      </c>
      <c r="T240">
        <v>40.26</v>
      </c>
      <c r="U240">
        <v>18.07</v>
      </c>
      <c r="V240" t="str">
        <f>VLOOKUP(L240,'[2]tabela de preços'!$A:$D,4,0)</f>
        <v>UNIPEGA</v>
      </c>
      <c r="W240" t="str">
        <f>VLOOKUP(L240,'[2]tabela de preços'!$A:$F,6,0)</f>
        <v xml:space="preserve">SPRAYS </v>
      </c>
      <c r="X240" t="str">
        <f>VLOOKUP(L240,'[2]tabela de preços'!$A:$G,7,0)</f>
        <v>AUTOMOTIVO</v>
      </c>
    </row>
    <row r="241" spans="1:24" x14ac:dyDescent="0.3">
      <c r="A241" t="s">
        <v>466</v>
      </c>
      <c r="C241" t="s">
        <v>467</v>
      </c>
      <c r="D241" s="1">
        <v>46028</v>
      </c>
      <c r="E241" t="s">
        <v>468</v>
      </c>
      <c r="F241">
        <v>9</v>
      </c>
      <c r="G241">
        <v>197</v>
      </c>
      <c r="H241" t="str">
        <f>VLOOKUP(G241,[1]OPERADORES!$A:$B,2,0)</f>
        <v xml:space="preserve">POLIANA LORRANE DE AMORIM </v>
      </c>
      <c r="I241" t="s">
        <v>21</v>
      </c>
      <c r="J241" t="s">
        <v>469</v>
      </c>
      <c r="K241" t="s">
        <v>470</v>
      </c>
      <c r="L241">
        <v>85646</v>
      </c>
      <c r="M241" t="s">
        <v>477</v>
      </c>
      <c r="O241" t="s">
        <v>11</v>
      </c>
      <c r="P241">
        <v>5403</v>
      </c>
      <c r="Q241">
        <v>6</v>
      </c>
      <c r="R241">
        <v>8.19</v>
      </c>
      <c r="S241">
        <v>49.14</v>
      </c>
      <c r="T241">
        <v>41.52</v>
      </c>
      <c r="U241">
        <v>15.51</v>
      </c>
      <c r="V241" t="str">
        <f>VLOOKUP(L241,'[2]tabela de preços'!$A:$D,4,0)</f>
        <v>UNIPEGA</v>
      </c>
      <c r="W241" t="str">
        <f>VLOOKUP(L241,'[2]tabela de preços'!$A:$F,6,0)</f>
        <v xml:space="preserve">SPRAYS </v>
      </c>
      <c r="X241" t="str">
        <f>VLOOKUP(L241,'[2]tabela de preços'!$A:$G,7,0)</f>
        <v>AUTOMOTIVO</v>
      </c>
    </row>
    <row r="242" spans="1:24" x14ac:dyDescent="0.3">
      <c r="A242" t="s">
        <v>466</v>
      </c>
      <c r="C242" t="s">
        <v>467</v>
      </c>
      <c r="D242" s="1">
        <v>46028</v>
      </c>
      <c r="E242" t="s">
        <v>468</v>
      </c>
      <c r="F242">
        <v>9</v>
      </c>
      <c r="G242">
        <v>197</v>
      </c>
      <c r="H242" t="str">
        <f>VLOOKUP(G242,[1]OPERADORES!$A:$B,2,0)</f>
        <v xml:space="preserve">POLIANA LORRANE DE AMORIM </v>
      </c>
      <c r="I242" t="s">
        <v>21</v>
      </c>
      <c r="J242" t="s">
        <v>469</v>
      </c>
      <c r="K242" t="s">
        <v>470</v>
      </c>
      <c r="L242">
        <v>85649</v>
      </c>
      <c r="M242" t="s">
        <v>478</v>
      </c>
      <c r="O242" t="s">
        <v>11</v>
      </c>
      <c r="P242">
        <v>5403</v>
      </c>
      <c r="Q242">
        <v>12</v>
      </c>
      <c r="R242">
        <v>8.19</v>
      </c>
      <c r="S242">
        <v>98.28</v>
      </c>
      <c r="T242">
        <v>83.04</v>
      </c>
      <c r="U242">
        <v>15.51</v>
      </c>
      <c r="V242" t="str">
        <f>VLOOKUP(L242,'[2]tabela de preços'!$A:$D,4,0)</f>
        <v>UNIPEGA</v>
      </c>
      <c r="W242" t="str">
        <f>VLOOKUP(L242,'[2]tabela de preços'!$A:$F,6,0)</f>
        <v xml:space="preserve">SPRAYS </v>
      </c>
      <c r="X242" t="str">
        <f>VLOOKUP(L242,'[2]tabela de preços'!$A:$G,7,0)</f>
        <v>AUTOMOTIVO</v>
      </c>
    </row>
    <row r="243" spans="1:24" x14ac:dyDescent="0.3">
      <c r="A243" t="s">
        <v>626</v>
      </c>
      <c r="B243" t="s">
        <v>627</v>
      </c>
      <c r="C243" t="s">
        <v>628</v>
      </c>
      <c r="D243" s="1">
        <v>46028</v>
      </c>
      <c r="E243" t="s">
        <v>629</v>
      </c>
      <c r="F243">
        <v>9</v>
      </c>
      <c r="G243">
        <v>174</v>
      </c>
      <c r="H243" t="str">
        <f>VLOOKUP(G243,[1]OPERADORES!$A:$B,2,0)</f>
        <v>MIRIÃ LOBATO RODRIGUES</v>
      </c>
      <c r="I243" t="s">
        <v>21</v>
      </c>
      <c r="J243" t="s">
        <v>630</v>
      </c>
      <c r="K243" t="s">
        <v>631</v>
      </c>
      <c r="L243">
        <v>23259</v>
      </c>
      <c r="M243" t="s">
        <v>632</v>
      </c>
      <c r="O243" t="s">
        <v>11</v>
      </c>
      <c r="P243">
        <v>5403</v>
      </c>
      <c r="Q243">
        <v>4</v>
      </c>
      <c r="R243">
        <v>40.200000000000003</v>
      </c>
      <c r="S243">
        <v>160.80000000000001</v>
      </c>
      <c r="T243">
        <v>122.04</v>
      </c>
      <c r="U243">
        <v>24.1</v>
      </c>
      <c r="V243" t="str">
        <f>VLOOKUP(L243,'[2]tabela de preços'!$A:$D,4,0)</f>
        <v>WANDA</v>
      </c>
      <c r="W243" t="str">
        <f>VLOOKUP(L243,'[2]tabela de preços'!$A:$F,6,0)</f>
        <v>TINTAS POLIÉSTER</v>
      </c>
      <c r="X243" t="str">
        <f>VLOOKUP(L243,'[2]tabela de preços'!$A:$G,7,0)</f>
        <v>AUTOMOTIVO</v>
      </c>
    </row>
    <row r="244" spans="1:24" x14ac:dyDescent="0.3">
      <c r="A244" t="s">
        <v>626</v>
      </c>
      <c r="B244" t="s">
        <v>627</v>
      </c>
      <c r="C244" t="s">
        <v>628</v>
      </c>
      <c r="D244" s="1">
        <v>46028</v>
      </c>
      <c r="E244" t="s">
        <v>629</v>
      </c>
      <c r="F244">
        <v>9</v>
      </c>
      <c r="G244">
        <v>174</v>
      </c>
      <c r="H244" t="str">
        <f>VLOOKUP(G244,[1]OPERADORES!$A:$B,2,0)</f>
        <v>MIRIÃ LOBATO RODRIGUES</v>
      </c>
      <c r="I244" t="s">
        <v>21</v>
      </c>
      <c r="J244" t="s">
        <v>630</v>
      </c>
      <c r="K244" t="s">
        <v>631</v>
      </c>
      <c r="L244">
        <v>84487</v>
      </c>
      <c r="M244" t="s">
        <v>633</v>
      </c>
      <c r="O244" t="s">
        <v>11</v>
      </c>
      <c r="P244">
        <v>5403</v>
      </c>
      <c r="Q244">
        <v>3</v>
      </c>
      <c r="R244">
        <v>28.84</v>
      </c>
      <c r="S244">
        <v>86.52</v>
      </c>
      <c r="T244">
        <v>65.67</v>
      </c>
      <c r="U244">
        <v>24.1</v>
      </c>
      <c r="V244" t="str">
        <f>VLOOKUP(L244,'[2]tabela de preços'!$A:$D,4,0)</f>
        <v>BRASILUX</v>
      </c>
      <c r="W244" t="str">
        <f>VLOOKUP(L244,'[2]tabela de preços'!$A:$F,6,0)</f>
        <v>TINTAS LACA</v>
      </c>
      <c r="X244" t="str">
        <f>VLOOKUP(L244,'[2]tabela de preços'!$A:$G,7,0)</f>
        <v>AUTOMOTIVO</v>
      </c>
    </row>
    <row r="245" spans="1:24" x14ac:dyDescent="0.3">
      <c r="A245" t="s">
        <v>626</v>
      </c>
      <c r="B245" t="s">
        <v>627</v>
      </c>
      <c r="C245" t="s">
        <v>628</v>
      </c>
      <c r="D245" s="1">
        <v>46028</v>
      </c>
      <c r="E245" t="s">
        <v>629</v>
      </c>
      <c r="F245">
        <v>9</v>
      </c>
      <c r="G245">
        <v>174</v>
      </c>
      <c r="H245" t="str">
        <f>VLOOKUP(G245,[1]OPERADORES!$A:$B,2,0)</f>
        <v>MIRIÃ LOBATO RODRIGUES</v>
      </c>
      <c r="I245" t="s">
        <v>21</v>
      </c>
      <c r="J245" t="s">
        <v>630</v>
      </c>
      <c r="K245" t="s">
        <v>631</v>
      </c>
      <c r="L245">
        <v>10316</v>
      </c>
      <c r="M245" t="s">
        <v>582</v>
      </c>
      <c r="O245" t="s">
        <v>11</v>
      </c>
      <c r="P245">
        <v>5102</v>
      </c>
      <c r="Q245">
        <v>4</v>
      </c>
      <c r="R245">
        <v>13.89</v>
      </c>
      <c r="S245">
        <v>55.56</v>
      </c>
      <c r="T245">
        <v>46.52</v>
      </c>
      <c r="U245">
        <v>16.27</v>
      </c>
      <c r="V245" t="str">
        <f>VLOOKUP(L245,'[2]tabela de preços'!$A:$D,4,0)</f>
        <v>ANJO</v>
      </c>
      <c r="W245" t="str">
        <f>VLOOKUP(L245,'[2]tabela de preços'!$A:$F,6,0)</f>
        <v xml:space="preserve">COLA  PLÁSTICA </v>
      </c>
      <c r="X245" t="str">
        <f>VLOOKUP(L245,'[2]tabela de preços'!$A:$G,7,0)</f>
        <v>AUTOMOTIVO</v>
      </c>
    </row>
    <row r="246" spans="1:24" x14ac:dyDescent="0.3">
      <c r="A246" t="s">
        <v>626</v>
      </c>
      <c r="B246" t="s">
        <v>627</v>
      </c>
      <c r="C246" t="s">
        <v>628</v>
      </c>
      <c r="D246" s="1">
        <v>46028</v>
      </c>
      <c r="E246" t="s">
        <v>629</v>
      </c>
      <c r="F246">
        <v>9</v>
      </c>
      <c r="G246">
        <v>174</v>
      </c>
      <c r="H246" t="str">
        <f>VLOOKUP(G246,[1]OPERADORES!$A:$B,2,0)</f>
        <v>MIRIÃ LOBATO RODRIGUES</v>
      </c>
      <c r="I246" t="s">
        <v>21</v>
      </c>
      <c r="J246" t="s">
        <v>630</v>
      </c>
      <c r="K246" t="s">
        <v>631</v>
      </c>
      <c r="L246">
        <v>23108</v>
      </c>
      <c r="M246" t="s">
        <v>248</v>
      </c>
      <c r="O246" t="s">
        <v>11</v>
      </c>
      <c r="P246">
        <v>5102</v>
      </c>
      <c r="Q246">
        <v>20</v>
      </c>
      <c r="R246">
        <v>2.35</v>
      </c>
      <c r="S246">
        <v>47</v>
      </c>
      <c r="T246">
        <v>37</v>
      </c>
      <c r="U246">
        <v>21.28</v>
      </c>
      <c r="V246" t="str">
        <f>VLOOKUP(L246,'[2]tabela de preços'!$A:$D,4,0)</f>
        <v>3M</v>
      </c>
      <c r="W246" t="str">
        <f>VLOOKUP(L246,'[2]tabela de preços'!$A:$F,6,0)</f>
        <v xml:space="preserve">DISCOS / LIXAS / ABRASIVOS </v>
      </c>
      <c r="X246" t="str">
        <f>VLOOKUP(L246,'[2]tabela de preços'!$A:$G,7,0)</f>
        <v>AUTOMOTIVO</v>
      </c>
    </row>
    <row r="247" spans="1:24" x14ac:dyDescent="0.3">
      <c r="A247" t="s">
        <v>626</v>
      </c>
      <c r="B247" t="s">
        <v>627</v>
      </c>
      <c r="C247" t="s">
        <v>628</v>
      </c>
      <c r="D247" s="1">
        <v>46028</v>
      </c>
      <c r="E247" t="s">
        <v>629</v>
      </c>
      <c r="F247">
        <v>9</v>
      </c>
      <c r="G247">
        <v>174</v>
      </c>
      <c r="H247" t="str">
        <f>VLOOKUP(G247,[1]OPERADORES!$A:$B,2,0)</f>
        <v>MIRIÃ LOBATO RODRIGUES</v>
      </c>
      <c r="I247" t="s">
        <v>21</v>
      </c>
      <c r="J247" t="s">
        <v>630</v>
      </c>
      <c r="K247" t="s">
        <v>631</v>
      </c>
      <c r="L247">
        <v>24248</v>
      </c>
      <c r="M247" t="s">
        <v>107</v>
      </c>
      <c r="O247" t="s">
        <v>11</v>
      </c>
      <c r="P247">
        <v>5102</v>
      </c>
      <c r="Q247">
        <v>12</v>
      </c>
      <c r="R247">
        <v>9.9</v>
      </c>
      <c r="S247">
        <v>118.8</v>
      </c>
      <c r="T247">
        <v>76.92</v>
      </c>
      <c r="U247">
        <v>35.25</v>
      </c>
      <c r="V247" t="str">
        <f>VLOOKUP(L247,'[2]tabela de preços'!$A:$D,4,0)</f>
        <v>SHERWIN WILLIAMS</v>
      </c>
      <c r="W247" t="str">
        <f>VLOOKUP(L247,'[2]tabela de preços'!$A:$F,6,0)</f>
        <v>PRIMER AUTOMOTIVO</v>
      </c>
      <c r="X247" t="str">
        <f>VLOOKUP(L247,'[2]tabela de preços'!$A:$G,7,0)</f>
        <v>AUTOMOTIVO</v>
      </c>
    </row>
    <row r="248" spans="1:24" x14ac:dyDescent="0.3">
      <c r="A248" t="s">
        <v>626</v>
      </c>
      <c r="B248" t="s">
        <v>627</v>
      </c>
      <c r="C248" t="s">
        <v>628</v>
      </c>
      <c r="D248" s="1">
        <v>46028</v>
      </c>
      <c r="E248" t="s">
        <v>629</v>
      </c>
      <c r="F248">
        <v>9</v>
      </c>
      <c r="G248">
        <v>174</v>
      </c>
      <c r="H248" t="str">
        <f>VLOOKUP(G248,[1]OPERADORES!$A:$B,2,0)</f>
        <v>MIRIÃ LOBATO RODRIGUES</v>
      </c>
      <c r="I248" t="s">
        <v>21</v>
      </c>
      <c r="J248" t="s">
        <v>630</v>
      </c>
      <c r="K248" t="s">
        <v>631</v>
      </c>
      <c r="L248">
        <v>23076</v>
      </c>
      <c r="M248" t="s">
        <v>97</v>
      </c>
      <c r="O248" t="s">
        <v>11</v>
      </c>
      <c r="P248">
        <v>5403</v>
      </c>
      <c r="Q248">
        <v>24</v>
      </c>
      <c r="R248">
        <v>33.89</v>
      </c>
      <c r="S248">
        <v>813.36</v>
      </c>
      <c r="T248">
        <v>636.72</v>
      </c>
      <c r="U248">
        <v>21.72</v>
      </c>
      <c r="V248" t="str">
        <f>VLOOKUP(L248,'[2]tabela de preços'!$A:$D,4,0)</f>
        <v>WANDA</v>
      </c>
      <c r="W248" t="str">
        <f>VLOOKUP(L248,'[2]tabela de preços'!$A:$F,6,0)</f>
        <v>PRIMER AUTOMOTIVO</v>
      </c>
      <c r="X248" t="str">
        <f>VLOOKUP(L248,'[2]tabela de preços'!$A:$G,7,0)</f>
        <v>AUTOMOTIVO</v>
      </c>
    </row>
    <row r="249" spans="1:24" x14ac:dyDescent="0.3">
      <c r="A249" t="s">
        <v>626</v>
      </c>
      <c r="B249" t="s">
        <v>627</v>
      </c>
      <c r="C249" t="s">
        <v>628</v>
      </c>
      <c r="D249" s="1">
        <v>46028</v>
      </c>
      <c r="E249" t="s">
        <v>629</v>
      </c>
      <c r="F249">
        <v>9</v>
      </c>
      <c r="G249">
        <v>174</v>
      </c>
      <c r="H249" t="str">
        <f>VLOOKUP(G249,[1]OPERADORES!$A:$B,2,0)</f>
        <v>MIRIÃ LOBATO RODRIGUES</v>
      </c>
      <c r="I249" t="s">
        <v>21</v>
      </c>
      <c r="J249" t="s">
        <v>630</v>
      </c>
      <c r="K249" t="s">
        <v>631</v>
      </c>
      <c r="L249">
        <v>23690</v>
      </c>
      <c r="M249" t="s">
        <v>98</v>
      </c>
      <c r="O249" t="s">
        <v>11</v>
      </c>
      <c r="P249">
        <v>5403</v>
      </c>
      <c r="Q249">
        <v>6</v>
      </c>
      <c r="R249">
        <v>39.89</v>
      </c>
      <c r="S249">
        <v>239.34</v>
      </c>
      <c r="T249">
        <v>189.66</v>
      </c>
      <c r="U249">
        <v>20.76</v>
      </c>
      <c r="V249" t="str">
        <f>VLOOKUP(L249,'[2]tabela de preços'!$A:$D,4,0)</f>
        <v>WANDA</v>
      </c>
      <c r="W249" t="str">
        <f>VLOOKUP(L249,'[2]tabela de preços'!$A:$F,6,0)</f>
        <v>VERNIZ AUTOMOTIVO</v>
      </c>
      <c r="X249" t="str">
        <f>VLOOKUP(L249,'[2]tabela de preços'!$A:$G,7,0)</f>
        <v>AUTOMOTIVO</v>
      </c>
    </row>
    <row r="250" spans="1:24" x14ac:dyDescent="0.3">
      <c r="A250" t="s">
        <v>626</v>
      </c>
      <c r="B250" t="s">
        <v>627</v>
      </c>
      <c r="C250" t="s">
        <v>628</v>
      </c>
      <c r="D250" s="1">
        <v>46028</v>
      </c>
      <c r="E250" t="s">
        <v>629</v>
      </c>
      <c r="F250">
        <v>9</v>
      </c>
      <c r="G250">
        <v>174</v>
      </c>
      <c r="H250" t="str">
        <f>VLOOKUP(G250,[1]OPERADORES!$A:$B,2,0)</f>
        <v>MIRIÃ LOBATO RODRIGUES</v>
      </c>
      <c r="I250" t="s">
        <v>21</v>
      </c>
      <c r="J250" t="s">
        <v>630</v>
      </c>
      <c r="K250" t="s">
        <v>631</v>
      </c>
      <c r="L250">
        <v>20383</v>
      </c>
      <c r="M250" t="s">
        <v>129</v>
      </c>
      <c r="O250" t="s">
        <v>11</v>
      </c>
      <c r="P250">
        <v>5403</v>
      </c>
      <c r="Q250">
        <v>2</v>
      </c>
      <c r="R250">
        <v>33.590000000000003</v>
      </c>
      <c r="S250">
        <v>67.180000000000007</v>
      </c>
      <c r="T250">
        <v>47.9</v>
      </c>
      <c r="U250">
        <v>28.7</v>
      </c>
      <c r="V250" t="str">
        <f>VLOOKUP(L250,'[2]tabela de preços'!$A:$D,4,0)</f>
        <v>SHERWIN WILLIAMS</v>
      </c>
      <c r="W250" t="str">
        <f>VLOOKUP(L250,'[2]tabela de preços'!$A:$F,6,0)</f>
        <v>TINTAS POLIÉSTER</v>
      </c>
      <c r="X250" t="str">
        <f>VLOOKUP(L250,'[2]tabela de preços'!$A:$G,7,0)</f>
        <v>AUTOMOTIVO</v>
      </c>
    </row>
    <row r="251" spans="1:24" x14ac:dyDescent="0.3">
      <c r="A251" t="s">
        <v>626</v>
      </c>
      <c r="B251" t="s">
        <v>627</v>
      </c>
      <c r="C251" t="s">
        <v>628</v>
      </c>
      <c r="D251" s="1">
        <v>46028</v>
      </c>
      <c r="E251" t="s">
        <v>629</v>
      </c>
      <c r="F251">
        <v>9</v>
      </c>
      <c r="G251">
        <v>174</v>
      </c>
      <c r="H251" t="str">
        <f>VLOOKUP(G251,[1]OPERADORES!$A:$B,2,0)</f>
        <v>MIRIÃ LOBATO RODRIGUES</v>
      </c>
      <c r="I251" t="s">
        <v>21</v>
      </c>
      <c r="J251" t="s">
        <v>630</v>
      </c>
      <c r="K251" t="s">
        <v>631</v>
      </c>
      <c r="L251">
        <v>24247</v>
      </c>
      <c r="M251" t="s">
        <v>111</v>
      </c>
      <c r="O251" t="s">
        <v>11</v>
      </c>
      <c r="P251">
        <v>5403</v>
      </c>
      <c r="Q251">
        <v>12</v>
      </c>
      <c r="R251">
        <v>19.899999999999999</v>
      </c>
      <c r="S251">
        <v>238.8</v>
      </c>
      <c r="T251">
        <v>199.2</v>
      </c>
      <c r="U251">
        <v>16.579999999999998</v>
      </c>
      <c r="V251" t="str">
        <f>VLOOKUP(L251,'[2]tabela de preços'!$A:$D,4,0)</f>
        <v>SHERWIN WILLIAMS</v>
      </c>
      <c r="W251" t="str">
        <f>VLOOKUP(L251,'[2]tabela de preços'!$A:$F,6,0)</f>
        <v>PRIMER AUTOMOTIVO</v>
      </c>
      <c r="X251" t="str">
        <f>VLOOKUP(L251,'[2]tabela de preços'!$A:$G,7,0)</f>
        <v>AUTOMOTIVO</v>
      </c>
    </row>
    <row r="252" spans="1:24" x14ac:dyDescent="0.3">
      <c r="A252" t="s">
        <v>626</v>
      </c>
      <c r="B252" t="s">
        <v>627</v>
      </c>
      <c r="C252" t="s">
        <v>628</v>
      </c>
      <c r="D252" s="1">
        <v>46028</v>
      </c>
      <c r="E252" t="s">
        <v>629</v>
      </c>
      <c r="F252">
        <v>9</v>
      </c>
      <c r="G252">
        <v>174</v>
      </c>
      <c r="H252" t="str">
        <f>VLOOKUP(G252,[1]OPERADORES!$A:$B,2,0)</f>
        <v>MIRIÃ LOBATO RODRIGUES</v>
      </c>
      <c r="I252" t="s">
        <v>21</v>
      </c>
      <c r="J252" t="s">
        <v>630</v>
      </c>
      <c r="K252" t="s">
        <v>631</v>
      </c>
      <c r="L252">
        <v>84460</v>
      </c>
      <c r="M252" t="s">
        <v>322</v>
      </c>
      <c r="O252" t="s">
        <v>11</v>
      </c>
      <c r="P252">
        <v>5102</v>
      </c>
      <c r="Q252">
        <v>1</v>
      </c>
      <c r="R252">
        <v>31.07</v>
      </c>
      <c r="S252">
        <v>31.07</v>
      </c>
      <c r="T252">
        <v>23.58</v>
      </c>
      <c r="U252">
        <v>24.11</v>
      </c>
      <c r="V252" t="str">
        <f>VLOOKUP(L252,'[2]tabela de preços'!$A:$D,4,0)</f>
        <v>BRASILUX</v>
      </c>
      <c r="W252" t="str">
        <f>VLOOKUP(L252,'[2]tabela de preços'!$A:$F,6,0)</f>
        <v>VEDADORES / SELANTES</v>
      </c>
      <c r="X252" t="str">
        <f>VLOOKUP(L252,'[2]tabela de preços'!$A:$G,7,0)</f>
        <v>AUTOMOTIVO</v>
      </c>
    </row>
    <row r="253" spans="1:24" x14ac:dyDescent="0.3">
      <c r="A253" t="s">
        <v>626</v>
      </c>
      <c r="B253" t="s">
        <v>627</v>
      </c>
      <c r="C253" t="s">
        <v>628</v>
      </c>
      <c r="D253" s="1">
        <v>46028</v>
      </c>
      <c r="E253" t="s">
        <v>629</v>
      </c>
      <c r="F253">
        <v>9</v>
      </c>
      <c r="G253">
        <v>174</v>
      </c>
      <c r="H253" t="str">
        <f>VLOOKUP(G253,[1]OPERADORES!$A:$B,2,0)</f>
        <v>MIRIÃ LOBATO RODRIGUES</v>
      </c>
      <c r="I253" t="s">
        <v>21</v>
      </c>
      <c r="J253" t="s">
        <v>630</v>
      </c>
      <c r="K253" t="s">
        <v>631</v>
      </c>
      <c r="L253">
        <v>10404</v>
      </c>
      <c r="M253" t="s">
        <v>130</v>
      </c>
      <c r="O253" t="s">
        <v>11</v>
      </c>
      <c r="P253">
        <v>5102</v>
      </c>
      <c r="Q253">
        <v>4</v>
      </c>
      <c r="R253">
        <v>16.09</v>
      </c>
      <c r="S253">
        <v>64.36</v>
      </c>
      <c r="T253">
        <v>53.28</v>
      </c>
      <c r="U253">
        <v>17.22</v>
      </c>
      <c r="V253" t="str">
        <f>VLOOKUP(L253,'[2]tabela de preços'!$A:$D,4,0)</f>
        <v>MAXI RUBBER</v>
      </c>
      <c r="W253" t="str">
        <f>VLOOKUP(L253,'[2]tabela de preços'!$A:$F,6,0)</f>
        <v>VEDADORES / SELANTES</v>
      </c>
      <c r="X253" t="str">
        <f>VLOOKUP(L253,'[2]tabela de preços'!$A:$G,7,0)</f>
        <v>AUTOMOTIVO</v>
      </c>
    </row>
    <row r="254" spans="1:24" x14ac:dyDescent="0.3">
      <c r="A254" t="s">
        <v>727</v>
      </c>
      <c r="C254" t="s">
        <v>733</v>
      </c>
      <c r="D254" s="1">
        <v>46028</v>
      </c>
      <c r="E254" t="s">
        <v>734</v>
      </c>
      <c r="F254">
        <v>9</v>
      </c>
      <c r="G254">
        <v>231</v>
      </c>
      <c r="H254" t="str">
        <f>VLOOKUP(G254,[1]OPERADORES!$A:$B,2,0)</f>
        <v>EDIJANE</v>
      </c>
      <c r="I254" t="s">
        <v>21</v>
      </c>
      <c r="J254" t="s">
        <v>730</v>
      </c>
      <c r="K254" t="s">
        <v>731</v>
      </c>
      <c r="L254">
        <v>10298</v>
      </c>
      <c r="M254" t="s">
        <v>85</v>
      </c>
      <c r="O254" t="s">
        <v>11</v>
      </c>
      <c r="P254">
        <v>5102</v>
      </c>
      <c r="Q254">
        <v>16</v>
      </c>
      <c r="R254">
        <v>56.8</v>
      </c>
      <c r="S254">
        <v>908.8</v>
      </c>
      <c r="T254">
        <v>758.08</v>
      </c>
      <c r="U254">
        <v>16.579999999999998</v>
      </c>
      <c r="V254" t="str">
        <f>VLOOKUP(L254,'[2]tabela de preços'!$A:$D,4,0)</f>
        <v>ANJO</v>
      </c>
      <c r="W254" t="str">
        <f>VLOOKUP(L254,'[2]tabela de preços'!$A:$F,6,0)</f>
        <v>THINNER DE LIMPEZA</v>
      </c>
      <c r="X254" t="str">
        <f>VLOOKUP(L254,'[2]tabela de preços'!$A:$G,7,0)</f>
        <v>THINNER</v>
      </c>
    </row>
    <row r="255" spans="1:24" x14ac:dyDescent="0.3">
      <c r="A255" t="s">
        <v>727</v>
      </c>
      <c r="C255" t="s">
        <v>733</v>
      </c>
      <c r="D255" s="1">
        <v>46028</v>
      </c>
      <c r="E255" t="s">
        <v>734</v>
      </c>
      <c r="F255">
        <v>9</v>
      </c>
      <c r="G255">
        <v>231</v>
      </c>
      <c r="H255" t="str">
        <f>VLOOKUP(G255,[1]OPERADORES!$A:$B,2,0)</f>
        <v>EDIJANE</v>
      </c>
      <c r="I255" t="s">
        <v>21</v>
      </c>
      <c r="J255" t="s">
        <v>730</v>
      </c>
      <c r="K255" t="s">
        <v>731</v>
      </c>
      <c r="L255">
        <v>10297</v>
      </c>
      <c r="M255" t="s">
        <v>41</v>
      </c>
      <c r="O255" t="s">
        <v>11</v>
      </c>
      <c r="P255">
        <v>5102</v>
      </c>
      <c r="Q255">
        <v>24</v>
      </c>
      <c r="R255">
        <v>10.95</v>
      </c>
      <c r="S255">
        <v>262.8</v>
      </c>
      <c r="T255">
        <v>220.08</v>
      </c>
      <c r="U255">
        <v>16.260000000000002</v>
      </c>
      <c r="V255" t="str">
        <f>VLOOKUP(L255,'[2]tabela de preços'!$A:$D,4,0)</f>
        <v>ANJO</v>
      </c>
      <c r="W255" t="str">
        <f>VLOOKUP(L255,'[2]tabela de preços'!$A:$F,6,0)</f>
        <v>THINNER DE LIMPEZA</v>
      </c>
      <c r="X255" t="str">
        <f>VLOOKUP(L255,'[2]tabela de preços'!$A:$G,7,0)</f>
        <v>THINNER</v>
      </c>
    </row>
    <row r="256" spans="1:24" x14ac:dyDescent="0.3">
      <c r="A256" t="s">
        <v>770</v>
      </c>
      <c r="C256" t="s">
        <v>771</v>
      </c>
      <c r="D256" s="1">
        <v>46028</v>
      </c>
      <c r="E256" t="s">
        <v>772</v>
      </c>
      <c r="F256">
        <v>9</v>
      </c>
      <c r="G256">
        <v>230</v>
      </c>
      <c r="H256" t="str">
        <f>VLOOKUP(G256,[1]OPERADORES!$A:$B,2,0)</f>
        <v>SÔNIA</v>
      </c>
      <c r="I256" t="s">
        <v>21</v>
      </c>
      <c r="J256" t="s">
        <v>397</v>
      </c>
      <c r="K256" t="s">
        <v>773</v>
      </c>
      <c r="L256">
        <v>20375</v>
      </c>
      <c r="M256" t="s">
        <v>148</v>
      </c>
      <c r="O256" t="s">
        <v>11</v>
      </c>
      <c r="P256">
        <v>5403</v>
      </c>
      <c r="Q256">
        <v>3</v>
      </c>
      <c r="R256">
        <v>35.49</v>
      </c>
      <c r="S256">
        <v>106.47</v>
      </c>
      <c r="T256">
        <v>75.900000000000006</v>
      </c>
      <c r="U256">
        <v>28.71</v>
      </c>
      <c r="V256" t="str">
        <f>VLOOKUP(L256,'[2]tabela de preços'!$A:$D,4,0)</f>
        <v>SHERWIN WILLIAMS</v>
      </c>
      <c r="W256" t="str">
        <f>VLOOKUP(L256,'[2]tabela de preços'!$A:$F,6,0)</f>
        <v>TINTAS POLIÉSTER</v>
      </c>
      <c r="X256" t="str">
        <f>VLOOKUP(L256,'[2]tabela de preços'!$A:$G,7,0)</f>
        <v>AUTOMOTIVO</v>
      </c>
    </row>
    <row r="257" spans="1:24" x14ac:dyDescent="0.3">
      <c r="A257" t="s">
        <v>770</v>
      </c>
      <c r="C257" t="s">
        <v>771</v>
      </c>
      <c r="D257" s="1">
        <v>46028</v>
      </c>
      <c r="E257" t="s">
        <v>772</v>
      </c>
      <c r="F257">
        <v>9</v>
      </c>
      <c r="G257">
        <v>230</v>
      </c>
      <c r="H257" t="str">
        <f>VLOOKUP(G257,[1]OPERADORES!$A:$B,2,0)</f>
        <v>SÔNIA</v>
      </c>
      <c r="I257" t="s">
        <v>21</v>
      </c>
      <c r="J257" t="s">
        <v>397</v>
      </c>
      <c r="K257" t="s">
        <v>773</v>
      </c>
      <c r="L257">
        <v>20384</v>
      </c>
      <c r="M257" t="s">
        <v>648</v>
      </c>
      <c r="O257" t="s">
        <v>11</v>
      </c>
      <c r="P257">
        <v>5403</v>
      </c>
      <c r="Q257">
        <v>1</v>
      </c>
      <c r="R257">
        <v>32.159999999999997</v>
      </c>
      <c r="S257">
        <v>32.159999999999997</v>
      </c>
      <c r="T257">
        <v>22.93</v>
      </c>
      <c r="U257">
        <v>28.7</v>
      </c>
      <c r="V257" t="str">
        <f>VLOOKUP(L257,'[2]tabela de preços'!$A:$D,4,0)</f>
        <v>SHERWIN WILLIAMS</v>
      </c>
      <c r="W257" t="str">
        <f>VLOOKUP(L257,'[2]tabela de preços'!$A:$F,6,0)</f>
        <v>TINTAS PU</v>
      </c>
      <c r="X257" t="str">
        <f>VLOOKUP(L257,'[2]tabela de preços'!$A:$G,7,0)</f>
        <v>AUTOMOTIVO</v>
      </c>
    </row>
    <row r="258" spans="1:24" x14ac:dyDescent="0.3">
      <c r="A258" t="s">
        <v>901</v>
      </c>
      <c r="C258" t="s">
        <v>902</v>
      </c>
      <c r="D258" s="1">
        <v>46028</v>
      </c>
      <c r="E258" t="s">
        <v>903</v>
      </c>
      <c r="F258">
        <v>9</v>
      </c>
      <c r="G258">
        <v>230</v>
      </c>
      <c r="H258" t="str">
        <f>VLOOKUP(G258,[1]OPERADORES!$A:$B,2,0)</f>
        <v>SÔNIA</v>
      </c>
      <c r="I258" t="s">
        <v>21</v>
      </c>
      <c r="J258" t="s">
        <v>904</v>
      </c>
      <c r="K258" t="s">
        <v>905</v>
      </c>
      <c r="L258">
        <v>84331</v>
      </c>
      <c r="M258" t="s">
        <v>497</v>
      </c>
      <c r="O258" t="s">
        <v>11</v>
      </c>
      <c r="P258">
        <v>5403</v>
      </c>
      <c r="Q258">
        <v>20</v>
      </c>
      <c r="R258">
        <v>60.89</v>
      </c>
      <c r="S258" s="2">
        <v>1217.8</v>
      </c>
      <c r="T258" s="2">
        <v>1040</v>
      </c>
      <c r="U258">
        <v>14.6</v>
      </c>
      <c r="V258" t="str">
        <f>VLOOKUP(L258,'[2]tabela de preços'!$A:$D,4,0)</f>
        <v>BRASILUX</v>
      </c>
      <c r="W258" t="str">
        <f>VLOOKUP(L258,'[2]tabela de preços'!$A:$F,6,0)</f>
        <v>ESMALTES</v>
      </c>
      <c r="X258" t="str">
        <f>VLOOKUP(L258,'[2]tabela de preços'!$A:$G,7,0)</f>
        <v>INDUSTRIAL</v>
      </c>
    </row>
    <row r="259" spans="1:24" x14ac:dyDescent="0.3">
      <c r="A259" t="s">
        <v>901</v>
      </c>
      <c r="C259" t="s">
        <v>902</v>
      </c>
      <c r="D259" s="1">
        <v>46028</v>
      </c>
      <c r="E259" t="s">
        <v>903</v>
      </c>
      <c r="F259">
        <v>9</v>
      </c>
      <c r="G259">
        <v>230</v>
      </c>
      <c r="H259" t="str">
        <f>VLOOKUP(G259,[1]OPERADORES!$A:$B,2,0)</f>
        <v>SÔNIA</v>
      </c>
      <c r="I259" t="s">
        <v>21</v>
      </c>
      <c r="J259" t="s">
        <v>904</v>
      </c>
      <c r="K259" t="s">
        <v>905</v>
      </c>
      <c r="L259">
        <v>5</v>
      </c>
      <c r="M259" t="s">
        <v>147</v>
      </c>
      <c r="O259" t="s">
        <v>11</v>
      </c>
      <c r="P259">
        <v>5102</v>
      </c>
      <c r="Q259">
        <v>8</v>
      </c>
      <c r="R259">
        <v>4.8499999999999996</v>
      </c>
      <c r="S259">
        <v>38.799999999999997</v>
      </c>
      <c r="T259">
        <v>31.28</v>
      </c>
      <c r="U259">
        <v>19.38</v>
      </c>
      <c r="V259" t="str">
        <f>VLOOKUP(L259,'[2]tabela de preços'!$A:$D,4,0)</f>
        <v>BRILHO ESTOPA</v>
      </c>
      <c r="W259" t="str">
        <f>VLOOKUP(L259,'[2]tabela de preços'!$A:$F,6,0)</f>
        <v>ESTOPAS</v>
      </c>
      <c r="X259" t="str">
        <f>VLOOKUP(L259,'[2]tabela de preços'!$A:$G,7,0)</f>
        <v>AUTOMOTIVO</v>
      </c>
    </row>
    <row r="260" spans="1:24" x14ac:dyDescent="0.3">
      <c r="A260" t="s">
        <v>901</v>
      </c>
      <c r="C260" t="s">
        <v>902</v>
      </c>
      <c r="D260" s="1">
        <v>46028</v>
      </c>
      <c r="E260" t="s">
        <v>903</v>
      </c>
      <c r="F260">
        <v>9</v>
      </c>
      <c r="G260">
        <v>230</v>
      </c>
      <c r="H260" t="str">
        <f>VLOOKUP(G260,[1]OPERADORES!$A:$B,2,0)</f>
        <v>SÔNIA</v>
      </c>
      <c r="I260" t="s">
        <v>21</v>
      </c>
      <c r="J260" t="s">
        <v>904</v>
      </c>
      <c r="K260" t="s">
        <v>905</v>
      </c>
      <c r="L260">
        <v>84928</v>
      </c>
      <c r="M260" t="s">
        <v>36</v>
      </c>
      <c r="O260" t="s">
        <v>11</v>
      </c>
      <c r="P260">
        <v>5102</v>
      </c>
      <c r="Q260">
        <v>40</v>
      </c>
      <c r="R260">
        <v>9.39</v>
      </c>
      <c r="S260">
        <v>375.6</v>
      </c>
      <c r="T260">
        <v>285.2</v>
      </c>
      <c r="U260">
        <v>24.07</v>
      </c>
      <c r="V260" t="str">
        <f>VLOOKUP(L260,'[2]tabela de preços'!$A:$D,4,0)</f>
        <v>ADERE</v>
      </c>
      <c r="W260" t="str">
        <f>VLOOKUP(L260,'[2]tabela de preços'!$A:$F,6,0)</f>
        <v xml:space="preserve">FITA DE USO GERAL </v>
      </c>
      <c r="X260" t="str">
        <f>VLOOKUP(L260,'[2]tabela de preços'!$A:$G,7,0)</f>
        <v>IMOBILIÁRIO</v>
      </c>
    </row>
    <row r="261" spans="1:24" x14ac:dyDescent="0.3">
      <c r="A261" t="s">
        <v>901</v>
      </c>
      <c r="C261" t="s">
        <v>902</v>
      </c>
      <c r="D261" s="1">
        <v>46028</v>
      </c>
      <c r="E261" t="s">
        <v>903</v>
      </c>
      <c r="F261">
        <v>9</v>
      </c>
      <c r="G261">
        <v>230</v>
      </c>
      <c r="H261" t="str">
        <f>VLOOKUP(G261,[1]OPERADORES!$A:$B,2,0)</f>
        <v>SÔNIA</v>
      </c>
      <c r="I261" t="s">
        <v>21</v>
      </c>
      <c r="J261" t="s">
        <v>904</v>
      </c>
      <c r="K261" t="s">
        <v>905</v>
      </c>
      <c r="L261">
        <v>84016</v>
      </c>
      <c r="M261" t="s">
        <v>862</v>
      </c>
      <c r="O261" t="s">
        <v>11</v>
      </c>
      <c r="P261">
        <v>5102</v>
      </c>
      <c r="Q261">
        <v>10</v>
      </c>
      <c r="R261">
        <v>0.52</v>
      </c>
      <c r="S261">
        <v>5.2</v>
      </c>
      <c r="T261">
        <v>4.5999999999999996</v>
      </c>
      <c r="U261">
        <v>11.54</v>
      </c>
      <c r="V261" t="str">
        <f>VLOOKUP(L261,'[2]tabela de preços'!$A:$D,4,0)</f>
        <v>3M</v>
      </c>
      <c r="W261" t="str">
        <f>VLOOKUP(L261,'[2]tabela de preços'!$A:$F,6,0)</f>
        <v>LIXA MASSA  /MADEIRA / PAREDE</v>
      </c>
      <c r="X261" t="str">
        <f>VLOOKUP(L261,'[2]tabela de preços'!$A:$G,7,0)</f>
        <v>IMOBILIÁRIO</v>
      </c>
    </row>
    <row r="262" spans="1:24" x14ac:dyDescent="0.3">
      <c r="A262" t="s">
        <v>901</v>
      </c>
      <c r="C262" t="s">
        <v>902</v>
      </c>
      <c r="D262" s="1">
        <v>46028</v>
      </c>
      <c r="E262" t="s">
        <v>903</v>
      </c>
      <c r="F262">
        <v>9</v>
      </c>
      <c r="G262">
        <v>230</v>
      </c>
      <c r="H262" t="str">
        <f>VLOOKUP(G262,[1]OPERADORES!$A:$B,2,0)</f>
        <v>SÔNIA</v>
      </c>
      <c r="I262" t="s">
        <v>21</v>
      </c>
      <c r="J262" t="s">
        <v>904</v>
      </c>
      <c r="K262" t="s">
        <v>905</v>
      </c>
      <c r="L262">
        <v>85707</v>
      </c>
      <c r="M262" t="s">
        <v>906</v>
      </c>
      <c r="O262" t="s">
        <v>46</v>
      </c>
      <c r="P262">
        <v>5405</v>
      </c>
      <c r="Q262">
        <v>2</v>
      </c>
      <c r="R262">
        <v>309.81</v>
      </c>
      <c r="S262">
        <v>619.62</v>
      </c>
      <c r="T262">
        <v>470.3</v>
      </c>
      <c r="U262">
        <v>24.1</v>
      </c>
      <c r="V262" t="str">
        <f>VLOOKUP(L262,'[2]tabela de preços'!$A:$D,4,0)</f>
        <v>MULTILONA</v>
      </c>
      <c r="W262" t="str">
        <f>VLOOKUP(L262,'[2]tabela de preços'!$A:$F,6,0)</f>
        <v>LONAS</v>
      </c>
      <c r="X262" t="str">
        <f>VLOOKUP(L262,'[2]tabela de preços'!$A:$G,7,0)</f>
        <v>IMOBILIÁRIO</v>
      </c>
    </row>
    <row r="263" spans="1:24" x14ac:dyDescent="0.3">
      <c r="A263" t="s">
        <v>901</v>
      </c>
      <c r="C263" t="s">
        <v>902</v>
      </c>
      <c r="D263" s="1">
        <v>46028</v>
      </c>
      <c r="E263" t="s">
        <v>903</v>
      </c>
      <c r="F263">
        <v>9</v>
      </c>
      <c r="G263">
        <v>230</v>
      </c>
      <c r="H263" t="str">
        <f>VLOOKUP(G263,[1]OPERADORES!$A:$B,2,0)</f>
        <v>SÔNIA</v>
      </c>
      <c r="I263" t="s">
        <v>21</v>
      </c>
      <c r="J263" t="s">
        <v>904</v>
      </c>
      <c r="K263" t="s">
        <v>905</v>
      </c>
      <c r="L263">
        <v>84421</v>
      </c>
      <c r="M263" t="s">
        <v>568</v>
      </c>
      <c r="O263" t="s">
        <v>11</v>
      </c>
      <c r="P263">
        <v>5102</v>
      </c>
      <c r="Q263">
        <v>12</v>
      </c>
      <c r="R263">
        <v>6.35</v>
      </c>
      <c r="S263">
        <v>76.2</v>
      </c>
      <c r="T263">
        <v>57.84</v>
      </c>
      <c r="U263">
        <v>24.09</v>
      </c>
      <c r="V263" t="str">
        <f>VLOOKUP(L263,'[2]tabela de preços'!$A:$D,4,0)</f>
        <v>ATLAS</v>
      </c>
      <c r="W263" t="str">
        <f>VLOOKUP(L263,'[2]tabela de preços'!$A:$F,6,0)</f>
        <v>ROLOS / TRINCHAS / PINCÉIS / ESPÁTULAS</v>
      </c>
      <c r="X263" t="str">
        <f>VLOOKUP(L263,'[2]tabela de preços'!$A:$G,7,0)</f>
        <v>IMOBILIÁRIO</v>
      </c>
    </row>
    <row r="264" spans="1:24" x14ac:dyDescent="0.3">
      <c r="A264" t="s">
        <v>901</v>
      </c>
      <c r="C264" t="s">
        <v>902</v>
      </c>
      <c r="D264" s="1">
        <v>46028</v>
      </c>
      <c r="E264" t="s">
        <v>903</v>
      </c>
      <c r="F264">
        <v>9</v>
      </c>
      <c r="G264">
        <v>230</v>
      </c>
      <c r="H264" t="str">
        <f>VLOOKUP(G264,[1]OPERADORES!$A:$B,2,0)</f>
        <v>SÔNIA</v>
      </c>
      <c r="I264" t="s">
        <v>21</v>
      </c>
      <c r="J264" t="s">
        <v>904</v>
      </c>
      <c r="K264" t="s">
        <v>905</v>
      </c>
      <c r="L264">
        <v>84499</v>
      </c>
      <c r="M264" t="s">
        <v>534</v>
      </c>
      <c r="O264" t="s">
        <v>11</v>
      </c>
      <c r="P264">
        <v>5102</v>
      </c>
      <c r="Q264">
        <v>2</v>
      </c>
      <c r="R264">
        <v>176.61</v>
      </c>
      <c r="S264">
        <v>353.22</v>
      </c>
      <c r="T264">
        <v>268.10000000000002</v>
      </c>
      <c r="U264">
        <v>24.1</v>
      </c>
      <c r="V264" t="str">
        <f>VLOOKUP(L264,'[2]tabela de preços'!$A:$D,4,0)</f>
        <v>BRASILUX</v>
      </c>
      <c r="W264" t="str">
        <f>VLOOKUP(L264,'[2]tabela de preços'!$A:$F,6,0)</f>
        <v>THINNER DE LIMPEZA</v>
      </c>
      <c r="X264" t="str">
        <f>VLOOKUP(L264,'[2]tabela de preços'!$A:$G,7,0)</f>
        <v>THINNER</v>
      </c>
    </row>
    <row r="265" spans="1:24" x14ac:dyDescent="0.3">
      <c r="A265" t="s">
        <v>953</v>
      </c>
      <c r="C265" t="s">
        <v>954</v>
      </c>
      <c r="D265" s="1">
        <v>46028</v>
      </c>
      <c r="E265" t="s">
        <v>955</v>
      </c>
      <c r="F265">
        <v>9</v>
      </c>
      <c r="G265">
        <v>231</v>
      </c>
      <c r="H265" t="str">
        <f>VLOOKUP(G265,[1]OPERADORES!$A:$B,2,0)</f>
        <v>EDIJANE</v>
      </c>
      <c r="I265" t="s">
        <v>21</v>
      </c>
      <c r="J265" t="s">
        <v>550</v>
      </c>
      <c r="K265" t="s">
        <v>956</v>
      </c>
      <c r="L265">
        <v>10236</v>
      </c>
      <c r="M265" t="s">
        <v>133</v>
      </c>
      <c r="O265" t="s">
        <v>11</v>
      </c>
      <c r="P265">
        <v>5102</v>
      </c>
      <c r="Q265">
        <v>50</v>
      </c>
      <c r="R265">
        <v>2.79</v>
      </c>
      <c r="S265">
        <v>139.5</v>
      </c>
      <c r="T265">
        <v>118.5</v>
      </c>
      <c r="U265">
        <v>15.05</v>
      </c>
      <c r="V265" t="str">
        <f>VLOOKUP(L265,'[2]tabela de preços'!$A:$D,4,0)</f>
        <v>NORTON</v>
      </c>
      <c r="W265" t="str">
        <f>VLOOKUP(L265,'[2]tabela de preços'!$A:$F,6,0)</f>
        <v xml:space="preserve">DISCOS / LIXAS / ABRASIVOS </v>
      </c>
      <c r="X265" t="str">
        <f>VLOOKUP(L265,'[2]tabela de preços'!$A:$G,7,0)</f>
        <v>AUTOMOTIVO</v>
      </c>
    </row>
    <row r="266" spans="1:24" x14ac:dyDescent="0.3">
      <c r="A266" t="s">
        <v>953</v>
      </c>
      <c r="C266" t="s">
        <v>954</v>
      </c>
      <c r="D266" s="1">
        <v>46028</v>
      </c>
      <c r="E266" t="s">
        <v>955</v>
      </c>
      <c r="F266">
        <v>9</v>
      </c>
      <c r="G266">
        <v>231</v>
      </c>
      <c r="H266" t="str">
        <f>VLOOKUP(G266,[1]OPERADORES!$A:$B,2,0)</f>
        <v>EDIJANE</v>
      </c>
      <c r="I266" t="s">
        <v>21</v>
      </c>
      <c r="J266" t="s">
        <v>550</v>
      </c>
      <c r="K266" t="s">
        <v>956</v>
      </c>
      <c r="L266">
        <v>24248</v>
      </c>
      <c r="M266" t="s">
        <v>107</v>
      </c>
      <c r="O266" t="s">
        <v>11</v>
      </c>
      <c r="P266">
        <v>5102</v>
      </c>
      <c r="Q266">
        <v>6</v>
      </c>
      <c r="R266">
        <v>9.9</v>
      </c>
      <c r="S266">
        <v>59.4</v>
      </c>
      <c r="T266">
        <v>38.46</v>
      </c>
      <c r="U266">
        <v>35.25</v>
      </c>
      <c r="V266" t="str">
        <f>VLOOKUP(L266,'[2]tabela de preços'!$A:$D,4,0)</f>
        <v>SHERWIN WILLIAMS</v>
      </c>
      <c r="W266" t="str">
        <f>VLOOKUP(L266,'[2]tabela de preços'!$A:$F,6,0)</f>
        <v>PRIMER AUTOMOTIVO</v>
      </c>
      <c r="X266" t="str">
        <f>VLOOKUP(L266,'[2]tabela de preços'!$A:$G,7,0)</f>
        <v>AUTOMOTIVO</v>
      </c>
    </row>
    <row r="267" spans="1:24" x14ac:dyDescent="0.3">
      <c r="A267" t="s">
        <v>953</v>
      </c>
      <c r="C267" t="s">
        <v>954</v>
      </c>
      <c r="D267" s="1">
        <v>46028</v>
      </c>
      <c r="E267" t="s">
        <v>955</v>
      </c>
      <c r="F267">
        <v>9</v>
      </c>
      <c r="G267">
        <v>231</v>
      </c>
      <c r="H267" t="str">
        <f>VLOOKUP(G267,[1]OPERADORES!$A:$B,2,0)</f>
        <v>EDIJANE</v>
      </c>
      <c r="I267" t="s">
        <v>21</v>
      </c>
      <c r="J267" t="s">
        <v>550</v>
      </c>
      <c r="K267" t="s">
        <v>956</v>
      </c>
      <c r="L267">
        <v>84011</v>
      </c>
      <c r="M267" t="s">
        <v>957</v>
      </c>
      <c r="O267" t="s">
        <v>11</v>
      </c>
      <c r="P267">
        <v>5102</v>
      </c>
      <c r="Q267">
        <v>50</v>
      </c>
      <c r="R267">
        <v>2.62</v>
      </c>
      <c r="S267">
        <v>131</v>
      </c>
      <c r="T267">
        <v>84.5</v>
      </c>
      <c r="U267">
        <v>35.5</v>
      </c>
      <c r="V267" t="str">
        <f>VLOOKUP(L267,'[2]tabela de preços'!$A:$D,4,0)</f>
        <v>3M</v>
      </c>
      <c r="W267" t="str">
        <f>VLOOKUP(L267,'[2]tabela de preços'!$A:$F,6,0)</f>
        <v>LIXA FERRO</v>
      </c>
      <c r="X267" t="str">
        <f>VLOOKUP(L267,'[2]tabela de preços'!$A:$G,7,0)</f>
        <v>IMOBILIÁRIO</v>
      </c>
    </row>
    <row r="268" spans="1:24" x14ac:dyDescent="0.3">
      <c r="A268" t="s">
        <v>953</v>
      </c>
      <c r="C268" t="s">
        <v>954</v>
      </c>
      <c r="D268" s="1">
        <v>46028</v>
      </c>
      <c r="E268" t="s">
        <v>955</v>
      </c>
      <c r="F268">
        <v>9</v>
      </c>
      <c r="G268">
        <v>231</v>
      </c>
      <c r="H268" t="str">
        <f>VLOOKUP(G268,[1]OPERADORES!$A:$B,2,0)</f>
        <v>EDIJANE</v>
      </c>
      <c r="I268" t="s">
        <v>21</v>
      </c>
      <c r="J268" t="s">
        <v>550</v>
      </c>
      <c r="K268" t="s">
        <v>956</v>
      </c>
      <c r="L268">
        <v>20817</v>
      </c>
      <c r="M268" t="s">
        <v>153</v>
      </c>
      <c r="O268" t="s">
        <v>11</v>
      </c>
      <c r="P268">
        <v>5102</v>
      </c>
      <c r="Q268">
        <v>6</v>
      </c>
      <c r="R268">
        <v>22.89</v>
      </c>
      <c r="S268">
        <v>137.34</v>
      </c>
      <c r="T268">
        <v>111.72</v>
      </c>
      <c r="U268">
        <v>18.649999999999999</v>
      </c>
      <c r="V268" t="str">
        <f>VLOOKUP(L268,'[2]tabela de preços'!$A:$D,4,0)</f>
        <v>AUTO AMERICA</v>
      </c>
      <c r="W268" t="str">
        <f>VLOOKUP(L268,'[2]tabela de preços'!$A:$F,6,0)</f>
        <v>MASSA DE POLIR</v>
      </c>
      <c r="X268" t="str">
        <f>VLOOKUP(L268,'[2]tabela de preços'!$A:$G,7,0)</f>
        <v>AUTOMOTIVO</v>
      </c>
    </row>
    <row r="269" spans="1:24" x14ac:dyDescent="0.3">
      <c r="A269" t="s">
        <v>953</v>
      </c>
      <c r="C269" t="s">
        <v>954</v>
      </c>
      <c r="D269" s="1">
        <v>46028</v>
      </c>
      <c r="E269" t="s">
        <v>955</v>
      </c>
      <c r="F269">
        <v>9</v>
      </c>
      <c r="G269">
        <v>231</v>
      </c>
      <c r="H269" t="str">
        <f>VLOOKUP(G269,[1]OPERADORES!$A:$B,2,0)</f>
        <v>EDIJANE</v>
      </c>
      <c r="I269" t="s">
        <v>21</v>
      </c>
      <c r="J269" t="s">
        <v>550</v>
      </c>
      <c r="K269" t="s">
        <v>956</v>
      </c>
      <c r="L269">
        <v>24247</v>
      </c>
      <c r="M269" t="s">
        <v>111</v>
      </c>
      <c r="O269" t="s">
        <v>11</v>
      </c>
      <c r="P269">
        <v>5403</v>
      </c>
      <c r="Q269">
        <v>6</v>
      </c>
      <c r="R269">
        <v>19.899999999999999</v>
      </c>
      <c r="S269">
        <v>119.4</v>
      </c>
      <c r="T269">
        <v>99.6</v>
      </c>
      <c r="U269">
        <v>16.579999999999998</v>
      </c>
      <c r="V269" t="str">
        <f>VLOOKUP(L269,'[2]tabela de preços'!$A:$D,4,0)</f>
        <v>SHERWIN WILLIAMS</v>
      </c>
      <c r="W269" t="str">
        <f>VLOOKUP(L269,'[2]tabela de preços'!$A:$F,6,0)</f>
        <v>PRIMER AUTOMOTIVO</v>
      </c>
      <c r="X269" t="str">
        <f>VLOOKUP(L269,'[2]tabela de preços'!$A:$G,7,0)</f>
        <v>AUTOMOTIVO</v>
      </c>
    </row>
    <row r="270" spans="1:24" x14ac:dyDescent="0.3">
      <c r="A270" t="s">
        <v>1112</v>
      </c>
      <c r="C270" t="s">
        <v>1113</v>
      </c>
      <c r="D270" s="1">
        <v>46028</v>
      </c>
      <c r="E270" t="s">
        <v>1114</v>
      </c>
      <c r="F270">
        <v>9</v>
      </c>
      <c r="G270">
        <v>236</v>
      </c>
      <c r="H270" t="str">
        <f>VLOOKUP(G270,[1]OPERADORES!$A:$B,2,0)</f>
        <v>DANIEL</v>
      </c>
      <c r="I270" t="s">
        <v>21</v>
      </c>
      <c r="J270" t="s">
        <v>211</v>
      </c>
      <c r="K270" t="s">
        <v>1115</v>
      </c>
      <c r="L270">
        <v>84107</v>
      </c>
      <c r="M270" t="s">
        <v>1116</v>
      </c>
      <c r="O270" t="s">
        <v>11</v>
      </c>
      <c r="P270">
        <v>5403</v>
      </c>
      <c r="Q270">
        <v>3</v>
      </c>
      <c r="R270">
        <v>31.66</v>
      </c>
      <c r="S270">
        <v>94.98</v>
      </c>
      <c r="T270">
        <v>70.44</v>
      </c>
      <c r="U270">
        <v>25.84</v>
      </c>
      <c r="V270" t="str">
        <f>VLOOKUP(L270,'[2]tabela de preços'!$A:$D,4,0)</f>
        <v>BRASILUX</v>
      </c>
      <c r="W270" t="str">
        <f>VLOOKUP(L270,'[2]tabela de preços'!$A:$F,6,0)</f>
        <v>TINTAS LACA</v>
      </c>
      <c r="X270" t="str">
        <f>VLOOKUP(L270,'[2]tabela de preços'!$A:$G,7,0)</f>
        <v>AUTOMOTIVO</v>
      </c>
    </row>
    <row r="271" spans="1:24" x14ac:dyDescent="0.3">
      <c r="A271" t="s">
        <v>1112</v>
      </c>
      <c r="C271" t="s">
        <v>1113</v>
      </c>
      <c r="D271" s="1">
        <v>46028</v>
      </c>
      <c r="E271" t="s">
        <v>1114</v>
      </c>
      <c r="F271">
        <v>9</v>
      </c>
      <c r="G271">
        <v>236</v>
      </c>
      <c r="H271" t="str">
        <f>VLOOKUP(G271,[1]OPERADORES!$A:$B,2,0)</f>
        <v>DANIEL</v>
      </c>
      <c r="I271" t="s">
        <v>21</v>
      </c>
      <c r="J271" t="s">
        <v>211</v>
      </c>
      <c r="K271" t="s">
        <v>1115</v>
      </c>
      <c r="L271">
        <v>22180</v>
      </c>
      <c r="M271" t="s">
        <v>404</v>
      </c>
      <c r="O271" t="s">
        <v>11</v>
      </c>
      <c r="P271">
        <v>5102</v>
      </c>
      <c r="Q271">
        <v>3</v>
      </c>
      <c r="R271">
        <v>19.97</v>
      </c>
      <c r="S271">
        <v>59.91</v>
      </c>
      <c r="T271">
        <v>43.92</v>
      </c>
      <c r="U271">
        <v>26.69</v>
      </c>
      <c r="V271" t="str">
        <f>VLOOKUP(L271,'[2]tabela de preços'!$A:$D,4,0)</f>
        <v>MADRUGA</v>
      </c>
      <c r="W271" t="str">
        <f>VLOOKUP(L271,'[2]tabela de preços'!$A:$F,6,0)</f>
        <v>PAPEL DE MASCARAMENTO</v>
      </c>
      <c r="X271" t="str">
        <f>VLOOKUP(L271,'[2]tabela de preços'!$A:$G,7,0)</f>
        <v>AUTOMOTIVO</v>
      </c>
    </row>
    <row r="272" spans="1:24" x14ac:dyDescent="0.3">
      <c r="A272" t="s">
        <v>1112</v>
      </c>
      <c r="C272" t="s">
        <v>1113</v>
      </c>
      <c r="D272" s="1">
        <v>46028</v>
      </c>
      <c r="E272" t="s">
        <v>1117</v>
      </c>
      <c r="F272">
        <v>9</v>
      </c>
      <c r="G272">
        <v>236</v>
      </c>
      <c r="H272" t="str">
        <f>VLOOKUP(G272,[1]OPERADORES!$A:$B,2,0)</f>
        <v>DANIEL</v>
      </c>
      <c r="I272" t="s">
        <v>21</v>
      </c>
      <c r="J272" t="s">
        <v>211</v>
      </c>
      <c r="K272" t="s">
        <v>1115</v>
      </c>
      <c r="L272">
        <v>10297</v>
      </c>
      <c r="M272" t="s">
        <v>41</v>
      </c>
      <c r="O272" t="s">
        <v>11</v>
      </c>
      <c r="P272">
        <v>5102</v>
      </c>
      <c r="Q272">
        <v>12</v>
      </c>
      <c r="R272">
        <v>10.95</v>
      </c>
      <c r="S272">
        <v>131.4</v>
      </c>
      <c r="T272">
        <v>110.04</v>
      </c>
      <c r="U272">
        <v>16.260000000000002</v>
      </c>
      <c r="V272" t="str">
        <f>VLOOKUP(L272,'[2]tabela de preços'!$A:$D,4,0)</f>
        <v>ANJO</v>
      </c>
      <c r="W272" t="str">
        <f>VLOOKUP(L272,'[2]tabela de preços'!$A:$F,6,0)</f>
        <v>THINNER DE LIMPEZA</v>
      </c>
      <c r="X272" t="str">
        <f>VLOOKUP(L272,'[2]tabela de preços'!$A:$G,7,0)</f>
        <v>THINNER</v>
      </c>
    </row>
    <row r="273" spans="1:24" x14ac:dyDescent="0.3">
      <c r="A273" t="s">
        <v>1112</v>
      </c>
      <c r="C273" t="s">
        <v>1113</v>
      </c>
      <c r="D273" s="1">
        <v>46028</v>
      </c>
      <c r="E273" t="s">
        <v>1114</v>
      </c>
      <c r="F273">
        <v>9</v>
      </c>
      <c r="G273">
        <v>236</v>
      </c>
      <c r="H273" t="str">
        <f>VLOOKUP(G273,[1]OPERADORES!$A:$B,2,0)</f>
        <v>DANIEL</v>
      </c>
      <c r="I273" t="s">
        <v>21</v>
      </c>
      <c r="J273" t="s">
        <v>211</v>
      </c>
      <c r="K273" t="s">
        <v>1115</v>
      </c>
      <c r="L273">
        <v>84460</v>
      </c>
      <c r="M273" t="s">
        <v>322</v>
      </c>
      <c r="O273" t="s">
        <v>11</v>
      </c>
      <c r="P273">
        <v>5102</v>
      </c>
      <c r="Q273">
        <v>3</v>
      </c>
      <c r="R273">
        <v>31.8</v>
      </c>
      <c r="S273">
        <v>95.4</v>
      </c>
      <c r="T273">
        <v>70.739999999999995</v>
      </c>
      <c r="U273">
        <v>25.85</v>
      </c>
      <c r="V273" t="str">
        <f>VLOOKUP(L273,'[2]tabela de preços'!$A:$D,4,0)</f>
        <v>BRASILUX</v>
      </c>
      <c r="W273" t="str">
        <f>VLOOKUP(L273,'[2]tabela de preços'!$A:$F,6,0)</f>
        <v>VEDADORES / SELANTES</v>
      </c>
      <c r="X273" t="str">
        <f>VLOOKUP(L273,'[2]tabela de preços'!$A:$G,7,0)</f>
        <v>AUTOMOTIVO</v>
      </c>
    </row>
    <row r="274" spans="1:24" x14ac:dyDescent="0.3">
      <c r="A274" t="s">
        <v>1199</v>
      </c>
      <c r="C274" t="s">
        <v>1203</v>
      </c>
      <c r="D274" s="1">
        <v>46028</v>
      </c>
      <c r="E274" t="s">
        <v>1204</v>
      </c>
      <c r="F274">
        <v>9</v>
      </c>
      <c r="G274">
        <v>174</v>
      </c>
      <c r="H274" t="str">
        <f>VLOOKUP(G274,[1]OPERADORES!$A:$B,2,0)</f>
        <v>MIRIÃ LOBATO RODRIGUES</v>
      </c>
      <c r="I274" t="s">
        <v>21</v>
      </c>
      <c r="J274" t="s">
        <v>1128</v>
      </c>
      <c r="K274" t="s">
        <v>1202</v>
      </c>
      <c r="L274">
        <v>84868</v>
      </c>
      <c r="M274" t="s">
        <v>1205</v>
      </c>
      <c r="O274" t="s">
        <v>11</v>
      </c>
      <c r="P274">
        <v>5403</v>
      </c>
      <c r="Q274">
        <v>8</v>
      </c>
      <c r="R274">
        <v>25.13</v>
      </c>
      <c r="S274">
        <v>201.04</v>
      </c>
      <c r="T274">
        <v>149.12</v>
      </c>
      <c r="U274">
        <v>25.83</v>
      </c>
      <c r="V274" t="str">
        <f>VLOOKUP(L274,'[2]tabela de preços'!$A:$D,4,0)</f>
        <v>BRASILUX</v>
      </c>
      <c r="W274" t="str">
        <f>VLOOKUP(L274,'[2]tabela de preços'!$A:$F,6,0)</f>
        <v>ESMALTES</v>
      </c>
      <c r="X274" t="str">
        <f>VLOOKUP(L274,'[2]tabela de preços'!$A:$G,7,0)</f>
        <v>INDUSTRIAL</v>
      </c>
    </row>
    <row r="275" spans="1:24" x14ac:dyDescent="0.3">
      <c r="A275" t="s">
        <v>1248</v>
      </c>
      <c r="B275" t="s">
        <v>1249</v>
      </c>
      <c r="C275" t="s">
        <v>1250</v>
      </c>
      <c r="D275" s="1">
        <v>46028</v>
      </c>
      <c r="E275" t="s">
        <v>1251</v>
      </c>
      <c r="F275">
        <v>9</v>
      </c>
      <c r="G275">
        <v>197</v>
      </c>
      <c r="H275" t="str">
        <f>VLOOKUP(G275,[1]OPERADORES!$A:$B,2,0)</f>
        <v xml:space="preserve">POLIANA LORRANE DE AMORIM </v>
      </c>
      <c r="I275" t="s">
        <v>282</v>
      </c>
      <c r="J275" t="s">
        <v>1252</v>
      </c>
      <c r="K275" t="s">
        <v>1253</v>
      </c>
      <c r="L275">
        <v>23076</v>
      </c>
      <c r="M275" t="s">
        <v>97</v>
      </c>
      <c r="O275" t="s">
        <v>11</v>
      </c>
      <c r="P275">
        <v>6403</v>
      </c>
      <c r="Q275">
        <v>30</v>
      </c>
      <c r="R275">
        <v>33.89</v>
      </c>
      <c r="S275" s="2">
        <v>1016.7</v>
      </c>
      <c r="T275">
        <v>795.9</v>
      </c>
      <c r="U275">
        <v>21.72</v>
      </c>
      <c r="V275" t="str">
        <f>VLOOKUP(L275,'[2]tabela de preços'!$A:$D,4,0)</f>
        <v>WANDA</v>
      </c>
      <c r="W275" t="str">
        <f>VLOOKUP(L275,'[2]tabela de preços'!$A:$F,6,0)</f>
        <v>PRIMER AUTOMOTIVO</v>
      </c>
      <c r="X275" t="str">
        <f>VLOOKUP(L275,'[2]tabela de preços'!$A:$G,7,0)</f>
        <v>AUTOMOTIVO</v>
      </c>
    </row>
    <row r="276" spans="1:24" x14ac:dyDescent="0.3">
      <c r="A276" t="s">
        <v>1248</v>
      </c>
      <c r="B276" t="s">
        <v>1249</v>
      </c>
      <c r="C276" t="s">
        <v>1250</v>
      </c>
      <c r="D276" s="1">
        <v>46028</v>
      </c>
      <c r="E276" t="s">
        <v>1251</v>
      </c>
      <c r="F276">
        <v>9</v>
      </c>
      <c r="G276">
        <v>197</v>
      </c>
      <c r="H276" t="str">
        <f>VLOOKUP(G276,[1]OPERADORES!$A:$B,2,0)</f>
        <v xml:space="preserve">POLIANA LORRANE DE AMORIM </v>
      </c>
      <c r="I276" t="s">
        <v>282</v>
      </c>
      <c r="J276" t="s">
        <v>1252</v>
      </c>
      <c r="K276" t="s">
        <v>1253</v>
      </c>
      <c r="L276">
        <v>23690</v>
      </c>
      <c r="M276" t="s">
        <v>98</v>
      </c>
      <c r="O276" t="s">
        <v>11</v>
      </c>
      <c r="P276">
        <v>6403</v>
      </c>
      <c r="Q276">
        <v>30</v>
      </c>
      <c r="R276">
        <v>39.89</v>
      </c>
      <c r="S276" s="2">
        <v>1196.7</v>
      </c>
      <c r="T276">
        <v>948.3</v>
      </c>
      <c r="U276">
        <v>20.76</v>
      </c>
      <c r="V276" t="str">
        <f>VLOOKUP(L276,'[2]tabela de preços'!$A:$D,4,0)</f>
        <v>WANDA</v>
      </c>
      <c r="W276" t="str">
        <f>VLOOKUP(L276,'[2]tabela de preços'!$A:$F,6,0)</f>
        <v>VERNIZ AUTOMOTIVO</v>
      </c>
      <c r="X276" t="str">
        <f>VLOOKUP(L276,'[2]tabela de preços'!$A:$G,7,0)</f>
        <v>AUTOMOTIVO</v>
      </c>
    </row>
    <row r="277" spans="1:24" x14ac:dyDescent="0.3">
      <c r="A277" t="s">
        <v>1248</v>
      </c>
      <c r="B277" t="s">
        <v>1249</v>
      </c>
      <c r="C277" t="s">
        <v>1250</v>
      </c>
      <c r="D277" s="1">
        <v>46028</v>
      </c>
      <c r="E277" t="s">
        <v>1251</v>
      </c>
      <c r="F277">
        <v>9</v>
      </c>
      <c r="G277">
        <v>197</v>
      </c>
      <c r="H277" t="str">
        <f>VLOOKUP(G277,[1]OPERADORES!$A:$B,2,0)</f>
        <v xml:space="preserve">POLIANA LORRANE DE AMORIM </v>
      </c>
      <c r="I277" t="s">
        <v>282</v>
      </c>
      <c r="J277" t="s">
        <v>1252</v>
      </c>
      <c r="K277" t="s">
        <v>1253</v>
      </c>
      <c r="L277">
        <v>9764</v>
      </c>
      <c r="M277" t="s">
        <v>173</v>
      </c>
      <c r="O277" t="s">
        <v>11</v>
      </c>
      <c r="P277">
        <v>6102</v>
      </c>
      <c r="Q277">
        <v>6</v>
      </c>
      <c r="R277">
        <v>33.54</v>
      </c>
      <c r="S277">
        <v>201.24</v>
      </c>
      <c r="T277">
        <v>152.76</v>
      </c>
      <c r="U277">
        <v>24.09</v>
      </c>
      <c r="V277" t="str">
        <f>VLOOKUP(L277,'[2]tabela de preços'!$A:$D,4,0)</f>
        <v>SIKKENS</v>
      </c>
      <c r="W277" t="str">
        <f>VLOOKUP(L277,'[2]tabela de preços'!$A:$F,6,0)</f>
        <v>MASSA DE PEQUENOS REPAROS</v>
      </c>
      <c r="X277" t="str">
        <f>VLOOKUP(L277,'[2]tabela de preços'!$A:$G,7,0)</f>
        <v>AUTOMOTIVO</v>
      </c>
    </row>
    <row r="278" spans="1:24" x14ac:dyDescent="0.3">
      <c r="A278" t="s">
        <v>1248</v>
      </c>
      <c r="B278" t="s">
        <v>1249</v>
      </c>
      <c r="C278" t="s">
        <v>1250</v>
      </c>
      <c r="D278" s="1">
        <v>46028</v>
      </c>
      <c r="E278" t="s">
        <v>1251</v>
      </c>
      <c r="F278">
        <v>9</v>
      </c>
      <c r="G278">
        <v>197</v>
      </c>
      <c r="H278" t="str">
        <f>VLOOKUP(G278,[1]OPERADORES!$A:$B,2,0)</f>
        <v xml:space="preserve">POLIANA LORRANE DE AMORIM </v>
      </c>
      <c r="I278" t="s">
        <v>282</v>
      </c>
      <c r="J278" t="s">
        <v>1252</v>
      </c>
      <c r="K278" t="s">
        <v>1253</v>
      </c>
      <c r="L278">
        <v>21067</v>
      </c>
      <c r="M278" t="s">
        <v>640</v>
      </c>
      <c r="O278" t="s">
        <v>11</v>
      </c>
      <c r="P278">
        <v>6102</v>
      </c>
      <c r="Q278">
        <v>5</v>
      </c>
      <c r="R278">
        <v>37.58</v>
      </c>
      <c r="S278">
        <v>187.9</v>
      </c>
      <c r="T278">
        <v>142.6</v>
      </c>
      <c r="U278">
        <v>24.11</v>
      </c>
      <c r="V278" t="str">
        <f>VLOOKUP(L278,'[2]tabela de preços'!$A:$D,4,0)</f>
        <v>SIKKENS</v>
      </c>
      <c r="W278" t="str">
        <f>VLOOKUP(L278,'[2]tabela de preços'!$A:$F,6,0)</f>
        <v>DILUENTE</v>
      </c>
      <c r="X278" t="str">
        <f>VLOOKUP(L278,'[2]tabela de preços'!$A:$G,7,0)</f>
        <v>AUTOMOTIVO</v>
      </c>
    </row>
    <row r="279" spans="1:24" x14ac:dyDescent="0.3">
      <c r="A279" t="s">
        <v>1267</v>
      </c>
      <c r="C279" t="s">
        <v>1268</v>
      </c>
      <c r="D279" s="1">
        <v>46028</v>
      </c>
      <c r="E279" t="s">
        <v>1269</v>
      </c>
      <c r="F279">
        <v>9</v>
      </c>
      <c r="G279">
        <v>174</v>
      </c>
      <c r="H279" t="str">
        <f>VLOOKUP(G279,[1]OPERADORES!$A:$B,2,0)</f>
        <v>MIRIÃ LOBATO RODRIGUES</v>
      </c>
      <c r="I279" t="s">
        <v>21</v>
      </c>
      <c r="J279" t="s">
        <v>372</v>
      </c>
      <c r="K279" t="s">
        <v>1270</v>
      </c>
      <c r="L279">
        <v>23076</v>
      </c>
      <c r="M279" t="s">
        <v>97</v>
      </c>
      <c r="O279" t="s">
        <v>11</v>
      </c>
      <c r="P279">
        <v>5403</v>
      </c>
      <c r="Q279">
        <v>6</v>
      </c>
      <c r="R279">
        <v>38.299999999999997</v>
      </c>
      <c r="S279">
        <v>229.8</v>
      </c>
      <c r="T279">
        <v>159.18</v>
      </c>
      <c r="U279">
        <v>30.73</v>
      </c>
      <c r="V279" t="str">
        <f>VLOOKUP(L279,'[2]tabela de preços'!$A:$D,4,0)</f>
        <v>WANDA</v>
      </c>
      <c r="W279" t="str">
        <f>VLOOKUP(L279,'[2]tabela de preços'!$A:$F,6,0)</f>
        <v>PRIMER AUTOMOTIVO</v>
      </c>
      <c r="X279" t="str">
        <f>VLOOKUP(L279,'[2]tabela de preços'!$A:$G,7,0)</f>
        <v>AUTOMOTIVO</v>
      </c>
    </row>
    <row r="280" spans="1:24" x14ac:dyDescent="0.3">
      <c r="A280" t="s">
        <v>1319</v>
      </c>
      <c r="C280" t="s">
        <v>1320</v>
      </c>
      <c r="D280" s="1">
        <v>46028</v>
      </c>
      <c r="E280" t="s">
        <v>1321</v>
      </c>
      <c r="F280">
        <v>9</v>
      </c>
      <c r="G280">
        <v>231</v>
      </c>
      <c r="H280" t="str">
        <f>VLOOKUP(G280,[1]OPERADORES!$A:$B,2,0)</f>
        <v>EDIJANE</v>
      </c>
      <c r="I280" t="s">
        <v>21</v>
      </c>
      <c r="J280" t="s">
        <v>762</v>
      </c>
      <c r="K280" t="s">
        <v>1322</v>
      </c>
      <c r="L280">
        <v>21274</v>
      </c>
      <c r="M280" t="s">
        <v>810</v>
      </c>
      <c r="O280" t="s">
        <v>11</v>
      </c>
      <c r="P280">
        <v>5102</v>
      </c>
      <c r="Q280">
        <v>20</v>
      </c>
      <c r="R280">
        <v>0.72</v>
      </c>
      <c r="S280">
        <v>14.4</v>
      </c>
      <c r="T280">
        <v>11</v>
      </c>
      <c r="U280">
        <v>23.61</v>
      </c>
      <c r="V280" t="str">
        <f>VLOOKUP(L280,'[2]tabela de preços'!$A:$D,4,0)</f>
        <v>SHERWIN WILLIAMS</v>
      </c>
      <c r="W280" t="str">
        <f>VLOOKUP(L280,'[2]tabela de preços'!$A:$F,6,0)</f>
        <v>COADORES</v>
      </c>
      <c r="X280" t="str">
        <f>VLOOKUP(L280,'[2]tabela de preços'!$A:$G,7,0)</f>
        <v>AUTOMOTIVO</v>
      </c>
    </row>
    <row r="281" spans="1:24" x14ac:dyDescent="0.3">
      <c r="A281" t="s">
        <v>1319</v>
      </c>
      <c r="C281" t="s">
        <v>1320</v>
      </c>
      <c r="D281" s="1">
        <v>46028</v>
      </c>
      <c r="E281" t="s">
        <v>1321</v>
      </c>
      <c r="F281">
        <v>9</v>
      </c>
      <c r="G281">
        <v>231</v>
      </c>
      <c r="H281" t="str">
        <f>VLOOKUP(G281,[1]OPERADORES!$A:$B,2,0)</f>
        <v>EDIJANE</v>
      </c>
      <c r="I281" t="s">
        <v>21</v>
      </c>
      <c r="J281" t="s">
        <v>762</v>
      </c>
      <c r="K281" t="s">
        <v>1322</v>
      </c>
      <c r="L281">
        <v>10236</v>
      </c>
      <c r="M281" t="s">
        <v>133</v>
      </c>
      <c r="O281" t="s">
        <v>11</v>
      </c>
      <c r="P281">
        <v>5102</v>
      </c>
      <c r="Q281">
        <v>20</v>
      </c>
      <c r="R281">
        <v>2.79</v>
      </c>
      <c r="S281">
        <v>55.8</v>
      </c>
      <c r="T281">
        <v>47.4</v>
      </c>
      <c r="U281">
        <v>15.05</v>
      </c>
      <c r="V281" t="str">
        <f>VLOOKUP(L281,'[2]tabela de preços'!$A:$D,4,0)</f>
        <v>NORTON</v>
      </c>
      <c r="W281" t="str">
        <f>VLOOKUP(L281,'[2]tabela de preços'!$A:$F,6,0)</f>
        <v xml:space="preserve">DISCOS / LIXAS / ABRASIVOS </v>
      </c>
      <c r="X281" t="str">
        <f>VLOOKUP(L281,'[2]tabela de preços'!$A:$G,7,0)</f>
        <v>AUTOMOTIVO</v>
      </c>
    </row>
    <row r="282" spans="1:24" x14ac:dyDescent="0.3">
      <c r="A282" t="s">
        <v>1319</v>
      </c>
      <c r="C282" t="s">
        <v>1320</v>
      </c>
      <c r="D282" s="1">
        <v>46028</v>
      </c>
      <c r="E282" t="s">
        <v>1321</v>
      </c>
      <c r="F282">
        <v>9</v>
      </c>
      <c r="G282">
        <v>231</v>
      </c>
      <c r="H282" t="str">
        <f>VLOOKUP(G282,[1]OPERADORES!$A:$B,2,0)</f>
        <v>EDIJANE</v>
      </c>
      <c r="I282" t="s">
        <v>21</v>
      </c>
      <c r="J282" t="s">
        <v>762</v>
      </c>
      <c r="K282" t="s">
        <v>1322</v>
      </c>
      <c r="L282">
        <v>10237</v>
      </c>
      <c r="M282" t="s">
        <v>271</v>
      </c>
      <c r="O282" t="s">
        <v>11</v>
      </c>
      <c r="P282">
        <v>5102</v>
      </c>
      <c r="Q282">
        <v>20</v>
      </c>
      <c r="R282">
        <v>2.79</v>
      </c>
      <c r="S282">
        <v>55.8</v>
      </c>
      <c r="T282">
        <v>45.8</v>
      </c>
      <c r="U282">
        <v>17.920000000000002</v>
      </c>
      <c r="V282" t="str">
        <f>VLOOKUP(L282,'[2]tabela de preços'!$A:$D,4,0)</f>
        <v>NORTON</v>
      </c>
      <c r="W282" t="str">
        <f>VLOOKUP(L282,'[2]tabela de preços'!$A:$F,6,0)</f>
        <v xml:space="preserve">DISCOS / LIXAS / ABRASIVOS </v>
      </c>
      <c r="X282" t="str">
        <f>VLOOKUP(L282,'[2]tabela de preços'!$A:$G,7,0)</f>
        <v>AUTOMOTIVO</v>
      </c>
    </row>
    <row r="283" spans="1:24" x14ac:dyDescent="0.3">
      <c r="A283" t="s">
        <v>1319</v>
      </c>
      <c r="C283" t="s">
        <v>1320</v>
      </c>
      <c r="D283" s="1">
        <v>46028</v>
      </c>
      <c r="E283" t="s">
        <v>1321</v>
      </c>
      <c r="F283">
        <v>9</v>
      </c>
      <c r="G283">
        <v>231</v>
      </c>
      <c r="H283" t="str">
        <f>VLOOKUP(G283,[1]OPERADORES!$A:$B,2,0)</f>
        <v>EDIJANE</v>
      </c>
      <c r="I283" t="s">
        <v>21</v>
      </c>
      <c r="J283" t="s">
        <v>762</v>
      </c>
      <c r="K283" t="s">
        <v>1322</v>
      </c>
      <c r="L283">
        <v>84197</v>
      </c>
      <c r="M283" t="s">
        <v>1323</v>
      </c>
      <c r="O283" t="s">
        <v>11</v>
      </c>
      <c r="P283">
        <v>5403</v>
      </c>
      <c r="Q283">
        <v>4</v>
      </c>
      <c r="R283">
        <v>32.08</v>
      </c>
      <c r="S283">
        <v>128.32</v>
      </c>
      <c r="T283">
        <v>97.4</v>
      </c>
      <c r="U283">
        <v>24.1</v>
      </c>
      <c r="V283" t="str">
        <f>VLOOKUP(L283,'[2]tabela de preços'!$A:$D,4,0)</f>
        <v>BRASILUX</v>
      </c>
      <c r="W283" t="str">
        <f>VLOOKUP(L283,'[2]tabela de preços'!$A:$F,6,0)</f>
        <v>ESMALTES</v>
      </c>
      <c r="X283" t="str">
        <f>VLOOKUP(L283,'[2]tabela de preços'!$A:$G,7,0)</f>
        <v>INDUSTRIAL</v>
      </c>
    </row>
    <row r="284" spans="1:24" x14ac:dyDescent="0.3">
      <c r="A284" t="s">
        <v>1319</v>
      </c>
      <c r="C284" t="s">
        <v>1320</v>
      </c>
      <c r="D284" s="1">
        <v>46028</v>
      </c>
      <c r="E284" t="s">
        <v>1321</v>
      </c>
      <c r="F284">
        <v>9</v>
      </c>
      <c r="G284">
        <v>231</v>
      </c>
      <c r="H284" t="str">
        <f>VLOOKUP(G284,[1]OPERADORES!$A:$B,2,0)</f>
        <v>EDIJANE</v>
      </c>
      <c r="I284" t="s">
        <v>21</v>
      </c>
      <c r="J284" t="s">
        <v>762</v>
      </c>
      <c r="K284" t="s">
        <v>1322</v>
      </c>
      <c r="L284">
        <v>5</v>
      </c>
      <c r="M284" t="s">
        <v>147</v>
      </c>
      <c r="O284" t="s">
        <v>11</v>
      </c>
      <c r="P284">
        <v>5102</v>
      </c>
      <c r="Q284">
        <v>5</v>
      </c>
      <c r="R284">
        <v>4.8499999999999996</v>
      </c>
      <c r="S284">
        <v>24.25</v>
      </c>
      <c r="T284">
        <v>19.55</v>
      </c>
      <c r="U284">
        <v>19.38</v>
      </c>
      <c r="V284" t="str">
        <f>VLOOKUP(L284,'[2]tabela de preços'!$A:$D,4,0)</f>
        <v>BRILHO ESTOPA</v>
      </c>
      <c r="W284" t="str">
        <f>VLOOKUP(L284,'[2]tabela de preços'!$A:$F,6,0)</f>
        <v>ESTOPAS</v>
      </c>
      <c r="X284" t="str">
        <f>VLOOKUP(L284,'[2]tabela de preços'!$A:$G,7,0)</f>
        <v>AUTOMOTIVO</v>
      </c>
    </row>
    <row r="285" spans="1:24" x14ac:dyDescent="0.3">
      <c r="A285" t="s">
        <v>1319</v>
      </c>
      <c r="C285" t="s">
        <v>1320</v>
      </c>
      <c r="D285" s="1">
        <v>46028</v>
      </c>
      <c r="E285" t="s">
        <v>1321</v>
      </c>
      <c r="F285">
        <v>9</v>
      </c>
      <c r="G285">
        <v>231</v>
      </c>
      <c r="H285" t="str">
        <f>VLOOKUP(G285,[1]OPERADORES!$A:$B,2,0)</f>
        <v>EDIJANE</v>
      </c>
      <c r="I285" t="s">
        <v>21</v>
      </c>
      <c r="J285" t="s">
        <v>762</v>
      </c>
      <c r="K285" t="s">
        <v>1322</v>
      </c>
      <c r="L285">
        <v>84425</v>
      </c>
      <c r="M285" t="s">
        <v>616</v>
      </c>
      <c r="O285" t="s">
        <v>11</v>
      </c>
      <c r="P285">
        <v>5102</v>
      </c>
      <c r="Q285">
        <v>12</v>
      </c>
      <c r="R285">
        <v>3.52</v>
      </c>
      <c r="S285">
        <v>42.24</v>
      </c>
      <c r="T285">
        <v>32.04</v>
      </c>
      <c r="U285">
        <v>24.15</v>
      </c>
      <c r="V285" t="str">
        <f>VLOOKUP(L285,'[2]tabela de preços'!$A:$D,4,0)</f>
        <v>ATLAS</v>
      </c>
      <c r="W285" t="str">
        <f>VLOOKUP(L285,'[2]tabela de preços'!$A:$F,6,0)</f>
        <v>ROLOS / TRINCHAS / PINCÉIS / ESPÁTULAS</v>
      </c>
      <c r="X285" t="str">
        <f>VLOOKUP(L285,'[2]tabela de preços'!$A:$G,7,0)</f>
        <v>IMOBILIÁRIO</v>
      </c>
    </row>
    <row r="286" spans="1:24" x14ac:dyDescent="0.3">
      <c r="A286" t="s">
        <v>1319</v>
      </c>
      <c r="C286" t="s">
        <v>1320</v>
      </c>
      <c r="D286" s="1">
        <v>46028</v>
      </c>
      <c r="E286" t="s">
        <v>1321</v>
      </c>
      <c r="F286">
        <v>9</v>
      </c>
      <c r="G286">
        <v>231</v>
      </c>
      <c r="H286" t="str">
        <f>VLOOKUP(G286,[1]OPERADORES!$A:$B,2,0)</f>
        <v>EDIJANE</v>
      </c>
      <c r="I286" t="s">
        <v>21</v>
      </c>
      <c r="J286" t="s">
        <v>762</v>
      </c>
      <c r="K286" t="s">
        <v>1322</v>
      </c>
      <c r="L286">
        <v>20414</v>
      </c>
      <c r="M286" t="s">
        <v>112</v>
      </c>
      <c r="O286" t="s">
        <v>11</v>
      </c>
      <c r="P286">
        <v>5102</v>
      </c>
      <c r="Q286">
        <v>6</v>
      </c>
      <c r="R286">
        <v>21.89</v>
      </c>
      <c r="S286">
        <v>131.34</v>
      </c>
      <c r="T286">
        <v>108</v>
      </c>
      <c r="U286">
        <v>17.77</v>
      </c>
      <c r="V286" t="str">
        <f>VLOOKUP(L286,'[2]tabela de preços'!$A:$D,4,0)</f>
        <v>SHERWIN WILLIAMS</v>
      </c>
      <c r="W286" t="str">
        <f>VLOOKUP(L286,'[2]tabela de preços'!$A:$F,6,0)</f>
        <v>DILUENTE</v>
      </c>
      <c r="X286" t="str">
        <f>VLOOKUP(L286,'[2]tabela de preços'!$A:$G,7,0)</f>
        <v>AUTOMOTIVO</v>
      </c>
    </row>
    <row r="287" spans="1:24" x14ac:dyDescent="0.3">
      <c r="A287" t="s">
        <v>1319</v>
      </c>
      <c r="C287" t="s">
        <v>1320</v>
      </c>
      <c r="D287" s="1">
        <v>46028</v>
      </c>
      <c r="E287" t="s">
        <v>1321</v>
      </c>
      <c r="F287">
        <v>9</v>
      </c>
      <c r="G287">
        <v>231</v>
      </c>
      <c r="H287" t="str">
        <f>VLOOKUP(G287,[1]OPERADORES!$A:$B,2,0)</f>
        <v>EDIJANE</v>
      </c>
      <c r="I287" t="s">
        <v>21</v>
      </c>
      <c r="J287" t="s">
        <v>762</v>
      </c>
      <c r="K287" t="s">
        <v>1322</v>
      </c>
      <c r="L287">
        <v>10118</v>
      </c>
      <c r="M287" t="s">
        <v>572</v>
      </c>
      <c r="O287" t="s">
        <v>11</v>
      </c>
      <c r="P287">
        <v>5102</v>
      </c>
      <c r="Q287">
        <v>12</v>
      </c>
      <c r="R287">
        <v>5.0199999999999996</v>
      </c>
      <c r="S287">
        <v>60.24</v>
      </c>
      <c r="T287">
        <v>45.72</v>
      </c>
      <c r="U287">
        <v>24.1</v>
      </c>
      <c r="V287" t="str">
        <f>VLOOKUP(L287,'[2]tabela de preços'!$A:$D,4,0)</f>
        <v>ATLAS</v>
      </c>
      <c r="W287" t="str">
        <f>VLOOKUP(L287,'[2]tabela de preços'!$A:$F,6,0)</f>
        <v>ROLOS / TRINCHAS / PINCÉIS / ESPÁTULAS</v>
      </c>
      <c r="X287" t="str">
        <f>VLOOKUP(L287,'[2]tabela de preços'!$A:$G,7,0)</f>
        <v>IMOBILIÁRIO</v>
      </c>
    </row>
    <row r="288" spans="1:24" x14ac:dyDescent="0.3">
      <c r="A288" t="s">
        <v>1430</v>
      </c>
      <c r="C288" t="s">
        <v>1431</v>
      </c>
      <c r="D288" s="1">
        <v>46028</v>
      </c>
      <c r="E288" t="s">
        <v>1432</v>
      </c>
      <c r="F288">
        <v>9</v>
      </c>
      <c r="G288">
        <v>197</v>
      </c>
      <c r="H288" t="str">
        <f>VLOOKUP(G288,[1]OPERADORES!$A:$B,2,0)</f>
        <v xml:space="preserve">POLIANA LORRANE DE AMORIM </v>
      </c>
      <c r="I288" t="s">
        <v>21</v>
      </c>
      <c r="J288" t="s">
        <v>363</v>
      </c>
      <c r="K288" t="s">
        <v>1433</v>
      </c>
      <c r="L288">
        <v>85318</v>
      </c>
      <c r="M288" t="s">
        <v>258</v>
      </c>
      <c r="O288" t="s">
        <v>11</v>
      </c>
      <c r="P288">
        <v>5102</v>
      </c>
      <c r="Q288">
        <v>1</v>
      </c>
      <c r="R288">
        <v>775.32</v>
      </c>
      <c r="S288">
        <v>775.32</v>
      </c>
      <c r="T288">
        <v>552.80999999999995</v>
      </c>
      <c r="U288">
        <v>28.7</v>
      </c>
      <c r="V288" t="str">
        <f>VLOOKUP(L288,'[2]tabela de preços'!$A:$D,4,0)</f>
        <v>BRASILUX</v>
      </c>
      <c r="W288" t="str">
        <f>VLOOKUP(L288,'[2]tabela de preços'!$A:$F,6,0)</f>
        <v>TINTA EM PÓ</v>
      </c>
      <c r="X288" t="str">
        <f>VLOOKUP(L288,'[2]tabela de preços'!$A:$G,7,0)</f>
        <v>INDUSTRIAL</v>
      </c>
    </row>
    <row r="289" spans="1:24" x14ac:dyDescent="0.3">
      <c r="A289" t="s">
        <v>1430</v>
      </c>
      <c r="C289" t="s">
        <v>1431</v>
      </c>
      <c r="D289" s="1">
        <v>46028</v>
      </c>
      <c r="E289" t="s">
        <v>1432</v>
      </c>
      <c r="F289">
        <v>9</v>
      </c>
      <c r="G289">
        <v>197</v>
      </c>
      <c r="H289" t="str">
        <f>VLOOKUP(G289,[1]OPERADORES!$A:$B,2,0)</f>
        <v xml:space="preserve">POLIANA LORRANE DE AMORIM </v>
      </c>
      <c r="I289" t="s">
        <v>21</v>
      </c>
      <c r="J289" t="s">
        <v>363</v>
      </c>
      <c r="K289" t="s">
        <v>1433</v>
      </c>
      <c r="L289">
        <v>85401</v>
      </c>
      <c r="M289" t="s">
        <v>261</v>
      </c>
      <c r="O289" t="s">
        <v>11</v>
      </c>
      <c r="P289">
        <v>5102</v>
      </c>
      <c r="Q289">
        <v>1</v>
      </c>
      <c r="R289">
        <v>633.42999999999995</v>
      </c>
      <c r="S289">
        <v>633.42999999999995</v>
      </c>
      <c r="T289">
        <v>451.64</v>
      </c>
      <c r="U289">
        <v>28.7</v>
      </c>
      <c r="V289" t="str">
        <f>VLOOKUP(L289,'[2]tabela de preços'!$A:$D,4,0)</f>
        <v>BRASILUX</v>
      </c>
      <c r="W289" t="str">
        <f>VLOOKUP(L289,'[2]tabela de preços'!$A:$F,6,0)</f>
        <v>TINTA EM PÓ</v>
      </c>
      <c r="X289" t="str">
        <f>VLOOKUP(L289,'[2]tabela de preços'!$A:$G,7,0)</f>
        <v>INDUSTRIAL</v>
      </c>
    </row>
    <row r="290" spans="1:24" x14ac:dyDescent="0.3">
      <c r="A290" t="s">
        <v>1430</v>
      </c>
      <c r="C290" t="s">
        <v>1431</v>
      </c>
      <c r="D290" s="1">
        <v>46028</v>
      </c>
      <c r="E290" t="s">
        <v>1432</v>
      </c>
      <c r="F290">
        <v>9</v>
      </c>
      <c r="G290">
        <v>197</v>
      </c>
      <c r="H290" t="str">
        <f>VLOOKUP(G290,[1]OPERADORES!$A:$B,2,0)</f>
        <v xml:space="preserve">POLIANA LORRANE DE AMORIM </v>
      </c>
      <c r="I290" t="s">
        <v>21</v>
      </c>
      <c r="J290" t="s">
        <v>363</v>
      </c>
      <c r="K290" t="s">
        <v>1433</v>
      </c>
      <c r="L290">
        <v>85355</v>
      </c>
      <c r="M290" t="s">
        <v>1434</v>
      </c>
      <c r="O290" t="s">
        <v>11</v>
      </c>
      <c r="P290">
        <v>5102</v>
      </c>
      <c r="Q290">
        <v>1</v>
      </c>
      <c r="R290">
        <v>594.16999999999996</v>
      </c>
      <c r="S290">
        <v>594.16999999999996</v>
      </c>
      <c r="T290">
        <v>423.65</v>
      </c>
      <c r="U290">
        <v>28.7</v>
      </c>
      <c r="V290" t="str">
        <f>VLOOKUP(L290,'[2]tabela de preços'!$A:$D,4,0)</f>
        <v>BRASILUX</v>
      </c>
      <c r="W290" t="str">
        <f>VLOOKUP(L290,'[2]tabela de preços'!$A:$F,6,0)</f>
        <v>TINTA EM PÓ</v>
      </c>
      <c r="X290" t="str">
        <f>VLOOKUP(L290,'[2]tabela de preços'!$A:$G,7,0)</f>
        <v>INDUSTRIAL</v>
      </c>
    </row>
    <row r="291" spans="1:24" x14ac:dyDescent="0.3">
      <c r="A291" t="s">
        <v>1430</v>
      </c>
      <c r="C291" t="s">
        <v>1431</v>
      </c>
      <c r="D291" s="1">
        <v>46028</v>
      </c>
      <c r="E291" t="s">
        <v>1432</v>
      </c>
      <c r="F291">
        <v>9</v>
      </c>
      <c r="G291">
        <v>197</v>
      </c>
      <c r="H291" t="str">
        <f>VLOOKUP(G291,[1]OPERADORES!$A:$B,2,0)</f>
        <v xml:space="preserve">POLIANA LORRANE DE AMORIM </v>
      </c>
      <c r="I291" t="s">
        <v>21</v>
      </c>
      <c r="J291" t="s">
        <v>363</v>
      </c>
      <c r="K291" t="s">
        <v>1433</v>
      </c>
      <c r="L291">
        <v>85315</v>
      </c>
      <c r="M291" t="s">
        <v>485</v>
      </c>
      <c r="O291" t="s">
        <v>11</v>
      </c>
      <c r="P291">
        <v>5102</v>
      </c>
      <c r="Q291">
        <v>1</v>
      </c>
      <c r="R291">
        <v>569.72</v>
      </c>
      <c r="S291">
        <v>569.72</v>
      </c>
      <c r="T291">
        <v>406.22</v>
      </c>
      <c r="U291">
        <v>28.7</v>
      </c>
      <c r="V291" t="str">
        <f>VLOOKUP(L291,'[2]tabela de preços'!$A:$D,4,0)</f>
        <v>BRASILUX</v>
      </c>
      <c r="W291" t="str">
        <f>VLOOKUP(L291,'[2]tabela de preços'!$A:$F,6,0)</f>
        <v>TINTA EM PÓ</v>
      </c>
      <c r="X291" t="str">
        <f>VLOOKUP(L291,'[2]tabela de preços'!$A:$G,7,0)</f>
        <v>INDUSTRIAL</v>
      </c>
    </row>
    <row r="292" spans="1:24" x14ac:dyDescent="0.3">
      <c r="A292" t="s">
        <v>1561</v>
      </c>
      <c r="C292" t="s">
        <v>1562</v>
      </c>
      <c r="D292" s="1">
        <v>46028</v>
      </c>
      <c r="E292" t="s">
        <v>1563</v>
      </c>
      <c r="F292">
        <v>9</v>
      </c>
      <c r="G292">
        <v>174</v>
      </c>
      <c r="H292" t="str">
        <f>VLOOKUP(G292,[1]OPERADORES!$A:$B,2,0)</f>
        <v>MIRIÃ LOBATO RODRIGUES</v>
      </c>
      <c r="I292" t="s">
        <v>21</v>
      </c>
      <c r="J292" t="s">
        <v>1564</v>
      </c>
      <c r="K292" t="s">
        <v>1565</v>
      </c>
      <c r="L292">
        <v>84268</v>
      </c>
      <c r="M292" t="s">
        <v>1566</v>
      </c>
      <c r="O292" t="s">
        <v>11</v>
      </c>
      <c r="P292">
        <v>5403</v>
      </c>
      <c r="Q292">
        <v>5</v>
      </c>
      <c r="R292">
        <v>228.14</v>
      </c>
      <c r="S292" s="2">
        <v>1140.7</v>
      </c>
      <c r="T292">
        <v>735.95</v>
      </c>
      <c r="U292">
        <v>35.479999999999997</v>
      </c>
      <c r="V292" t="str">
        <f>VLOOKUP(L292,'[2]tabela de preços'!$A:$D,4,0)</f>
        <v>BRASILUX</v>
      </c>
      <c r="W292" t="str">
        <f>VLOOKUP(L292,'[2]tabela de preços'!$A:$F,6,0)</f>
        <v>TINTA PAREDE</v>
      </c>
      <c r="X292" t="str">
        <f>VLOOKUP(L292,'[2]tabela de preços'!$A:$G,7,0)</f>
        <v>IMOBILIÁRIO</v>
      </c>
    </row>
    <row r="293" spans="1:24" x14ac:dyDescent="0.3">
      <c r="A293" t="s">
        <v>1561</v>
      </c>
      <c r="C293" t="s">
        <v>1562</v>
      </c>
      <c r="D293" s="1">
        <v>46028</v>
      </c>
      <c r="E293" t="s">
        <v>1563</v>
      </c>
      <c r="F293">
        <v>9</v>
      </c>
      <c r="G293">
        <v>174</v>
      </c>
      <c r="H293" t="str">
        <f>VLOOKUP(G293,[1]OPERADORES!$A:$B,2,0)</f>
        <v>MIRIÃ LOBATO RODRIGUES</v>
      </c>
      <c r="I293" t="s">
        <v>21</v>
      </c>
      <c r="J293" t="s">
        <v>1564</v>
      </c>
      <c r="K293" t="s">
        <v>1565</v>
      </c>
      <c r="L293">
        <v>84036</v>
      </c>
      <c r="M293" t="s">
        <v>289</v>
      </c>
      <c r="O293" t="s">
        <v>11</v>
      </c>
      <c r="P293">
        <v>5102</v>
      </c>
      <c r="Q293">
        <v>5</v>
      </c>
      <c r="R293">
        <v>47.89</v>
      </c>
      <c r="S293">
        <v>239.45</v>
      </c>
      <c r="T293">
        <v>208.15</v>
      </c>
      <c r="U293">
        <v>13.07</v>
      </c>
      <c r="V293" t="str">
        <f>VLOOKUP(L293,'[2]tabela de preços'!$A:$D,4,0)</f>
        <v>BRASILUX</v>
      </c>
      <c r="W293" t="str">
        <f>VLOOKUP(L293,'[2]tabela de preços'!$A:$F,6,0)</f>
        <v>MASSA CORRIDA / ACRÍLICA</v>
      </c>
      <c r="X293" t="str">
        <f>VLOOKUP(L293,'[2]tabela de preços'!$A:$G,7,0)</f>
        <v>IMOBILIÁRIO</v>
      </c>
    </row>
    <row r="294" spans="1:24" x14ac:dyDescent="0.3">
      <c r="A294" t="s">
        <v>1623</v>
      </c>
      <c r="C294" t="s">
        <v>1624</v>
      </c>
      <c r="D294" s="1">
        <v>46028</v>
      </c>
      <c r="E294" t="s">
        <v>1625</v>
      </c>
      <c r="F294">
        <v>9</v>
      </c>
      <c r="G294">
        <v>231</v>
      </c>
      <c r="H294" t="str">
        <f>VLOOKUP(G294,[1]OPERADORES!$A:$B,2,0)</f>
        <v>EDIJANE</v>
      </c>
      <c r="I294" t="s">
        <v>21</v>
      </c>
      <c r="J294" t="s">
        <v>531</v>
      </c>
      <c r="K294" t="s">
        <v>1626</v>
      </c>
      <c r="L294">
        <v>85321</v>
      </c>
      <c r="M294" t="s">
        <v>1063</v>
      </c>
      <c r="O294" t="s">
        <v>11</v>
      </c>
      <c r="P294">
        <v>5102</v>
      </c>
      <c r="Q294">
        <v>1</v>
      </c>
      <c r="R294">
        <v>614.41</v>
      </c>
      <c r="S294">
        <v>614.41</v>
      </c>
      <c r="T294">
        <v>438.08</v>
      </c>
      <c r="U294">
        <v>28.7</v>
      </c>
      <c r="V294" t="str">
        <f>VLOOKUP(L294,'[2]tabela de preços'!$A:$D,4,0)</f>
        <v>BRASILUX</v>
      </c>
      <c r="W294" t="str">
        <f>VLOOKUP(L294,'[2]tabela de preços'!$A:$F,6,0)</f>
        <v>TINTA EM PÓ</v>
      </c>
      <c r="X294" t="str">
        <f>VLOOKUP(L294,'[2]tabela de preços'!$A:$G,7,0)</f>
        <v>INDUSTRIAL</v>
      </c>
    </row>
    <row r="295" spans="1:24" x14ac:dyDescent="0.3">
      <c r="A295" t="s">
        <v>1623</v>
      </c>
      <c r="C295" t="s">
        <v>1624</v>
      </c>
      <c r="D295" s="1">
        <v>46028</v>
      </c>
      <c r="E295" t="s">
        <v>1625</v>
      </c>
      <c r="F295">
        <v>9</v>
      </c>
      <c r="G295">
        <v>231</v>
      </c>
      <c r="H295" t="str">
        <f>VLOOKUP(G295,[1]OPERADORES!$A:$B,2,0)</f>
        <v>EDIJANE</v>
      </c>
      <c r="I295" t="s">
        <v>21</v>
      </c>
      <c r="J295" t="s">
        <v>531</v>
      </c>
      <c r="K295" t="s">
        <v>1626</v>
      </c>
      <c r="L295">
        <v>85401</v>
      </c>
      <c r="M295" t="s">
        <v>261</v>
      </c>
      <c r="O295" t="s">
        <v>11</v>
      </c>
      <c r="P295">
        <v>5102</v>
      </c>
      <c r="Q295">
        <v>4</v>
      </c>
      <c r="R295">
        <v>633.42999999999995</v>
      </c>
      <c r="S295" s="2">
        <v>2533.7199999999998</v>
      </c>
      <c r="T295" s="2">
        <v>1806.56</v>
      </c>
      <c r="U295">
        <v>28.7</v>
      </c>
      <c r="V295" t="str">
        <f>VLOOKUP(L295,'[2]tabela de preços'!$A:$D,4,0)</f>
        <v>BRASILUX</v>
      </c>
      <c r="W295" t="str">
        <f>VLOOKUP(L295,'[2]tabela de preços'!$A:$F,6,0)</f>
        <v>TINTA EM PÓ</v>
      </c>
      <c r="X295" t="str">
        <f>VLOOKUP(L295,'[2]tabela de preços'!$A:$G,7,0)</f>
        <v>INDUSTRIAL</v>
      </c>
    </row>
    <row r="296" spans="1:24" x14ac:dyDescent="0.3">
      <c r="A296" t="s">
        <v>1623</v>
      </c>
      <c r="C296" t="s">
        <v>1624</v>
      </c>
      <c r="D296" s="1">
        <v>46028</v>
      </c>
      <c r="E296" t="s">
        <v>1625</v>
      </c>
      <c r="F296">
        <v>9</v>
      </c>
      <c r="G296">
        <v>231</v>
      </c>
      <c r="H296" t="str">
        <f>VLOOKUP(G296,[1]OPERADORES!$A:$B,2,0)</f>
        <v>EDIJANE</v>
      </c>
      <c r="I296" t="s">
        <v>21</v>
      </c>
      <c r="J296" t="s">
        <v>531</v>
      </c>
      <c r="K296" t="s">
        <v>1626</v>
      </c>
      <c r="L296">
        <v>85326</v>
      </c>
      <c r="M296" t="s">
        <v>1627</v>
      </c>
      <c r="O296" t="s">
        <v>11</v>
      </c>
      <c r="P296">
        <v>5102</v>
      </c>
      <c r="Q296">
        <v>1</v>
      </c>
      <c r="R296">
        <v>565.9</v>
      </c>
      <c r="S296">
        <v>565.9</v>
      </c>
      <c r="T296">
        <v>403.49</v>
      </c>
      <c r="U296">
        <v>28.7</v>
      </c>
      <c r="V296" t="str">
        <f>VLOOKUP(L296,'[2]tabela de preços'!$A:$D,4,0)</f>
        <v>BRASILUX</v>
      </c>
      <c r="W296" t="str">
        <f>VLOOKUP(L296,'[2]tabela de preços'!$A:$F,6,0)</f>
        <v>TINTA EM PÓ</v>
      </c>
      <c r="X296" t="str">
        <f>VLOOKUP(L296,'[2]tabela de preços'!$A:$G,7,0)</f>
        <v>INDUSTRIAL</v>
      </c>
    </row>
    <row r="297" spans="1:24" x14ac:dyDescent="0.3">
      <c r="A297" t="s">
        <v>1751</v>
      </c>
      <c r="C297" t="s">
        <v>1752</v>
      </c>
      <c r="D297" s="1">
        <v>46028</v>
      </c>
      <c r="E297" t="s">
        <v>1753</v>
      </c>
      <c r="F297">
        <v>9</v>
      </c>
      <c r="G297">
        <v>231</v>
      </c>
      <c r="H297" t="str">
        <f>VLOOKUP(G297,[1]OPERADORES!$A:$B,2,0)</f>
        <v>EDIJANE</v>
      </c>
      <c r="I297" t="s">
        <v>21</v>
      </c>
      <c r="J297" t="s">
        <v>211</v>
      </c>
      <c r="K297" t="s">
        <v>1754</v>
      </c>
      <c r="L297">
        <v>84200</v>
      </c>
      <c r="M297" t="s">
        <v>1552</v>
      </c>
      <c r="O297" t="s">
        <v>11</v>
      </c>
      <c r="P297">
        <v>5403</v>
      </c>
      <c r="Q297">
        <v>4</v>
      </c>
      <c r="R297">
        <v>224.04</v>
      </c>
      <c r="S297">
        <v>896.16</v>
      </c>
      <c r="T297">
        <v>680.2</v>
      </c>
      <c r="U297">
        <v>24.1</v>
      </c>
      <c r="V297" t="str">
        <f>VLOOKUP(L297,'[2]tabela de preços'!$A:$D,4,0)</f>
        <v>BRASILUX</v>
      </c>
      <c r="W297" t="str">
        <f>VLOOKUP(L297,'[2]tabela de preços'!$A:$F,6,0)</f>
        <v>EPOXI</v>
      </c>
      <c r="X297" t="str">
        <f>VLOOKUP(L297,'[2]tabela de preços'!$A:$G,7,0)</f>
        <v>INDUSTRIAL</v>
      </c>
    </row>
    <row r="298" spans="1:24" x14ac:dyDescent="0.3">
      <c r="A298" t="s">
        <v>1790</v>
      </c>
      <c r="C298" t="s">
        <v>1791</v>
      </c>
      <c r="D298" s="1">
        <v>46028</v>
      </c>
      <c r="E298" t="s">
        <v>1792</v>
      </c>
      <c r="F298">
        <v>9</v>
      </c>
      <c r="G298">
        <v>197</v>
      </c>
      <c r="H298" t="str">
        <f>VLOOKUP(G298,[1]OPERADORES!$A:$B,2,0)</f>
        <v xml:space="preserve">POLIANA LORRANE DE AMORIM </v>
      </c>
      <c r="I298" t="s">
        <v>1761</v>
      </c>
      <c r="J298" t="s">
        <v>1793</v>
      </c>
      <c r="K298" t="s">
        <v>1794</v>
      </c>
      <c r="L298">
        <v>86542</v>
      </c>
      <c r="M298" t="s">
        <v>352</v>
      </c>
      <c r="O298" t="s">
        <v>11</v>
      </c>
      <c r="P298">
        <v>6102</v>
      </c>
      <c r="Q298">
        <v>12</v>
      </c>
      <c r="R298">
        <v>79.900000000000006</v>
      </c>
      <c r="S298">
        <v>958.8</v>
      </c>
      <c r="T298">
        <v>829.92</v>
      </c>
      <c r="U298">
        <v>13.44</v>
      </c>
      <c r="V298" t="str">
        <f>VLOOKUP(L298,'[2]tabela de preços'!$A:$D,4,0)</f>
        <v>CORAL</v>
      </c>
      <c r="W298" t="str">
        <f>VLOOKUP(L298,'[2]tabela de preços'!$A:$F,6,0)</f>
        <v>MASSA CORRIDA / ACRÍLICA</v>
      </c>
      <c r="X298" t="str">
        <f>VLOOKUP(L298,'[2]tabela de preços'!$A:$G,7,0)</f>
        <v>IMOBILIÁRIO</v>
      </c>
    </row>
    <row r="299" spans="1:24" x14ac:dyDescent="0.3">
      <c r="A299" t="s">
        <v>2046</v>
      </c>
      <c r="C299" t="s">
        <v>2047</v>
      </c>
      <c r="D299" s="1">
        <v>46028</v>
      </c>
      <c r="E299" t="s">
        <v>2048</v>
      </c>
      <c r="F299">
        <v>9</v>
      </c>
      <c r="G299">
        <v>236</v>
      </c>
      <c r="H299" t="str">
        <f>VLOOKUP(G299,[1]OPERADORES!$A:$B,2,0)</f>
        <v>DANIEL</v>
      </c>
      <c r="I299" t="s">
        <v>21</v>
      </c>
      <c r="J299" t="s">
        <v>614</v>
      </c>
      <c r="K299" t="s">
        <v>2049</v>
      </c>
      <c r="L299">
        <v>23076</v>
      </c>
      <c r="M299" t="s">
        <v>97</v>
      </c>
      <c r="O299" t="s">
        <v>11</v>
      </c>
      <c r="P299">
        <v>5403</v>
      </c>
      <c r="Q299">
        <v>30</v>
      </c>
      <c r="R299">
        <v>33.89</v>
      </c>
      <c r="S299" s="2">
        <v>1016.7</v>
      </c>
      <c r="T299">
        <v>795.9</v>
      </c>
      <c r="U299">
        <v>21.72</v>
      </c>
      <c r="V299" t="str">
        <f>VLOOKUP(L299,'[2]tabela de preços'!$A:$D,4,0)</f>
        <v>WANDA</v>
      </c>
      <c r="W299" t="str">
        <f>VLOOKUP(L299,'[2]tabela de preços'!$A:$F,6,0)</f>
        <v>PRIMER AUTOMOTIVO</v>
      </c>
      <c r="X299" t="str">
        <f>VLOOKUP(L299,'[2]tabela de preços'!$A:$G,7,0)</f>
        <v>AUTOMOTIVO</v>
      </c>
    </row>
    <row r="300" spans="1:24" x14ac:dyDescent="0.3">
      <c r="A300" t="s">
        <v>2046</v>
      </c>
      <c r="C300" t="s">
        <v>2047</v>
      </c>
      <c r="D300" s="1">
        <v>46028</v>
      </c>
      <c r="E300" t="s">
        <v>2048</v>
      </c>
      <c r="F300">
        <v>9</v>
      </c>
      <c r="G300">
        <v>236</v>
      </c>
      <c r="H300" t="str">
        <f>VLOOKUP(G300,[1]OPERADORES!$A:$B,2,0)</f>
        <v>DANIEL</v>
      </c>
      <c r="I300" t="s">
        <v>21</v>
      </c>
      <c r="J300" t="s">
        <v>614</v>
      </c>
      <c r="K300" t="s">
        <v>2049</v>
      </c>
      <c r="L300">
        <v>23690</v>
      </c>
      <c r="M300" t="s">
        <v>98</v>
      </c>
      <c r="O300" t="s">
        <v>11</v>
      </c>
      <c r="P300">
        <v>5403</v>
      </c>
      <c r="Q300">
        <v>6</v>
      </c>
      <c r="R300">
        <v>39.89</v>
      </c>
      <c r="S300">
        <v>239.34</v>
      </c>
      <c r="T300">
        <v>189.66</v>
      </c>
      <c r="U300">
        <v>20.76</v>
      </c>
      <c r="V300" t="str">
        <f>VLOOKUP(L300,'[2]tabela de preços'!$A:$D,4,0)</f>
        <v>WANDA</v>
      </c>
      <c r="W300" t="str">
        <f>VLOOKUP(L300,'[2]tabela de preços'!$A:$F,6,0)</f>
        <v>VERNIZ AUTOMOTIVO</v>
      </c>
      <c r="X300" t="str">
        <f>VLOOKUP(L300,'[2]tabela de preços'!$A:$G,7,0)</f>
        <v>AUTOMOTIVO</v>
      </c>
    </row>
    <row r="301" spans="1:24" x14ac:dyDescent="0.3">
      <c r="A301" t="s">
        <v>2046</v>
      </c>
      <c r="C301" t="s">
        <v>2047</v>
      </c>
      <c r="D301" s="1">
        <v>46028</v>
      </c>
      <c r="E301" t="s">
        <v>2048</v>
      </c>
      <c r="F301">
        <v>9</v>
      </c>
      <c r="G301">
        <v>236</v>
      </c>
      <c r="H301" t="str">
        <f>VLOOKUP(G301,[1]OPERADORES!$A:$B,2,0)</f>
        <v>DANIEL</v>
      </c>
      <c r="I301" t="s">
        <v>21</v>
      </c>
      <c r="J301" t="s">
        <v>614</v>
      </c>
      <c r="K301" t="s">
        <v>2049</v>
      </c>
      <c r="L301">
        <v>23602</v>
      </c>
      <c r="M301" t="s">
        <v>215</v>
      </c>
      <c r="O301" t="s">
        <v>11</v>
      </c>
      <c r="P301">
        <v>5403</v>
      </c>
      <c r="Q301">
        <v>18</v>
      </c>
      <c r="R301">
        <v>35.89</v>
      </c>
      <c r="S301">
        <v>646.02</v>
      </c>
      <c r="T301">
        <v>526.5</v>
      </c>
      <c r="U301">
        <v>18.5</v>
      </c>
      <c r="V301" t="str">
        <f>VLOOKUP(L301,'[2]tabela de preços'!$A:$D,4,0)</f>
        <v>SHERWIN WILLIAMS</v>
      </c>
      <c r="W301" t="str">
        <f>VLOOKUP(L301,'[2]tabela de preços'!$A:$F,6,0)</f>
        <v>VERNIZ AUTOMOTIVO</v>
      </c>
      <c r="X301" t="str">
        <f>VLOOKUP(L301,'[2]tabela de preços'!$A:$G,7,0)</f>
        <v>AUTOMOTIVO</v>
      </c>
    </row>
    <row r="302" spans="1:24" x14ac:dyDescent="0.3">
      <c r="A302" t="s">
        <v>2046</v>
      </c>
      <c r="C302" t="s">
        <v>2047</v>
      </c>
      <c r="D302" s="1">
        <v>46028</v>
      </c>
      <c r="E302" t="s">
        <v>2048</v>
      </c>
      <c r="F302">
        <v>9</v>
      </c>
      <c r="G302">
        <v>236</v>
      </c>
      <c r="H302" t="str">
        <f>VLOOKUP(G302,[1]OPERADORES!$A:$B,2,0)</f>
        <v>DANIEL</v>
      </c>
      <c r="I302" t="s">
        <v>21</v>
      </c>
      <c r="J302" t="s">
        <v>614</v>
      </c>
      <c r="K302" t="s">
        <v>2049</v>
      </c>
      <c r="L302">
        <v>20431</v>
      </c>
      <c r="M302" t="s">
        <v>202</v>
      </c>
      <c r="O302" t="s">
        <v>11</v>
      </c>
      <c r="P302">
        <v>5403</v>
      </c>
      <c r="Q302">
        <v>9</v>
      </c>
      <c r="R302">
        <v>36.89</v>
      </c>
      <c r="S302">
        <v>332.01</v>
      </c>
      <c r="T302">
        <v>268.02</v>
      </c>
      <c r="U302">
        <v>19.27</v>
      </c>
      <c r="V302" t="str">
        <f>VLOOKUP(L302,'[2]tabela de preços'!$A:$D,4,0)</f>
        <v>SHERWIN WILLIAMS</v>
      </c>
      <c r="W302" t="str">
        <f>VLOOKUP(L302,'[2]tabela de preços'!$A:$F,6,0)</f>
        <v>VERNIZ AUTOMOTIVO</v>
      </c>
      <c r="X302" t="str">
        <f>VLOOKUP(L302,'[2]tabela de preços'!$A:$G,7,0)</f>
        <v>AUTOMOTIVO</v>
      </c>
    </row>
    <row r="303" spans="1:24" x14ac:dyDescent="0.3">
      <c r="A303" t="s">
        <v>2046</v>
      </c>
      <c r="C303" t="s">
        <v>2047</v>
      </c>
      <c r="D303" s="1">
        <v>46028</v>
      </c>
      <c r="E303" t="s">
        <v>2048</v>
      </c>
      <c r="F303">
        <v>9</v>
      </c>
      <c r="G303">
        <v>236</v>
      </c>
      <c r="H303" t="str">
        <f>VLOOKUP(G303,[1]OPERADORES!$A:$B,2,0)</f>
        <v>DANIEL</v>
      </c>
      <c r="I303" t="s">
        <v>21</v>
      </c>
      <c r="J303" t="s">
        <v>614</v>
      </c>
      <c r="K303" t="s">
        <v>2049</v>
      </c>
      <c r="L303">
        <v>13</v>
      </c>
      <c r="M303" t="s">
        <v>152</v>
      </c>
      <c r="O303" t="s">
        <v>11</v>
      </c>
      <c r="P303">
        <v>5102</v>
      </c>
      <c r="Q303">
        <v>50</v>
      </c>
      <c r="R303">
        <v>5.65</v>
      </c>
      <c r="S303">
        <v>282.5</v>
      </c>
      <c r="T303">
        <v>208</v>
      </c>
      <c r="U303">
        <v>26.37</v>
      </c>
      <c r="V303" t="str">
        <f>VLOOKUP(L303,'[2]tabela de preços'!$A:$D,4,0)</f>
        <v>3M</v>
      </c>
      <c r="W303" t="str">
        <f>VLOOKUP(L303,'[2]tabela de preços'!$A:$F,6,0)</f>
        <v>LIXA DÁGUA</v>
      </c>
      <c r="X303" t="str">
        <f>VLOOKUP(L303,'[2]tabela de preços'!$A:$G,7,0)</f>
        <v>AUTOMOTIVO</v>
      </c>
    </row>
    <row r="304" spans="1:24" x14ac:dyDescent="0.3">
      <c r="A304" t="s">
        <v>2046</v>
      </c>
      <c r="C304" t="s">
        <v>2047</v>
      </c>
      <c r="D304" s="1">
        <v>46028</v>
      </c>
      <c r="E304" t="s">
        <v>2048</v>
      </c>
      <c r="F304">
        <v>9</v>
      </c>
      <c r="G304">
        <v>236</v>
      </c>
      <c r="H304" t="str">
        <f>VLOOKUP(G304,[1]OPERADORES!$A:$B,2,0)</f>
        <v>DANIEL</v>
      </c>
      <c r="I304" t="s">
        <v>21</v>
      </c>
      <c r="J304" t="s">
        <v>614</v>
      </c>
      <c r="K304" t="s">
        <v>2049</v>
      </c>
      <c r="L304">
        <v>15</v>
      </c>
      <c r="M304" t="s">
        <v>205</v>
      </c>
      <c r="O304" t="s">
        <v>11</v>
      </c>
      <c r="P304">
        <v>5102</v>
      </c>
      <c r="Q304">
        <v>50</v>
      </c>
      <c r="R304">
        <v>5.65</v>
      </c>
      <c r="S304">
        <v>282.5</v>
      </c>
      <c r="T304">
        <v>208</v>
      </c>
      <c r="U304">
        <v>26.37</v>
      </c>
      <c r="V304" t="str">
        <f>VLOOKUP(L304,'[2]tabela de preços'!$A:$D,4,0)</f>
        <v>3M</v>
      </c>
      <c r="W304" t="str">
        <f>VLOOKUP(L304,'[2]tabela de preços'!$A:$F,6,0)</f>
        <v>LIXA DÁGUA</v>
      </c>
      <c r="X304" t="str">
        <f>VLOOKUP(L304,'[2]tabela de preços'!$A:$G,7,0)</f>
        <v>AUTOMOTIVO</v>
      </c>
    </row>
    <row r="305" spans="1:24" x14ac:dyDescent="0.3">
      <c r="A305" t="s">
        <v>2046</v>
      </c>
      <c r="C305" t="s">
        <v>2047</v>
      </c>
      <c r="D305" s="1">
        <v>46028</v>
      </c>
      <c r="E305" t="s">
        <v>2048</v>
      </c>
      <c r="F305">
        <v>9</v>
      </c>
      <c r="G305">
        <v>236</v>
      </c>
      <c r="H305" t="str">
        <f>VLOOKUP(G305,[1]OPERADORES!$A:$B,2,0)</f>
        <v>DANIEL</v>
      </c>
      <c r="I305" t="s">
        <v>21</v>
      </c>
      <c r="J305" t="s">
        <v>614</v>
      </c>
      <c r="K305" t="s">
        <v>2049</v>
      </c>
      <c r="L305">
        <v>10246</v>
      </c>
      <c r="M305" t="s">
        <v>206</v>
      </c>
      <c r="O305" t="s">
        <v>11</v>
      </c>
      <c r="P305">
        <v>5102</v>
      </c>
      <c r="Q305">
        <v>50</v>
      </c>
      <c r="R305">
        <v>2.79</v>
      </c>
      <c r="S305">
        <v>139.5</v>
      </c>
      <c r="T305">
        <v>97.5</v>
      </c>
      <c r="U305">
        <v>30.11</v>
      </c>
      <c r="V305" t="str">
        <f>VLOOKUP(L305,'[2]tabela de preços'!$A:$D,4,0)</f>
        <v>NORTON</v>
      </c>
      <c r="W305" t="str">
        <f>VLOOKUP(L305,'[2]tabela de preços'!$A:$F,6,0)</f>
        <v xml:space="preserve">DISCOS / LIXAS / ABRASIVOS </v>
      </c>
      <c r="X305" t="str">
        <f>VLOOKUP(L305,'[2]tabela de preços'!$A:$G,7,0)</f>
        <v>AUTOMOTIVO</v>
      </c>
    </row>
    <row r="306" spans="1:24" x14ac:dyDescent="0.3">
      <c r="A306" t="s">
        <v>2046</v>
      </c>
      <c r="C306" t="s">
        <v>2047</v>
      </c>
      <c r="D306" s="1">
        <v>46028</v>
      </c>
      <c r="E306" t="s">
        <v>2048</v>
      </c>
      <c r="F306">
        <v>9</v>
      </c>
      <c r="G306">
        <v>236</v>
      </c>
      <c r="H306" t="str">
        <f>VLOOKUP(G306,[1]OPERADORES!$A:$B,2,0)</f>
        <v>DANIEL</v>
      </c>
      <c r="I306" t="s">
        <v>21</v>
      </c>
      <c r="J306" t="s">
        <v>614</v>
      </c>
      <c r="K306" t="s">
        <v>2049</v>
      </c>
      <c r="L306">
        <v>20817</v>
      </c>
      <c r="M306" t="s">
        <v>153</v>
      </c>
      <c r="O306" t="s">
        <v>11</v>
      </c>
      <c r="P306">
        <v>5102</v>
      </c>
      <c r="Q306">
        <v>6</v>
      </c>
      <c r="R306">
        <v>22.89</v>
      </c>
      <c r="S306">
        <v>137.34</v>
      </c>
      <c r="T306">
        <v>111.72</v>
      </c>
      <c r="U306">
        <v>18.649999999999999</v>
      </c>
      <c r="V306" t="str">
        <f>VLOOKUP(L306,'[2]tabela de preços'!$A:$D,4,0)</f>
        <v>AUTO AMERICA</v>
      </c>
      <c r="W306" t="str">
        <f>VLOOKUP(L306,'[2]tabela de preços'!$A:$F,6,0)</f>
        <v>MASSA DE POLIR</v>
      </c>
      <c r="X306" t="str">
        <f>VLOOKUP(L306,'[2]tabela de preços'!$A:$G,7,0)</f>
        <v>AUTOMOTIVO</v>
      </c>
    </row>
    <row r="307" spans="1:24" x14ac:dyDescent="0.3">
      <c r="A307" t="s">
        <v>2046</v>
      </c>
      <c r="C307" t="s">
        <v>2047</v>
      </c>
      <c r="D307" s="1">
        <v>46028</v>
      </c>
      <c r="E307" t="s">
        <v>2048</v>
      </c>
      <c r="F307">
        <v>9</v>
      </c>
      <c r="G307">
        <v>236</v>
      </c>
      <c r="H307" t="str">
        <f>VLOOKUP(G307,[1]OPERADORES!$A:$B,2,0)</f>
        <v>DANIEL</v>
      </c>
      <c r="I307" t="s">
        <v>21</v>
      </c>
      <c r="J307" t="s">
        <v>614</v>
      </c>
      <c r="K307" t="s">
        <v>2049</v>
      </c>
      <c r="L307">
        <v>85164</v>
      </c>
      <c r="M307" t="s">
        <v>278</v>
      </c>
      <c r="O307" t="s">
        <v>11</v>
      </c>
      <c r="P307">
        <v>5102</v>
      </c>
      <c r="Q307">
        <v>12</v>
      </c>
      <c r="R307">
        <v>13.29</v>
      </c>
      <c r="S307">
        <v>159.47999999999999</v>
      </c>
      <c r="T307">
        <v>121.08</v>
      </c>
      <c r="U307">
        <v>24.08</v>
      </c>
      <c r="V307" t="str">
        <f>VLOOKUP(L307,'[2]tabela de preços'!$A:$D,4,0)</f>
        <v>BRASILUX</v>
      </c>
      <c r="W307" t="str">
        <f>VLOOKUP(L307,'[2]tabela de preços'!$A:$F,6,0)</f>
        <v>QUEROSENE</v>
      </c>
      <c r="X307" t="str">
        <f>VLOOKUP(L307,'[2]tabela de preços'!$A:$G,7,0)</f>
        <v>AUTOMOTIVO</v>
      </c>
    </row>
    <row r="308" spans="1:24" x14ac:dyDescent="0.3">
      <c r="A308" t="s">
        <v>2046</v>
      </c>
      <c r="C308" t="s">
        <v>2047</v>
      </c>
      <c r="D308" s="1">
        <v>46028</v>
      </c>
      <c r="E308" t="s">
        <v>2048</v>
      </c>
      <c r="F308">
        <v>9</v>
      </c>
      <c r="G308">
        <v>236</v>
      </c>
      <c r="H308" t="str">
        <f>VLOOKUP(G308,[1]OPERADORES!$A:$B,2,0)</f>
        <v>DANIEL</v>
      </c>
      <c r="I308" t="s">
        <v>21</v>
      </c>
      <c r="J308" t="s">
        <v>614</v>
      </c>
      <c r="K308" t="s">
        <v>2049</v>
      </c>
      <c r="L308">
        <v>10298</v>
      </c>
      <c r="M308" t="s">
        <v>85</v>
      </c>
      <c r="O308" t="s">
        <v>11</v>
      </c>
      <c r="P308">
        <v>5102</v>
      </c>
      <c r="Q308">
        <v>4</v>
      </c>
      <c r="R308">
        <v>56.8</v>
      </c>
      <c r="S308">
        <v>227.2</v>
      </c>
      <c r="T308">
        <v>189.52</v>
      </c>
      <c r="U308">
        <v>16.579999999999998</v>
      </c>
      <c r="V308" t="str">
        <f>VLOOKUP(L308,'[2]tabela de preços'!$A:$D,4,0)</f>
        <v>ANJO</v>
      </c>
      <c r="W308" t="str">
        <f>VLOOKUP(L308,'[2]tabela de preços'!$A:$F,6,0)</f>
        <v>THINNER DE LIMPEZA</v>
      </c>
      <c r="X308" t="str">
        <f>VLOOKUP(L308,'[2]tabela de preços'!$A:$G,7,0)</f>
        <v>THINNER</v>
      </c>
    </row>
    <row r="309" spans="1:24" x14ac:dyDescent="0.3">
      <c r="A309" t="s">
        <v>2046</v>
      </c>
      <c r="C309" t="s">
        <v>2047</v>
      </c>
      <c r="D309" s="1">
        <v>46028</v>
      </c>
      <c r="E309" t="s">
        <v>2048</v>
      </c>
      <c r="F309">
        <v>9</v>
      </c>
      <c r="G309">
        <v>236</v>
      </c>
      <c r="H309" t="str">
        <f>VLOOKUP(G309,[1]OPERADORES!$A:$B,2,0)</f>
        <v>DANIEL</v>
      </c>
      <c r="I309" t="s">
        <v>21</v>
      </c>
      <c r="J309" t="s">
        <v>614</v>
      </c>
      <c r="K309" t="s">
        <v>2049</v>
      </c>
      <c r="L309">
        <v>10297</v>
      </c>
      <c r="M309" t="s">
        <v>41</v>
      </c>
      <c r="O309" t="s">
        <v>11</v>
      </c>
      <c r="P309">
        <v>5102</v>
      </c>
      <c r="Q309">
        <v>24</v>
      </c>
      <c r="R309">
        <v>10.95</v>
      </c>
      <c r="S309">
        <v>262.8</v>
      </c>
      <c r="T309">
        <v>220.08</v>
      </c>
      <c r="U309">
        <v>16.260000000000002</v>
      </c>
      <c r="V309" t="str">
        <f>VLOOKUP(L309,'[2]tabela de preços'!$A:$D,4,0)</f>
        <v>ANJO</v>
      </c>
      <c r="W309" t="str">
        <f>VLOOKUP(L309,'[2]tabela de preços'!$A:$F,6,0)</f>
        <v>THINNER DE LIMPEZA</v>
      </c>
      <c r="X309" t="str">
        <f>VLOOKUP(L309,'[2]tabela de preços'!$A:$G,7,0)</f>
        <v>THINNER</v>
      </c>
    </row>
    <row r="310" spans="1:24" x14ac:dyDescent="0.3">
      <c r="A310" t="s">
        <v>2274</v>
      </c>
      <c r="C310" t="s">
        <v>2275</v>
      </c>
      <c r="D310" s="1">
        <v>46028</v>
      </c>
      <c r="E310" t="s">
        <v>2276</v>
      </c>
      <c r="F310">
        <v>9</v>
      </c>
      <c r="G310">
        <v>236</v>
      </c>
      <c r="H310" t="str">
        <f>VLOOKUP(G310,[1]OPERADORES!$A:$B,2,0)</f>
        <v>DANIEL</v>
      </c>
      <c r="I310" t="s">
        <v>21</v>
      </c>
      <c r="J310" t="s">
        <v>750</v>
      </c>
      <c r="K310" t="s">
        <v>2277</v>
      </c>
      <c r="L310">
        <v>23076</v>
      </c>
      <c r="M310" t="s">
        <v>97</v>
      </c>
      <c r="O310" t="s">
        <v>11</v>
      </c>
      <c r="P310">
        <v>6403</v>
      </c>
      <c r="Q310">
        <v>60</v>
      </c>
      <c r="R310">
        <v>36.26</v>
      </c>
      <c r="S310" s="2">
        <v>2175.6</v>
      </c>
      <c r="T310" s="2">
        <v>1591.8</v>
      </c>
      <c r="U310">
        <v>26.83</v>
      </c>
      <c r="V310" t="str">
        <f>VLOOKUP(L310,'[2]tabela de preços'!$A:$D,4,0)</f>
        <v>WANDA</v>
      </c>
      <c r="W310" t="str">
        <f>VLOOKUP(L310,'[2]tabela de preços'!$A:$F,6,0)</f>
        <v>PRIMER AUTOMOTIVO</v>
      </c>
      <c r="X310" t="str">
        <f>VLOOKUP(L310,'[2]tabela de preços'!$A:$G,7,0)</f>
        <v>AUTOMOTIVO</v>
      </c>
    </row>
    <row r="311" spans="1:24" x14ac:dyDescent="0.3">
      <c r="A311" t="s">
        <v>2274</v>
      </c>
      <c r="C311" t="s">
        <v>2275</v>
      </c>
      <c r="D311" s="1">
        <v>46028</v>
      </c>
      <c r="E311" t="s">
        <v>2276</v>
      </c>
      <c r="F311">
        <v>9</v>
      </c>
      <c r="G311">
        <v>236</v>
      </c>
      <c r="H311" t="str">
        <f>VLOOKUP(G311,[1]OPERADORES!$A:$B,2,0)</f>
        <v>DANIEL</v>
      </c>
      <c r="I311" t="s">
        <v>21</v>
      </c>
      <c r="J311" t="s">
        <v>750</v>
      </c>
      <c r="K311" t="s">
        <v>2277</v>
      </c>
      <c r="L311">
        <v>13</v>
      </c>
      <c r="M311" t="s">
        <v>152</v>
      </c>
      <c r="O311" t="s">
        <v>11</v>
      </c>
      <c r="P311">
        <v>6102</v>
      </c>
      <c r="Q311">
        <v>50</v>
      </c>
      <c r="R311">
        <v>5.65</v>
      </c>
      <c r="S311">
        <v>282.5</v>
      </c>
      <c r="T311">
        <v>208</v>
      </c>
      <c r="U311">
        <v>26.37</v>
      </c>
      <c r="V311" t="str">
        <f>VLOOKUP(L311,'[2]tabela de preços'!$A:$D,4,0)</f>
        <v>3M</v>
      </c>
      <c r="W311" t="str">
        <f>VLOOKUP(L311,'[2]tabela de preços'!$A:$F,6,0)</f>
        <v>LIXA DÁGUA</v>
      </c>
      <c r="X311" t="str">
        <f>VLOOKUP(L311,'[2]tabela de preços'!$A:$G,7,0)</f>
        <v>AUTOMOTIVO</v>
      </c>
    </row>
    <row r="312" spans="1:24" x14ac:dyDescent="0.3">
      <c r="A312" t="s">
        <v>2274</v>
      </c>
      <c r="C312" t="s">
        <v>2275</v>
      </c>
      <c r="D312" s="1">
        <v>46028</v>
      </c>
      <c r="E312" t="s">
        <v>2276</v>
      </c>
      <c r="F312">
        <v>9</v>
      </c>
      <c r="G312">
        <v>236</v>
      </c>
      <c r="H312" t="str">
        <f>VLOOKUP(G312,[1]OPERADORES!$A:$B,2,0)</f>
        <v>DANIEL</v>
      </c>
      <c r="I312" t="s">
        <v>21</v>
      </c>
      <c r="J312" t="s">
        <v>750</v>
      </c>
      <c r="K312" t="s">
        <v>2277</v>
      </c>
      <c r="L312">
        <v>16</v>
      </c>
      <c r="M312" t="s">
        <v>122</v>
      </c>
      <c r="O312" t="s">
        <v>11</v>
      </c>
      <c r="P312">
        <v>6102</v>
      </c>
      <c r="Q312">
        <v>50</v>
      </c>
      <c r="R312">
        <v>2.9</v>
      </c>
      <c r="S312">
        <v>145</v>
      </c>
      <c r="T312">
        <v>110</v>
      </c>
      <c r="U312">
        <v>24.14</v>
      </c>
      <c r="V312" t="str">
        <f>VLOOKUP(L312,'[2]tabela de preços'!$A:$D,4,0)</f>
        <v>3M</v>
      </c>
      <c r="W312" t="str">
        <f>VLOOKUP(L312,'[2]tabela de preços'!$A:$F,6,0)</f>
        <v>LIXA DÁGUA</v>
      </c>
      <c r="X312" t="str">
        <f>VLOOKUP(L312,'[2]tabela de preços'!$A:$G,7,0)</f>
        <v>AUTOMOTIVO</v>
      </c>
    </row>
    <row r="313" spans="1:24" x14ac:dyDescent="0.3">
      <c r="A313" t="s">
        <v>2274</v>
      </c>
      <c r="C313" t="s">
        <v>2275</v>
      </c>
      <c r="D313" s="1">
        <v>46028</v>
      </c>
      <c r="E313" t="s">
        <v>2276</v>
      </c>
      <c r="F313">
        <v>9</v>
      </c>
      <c r="G313">
        <v>236</v>
      </c>
      <c r="H313" t="str">
        <f>VLOOKUP(G313,[1]OPERADORES!$A:$B,2,0)</f>
        <v>DANIEL</v>
      </c>
      <c r="I313" t="s">
        <v>21</v>
      </c>
      <c r="J313" t="s">
        <v>750</v>
      </c>
      <c r="K313" t="s">
        <v>2277</v>
      </c>
      <c r="L313">
        <v>10123</v>
      </c>
      <c r="M313" t="s">
        <v>2278</v>
      </c>
      <c r="O313" t="s">
        <v>11</v>
      </c>
      <c r="P313">
        <v>6403</v>
      </c>
      <c r="Q313">
        <v>4</v>
      </c>
      <c r="R313">
        <v>44.66</v>
      </c>
      <c r="S313">
        <v>178.64</v>
      </c>
      <c r="T313">
        <v>135.6</v>
      </c>
      <c r="U313">
        <v>24.09</v>
      </c>
      <c r="V313" t="str">
        <f>VLOOKUP(L313,'[2]tabela de preços'!$A:$D,4,0)</f>
        <v>AUTOCOLOR</v>
      </c>
      <c r="W313" t="str">
        <f>VLOOKUP(L313,'[2]tabela de preços'!$A:$F,6,0)</f>
        <v>PRIMER AUTOMOTIVO</v>
      </c>
      <c r="X313" t="str">
        <f>VLOOKUP(L313,'[2]tabela de preços'!$A:$G,7,0)</f>
        <v>AUTOMOTIVO</v>
      </c>
    </row>
    <row r="314" spans="1:24" x14ac:dyDescent="0.3">
      <c r="A314" t="s">
        <v>2274</v>
      </c>
      <c r="C314" t="s">
        <v>2275</v>
      </c>
      <c r="D314" s="1">
        <v>46028</v>
      </c>
      <c r="E314" t="s">
        <v>2276</v>
      </c>
      <c r="F314">
        <v>9</v>
      </c>
      <c r="G314">
        <v>236</v>
      </c>
      <c r="H314" t="str">
        <f>VLOOKUP(G314,[1]OPERADORES!$A:$B,2,0)</f>
        <v>DANIEL</v>
      </c>
      <c r="I314" t="s">
        <v>21</v>
      </c>
      <c r="J314" t="s">
        <v>750</v>
      </c>
      <c r="K314" t="s">
        <v>2277</v>
      </c>
      <c r="L314">
        <v>21321</v>
      </c>
      <c r="M314" t="s">
        <v>272</v>
      </c>
      <c r="O314" t="s">
        <v>11</v>
      </c>
      <c r="P314">
        <v>6102</v>
      </c>
      <c r="Q314">
        <v>5</v>
      </c>
      <c r="R314">
        <v>18.899999999999999</v>
      </c>
      <c r="S314">
        <v>94.5</v>
      </c>
      <c r="T314">
        <v>76.8</v>
      </c>
      <c r="U314">
        <v>18.73</v>
      </c>
      <c r="V314" t="str">
        <f>VLOOKUP(L314,'[2]tabela de preços'!$A:$D,4,0)</f>
        <v>AUTO AMERICA</v>
      </c>
      <c r="W314" t="str">
        <f>VLOOKUP(L314,'[2]tabela de preços'!$A:$F,6,0)</f>
        <v>CERA  / LIMPEZA /  POLIMENTO VEICULAR</v>
      </c>
      <c r="X314" t="str">
        <f>VLOOKUP(L314,'[2]tabela de preços'!$A:$G,7,0)</f>
        <v>AUTOMOTIVO</v>
      </c>
    </row>
    <row r="315" spans="1:24" x14ac:dyDescent="0.3">
      <c r="A315" t="s">
        <v>2274</v>
      </c>
      <c r="C315" t="s">
        <v>2275</v>
      </c>
      <c r="D315" s="1">
        <v>46028</v>
      </c>
      <c r="E315" t="s">
        <v>2276</v>
      </c>
      <c r="F315">
        <v>9</v>
      </c>
      <c r="G315">
        <v>236</v>
      </c>
      <c r="H315" t="str">
        <f>VLOOKUP(G315,[1]OPERADORES!$A:$B,2,0)</f>
        <v>DANIEL</v>
      </c>
      <c r="I315" t="s">
        <v>21</v>
      </c>
      <c r="J315" t="s">
        <v>750</v>
      </c>
      <c r="K315" t="s">
        <v>2277</v>
      </c>
      <c r="L315">
        <v>23287</v>
      </c>
      <c r="M315" t="s">
        <v>273</v>
      </c>
      <c r="O315" t="s">
        <v>11</v>
      </c>
      <c r="P315">
        <v>6102</v>
      </c>
      <c r="Q315">
        <v>3</v>
      </c>
      <c r="R315">
        <v>37.9</v>
      </c>
      <c r="S315">
        <v>113.7</v>
      </c>
      <c r="T315">
        <v>91.05</v>
      </c>
      <c r="U315">
        <v>19.920000000000002</v>
      </c>
      <c r="V315" t="str">
        <f>VLOOKUP(L315,'[2]tabela de preços'!$A:$D,4,0)</f>
        <v>AUTO AMERICA</v>
      </c>
      <c r="W315" t="str">
        <f>VLOOKUP(L315,'[2]tabela de preços'!$A:$F,6,0)</f>
        <v>CERA  / LIMPEZA /  POLIMENTO VEICULAR</v>
      </c>
      <c r="X315" t="str">
        <f>VLOOKUP(L315,'[2]tabela de preços'!$A:$G,7,0)</f>
        <v>AUTOMOTIVO</v>
      </c>
    </row>
    <row r="316" spans="1:24" x14ac:dyDescent="0.3">
      <c r="A316" t="s">
        <v>2274</v>
      </c>
      <c r="C316" t="s">
        <v>2279</v>
      </c>
      <c r="D316" s="1">
        <v>46028</v>
      </c>
      <c r="E316" t="s">
        <v>2280</v>
      </c>
      <c r="F316">
        <v>9</v>
      </c>
      <c r="G316">
        <v>236</v>
      </c>
      <c r="H316" t="str">
        <f>VLOOKUP(G316,[1]OPERADORES!$A:$B,2,0)</f>
        <v>DANIEL</v>
      </c>
      <c r="I316" t="s">
        <v>21</v>
      </c>
      <c r="J316" t="s">
        <v>750</v>
      </c>
      <c r="K316" t="s">
        <v>2277</v>
      </c>
      <c r="L316">
        <v>85168</v>
      </c>
      <c r="M316" t="s">
        <v>2281</v>
      </c>
      <c r="O316" t="s">
        <v>11</v>
      </c>
      <c r="P316">
        <v>6403</v>
      </c>
      <c r="Q316">
        <v>1</v>
      </c>
      <c r="R316">
        <v>248.46</v>
      </c>
      <c r="S316">
        <v>248.46</v>
      </c>
      <c r="T316">
        <v>177.16</v>
      </c>
      <c r="U316">
        <v>28.7</v>
      </c>
      <c r="V316" t="str">
        <f>VLOOKUP(L316,'[2]tabela de preços'!$A:$D,4,0)</f>
        <v>BRASILUX</v>
      </c>
      <c r="W316" t="str">
        <f>VLOOKUP(L316,'[2]tabela de preços'!$A:$F,6,0)</f>
        <v>TINTA PAREDE</v>
      </c>
      <c r="X316" t="str">
        <f>VLOOKUP(L316,'[2]tabela de preços'!$A:$G,7,0)</f>
        <v>IMOBILIÁRIO</v>
      </c>
    </row>
    <row r="317" spans="1:24" x14ac:dyDescent="0.3">
      <c r="A317" t="s">
        <v>2274</v>
      </c>
      <c r="C317" t="s">
        <v>2279</v>
      </c>
      <c r="D317" s="1">
        <v>46028</v>
      </c>
      <c r="E317" t="s">
        <v>2280</v>
      </c>
      <c r="F317">
        <v>9</v>
      </c>
      <c r="G317">
        <v>236</v>
      </c>
      <c r="H317" t="str">
        <f>VLOOKUP(G317,[1]OPERADORES!$A:$B,2,0)</f>
        <v>DANIEL</v>
      </c>
      <c r="I317" t="s">
        <v>21</v>
      </c>
      <c r="J317" t="s">
        <v>750</v>
      </c>
      <c r="K317" t="s">
        <v>2277</v>
      </c>
      <c r="L317">
        <v>84356</v>
      </c>
      <c r="M317" t="s">
        <v>560</v>
      </c>
      <c r="O317" t="s">
        <v>11</v>
      </c>
      <c r="P317">
        <v>6403</v>
      </c>
      <c r="Q317">
        <v>4</v>
      </c>
      <c r="R317">
        <v>20.91</v>
      </c>
      <c r="S317">
        <v>83.64</v>
      </c>
      <c r="T317">
        <v>59.64</v>
      </c>
      <c r="U317">
        <v>28.69</v>
      </c>
      <c r="V317" t="str">
        <f>VLOOKUP(L317,'[2]tabela de preços'!$A:$D,4,0)</f>
        <v>BRASILUX</v>
      </c>
      <c r="W317" t="str">
        <f>VLOOKUP(L317,'[2]tabela de preços'!$A:$F,6,0)</f>
        <v>ESMALTES</v>
      </c>
      <c r="X317" t="str">
        <f>VLOOKUP(L317,'[2]tabela de preços'!$A:$G,7,0)</f>
        <v>INDUSTRIAL</v>
      </c>
    </row>
    <row r="318" spans="1:24" x14ac:dyDescent="0.3">
      <c r="A318" t="s">
        <v>2274</v>
      </c>
      <c r="C318" t="s">
        <v>2279</v>
      </c>
      <c r="D318" s="1">
        <v>46028</v>
      </c>
      <c r="E318" t="s">
        <v>2280</v>
      </c>
      <c r="F318">
        <v>9</v>
      </c>
      <c r="G318">
        <v>236</v>
      </c>
      <c r="H318" t="str">
        <f>VLOOKUP(G318,[1]OPERADORES!$A:$B,2,0)</f>
        <v>DANIEL</v>
      </c>
      <c r="I318" t="s">
        <v>21</v>
      </c>
      <c r="J318" t="s">
        <v>750</v>
      </c>
      <c r="K318" t="s">
        <v>2277</v>
      </c>
      <c r="L318">
        <v>84350</v>
      </c>
      <c r="M318" t="s">
        <v>2282</v>
      </c>
      <c r="O318" t="s">
        <v>11</v>
      </c>
      <c r="P318">
        <v>6403</v>
      </c>
      <c r="Q318">
        <v>4</v>
      </c>
      <c r="R318">
        <v>26.84</v>
      </c>
      <c r="S318">
        <v>107.36</v>
      </c>
      <c r="T318">
        <v>76.56</v>
      </c>
      <c r="U318">
        <v>28.69</v>
      </c>
      <c r="V318" t="str">
        <f>VLOOKUP(L318,'[2]tabela de preços'!$A:$D,4,0)</f>
        <v>BRASILUX</v>
      </c>
      <c r="W318" t="str">
        <f>VLOOKUP(L318,'[2]tabela de preços'!$A:$F,6,0)</f>
        <v>ESMALTES</v>
      </c>
      <c r="X318" t="str">
        <f>VLOOKUP(L318,'[2]tabela de preços'!$A:$G,7,0)</f>
        <v>INDUSTRIAL</v>
      </c>
    </row>
    <row r="319" spans="1:24" x14ac:dyDescent="0.3">
      <c r="A319" t="s">
        <v>2274</v>
      </c>
      <c r="C319" t="s">
        <v>2279</v>
      </c>
      <c r="D319" s="1">
        <v>46028</v>
      </c>
      <c r="E319" t="s">
        <v>2280</v>
      </c>
      <c r="F319">
        <v>9</v>
      </c>
      <c r="G319">
        <v>236</v>
      </c>
      <c r="H319" t="str">
        <f>VLOOKUP(G319,[1]OPERADORES!$A:$B,2,0)</f>
        <v>DANIEL</v>
      </c>
      <c r="I319" t="s">
        <v>21</v>
      </c>
      <c r="J319" t="s">
        <v>750</v>
      </c>
      <c r="K319" t="s">
        <v>2277</v>
      </c>
      <c r="L319">
        <v>84357</v>
      </c>
      <c r="M319" t="s">
        <v>580</v>
      </c>
      <c r="O319" t="s">
        <v>11</v>
      </c>
      <c r="P319">
        <v>6403</v>
      </c>
      <c r="Q319">
        <v>4</v>
      </c>
      <c r="R319">
        <v>23.09</v>
      </c>
      <c r="S319">
        <v>92.36</v>
      </c>
      <c r="T319">
        <v>65.88</v>
      </c>
      <c r="U319">
        <v>28.67</v>
      </c>
      <c r="V319" t="str">
        <f>VLOOKUP(L319,'[2]tabela de preços'!$A:$D,4,0)</f>
        <v>BRASILUX</v>
      </c>
      <c r="W319" t="str">
        <f>VLOOKUP(L319,'[2]tabela de preços'!$A:$F,6,0)</f>
        <v>ESMALTES</v>
      </c>
      <c r="X319" t="str">
        <f>VLOOKUP(L319,'[2]tabela de preços'!$A:$G,7,0)</f>
        <v>INDUSTRIAL</v>
      </c>
    </row>
    <row r="320" spans="1:24" x14ac:dyDescent="0.3">
      <c r="A320" t="s">
        <v>2274</v>
      </c>
      <c r="C320" t="s">
        <v>2279</v>
      </c>
      <c r="D320" s="1">
        <v>46028</v>
      </c>
      <c r="E320" t="s">
        <v>2280</v>
      </c>
      <c r="F320">
        <v>9</v>
      </c>
      <c r="G320">
        <v>236</v>
      </c>
      <c r="H320" t="str">
        <f>VLOOKUP(G320,[1]OPERADORES!$A:$B,2,0)</f>
        <v>DANIEL</v>
      </c>
      <c r="I320" t="s">
        <v>21</v>
      </c>
      <c r="J320" t="s">
        <v>750</v>
      </c>
      <c r="K320" t="s">
        <v>2277</v>
      </c>
      <c r="L320">
        <v>84359</v>
      </c>
      <c r="M320" t="s">
        <v>2283</v>
      </c>
      <c r="O320" t="s">
        <v>11</v>
      </c>
      <c r="P320">
        <v>6403</v>
      </c>
      <c r="Q320">
        <v>2</v>
      </c>
      <c r="R320">
        <v>19.3</v>
      </c>
      <c r="S320">
        <v>38.6</v>
      </c>
      <c r="T320">
        <v>27.52</v>
      </c>
      <c r="U320">
        <v>28.7</v>
      </c>
      <c r="V320" t="str">
        <f>VLOOKUP(L320,'[2]tabela de preços'!$A:$D,4,0)</f>
        <v>BRASILUX</v>
      </c>
      <c r="W320" t="str">
        <f>VLOOKUP(L320,'[2]tabela de preços'!$A:$F,6,0)</f>
        <v>ESMALTES</v>
      </c>
      <c r="X320" t="str">
        <f>VLOOKUP(L320,'[2]tabela de preços'!$A:$G,7,0)</f>
        <v>INDUSTRIAL</v>
      </c>
    </row>
    <row r="321" spans="1:24" x14ac:dyDescent="0.3">
      <c r="A321" t="s">
        <v>2274</v>
      </c>
      <c r="C321" t="s">
        <v>2279</v>
      </c>
      <c r="D321" s="1">
        <v>46028</v>
      </c>
      <c r="E321" t="s">
        <v>2280</v>
      </c>
      <c r="F321">
        <v>9</v>
      </c>
      <c r="G321">
        <v>236</v>
      </c>
      <c r="H321" t="str">
        <f>VLOOKUP(G321,[1]OPERADORES!$A:$B,2,0)</f>
        <v>DANIEL</v>
      </c>
      <c r="I321" t="s">
        <v>21</v>
      </c>
      <c r="J321" t="s">
        <v>750</v>
      </c>
      <c r="K321" t="s">
        <v>2277</v>
      </c>
      <c r="L321">
        <v>84122</v>
      </c>
      <c r="M321" t="s">
        <v>287</v>
      </c>
      <c r="O321" t="s">
        <v>11</v>
      </c>
      <c r="P321">
        <v>6403</v>
      </c>
      <c r="Q321">
        <v>2</v>
      </c>
      <c r="R321">
        <v>19.57</v>
      </c>
      <c r="S321">
        <v>39.14</v>
      </c>
      <c r="T321">
        <v>27.9</v>
      </c>
      <c r="U321">
        <v>28.72</v>
      </c>
      <c r="V321" t="str">
        <f>VLOOKUP(L321,'[2]tabela de preços'!$A:$D,4,0)</f>
        <v>BRASILUX</v>
      </c>
      <c r="W321" t="str">
        <f>VLOOKUP(L321,'[2]tabela de preços'!$A:$F,6,0)</f>
        <v>ESMALTES</v>
      </c>
      <c r="X321" t="str">
        <f>VLOOKUP(L321,'[2]tabela de preços'!$A:$G,7,0)</f>
        <v>INDUSTRIAL</v>
      </c>
    </row>
    <row r="322" spans="1:24" x14ac:dyDescent="0.3">
      <c r="A322" t="s">
        <v>2274</v>
      </c>
      <c r="C322" t="s">
        <v>2279</v>
      </c>
      <c r="D322" s="1">
        <v>46028</v>
      </c>
      <c r="E322" t="s">
        <v>2280</v>
      </c>
      <c r="F322">
        <v>9</v>
      </c>
      <c r="G322">
        <v>236</v>
      </c>
      <c r="H322" t="str">
        <f>VLOOKUP(G322,[1]OPERADORES!$A:$B,2,0)</f>
        <v>DANIEL</v>
      </c>
      <c r="I322" t="s">
        <v>21</v>
      </c>
      <c r="J322" t="s">
        <v>750</v>
      </c>
      <c r="K322" t="s">
        <v>2277</v>
      </c>
      <c r="L322">
        <v>84123</v>
      </c>
      <c r="M322" t="s">
        <v>296</v>
      </c>
      <c r="O322" t="s">
        <v>11</v>
      </c>
      <c r="P322">
        <v>6403</v>
      </c>
      <c r="Q322">
        <v>6</v>
      </c>
      <c r="R322">
        <v>20.34</v>
      </c>
      <c r="S322">
        <v>122.04</v>
      </c>
      <c r="T322">
        <v>87</v>
      </c>
      <c r="U322">
        <v>28.71</v>
      </c>
      <c r="V322" t="str">
        <f>VLOOKUP(L322,'[2]tabela de preços'!$A:$D,4,0)</f>
        <v>BRASILUX</v>
      </c>
      <c r="W322" t="str">
        <f>VLOOKUP(L322,'[2]tabela de preços'!$A:$F,6,0)</f>
        <v>ESMALTES</v>
      </c>
      <c r="X322" t="str">
        <f>VLOOKUP(L322,'[2]tabela de preços'!$A:$G,7,0)</f>
        <v>INDUSTRIAL</v>
      </c>
    </row>
    <row r="323" spans="1:24" x14ac:dyDescent="0.3">
      <c r="A323" t="s">
        <v>2274</v>
      </c>
      <c r="C323" t="s">
        <v>2279</v>
      </c>
      <c r="D323" s="1">
        <v>46028</v>
      </c>
      <c r="E323" t="s">
        <v>2280</v>
      </c>
      <c r="F323">
        <v>9</v>
      </c>
      <c r="G323">
        <v>236</v>
      </c>
      <c r="H323" t="str">
        <f>VLOOKUP(G323,[1]OPERADORES!$A:$B,2,0)</f>
        <v>DANIEL</v>
      </c>
      <c r="I323" t="s">
        <v>21</v>
      </c>
      <c r="J323" t="s">
        <v>750</v>
      </c>
      <c r="K323" t="s">
        <v>2277</v>
      </c>
      <c r="L323">
        <v>84124</v>
      </c>
      <c r="M323" t="s">
        <v>288</v>
      </c>
      <c r="O323" t="s">
        <v>11</v>
      </c>
      <c r="P323">
        <v>6403</v>
      </c>
      <c r="Q323">
        <v>2</v>
      </c>
      <c r="R323">
        <v>18.75</v>
      </c>
      <c r="S323">
        <v>37.5</v>
      </c>
      <c r="T323">
        <v>26.74</v>
      </c>
      <c r="U323">
        <v>28.69</v>
      </c>
      <c r="V323" t="str">
        <f>VLOOKUP(L323,'[2]tabela de preços'!$A:$D,4,0)</f>
        <v>BRASILUX</v>
      </c>
      <c r="W323" t="str">
        <f>VLOOKUP(L323,'[2]tabela de preços'!$A:$F,6,0)</f>
        <v>ESMALTES</v>
      </c>
      <c r="X323" t="str">
        <f>VLOOKUP(L323,'[2]tabela de preços'!$A:$G,7,0)</f>
        <v>INDUSTRIAL</v>
      </c>
    </row>
    <row r="324" spans="1:24" x14ac:dyDescent="0.3">
      <c r="A324" t="s">
        <v>2274</v>
      </c>
      <c r="C324" t="s">
        <v>2279</v>
      </c>
      <c r="D324" s="1">
        <v>46028</v>
      </c>
      <c r="E324" t="s">
        <v>2280</v>
      </c>
      <c r="F324">
        <v>9</v>
      </c>
      <c r="G324">
        <v>236</v>
      </c>
      <c r="H324" t="str">
        <f>VLOOKUP(G324,[1]OPERADORES!$A:$B,2,0)</f>
        <v>DANIEL</v>
      </c>
      <c r="I324" t="s">
        <v>21</v>
      </c>
      <c r="J324" t="s">
        <v>750</v>
      </c>
      <c r="K324" t="s">
        <v>2277</v>
      </c>
      <c r="L324">
        <v>84128</v>
      </c>
      <c r="M324" t="s">
        <v>1710</v>
      </c>
      <c r="O324" t="s">
        <v>11</v>
      </c>
      <c r="P324">
        <v>6403</v>
      </c>
      <c r="Q324">
        <v>4</v>
      </c>
      <c r="R324">
        <v>22.21</v>
      </c>
      <c r="S324">
        <v>88.84</v>
      </c>
      <c r="T324">
        <v>63.36</v>
      </c>
      <c r="U324">
        <v>28.68</v>
      </c>
      <c r="V324" t="str">
        <f>VLOOKUP(L324,'[2]tabela de preços'!$A:$D,4,0)</f>
        <v>BRASILUX</v>
      </c>
      <c r="W324" t="str">
        <f>VLOOKUP(L324,'[2]tabela de preços'!$A:$F,6,0)</f>
        <v>ESMALTES</v>
      </c>
      <c r="X324" t="str">
        <f>VLOOKUP(L324,'[2]tabela de preços'!$A:$G,7,0)</f>
        <v>INDUSTRIAL</v>
      </c>
    </row>
    <row r="325" spans="1:24" x14ac:dyDescent="0.3">
      <c r="A325" t="s">
        <v>2274</v>
      </c>
      <c r="C325" t="s">
        <v>2279</v>
      </c>
      <c r="D325" s="1">
        <v>46028</v>
      </c>
      <c r="E325" t="s">
        <v>2280</v>
      </c>
      <c r="F325">
        <v>9</v>
      </c>
      <c r="G325">
        <v>236</v>
      </c>
      <c r="H325" t="str">
        <f>VLOOKUP(G325,[1]OPERADORES!$A:$B,2,0)</f>
        <v>DANIEL</v>
      </c>
      <c r="I325" t="s">
        <v>21</v>
      </c>
      <c r="J325" t="s">
        <v>750</v>
      </c>
      <c r="K325" t="s">
        <v>2277</v>
      </c>
      <c r="L325">
        <v>85599</v>
      </c>
      <c r="M325" t="s">
        <v>38</v>
      </c>
      <c r="O325" t="s">
        <v>11</v>
      </c>
      <c r="P325">
        <v>6102</v>
      </c>
      <c r="Q325">
        <v>40</v>
      </c>
      <c r="R325">
        <v>2.58</v>
      </c>
      <c r="S325">
        <v>103.2</v>
      </c>
      <c r="T325">
        <v>78.400000000000006</v>
      </c>
      <c r="U325">
        <v>24.03</v>
      </c>
      <c r="V325" t="str">
        <f>VLOOKUP(L325,'[2]tabela de preços'!$A:$D,4,0)</f>
        <v>REJUMASSA</v>
      </c>
      <c r="W325" t="str">
        <f>VLOOKUP(L325,'[2]tabela de preços'!$A:$F,6,0)</f>
        <v>GESSO</v>
      </c>
      <c r="X325" t="str">
        <f>VLOOKUP(L325,'[2]tabela de preços'!$A:$G,7,0)</f>
        <v>IMOBILIÁRIO</v>
      </c>
    </row>
    <row r="326" spans="1:24" x14ac:dyDescent="0.3">
      <c r="A326" t="s">
        <v>2274</v>
      </c>
      <c r="C326" t="s">
        <v>2279</v>
      </c>
      <c r="D326" s="1">
        <v>46028</v>
      </c>
      <c r="E326" t="s">
        <v>2280</v>
      </c>
      <c r="F326">
        <v>9</v>
      </c>
      <c r="G326">
        <v>236</v>
      </c>
      <c r="H326" t="str">
        <f>VLOOKUP(G326,[1]OPERADORES!$A:$B,2,0)</f>
        <v>DANIEL</v>
      </c>
      <c r="I326" t="s">
        <v>21</v>
      </c>
      <c r="J326" t="s">
        <v>750</v>
      </c>
      <c r="K326" t="s">
        <v>2277</v>
      </c>
      <c r="L326">
        <v>84460</v>
      </c>
      <c r="M326" t="s">
        <v>322</v>
      </c>
      <c r="O326" t="s">
        <v>11</v>
      </c>
      <c r="P326">
        <v>6102</v>
      </c>
      <c r="Q326">
        <v>6</v>
      </c>
      <c r="R326">
        <v>31.07</v>
      </c>
      <c r="S326">
        <v>186.42</v>
      </c>
      <c r="T326">
        <v>141.47999999999999</v>
      </c>
      <c r="U326">
        <v>24.11</v>
      </c>
      <c r="V326" t="str">
        <f>VLOOKUP(L326,'[2]tabela de preços'!$A:$D,4,0)</f>
        <v>BRASILUX</v>
      </c>
      <c r="W326" t="str">
        <f>VLOOKUP(L326,'[2]tabela de preços'!$A:$F,6,0)</f>
        <v>VEDADORES / SELANTES</v>
      </c>
      <c r="X326" t="str">
        <f>VLOOKUP(L326,'[2]tabela de preços'!$A:$G,7,0)</f>
        <v>AUTOMOTIVO</v>
      </c>
    </row>
    <row r="327" spans="1:24" x14ac:dyDescent="0.3">
      <c r="A327" t="s">
        <v>2289</v>
      </c>
      <c r="C327" t="s">
        <v>2290</v>
      </c>
      <c r="D327" s="1">
        <v>46028</v>
      </c>
      <c r="E327" t="s">
        <v>2291</v>
      </c>
      <c r="F327">
        <v>9</v>
      </c>
      <c r="G327">
        <v>231</v>
      </c>
      <c r="H327" t="str">
        <f>VLOOKUP(G327,[1]OPERADORES!$A:$B,2,0)</f>
        <v>EDIJANE</v>
      </c>
      <c r="I327" t="s">
        <v>21</v>
      </c>
      <c r="J327" t="s">
        <v>66</v>
      </c>
      <c r="K327" t="s">
        <v>2292</v>
      </c>
      <c r="L327">
        <v>23602</v>
      </c>
      <c r="M327" t="s">
        <v>215</v>
      </c>
      <c r="O327" t="s">
        <v>11</v>
      </c>
      <c r="P327">
        <v>5403</v>
      </c>
      <c r="Q327">
        <v>6</v>
      </c>
      <c r="R327">
        <v>35.89</v>
      </c>
      <c r="S327">
        <v>215.34</v>
      </c>
      <c r="T327">
        <v>175.5</v>
      </c>
      <c r="U327">
        <v>18.5</v>
      </c>
      <c r="V327" t="str">
        <f>VLOOKUP(L327,'[2]tabela de preços'!$A:$D,4,0)</f>
        <v>SHERWIN WILLIAMS</v>
      </c>
      <c r="W327" t="str">
        <f>VLOOKUP(L327,'[2]tabela de preços'!$A:$F,6,0)</f>
        <v>VERNIZ AUTOMOTIVO</v>
      </c>
      <c r="X327" t="str">
        <f>VLOOKUP(L327,'[2]tabela de preços'!$A:$G,7,0)</f>
        <v>AUTOMOTIVO</v>
      </c>
    </row>
    <row r="328" spans="1:24" x14ac:dyDescent="0.3">
      <c r="A328" t="s">
        <v>2289</v>
      </c>
      <c r="C328" t="s">
        <v>2290</v>
      </c>
      <c r="D328" s="1">
        <v>46028</v>
      </c>
      <c r="E328" t="s">
        <v>2291</v>
      </c>
      <c r="F328">
        <v>9</v>
      </c>
      <c r="G328">
        <v>231</v>
      </c>
      <c r="H328" t="str">
        <f>VLOOKUP(G328,[1]OPERADORES!$A:$B,2,0)</f>
        <v>EDIJANE</v>
      </c>
      <c r="I328" t="s">
        <v>21</v>
      </c>
      <c r="J328" t="s">
        <v>66</v>
      </c>
      <c r="K328" t="s">
        <v>2292</v>
      </c>
      <c r="L328">
        <v>15</v>
      </c>
      <c r="M328" t="s">
        <v>205</v>
      </c>
      <c r="O328" t="s">
        <v>11</v>
      </c>
      <c r="P328">
        <v>5102</v>
      </c>
      <c r="Q328">
        <v>50</v>
      </c>
      <c r="R328">
        <v>5.65</v>
      </c>
      <c r="S328">
        <v>282.5</v>
      </c>
      <c r="T328">
        <v>208</v>
      </c>
      <c r="U328">
        <v>26.37</v>
      </c>
      <c r="V328" t="str">
        <f>VLOOKUP(L328,'[2]tabela de preços'!$A:$D,4,0)</f>
        <v>3M</v>
      </c>
      <c r="W328" t="str">
        <f>VLOOKUP(L328,'[2]tabela de preços'!$A:$F,6,0)</f>
        <v>LIXA DÁGUA</v>
      </c>
      <c r="X328" t="str">
        <f>VLOOKUP(L328,'[2]tabela de preços'!$A:$G,7,0)</f>
        <v>AUTOMOTIVO</v>
      </c>
    </row>
    <row r="329" spans="1:24" x14ac:dyDescent="0.3">
      <c r="A329" t="s">
        <v>2289</v>
      </c>
      <c r="C329" t="s">
        <v>2290</v>
      </c>
      <c r="D329" s="1">
        <v>46028</v>
      </c>
      <c r="E329" t="s">
        <v>2291</v>
      </c>
      <c r="F329">
        <v>9</v>
      </c>
      <c r="G329">
        <v>231</v>
      </c>
      <c r="H329" t="str">
        <f>VLOOKUP(G329,[1]OPERADORES!$A:$B,2,0)</f>
        <v>EDIJANE</v>
      </c>
      <c r="I329" t="s">
        <v>21</v>
      </c>
      <c r="J329" t="s">
        <v>66</v>
      </c>
      <c r="K329" t="s">
        <v>2292</v>
      </c>
      <c r="L329">
        <v>10240</v>
      </c>
      <c r="M329" t="s">
        <v>81</v>
      </c>
      <c r="O329" t="s">
        <v>11</v>
      </c>
      <c r="P329">
        <v>5102</v>
      </c>
      <c r="Q329">
        <v>50</v>
      </c>
      <c r="R329">
        <v>2.79</v>
      </c>
      <c r="S329">
        <v>139.5</v>
      </c>
      <c r="T329">
        <v>114</v>
      </c>
      <c r="U329">
        <v>18.28</v>
      </c>
      <c r="V329" t="str">
        <f>VLOOKUP(L329,'[2]tabela de preços'!$A:$D,4,0)</f>
        <v>NORTON</v>
      </c>
      <c r="W329" t="str">
        <f>VLOOKUP(L329,'[2]tabela de preços'!$A:$F,6,0)</f>
        <v xml:space="preserve">DISCOS / LIXAS / ABRASIVOS </v>
      </c>
      <c r="X329" t="str">
        <f>VLOOKUP(L329,'[2]tabela de preços'!$A:$G,7,0)</f>
        <v>AUTOMOTIVO</v>
      </c>
    </row>
    <row r="330" spans="1:24" x14ac:dyDescent="0.3">
      <c r="A330" t="s">
        <v>2289</v>
      </c>
      <c r="C330" t="s">
        <v>2290</v>
      </c>
      <c r="D330" s="1">
        <v>46028</v>
      </c>
      <c r="E330" t="s">
        <v>2291</v>
      </c>
      <c r="F330">
        <v>9</v>
      </c>
      <c r="G330">
        <v>231</v>
      </c>
      <c r="H330" t="str">
        <f>VLOOKUP(G330,[1]OPERADORES!$A:$B,2,0)</f>
        <v>EDIJANE</v>
      </c>
      <c r="I330" t="s">
        <v>21</v>
      </c>
      <c r="J330" t="s">
        <v>66</v>
      </c>
      <c r="K330" t="s">
        <v>2292</v>
      </c>
      <c r="L330">
        <v>10241</v>
      </c>
      <c r="M330" t="s">
        <v>819</v>
      </c>
      <c r="O330" t="s">
        <v>11</v>
      </c>
      <c r="P330">
        <v>5102</v>
      </c>
      <c r="Q330">
        <v>50</v>
      </c>
      <c r="R330">
        <v>2.79</v>
      </c>
      <c r="S330">
        <v>139.5</v>
      </c>
      <c r="T330">
        <v>114</v>
      </c>
      <c r="U330">
        <v>18.28</v>
      </c>
      <c r="V330" t="str">
        <f>VLOOKUP(L330,'[2]tabela de preços'!$A:$D,4,0)</f>
        <v>NORTON</v>
      </c>
      <c r="W330" t="str">
        <f>VLOOKUP(L330,'[2]tabela de preços'!$A:$F,6,0)</f>
        <v xml:space="preserve">DISCOS / LIXAS / ABRASIVOS </v>
      </c>
      <c r="X330" t="str">
        <f>VLOOKUP(L330,'[2]tabela de preços'!$A:$G,7,0)</f>
        <v>AUTOMOTIVO</v>
      </c>
    </row>
    <row r="331" spans="1:24" x14ac:dyDescent="0.3">
      <c r="A331" t="s">
        <v>2289</v>
      </c>
      <c r="C331" t="s">
        <v>2290</v>
      </c>
      <c r="D331" s="1">
        <v>46028</v>
      </c>
      <c r="E331" t="s">
        <v>2291</v>
      </c>
      <c r="F331">
        <v>9</v>
      </c>
      <c r="G331">
        <v>231</v>
      </c>
      <c r="H331" t="str">
        <f>VLOOKUP(G331,[1]OPERADORES!$A:$B,2,0)</f>
        <v>EDIJANE</v>
      </c>
      <c r="I331" t="s">
        <v>21</v>
      </c>
      <c r="J331" t="s">
        <v>66</v>
      </c>
      <c r="K331" t="s">
        <v>2292</v>
      </c>
      <c r="L331">
        <v>20817</v>
      </c>
      <c r="M331" t="s">
        <v>153</v>
      </c>
      <c r="O331" t="s">
        <v>11</v>
      </c>
      <c r="P331">
        <v>5102</v>
      </c>
      <c r="Q331">
        <v>6</v>
      </c>
      <c r="R331">
        <v>22.89</v>
      </c>
      <c r="S331">
        <v>137.34</v>
      </c>
      <c r="T331">
        <v>111.72</v>
      </c>
      <c r="U331">
        <v>18.649999999999999</v>
      </c>
      <c r="V331" t="str">
        <f>VLOOKUP(L331,'[2]tabela de preços'!$A:$D,4,0)</f>
        <v>AUTO AMERICA</v>
      </c>
      <c r="W331" t="str">
        <f>VLOOKUP(L331,'[2]tabela de preços'!$A:$F,6,0)</f>
        <v>MASSA DE POLIR</v>
      </c>
      <c r="X331" t="str">
        <f>VLOOKUP(L331,'[2]tabela de preços'!$A:$G,7,0)</f>
        <v>AUTOMOTIVO</v>
      </c>
    </row>
    <row r="332" spans="1:24" x14ac:dyDescent="0.3">
      <c r="A332" t="s">
        <v>2289</v>
      </c>
      <c r="C332" t="s">
        <v>2290</v>
      </c>
      <c r="D332" s="1">
        <v>46028</v>
      </c>
      <c r="E332" t="s">
        <v>2291</v>
      </c>
      <c r="F332">
        <v>9</v>
      </c>
      <c r="G332">
        <v>231</v>
      </c>
      <c r="H332" t="str">
        <f>VLOOKUP(G332,[1]OPERADORES!$A:$B,2,0)</f>
        <v>EDIJANE</v>
      </c>
      <c r="I332" t="s">
        <v>21</v>
      </c>
      <c r="J332" t="s">
        <v>66</v>
      </c>
      <c r="K332" t="s">
        <v>2292</v>
      </c>
      <c r="L332">
        <v>87043</v>
      </c>
      <c r="M332" t="s">
        <v>217</v>
      </c>
      <c r="O332" t="s">
        <v>11</v>
      </c>
      <c r="P332">
        <v>5102</v>
      </c>
      <c r="Q332">
        <v>6</v>
      </c>
      <c r="R332">
        <v>22.89</v>
      </c>
      <c r="S332">
        <v>137.34</v>
      </c>
      <c r="T332">
        <v>108.12</v>
      </c>
      <c r="U332">
        <v>21.28</v>
      </c>
      <c r="V332" t="str">
        <f>VLOOKUP(L332,'[2]tabela de preços'!$A:$D,4,0)</f>
        <v>ROBERLO</v>
      </c>
      <c r="W332" t="str">
        <f>VLOOKUP(L332,'[2]tabela de preços'!$A:$F,6,0)</f>
        <v>MASSA POLIÉSTER</v>
      </c>
      <c r="X332" t="str">
        <f>VLOOKUP(L332,'[2]tabela de preços'!$A:$G,7,0)</f>
        <v>AUTOMOTIVO</v>
      </c>
    </row>
    <row r="333" spans="1:24" x14ac:dyDescent="0.3">
      <c r="A333" t="s">
        <v>2289</v>
      </c>
      <c r="C333" t="s">
        <v>2290</v>
      </c>
      <c r="D333" s="1">
        <v>46028</v>
      </c>
      <c r="E333" t="s">
        <v>2291</v>
      </c>
      <c r="F333">
        <v>9</v>
      </c>
      <c r="G333">
        <v>231</v>
      </c>
      <c r="H333" t="str">
        <f>VLOOKUP(G333,[1]OPERADORES!$A:$B,2,0)</f>
        <v>EDIJANE</v>
      </c>
      <c r="I333" t="s">
        <v>21</v>
      </c>
      <c r="J333" t="s">
        <v>66</v>
      </c>
      <c r="K333" t="s">
        <v>2292</v>
      </c>
      <c r="L333">
        <v>10404</v>
      </c>
      <c r="M333" t="s">
        <v>130</v>
      </c>
      <c r="O333" t="s">
        <v>11</v>
      </c>
      <c r="P333">
        <v>5102</v>
      </c>
      <c r="Q333">
        <v>5</v>
      </c>
      <c r="R333">
        <v>16.09</v>
      </c>
      <c r="S333">
        <v>80.45</v>
      </c>
      <c r="T333">
        <v>66.599999999999994</v>
      </c>
      <c r="U333">
        <v>17.22</v>
      </c>
      <c r="V333" t="str">
        <f>VLOOKUP(L333,'[2]tabela de preços'!$A:$D,4,0)</f>
        <v>MAXI RUBBER</v>
      </c>
      <c r="W333" t="str">
        <f>VLOOKUP(L333,'[2]tabela de preços'!$A:$F,6,0)</f>
        <v>VEDADORES / SELANTES</v>
      </c>
      <c r="X333" t="str">
        <f>VLOOKUP(L333,'[2]tabela de preços'!$A:$G,7,0)</f>
        <v>AUTOMOTIVO</v>
      </c>
    </row>
    <row r="334" spans="1:24" x14ac:dyDescent="0.3">
      <c r="A334" t="s">
        <v>2293</v>
      </c>
      <c r="C334" t="s">
        <v>2294</v>
      </c>
      <c r="D334" s="1">
        <v>46028</v>
      </c>
      <c r="E334" t="s">
        <v>2295</v>
      </c>
      <c r="F334">
        <v>9</v>
      </c>
      <c r="G334">
        <v>197</v>
      </c>
      <c r="H334" t="str">
        <f>VLOOKUP(G334,[1]OPERADORES!$A:$B,2,0)</f>
        <v xml:space="preserve">POLIANA LORRANE DE AMORIM </v>
      </c>
      <c r="I334" t="s">
        <v>21</v>
      </c>
      <c r="J334" t="s">
        <v>2296</v>
      </c>
      <c r="K334" t="s">
        <v>2297</v>
      </c>
      <c r="L334">
        <v>84616</v>
      </c>
      <c r="M334" t="s">
        <v>2298</v>
      </c>
      <c r="O334" t="s">
        <v>11</v>
      </c>
      <c r="P334">
        <v>5403</v>
      </c>
      <c r="Q334">
        <v>2</v>
      </c>
      <c r="R334">
        <v>62.66</v>
      </c>
      <c r="S334">
        <v>125.32</v>
      </c>
      <c r="T334">
        <v>95.12</v>
      </c>
      <c r="U334">
        <v>24.1</v>
      </c>
      <c r="V334" t="str">
        <f>VLOOKUP(L334,'[2]tabela de preços'!$A:$D,4,0)</f>
        <v>BRASILUX</v>
      </c>
      <c r="W334" t="str">
        <f>VLOOKUP(L334,'[2]tabela de preços'!$A:$F,6,0)</f>
        <v>BASES IMOBILIÁRIAS</v>
      </c>
      <c r="X334" t="str">
        <f>VLOOKUP(L334,'[2]tabela de preços'!$A:$G,7,0)</f>
        <v>IMOBILIÁRIO</v>
      </c>
    </row>
    <row r="335" spans="1:24" x14ac:dyDescent="0.3">
      <c r="A335" t="s">
        <v>2293</v>
      </c>
      <c r="C335" t="s">
        <v>2294</v>
      </c>
      <c r="D335" s="1">
        <v>46028</v>
      </c>
      <c r="E335" t="s">
        <v>2295</v>
      </c>
      <c r="F335">
        <v>9</v>
      </c>
      <c r="G335">
        <v>197</v>
      </c>
      <c r="H335" t="str">
        <f>VLOOKUP(G335,[1]OPERADORES!$A:$B,2,0)</f>
        <v xml:space="preserve">POLIANA LORRANE DE AMORIM </v>
      </c>
      <c r="I335" t="s">
        <v>21</v>
      </c>
      <c r="J335" t="s">
        <v>2296</v>
      </c>
      <c r="K335" t="s">
        <v>2297</v>
      </c>
      <c r="L335">
        <v>84618</v>
      </c>
      <c r="M335" t="s">
        <v>2299</v>
      </c>
      <c r="O335" t="s">
        <v>11</v>
      </c>
      <c r="P335">
        <v>5403</v>
      </c>
      <c r="Q335">
        <v>2</v>
      </c>
      <c r="R335">
        <v>57.04</v>
      </c>
      <c r="S335">
        <v>114.08</v>
      </c>
      <c r="T335">
        <v>86.58</v>
      </c>
      <c r="U335">
        <v>24.11</v>
      </c>
      <c r="V335" t="str">
        <f>VLOOKUP(L335,'[2]tabela de preços'!$A:$D,4,0)</f>
        <v>BRASILUX</v>
      </c>
      <c r="W335" t="str">
        <f>VLOOKUP(L335,'[2]tabela de preços'!$A:$F,6,0)</f>
        <v>BASES IMOBILIÁRIAS</v>
      </c>
      <c r="X335" t="str">
        <f>VLOOKUP(L335,'[2]tabela de preços'!$A:$G,7,0)</f>
        <v>IMOBILIÁRIO</v>
      </c>
    </row>
    <row r="336" spans="1:24" x14ac:dyDescent="0.3">
      <c r="A336" t="s">
        <v>2293</v>
      </c>
      <c r="C336" t="s">
        <v>2294</v>
      </c>
      <c r="D336" s="1">
        <v>46028</v>
      </c>
      <c r="E336" t="s">
        <v>2295</v>
      </c>
      <c r="F336">
        <v>9</v>
      </c>
      <c r="G336">
        <v>197</v>
      </c>
      <c r="H336" t="str">
        <f>VLOOKUP(G336,[1]OPERADORES!$A:$B,2,0)</f>
        <v xml:space="preserve">POLIANA LORRANE DE AMORIM </v>
      </c>
      <c r="I336" t="s">
        <v>21</v>
      </c>
      <c r="J336" t="s">
        <v>2296</v>
      </c>
      <c r="K336" t="s">
        <v>2297</v>
      </c>
      <c r="L336">
        <v>84144</v>
      </c>
      <c r="M336" t="s">
        <v>1287</v>
      </c>
      <c r="O336" t="s">
        <v>11</v>
      </c>
      <c r="P336">
        <v>5403</v>
      </c>
      <c r="Q336">
        <v>4</v>
      </c>
      <c r="R336">
        <v>68.510000000000005</v>
      </c>
      <c r="S336">
        <v>274.04000000000002</v>
      </c>
      <c r="T336">
        <v>208</v>
      </c>
      <c r="U336">
        <v>24.1</v>
      </c>
      <c r="V336" t="str">
        <f>VLOOKUP(L336,'[2]tabela de preços'!$A:$D,4,0)</f>
        <v>BRASILUX</v>
      </c>
      <c r="W336" t="str">
        <f>VLOOKUP(L336,'[2]tabela de preços'!$A:$F,6,0)</f>
        <v>ESMALTES</v>
      </c>
      <c r="X336" t="str">
        <f>VLOOKUP(L336,'[2]tabela de preços'!$A:$G,7,0)</f>
        <v>INDUSTRIAL</v>
      </c>
    </row>
    <row r="337" spans="1:24" x14ac:dyDescent="0.3">
      <c r="A337" t="s">
        <v>2293</v>
      </c>
      <c r="C337" t="s">
        <v>2294</v>
      </c>
      <c r="D337" s="1">
        <v>46028</v>
      </c>
      <c r="E337" t="s">
        <v>2295</v>
      </c>
      <c r="F337">
        <v>9</v>
      </c>
      <c r="G337">
        <v>197</v>
      </c>
      <c r="H337" t="str">
        <f>VLOOKUP(G337,[1]OPERADORES!$A:$B,2,0)</f>
        <v xml:space="preserve">POLIANA LORRANE DE AMORIM </v>
      </c>
      <c r="I337" t="s">
        <v>21</v>
      </c>
      <c r="J337" t="s">
        <v>2296</v>
      </c>
      <c r="K337" t="s">
        <v>2297</v>
      </c>
      <c r="L337">
        <v>84146</v>
      </c>
      <c r="M337" t="s">
        <v>1707</v>
      </c>
      <c r="O337" t="s">
        <v>11</v>
      </c>
      <c r="P337">
        <v>5403</v>
      </c>
      <c r="Q337">
        <v>6</v>
      </c>
      <c r="R337">
        <v>21.56</v>
      </c>
      <c r="S337">
        <v>129.36000000000001</v>
      </c>
      <c r="T337">
        <v>98.22</v>
      </c>
      <c r="U337">
        <v>24.07</v>
      </c>
      <c r="V337" t="str">
        <f>VLOOKUP(L337,'[2]tabela de preços'!$A:$D,4,0)</f>
        <v>BRASILUX</v>
      </c>
      <c r="W337" t="str">
        <f>VLOOKUP(L337,'[2]tabela de preços'!$A:$F,6,0)</f>
        <v>ESMALTES</v>
      </c>
      <c r="X337" t="str">
        <f>VLOOKUP(L337,'[2]tabela de preços'!$A:$G,7,0)</f>
        <v>INDUSTRIAL</v>
      </c>
    </row>
    <row r="338" spans="1:24" x14ac:dyDescent="0.3">
      <c r="A338" t="s">
        <v>2293</v>
      </c>
      <c r="C338" t="s">
        <v>2294</v>
      </c>
      <c r="D338" s="1">
        <v>46028</v>
      </c>
      <c r="E338" t="s">
        <v>2295</v>
      </c>
      <c r="F338">
        <v>9</v>
      </c>
      <c r="G338">
        <v>197</v>
      </c>
      <c r="H338" t="str">
        <f>VLOOKUP(G338,[1]OPERADORES!$A:$B,2,0)</f>
        <v xml:space="preserve">POLIANA LORRANE DE AMORIM </v>
      </c>
      <c r="I338" t="s">
        <v>21</v>
      </c>
      <c r="J338" t="s">
        <v>2296</v>
      </c>
      <c r="K338" t="s">
        <v>2297</v>
      </c>
      <c r="L338">
        <v>84147</v>
      </c>
      <c r="M338" t="s">
        <v>1717</v>
      </c>
      <c r="O338" t="s">
        <v>11</v>
      </c>
      <c r="P338">
        <v>5403</v>
      </c>
      <c r="Q338">
        <v>3</v>
      </c>
      <c r="R338">
        <v>19.41</v>
      </c>
      <c r="S338">
        <v>58.23</v>
      </c>
      <c r="T338">
        <v>44.19</v>
      </c>
      <c r="U338">
        <v>24.11</v>
      </c>
      <c r="V338" t="str">
        <f>VLOOKUP(L338,'[2]tabela de preços'!$A:$D,4,0)</f>
        <v>BRASILUX</v>
      </c>
      <c r="W338" t="str">
        <f>VLOOKUP(L338,'[2]tabela de preços'!$A:$F,6,0)</f>
        <v>ESMALTES</v>
      </c>
      <c r="X338" t="str">
        <f>VLOOKUP(L338,'[2]tabela de preços'!$A:$G,7,0)</f>
        <v>INDUSTRIAL</v>
      </c>
    </row>
    <row r="339" spans="1:24" x14ac:dyDescent="0.3">
      <c r="A339" t="s">
        <v>2293</v>
      </c>
      <c r="C339" t="s">
        <v>2294</v>
      </c>
      <c r="D339" s="1">
        <v>46028</v>
      </c>
      <c r="E339" t="s">
        <v>2295</v>
      </c>
      <c r="F339">
        <v>9</v>
      </c>
      <c r="G339">
        <v>197</v>
      </c>
      <c r="H339" t="str">
        <f>VLOOKUP(G339,[1]OPERADORES!$A:$B,2,0)</f>
        <v xml:space="preserve">POLIANA LORRANE DE AMORIM </v>
      </c>
      <c r="I339" t="s">
        <v>21</v>
      </c>
      <c r="J339" t="s">
        <v>2296</v>
      </c>
      <c r="K339" t="s">
        <v>2297</v>
      </c>
      <c r="L339">
        <v>84175</v>
      </c>
      <c r="M339" t="s">
        <v>1429</v>
      </c>
      <c r="O339" t="s">
        <v>11</v>
      </c>
      <c r="P339">
        <v>5403</v>
      </c>
      <c r="Q339">
        <v>1</v>
      </c>
      <c r="R339">
        <v>91.77</v>
      </c>
      <c r="S339">
        <v>91.77</v>
      </c>
      <c r="T339">
        <v>69.66</v>
      </c>
      <c r="U339">
        <v>24.09</v>
      </c>
      <c r="V339" t="str">
        <f>VLOOKUP(L339,'[2]tabela de preços'!$A:$D,4,0)</f>
        <v>BRASILUX</v>
      </c>
      <c r="W339" t="str">
        <f>VLOOKUP(L339,'[2]tabela de preços'!$A:$F,6,0)</f>
        <v>ESMALTES</v>
      </c>
      <c r="X339" t="str">
        <f>VLOOKUP(L339,'[2]tabela de preços'!$A:$G,7,0)</f>
        <v>INDUSTRIAL</v>
      </c>
    </row>
    <row r="340" spans="1:24" x14ac:dyDescent="0.3">
      <c r="A340" t="s">
        <v>2293</v>
      </c>
      <c r="C340" t="s">
        <v>2294</v>
      </c>
      <c r="D340" s="1">
        <v>46028</v>
      </c>
      <c r="E340" t="s">
        <v>2295</v>
      </c>
      <c r="F340">
        <v>9</v>
      </c>
      <c r="G340">
        <v>197</v>
      </c>
      <c r="H340" t="str">
        <f>VLOOKUP(G340,[1]OPERADORES!$A:$B,2,0)</f>
        <v xml:space="preserve">POLIANA LORRANE DE AMORIM </v>
      </c>
      <c r="I340" t="s">
        <v>21</v>
      </c>
      <c r="J340" t="s">
        <v>2296</v>
      </c>
      <c r="K340" t="s">
        <v>2297</v>
      </c>
      <c r="L340">
        <v>86995</v>
      </c>
      <c r="M340" t="s">
        <v>37</v>
      </c>
      <c r="O340" t="s">
        <v>11</v>
      </c>
      <c r="P340">
        <v>5102</v>
      </c>
      <c r="Q340">
        <v>12</v>
      </c>
      <c r="R340">
        <v>7.39</v>
      </c>
      <c r="S340">
        <v>88.68</v>
      </c>
      <c r="T340">
        <v>69.959999999999994</v>
      </c>
      <c r="U340">
        <v>21.11</v>
      </c>
      <c r="V340" t="str">
        <f>VLOOKUP(L340,'[2]tabela de preços'!$A:$D,4,0)</f>
        <v>AUTOAMERICA</v>
      </c>
      <c r="W340" t="str">
        <f>VLOOKUP(L340,'[2]tabela de preços'!$A:$F,6,0)</f>
        <v>FLANELAS / PANOS</v>
      </c>
      <c r="X340" t="str">
        <f>VLOOKUP(L340,'[2]tabela de preços'!$A:$G,7,0)</f>
        <v>AUTOMOTIVO</v>
      </c>
    </row>
    <row r="341" spans="1:24" x14ac:dyDescent="0.3">
      <c r="A341" t="s">
        <v>2293</v>
      </c>
      <c r="C341" t="s">
        <v>2294</v>
      </c>
      <c r="D341" s="1">
        <v>46028</v>
      </c>
      <c r="E341" t="s">
        <v>2295</v>
      </c>
      <c r="F341">
        <v>9</v>
      </c>
      <c r="G341">
        <v>197</v>
      </c>
      <c r="H341" t="str">
        <f>VLOOKUP(G341,[1]OPERADORES!$A:$B,2,0)</f>
        <v xml:space="preserve">POLIANA LORRANE DE AMORIM </v>
      </c>
      <c r="I341" t="s">
        <v>21</v>
      </c>
      <c r="J341" t="s">
        <v>2296</v>
      </c>
      <c r="K341" t="s">
        <v>2297</v>
      </c>
      <c r="L341">
        <v>84046</v>
      </c>
      <c r="M341" t="s">
        <v>754</v>
      </c>
      <c r="O341" t="s">
        <v>11</v>
      </c>
      <c r="P341">
        <v>5102</v>
      </c>
      <c r="Q341">
        <v>3</v>
      </c>
      <c r="R341">
        <v>11.84</v>
      </c>
      <c r="S341">
        <v>35.520000000000003</v>
      </c>
      <c r="T341">
        <v>26.97</v>
      </c>
      <c r="U341">
        <v>24.07</v>
      </c>
      <c r="V341" t="str">
        <f>VLOOKUP(L341,'[2]tabela de preços'!$A:$D,4,0)</f>
        <v>BRASILUX</v>
      </c>
      <c r="W341" t="str">
        <f>VLOOKUP(L341,'[2]tabela de preços'!$A:$F,6,0)</f>
        <v>MASSA DE POLIR</v>
      </c>
      <c r="X341" t="str">
        <f>VLOOKUP(L341,'[2]tabela de preços'!$A:$G,7,0)</f>
        <v>AUTOMOTIVO</v>
      </c>
    </row>
    <row r="342" spans="1:24" x14ac:dyDescent="0.3">
      <c r="A342" t="s">
        <v>2293</v>
      </c>
      <c r="C342" t="s">
        <v>2294</v>
      </c>
      <c r="D342" s="1">
        <v>46028</v>
      </c>
      <c r="E342" t="s">
        <v>2295</v>
      </c>
      <c r="F342">
        <v>9</v>
      </c>
      <c r="G342">
        <v>197</v>
      </c>
      <c r="H342" t="str">
        <f>VLOOKUP(G342,[1]OPERADORES!$A:$B,2,0)</f>
        <v xml:space="preserve">POLIANA LORRANE DE AMORIM </v>
      </c>
      <c r="I342" t="s">
        <v>21</v>
      </c>
      <c r="J342" t="s">
        <v>2296</v>
      </c>
      <c r="K342" t="s">
        <v>2297</v>
      </c>
      <c r="L342">
        <v>85698</v>
      </c>
      <c r="M342" t="s">
        <v>1946</v>
      </c>
      <c r="O342" t="s">
        <v>11</v>
      </c>
      <c r="P342">
        <v>5102</v>
      </c>
      <c r="Q342">
        <v>2</v>
      </c>
      <c r="R342">
        <v>136.82</v>
      </c>
      <c r="S342">
        <v>273.64</v>
      </c>
      <c r="T342">
        <v>207.72</v>
      </c>
      <c r="U342">
        <v>24.09</v>
      </c>
      <c r="V342" t="str">
        <f>VLOOKUP(L342,'[2]tabela de preços'!$A:$D,4,0)</f>
        <v>SIMAPPEL</v>
      </c>
      <c r="W342" t="str">
        <f>VLOOKUP(L342,'[2]tabela de preços'!$A:$F,6,0)</f>
        <v>PAPELAO ONDULADO</v>
      </c>
      <c r="X342" t="str">
        <f>VLOOKUP(L342,'[2]tabela de preços'!$A:$G,7,0)</f>
        <v>IMOBILIÁRIO</v>
      </c>
    </row>
    <row r="343" spans="1:24" x14ac:dyDescent="0.3">
      <c r="A343" t="s">
        <v>2293</v>
      </c>
      <c r="C343" t="s">
        <v>2294</v>
      </c>
      <c r="D343" s="1">
        <v>46028</v>
      </c>
      <c r="E343" t="s">
        <v>2295</v>
      </c>
      <c r="F343">
        <v>9</v>
      </c>
      <c r="G343">
        <v>197</v>
      </c>
      <c r="H343" t="str">
        <f>VLOOKUP(G343,[1]OPERADORES!$A:$B,2,0)</f>
        <v xml:space="preserve">POLIANA LORRANE DE AMORIM </v>
      </c>
      <c r="I343" t="s">
        <v>21</v>
      </c>
      <c r="J343" t="s">
        <v>2296</v>
      </c>
      <c r="K343" t="s">
        <v>2297</v>
      </c>
      <c r="L343">
        <v>85698</v>
      </c>
      <c r="M343" t="s">
        <v>1946</v>
      </c>
      <c r="O343" t="s">
        <v>11</v>
      </c>
      <c r="P343">
        <v>5102</v>
      </c>
      <c r="Q343">
        <v>1</v>
      </c>
      <c r="R343">
        <v>136.83000000000001</v>
      </c>
      <c r="S343">
        <v>136.83000000000001</v>
      </c>
      <c r="T343">
        <v>103.86</v>
      </c>
      <c r="U343">
        <v>24.1</v>
      </c>
      <c r="V343" t="str">
        <f>VLOOKUP(L343,'[2]tabela de preços'!$A:$D,4,0)</f>
        <v>SIMAPPEL</v>
      </c>
      <c r="W343" t="str">
        <f>VLOOKUP(L343,'[2]tabela de preços'!$A:$F,6,0)</f>
        <v>PAPELAO ONDULADO</v>
      </c>
      <c r="X343" t="str">
        <f>VLOOKUP(L343,'[2]tabela de preços'!$A:$G,7,0)</f>
        <v>IMOBILIÁRIO</v>
      </c>
    </row>
    <row r="344" spans="1:24" x14ac:dyDescent="0.3">
      <c r="A344" t="s">
        <v>2306</v>
      </c>
      <c r="C344" t="s">
        <v>2307</v>
      </c>
      <c r="D344" s="1">
        <v>46028</v>
      </c>
      <c r="E344" t="s">
        <v>2308</v>
      </c>
      <c r="F344">
        <v>9</v>
      </c>
      <c r="G344">
        <v>230</v>
      </c>
      <c r="H344" t="str">
        <f>VLOOKUP(G344,[1]OPERADORES!$A:$B,2,0)</f>
        <v>SÔNIA</v>
      </c>
      <c r="I344" t="s">
        <v>21</v>
      </c>
      <c r="J344" t="s">
        <v>2309</v>
      </c>
      <c r="K344" t="s">
        <v>2310</v>
      </c>
      <c r="L344">
        <v>84219</v>
      </c>
      <c r="M344" t="s">
        <v>878</v>
      </c>
      <c r="O344" t="s">
        <v>11</v>
      </c>
      <c r="P344">
        <v>5403</v>
      </c>
      <c r="Q344">
        <v>3</v>
      </c>
      <c r="R344">
        <v>52.58</v>
      </c>
      <c r="S344">
        <v>157.74</v>
      </c>
      <c r="T344">
        <v>120.09</v>
      </c>
      <c r="U344">
        <v>23.87</v>
      </c>
      <c r="V344" t="str">
        <f>VLOOKUP(L344,'[2]tabela de preços'!$A:$D,4,0)</f>
        <v>BRASILUX</v>
      </c>
      <c r="W344" t="str">
        <f>VLOOKUP(L344,'[2]tabela de preços'!$A:$F,6,0)</f>
        <v>ESMALTES</v>
      </c>
      <c r="X344" t="str">
        <f>VLOOKUP(L344,'[2]tabela de preços'!$A:$G,7,0)</f>
        <v>INDUSTRIAL</v>
      </c>
    </row>
    <row r="345" spans="1:24" x14ac:dyDescent="0.3">
      <c r="A345" t="s">
        <v>2306</v>
      </c>
      <c r="C345" t="s">
        <v>2307</v>
      </c>
      <c r="D345" s="1">
        <v>46028</v>
      </c>
      <c r="E345" t="s">
        <v>2308</v>
      </c>
      <c r="F345">
        <v>9</v>
      </c>
      <c r="G345">
        <v>230</v>
      </c>
      <c r="H345" t="str">
        <f>VLOOKUP(G345,[1]OPERADORES!$A:$B,2,0)</f>
        <v>SÔNIA</v>
      </c>
      <c r="I345" t="s">
        <v>21</v>
      </c>
      <c r="J345" t="s">
        <v>2309</v>
      </c>
      <c r="K345" t="s">
        <v>2310</v>
      </c>
      <c r="L345">
        <v>84218</v>
      </c>
      <c r="M345" t="s">
        <v>879</v>
      </c>
      <c r="O345" t="s">
        <v>11</v>
      </c>
      <c r="P345">
        <v>5403</v>
      </c>
      <c r="Q345">
        <v>2</v>
      </c>
      <c r="R345">
        <v>56.91</v>
      </c>
      <c r="S345">
        <v>113.82</v>
      </c>
      <c r="T345">
        <v>86.7</v>
      </c>
      <c r="U345">
        <v>23.83</v>
      </c>
      <c r="V345" t="str">
        <f>VLOOKUP(L345,'[2]tabela de preços'!$A:$D,4,0)</f>
        <v>BRASILUX</v>
      </c>
      <c r="W345" t="str">
        <f>VLOOKUP(L345,'[2]tabela de preços'!$A:$F,6,0)</f>
        <v>ESMALTES</v>
      </c>
      <c r="X345" t="str">
        <f>VLOOKUP(L345,'[2]tabela de preços'!$A:$G,7,0)</f>
        <v>INDUSTRIAL</v>
      </c>
    </row>
    <row r="346" spans="1:24" x14ac:dyDescent="0.3">
      <c r="A346" t="s">
        <v>2306</v>
      </c>
      <c r="C346" t="s">
        <v>2307</v>
      </c>
      <c r="D346" s="1">
        <v>46028</v>
      </c>
      <c r="E346" t="s">
        <v>2308</v>
      </c>
      <c r="F346">
        <v>9</v>
      </c>
      <c r="G346">
        <v>230</v>
      </c>
      <c r="H346" t="str">
        <f>VLOOKUP(G346,[1]OPERADORES!$A:$B,2,0)</f>
        <v>SÔNIA</v>
      </c>
      <c r="I346" t="s">
        <v>21</v>
      </c>
      <c r="J346" t="s">
        <v>2309</v>
      </c>
      <c r="K346" t="s">
        <v>2310</v>
      </c>
      <c r="L346">
        <v>84222</v>
      </c>
      <c r="M346" t="s">
        <v>1548</v>
      </c>
      <c r="O346" t="s">
        <v>11</v>
      </c>
      <c r="P346">
        <v>5403</v>
      </c>
      <c r="Q346">
        <v>3</v>
      </c>
      <c r="R346">
        <v>16.739999999999998</v>
      </c>
      <c r="S346">
        <v>50.22</v>
      </c>
      <c r="T346">
        <v>38.25</v>
      </c>
      <c r="U346">
        <v>23.84</v>
      </c>
      <c r="V346" t="str">
        <f>VLOOKUP(L346,'[2]tabela de preços'!$A:$D,4,0)</f>
        <v>BRASILUX</v>
      </c>
      <c r="W346" t="str">
        <f>VLOOKUP(L346,'[2]tabela de preços'!$A:$F,6,0)</f>
        <v>ESMALTES</v>
      </c>
      <c r="X346" t="str">
        <f>VLOOKUP(L346,'[2]tabela de preços'!$A:$G,7,0)</f>
        <v>INDUSTRIAL</v>
      </c>
    </row>
    <row r="347" spans="1:24" x14ac:dyDescent="0.3">
      <c r="A347" t="s">
        <v>393</v>
      </c>
      <c r="B347" t="s">
        <v>394</v>
      </c>
      <c r="C347" t="s">
        <v>400</v>
      </c>
      <c r="D347" s="1">
        <v>46029</v>
      </c>
      <c r="E347" t="s">
        <v>401</v>
      </c>
      <c r="F347">
        <v>9</v>
      </c>
      <c r="G347">
        <v>174</v>
      </c>
      <c r="H347" t="str">
        <f>VLOOKUP(G347,[1]OPERADORES!$A:$B,2,0)</f>
        <v>MIRIÃ LOBATO RODRIGUES</v>
      </c>
      <c r="I347" t="s">
        <v>21</v>
      </c>
      <c r="J347" t="s">
        <v>397</v>
      </c>
      <c r="K347" t="s">
        <v>398</v>
      </c>
      <c r="L347">
        <v>23105</v>
      </c>
      <c r="M347" t="s">
        <v>402</v>
      </c>
      <c r="O347" t="s">
        <v>11</v>
      </c>
      <c r="P347">
        <v>5102</v>
      </c>
      <c r="Q347">
        <v>20</v>
      </c>
      <c r="R347">
        <v>2.35</v>
      </c>
      <c r="S347">
        <v>47</v>
      </c>
      <c r="T347">
        <v>38.4</v>
      </c>
      <c r="U347">
        <v>18.3</v>
      </c>
      <c r="V347" t="str">
        <f>VLOOKUP(L347,'[2]tabela de preços'!$A:$D,4,0)</f>
        <v>3M</v>
      </c>
      <c r="W347" t="str">
        <f>VLOOKUP(L347,'[2]tabela de preços'!$A:$F,6,0)</f>
        <v xml:space="preserve">DISCOS / LIXAS / ABRASIVOS </v>
      </c>
      <c r="X347" t="str">
        <f>VLOOKUP(L347,'[2]tabela de preços'!$A:$G,7,0)</f>
        <v>AUTOMOTIVO</v>
      </c>
    </row>
    <row r="348" spans="1:24" x14ac:dyDescent="0.3">
      <c r="A348" t="s">
        <v>393</v>
      </c>
      <c r="B348" t="s">
        <v>394</v>
      </c>
      <c r="C348" t="s">
        <v>400</v>
      </c>
      <c r="D348" s="1">
        <v>46029</v>
      </c>
      <c r="E348" t="s">
        <v>401</v>
      </c>
      <c r="F348">
        <v>9</v>
      </c>
      <c r="G348">
        <v>174</v>
      </c>
      <c r="H348" t="str">
        <f>VLOOKUP(G348,[1]OPERADORES!$A:$B,2,0)</f>
        <v>MIRIÃ LOBATO RODRIGUES</v>
      </c>
      <c r="I348" t="s">
        <v>21</v>
      </c>
      <c r="J348" t="s">
        <v>397</v>
      </c>
      <c r="K348" t="s">
        <v>398</v>
      </c>
      <c r="L348">
        <v>23106</v>
      </c>
      <c r="M348" t="s">
        <v>403</v>
      </c>
      <c r="O348" t="s">
        <v>11</v>
      </c>
      <c r="P348">
        <v>5102</v>
      </c>
      <c r="Q348">
        <v>20</v>
      </c>
      <c r="R348">
        <v>2.35</v>
      </c>
      <c r="S348">
        <v>47</v>
      </c>
      <c r="T348">
        <v>38.4</v>
      </c>
      <c r="U348">
        <v>18.3</v>
      </c>
      <c r="V348" t="str">
        <f>VLOOKUP(L348,'[2]tabela de preços'!$A:$D,4,0)</f>
        <v>3M</v>
      </c>
      <c r="W348" t="str">
        <f>VLOOKUP(L348,'[2]tabela de preços'!$A:$F,6,0)</f>
        <v xml:space="preserve">DISCOS / LIXAS / ABRASIVOS </v>
      </c>
      <c r="X348" t="str">
        <f>VLOOKUP(L348,'[2]tabela de preços'!$A:$G,7,0)</f>
        <v>AUTOMOTIVO</v>
      </c>
    </row>
    <row r="349" spans="1:24" x14ac:dyDescent="0.3">
      <c r="A349" t="s">
        <v>393</v>
      </c>
      <c r="B349" t="s">
        <v>394</v>
      </c>
      <c r="C349" t="s">
        <v>400</v>
      </c>
      <c r="D349" s="1">
        <v>46029</v>
      </c>
      <c r="E349" t="s">
        <v>401</v>
      </c>
      <c r="F349">
        <v>9</v>
      </c>
      <c r="G349">
        <v>174</v>
      </c>
      <c r="H349" t="str">
        <f>VLOOKUP(G349,[1]OPERADORES!$A:$B,2,0)</f>
        <v>MIRIÃ LOBATO RODRIGUES</v>
      </c>
      <c r="I349" t="s">
        <v>21</v>
      </c>
      <c r="J349" t="s">
        <v>397</v>
      </c>
      <c r="K349" t="s">
        <v>398</v>
      </c>
      <c r="L349">
        <v>22180</v>
      </c>
      <c r="M349" t="s">
        <v>404</v>
      </c>
      <c r="O349" t="s">
        <v>11</v>
      </c>
      <c r="P349">
        <v>5102</v>
      </c>
      <c r="Q349">
        <v>2</v>
      </c>
      <c r="R349">
        <v>22.69</v>
      </c>
      <c r="S349">
        <v>45.38</v>
      </c>
      <c r="T349">
        <v>29.28</v>
      </c>
      <c r="U349">
        <v>35.479999999999997</v>
      </c>
      <c r="V349" t="str">
        <f>VLOOKUP(L349,'[2]tabela de preços'!$A:$D,4,0)</f>
        <v>MADRUGA</v>
      </c>
      <c r="W349" t="str">
        <f>VLOOKUP(L349,'[2]tabela de preços'!$A:$F,6,0)</f>
        <v>PAPEL DE MASCARAMENTO</v>
      </c>
      <c r="X349" t="str">
        <f>VLOOKUP(L349,'[2]tabela de preços'!$A:$G,7,0)</f>
        <v>AUTOMOTIVO</v>
      </c>
    </row>
    <row r="350" spans="1:24" x14ac:dyDescent="0.3">
      <c r="A350" t="s">
        <v>479</v>
      </c>
      <c r="B350" t="s">
        <v>480</v>
      </c>
      <c r="C350" t="s">
        <v>481</v>
      </c>
      <c r="D350" s="1">
        <v>46029</v>
      </c>
      <c r="E350" t="s">
        <v>482</v>
      </c>
      <c r="F350">
        <v>9</v>
      </c>
      <c r="G350">
        <v>230</v>
      </c>
      <c r="H350" t="str">
        <f>VLOOKUP(G350,[1]OPERADORES!$A:$B,2,0)</f>
        <v>SÔNIA</v>
      </c>
      <c r="I350" t="s">
        <v>21</v>
      </c>
      <c r="J350" t="s">
        <v>483</v>
      </c>
      <c r="K350" t="s">
        <v>484</v>
      </c>
      <c r="L350">
        <v>85315</v>
      </c>
      <c r="M350" t="s">
        <v>485</v>
      </c>
      <c r="O350" t="s">
        <v>11</v>
      </c>
      <c r="P350">
        <v>5102</v>
      </c>
      <c r="Q350">
        <v>2</v>
      </c>
      <c r="R350">
        <v>569.72</v>
      </c>
      <c r="S350" s="2">
        <v>1139.44</v>
      </c>
      <c r="T350">
        <v>812.44</v>
      </c>
      <c r="U350">
        <v>28.7</v>
      </c>
      <c r="V350" t="str">
        <f>VLOOKUP(L350,'[2]tabela de preços'!$A:$D,4,0)</f>
        <v>BRASILUX</v>
      </c>
      <c r="W350" t="str">
        <f>VLOOKUP(L350,'[2]tabela de preços'!$A:$F,6,0)</f>
        <v>TINTA EM PÓ</v>
      </c>
      <c r="X350" t="str">
        <f>VLOOKUP(L350,'[2]tabela de preços'!$A:$G,7,0)</f>
        <v>INDUSTRIAL</v>
      </c>
    </row>
    <row r="351" spans="1:24" x14ac:dyDescent="0.3">
      <c r="A351" t="s">
        <v>528</v>
      </c>
      <c r="C351" t="s">
        <v>529</v>
      </c>
      <c r="D351" s="1">
        <v>46029</v>
      </c>
      <c r="E351" t="s">
        <v>530</v>
      </c>
      <c r="F351">
        <v>9</v>
      </c>
      <c r="G351">
        <v>231</v>
      </c>
      <c r="H351" t="str">
        <f>VLOOKUP(G351,[1]OPERADORES!$A:$B,2,0)</f>
        <v>EDIJANE</v>
      </c>
      <c r="I351" t="s">
        <v>21</v>
      </c>
      <c r="J351" t="s">
        <v>531</v>
      </c>
      <c r="K351" t="s">
        <v>532</v>
      </c>
      <c r="L351">
        <v>84498</v>
      </c>
      <c r="M351" t="s">
        <v>533</v>
      </c>
      <c r="O351" t="s">
        <v>11</v>
      </c>
      <c r="P351">
        <v>5403</v>
      </c>
      <c r="Q351">
        <v>3</v>
      </c>
      <c r="R351">
        <v>412.35</v>
      </c>
      <c r="S351" s="2">
        <v>1237.05</v>
      </c>
      <c r="T351">
        <v>938.94</v>
      </c>
      <c r="U351">
        <v>24.1</v>
      </c>
      <c r="V351" t="str">
        <f>VLOOKUP(L351,'[2]tabela de preços'!$A:$D,4,0)</f>
        <v>BRASILUX</v>
      </c>
      <c r="W351" t="str">
        <f>VLOOKUP(L351,'[2]tabela de preços'!$A:$F,6,0)</f>
        <v>ESMALTES</v>
      </c>
      <c r="X351" t="str">
        <f>VLOOKUP(L351,'[2]tabela de preços'!$A:$G,7,0)</f>
        <v>INDUSTRIAL</v>
      </c>
    </row>
    <row r="352" spans="1:24" x14ac:dyDescent="0.3">
      <c r="A352" t="s">
        <v>528</v>
      </c>
      <c r="C352" t="s">
        <v>529</v>
      </c>
      <c r="D352" s="1">
        <v>46029</v>
      </c>
      <c r="E352" t="s">
        <v>530</v>
      </c>
      <c r="F352">
        <v>9</v>
      </c>
      <c r="G352">
        <v>231</v>
      </c>
      <c r="H352" t="str">
        <f>VLOOKUP(G352,[1]OPERADORES!$A:$B,2,0)</f>
        <v>EDIJANE</v>
      </c>
      <c r="I352" t="s">
        <v>21</v>
      </c>
      <c r="J352" t="s">
        <v>531</v>
      </c>
      <c r="K352" t="s">
        <v>532</v>
      </c>
      <c r="L352">
        <v>84499</v>
      </c>
      <c r="M352" t="s">
        <v>534</v>
      </c>
      <c r="O352" t="s">
        <v>11</v>
      </c>
      <c r="P352">
        <v>5102</v>
      </c>
      <c r="Q352">
        <v>3</v>
      </c>
      <c r="R352">
        <v>176.61</v>
      </c>
      <c r="S352">
        <v>529.83000000000004</v>
      </c>
      <c r="T352">
        <v>402.15</v>
      </c>
      <c r="U352">
        <v>24.1</v>
      </c>
      <c r="V352" t="str">
        <f>VLOOKUP(L352,'[2]tabela de preços'!$A:$D,4,0)</f>
        <v>BRASILUX</v>
      </c>
      <c r="W352" t="str">
        <f>VLOOKUP(L352,'[2]tabela de preços'!$A:$F,6,0)</f>
        <v>THINNER DE LIMPEZA</v>
      </c>
      <c r="X352" t="str">
        <f>VLOOKUP(L352,'[2]tabela de preços'!$A:$G,7,0)</f>
        <v>THINNER</v>
      </c>
    </row>
    <row r="353" spans="1:24" x14ac:dyDescent="0.3">
      <c r="A353" t="s">
        <v>528</v>
      </c>
      <c r="C353" t="s">
        <v>535</v>
      </c>
      <c r="D353" s="1">
        <v>46029</v>
      </c>
      <c r="E353" t="s">
        <v>536</v>
      </c>
      <c r="F353">
        <v>9</v>
      </c>
      <c r="G353">
        <v>231</v>
      </c>
      <c r="H353" t="str">
        <f>VLOOKUP(G353,[1]OPERADORES!$A:$B,2,0)</f>
        <v>EDIJANE</v>
      </c>
      <c r="I353" t="s">
        <v>21</v>
      </c>
      <c r="J353" t="s">
        <v>531</v>
      </c>
      <c r="K353" t="s">
        <v>532</v>
      </c>
      <c r="L353">
        <v>85316</v>
      </c>
      <c r="M353" t="s">
        <v>365</v>
      </c>
      <c r="O353" t="s">
        <v>11</v>
      </c>
      <c r="P353">
        <v>5102</v>
      </c>
      <c r="Q353">
        <v>1</v>
      </c>
      <c r="R353">
        <v>668</v>
      </c>
      <c r="S353">
        <v>668</v>
      </c>
      <c r="T353">
        <v>478.31</v>
      </c>
      <c r="U353">
        <v>28.4</v>
      </c>
      <c r="V353" t="str">
        <f>VLOOKUP(L353,'[2]tabela de preços'!$A:$D,4,0)</f>
        <v>BRASILUX</v>
      </c>
      <c r="W353" t="str">
        <f>VLOOKUP(L353,'[2]tabela de preços'!$A:$F,6,0)</f>
        <v>TINTA EM PÓ</v>
      </c>
      <c r="X353" t="str">
        <f>VLOOKUP(L353,'[2]tabela de preços'!$A:$G,7,0)</f>
        <v>INDUSTRIAL</v>
      </c>
    </row>
    <row r="354" spans="1:24" x14ac:dyDescent="0.3">
      <c r="A354" t="s">
        <v>626</v>
      </c>
      <c r="B354" t="s">
        <v>627</v>
      </c>
      <c r="C354" t="s">
        <v>634</v>
      </c>
      <c r="D354" s="1">
        <v>46029</v>
      </c>
      <c r="E354" t="s">
        <v>635</v>
      </c>
      <c r="F354">
        <v>9</v>
      </c>
      <c r="G354">
        <v>174</v>
      </c>
      <c r="H354" t="str">
        <f>VLOOKUP(G354,[1]OPERADORES!$A:$B,2,0)</f>
        <v>MIRIÃ LOBATO RODRIGUES</v>
      </c>
      <c r="I354" t="s">
        <v>21</v>
      </c>
      <c r="J354" t="s">
        <v>630</v>
      </c>
      <c r="K354" t="s">
        <v>631</v>
      </c>
      <c r="L354">
        <v>23101</v>
      </c>
      <c r="M354" t="s">
        <v>410</v>
      </c>
      <c r="O354" t="s">
        <v>411</v>
      </c>
      <c r="P354">
        <v>5102</v>
      </c>
      <c r="Q354">
        <v>25</v>
      </c>
      <c r="R354">
        <v>2.35</v>
      </c>
      <c r="S354">
        <v>58.75</v>
      </c>
      <c r="T354">
        <v>42.25</v>
      </c>
      <c r="U354">
        <v>28.09</v>
      </c>
      <c r="V354" t="str">
        <f>VLOOKUP(L354,'[2]tabela de preços'!$A:$D,4,0)</f>
        <v>3M</v>
      </c>
      <c r="W354" t="str">
        <f>VLOOKUP(L354,'[2]tabela de preços'!$A:$F,6,0)</f>
        <v xml:space="preserve">DISCOS / LIXAS / ABRASIVOS </v>
      </c>
      <c r="X354" t="str">
        <f>VLOOKUP(L354,'[2]tabela de preços'!$A:$G,7,0)</f>
        <v>AUTOMOTIVO</v>
      </c>
    </row>
    <row r="355" spans="1:24" x14ac:dyDescent="0.3">
      <c r="A355" t="s">
        <v>626</v>
      </c>
      <c r="B355" t="s">
        <v>627</v>
      </c>
      <c r="C355" t="s">
        <v>634</v>
      </c>
      <c r="D355" s="1">
        <v>46029</v>
      </c>
      <c r="E355" t="s">
        <v>635</v>
      </c>
      <c r="F355">
        <v>9</v>
      </c>
      <c r="G355">
        <v>174</v>
      </c>
      <c r="H355" t="str">
        <f>VLOOKUP(G355,[1]OPERADORES!$A:$B,2,0)</f>
        <v>MIRIÃ LOBATO RODRIGUES</v>
      </c>
      <c r="I355" t="s">
        <v>21</v>
      </c>
      <c r="J355" t="s">
        <v>630</v>
      </c>
      <c r="K355" t="s">
        <v>631</v>
      </c>
      <c r="L355">
        <v>23099</v>
      </c>
      <c r="M355" t="s">
        <v>420</v>
      </c>
      <c r="O355" t="s">
        <v>411</v>
      </c>
      <c r="P355">
        <v>5102</v>
      </c>
      <c r="Q355">
        <v>25</v>
      </c>
      <c r="R355">
        <v>2.35</v>
      </c>
      <c r="S355">
        <v>58.75</v>
      </c>
      <c r="T355">
        <v>42.25</v>
      </c>
      <c r="U355">
        <v>28.09</v>
      </c>
      <c r="V355" t="str">
        <f>VLOOKUP(L355,'[2]tabela de preços'!$A:$D,4,0)</f>
        <v>3M</v>
      </c>
      <c r="W355" t="str">
        <f>VLOOKUP(L355,'[2]tabela de preços'!$A:$F,6,0)</f>
        <v xml:space="preserve">DISCOS / LIXAS / ABRASIVOS </v>
      </c>
      <c r="X355" t="str">
        <f>VLOOKUP(L355,'[2]tabela de preços'!$A:$G,7,0)</f>
        <v>AUTOMOTIVO</v>
      </c>
    </row>
    <row r="356" spans="1:24" x14ac:dyDescent="0.3">
      <c r="A356" t="s">
        <v>626</v>
      </c>
      <c r="B356" t="s">
        <v>627</v>
      </c>
      <c r="C356" t="s">
        <v>634</v>
      </c>
      <c r="D356" s="1">
        <v>46029</v>
      </c>
      <c r="E356" t="s">
        <v>635</v>
      </c>
      <c r="F356">
        <v>9</v>
      </c>
      <c r="G356">
        <v>174</v>
      </c>
      <c r="H356" t="str">
        <f>VLOOKUP(G356,[1]OPERADORES!$A:$B,2,0)</f>
        <v>MIRIÃ LOBATO RODRIGUES</v>
      </c>
      <c r="I356" t="s">
        <v>21</v>
      </c>
      <c r="J356" t="s">
        <v>630</v>
      </c>
      <c r="K356" t="s">
        <v>631</v>
      </c>
      <c r="L356">
        <v>23097</v>
      </c>
      <c r="M356" t="s">
        <v>412</v>
      </c>
      <c r="O356" t="s">
        <v>411</v>
      </c>
      <c r="P356">
        <v>5102</v>
      </c>
      <c r="Q356">
        <v>25</v>
      </c>
      <c r="R356">
        <v>2.35</v>
      </c>
      <c r="S356">
        <v>58.75</v>
      </c>
      <c r="T356">
        <v>34</v>
      </c>
      <c r="U356">
        <v>42.13</v>
      </c>
      <c r="V356" t="str">
        <f>VLOOKUP(L356,'[2]tabela de preços'!$A:$D,4,0)</f>
        <v>3M</v>
      </c>
      <c r="W356" t="str">
        <f>VLOOKUP(L356,'[2]tabela de preços'!$A:$F,6,0)</f>
        <v xml:space="preserve">DISCOS / LIXAS / ABRASIVOS </v>
      </c>
      <c r="X356" t="str">
        <f>VLOOKUP(L356,'[2]tabela de preços'!$A:$G,7,0)</f>
        <v>AUTOMOTIVO</v>
      </c>
    </row>
    <row r="357" spans="1:24" x14ac:dyDescent="0.3">
      <c r="A357" t="s">
        <v>626</v>
      </c>
      <c r="B357" t="s">
        <v>627</v>
      </c>
      <c r="C357" t="s">
        <v>636</v>
      </c>
      <c r="D357" s="1">
        <v>46029</v>
      </c>
      <c r="E357" t="s">
        <v>637</v>
      </c>
      <c r="F357">
        <v>9</v>
      </c>
      <c r="G357">
        <v>174</v>
      </c>
      <c r="H357" t="str">
        <f>VLOOKUP(G357,[1]OPERADORES!$A:$B,2,0)</f>
        <v>MIRIÃ LOBATO RODRIGUES</v>
      </c>
      <c r="I357" t="s">
        <v>21</v>
      </c>
      <c r="J357" t="s">
        <v>630</v>
      </c>
      <c r="K357" t="s">
        <v>631</v>
      </c>
      <c r="L357">
        <v>10236</v>
      </c>
      <c r="M357" t="s">
        <v>133</v>
      </c>
      <c r="O357" t="s">
        <v>11</v>
      </c>
      <c r="P357">
        <v>5102</v>
      </c>
      <c r="Q357">
        <v>10</v>
      </c>
      <c r="R357">
        <v>2.79</v>
      </c>
      <c r="S357">
        <v>27.9</v>
      </c>
      <c r="T357">
        <v>23.7</v>
      </c>
      <c r="U357">
        <v>15.05</v>
      </c>
      <c r="V357" t="str">
        <f>VLOOKUP(L357,'[2]tabela de preços'!$A:$D,4,0)</f>
        <v>NORTON</v>
      </c>
      <c r="W357" t="str">
        <f>VLOOKUP(L357,'[2]tabela de preços'!$A:$F,6,0)</f>
        <v xml:space="preserve">DISCOS / LIXAS / ABRASIVOS </v>
      </c>
      <c r="X357" t="str">
        <f>VLOOKUP(L357,'[2]tabela de preços'!$A:$G,7,0)</f>
        <v>AUTOMOTIVO</v>
      </c>
    </row>
    <row r="358" spans="1:24" x14ac:dyDescent="0.3">
      <c r="A358" t="s">
        <v>626</v>
      </c>
      <c r="B358" t="s">
        <v>627</v>
      </c>
      <c r="C358" t="s">
        <v>636</v>
      </c>
      <c r="D358" s="1">
        <v>46029</v>
      </c>
      <c r="E358" t="s">
        <v>637</v>
      </c>
      <c r="F358">
        <v>9</v>
      </c>
      <c r="G358">
        <v>174</v>
      </c>
      <c r="H358" t="str">
        <f>VLOOKUP(G358,[1]OPERADORES!$A:$B,2,0)</f>
        <v>MIRIÃ LOBATO RODRIGUES</v>
      </c>
      <c r="I358" t="s">
        <v>21</v>
      </c>
      <c r="J358" t="s">
        <v>630</v>
      </c>
      <c r="K358" t="s">
        <v>631</v>
      </c>
      <c r="L358">
        <v>10226</v>
      </c>
      <c r="M358" t="s">
        <v>145</v>
      </c>
      <c r="O358" t="s">
        <v>11</v>
      </c>
      <c r="P358">
        <v>5102</v>
      </c>
      <c r="Q358">
        <v>10</v>
      </c>
      <c r="R358">
        <v>2.79</v>
      </c>
      <c r="S358">
        <v>27.9</v>
      </c>
      <c r="T358">
        <v>23.7</v>
      </c>
      <c r="U358">
        <v>15.05</v>
      </c>
      <c r="V358" t="str">
        <f>VLOOKUP(L358,'[2]tabela de preços'!$A:$D,4,0)</f>
        <v>NORTON</v>
      </c>
      <c r="W358" t="str">
        <f>VLOOKUP(L358,'[2]tabela de preços'!$A:$F,6,0)</f>
        <v xml:space="preserve">DISCOS / LIXAS / ABRASIVOS </v>
      </c>
      <c r="X358" t="str">
        <f>VLOOKUP(L358,'[2]tabela de preços'!$A:$G,7,0)</f>
        <v>AUTOMOTIVO</v>
      </c>
    </row>
    <row r="359" spans="1:24" x14ac:dyDescent="0.3">
      <c r="A359" t="s">
        <v>626</v>
      </c>
      <c r="B359" t="s">
        <v>627</v>
      </c>
      <c r="C359" t="s">
        <v>636</v>
      </c>
      <c r="D359" s="1">
        <v>46029</v>
      </c>
      <c r="E359" t="s">
        <v>637</v>
      </c>
      <c r="F359">
        <v>9</v>
      </c>
      <c r="G359">
        <v>174</v>
      </c>
      <c r="H359" t="str">
        <f>VLOOKUP(G359,[1]OPERADORES!$A:$B,2,0)</f>
        <v>MIRIÃ LOBATO RODRIGUES</v>
      </c>
      <c r="I359" t="s">
        <v>21</v>
      </c>
      <c r="J359" t="s">
        <v>630</v>
      </c>
      <c r="K359" t="s">
        <v>631</v>
      </c>
      <c r="L359">
        <v>23385</v>
      </c>
      <c r="M359" t="s">
        <v>638</v>
      </c>
      <c r="O359" t="s">
        <v>11</v>
      </c>
      <c r="P359">
        <v>5403</v>
      </c>
      <c r="Q359">
        <v>5</v>
      </c>
      <c r="R359">
        <v>51.66</v>
      </c>
      <c r="S359">
        <v>258.3</v>
      </c>
      <c r="T359">
        <v>196.05</v>
      </c>
      <c r="U359">
        <v>24.1</v>
      </c>
      <c r="V359" t="str">
        <f>VLOOKUP(L359,'[2]tabela de preços'!$A:$D,4,0)</f>
        <v>WANDA</v>
      </c>
      <c r="W359" t="str">
        <f>VLOOKUP(L359,'[2]tabela de preços'!$A:$F,6,0)</f>
        <v>TINTAS PU</v>
      </c>
      <c r="X359" t="str">
        <f>VLOOKUP(L359,'[2]tabela de preços'!$A:$G,7,0)</f>
        <v>AUTOMOTIVO</v>
      </c>
    </row>
    <row r="360" spans="1:24" x14ac:dyDescent="0.3">
      <c r="A360" t="s">
        <v>626</v>
      </c>
      <c r="B360" t="s">
        <v>627</v>
      </c>
      <c r="C360" t="s">
        <v>636</v>
      </c>
      <c r="D360" s="1">
        <v>46029</v>
      </c>
      <c r="E360" t="s">
        <v>637</v>
      </c>
      <c r="F360">
        <v>9</v>
      </c>
      <c r="G360">
        <v>174</v>
      </c>
      <c r="H360" t="str">
        <f>VLOOKUP(G360,[1]OPERADORES!$A:$B,2,0)</f>
        <v>MIRIÃ LOBATO RODRIGUES</v>
      </c>
      <c r="I360" t="s">
        <v>21</v>
      </c>
      <c r="J360" t="s">
        <v>630</v>
      </c>
      <c r="K360" t="s">
        <v>631</v>
      </c>
      <c r="L360">
        <v>20321</v>
      </c>
      <c r="M360" t="s">
        <v>639</v>
      </c>
      <c r="O360" t="s">
        <v>11</v>
      </c>
      <c r="P360">
        <v>5403</v>
      </c>
      <c r="Q360">
        <v>3</v>
      </c>
      <c r="R360">
        <v>35.200000000000003</v>
      </c>
      <c r="S360">
        <v>105.6</v>
      </c>
      <c r="T360">
        <v>75.3</v>
      </c>
      <c r="U360">
        <v>28.69</v>
      </c>
      <c r="V360" t="str">
        <f>VLOOKUP(L360,'[2]tabela de preços'!$A:$D,4,0)</f>
        <v>SHERWIN WILLIAMS</v>
      </c>
      <c r="W360" t="str">
        <f>VLOOKUP(L360,'[2]tabela de preços'!$A:$F,6,0)</f>
        <v>TINTAS POLIÉSTER</v>
      </c>
      <c r="X360" t="str">
        <f>VLOOKUP(L360,'[2]tabela de preços'!$A:$G,7,0)</f>
        <v>AUTOMOTIVO</v>
      </c>
    </row>
    <row r="361" spans="1:24" x14ac:dyDescent="0.3">
      <c r="A361" t="s">
        <v>626</v>
      </c>
      <c r="B361" t="s">
        <v>627</v>
      </c>
      <c r="C361" t="s">
        <v>636</v>
      </c>
      <c r="D361" s="1">
        <v>46029</v>
      </c>
      <c r="E361" t="s">
        <v>637</v>
      </c>
      <c r="F361">
        <v>9</v>
      </c>
      <c r="G361">
        <v>174</v>
      </c>
      <c r="H361" t="str">
        <f>VLOOKUP(G361,[1]OPERADORES!$A:$B,2,0)</f>
        <v>MIRIÃ LOBATO RODRIGUES</v>
      </c>
      <c r="I361" t="s">
        <v>21</v>
      </c>
      <c r="J361" t="s">
        <v>630</v>
      </c>
      <c r="K361" t="s">
        <v>631</v>
      </c>
      <c r="L361">
        <v>10240</v>
      </c>
      <c r="M361" t="s">
        <v>81</v>
      </c>
      <c r="O361" t="s">
        <v>11</v>
      </c>
      <c r="P361">
        <v>5102</v>
      </c>
      <c r="Q361">
        <v>20</v>
      </c>
      <c r="R361">
        <v>2.79</v>
      </c>
      <c r="S361">
        <v>55.8</v>
      </c>
      <c r="T361">
        <v>45.6</v>
      </c>
      <c r="U361">
        <v>18.28</v>
      </c>
      <c r="V361" t="str">
        <f>VLOOKUP(L361,'[2]tabela de preços'!$A:$D,4,0)</f>
        <v>NORTON</v>
      </c>
      <c r="W361" t="str">
        <f>VLOOKUP(L361,'[2]tabela de preços'!$A:$F,6,0)</f>
        <v xml:space="preserve">DISCOS / LIXAS / ABRASIVOS </v>
      </c>
      <c r="X361" t="str">
        <f>VLOOKUP(L361,'[2]tabela de preços'!$A:$G,7,0)</f>
        <v>AUTOMOTIVO</v>
      </c>
    </row>
    <row r="362" spans="1:24" x14ac:dyDescent="0.3">
      <c r="A362" t="s">
        <v>626</v>
      </c>
      <c r="B362" t="s">
        <v>627</v>
      </c>
      <c r="C362" t="s">
        <v>636</v>
      </c>
      <c r="D362" s="1">
        <v>46029</v>
      </c>
      <c r="E362" t="s">
        <v>637</v>
      </c>
      <c r="F362">
        <v>9</v>
      </c>
      <c r="G362">
        <v>174</v>
      </c>
      <c r="H362" t="str">
        <f>VLOOKUP(G362,[1]OPERADORES!$A:$B,2,0)</f>
        <v>MIRIÃ LOBATO RODRIGUES</v>
      </c>
      <c r="I362" t="s">
        <v>21</v>
      </c>
      <c r="J362" t="s">
        <v>630</v>
      </c>
      <c r="K362" t="s">
        <v>631</v>
      </c>
      <c r="L362">
        <v>84658</v>
      </c>
      <c r="M362" t="s">
        <v>100</v>
      </c>
      <c r="O362" t="s">
        <v>11</v>
      </c>
      <c r="P362">
        <v>5102</v>
      </c>
      <c r="Q362">
        <v>2</v>
      </c>
      <c r="R362">
        <v>40.840000000000003</v>
      </c>
      <c r="S362">
        <v>81.680000000000007</v>
      </c>
      <c r="T362">
        <v>62</v>
      </c>
      <c r="U362">
        <v>24.09</v>
      </c>
      <c r="V362" t="str">
        <f>VLOOKUP(L362,'[2]tabela de preços'!$A:$D,4,0)</f>
        <v>ANJO</v>
      </c>
      <c r="W362" t="str">
        <f>VLOOKUP(L362,'[2]tabela de preços'!$A:$F,6,0)</f>
        <v>MASSA POLIÉSTER</v>
      </c>
      <c r="X362" t="str">
        <f>VLOOKUP(L362,'[2]tabela de preços'!$A:$G,7,0)</f>
        <v>AUTOMOTIVO</v>
      </c>
    </row>
    <row r="363" spans="1:24" x14ac:dyDescent="0.3">
      <c r="A363" t="s">
        <v>626</v>
      </c>
      <c r="B363" t="s">
        <v>627</v>
      </c>
      <c r="C363" t="s">
        <v>636</v>
      </c>
      <c r="D363" s="1">
        <v>46029</v>
      </c>
      <c r="E363" t="s">
        <v>637</v>
      </c>
      <c r="F363">
        <v>9</v>
      </c>
      <c r="G363">
        <v>174</v>
      </c>
      <c r="H363" t="str">
        <f>VLOOKUP(G363,[1]OPERADORES!$A:$B,2,0)</f>
        <v>MIRIÃ LOBATO RODRIGUES</v>
      </c>
      <c r="I363" t="s">
        <v>21</v>
      </c>
      <c r="J363" t="s">
        <v>630</v>
      </c>
      <c r="K363" t="s">
        <v>631</v>
      </c>
      <c r="L363">
        <v>87043</v>
      </c>
      <c r="M363" t="s">
        <v>217</v>
      </c>
      <c r="O363" t="s">
        <v>11</v>
      </c>
      <c r="P363">
        <v>5102</v>
      </c>
      <c r="Q363">
        <v>16</v>
      </c>
      <c r="R363">
        <v>22.89</v>
      </c>
      <c r="S363">
        <v>366.24</v>
      </c>
      <c r="T363">
        <v>288.32</v>
      </c>
      <c r="U363">
        <v>21.28</v>
      </c>
      <c r="V363" t="str">
        <f>VLOOKUP(L363,'[2]tabela de preços'!$A:$D,4,0)</f>
        <v>ROBERLO</v>
      </c>
      <c r="W363" t="str">
        <f>VLOOKUP(L363,'[2]tabela de preços'!$A:$F,6,0)</f>
        <v>MASSA POLIÉSTER</v>
      </c>
      <c r="X363" t="str">
        <f>VLOOKUP(L363,'[2]tabela de preços'!$A:$G,7,0)</f>
        <v>AUTOMOTIVO</v>
      </c>
    </row>
    <row r="364" spans="1:24" x14ac:dyDescent="0.3">
      <c r="A364" t="s">
        <v>626</v>
      </c>
      <c r="B364" t="s">
        <v>627</v>
      </c>
      <c r="C364" t="s">
        <v>636</v>
      </c>
      <c r="D364" s="1">
        <v>46029</v>
      </c>
      <c r="E364" t="s">
        <v>637</v>
      </c>
      <c r="F364">
        <v>9</v>
      </c>
      <c r="G364">
        <v>174</v>
      </c>
      <c r="H364" t="str">
        <f>VLOOKUP(G364,[1]OPERADORES!$A:$B,2,0)</f>
        <v>MIRIÃ LOBATO RODRIGUES</v>
      </c>
      <c r="I364" t="s">
        <v>21</v>
      </c>
      <c r="J364" t="s">
        <v>630</v>
      </c>
      <c r="K364" t="s">
        <v>631</v>
      </c>
      <c r="L364">
        <v>21067</v>
      </c>
      <c r="M364" t="s">
        <v>640</v>
      </c>
      <c r="O364" t="s">
        <v>11</v>
      </c>
      <c r="P364">
        <v>5102</v>
      </c>
      <c r="Q364">
        <v>3</v>
      </c>
      <c r="R364">
        <v>37.58</v>
      </c>
      <c r="S364">
        <v>112.74</v>
      </c>
      <c r="T364">
        <v>85.56</v>
      </c>
      <c r="U364">
        <v>24.11</v>
      </c>
      <c r="V364" t="str">
        <f>VLOOKUP(L364,'[2]tabela de preços'!$A:$D,4,0)</f>
        <v>SIKKENS</v>
      </c>
      <c r="W364" t="str">
        <f>VLOOKUP(L364,'[2]tabela de preços'!$A:$F,6,0)</f>
        <v>DILUENTE</v>
      </c>
      <c r="X364" t="str">
        <f>VLOOKUP(L364,'[2]tabela de preços'!$A:$G,7,0)</f>
        <v>AUTOMOTIVO</v>
      </c>
    </row>
    <row r="365" spans="1:24" x14ac:dyDescent="0.3">
      <c r="A365" t="s">
        <v>626</v>
      </c>
      <c r="B365" t="s">
        <v>627</v>
      </c>
      <c r="C365" t="s">
        <v>636</v>
      </c>
      <c r="D365" s="1">
        <v>46029</v>
      </c>
      <c r="E365" t="s">
        <v>637</v>
      </c>
      <c r="F365">
        <v>9</v>
      </c>
      <c r="G365">
        <v>174</v>
      </c>
      <c r="H365" t="str">
        <f>VLOOKUP(G365,[1]OPERADORES!$A:$B,2,0)</f>
        <v>MIRIÃ LOBATO RODRIGUES</v>
      </c>
      <c r="I365" t="s">
        <v>21</v>
      </c>
      <c r="J365" t="s">
        <v>630</v>
      </c>
      <c r="K365" t="s">
        <v>631</v>
      </c>
      <c r="L365">
        <v>20212</v>
      </c>
      <c r="M365" t="s">
        <v>198</v>
      </c>
      <c r="O365" t="s">
        <v>11</v>
      </c>
      <c r="P365">
        <v>5403</v>
      </c>
      <c r="Q365">
        <v>3</v>
      </c>
      <c r="R365">
        <v>26.95</v>
      </c>
      <c r="S365">
        <v>80.849999999999994</v>
      </c>
      <c r="T365">
        <v>61.38</v>
      </c>
      <c r="U365">
        <v>24.08</v>
      </c>
      <c r="V365" t="str">
        <f>VLOOKUP(L365,'[2]tabela de preços'!$A:$D,4,0)</f>
        <v>MAXI RUBBER</v>
      </c>
      <c r="W365" t="str">
        <f>VLOOKUP(L365,'[2]tabela de preços'!$A:$F,6,0)</f>
        <v>SELADORA P/ PLASTICO</v>
      </c>
      <c r="X365" t="str">
        <f>VLOOKUP(L365,'[2]tabela de preços'!$A:$G,7,0)</f>
        <v>AUTOMOTIVO</v>
      </c>
    </row>
    <row r="366" spans="1:24" x14ac:dyDescent="0.3">
      <c r="A366" t="s">
        <v>626</v>
      </c>
      <c r="B366" t="s">
        <v>627</v>
      </c>
      <c r="C366" t="s">
        <v>636</v>
      </c>
      <c r="D366" s="1">
        <v>46029</v>
      </c>
      <c r="E366" t="s">
        <v>637</v>
      </c>
      <c r="F366">
        <v>9</v>
      </c>
      <c r="G366">
        <v>174</v>
      </c>
      <c r="H366" t="str">
        <f>VLOOKUP(G366,[1]OPERADORES!$A:$B,2,0)</f>
        <v>MIRIÃ LOBATO RODRIGUES</v>
      </c>
      <c r="I366" t="s">
        <v>21</v>
      </c>
      <c r="J366" t="s">
        <v>630</v>
      </c>
      <c r="K366" t="s">
        <v>631</v>
      </c>
      <c r="L366">
        <v>20414</v>
      </c>
      <c r="M366" t="s">
        <v>112</v>
      </c>
      <c r="O366" t="s">
        <v>11</v>
      </c>
      <c r="P366">
        <v>5102</v>
      </c>
      <c r="Q366">
        <v>20</v>
      </c>
      <c r="R366">
        <v>21.89</v>
      </c>
      <c r="S366">
        <v>437.8</v>
      </c>
      <c r="T366">
        <v>360</v>
      </c>
      <c r="U366">
        <v>17.77</v>
      </c>
      <c r="V366" t="str">
        <f>VLOOKUP(L366,'[2]tabela de preços'!$A:$D,4,0)</f>
        <v>SHERWIN WILLIAMS</v>
      </c>
      <c r="W366" t="str">
        <f>VLOOKUP(L366,'[2]tabela de preços'!$A:$F,6,0)</f>
        <v>DILUENTE</v>
      </c>
      <c r="X366" t="str">
        <f>VLOOKUP(L366,'[2]tabela de preços'!$A:$G,7,0)</f>
        <v>AUTOMOTIVO</v>
      </c>
    </row>
    <row r="367" spans="1:24" x14ac:dyDescent="0.3">
      <c r="A367" t="s">
        <v>626</v>
      </c>
      <c r="B367" t="s">
        <v>627</v>
      </c>
      <c r="C367" t="s">
        <v>636</v>
      </c>
      <c r="D367" s="1">
        <v>46029</v>
      </c>
      <c r="E367" t="s">
        <v>637</v>
      </c>
      <c r="F367">
        <v>9</v>
      </c>
      <c r="G367">
        <v>174</v>
      </c>
      <c r="H367" t="str">
        <f>VLOOKUP(G367,[1]OPERADORES!$A:$B,2,0)</f>
        <v>MIRIÃ LOBATO RODRIGUES</v>
      </c>
      <c r="I367" t="s">
        <v>21</v>
      </c>
      <c r="J367" t="s">
        <v>630</v>
      </c>
      <c r="K367" t="s">
        <v>631</v>
      </c>
      <c r="L367">
        <v>10404</v>
      </c>
      <c r="M367" t="s">
        <v>130</v>
      </c>
      <c r="O367" t="s">
        <v>11</v>
      </c>
      <c r="P367">
        <v>5102</v>
      </c>
      <c r="Q367">
        <v>2</v>
      </c>
      <c r="R367">
        <v>16.09</v>
      </c>
      <c r="S367">
        <v>32.18</v>
      </c>
      <c r="T367">
        <v>26.64</v>
      </c>
      <c r="U367">
        <v>17.22</v>
      </c>
      <c r="V367" t="str">
        <f>VLOOKUP(L367,'[2]tabela de preços'!$A:$D,4,0)</f>
        <v>MAXI RUBBER</v>
      </c>
      <c r="W367" t="str">
        <f>VLOOKUP(L367,'[2]tabela de preços'!$A:$F,6,0)</f>
        <v>VEDADORES / SELANTES</v>
      </c>
      <c r="X367" t="str">
        <f>VLOOKUP(L367,'[2]tabela de preços'!$A:$G,7,0)</f>
        <v>AUTOMOTIVO</v>
      </c>
    </row>
    <row r="368" spans="1:24" x14ac:dyDescent="0.3">
      <c r="A368" t="s">
        <v>626</v>
      </c>
      <c r="B368" t="s">
        <v>627</v>
      </c>
      <c r="C368" t="s">
        <v>641</v>
      </c>
      <c r="D368" s="1">
        <v>46029</v>
      </c>
      <c r="E368" t="s">
        <v>642</v>
      </c>
      <c r="F368">
        <v>9</v>
      </c>
      <c r="G368">
        <v>174</v>
      </c>
      <c r="H368" t="str">
        <f>VLOOKUP(G368,[1]OPERADORES!$A:$B,2,0)</f>
        <v>MIRIÃ LOBATO RODRIGUES</v>
      </c>
      <c r="I368" t="s">
        <v>21</v>
      </c>
      <c r="J368" t="s">
        <v>630</v>
      </c>
      <c r="K368" t="s">
        <v>631</v>
      </c>
      <c r="L368">
        <v>23713</v>
      </c>
      <c r="M368" t="s">
        <v>192</v>
      </c>
      <c r="O368" t="s">
        <v>11</v>
      </c>
      <c r="P368">
        <v>5102</v>
      </c>
      <c r="Q368">
        <v>1</v>
      </c>
      <c r="R368">
        <v>37.9</v>
      </c>
      <c r="S368">
        <v>37.9</v>
      </c>
      <c r="T368">
        <v>30.9</v>
      </c>
      <c r="U368">
        <v>18.47</v>
      </c>
      <c r="V368" t="str">
        <f>VLOOKUP(L368,'[2]tabela de preços'!$A:$D,4,0)</f>
        <v>NEW PAD</v>
      </c>
      <c r="W368" t="str">
        <f>VLOOKUP(L368,'[2]tabela de preços'!$A:$F,6,0)</f>
        <v>BOINAS PARA POLIMENTO</v>
      </c>
      <c r="X368" t="str">
        <f>VLOOKUP(L368,'[2]tabela de preços'!$A:$G,7,0)</f>
        <v>AUTOMOTIVO</v>
      </c>
    </row>
    <row r="369" spans="1:24" x14ac:dyDescent="0.3">
      <c r="A369" t="s">
        <v>626</v>
      </c>
      <c r="B369" t="s">
        <v>627</v>
      </c>
      <c r="C369" t="s">
        <v>641</v>
      </c>
      <c r="D369" s="1">
        <v>46029</v>
      </c>
      <c r="E369" t="s">
        <v>642</v>
      </c>
      <c r="F369">
        <v>9</v>
      </c>
      <c r="G369">
        <v>174</v>
      </c>
      <c r="H369" t="str">
        <f>VLOOKUP(G369,[1]OPERADORES!$A:$B,2,0)</f>
        <v>MIRIÃ LOBATO RODRIGUES</v>
      </c>
      <c r="I369" t="s">
        <v>21</v>
      </c>
      <c r="J369" t="s">
        <v>630</v>
      </c>
      <c r="K369" t="s">
        <v>631</v>
      </c>
      <c r="L369">
        <v>21301</v>
      </c>
      <c r="M369" t="s">
        <v>643</v>
      </c>
      <c r="O369" t="s">
        <v>11</v>
      </c>
      <c r="P369">
        <v>5403</v>
      </c>
      <c r="Q369">
        <v>4</v>
      </c>
      <c r="R369">
        <v>39.85</v>
      </c>
      <c r="S369">
        <v>159.4</v>
      </c>
      <c r="T369">
        <v>121</v>
      </c>
      <c r="U369">
        <v>24.09</v>
      </c>
      <c r="V369" t="str">
        <f>VLOOKUP(L369,'[2]tabela de preços'!$A:$D,4,0)</f>
        <v>WANDA</v>
      </c>
      <c r="W369" t="str">
        <f>VLOOKUP(L369,'[2]tabela de preços'!$A:$F,6,0)</f>
        <v>TINTAS POLIÉSTER</v>
      </c>
      <c r="X369" t="str">
        <f>VLOOKUP(L369,'[2]tabela de preços'!$A:$G,7,0)</f>
        <v>AUTOMOTIVO</v>
      </c>
    </row>
    <row r="370" spans="1:24" x14ac:dyDescent="0.3">
      <c r="A370" t="s">
        <v>626</v>
      </c>
      <c r="B370" t="s">
        <v>627</v>
      </c>
      <c r="C370" t="s">
        <v>641</v>
      </c>
      <c r="D370" s="1">
        <v>46029</v>
      </c>
      <c r="E370" t="s">
        <v>642</v>
      </c>
      <c r="F370">
        <v>9</v>
      </c>
      <c r="G370">
        <v>174</v>
      </c>
      <c r="H370" t="str">
        <f>VLOOKUP(G370,[1]OPERADORES!$A:$B,2,0)</f>
        <v>MIRIÃ LOBATO RODRIGUES</v>
      </c>
      <c r="I370" t="s">
        <v>21</v>
      </c>
      <c r="J370" t="s">
        <v>630</v>
      </c>
      <c r="K370" t="s">
        <v>631</v>
      </c>
      <c r="L370">
        <v>23110</v>
      </c>
      <c r="M370" t="s">
        <v>409</v>
      </c>
      <c r="O370" t="s">
        <v>11</v>
      </c>
      <c r="P370">
        <v>5102</v>
      </c>
      <c r="Q370">
        <v>50</v>
      </c>
      <c r="R370">
        <v>2.35</v>
      </c>
      <c r="S370">
        <v>117.5</v>
      </c>
      <c r="T370">
        <v>92.5</v>
      </c>
      <c r="U370">
        <v>21.28</v>
      </c>
      <c r="V370" t="str">
        <f>VLOOKUP(L370,'[2]tabela de preços'!$A:$D,4,0)</f>
        <v>3M</v>
      </c>
      <c r="W370" t="str">
        <f>VLOOKUP(L370,'[2]tabela de preços'!$A:$F,6,0)</f>
        <v xml:space="preserve">DISCOS / LIXAS / ABRASIVOS </v>
      </c>
      <c r="X370" t="str">
        <f>VLOOKUP(L370,'[2]tabela de preços'!$A:$G,7,0)</f>
        <v>AUTOMOTIVO</v>
      </c>
    </row>
    <row r="371" spans="1:24" x14ac:dyDescent="0.3">
      <c r="A371" t="s">
        <v>626</v>
      </c>
      <c r="B371" t="s">
        <v>627</v>
      </c>
      <c r="C371" t="s">
        <v>641</v>
      </c>
      <c r="D371" s="1">
        <v>46029</v>
      </c>
      <c r="E371" t="s">
        <v>642</v>
      </c>
      <c r="F371">
        <v>9</v>
      </c>
      <c r="G371">
        <v>174</v>
      </c>
      <c r="H371" t="str">
        <f>VLOOKUP(G371,[1]OPERADORES!$A:$B,2,0)</f>
        <v>MIRIÃ LOBATO RODRIGUES</v>
      </c>
      <c r="I371" t="s">
        <v>21</v>
      </c>
      <c r="J371" t="s">
        <v>630</v>
      </c>
      <c r="K371" t="s">
        <v>631</v>
      </c>
      <c r="L371">
        <v>23105</v>
      </c>
      <c r="M371" t="s">
        <v>402</v>
      </c>
      <c r="O371" t="s">
        <v>11</v>
      </c>
      <c r="P371">
        <v>5102</v>
      </c>
      <c r="Q371">
        <v>50</v>
      </c>
      <c r="R371">
        <v>2.35</v>
      </c>
      <c r="S371">
        <v>117.5</v>
      </c>
      <c r="T371">
        <v>96</v>
      </c>
      <c r="U371">
        <v>18.3</v>
      </c>
      <c r="V371" t="str">
        <f>VLOOKUP(L371,'[2]tabela de preços'!$A:$D,4,0)</f>
        <v>3M</v>
      </c>
      <c r="W371" t="str">
        <f>VLOOKUP(L371,'[2]tabela de preços'!$A:$F,6,0)</f>
        <v xml:space="preserve">DISCOS / LIXAS / ABRASIVOS </v>
      </c>
      <c r="X371" t="str">
        <f>VLOOKUP(L371,'[2]tabela de preços'!$A:$G,7,0)</f>
        <v>AUTOMOTIVO</v>
      </c>
    </row>
    <row r="372" spans="1:24" x14ac:dyDescent="0.3">
      <c r="A372" t="s">
        <v>626</v>
      </c>
      <c r="B372" t="s">
        <v>627</v>
      </c>
      <c r="C372" t="s">
        <v>641</v>
      </c>
      <c r="D372" s="1">
        <v>46029</v>
      </c>
      <c r="E372" t="s">
        <v>642</v>
      </c>
      <c r="F372">
        <v>9</v>
      </c>
      <c r="G372">
        <v>174</v>
      </c>
      <c r="H372" t="str">
        <f>VLOOKUP(G372,[1]OPERADORES!$A:$B,2,0)</f>
        <v>MIRIÃ LOBATO RODRIGUES</v>
      </c>
      <c r="I372" t="s">
        <v>21</v>
      </c>
      <c r="J372" t="s">
        <v>630</v>
      </c>
      <c r="K372" t="s">
        <v>631</v>
      </c>
      <c r="L372">
        <v>23653</v>
      </c>
      <c r="M372" t="s">
        <v>644</v>
      </c>
      <c r="O372" t="s">
        <v>11</v>
      </c>
      <c r="P372">
        <v>5102</v>
      </c>
      <c r="Q372">
        <v>1</v>
      </c>
      <c r="R372">
        <v>67.150000000000006</v>
      </c>
      <c r="S372">
        <v>67.150000000000006</v>
      </c>
      <c r="T372">
        <v>50.97</v>
      </c>
      <c r="U372">
        <v>24.1</v>
      </c>
      <c r="V372" t="str">
        <f>VLOOKUP(L372,'[2]tabela de preços'!$A:$D,4,0)</f>
        <v>SIKKENS</v>
      </c>
      <c r="W372" t="str">
        <f>VLOOKUP(L372,'[2]tabela de preços'!$A:$F,6,0)</f>
        <v>CATALISADORES INDIVIDUAS</v>
      </c>
      <c r="X372" t="str">
        <f>VLOOKUP(L372,'[2]tabela de preços'!$A:$G,7,0)</f>
        <v>AUTOMOTIVO</v>
      </c>
    </row>
    <row r="373" spans="1:24" x14ac:dyDescent="0.3">
      <c r="A373" t="s">
        <v>626</v>
      </c>
      <c r="B373" t="s">
        <v>627</v>
      </c>
      <c r="C373" t="s">
        <v>641</v>
      </c>
      <c r="D373" s="1">
        <v>46029</v>
      </c>
      <c r="E373" t="s">
        <v>642</v>
      </c>
      <c r="F373">
        <v>9</v>
      </c>
      <c r="G373">
        <v>174</v>
      </c>
      <c r="H373" t="str">
        <f>VLOOKUP(G373,[1]OPERADORES!$A:$B,2,0)</f>
        <v>MIRIÃ LOBATO RODRIGUES</v>
      </c>
      <c r="I373" t="s">
        <v>21</v>
      </c>
      <c r="J373" t="s">
        <v>630</v>
      </c>
      <c r="K373" t="s">
        <v>631</v>
      </c>
      <c r="L373">
        <v>20318</v>
      </c>
      <c r="M373" t="s">
        <v>136</v>
      </c>
      <c r="O373" t="s">
        <v>11</v>
      </c>
      <c r="P373">
        <v>5403</v>
      </c>
      <c r="Q373">
        <v>2</v>
      </c>
      <c r="R373">
        <v>33.4</v>
      </c>
      <c r="S373">
        <v>66.8</v>
      </c>
      <c r="T373">
        <v>47.62</v>
      </c>
      <c r="U373">
        <v>28.71</v>
      </c>
      <c r="V373" t="str">
        <f>VLOOKUP(L373,'[2]tabela de preços'!$A:$D,4,0)</f>
        <v>SHERWIN WILLIAMS</v>
      </c>
      <c r="W373" t="str">
        <f>VLOOKUP(L373,'[2]tabela de preços'!$A:$F,6,0)</f>
        <v>TINTAS POLIÉSTER</v>
      </c>
      <c r="X373" t="str">
        <f>VLOOKUP(L373,'[2]tabela de preços'!$A:$G,7,0)</f>
        <v>AUTOMOTIVO</v>
      </c>
    </row>
    <row r="374" spans="1:24" x14ac:dyDescent="0.3">
      <c r="A374" t="s">
        <v>626</v>
      </c>
      <c r="B374" t="s">
        <v>627</v>
      </c>
      <c r="C374" t="s">
        <v>641</v>
      </c>
      <c r="D374" s="1">
        <v>46029</v>
      </c>
      <c r="E374" t="s">
        <v>642</v>
      </c>
      <c r="F374">
        <v>9</v>
      </c>
      <c r="G374">
        <v>174</v>
      </c>
      <c r="H374" t="str">
        <f>VLOOKUP(G374,[1]OPERADORES!$A:$B,2,0)</f>
        <v>MIRIÃ LOBATO RODRIGUES</v>
      </c>
      <c r="I374" t="s">
        <v>21</v>
      </c>
      <c r="J374" t="s">
        <v>630</v>
      </c>
      <c r="K374" t="s">
        <v>631</v>
      </c>
      <c r="L374">
        <v>21077</v>
      </c>
      <c r="M374" t="s">
        <v>207</v>
      </c>
      <c r="O374" t="s">
        <v>11</v>
      </c>
      <c r="P374">
        <v>5102</v>
      </c>
      <c r="Q374">
        <v>6</v>
      </c>
      <c r="R374">
        <v>44.68</v>
      </c>
      <c r="S374">
        <v>268.08</v>
      </c>
      <c r="T374">
        <v>203.52</v>
      </c>
      <c r="U374">
        <v>24.08</v>
      </c>
      <c r="V374" t="str">
        <f>VLOOKUP(L374,'[2]tabela de preços'!$A:$D,4,0)</f>
        <v>SHERWIN WILLIAMS</v>
      </c>
      <c r="W374" t="str">
        <f>VLOOKUP(L374,'[2]tabela de preços'!$A:$F,6,0)</f>
        <v>MASSA POLIÉSTER</v>
      </c>
      <c r="X374" t="str">
        <f>VLOOKUP(L374,'[2]tabela de preços'!$A:$G,7,0)</f>
        <v>AUTOMOTIVO</v>
      </c>
    </row>
    <row r="375" spans="1:24" x14ac:dyDescent="0.3">
      <c r="A375" t="s">
        <v>626</v>
      </c>
      <c r="B375" t="s">
        <v>627</v>
      </c>
      <c r="C375" t="s">
        <v>641</v>
      </c>
      <c r="D375" s="1">
        <v>46029</v>
      </c>
      <c r="E375" t="s">
        <v>642</v>
      </c>
      <c r="F375">
        <v>9</v>
      </c>
      <c r="G375">
        <v>174</v>
      </c>
      <c r="H375" t="str">
        <f>VLOOKUP(G375,[1]OPERADORES!$A:$B,2,0)</f>
        <v>MIRIÃ LOBATO RODRIGUES</v>
      </c>
      <c r="I375" t="s">
        <v>21</v>
      </c>
      <c r="J375" t="s">
        <v>630</v>
      </c>
      <c r="K375" t="s">
        <v>631</v>
      </c>
      <c r="L375">
        <v>23926</v>
      </c>
      <c r="M375" t="s">
        <v>645</v>
      </c>
      <c r="O375" t="s">
        <v>11</v>
      </c>
      <c r="P375">
        <v>5403</v>
      </c>
      <c r="Q375">
        <v>1</v>
      </c>
      <c r="R375">
        <v>135.72</v>
      </c>
      <c r="S375">
        <v>135.72</v>
      </c>
      <c r="T375">
        <v>103.01</v>
      </c>
      <c r="U375">
        <v>24.1</v>
      </c>
      <c r="V375" t="str">
        <f>VLOOKUP(L375,'[2]tabela de preços'!$A:$D,4,0)</f>
        <v>SIKKENS</v>
      </c>
      <c r="W375" t="str">
        <f>VLOOKUP(L375,'[2]tabela de preços'!$A:$F,6,0)</f>
        <v>PRIMER AUTOMOTIVO</v>
      </c>
      <c r="X375" t="str">
        <f>VLOOKUP(L375,'[2]tabela de preços'!$A:$G,7,0)</f>
        <v>AUTOMOTIVO</v>
      </c>
    </row>
    <row r="376" spans="1:24" x14ac:dyDescent="0.3">
      <c r="A376" t="s">
        <v>770</v>
      </c>
      <c r="C376" t="s">
        <v>774</v>
      </c>
      <c r="D376" s="1">
        <v>46029</v>
      </c>
      <c r="E376" t="s">
        <v>775</v>
      </c>
      <c r="F376">
        <v>9</v>
      </c>
      <c r="G376">
        <v>230</v>
      </c>
      <c r="H376" t="str">
        <f>VLOOKUP(G376,[1]OPERADORES!$A:$B,2,0)</f>
        <v>SÔNIA</v>
      </c>
      <c r="I376" t="s">
        <v>21</v>
      </c>
      <c r="J376" t="s">
        <v>397</v>
      </c>
      <c r="K376" t="s">
        <v>773</v>
      </c>
      <c r="L376">
        <v>10067</v>
      </c>
      <c r="M376" t="s">
        <v>177</v>
      </c>
      <c r="O376" t="s">
        <v>11</v>
      </c>
      <c r="P376">
        <v>5102</v>
      </c>
      <c r="Q376">
        <v>1</v>
      </c>
      <c r="R376">
        <v>89.9</v>
      </c>
      <c r="S376">
        <v>89.9</v>
      </c>
      <c r="T376">
        <v>73.58</v>
      </c>
      <c r="U376">
        <v>18.149999999999999</v>
      </c>
      <c r="V376" t="str">
        <f>VLOOKUP(L376,'[2]tabela de preços'!$A:$D,4,0)</f>
        <v>3M</v>
      </c>
      <c r="W376" t="str">
        <f>VLOOKUP(L376,'[2]tabela de preços'!$A:$F,6,0)</f>
        <v>BOINAS PARA POLIMENTO</v>
      </c>
      <c r="X376" t="str">
        <f>VLOOKUP(L376,'[2]tabela de preços'!$A:$G,7,0)</f>
        <v>AUTOMOTIVO</v>
      </c>
    </row>
    <row r="377" spans="1:24" x14ac:dyDescent="0.3">
      <c r="A377" t="s">
        <v>770</v>
      </c>
      <c r="C377" t="s">
        <v>774</v>
      </c>
      <c r="D377" s="1">
        <v>46029</v>
      </c>
      <c r="E377" t="s">
        <v>775</v>
      </c>
      <c r="F377">
        <v>9</v>
      </c>
      <c r="G377">
        <v>230</v>
      </c>
      <c r="H377" t="str">
        <f>VLOOKUP(G377,[1]OPERADORES!$A:$B,2,0)</f>
        <v>SÔNIA</v>
      </c>
      <c r="I377" t="s">
        <v>21</v>
      </c>
      <c r="J377" t="s">
        <v>397</v>
      </c>
      <c r="K377" t="s">
        <v>773</v>
      </c>
      <c r="L377">
        <v>23653</v>
      </c>
      <c r="M377" t="s">
        <v>644</v>
      </c>
      <c r="O377" t="s">
        <v>11</v>
      </c>
      <c r="P377">
        <v>5102</v>
      </c>
      <c r="Q377">
        <v>1</v>
      </c>
      <c r="R377">
        <v>67.150000000000006</v>
      </c>
      <c r="S377">
        <v>67.150000000000006</v>
      </c>
      <c r="T377">
        <v>50.97</v>
      </c>
      <c r="U377">
        <v>24.1</v>
      </c>
      <c r="V377" t="str">
        <f>VLOOKUP(L377,'[2]tabela de preços'!$A:$D,4,0)</f>
        <v>SIKKENS</v>
      </c>
      <c r="W377" t="str">
        <f>VLOOKUP(L377,'[2]tabela de preços'!$A:$F,6,0)</f>
        <v>CATALISADORES INDIVIDUAS</v>
      </c>
      <c r="X377" t="str">
        <f>VLOOKUP(L377,'[2]tabela de preços'!$A:$G,7,0)</f>
        <v>AUTOMOTIVO</v>
      </c>
    </row>
    <row r="378" spans="1:24" x14ac:dyDescent="0.3">
      <c r="A378" t="s">
        <v>770</v>
      </c>
      <c r="C378" t="s">
        <v>774</v>
      </c>
      <c r="D378" s="1">
        <v>46029</v>
      </c>
      <c r="E378" t="s">
        <v>775</v>
      </c>
      <c r="F378">
        <v>9</v>
      </c>
      <c r="G378">
        <v>230</v>
      </c>
      <c r="H378" t="str">
        <f>VLOOKUP(G378,[1]OPERADORES!$A:$B,2,0)</f>
        <v>SÔNIA</v>
      </c>
      <c r="I378" t="s">
        <v>21</v>
      </c>
      <c r="J378" t="s">
        <v>397</v>
      </c>
      <c r="K378" t="s">
        <v>773</v>
      </c>
      <c r="L378">
        <v>9764</v>
      </c>
      <c r="M378" t="s">
        <v>173</v>
      </c>
      <c r="O378" t="s">
        <v>11</v>
      </c>
      <c r="P378">
        <v>5102</v>
      </c>
      <c r="Q378">
        <v>1</v>
      </c>
      <c r="R378">
        <v>33.54</v>
      </c>
      <c r="S378">
        <v>33.54</v>
      </c>
      <c r="T378">
        <v>25.46</v>
      </c>
      <c r="U378">
        <v>24.09</v>
      </c>
      <c r="V378" t="str">
        <f>VLOOKUP(L378,'[2]tabela de preços'!$A:$D,4,0)</f>
        <v>SIKKENS</v>
      </c>
      <c r="W378" t="str">
        <f>VLOOKUP(L378,'[2]tabela de preços'!$A:$F,6,0)</f>
        <v>MASSA DE PEQUENOS REPAROS</v>
      </c>
      <c r="X378" t="str">
        <f>VLOOKUP(L378,'[2]tabela de preços'!$A:$G,7,0)</f>
        <v>AUTOMOTIVO</v>
      </c>
    </row>
    <row r="379" spans="1:24" x14ac:dyDescent="0.3">
      <c r="A379" t="s">
        <v>868</v>
      </c>
      <c r="B379" t="s">
        <v>869</v>
      </c>
      <c r="C379" t="s">
        <v>870</v>
      </c>
      <c r="D379" s="1">
        <v>46029</v>
      </c>
      <c r="E379" t="s">
        <v>871</v>
      </c>
      <c r="F379">
        <v>9</v>
      </c>
      <c r="G379">
        <v>197</v>
      </c>
      <c r="H379" t="str">
        <f>VLOOKUP(G379,[1]OPERADORES!$A:$B,2,0)</f>
        <v xml:space="preserve">POLIANA LORRANE DE AMORIM </v>
      </c>
      <c r="I379" t="s">
        <v>21</v>
      </c>
      <c r="J379" t="s">
        <v>872</v>
      </c>
      <c r="K379" t="s">
        <v>873</v>
      </c>
      <c r="L379">
        <v>10298</v>
      </c>
      <c r="M379" t="s">
        <v>85</v>
      </c>
      <c r="O379" t="s">
        <v>11</v>
      </c>
      <c r="P379">
        <v>5102</v>
      </c>
      <c r="Q379">
        <v>40</v>
      </c>
      <c r="R379">
        <v>54.9</v>
      </c>
      <c r="S379" s="2">
        <v>2196</v>
      </c>
      <c r="T379" s="2">
        <v>1895.2</v>
      </c>
      <c r="U379">
        <v>13.7</v>
      </c>
      <c r="V379" t="str">
        <f>VLOOKUP(L379,'[2]tabela de preços'!$A:$D,4,0)</f>
        <v>ANJO</v>
      </c>
      <c r="W379" t="str">
        <f>VLOOKUP(L379,'[2]tabela de preços'!$A:$F,6,0)</f>
        <v>THINNER DE LIMPEZA</v>
      </c>
      <c r="X379" t="str">
        <f>VLOOKUP(L379,'[2]tabela de preços'!$A:$G,7,0)</f>
        <v>THINNER</v>
      </c>
    </row>
    <row r="380" spans="1:24" x14ac:dyDescent="0.3">
      <c r="A380" t="s">
        <v>974</v>
      </c>
      <c r="C380" t="s">
        <v>975</v>
      </c>
      <c r="D380" s="1">
        <v>46029</v>
      </c>
      <c r="E380" t="s">
        <v>976</v>
      </c>
      <c r="F380">
        <v>9</v>
      </c>
      <c r="G380">
        <v>197</v>
      </c>
      <c r="H380" t="str">
        <f>VLOOKUP(G380,[1]OPERADORES!$A:$B,2,0)</f>
        <v xml:space="preserve">POLIANA LORRANE DE AMORIM </v>
      </c>
      <c r="I380" t="s">
        <v>21</v>
      </c>
      <c r="J380" t="s">
        <v>397</v>
      </c>
      <c r="K380" t="s">
        <v>977</v>
      </c>
      <c r="L380">
        <v>23715</v>
      </c>
      <c r="M380" t="s">
        <v>978</v>
      </c>
      <c r="O380" t="s">
        <v>11</v>
      </c>
      <c r="P380">
        <v>5102</v>
      </c>
      <c r="Q380">
        <v>2</v>
      </c>
      <c r="R380">
        <v>37.9</v>
      </c>
      <c r="S380">
        <v>75.8</v>
      </c>
      <c r="T380">
        <v>61.8</v>
      </c>
      <c r="U380">
        <v>18.47</v>
      </c>
      <c r="V380" t="str">
        <f>VLOOKUP(L380,'[2]tabela de preços'!$A:$D,4,0)</f>
        <v>NEW PAD</v>
      </c>
      <c r="W380" t="str">
        <f>VLOOKUP(L380,'[2]tabela de preços'!$A:$F,6,0)</f>
        <v>BOINAS PARA POLIMENTO</v>
      </c>
      <c r="X380" t="str">
        <f>VLOOKUP(L380,'[2]tabela de preços'!$A:$G,7,0)</f>
        <v>AUTOMOTIVO</v>
      </c>
    </row>
    <row r="381" spans="1:24" x14ac:dyDescent="0.3">
      <c r="A381" t="s">
        <v>974</v>
      </c>
      <c r="C381" t="s">
        <v>975</v>
      </c>
      <c r="D381" s="1">
        <v>46029</v>
      </c>
      <c r="E381" t="s">
        <v>976</v>
      </c>
      <c r="F381">
        <v>9</v>
      </c>
      <c r="G381">
        <v>197</v>
      </c>
      <c r="H381" t="str">
        <f>VLOOKUP(G381,[1]OPERADORES!$A:$B,2,0)</f>
        <v xml:space="preserve">POLIANA LORRANE DE AMORIM </v>
      </c>
      <c r="I381" t="s">
        <v>21</v>
      </c>
      <c r="J381" t="s">
        <v>397</v>
      </c>
      <c r="K381" t="s">
        <v>977</v>
      </c>
      <c r="L381">
        <v>84557</v>
      </c>
      <c r="M381" t="s">
        <v>116</v>
      </c>
      <c r="O381" t="s">
        <v>11</v>
      </c>
      <c r="P381">
        <v>5102</v>
      </c>
      <c r="Q381">
        <v>12</v>
      </c>
      <c r="R381">
        <v>18.39</v>
      </c>
      <c r="S381">
        <v>220.68</v>
      </c>
      <c r="T381">
        <v>167.52</v>
      </c>
      <c r="U381">
        <v>24.09</v>
      </c>
      <c r="V381" t="str">
        <f>VLOOKUP(L381,'[2]tabela de preços'!$A:$D,4,0)</f>
        <v>BRASILUX</v>
      </c>
      <c r="W381" t="str">
        <f>VLOOKUP(L381,'[2]tabela de preços'!$A:$F,6,0)</f>
        <v>DILUENTE</v>
      </c>
      <c r="X381" t="str">
        <f>VLOOKUP(L381,'[2]tabela de preços'!$A:$G,7,0)</f>
        <v>AUTOMOTIVO</v>
      </c>
    </row>
    <row r="382" spans="1:24" x14ac:dyDescent="0.3">
      <c r="A382" t="s">
        <v>974</v>
      </c>
      <c r="C382" t="s">
        <v>975</v>
      </c>
      <c r="D382" s="1">
        <v>46029</v>
      </c>
      <c r="E382" t="s">
        <v>976</v>
      </c>
      <c r="F382">
        <v>9</v>
      </c>
      <c r="G382">
        <v>197</v>
      </c>
      <c r="H382" t="str">
        <f>VLOOKUP(G382,[1]OPERADORES!$A:$B,2,0)</f>
        <v xml:space="preserve">POLIANA LORRANE DE AMORIM </v>
      </c>
      <c r="I382" t="s">
        <v>21</v>
      </c>
      <c r="J382" t="s">
        <v>397</v>
      </c>
      <c r="K382" t="s">
        <v>977</v>
      </c>
      <c r="L382">
        <v>85164</v>
      </c>
      <c r="M382" t="s">
        <v>278</v>
      </c>
      <c r="O382" t="s">
        <v>11</v>
      </c>
      <c r="P382">
        <v>5102</v>
      </c>
      <c r="Q382">
        <v>12</v>
      </c>
      <c r="R382">
        <v>13.29</v>
      </c>
      <c r="S382">
        <v>159.47999999999999</v>
      </c>
      <c r="T382">
        <v>121.08</v>
      </c>
      <c r="U382">
        <v>24.08</v>
      </c>
      <c r="V382" t="str">
        <f>VLOOKUP(L382,'[2]tabela de preços'!$A:$D,4,0)</f>
        <v>BRASILUX</v>
      </c>
      <c r="W382" t="str">
        <f>VLOOKUP(L382,'[2]tabela de preços'!$A:$F,6,0)</f>
        <v>QUEROSENE</v>
      </c>
      <c r="X382" t="str">
        <f>VLOOKUP(L382,'[2]tabela de preços'!$A:$G,7,0)</f>
        <v>AUTOMOTIVO</v>
      </c>
    </row>
    <row r="383" spans="1:24" x14ac:dyDescent="0.3">
      <c r="A383" t="s">
        <v>974</v>
      </c>
      <c r="C383" t="s">
        <v>979</v>
      </c>
      <c r="D383" s="1">
        <v>46029</v>
      </c>
      <c r="E383" t="s">
        <v>980</v>
      </c>
      <c r="F383">
        <v>9</v>
      </c>
      <c r="G383">
        <v>197</v>
      </c>
      <c r="H383" t="str">
        <f>VLOOKUP(G383,[1]OPERADORES!$A:$B,2,0)</f>
        <v xml:space="preserve">POLIANA LORRANE DE AMORIM </v>
      </c>
      <c r="I383" t="s">
        <v>21</v>
      </c>
      <c r="J383" t="s">
        <v>397</v>
      </c>
      <c r="K383" t="s">
        <v>977</v>
      </c>
      <c r="L383">
        <v>85670</v>
      </c>
      <c r="M383" t="s">
        <v>981</v>
      </c>
      <c r="O383" t="s">
        <v>11</v>
      </c>
      <c r="P383">
        <v>5102</v>
      </c>
      <c r="Q383">
        <v>8</v>
      </c>
      <c r="R383">
        <v>12.2</v>
      </c>
      <c r="S383">
        <v>97.6</v>
      </c>
      <c r="T383">
        <v>74.08</v>
      </c>
      <c r="U383">
        <v>24.1</v>
      </c>
      <c r="V383" t="str">
        <f>VLOOKUP(L383,'[2]tabela de preços'!$A:$D,4,0)</f>
        <v>UNIPEGA</v>
      </c>
      <c r="W383" t="str">
        <f>VLOOKUP(L383,'[2]tabela de preços'!$A:$F,6,0)</f>
        <v>ESPUMA EXPANSIVA</v>
      </c>
      <c r="X383" t="str">
        <f>VLOOKUP(L383,'[2]tabela de preços'!$A:$G,7,0)</f>
        <v>IMOBILIÁRIO</v>
      </c>
    </row>
    <row r="384" spans="1:24" x14ac:dyDescent="0.3">
      <c r="A384" t="s">
        <v>974</v>
      </c>
      <c r="C384" t="s">
        <v>979</v>
      </c>
      <c r="D384" s="1">
        <v>46029</v>
      </c>
      <c r="E384" t="s">
        <v>980</v>
      </c>
      <c r="F384">
        <v>9</v>
      </c>
      <c r="G384">
        <v>197</v>
      </c>
      <c r="H384" t="str">
        <f>VLOOKUP(G384,[1]OPERADORES!$A:$B,2,0)</f>
        <v xml:space="preserve">POLIANA LORRANE DE AMORIM </v>
      </c>
      <c r="I384" t="s">
        <v>21</v>
      </c>
      <c r="J384" t="s">
        <v>397</v>
      </c>
      <c r="K384" t="s">
        <v>977</v>
      </c>
      <c r="L384">
        <v>15</v>
      </c>
      <c r="M384" t="s">
        <v>205</v>
      </c>
      <c r="O384" t="s">
        <v>11</v>
      </c>
      <c r="P384">
        <v>5102</v>
      </c>
      <c r="Q384">
        <v>50</v>
      </c>
      <c r="R384">
        <v>5.65</v>
      </c>
      <c r="S384">
        <v>282.5</v>
      </c>
      <c r="T384">
        <v>208</v>
      </c>
      <c r="U384">
        <v>26.37</v>
      </c>
      <c r="V384" t="str">
        <f>VLOOKUP(L384,'[2]tabela de preços'!$A:$D,4,0)</f>
        <v>3M</v>
      </c>
      <c r="W384" t="str">
        <f>VLOOKUP(L384,'[2]tabela de preços'!$A:$F,6,0)</f>
        <v>LIXA DÁGUA</v>
      </c>
      <c r="X384" t="str">
        <f>VLOOKUP(L384,'[2]tabela de preços'!$A:$G,7,0)</f>
        <v>AUTOMOTIVO</v>
      </c>
    </row>
    <row r="385" spans="1:24" x14ac:dyDescent="0.3">
      <c r="A385" t="s">
        <v>974</v>
      </c>
      <c r="C385" t="s">
        <v>979</v>
      </c>
      <c r="D385" s="1">
        <v>46029</v>
      </c>
      <c r="E385" t="s">
        <v>980</v>
      </c>
      <c r="F385">
        <v>9</v>
      </c>
      <c r="G385">
        <v>197</v>
      </c>
      <c r="H385" t="str">
        <f>VLOOKUP(G385,[1]OPERADORES!$A:$B,2,0)</f>
        <v xml:space="preserve">POLIANA LORRANE DE AMORIM </v>
      </c>
      <c r="I385" t="s">
        <v>21</v>
      </c>
      <c r="J385" t="s">
        <v>397</v>
      </c>
      <c r="K385" t="s">
        <v>977</v>
      </c>
      <c r="L385">
        <v>84047</v>
      </c>
      <c r="M385" t="s">
        <v>222</v>
      </c>
      <c r="O385" t="s">
        <v>11</v>
      </c>
      <c r="P385">
        <v>5102</v>
      </c>
      <c r="Q385">
        <v>4</v>
      </c>
      <c r="R385">
        <v>20.149999999999999</v>
      </c>
      <c r="S385">
        <v>80.599999999999994</v>
      </c>
      <c r="T385">
        <v>61.2</v>
      </c>
      <c r="U385">
        <v>24.07</v>
      </c>
      <c r="V385" t="str">
        <f>VLOOKUP(L385,'[2]tabela de preços'!$A:$D,4,0)</f>
        <v>BRASILUX</v>
      </c>
      <c r="W385" t="str">
        <f>VLOOKUP(L385,'[2]tabela de preços'!$A:$F,6,0)</f>
        <v>MASSA DE POLIR</v>
      </c>
      <c r="X385" t="str">
        <f>VLOOKUP(L385,'[2]tabela de preços'!$A:$G,7,0)</f>
        <v>AUTOMOTIVO</v>
      </c>
    </row>
    <row r="386" spans="1:24" x14ac:dyDescent="0.3">
      <c r="A386" t="s">
        <v>974</v>
      </c>
      <c r="C386" t="s">
        <v>979</v>
      </c>
      <c r="D386" s="1">
        <v>46029</v>
      </c>
      <c r="E386" t="s">
        <v>980</v>
      </c>
      <c r="F386">
        <v>9</v>
      </c>
      <c r="G386">
        <v>197</v>
      </c>
      <c r="H386" t="str">
        <f>VLOOKUP(G386,[1]OPERADORES!$A:$B,2,0)</f>
        <v xml:space="preserve">POLIANA LORRANE DE AMORIM </v>
      </c>
      <c r="I386" t="s">
        <v>21</v>
      </c>
      <c r="J386" t="s">
        <v>397</v>
      </c>
      <c r="K386" t="s">
        <v>977</v>
      </c>
      <c r="L386">
        <v>84046</v>
      </c>
      <c r="M386" t="s">
        <v>754</v>
      </c>
      <c r="O386" t="s">
        <v>11</v>
      </c>
      <c r="P386">
        <v>5102</v>
      </c>
      <c r="Q386">
        <v>4</v>
      </c>
      <c r="R386">
        <v>11.84</v>
      </c>
      <c r="S386">
        <v>47.36</v>
      </c>
      <c r="T386">
        <v>35.96</v>
      </c>
      <c r="U386">
        <v>24.07</v>
      </c>
      <c r="V386" t="str">
        <f>VLOOKUP(L386,'[2]tabela de preços'!$A:$D,4,0)</f>
        <v>BRASILUX</v>
      </c>
      <c r="W386" t="str">
        <f>VLOOKUP(L386,'[2]tabela de preços'!$A:$F,6,0)</f>
        <v>MASSA DE POLIR</v>
      </c>
      <c r="X386" t="str">
        <f>VLOOKUP(L386,'[2]tabela de preços'!$A:$G,7,0)</f>
        <v>AUTOMOTIVO</v>
      </c>
    </row>
    <row r="387" spans="1:24" x14ac:dyDescent="0.3">
      <c r="A387" t="s">
        <v>974</v>
      </c>
      <c r="C387" t="s">
        <v>979</v>
      </c>
      <c r="D387" s="1">
        <v>46029</v>
      </c>
      <c r="E387" t="s">
        <v>980</v>
      </c>
      <c r="F387">
        <v>9</v>
      </c>
      <c r="G387">
        <v>197</v>
      </c>
      <c r="H387" t="str">
        <f>VLOOKUP(G387,[1]OPERADORES!$A:$B,2,0)</f>
        <v xml:space="preserve">POLIANA LORRANE DE AMORIM </v>
      </c>
      <c r="I387" t="s">
        <v>21</v>
      </c>
      <c r="J387" t="s">
        <v>397</v>
      </c>
      <c r="K387" t="s">
        <v>977</v>
      </c>
      <c r="L387">
        <v>85687</v>
      </c>
      <c r="M387" t="s">
        <v>982</v>
      </c>
      <c r="O387" t="s">
        <v>11</v>
      </c>
      <c r="P387">
        <v>5102</v>
      </c>
      <c r="Q387">
        <v>8</v>
      </c>
      <c r="R387">
        <v>9.06</v>
      </c>
      <c r="S387">
        <v>72.48</v>
      </c>
      <c r="T387">
        <v>55.04</v>
      </c>
      <c r="U387">
        <v>24.06</v>
      </c>
      <c r="V387" t="str">
        <f>VLOOKUP(L387,'[2]tabela de preços'!$A:$D,4,0)</f>
        <v>UNIPEGA</v>
      </c>
      <c r="W387" t="str">
        <f>VLOOKUP(L387,'[2]tabela de preços'!$A:$F,6,0)</f>
        <v>SILICONE</v>
      </c>
      <c r="X387" t="str">
        <f>VLOOKUP(L387,'[2]tabela de preços'!$A:$G,7,0)</f>
        <v>IMOBILIÁRIO</v>
      </c>
    </row>
    <row r="388" spans="1:24" x14ac:dyDescent="0.3">
      <c r="A388" t="s">
        <v>974</v>
      </c>
      <c r="C388" t="s">
        <v>979</v>
      </c>
      <c r="D388" s="1">
        <v>46029</v>
      </c>
      <c r="E388" t="s">
        <v>980</v>
      </c>
      <c r="F388">
        <v>9</v>
      </c>
      <c r="G388">
        <v>197</v>
      </c>
      <c r="H388" t="str">
        <f>VLOOKUP(G388,[1]OPERADORES!$A:$B,2,0)</f>
        <v xml:space="preserve">POLIANA LORRANE DE AMORIM </v>
      </c>
      <c r="I388" t="s">
        <v>21</v>
      </c>
      <c r="J388" t="s">
        <v>397</v>
      </c>
      <c r="K388" t="s">
        <v>977</v>
      </c>
      <c r="L388">
        <v>10404</v>
      </c>
      <c r="M388" t="s">
        <v>130</v>
      </c>
      <c r="O388" t="s">
        <v>11</v>
      </c>
      <c r="P388">
        <v>5102</v>
      </c>
      <c r="Q388">
        <v>8</v>
      </c>
      <c r="R388">
        <v>16.09</v>
      </c>
      <c r="S388">
        <v>128.72</v>
      </c>
      <c r="T388">
        <v>106.56</v>
      </c>
      <c r="U388">
        <v>17.22</v>
      </c>
      <c r="V388" t="str">
        <f>VLOOKUP(L388,'[2]tabela de preços'!$A:$D,4,0)</f>
        <v>MAXI RUBBER</v>
      </c>
      <c r="W388" t="str">
        <f>VLOOKUP(L388,'[2]tabela de preços'!$A:$F,6,0)</f>
        <v>VEDADORES / SELANTES</v>
      </c>
      <c r="X388" t="str">
        <f>VLOOKUP(L388,'[2]tabela de preços'!$A:$G,7,0)</f>
        <v>AUTOMOTIVO</v>
      </c>
    </row>
    <row r="389" spans="1:24" x14ac:dyDescent="0.3">
      <c r="A389" t="s">
        <v>1155</v>
      </c>
      <c r="C389" t="s">
        <v>1156</v>
      </c>
      <c r="D389" s="1">
        <v>46029</v>
      </c>
      <c r="E389" t="s">
        <v>1157</v>
      </c>
      <c r="F389">
        <v>9</v>
      </c>
      <c r="G389">
        <v>174</v>
      </c>
      <c r="H389" t="str">
        <f>VLOOKUP(G389,[1]OPERADORES!$A:$B,2,0)</f>
        <v>MIRIÃ LOBATO RODRIGUES</v>
      </c>
      <c r="I389" t="s">
        <v>21</v>
      </c>
      <c r="J389" t="s">
        <v>211</v>
      </c>
      <c r="K389" t="s">
        <v>1158</v>
      </c>
      <c r="L389">
        <v>84497</v>
      </c>
      <c r="M389" t="s">
        <v>1159</v>
      </c>
      <c r="O389" t="s">
        <v>11</v>
      </c>
      <c r="P389">
        <v>5102</v>
      </c>
      <c r="Q389">
        <v>2</v>
      </c>
      <c r="R389">
        <v>11.8</v>
      </c>
      <c r="S389">
        <v>23.6</v>
      </c>
      <c r="T389">
        <v>16.28</v>
      </c>
      <c r="U389">
        <v>31.02</v>
      </c>
      <c r="V389" t="str">
        <f>VLOOKUP(L389,'[2]tabela de preços'!$A:$D,4,0)</f>
        <v>BRASILUX</v>
      </c>
      <c r="W389" t="str">
        <f>VLOOKUP(L389,'[2]tabela de preços'!$A:$F,6,0)</f>
        <v>THINNER DE LIMPEZA</v>
      </c>
      <c r="X389" t="str">
        <f>VLOOKUP(L389,'[2]tabela de preços'!$A:$G,7,0)</f>
        <v>THINNER</v>
      </c>
    </row>
    <row r="390" spans="1:24" x14ac:dyDescent="0.3">
      <c r="A390" t="s">
        <v>1155</v>
      </c>
      <c r="C390" t="s">
        <v>1156</v>
      </c>
      <c r="D390" s="1">
        <v>46029</v>
      </c>
      <c r="E390" t="s">
        <v>1157</v>
      </c>
      <c r="F390">
        <v>9</v>
      </c>
      <c r="G390">
        <v>174</v>
      </c>
      <c r="H390" t="str">
        <f>VLOOKUP(G390,[1]OPERADORES!$A:$B,2,0)</f>
        <v>MIRIÃ LOBATO RODRIGUES</v>
      </c>
      <c r="I390" t="s">
        <v>21</v>
      </c>
      <c r="J390" t="s">
        <v>211</v>
      </c>
      <c r="K390" t="s">
        <v>1158</v>
      </c>
      <c r="L390">
        <v>20414</v>
      </c>
      <c r="M390" t="s">
        <v>112</v>
      </c>
      <c r="O390" t="s">
        <v>11</v>
      </c>
      <c r="P390">
        <v>5102</v>
      </c>
      <c r="Q390">
        <v>4</v>
      </c>
      <c r="R390">
        <v>21.89</v>
      </c>
      <c r="S390">
        <v>87.56</v>
      </c>
      <c r="T390">
        <v>72</v>
      </c>
      <c r="U390">
        <v>17.77</v>
      </c>
      <c r="V390" t="str">
        <f>VLOOKUP(L390,'[2]tabela de preços'!$A:$D,4,0)</f>
        <v>SHERWIN WILLIAMS</v>
      </c>
      <c r="W390" t="str">
        <f>VLOOKUP(L390,'[2]tabela de preços'!$A:$F,6,0)</f>
        <v>DILUENTE</v>
      </c>
      <c r="X390" t="str">
        <f>VLOOKUP(L390,'[2]tabela de preços'!$A:$G,7,0)</f>
        <v>AUTOMOTIVO</v>
      </c>
    </row>
    <row r="391" spans="1:24" x14ac:dyDescent="0.3">
      <c r="A391" t="s">
        <v>1262</v>
      </c>
      <c r="C391" t="s">
        <v>1263</v>
      </c>
      <c r="D391" s="1">
        <v>46029</v>
      </c>
      <c r="E391" t="s">
        <v>1264</v>
      </c>
      <c r="F391">
        <v>9</v>
      </c>
      <c r="G391">
        <v>236</v>
      </c>
      <c r="H391" t="str">
        <f>VLOOKUP(G391,[1]OPERADORES!$A:$B,2,0)</f>
        <v>DANIEL</v>
      </c>
      <c r="I391" t="s">
        <v>21</v>
      </c>
      <c r="J391" t="s">
        <v>1265</v>
      </c>
      <c r="K391" t="s">
        <v>1266</v>
      </c>
      <c r="L391">
        <v>84928</v>
      </c>
      <c r="M391" t="s">
        <v>36</v>
      </c>
      <c r="O391" t="s">
        <v>11</v>
      </c>
      <c r="P391">
        <v>5102</v>
      </c>
      <c r="Q391">
        <v>4</v>
      </c>
      <c r="R391">
        <v>9.7200000000000006</v>
      </c>
      <c r="S391">
        <v>38.880000000000003</v>
      </c>
      <c r="T391">
        <v>28.52</v>
      </c>
      <c r="U391">
        <v>26.65</v>
      </c>
      <c r="V391" t="str">
        <f>VLOOKUP(L391,'[2]tabela de preços'!$A:$D,4,0)</f>
        <v>ADERE</v>
      </c>
      <c r="W391" t="str">
        <f>VLOOKUP(L391,'[2]tabela de preços'!$A:$F,6,0)</f>
        <v xml:space="preserve">FITA DE USO GERAL </v>
      </c>
      <c r="X391" t="str">
        <f>VLOOKUP(L391,'[2]tabela de preços'!$A:$G,7,0)</f>
        <v>IMOBILIÁRIO</v>
      </c>
    </row>
    <row r="392" spans="1:24" x14ac:dyDescent="0.3">
      <c r="A392" t="s">
        <v>1262</v>
      </c>
      <c r="C392" t="s">
        <v>1263</v>
      </c>
      <c r="D392" s="1">
        <v>46029</v>
      </c>
      <c r="E392" t="s">
        <v>1264</v>
      </c>
      <c r="F392">
        <v>9</v>
      </c>
      <c r="G392">
        <v>236</v>
      </c>
      <c r="H392" t="str">
        <f>VLOOKUP(G392,[1]OPERADORES!$A:$B,2,0)</f>
        <v>DANIEL</v>
      </c>
      <c r="I392" t="s">
        <v>21</v>
      </c>
      <c r="J392" t="s">
        <v>1265</v>
      </c>
      <c r="K392" t="s">
        <v>1266</v>
      </c>
      <c r="L392">
        <v>85599</v>
      </c>
      <c r="M392" t="s">
        <v>38</v>
      </c>
      <c r="O392" t="s">
        <v>11</v>
      </c>
      <c r="P392">
        <v>5102</v>
      </c>
      <c r="Q392">
        <v>5</v>
      </c>
      <c r="R392">
        <v>2.68</v>
      </c>
      <c r="S392">
        <v>13.4</v>
      </c>
      <c r="T392">
        <v>9.8000000000000007</v>
      </c>
      <c r="U392">
        <v>26.87</v>
      </c>
      <c r="V392" t="str">
        <f>VLOOKUP(L392,'[2]tabela de preços'!$A:$D,4,0)</f>
        <v>REJUMASSA</v>
      </c>
      <c r="W392" t="str">
        <f>VLOOKUP(L392,'[2]tabela de preços'!$A:$F,6,0)</f>
        <v>GESSO</v>
      </c>
      <c r="X392" t="str">
        <f>VLOOKUP(L392,'[2]tabela de preços'!$A:$G,7,0)</f>
        <v>IMOBILIÁRIO</v>
      </c>
    </row>
    <row r="393" spans="1:24" x14ac:dyDescent="0.3">
      <c r="A393" t="s">
        <v>1275</v>
      </c>
      <c r="C393" t="s">
        <v>1281</v>
      </c>
      <c r="D393" s="1">
        <v>46029</v>
      </c>
      <c r="E393" t="s">
        <v>1282</v>
      </c>
      <c r="F393">
        <v>9</v>
      </c>
      <c r="G393">
        <v>197</v>
      </c>
      <c r="H393" t="str">
        <f>VLOOKUP(G393,[1]OPERADORES!$A:$B,2,0)</f>
        <v xml:space="preserve">POLIANA LORRANE DE AMORIM </v>
      </c>
      <c r="I393" t="s">
        <v>21</v>
      </c>
      <c r="J393" t="s">
        <v>1278</v>
      </c>
      <c r="K393" t="s">
        <v>1279</v>
      </c>
      <c r="L393">
        <v>84785</v>
      </c>
      <c r="M393" t="s">
        <v>944</v>
      </c>
      <c r="O393" t="s">
        <v>11</v>
      </c>
      <c r="P393">
        <v>5403</v>
      </c>
      <c r="Q393">
        <v>25</v>
      </c>
      <c r="R393">
        <v>172.23</v>
      </c>
      <c r="S393" s="2">
        <v>4305.75</v>
      </c>
      <c r="T393" s="2">
        <v>3268</v>
      </c>
      <c r="U393">
        <v>24.1</v>
      </c>
      <c r="V393" t="str">
        <f>VLOOKUP(L393,'[2]tabela de preços'!$A:$D,4,0)</f>
        <v>BRASILUX</v>
      </c>
      <c r="W393" t="str">
        <f>VLOOKUP(L393,'[2]tabela de preços'!$A:$F,6,0)</f>
        <v>EPOXI</v>
      </c>
      <c r="X393" t="str">
        <f>VLOOKUP(L393,'[2]tabela de preços'!$A:$G,7,0)</f>
        <v>INDUSTRIAL</v>
      </c>
    </row>
    <row r="394" spans="1:24" x14ac:dyDescent="0.3">
      <c r="A394" t="s">
        <v>1430</v>
      </c>
      <c r="C394" t="s">
        <v>1435</v>
      </c>
      <c r="D394" s="1">
        <v>46029</v>
      </c>
      <c r="E394" t="s">
        <v>1436</v>
      </c>
      <c r="F394">
        <v>9</v>
      </c>
      <c r="G394">
        <v>197</v>
      </c>
      <c r="H394" t="str">
        <f>VLOOKUP(G394,[1]OPERADORES!$A:$B,2,0)</f>
        <v xml:space="preserve">POLIANA LORRANE DE AMORIM </v>
      </c>
      <c r="I394" t="s">
        <v>21</v>
      </c>
      <c r="J394" t="s">
        <v>363</v>
      </c>
      <c r="K394" t="s">
        <v>1433</v>
      </c>
      <c r="L394">
        <v>85424</v>
      </c>
      <c r="M394" t="s">
        <v>1437</v>
      </c>
      <c r="O394" t="s">
        <v>11</v>
      </c>
      <c r="P394">
        <v>5102</v>
      </c>
      <c r="Q394">
        <v>1</v>
      </c>
      <c r="R394">
        <v>530.51</v>
      </c>
      <c r="S394">
        <v>530.51</v>
      </c>
      <c r="T394">
        <v>378.26</v>
      </c>
      <c r="U394">
        <v>28.7</v>
      </c>
      <c r="V394" t="str">
        <f>VLOOKUP(L394,'[2]tabela de preços'!$A:$D,4,0)</f>
        <v>BRASILUX</v>
      </c>
      <c r="W394" t="str">
        <f>VLOOKUP(L394,'[2]tabela de preços'!$A:$F,6,0)</f>
        <v>TINTA EM PÓ</v>
      </c>
      <c r="X394" t="str">
        <f>VLOOKUP(L394,'[2]tabela de preços'!$A:$G,7,0)</f>
        <v>INDUSTRIAL</v>
      </c>
    </row>
    <row r="395" spans="1:24" x14ac:dyDescent="0.3">
      <c r="A395" t="s">
        <v>1444</v>
      </c>
      <c r="C395" t="s">
        <v>1445</v>
      </c>
      <c r="D395" s="1">
        <v>46029</v>
      </c>
      <c r="E395" t="s">
        <v>1446</v>
      </c>
      <c r="F395">
        <v>9</v>
      </c>
      <c r="G395">
        <v>231</v>
      </c>
      <c r="H395" t="str">
        <f>VLOOKUP(G395,[1]OPERADORES!$A:$B,2,0)</f>
        <v>EDIJANE</v>
      </c>
      <c r="I395" t="s">
        <v>21</v>
      </c>
      <c r="J395" t="s">
        <v>363</v>
      </c>
      <c r="K395" t="s">
        <v>1447</v>
      </c>
      <c r="L395">
        <v>10236</v>
      </c>
      <c r="M395" t="s">
        <v>133</v>
      </c>
      <c r="O395" t="s">
        <v>11</v>
      </c>
      <c r="P395">
        <v>5102</v>
      </c>
      <c r="Q395">
        <v>102</v>
      </c>
      <c r="R395">
        <v>2.79</v>
      </c>
      <c r="S395">
        <v>284.58</v>
      </c>
      <c r="T395">
        <v>241.74</v>
      </c>
      <c r="U395">
        <v>15.05</v>
      </c>
      <c r="V395" t="str">
        <f>VLOOKUP(L395,'[2]tabela de preços'!$A:$D,4,0)</f>
        <v>NORTON</v>
      </c>
      <c r="W395" t="str">
        <f>VLOOKUP(L395,'[2]tabela de preços'!$A:$F,6,0)</f>
        <v xml:space="preserve">DISCOS / LIXAS / ABRASIVOS </v>
      </c>
      <c r="X395" t="str">
        <f>VLOOKUP(L395,'[2]tabela de preços'!$A:$G,7,0)</f>
        <v>AUTOMOTIVO</v>
      </c>
    </row>
    <row r="396" spans="1:24" x14ac:dyDescent="0.3">
      <c r="A396" t="s">
        <v>1444</v>
      </c>
      <c r="C396" t="s">
        <v>1445</v>
      </c>
      <c r="D396" s="1">
        <v>46029</v>
      </c>
      <c r="E396" t="s">
        <v>1446</v>
      </c>
      <c r="F396">
        <v>9</v>
      </c>
      <c r="G396">
        <v>231</v>
      </c>
      <c r="H396" t="str">
        <f>VLOOKUP(G396,[1]OPERADORES!$A:$B,2,0)</f>
        <v>EDIJANE</v>
      </c>
      <c r="I396" t="s">
        <v>21</v>
      </c>
      <c r="J396" t="s">
        <v>363</v>
      </c>
      <c r="K396" t="s">
        <v>1447</v>
      </c>
      <c r="L396">
        <v>10298</v>
      </c>
      <c r="M396" t="s">
        <v>85</v>
      </c>
      <c r="O396" t="s">
        <v>11</v>
      </c>
      <c r="P396">
        <v>5102</v>
      </c>
      <c r="Q396">
        <v>4</v>
      </c>
      <c r="R396">
        <v>56.8</v>
      </c>
      <c r="S396">
        <v>227.2</v>
      </c>
      <c r="T396">
        <v>189.52</v>
      </c>
      <c r="U396">
        <v>16.579999999999998</v>
      </c>
      <c r="V396" t="str">
        <f>VLOOKUP(L396,'[2]tabela de preços'!$A:$D,4,0)</f>
        <v>ANJO</v>
      </c>
      <c r="W396" t="str">
        <f>VLOOKUP(L396,'[2]tabela de preços'!$A:$F,6,0)</f>
        <v>THINNER DE LIMPEZA</v>
      </c>
      <c r="X396" t="str">
        <f>VLOOKUP(L396,'[2]tabela de preços'!$A:$G,7,0)</f>
        <v>THINNER</v>
      </c>
    </row>
    <row r="397" spans="1:24" x14ac:dyDescent="0.3">
      <c r="A397" t="s">
        <v>1444</v>
      </c>
      <c r="C397" t="s">
        <v>1445</v>
      </c>
      <c r="D397" s="1">
        <v>46029</v>
      </c>
      <c r="E397" t="s">
        <v>1446</v>
      </c>
      <c r="F397">
        <v>9</v>
      </c>
      <c r="G397">
        <v>231</v>
      </c>
      <c r="H397" t="str">
        <f>VLOOKUP(G397,[1]OPERADORES!$A:$B,2,0)</f>
        <v>EDIJANE</v>
      </c>
      <c r="I397" t="s">
        <v>21</v>
      </c>
      <c r="J397" t="s">
        <v>363</v>
      </c>
      <c r="K397" t="s">
        <v>1447</v>
      </c>
      <c r="L397">
        <v>85321</v>
      </c>
      <c r="M397" t="s">
        <v>1063</v>
      </c>
      <c r="O397" t="s">
        <v>11</v>
      </c>
      <c r="P397">
        <v>5102</v>
      </c>
      <c r="Q397">
        <v>1</v>
      </c>
      <c r="R397">
        <v>614.41</v>
      </c>
      <c r="S397">
        <v>614.41</v>
      </c>
      <c r="T397">
        <v>438.08</v>
      </c>
      <c r="U397">
        <v>28.7</v>
      </c>
      <c r="V397" t="str">
        <f>VLOOKUP(L397,'[2]tabela de preços'!$A:$D,4,0)</f>
        <v>BRASILUX</v>
      </c>
      <c r="W397" t="str">
        <f>VLOOKUP(L397,'[2]tabela de preços'!$A:$F,6,0)</f>
        <v>TINTA EM PÓ</v>
      </c>
      <c r="X397" t="str">
        <f>VLOOKUP(L397,'[2]tabela de preços'!$A:$G,7,0)</f>
        <v>INDUSTRIAL</v>
      </c>
    </row>
    <row r="398" spans="1:24" x14ac:dyDescent="0.3">
      <c r="A398" t="s">
        <v>1524</v>
      </c>
      <c r="B398" t="s">
        <v>1525</v>
      </c>
      <c r="C398" t="s">
        <v>1526</v>
      </c>
      <c r="D398" s="1">
        <v>46029</v>
      </c>
      <c r="E398" t="s">
        <v>1527</v>
      </c>
      <c r="F398">
        <v>9</v>
      </c>
      <c r="G398">
        <v>236</v>
      </c>
      <c r="H398" t="str">
        <f>VLOOKUP(G398,[1]OPERADORES!$A:$B,2,0)</f>
        <v>DANIEL</v>
      </c>
      <c r="I398" t="s">
        <v>21</v>
      </c>
      <c r="J398" t="s">
        <v>762</v>
      </c>
      <c r="K398" t="s">
        <v>1528</v>
      </c>
      <c r="L398">
        <v>84384</v>
      </c>
      <c r="M398" t="s">
        <v>1529</v>
      </c>
      <c r="O398" t="s">
        <v>11</v>
      </c>
      <c r="P398">
        <v>5403</v>
      </c>
      <c r="Q398">
        <v>2</v>
      </c>
      <c r="R398">
        <v>162.9</v>
      </c>
      <c r="S398">
        <v>325.8</v>
      </c>
      <c r="T398">
        <v>271.54000000000002</v>
      </c>
      <c r="U398">
        <v>16.649999999999999</v>
      </c>
      <c r="V398" t="str">
        <f>VLOOKUP(L398,'[2]tabela de preços'!$A:$D,4,0)</f>
        <v>BRASILUX</v>
      </c>
      <c r="W398" t="str">
        <f>VLOOKUP(L398,'[2]tabela de preços'!$A:$F,6,0)</f>
        <v>TINTA PARA PISO</v>
      </c>
      <c r="X398" t="str">
        <f>VLOOKUP(L398,'[2]tabela de preços'!$A:$G,7,0)</f>
        <v>IMOBILIÁRIO</v>
      </c>
    </row>
    <row r="399" spans="1:24" x14ac:dyDescent="0.3">
      <c r="A399" t="s">
        <v>1524</v>
      </c>
      <c r="B399" t="s">
        <v>1525</v>
      </c>
      <c r="C399" t="s">
        <v>1526</v>
      </c>
      <c r="D399" s="1">
        <v>46029</v>
      </c>
      <c r="E399" t="s">
        <v>1527</v>
      </c>
      <c r="F399">
        <v>9</v>
      </c>
      <c r="G399">
        <v>236</v>
      </c>
      <c r="H399" t="str">
        <f>VLOOKUP(G399,[1]OPERADORES!$A:$B,2,0)</f>
        <v>DANIEL</v>
      </c>
      <c r="I399" t="s">
        <v>21</v>
      </c>
      <c r="J399" t="s">
        <v>762</v>
      </c>
      <c r="K399" t="s">
        <v>1528</v>
      </c>
      <c r="L399">
        <v>85280</v>
      </c>
      <c r="M399" t="s">
        <v>943</v>
      </c>
      <c r="O399" t="s">
        <v>11</v>
      </c>
      <c r="P399">
        <v>5102</v>
      </c>
      <c r="Q399">
        <v>3</v>
      </c>
      <c r="R399">
        <v>55.72</v>
      </c>
      <c r="S399">
        <v>167.16</v>
      </c>
      <c r="T399">
        <v>126.87</v>
      </c>
      <c r="U399">
        <v>24.1</v>
      </c>
      <c r="V399" t="str">
        <f>VLOOKUP(L399,'[2]tabela de preços'!$A:$D,4,0)</f>
        <v>BRASILUX</v>
      </c>
      <c r="W399" t="str">
        <f>VLOOKUP(L399,'[2]tabela de preços'!$A:$F,6,0)</f>
        <v>CATALISADORES INDIVIDUAIS</v>
      </c>
      <c r="X399" t="str">
        <f>VLOOKUP(L399,'[2]tabela de preços'!$A:$G,7,0)</f>
        <v>IMOBILIÁRIO</v>
      </c>
    </row>
    <row r="400" spans="1:24" x14ac:dyDescent="0.3">
      <c r="A400" t="s">
        <v>1524</v>
      </c>
      <c r="B400" t="s">
        <v>1525</v>
      </c>
      <c r="C400" t="s">
        <v>1526</v>
      </c>
      <c r="D400" s="1">
        <v>46029</v>
      </c>
      <c r="E400" t="s">
        <v>1527</v>
      </c>
      <c r="F400">
        <v>9</v>
      </c>
      <c r="G400">
        <v>236</v>
      </c>
      <c r="H400" t="str">
        <f>VLOOKUP(G400,[1]OPERADORES!$A:$B,2,0)</f>
        <v>DANIEL</v>
      </c>
      <c r="I400" t="s">
        <v>21</v>
      </c>
      <c r="J400" t="s">
        <v>762</v>
      </c>
      <c r="K400" t="s">
        <v>1528</v>
      </c>
      <c r="L400">
        <v>23690</v>
      </c>
      <c r="M400" t="s">
        <v>98</v>
      </c>
      <c r="O400" t="s">
        <v>11</v>
      </c>
      <c r="P400">
        <v>5403</v>
      </c>
      <c r="Q400">
        <v>1</v>
      </c>
      <c r="R400">
        <v>39.89</v>
      </c>
      <c r="S400">
        <v>39.89</v>
      </c>
      <c r="T400">
        <v>31.61</v>
      </c>
      <c r="U400">
        <v>20.76</v>
      </c>
      <c r="V400" t="str">
        <f>VLOOKUP(L400,'[2]tabela de preços'!$A:$D,4,0)</f>
        <v>WANDA</v>
      </c>
      <c r="W400" t="str">
        <f>VLOOKUP(L400,'[2]tabela de preços'!$A:$F,6,0)</f>
        <v>VERNIZ AUTOMOTIVO</v>
      </c>
      <c r="X400" t="str">
        <f>VLOOKUP(L400,'[2]tabela de preços'!$A:$G,7,0)</f>
        <v>AUTOMOTIVO</v>
      </c>
    </row>
    <row r="401" spans="1:24" x14ac:dyDescent="0.3">
      <c r="A401" t="s">
        <v>1561</v>
      </c>
      <c r="C401" t="s">
        <v>1567</v>
      </c>
      <c r="D401" s="1">
        <v>46029</v>
      </c>
      <c r="E401" t="s">
        <v>1568</v>
      </c>
      <c r="F401">
        <v>9</v>
      </c>
      <c r="G401">
        <v>174</v>
      </c>
      <c r="H401" t="str">
        <f>VLOOKUP(G401,[1]OPERADORES!$A:$B,2,0)</f>
        <v>MIRIÃ LOBATO RODRIGUES</v>
      </c>
      <c r="I401" t="s">
        <v>21</v>
      </c>
      <c r="J401" t="s">
        <v>1564</v>
      </c>
      <c r="K401" t="s">
        <v>1565</v>
      </c>
      <c r="L401">
        <v>84334</v>
      </c>
      <c r="M401" t="s">
        <v>895</v>
      </c>
      <c r="O401" t="s">
        <v>11</v>
      </c>
      <c r="P401">
        <v>5403</v>
      </c>
      <c r="Q401">
        <v>4</v>
      </c>
      <c r="R401">
        <v>60.89</v>
      </c>
      <c r="S401">
        <v>243.56</v>
      </c>
      <c r="T401">
        <v>190.64</v>
      </c>
      <c r="U401">
        <v>21.73</v>
      </c>
      <c r="V401" t="str">
        <f>VLOOKUP(L401,'[2]tabela de preços'!$A:$D,4,0)</f>
        <v>BRASILUX</v>
      </c>
      <c r="W401" t="str">
        <f>VLOOKUP(L401,'[2]tabela de preços'!$A:$F,6,0)</f>
        <v>ESMALTES</v>
      </c>
      <c r="X401" t="str">
        <f>VLOOKUP(L401,'[2]tabela de preços'!$A:$G,7,0)</f>
        <v>INDUSTRIAL</v>
      </c>
    </row>
    <row r="402" spans="1:24" x14ac:dyDescent="0.3">
      <c r="A402" t="s">
        <v>1780</v>
      </c>
      <c r="C402" t="s">
        <v>1781</v>
      </c>
      <c r="D402" s="1">
        <v>46029</v>
      </c>
      <c r="E402" t="s">
        <v>1782</v>
      </c>
      <c r="F402">
        <v>9</v>
      </c>
      <c r="G402">
        <v>236</v>
      </c>
      <c r="H402" t="str">
        <f>VLOOKUP(G402,[1]OPERADORES!$A:$B,2,0)</f>
        <v>DANIEL</v>
      </c>
      <c r="I402" t="s">
        <v>21</v>
      </c>
      <c r="J402" t="s">
        <v>397</v>
      </c>
      <c r="K402" t="s">
        <v>1783</v>
      </c>
      <c r="L402">
        <v>86598</v>
      </c>
      <c r="M402" t="s">
        <v>1784</v>
      </c>
      <c r="O402" t="s">
        <v>11</v>
      </c>
      <c r="P402">
        <v>5403</v>
      </c>
      <c r="Q402">
        <v>1</v>
      </c>
      <c r="R402">
        <v>474.33</v>
      </c>
      <c r="S402">
        <v>474.33</v>
      </c>
      <c r="T402">
        <v>360.02</v>
      </c>
      <c r="U402">
        <v>24.1</v>
      </c>
      <c r="V402" t="str">
        <f>VLOOKUP(L402,'[2]tabela de preços'!$A:$D,4,0)</f>
        <v>CORAL</v>
      </c>
      <c r="W402" t="str">
        <f>VLOOKUP(L402,'[2]tabela de preços'!$A:$F,6,0)</f>
        <v>TINTA PAREDE</v>
      </c>
      <c r="X402" t="str">
        <f>VLOOKUP(L402,'[2]tabela de preços'!$A:$G,7,0)</f>
        <v>IMOBILIÁRIO</v>
      </c>
    </row>
    <row r="403" spans="1:24" x14ac:dyDescent="0.3">
      <c r="A403" t="s">
        <v>2080</v>
      </c>
      <c r="B403" t="s">
        <v>2081</v>
      </c>
      <c r="C403" t="s">
        <v>2082</v>
      </c>
      <c r="D403" s="1">
        <v>46029</v>
      </c>
      <c r="E403" t="s">
        <v>2083</v>
      </c>
      <c r="F403">
        <v>9</v>
      </c>
      <c r="G403">
        <v>197</v>
      </c>
      <c r="H403" t="str">
        <f>VLOOKUP(G403,[1]OPERADORES!$A:$B,2,0)</f>
        <v xml:space="preserve">POLIANA LORRANE DE AMORIM </v>
      </c>
      <c r="I403" t="s">
        <v>21</v>
      </c>
      <c r="J403" t="s">
        <v>614</v>
      </c>
      <c r="K403" t="s">
        <v>2084</v>
      </c>
      <c r="L403">
        <v>84026</v>
      </c>
      <c r="M403" t="s">
        <v>816</v>
      </c>
      <c r="O403" t="s">
        <v>11</v>
      </c>
      <c r="P403">
        <v>5102</v>
      </c>
      <c r="Q403">
        <v>29</v>
      </c>
      <c r="R403">
        <v>9.48</v>
      </c>
      <c r="S403">
        <v>274.92</v>
      </c>
      <c r="T403">
        <v>201.55</v>
      </c>
      <c r="U403">
        <v>26.69</v>
      </c>
      <c r="V403" t="str">
        <f>VLOOKUP(L403,'[2]tabela de preços'!$A:$D,4,0)</f>
        <v>BRASILUX</v>
      </c>
      <c r="W403" t="str">
        <f>VLOOKUP(L403,'[2]tabela de preços'!$A:$F,6,0)</f>
        <v>CATALISADORES INDIVIDUAIS</v>
      </c>
      <c r="X403" t="str">
        <f>VLOOKUP(L403,'[2]tabela de preços'!$A:$G,7,0)</f>
        <v>IMOBILIÁRIO</v>
      </c>
    </row>
    <row r="404" spans="1:24" x14ac:dyDescent="0.3">
      <c r="A404" t="s">
        <v>2080</v>
      </c>
      <c r="B404" t="s">
        <v>2081</v>
      </c>
      <c r="C404" t="s">
        <v>2082</v>
      </c>
      <c r="D404" s="1">
        <v>46029</v>
      </c>
      <c r="E404" t="s">
        <v>2083</v>
      </c>
      <c r="F404">
        <v>9</v>
      </c>
      <c r="G404">
        <v>197</v>
      </c>
      <c r="H404" t="str">
        <f>VLOOKUP(G404,[1]OPERADORES!$A:$B,2,0)</f>
        <v xml:space="preserve">POLIANA LORRANE DE AMORIM </v>
      </c>
      <c r="I404" t="s">
        <v>21</v>
      </c>
      <c r="J404" t="s">
        <v>614</v>
      </c>
      <c r="K404" t="s">
        <v>2084</v>
      </c>
      <c r="L404">
        <v>84560</v>
      </c>
      <c r="M404" t="s">
        <v>118</v>
      </c>
      <c r="O404" t="s">
        <v>11</v>
      </c>
      <c r="P404">
        <v>5102</v>
      </c>
      <c r="Q404">
        <v>12</v>
      </c>
      <c r="R404">
        <v>46.9</v>
      </c>
      <c r="S404">
        <v>562.79999999999995</v>
      </c>
      <c r="T404">
        <v>469.92</v>
      </c>
      <c r="U404">
        <v>16.5</v>
      </c>
      <c r="V404" t="str">
        <f>VLOOKUP(L404,'[2]tabela de preços'!$A:$D,4,0)</f>
        <v>BRASILUX</v>
      </c>
      <c r="W404" t="str">
        <f>VLOOKUP(L404,'[2]tabela de preços'!$A:$F,6,0)</f>
        <v>THINNER DE LIMPEZA</v>
      </c>
      <c r="X404" t="str">
        <f>VLOOKUP(L404,'[2]tabela de preços'!$A:$G,7,0)</f>
        <v>THINNER</v>
      </c>
    </row>
    <row r="405" spans="1:24" x14ac:dyDescent="0.3">
      <c r="A405" t="s">
        <v>2080</v>
      </c>
      <c r="B405" t="s">
        <v>2081</v>
      </c>
      <c r="C405" t="s">
        <v>2082</v>
      </c>
      <c r="D405" s="1">
        <v>46029</v>
      </c>
      <c r="E405" t="s">
        <v>2083</v>
      </c>
      <c r="F405">
        <v>9</v>
      </c>
      <c r="G405">
        <v>197</v>
      </c>
      <c r="H405" t="str">
        <f>VLOOKUP(G405,[1]OPERADORES!$A:$B,2,0)</f>
        <v xml:space="preserve">POLIANA LORRANE DE AMORIM </v>
      </c>
      <c r="I405" t="s">
        <v>21</v>
      </c>
      <c r="J405" t="s">
        <v>614</v>
      </c>
      <c r="K405" t="s">
        <v>2084</v>
      </c>
      <c r="L405">
        <v>84497</v>
      </c>
      <c r="M405" t="s">
        <v>1159</v>
      </c>
      <c r="O405" t="s">
        <v>11</v>
      </c>
      <c r="P405">
        <v>5102</v>
      </c>
      <c r="Q405">
        <v>12</v>
      </c>
      <c r="R405">
        <v>9.89</v>
      </c>
      <c r="S405">
        <v>118.68</v>
      </c>
      <c r="T405">
        <v>97.68</v>
      </c>
      <c r="U405">
        <v>17.690000000000001</v>
      </c>
      <c r="V405" t="str">
        <f>VLOOKUP(L405,'[2]tabela de preços'!$A:$D,4,0)</f>
        <v>BRASILUX</v>
      </c>
      <c r="W405" t="str">
        <f>VLOOKUP(L405,'[2]tabela de preços'!$A:$F,6,0)</f>
        <v>THINNER DE LIMPEZA</v>
      </c>
      <c r="X405" t="str">
        <f>VLOOKUP(L405,'[2]tabela de preços'!$A:$G,7,0)</f>
        <v>THINNER</v>
      </c>
    </row>
    <row r="406" spans="1:24" x14ac:dyDescent="0.3">
      <c r="A406" t="s">
        <v>2100</v>
      </c>
      <c r="C406" t="s">
        <v>2101</v>
      </c>
      <c r="D406" s="1">
        <v>46029</v>
      </c>
      <c r="E406" t="s">
        <v>2102</v>
      </c>
      <c r="F406">
        <v>9</v>
      </c>
      <c r="G406">
        <v>174</v>
      </c>
      <c r="H406" t="str">
        <f>VLOOKUP(G406,[1]OPERADORES!$A:$B,2,0)</f>
        <v>MIRIÃ LOBATO RODRIGUES</v>
      </c>
      <c r="I406" t="s">
        <v>21</v>
      </c>
      <c r="J406" t="s">
        <v>1788</v>
      </c>
      <c r="K406" t="s">
        <v>2103</v>
      </c>
      <c r="L406">
        <v>21860</v>
      </c>
      <c r="M406" t="s">
        <v>2038</v>
      </c>
      <c r="O406" t="s">
        <v>11</v>
      </c>
      <c r="P406">
        <v>5403</v>
      </c>
      <c r="Q406">
        <v>1</v>
      </c>
      <c r="R406">
        <v>63.87</v>
      </c>
      <c r="S406">
        <v>63.87</v>
      </c>
      <c r="T406">
        <v>48.48</v>
      </c>
      <c r="U406">
        <v>24.1</v>
      </c>
      <c r="V406" t="str">
        <f>VLOOKUP(L406,'[2]tabela de preços'!$A:$D,4,0)</f>
        <v>SIKKENS</v>
      </c>
      <c r="W406" t="str">
        <f>VLOOKUP(L406,'[2]tabela de preços'!$A:$F,6,0)</f>
        <v>VERNIZ AUTOMOTIVO</v>
      </c>
      <c r="X406" t="str">
        <f>VLOOKUP(L406,'[2]tabela de preços'!$A:$G,7,0)</f>
        <v>AUTOMOTIVO</v>
      </c>
    </row>
    <row r="407" spans="1:24" x14ac:dyDescent="0.3">
      <c r="A407" t="s">
        <v>2100</v>
      </c>
      <c r="C407" t="s">
        <v>2101</v>
      </c>
      <c r="D407" s="1">
        <v>46029</v>
      </c>
      <c r="E407" t="s">
        <v>2102</v>
      </c>
      <c r="F407">
        <v>9</v>
      </c>
      <c r="G407">
        <v>174</v>
      </c>
      <c r="H407" t="str">
        <f>VLOOKUP(G407,[1]OPERADORES!$A:$B,2,0)</f>
        <v>MIRIÃ LOBATO RODRIGUES</v>
      </c>
      <c r="I407" t="s">
        <v>21</v>
      </c>
      <c r="J407" t="s">
        <v>1788</v>
      </c>
      <c r="K407" t="s">
        <v>2103</v>
      </c>
      <c r="L407">
        <v>84487</v>
      </c>
      <c r="M407" t="s">
        <v>633</v>
      </c>
      <c r="O407" t="s">
        <v>11</v>
      </c>
      <c r="P407">
        <v>5403</v>
      </c>
      <c r="Q407">
        <v>3</v>
      </c>
      <c r="R407">
        <v>28.84</v>
      </c>
      <c r="S407">
        <v>86.52</v>
      </c>
      <c r="T407">
        <v>65.67</v>
      </c>
      <c r="U407">
        <v>24.1</v>
      </c>
      <c r="V407" t="str">
        <f>VLOOKUP(L407,'[2]tabela de preços'!$A:$D,4,0)</f>
        <v>BRASILUX</v>
      </c>
      <c r="W407" t="str">
        <f>VLOOKUP(L407,'[2]tabela de preços'!$A:$F,6,0)</f>
        <v>TINTAS LACA</v>
      </c>
      <c r="X407" t="str">
        <f>VLOOKUP(L407,'[2]tabela de preços'!$A:$G,7,0)</f>
        <v>AUTOMOTIVO</v>
      </c>
    </row>
    <row r="408" spans="1:24" x14ac:dyDescent="0.3">
      <c r="A408" t="s">
        <v>2100</v>
      </c>
      <c r="C408" t="s">
        <v>2101</v>
      </c>
      <c r="D408" s="1">
        <v>46029</v>
      </c>
      <c r="E408" t="s">
        <v>2102</v>
      </c>
      <c r="F408">
        <v>9</v>
      </c>
      <c r="G408">
        <v>174</v>
      </c>
      <c r="H408" t="str">
        <f>VLOOKUP(G408,[1]OPERADORES!$A:$B,2,0)</f>
        <v>MIRIÃ LOBATO RODRIGUES</v>
      </c>
      <c r="I408" t="s">
        <v>21</v>
      </c>
      <c r="J408" t="s">
        <v>1788</v>
      </c>
      <c r="K408" t="s">
        <v>2103</v>
      </c>
      <c r="L408">
        <v>84108</v>
      </c>
      <c r="M408" t="s">
        <v>144</v>
      </c>
      <c r="O408" t="s">
        <v>11</v>
      </c>
      <c r="P408">
        <v>5403</v>
      </c>
      <c r="Q408">
        <v>4</v>
      </c>
      <c r="R408">
        <v>27.29</v>
      </c>
      <c r="S408">
        <v>109.16</v>
      </c>
      <c r="T408">
        <v>82.84</v>
      </c>
      <c r="U408">
        <v>24.11</v>
      </c>
      <c r="V408" t="str">
        <f>VLOOKUP(L408,'[2]tabela de preços'!$A:$D,4,0)</f>
        <v>BRASILUX</v>
      </c>
      <c r="W408" t="str">
        <f>VLOOKUP(L408,'[2]tabela de preços'!$A:$F,6,0)</f>
        <v>TINTAS LACA</v>
      </c>
      <c r="X408" t="str">
        <f>VLOOKUP(L408,'[2]tabela de preços'!$A:$G,7,0)</f>
        <v>AUTOMOTIVO</v>
      </c>
    </row>
    <row r="409" spans="1:24" x14ac:dyDescent="0.3">
      <c r="A409" t="s">
        <v>2100</v>
      </c>
      <c r="C409" t="s">
        <v>2101</v>
      </c>
      <c r="D409" s="1">
        <v>46029</v>
      </c>
      <c r="E409" t="s">
        <v>2102</v>
      </c>
      <c r="F409">
        <v>9</v>
      </c>
      <c r="G409">
        <v>174</v>
      </c>
      <c r="H409" t="str">
        <f>VLOOKUP(G409,[1]OPERADORES!$A:$B,2,0)</f>
        <v>MIRIÃ LOBATO RODRIGUES</v>
      </c>
      <c r="I409" t="s">
        <v>21</v>
      </c>
      <c r="J409" t="s">
        <v>1788</v>
      </c>
      <c r="K409" t="s">
        <v>2103</v>
      </c>
      <c r="L409">
        <v>21741</v>
      </c>
      <c r="M409" t="s">
        <v>1509</v>
      </c>
      <c r="O409" t="s">
        <v>11</v>
      </c>
      <c r="P409">
        <v>5102</v>
      </c>
      <c r="Q409">
        <v>4</v>
      </c>
      <c r="R409">
        <v>20.89</v>
      </c>
      <c r="S409">
        <v>83.56</v>
      </c>
      <c r="T409">
        <v>63.44</v>
      </c>
      <c r="U409">
        <v>24.08</v>
      </c>
      <c r="V409" t="str">
        <f>VLOOKUP(L409,'[2]tabela de preços'!$A:$D,4,0)</f>
        <v>SOLUFIX</v>
      </c>
      <c r="W409" t="str">
        <f>VLOOKUP(L409,'[2]tabela de preços'!$A:$F,6,0)</f>
        <v>COLA INST./ ADESIVOS COLANTES</v>
      </c>
      <c r="X409" t="str">
        <f>VLOOKUP(L409,'[2]tabela de preços'!$A:$G,7,0)</f>
        <v>AUTOMOTIVO</v>
      </c>
    </row>
    <row r="410" spans="1:24" x14ac:dyDescent="0.3">
      <c r="A410" t="s">
        <v>2100</v>
      </c>
      <c r="C410" t="s">
        <v>2101</v>
      </c>
      <c r="D410" s="1">
        <v>46029</v>
      </c>
      <c r="E410" t="s">
        <v>2102</v>
      </c>
      <c r="F410">
        <v>9</v>
      </c>
      <c r="G410">
        <v>174</v>
      </c>
      <c r="H410" t="str">
        <f>VLOOKUP(G410,[1]OPERADORES!$A:$B,2,0)</f>
        <v>MIRIÃ LOBATO RODRIGUES</v>
      </c>
      <c r="I410" t="s">
        <v>21</v>
      </c>
      <c r="J410" t="s">
        <v>1788</v>
      </c>
      <c r="K410" t="s">
        <v>2103</v>
      </c>
      <c r="L410">
        <v>10316</v>
      </c>
      <c r="M410" t="s">
        <v>582</v>
      </c>
      <c r="O410" t="s">
        <v>11</v>
      </c>
      <c r="P410">
        <v>5102</v>
      </c>
      <c r="Q410">
        <v>8</v>
      </c>
      <c r="R410">
        <v>13.89</v>
      </c>
      <c r="S410">
        <v>111.12</v>
      </c>
      <c r="T410">
        <v>93.04</v>
      </c>
      <c r="U410">
        <v>16.27</v>
      </c>
      <c r="V410" t="str">
        <f>VLOOKUP(L410,'[2]tabela de preços'!$A:$D,4,0)</f>
        <v>ANJO</v>
      </c>
      <c r="W410" t="str">
        <f>VLOOKUP(L410,'[2]tabela de preços'!$A:$F,6,0)</f>
        <v xml:space="preserve">COLA  PLÁSTICA </v>
      </c>
      <c r="X410" t="str">
        <f>VLOOKUP(L410,'[2]tabela de preços'!$A:$G,7,0)</f>
        <v>AUTOMOTIVO</v>
      </c>
    </row>
    <row r="411" spans="1:24" x14ac:dyDescent="0.3">
      <c r="A411" t="s">
        <v>2100</v>
      </c>
      <c r="C411" t="s">
        <v>2101</v>
      </c>
      <c r="D411" s="1">
        <v>46029</v>
      </c>
      <c r="E411" t="s">
        <v>2102</v>
      </c>
      <c r="F411">
        <v>9</v>
      </c>
      <c r="G411">
        <v>174</v>
      </c>
      <c r="H411" t="str">
        <f>VLOOKUP(G411,[1]OPERADORES!$A:$B,2,0)</f>
        <v>MIRIÃ LOBATO RODRIGUES</v>
      </c>
      <c r="I411" t="s">
        <v>21</v>
      </c>
      <c r="J411" t="s">
        <v>1788</v>
      </c>
      <c r="K411" t="s">
        <v>2103</v>
      </c>
      <c r="L411">
        <v>24248</v>
      </c>
      <c r="M411" t="s">
        <v>107</v>
      </c>
      <c r="O411" t="s">
        <v>11</v>
      </c>
      <c r="P411">
        <v>5102</v>
      </c>
      <c r="Q411">
        <v>8</v>
      </c>
      <c r="R411">
        <v>9.9</v>
      </c>
      <c r="S411">
        <v>79.2</v>
      </c>
      <c r="T411">
        <v>51.28</v>
      </c>
      <c r="U411">
        <v>35.25</v>
      </c>
      <c r="V411" t="str">
        <f>VLOOKUP(L411,'[2]tabela de preços'!$A:$D,4,0)</f>
        <v>SHERWIN WILLIAMS</v>
      </c>
      <c r="W411" t="str">
        <f>VLOOKUP(L411,'[2]tabela de preços'!$A:$F,6,0)</f>
        <v>PRIMER AUTOMOTIVO</v>
      </c>
      <c r="X411" t="str">
        <f>VLOOKUP(L411,'[2]tabela de preços'!$A:$G,7,0)</f>
        <v>AUTOMOTIVO</v>
      </c>
    </row>
    <row r="412" spans="1:24" x14ac:dyDescent="0.3">
      <c r="A412" t="s">
        <v>2100</v>
      </c>
      <c r="C412" t="s">
        <v>2101</v>
      </c>
      <c r="D412" s="1">
        <v>46029</v>
      </c>
      <c r="E412" t="s">
        <v>2102</v>
      </c>
      <c r="F412">
        <v>9</v>
      </c>
      <c r="G412">
        <v>174</v>
      </c>
      <c r="H412" t="str">
        <f>VLOOKUP(G412,[1]OPERADORES!$A:$B,2,0)</f>
        <v>MIRIÃ LOBATO RODRIGUES</v>
      </c>
      <c r="I412" t="s">
        <v>21</v>
      </c>
      <c r="J412" t="s">
        <v>1788</v>
      </c>
      <c r="K412" t="s">
        <v>2103</v>
      </c>
      <c r="L412">
        <v>24240</v>
      </c>
      <c r="M412" t="s">
        <v>240</v>
      </c>
      <c r="O412" t="s">
        <v>11</v>
      </c>
      <c r="P412">
        <v>5102</v>
      </c>
      <c r="Q412">
        <v>32</v>
      </c>
      <c r="R412">
        <v>3.87</v>
      </c>
      <c r="S412">
        <v>123.84</v>
      </c>
      <c r="T412">
        <v>104.96</v>
      </c>
      <c r="U412">
        <v>15.25</v>
      </c>
      <c r="V412" t="str">
        <f>VLOOKUP(L412,'[2]tabela de preços'!$A:$D,4,0)</f>
        <v>ADERE</v>
      </c>
      <c r="W412" t="str">
        <f>VLOOKUP(L412,'[2]tabela de preços'!$A:$F,6,0)</f>
        <v>FITA AUTOMOTIVA</v>
      </c>
      <c r="X412" t="str">
        <f>VLOOKUP(L412,'[2]tabela de preços'!$A:$G,7,0)</f>
        <v>AUTOMOTIVO</v>
      </c>
    </row>
    <row r="413" spans="1:24" x14ac:dyDescent="0.3">
      <c r="A413" t="s">
        <v>2100</v>
      </c>
      <c r="C413" t="s">
        <v>2101</v>
      </c>
      <c r="D413" s="1">
        <v>46029</v>
      </c>
      <c r="E413" t="s">
        <v>2102</v>
      </c>
      <c r="F413">
        <v>9</v>
      </c>
      <c r="G413">
        <v>174</v>
      </c>
      <c r="H413" t="str">
        <f>VLOOKUP(G413,[1]OPERADORES!$A:$B,2,0)</f>
        <v>MIRIÃ LOBATO RODRIGUES</v>
      </c>
      <c r="I413" t="s">
        <v>21</v>
      </c>
      <c r="J413" t="s">
        <v>1788</v>
      </c>
      <c r="K413" t="s">
        <v>2103</v>
      </c>
      <c r="L413">
        <v>86995</v>
      </c>
      <c r="M413" t="s">
        <v>37</v>
      </c>
      <c r="O413" t="s">
        <v>11</v>
      </c>
      <c r="P413">
        <v>5102</v>
      </c>
      <c r="Q413">
        <v>5</v>
      </c>
      <c r="R413">
        <v>7.39</v>
      </c>
      <c r="S413">
        <v>36.950000000000003</v>
      </c>
      <c r="T413">
        <v>29.15</v>
      </c>
      <c r="U413">
        <v>21.11</v>
      </c>
      <c r="V413" t="str">
        <f>VLOOKUP(L413,'[2]tabela de preços'!$A:$D,4,0)</f>
        <v>AUTOAMERICA</v>
      </c>
      <c r="W413" t="str">
        <f>VLOOKUP(L413,'[2]tabela de preços'!$A:$F,6,0)</f>
        <v>FLANELAS / PANOS</v>
      </c>
      <c r="X413" t="str">
        <f>VLOOKUP(L413,'[2]tabela de preços'!$A:$G,7,0)</f>
        <v>AUTOMOTIVO</v>
      </c>
    </row>
    <row r="414" spans="1:24" x14ac:dyDescent="0.3">
      <c r="A414" t="s">
        <v>2100</v>
      </c>
      <c r="C414" t="s">
        <v>2101</v>
      </c>
      <c r="D414" s="1">
        <v>46029</v>
      </c>
      <c r="E414" t="s">
        <v>2102</v>
      </c>
      <c r="F414">
        <v>9</v>
      </c>
      <c r="G414">
        <v>174</v>
      </c>
      <c r="H414" t="str">
        <f>VLOOKUP(G414,[1]OPERADORES!$A:$B,2,0)</f>
        <v>MIRIÃ LOBATO RODRIGUES</v>
      </c>
      <c r="I414" t="s">
        <v>21</v>
      </c>
      <c r="J414" t="s">
        <v>1788</v>
      </c>
      <c r="K414" t="s">
        <v>2103</v>
      </c>
      <c r="L414">
        <v>21862</v>
      </c>
      <c r="M414" t="s">
        <v>2040</v>
      </c>
      <c r="O414" t="s">
        <v>11</v>
      </c>
      <c r="P414">
        <v>5102</v>
      </c>
      <c r="Q414">
        <v>1</v>
      </c>
      <c r="R414">
        <v>29.8</v>
      </c>
      <c r="S414">
        <v>29.8</v>
      </c>
      <c r="T414">
        <v>22.62</v>
      </c>
      <c r="U414">
        <v>24.09</v>
      </c>
      <c r="V414" t="str">
        <f>VLOOKUP(L414,'[2]tabela de preços'!$A:$D,4,0)</f>
        <v>SIKKENS</v>
      </c>
      <c r="W414" t="str">
        <f>VLOOKUP(L414,'[2]tabela de preços'!$A:$F,6,0)</f>
        <v>CATALISADORES INDIVIDUAS</v>
      </c>
      <c r="X414" t="str">
        <f>VLOOKUP(L414,'[2]tabela de preços'!$A:$G,7,0)</f>
        <v>AUTOMOTIVO</v>
      </c>
    </row>
    <row r="415" spans="1:24" x14ac:dyDescent="0.3">
      <c r="A415" t="s">
        <v>2100</v>
      </c>
      <c r="C415" t="s">
        <v>2101</v>
      </c>
      <c r="D415" s="1">
        <v>46029</v>
      </c>
      <c r="E415" t="s">
        <v>2102</v>
      </c>
      <c r="F415">
        <v>9</v>
      </c>
      <c r="G415">
        <v>174</v>
      </c>
      <c r="H415" t="str">
        <f>VLOOKUP(G415,[1]OPERADORES!$A:$B,2,0)</f>
        <v>MIRIÃ LOBATO RODRIGUES</v>
      </c>
      <c r="I415" t="s">
        <v>21</v>
      </c>
      <c r="J415" t="s">
        <v>1788</v>
      </c>
      <c r="K415" t="s">
        <v>2103</v>
      </c>
      <c r="L415">
        <v>20455</v>
      </c>
      <c r="M415" t="s">
        <v>2104</v>
      </c>
      <c r="O415" t="s">
        <v>11</v>
      </c>
      <c r="P415">
        <v>5403</v>
      </c>
      <c r="Q415">
        <v>6</v>
      </c>
      <c r="R415">
        <v>30.04</v>
      </c>
      <c r="S415">
        <v>180.24</v>
      </c>
      <c r="T415">
        <v>136.80000000000001</v>
      </c>
      <c r="U415">
        <v>24.1</v>
      </c>
      <c r="V415" t="str">
        <f>VLOOKUP(L415,'[2]tabela de preços'!$A:$D,4,0)</f>
        <v>SHERWIN WILLIAMS</v>
      </c>
      <c r="W415" t="str">
        <f>VLOOKUP(L415,'[2]tabela de preços'!$A:$F,6,0)</f>
        <v>VERNIZ AUTOMOTIVO</v>
      </c>
      <c r="X415" t="str">
        <f>VLOOKUP(L415,'[2]tabela de preços'!$A:$G,7,0)</f>
        <v>AUTOMOTIVO</v>
      </c>
    </row>
    <row r="416" spans="1:24" x14ac:dyDescent="0.3">
      <c r="A416" t="s">
        <v>2100</v>
      </c>
      <c r="C416" t="s">
        <v>2101</v>
      </c>
      <c r="D416" s="1">
        <v>46029</v>
      </c>
      <c r="E416" t="s">
        <v>2102</v>
      </c>
      <c r="F416">
        <v>9</v>
      </c>
      <c r="G416">
        <v>174</v>
      </c>
      <c r="H416" t="str">
        <f>VLOOKUP(G416,[1]OPERADORES!$A:$B,2,0)</f>
        <v>MIRIÃ LOBATO RODRIGUES</v>
      </c>
      <c r="I416" t="s">
        <v>21</v>
      </c>
      <c r="J416" t="s">
        <v>1788</v>
      </c>
      <c r="K416" t="s">
        <v>2103</v>
      </c>
      <c r="L416">
        <v>23602</v>
      </c>
      <c r="M416" t="s">
        <v>215</v>
      </c>
      <c r="O416" t="s">
        <v>11</v>
      </c>
      <c r="P416">
        <v>5403</v>
      </c>
      <c r="Q416">
        <v>9</v>
      </c>
      <c r="R416">
        <v>35.89</v>
      </c>
      <c r="S416">
        <v>323.01</v>
      </c>
      <c r="T416">
        <v>263.25</v>
      </c>
      <c r="U416">
        <v>18.5</v>
      </c>
      <c r="V416" t="str">
        <f>VLOOKUP(L416,'[2]tabela de preços'!$A:$D,4,0)</f>
        <v>SHERWIN WILLIAMS</v>
      </c>
      <c r="W416" t="str">
        <f>VLOOKUP(L416,'[2]tabela de preços'!$A:$F,6,0)</f>
        <v>VERNIZ AUTOMOTIVO</v>
      </c>
      <c r="X416" t="str">
        <f>VLOOKUP(L416,'[2]tabela de preços'!$A:$G,7,0)</f>
        <v>AUTOMOTIVO</v>
      </c>
    </row>
    <row r="417" spans="1:24" x14ac:dyDescent="0.3">
      <c r="A417" t="s">
        <v>2100</v>
      </c>
      <c r="C417" t="s">
        <v>2101</v>
      </c>
      <c r="D417" s="1">
        <v>46029</v>
      </c>
      <c r="E417" t="s">
        <v>2102</v>
      </c>
      <c r="F417">
        <v>9</v>
      </c>
      <c r="G417">
        <v>174</v>
      </c>
      <c r="H417" t="str">
        <f>VLOOKUP(G417,[1]OPERADORES!$A:$B,2,0)</f>
        <v>MIRIÃ LOBATO RODRIGUES</v>
      </c>
      <c r="I417" t="s">
        <v>21</v>
      </c>
      <c r="J417" t="s">
        <v>1788</v>
      </c>
      <c r="K417" t="s">
        <v>2103</v>
      </c>
      <c r="L417">
        <v>20817</v>
      </c>
      <c r="M417" t="s">
        <v>153</v>
      </c>
      <c r="O417" t="s">
        <v>11</v>
      </c>
      <c r="P417">
        <v>5102</v>
      </c>
      <c r="Q417">
        <v>4</v>
      </c>
      <c r="R417">
        <v>22.89</v>
      </c>
      <c r="S417">
        <v>91.56</v>
      </c>
      <c r="T417">
        <v>74.48</v>
      </c>
      <c r="U417">
        <v>18.649999999999999</v>
      </c>
      <c r="V417" t="str">
        <f>VLOOKUP(L417,'[2]tabela de preços'!$A:$D,4,0)</f>
        <v>AUTO AMERICA</v>
      </c>
      <c r="W417" t="str">
        <f>VLOOKUP(L417,'[2]tabela de preços'!$A:$F,6,0)</f>
        <v>MASSA DE POLIR</v>
      </c>
      <c r="X417" t="str">
        <f>VLOOKUP(L417,'[2]tabela de preços'!$A:$G,7,0)</f>
        <v>AUTOMOTIVO</v>
      </c>
    </row>
    <row r="418" spans="1:24" x14ac:dyDescent="0.3">
      <c r="A418" t="s">
        <v>2100</v>
      </c>
      <c r="C418" t="s">
        <v>2101</v>
      </c>
      <c r="D418" s="1">
        <v>46029</v>
      </c>
      <c r="E418" t="s">
        <v>2102</v>
      </c>
      <c r="F418">
        <v>9</v>
      </c>
      <c r="G418">
        <v>174</v>
      </c>
      <c r="H418" t="str">
        <f>VLOOKUP(G418,[1]OPERADORES!$A:$B,2,0)</f>
        <v>MIRIÃ LOBATO RODRIGUES</v>
      </c>
      <c r="I418" t="s">
        <v>21</v>
      </c>
      <c r="J418" t="s">
        <v>1788</v>
      </c>
      <c r="K418" t="s">
        <v>2103</v>
      </c>
      <c r="L418">
        <v>9764</v>
      </c>
      <c r="M418" t="s">
        <v>173</v>
      </c>
      <c r="O418" t="s">
        <v>11</v>
      </c>
      <c r="P418">
        <v>5102</v>
      </c>
      <c r="Q418">
        <v>2</v>
      </c>
      <c r="R418">
        <v>33.54</v>
      </c>
      <c r="S418">
        <v>67.08</v>
      </c>
      <c r="T418">
        <v>50.92</v>
      </c>
      <c r="U418">
        <v>24.09</v>
      </c>
      <c r="V418" t="str">
        <f>VLOOKUP(L418,'[2]tabela de preços'!$A:$D,4,0)</f>
        <v>SIKKENS</v>
      </c>
      <c r="W418" t="str">
        <f>VLOOKUP(L418,'[2]tabela de preços'!$A:$F,6,0)</f>
        <v>MASSA DE PEQUENOS REPAROS</v>
      </c>
      <c r="X418" t="str">
        <f>VLOOKUP(L418,'[2]tabela de preços'!$A:$G,7,0)</f>
        <v>AUTOMOTIVO</v>
      </c>
    </row>
    <row r="419" spans="1:24" x14ac:dyDescent="0.3">
      <c r="A419" t="s">
        <v>2100</v>
      </c>
      <c r="C419" t="s">
        <v>2101</v>
      </c>
      <c r="D419" s="1">
        <v>46029</v>
      </c>
      <c r="E419" t="s">
        <v>2102</v>
      </c>
      <c r="F419">
        <v>9</v>
      </c>
      <c r="G419">
        <v>174</v>
      </c>
      <c r="H419" t="str">
        <f>VLOOKUP(G419,[1]OPERADORES!$A:$B,2,0)</f>
        <v>MIRIÃ LOBATO RODRIGUES</v>
      </c>
      <c r="I419" t="s">
        <v>21</v>
      </c>
      <c r="J419" t="s">
        <v>1788</v>
      </c>
      <c r="K419" t="s">
        <v>2103</v>
      </c>
      <c r="L419">
        <v>20525</v>
      </c>
      <c r="M419" t="s">
        <v>137</v>
      </c>
      <c r="O419" t="s">
        <v>11</v>
      </c>
      <c r="P419">
        <v>5102</v>
      </c>
      <c r="Q419">
        <v>6</v>
      </c>
      <c r="R419">
        <v>13.65</v>
      </c>
      <c r="S419">
        <v>81.900000000000006</v>
      </c>
      <c r="T419">
        <v>62.16</v>
      </c>
      <c r="U419">
        <v>24.1</v>
      </c>
      <c r="V419" t="str">
        <f>VLOOKUP(L419,'[2]tabela de preços'!$A:$D,4,0)</f>
        <v>SHERWIN WILLIAMS</v>
      </c>
      <c r="W419" t="str">
        <f>VLOOKUP(L419,'[2]tabela de preços'!$A:$F,6,0)</f>
        <v>MASSA DE PEQUENOS REPAROS</v>
      </c>
      <c r="X419" t="str">
        <f>VLOOKUP(L419,'[2]tabela de preços'!$A:$G,7,0)</f>
        <v>AUTOMOTIVO</v>
      </c>
    </row>
    <row r="420" spans="1:24" x14ac:dyDescent="0.3">
      <c r="A420" t="s">
        <v>2100</v>
      </c>
      <c r="C420" t="s">
        <v>2101</v>
      </c>
      <c r="D420" s="1">
        <v>46029</v>
      </c>
      <c r="E420" t="s">
        <v>2102</v>
      </c>
      <c r="F420">
        <v>9</v>
      </c>
      <c r="G420">
        <v>174</v>
      </c>
      <c r="H420" t="str">
        <f>VLOOKUP(G420,[1]OPERADORES!$A:$B,2,0)</f>
        <v>MIRIÃ LOBATO RODRIGUES</v>
      </c>
      <c r="I420" t="s">
        <v>21</v>
      </c>
      <c r="J420" t="s">
        <v>1788</v>
      </c>
      <c r="K420" t="s">
        <v>2103</v>
      </c>
      <c r="L420">
        <v>21077</v>
      </c>
      <c r="M420" t="s">
        <v>207</v>
      </c>
      <c r="O420" t="s">
        <v>11</v>
      </c>
      <c r="P420">
        <v>5102</v>
      </c>
      <c r="Q420">
        <v>3</v>
      </c>
      <c r="R420">
        <v>44.68</v>
      </c>
      <c r="S420">
        <v>134.04</v>
      </c>
      <c r="T420">
        <v>101.76</v>
      </c>
      <c r="U420">
        <v>24.08</v>
      </c>
      <c r="V420" t="str">
        <f>VLOOKUP(L420,'[2]tabela de preços'!$A:$D,4,0)</f>
        <v>SHERWIN WILLIAMS</v>
      </c>
      <c r="W420" t="str">
        <f>VLOOKUP(L420,'[2]tabela de preços'!$A:$F,6,0)</f>
        <v>MASSA POLIÉSTER</v>
      </c>
      <c r="X420" t="str">
        <f>VLOOKUP(L420,'[2]tabela de preços'!$A:$G,7,0)</f>
        <v>AUTOMOTIVO</v>
      </c>
    </row>
    <row r="421" spans="1:24" x14ac:dyDescent="0.3">
      <c r="A421" t="s">
        <v>2100</v>
      </c>
      <c r="C421" t="s">
        <v>2101</v>
      </c>
      <c r="D421" s="1">
        <v>46029</v>
      </c>
      <c r="E421" t="s">
        <v>2102</v>
      </c>
      <c r="F421">
        <v>9</v>
      </c>
      <c r="G421">
        <v>174</v>
      </c>
      <c r="H421" t="str">
        <f>VLOOKUP(G421,[1]OPERADORES!$A:$B,2,0)</f>
        <v>MIRIÃ LOBATO RODRIGUES</v>
      </c>
      <c r="I421" t="s">
        <v>21</v>
      </c>
      <c r="J421" t="s">
        <v>1788</v>
      </c>
      <c r="K421" t="s">
        <v>2103</v>
      </c>
      <c r="L421">
        <v>87043</v>
      </c>
      <c r="M421" t="s">
        <v>217</v>
      </c>
      <c r="O421" t="s">
        <v>11</v>
      </c>
      <c r="P421">
        <v>5102</v>
      </c>
      <c r="Q421">
        <v>8</v>
      </c>
      <c r="R421">
        <v>22.89</v>
      </c>
      <c r="S421">
        <v>183.12</v>
      </c>
      <c r="T421">
        <v>144.16</v>
      </c>
      <c r="U421">
        <v>21.28</v>
      </c>
      <c r="V421" t="str">
        <f>VLOOKUP(L421,'[2]tabela de preços'!$A:$D,4,0)</f>
        <v>ROBERLO</v>
      </c>
      <c r="W421" t="str">
        <f>VLOOKUP(L421,'[2]tabela de preços'!$A:$F,6,0)</f>
        <v>MASSA POLIÉSTER</v>
      </c>
      <c r="X421" t="str">
        <f>VLOOKUP(L421,'[2]tabela de preços'!$A:$G,7,0)</f>
        <v>AUTOMOTIVO</v>
      </c>
    </row>
    <row r="422" spans="1:24" x14ac:dyDescent="0.3">
      <c r="A422" t="s">
        <v>2100</v>
      </c>
      <c r="C422" t="s">
        <v>2101</v>
      </c>
      <c r="D422" s="1">
        <v>46029</v>
      </c>
      <c r="E422" t="s">
        <v>2102</v>
      </c>
      <c r="F422">
        <v>9</v>
      </c>
      <c r="G422">
        <v>174</v>
      </c>
      <c r="H422" t="str">
        <f>VLOOKUP(G422,[1]OPERADORES!$A:$B,2,0)</f>
        <v>MIRIÃ LOBATO RODRIGUES</v>
      </c>
      <c r="I422" t="s">
        <v>21</v>
      </c>
      <c r="J422" t="s">
        <v>1788</v>
      </c>
      <c r="K422" t="s">
        <v>2103</v>
      </c>
      <c r="L422">
        <v>24247</v>
      </c>
      <c r="M422" t="s">
        <v>111</v>
      </c>
      <c r="O422" t="s">
        <v>11</v>
      </c>
      <c r="P422">
        <v>5403</v>
      </c>
      <c r="Q422">
        <v>8</v>
      </c>
      <c r="R422">
        <v>19.899999999999999</v>
      </c>
      <c r="S422">
        <v>159.19999999999999</v>
      </c>
      <c r="T422">
        <v>132.80000000000001</v>
      </c>
      <c r="U422">
        <v>16.579999999999998</v>
      </c>
      <c r="V422" t="str">
        <f>VLOOKUP(L422,'[2]tabela de preços'!$A:$D,4,0)</f>
        <v>SHERWIN WILLIAMS</v>
      </c>
      <c r="W422" t="str">
        <f>VLOOKUP(L422,'[2]tabela de preços'!$A:$F,6,0)</f>
        <v>PRIMER AUTOMOTIVO</v>
      </c>
      <c r="X422" t="str">
        <f>VLOOKUP(L422,'[2]tabela de preços'!$A:$G,7,0)</f>
        <v>AUTOMOTIVO</v>
      </c>
    </row>
    <row r="423" spans="1:24" x14ac:dyDescent="0.3">
      <c r="A423" t="s">
        <v>2100</v>
      </c>
      <c r="C423" t="s">
        <v>2101</v>
      </c>
      <c r="D423" s="1">
        <v>46029</v>
      </c>
      <c r="E423" t="s">
        <v>2102</v>
      </c>
      <c r="F423">
        <v>9</v>
      </c>
      <c r="G423">
        <v>174</v>
      </c>
      <c r="H423" t="str">
        <f>VLOOKUP(G423,[1]OPERADORES!$A:$B,2,0)</f>
        <v>MIRIÃ LOBATO RODRIGUES</v>
      </c>
      <c r="I423" t="s">
        <v>21</v>
      </c>
      <c r="J423" t="s">
        <v>1788</v>
      </c>
      <c r="K423" t="s">
        <v>2103</v>
      </c>
      <c r="L423">
        <v>20212</v>
      </c>
      <c r="M423" t="s">
        <v>198</v>
      </c>
      <c r="O423" t="s">
        <v>11</v>
      </c>
      <c r="P423">
        <v>5403</v>
      </c>
      <c r="Q423">
        <v>2</v>
      </c>
      <c r="R423">
        <v>26.95</v>
      </c>
      <c r="S423">
        <v>53.9</v>
      </c>
      <c r="T423">
        <v>40.92</v>
      </c>
      <c r="U423">
        <v>24.08</v>
      </c>
      <c r="V423" t="str">
        <f>VLOOKUP(L423,'[2]tabela de preços'!$A:$D,4,0)</f>
        <v>MAXI RUBBER</v>
      </c>
      <c r="W423" t="str">
        <f>VLOOKUP(L423,'[2]tabela de preços'!$A:$F,6,0)</f>
        <v>SELADORA P/ PLASTICO</v>
      </c>
      <c r="X423" t="str">
        <f>VLOOKUP(L423,'[2]tabela de preços'!$A:$G,7,0)</f>
        <v>AUTOMOTIVO</v>
      </c>
    </row>
    <row r="424" spans="1:24" x14ac:dyDescent="0.3">
      <c r="A424" t="s">
        <v>2100</v>
      </c>
      <c r="C424" t="s">
        <v>2101</v>
      </c>
      <c r="D424" s="1">
        <v>46029</v>
      </c>
      <c r="E424" t="s">
        <v>2102</v>
      </c>
      <c r="F424">
        <v>9</v>
      </c>
      <c r="G424">
        <v>174</v>
      </c>
      <c r="H424" t="str">
        <f>VLOOKUP(G424,[1]OPERADORES!$A:$B,2,0)</f>
        <v>MIRIÃ LOBATO RODRIGUES</v>
      </c>
      <c r="I424" t="s">
        <v>21</v>
      </c>
      <c r="J424" t="s">
        <v>1788</v>
      </c>
      <c r="K424" t="s">
        <v>2103</v>
      </c>
      <c r="L424">
        <v>10298</v>
      </c>
      <c r="M424" t="s">
        <v>85</v>
      </c>
      <c r="O424" t="s">
        <v>11</v>
      </c>
      <c r="P424">
        <v>5102</v>
      </c>
      <c r="Q424">
        <v>2</v>
      </c>
      <c r="R424">
        <v>56.8</v>
      </c>
      <c r="S424">
        <v>113.6</v>
      </c>
      <c r="T424">
        <v>94.76</v>
      </c>
      <c r="U424">
        <v>16.579999999999998</v>
      </c>
      <c r="V424" t="str">
        <f>VLOOKUP(L424,'[2]tabela de preços'!$A:$D,4,0)</f>
        <v>ANJO</v>
      </c>
      <c r="W424" t="str">
        <f>VLOOKUP(L424,'[2]tabela de preços'!$A:$F,6,0)</f>
        <v>THINNER DE LIMPEZA</v>
      </c>
      <c r="X424" t="str">
        <f>VLOOKUP(L424,'[2]tabela de preços'!$A:$G,7,0)</f>
        <v>THINNER</v>
      </c>
    </row>
    <row r="425" spans="1:24" x14ac:dyDescent="0.3">
      <c r="A425" t="s">
        <v>2100</v>
      </c>
      <c r="C425" t="s">
        <v>2101</v>
      </c>
      <c r="D425" s="1">
        <v>46029</v>
      </c>
      <c r="E425" t="s">
        <v>2102</v>
      </c>
      <c r="F425">
        <v>9</v>
      </c>
      <c r="G425">
        <v>174</v>
      </c>
      <c r="H425" t="str">
        <f>VLOOKUP(G425,[1]OPERADORES!$A:$B,2,0)</f>
        <v>MIRIÃ LOBATO RODRIGUES</v>
      </c>
      <c r="I425" t="s">
        <v>21</v>
      </c>
      <c r="J425" t="s">
        <v>1788</v>
      </c>
      <c r="K425" t="s">
        <v>2103</v>
      </c>
      <c r="L425">
        <v>10297</v>
      </c>
      <c r="M425" t="s">
        <v>41</v>
      </c>
      <c r="O425" t="s">
        <v>11</v>
      </c>
      <c r="P425">
        <v>5102</v>
      </c>
      <c r="Q425">
        <v>15</v>
      </c>
      <c r="R425">
        <v>10.95</v>
      </c>
      <c r="S425">
        <v>164.25</v>
      </c>
      <c r="T425">
        <v>137.55000000000001</v>
      </c>
      <c r="U425">
        <v>16.260000000000002</v>
      </c>
      <c r="V425" t="str">
        <f>VLOOKUP(L425,'[2]tabela de preços'!$A:$D,4,0)</f>
        <v>ANJO</v>
      </c>
      <c r="W425" t="str">
        <f>VLOOKUP(L425,'[2]tabela de preços'!$A:$F,6,0)</f>
        <v>THINNER DE LIMPEZA</v>
      </c>
      <c r="X425" t="str">
        <f>VLOOKUP(L425,'[2]tabela de preços'!$A:$G,7,0)</f>
        <v>THINNER</v>
      </c>
    </row>
    <row r="426" spans="1:24" x14ac:dyDescent="0.3">
      <c r="A426" t="s">
        <v>2100</v>
      </c>
      <c r="C426" t="s">
        <v>2101</v>
      </c>
      <c r="D426" s="1">
        <v>46029</v>
      </c>
      <c r="E426" t="s">
        <v>2102</v>
      </c>
      <c r="F426">
        <v>9</v>
      </c>
      <c r="G426">
        <v>174</v>
      </c>
      <c r="H426" t="str">
        <f>VLOOKUP(G426,[1]OPERADORES!$A:$B,2,0)</f>
        <v>MIRIÃ LOBATO RODRIGUES</v>
      </c>
      <c r="I426" t="s">
        <v>21</v>
      </c>
      <c r="J426" t="s">
        <v>1788</v>
      </c>
      <c r="K426" t="s">
        <v>2103</v>
      </c>
      <c r="L426">
        <v>84560</v>
      </c>
      <c r="M426" t="s">
        <v>118</v>
      </c>
      <c r="O426" t="s">
        <v>11</v>
      </c>
      <c r="P426">
        <v>5102</v>
      </c>
      <c r="Q426">
        <v>2</v>
      </c>
      <c r="R426">
        <v>46.9</v>
      </c>
      <c r="S426">
        <v>93.8</v>
      </c>
      <c r="T426">
        <v>78.319999999999993</v>
      </c>
      <c r="U426">
        <v>16.5</v>
      </c>
      <c r="V426" t="str">
        <f>VLOOKUP(L426,'[2]tabela de preços'!$A:$D,4,0)</f>
        <v>BRASILUX</v>
      </c>
      <c r="W426" t="str">
        <f>VLOOKUP(L426,'[2]tabela de preços'!$A:$F,6,0)</f>
        <v>THINNER DE LIMPEZA</v>
      </c>
      <c r="X426" t="str">
        <f>VLOOKUP(L426,'[2]tabela de preços'!$A:$G,7,0)</f>
        <v>THINNER</v>
      </c>
    </row>
    <row r="427" spans="1:24" x14ac:dyDescent="0.3">
      <c r="A427" t="s">
        <v>2100</v>
      </c>
      <c r="C427" t="s">
        <v>2101</v>
      </c>
      <c r="D427" s="1">
        <v>46029</v>
      </c>
      <c r="E427" t="s">
        <v>2102</v>
      </c>
      <c r="F427">
        <v>9</v>
      </c>
      <c r="G427">
        <v>174</v>
      </c>
      <c r="H427" t="str">
        <f>VLOOKUP(G427,[1]OPERADORES!$A:$B,2,0)</f>
        <v>MIRIÃ LOBATO RODRIGUES</v>
      </c>
      <c r="I427" t="s">
        <v>21</v>
      </c>
      <c r="J427" t="s">
        <v>1788</v>
      </c>
      <c r="K427" t="s">
        <v>2103</v>
      </c>
      <c r="L427">
        <v>21316</v>
      </c>
      <c r="M427" t="s">
        <v>1829</v>
      </c>
      <c r="O427" t="s">
        <v>11</v>
      </c>
      <c r="P427">
        <v>5102</v>
      </c>
      <c r="Q427">
        <v>1</v>
      </c>
      <c r="R427">
        <v>124.15</v>
      </c>
      <c r="S427">
        <v>124.15</v>
      </c>
      <c r="T427">
        <v>94.23</v>
      </c>
      <c r="U427">
        <v>24.1</v>
      </c>
      <c r="V427" t="str">
        <f>VLOOKUP(L427,'[2]tabela de preços'!$A:$D,4,0)</f>
        <v>SHERWIN WILLIAMS</v>
      </c>
      <c r="W427" t="str">
        <f>VLOOKUP(L427,'[2]tabela de preços'!$A:$F,6,0)</f>
        <v>DILUENTE</v>
      </c>
      <c r="X427" t="str">
        <f>VLOOKUP(L427,'[2]tabela de preços'!$A:$G,7,0)</f>
        <v>AUTOMOTIVO</v>
      </c>
    </row>
    <row r="428" spans="1:24" x14ac:dyDescent="0.3">
      <c r="A428" t="s">
        <v>2171</v>
      </c>
      <c r="C428" t="s">
        <v>2172</v>
      </c>
      <c r="D428" s="1">
        <v>46029</v>
      </c>
      <c r="E428" t="s">
        <v>2173</v>
      </c>
      <c r="F428">
        <v>9</v>
      </c>
      <c r="G428">
        <v>230</v>
      </c>
      <c r="H428" t="str">
        <f>VLOOKUP(G428,[1]OPERADORES!$A:$B,2,0)</f>
        <v>SÔNIA</v>
      </c>
      <c r="I428" t="s">
        <v>21</v>
      </c>
      <c r="J428" t="s">
        <v>2174</v>
      </c>
      <c r="K428" t="s">
        <v>2175</v>
      </c>
      <c r="L428">
        <v>84564</v>
      </c>
      <c r="M428" t="s">
        <v>2176</v>
      </c>
      <c r="O428" t="s">
        <v>11</v>
      </c>
      <c r="P428">
        <v>5403</v>
      </c>
      <c r="Q428">
        <v>1</v>
      </c>
      <c r="R428">
        <v>24.07</v>
      </c>
      <c r="S428">
        <v>24.07</v>
      </c>
      <c r="T428">
        <v>18.27</v>
      </c>
      <c r="U428">
        <v>24.1</v>
      </c>
      <c r="V428" t="str">
        <f>VLOOKUP(L428,'[2]tabela de preços'!$A:$D,4,0)</f>
        <v>BRASILUX</v>
      </c>
      <c r="W428" t="str">
        <f>VLOOKUP(L428,'[2]tabela de preços'!$A:$F,6,0)</f>
        <v>PRETO FOSCO VINÍLICO</v>
      </c>
      <c r="X428" t="str">
        <f>VLOOKUP(L428,'[2]tabela de preços'!$A:$G,7,0)</f>
        <v>AUTOMOTIVO</v>
      </c>
    </row>
    <row r="429" spans="1:24" x14ac:dyDescent="0.3">
      <c r="A429" t="s">
        <v>2171</v>
      </c>
      <c r="C429" t="s">
        <v>2172</v>
      </c>
      <c r="D429" s="1">
        <v>46029</v>
      </c>
      <c r="E429" t="s">
        <v>2173</v>
      </c>
      <c r="F429">
        <v>9</v>
      </c>
      <c r="G429">
        <v>230</v>
      </c>
      <c r="H429" t="str">
        <f>VLOOKUP(G429,[1]OPERADORES!$A:$B,2,0)</f>
        <v>SÔNIA</v>
      </c>
      <c r="I429" t="s">
        <v>21</v>
      </c>
      <c r="J429" t="s">
        <v>2174</v>
      </c>
      <c r="K429" t="s">
        <v>2175</v>
      </c>
      <c r="L429">
        <v>84565</v>
      </c>
      <c r="M429" t="s">
        <v>236</v>
      </c>
      <c r="O429" t="s">
        <v>11</v>
      </c>
      <c r="P429">
        <v>5102</v>
      </c>
      <c r="Q429">
        <v>1</v>
      </c>
      <c r="R429">
        <v>9.24</v>
      </c>
      <c r="S429">
        <v>9.24</v>
      </c>
      <c r="T429">
        <v>7.01</v>
      </c>
      <c r="U429">
        <v>24.13</v>
      </c>
      <c r="V429" t="str">
        <f>VLOOKUP(L429,'[2]tabela de preços'!$A:$D,4,0)</f>
        <v>BRASILUX</v>
      </c>
      <c r="W429" t="str">
        <f>VLOOKUP(L429,'[2]tabela de preços'!$A:$F,6,0)</f>
        <v>PRETO FOSCO VINÍLICO</v>
      </c>
      <c r="X429" t="str">
        <f>VLOOKUP(L429,'[2]tabela de preços'!$A:$G,7,0)</f>
        <v>AUTOMOTIVO</v>
      </c>
    </row>
    <row r="430" spans="1:24" x14ac:dyDescent="0.3">
      <c r="A430" t="s">
        <v>2171</v>
      </c>
      <c r="C430" t="s">
        <v>2172</v>
      </c>
      <c r="D430" s="1">
        <v>46029</v>
      </c>
      <c r="E430" t="s">
        <v>2173</v>
      </c>
      <c r="F430">
        <v>9</v>
      </c>
      <c r="G430">
        <v>230</v>
      </c>
      <c r="H430" t="str">
        <f>VLOOKUP(G430,[1]OPERADORES!$A:$B,2,0)</f>
        <v>SÔNIA</v>
      </c>
      <c r="I430" t="s">
        <v>21</v>
      </c>
      <c r="J430" t="s">
        <v>2174</v>
      </c>
      <c r="K430" t="s">
        <v>2175</v>
      </c>
      <c r="L430">
        <v>84565</v>
      </c>
      <c r="M430" t="s">
        <v>236</v>
      </c>
      <c r="O430" t="s">
        <v>11</v>
      </c>
      <c r="P430">
        <v>5102</v>
      </c>
      <c r="Q430">
        <v>1</v>
      </c>
      <c r="R430">
        <v>9.24</v>
      </c>
      <c r="S430">
        <v>9.24</v>
      </c>
      <c r="T430">
        <v>7.01</v>
      </c>
      <c r="U430">
        <v>24.13</v>
      </c>
      <c r="V430" t="str">
        <f>VLOOKUP(L430,'[2]tabela de preços'!$A:$D,4,0)</f>
        <v>BRASILUX</v>
      </c>
      <c r="W430" t="str">
        <f>VLOOKUP(L430,'[2]tabela de preços'!$A:$F,6,0)</f>
        <v>PRETO FOSCO VINÍLICO</v>
      </c>
      <c r="X430" t="str">
        <f>VLOOKUP(L430,'[2]tabela de preços'!$A:$G,7,0)</f>
        <v>AUTOMOTIVO</v>
      </c>
    </row>
    <row r="431" spans="1:24" x14ac:dyDescent="0.3">
      <c r="A431" t="s">
        <v>2171</v>
      </c>
      <c r="C431" t="s">
        <v>2172</v>
      </c>
      <c r="D431" s="1">
        <v>46029</v>
      </c>
      <c r="E431" t="s">
        <v>2173</v>
      </c>
      <c r="F431">
        <v>9</v>
      </c>
      <c r="G431">
        <v>230</v>
      </c>
      <c r="H431" t="str">
        <f>VLOOKUP(G431,[1]OPERADORES!$A:$B,2,0)</f>
        <v>SÔNIA</v>
      </c>
      <c r="I431" t="s">
        <v>21</v>
      </c>
      <c r="J431" t="s">
        <v>2174</v>
      </c>
      <c r="K431" t="s">
        <v>2175</v>
      </c>
      <c r="L431">
        <v>10236</v>
      </c>
      <c r="M431" t="s">
        <v>133</v>
      </c>
      <c r="O431" t="s">
        <v>11</v>
      </c>
      <c r="P431">
        <v>5102</v>
      </c>
      <c r="Q431">
        <v>10</v>
      </c>
      <c r="R431">
        <v>2.79</v>
      </c>
      <c r="S431">
        <v>27.9</v>
      </c>
      <c r="T431">
        <v>23.7</v>
      </c>
      <c r="U431">
        <v>15.05</v>
      </c>
      <c r="V431" t="str">
        <f>VLOOKUP(L431,'[2]tabela de preços'!$A:$D,4,0)</f>
        <v>NORTON</v>
      </c>
      <c r="W431" t="str">
        <f>VLOOKUP(L431,'[2]tabela de preços'!$A:$F,6,0)</f>
        <v xml:space="preserve">DISCOS / LIXAS / ABRASIVOS </v>
      </c>
      <c r="X431" t="str">
        <f>VLOOKUP(L431,'[2]tabela de preços'!$A:$G,7,0)</f>
        <v>AUTOMOTIVO</v>
      </c>
    </row>
    <row r="432" spans="1:24" x14ac:dyDescent="0.3">
      <c r="A432" t="s">
        <v>2171</v>
      </c>
      <c r="C432" t="s">
        <v>2172</v>
      </c>
      <c r="D432" s="1">
        <v>46029</v>
      </c>
      <c r="E432" t="s">
        <v>2173</v>
      </c>
      <c r="F432">
        <v>9</v>
      </c>
      <c r="G432">
        <v>230</v>
      </c>
      <c r="H432" t="str">
        <f>VLOOKUP(G432,[1]OPERADORES!$A:$B,2,0)</f>
        <v>SÔNIA</v>
      </c>
      <c r="I432" t="s">
        <v>21</v>
      </c>
      <c r="J432" t="s">
        <v>2174</v>
      </c>
      <c r="K432" t="s">
        <v>2175</v>
      </c>
      <c r="L432">
        <v>10232</v>
      </c>
      <c r="M432" t="s">
        <v>134</v>
      </c>
      <c r="O432" t="s">
        <v>11</v>
      </c>
      <c r="P432">
        <v>5102</v>
      </c>
      <c r="Q432">
        <v>10</v>
      </c>
      <c r="R432">
        <v>2.79</v>
      </c>
      <c r="S432">
        <v>27.9</v>
      </c>
      <c r="T432">
        <v>22.9</v>
      </c>
      <c r="U432">
        <v>17.920000000000002</v>
      </c>
      <c r="V432" t="str">
        <f>VLOOKUP(L432,'[2]tabela de preços'!$A:$D,4,0)</f>
        <v>NORTON</v>
      </c>
      <c r="W432" t="str">
        <f>VLOOKUP(L432,'[2]tabela de preços'!$A:$F,6,0)</f>
        <v xml:space="preserve">DISCOS / LIXAS / ABRASIVOS </v>
      </c>
      <c r="X432" t="str">
        <f>VLOOKUP(L432,'[2]tabela de preços'!$A:$G,7,0)</f>
        <v>AUTOMOTIVO</v>
      </c>
    </row>
    <row r="433" spans="1:24" x14ac:dyDescent="0.3">
      <c r="A433" t="s">
        <v>2171</v>
      </c>
      <c r="C433" t="s">
        <v>2172</v>
      </c>
      <c r="D433" s="1">
        <v>46029</v>
      </c>
      <c r="E433" t="s">
        <v>2173</v>
      </c>
      <c r="F433">
        <v>9</v>
      </c>
      <c r="G433">
        <v>230</v>
      </c>
      <c r="H433" t="str">
        <f>VLOOKUP(G433,[1]OPERADORES!$A:$B,2,0)</f>
        <v>SÔNIA</v>
      </c>
      <c r="I433" t="s">
        <v>21</v>
      </c>
      <c r="J433" t="s">
        <v>2174</v>
      </c>
      <c r="K433" t="s">
        <v>2175</v>
      </c>
      <c r="L433">
        <v>10266</v>
      </c>
      <c r="M433" t="s">
        <v>117</v>
      </c>
      <c r="O433" t="s">
        <v>11</v>
      </c>
      <c r="P433">
        <v>5102</v>
      </c>
      <c r="Q433">
        <v>1</v>
      </c>
      <c r="R433">
        <v>11.41</v>
      </c>
      <c r="S433">
        <v>11.41</v>
      </c>
      <c r="T433">
        <v>8.66</v>
      </c>
      <c r="U433">
        <v>24.1</v>
      </c>
      <c r="V433" t="str">
        <f>VLOOKUP(L433,'[2]tabela de preços'!$A:$D,4,0)</f>
        <v>NORTON</v>
      </c>
      <c r="W433" t="str">
        <f>VLOOKUP(L433,'[2]tabela de preços'!$A:$F,6,0)</f>
        <v xml:space="preserve">DISCOS / LIXAS / ABRASIVOS </v>
      </c>
      <c r="X433" t="str">
        <f>VLOOKUP(L433,'[2]tabela de preços'!$A:$G,7,0)</f>
        <v>AUTOMOTIVO</v>
      </c>
    </row>
    <row r="434" spans="1:24" x14ac:dyDescent="0.3">
      <c r="A434" t="s">
        <v>2171</v>
      </c>
      <c r="C434" t="s">
        <v>2172</v>
      </c>
      <c r="D434" s="1">
        <v>46029</v>
      </c>
      <c r="E434" t="s">
        <v>2173</v>
      </c>
      <c r="F434">
        <v>9</v>
      </c>
      <c r="G434">
        <v>230</v>
      </c>
      <c r="H434" t="str">
        <f>VLOOKUP(G434,[1]OPERADORES!$A:$B,2,0)</f>
        <v>SÔNIA</v>
      </c>
      <c r="I434" t="s">
        <v>21</v>
      </c>
      <c r="J434" t="s">
        <v>2174</v>
      </c>
      <c r="K434" t="s">
        <v>2175</v>
      </c>
      <c r="L434">
        <v>22173</v>
      </c>
      <c r="M434" t="s">
        <v>194</v>
      </c>
      <c r="O434" t="s">
        <v>11</v>
      </c>
      <c r="P434">
        <v>5102</v>
      </c>
      <c r="Q434">
        <v>5</v>
      </c>
      <c r="R434">
        <v>5.39</v>
      </c>
      <c r="S434">
        <v>26.95</v>
      </c>
      <c r="T434">
        <v>17.399999999999999</v>
      </c>
      <c r="U434">
        <v>35.44</v>
      </c>
      <c r="V434" t="str">
        <f>VLOOKUP(L434,'[2]tabela de preços'!$A:$D,4,0)</f>
        <v>3M</v>
      </c>
      <c r="W434" t="str">
        <f>VLOOKUP(L434,'[2]tabela de preços'!$A:$F,6,0)</f>
        <v>FITA AUTOMOTIVA</v>
      </c>
      <c r="X434" t="str">
        <f>VLOOKUP(L434,'[2]tabela de preços'!$A:$G,7,0)</f>
        <v>AUTOMOTIVO</v>
      </c>
    </row>
    <row r="435" spans="1:24" x14ac:dyDescent="0.3">
      <c r="A435" t="s">
        <v>2171</v>
      </c>
      <c r="C435" t="s">
        <v>2172</v>
      </c>
      <c r="D435" s="1">
        <v>46029</v>
      </c>
      <c r="E435" t="s">
        <v>2173</v>
      </c>
      <c r="F435">
        <v>9</v>
      </c>
      <c r="G435">
        <v>230</v>
      </c>
      <c r="H435" t="str">
        <f>VLOOKUP(G435,[1]OPERADORES!$A:$B,2,0)</f>
        <v>SÔNIA</v>
      </c>
      <c r="I435" t="s">
        <v>21</v>
      </c>
      <c r="J435" t="s">
        <v>2174</v>
      </c>
      <c r="K435" t="s">
        <v>2175</v>
      </c>
      <c r="L435">
        <v>22188</v>
      </c>
      <c r="M435" t="s">
        <v>78</v>
      </c>
      <c r="O435" t="s">
        <v>11</v>
      </c>
      <c r="P435">
        <v>5102</v>
      </c>
      <c r="Q435">
        <v>3</v>
      </c>
      <c r="R435">
        <v>12.89</v>
      </c>
      <c r="S435">
        <v>38.67</v>
      </c>
      <c r="T435">
        <v>32.67</v>
      </c>
      <c r="U435">
        <v>15.52</v>
      </c>
      <c r="V435" t="str">
        <f>VLOOKUP(L435,'[2]tabela de preços'!$A:$D,4,0)</f>
        <v>3M</v>
      </c>
      <c r="W435" t="str">
        <f>VLOOKUP(L435,'[2]tabela de preços'!$A:$F,6,0)</f>
        <v>FITA AUTOMOTIVA</v>
      </c>
      <c r="X435" t="str">
        <f>VLOOKUP(L435,'[2]tabela de preços'!$A:$G,7,0)</f>
        <v>AUTOMOTIVO</v>
      </c>
    </row>
    <row r="436" spans="1:24" x14ac:dyDescent="0.3">
      <c r="A436" t="s">
        <v>2171</v>
      </c>
      <c r="C436" t="s">
        <v>2172</v>
      </c>
      <c r="D436" s="1">
        <v>46029</v>
      </c>
      <c r="E436" t="s">
        <v>2173</v>
      </c>
      <c r="F436">
        <v>9</v>
      </c>
      <c r="G436">
        <v>230</v>
      </c>
      <c r="H436" t="str">
        <f>VLOOKUP(G436,[1]OPERADORES!$A:$B,2,0)</f>
        <v>SÔNIA</v>
      </c>
      <c r="I436" t="s">
        <v>21</v>
      </c>
      <c r="J436" t="s">
        <v>2174</v>
      </c>
      <c r="K436" t="s">
        <v>2175</v>
      </c>
      <c r="L436">
        <v>23653</v>
      </c>
      <c r="M436" t="s">
        <v>644</v>
      </c>
      <c r="O436" t="s">
        <v>11</v>
      </c>
      <c r="P436">
        <v>5102</v>
      </c>
      <c r="Q436">
        <v>1</v>
      </c>
      <c r="R436">
        <v>67.150000000000006</v>
      </c>
      <c r="S436">
        <v>67.150000000000006</v>
      </c>
      <c r="T436">
        <v>50.97</v>
      </c>
      <c r="U436">
        <v>24.1</v>
      </c>
      <c r="V436" t="str">
        <f>VLOOKUP(L436,'[2]tabela de preços'!$A:$D,4,0)</f>
        <v>SIKKENS</v>
      </c>
      <c r="W436" t="str">
        <f>VLOOKUP(L436,'[2]tabela de preços'!$A:$F,6,0)</f>
        <v>CATALISADORES INDIVIDUAS</v>
      </c>
      <c r="X436" t="str">
        <f>VLOOKUP(L436,'[2]tabela de preços'!$A:$G,7,0)</f>
        <v>AUTOMOTIVO</v>
      </c>
    </row>
    <row r="437" spans="1:24" x14ac:dyDescent="0.3">
      <c r="A437" t="s">
        <v>2171</v>
      </c>
      <c r="C437" t="s">
        <v>2172</v>
      </c>
      <c r="D437" s="1">
        <v>46029</v>
      </c>
      <c r="E437" t="s">
        <v>2173</v>
      </c>
      <c r="F437">
        <v>9</v>
      </c>
      <c r="G437">
        <v>230</v>
      </c>
      <c r="H437" t="str">
        <f>VLOOKUP(G437,[1]OPERADORES!$A:$B,2,0)</f>
        <v>SÔNIA</v>
      </c>
      <c r="I437" t="s">
        <v>21</v>
      </c>
      <c r="J437" t="s">
        <v>2174</v>
      </c>
      <c r="K437" t="s">
        <v>2175</v>
      </c>
      <c r="L437">
        <v>85703</v>
      </c>
      <c r="M437" t="s">
        <v>682</v>
      </c>
      <c r="O437" t="s">
        <v>11</v>
      </c>
      <c r="P437">
        <v>5102</v>
      </c>
      <c r="Q437">
        <v>1</v>
      </c>
      <c r="R437">
        <v>14.25</v>
      </c>
      <c r="S437">
        <v>14.25</v>
      </c>
      <c r="T437">
        <v>10.81</v>
      </c>
      <c r="U437">
        <v>24.14</v>
      </c>
      <c r="V437" t="str">
        <f>VLOOKUP(L437,'[2]tabela de preços'!$A:$D,4,0)</f>
        <v>NEW PAD</v>
      </c>
      <c r="W437" t="str">
        <f>VLOOKUP(L437,'[2]tabela de preços'!$A:$F,6,0)</f>
        <v>APLICADORES / ADAPTADORES / ENGATES / SUPORTES</v>
      </c>
      <c r="X437" t="str">
        <f>VLOOKUP(L437,'[2]tabela de preços'!$A:$G,7,0)</f>
        <v>AUTOMOTIVO</v>
      </c>
    </row>
    <row r="438" spans="1:24" x14ac:dyDescent="0.3">
      <c r="A438" t="s">
        <v>2171</v>
      </c>
      <c r="C438" t="s">
        <v>2172</v>
      </c>
      <c r="D438" s="1">
        <v>46029</v>
      </c>
      <c r="E438" t="s">
        <v>2173</v>
      </c>
      <c r="F438">
        <v>9</v>
      </c>
      <c r="G438">
        <v>230</v>
      </c>
      <c r="H438" t="str">
        <f>VLOOKUP(G438,[1]OPERADORES!$A:$B,2,0)</f>
        <v>SÔNIA</v>
      </c>
      <c r="I438" t="s">
        <v>21</v>
      </c>
      <c r="J438" t="s">
        <v>2174</v>
      </c>
      <c r="K438" t="s">
        <v>2175</v>
      </c>
      <c r="L438">
        <v>23063</v>
      </c>
      <c r="M438" t="s">
        <v>786</v>
      </c>
      <c r="O438" t="s">
        <v>11</v>
      </c>
      <c r="P438">
        <v>5403</v>
      </c>
      <c r="Q438">
        <v>1</v>
      </c>
      <c r="R438">
        <v>39.67</v>
      </c>
      <c r="S438">
        <v>39.67</v>
      </c>
      <c r="T438">
        <v>30.11</v>
      </c>
      <c r="U438">
        <v>24.1</v>
      </c>
      <c r="V438" t="str">
        <f>VLOOKUP(L438,'[2]tabela de preços'!$A:$D,4,0)</f>
        <v>WANDA</v>
      </c>
      <c r="W438" t="str">
        <f>VLOOKUP(L438,'[2]tabela de preços'!$A:$F,6,0)</f>
        <v>VERNIZ AUTOMOTIVO</v>
      </c>
      <c r="X438" t="str">
        <f>VLOOKUP(L438,'[2]tabela de preços'!$A:$G,7,0)</f>
        <v>AUTOMOTIVO</v>
      </c>
    </row>
    <row r="439" spans="1:24" x14ac:dyDescent="0.3">
      <c r="A439" t="s">
        <v>2171</v>
      </c>
      <c r="C439" t="s">
        <v>2172</v>
      </c>
      <c r="D439" s="1">
        <v>46029</v>
      </c>
      <c r="E439" t="s">
        <v>2173</v>
      </c>
      <c r="F439">
        <v>9</v>
      </c>
      <c r="G439">
        <v>230</v>
      </c>
      <c r="H439" t="str">
        <f>VLOOKUP(G439,[1]OPERADORES!$A:$B,2,0)</f>
        <v>SÔNIA</v>
      </c>
      <c r="I439" t="s">
        <v>21</v>
      </c>
      <c r="J439" t="s">
        <v>2174</v>
      </c>
      <c r="K439" t="s">
        <v>2175</v>
      </c>
      <c r="L439">
        <v>85587</v>
      </c>
      <c r="M439" t="s">
        <v>2177</v>
      </c>
      <c r="O439" t="s">
        <v>11</v>
      </c>
      <c r="P439">
        <v>5405</v>
      </c>
      <c r="Q439">
        <v>1</v>
      </c>
      <c r="R439">
        <v>48.01</v>
      </c>
      <c r="S439">
        <v>48.01</v>
      </c>
      <c r="T439">
        <v>34.229999999999997</v>
      </c>
      <c r="U439">
        <v>28.7</v>
      </c>
      <c r="V439" t="str">
        <f>VLOOKUP(L439,'[2]tabela de preços'!$A:$D,4,0)</f>
        <v>SHERWIN WILLIAMS</v>
      </c>
      <c r="W439" t="str">
        <f>VLOOKUP(L439,'[2]tabela de preços'!$A:$F,6,0)</f>
        <v>TINTAS POLIÉSTER</v>
      </c>
      <c r="X439" t="str">
        <f>VLOOKUP(L439,'[2]tabela de preços'!$A:$G,7,0)</f>
        <v>AUTOMOTIVO</v>
      </c>
    </row>
    <row r="440" spans="1:24" x14ac:dyDescent="0.3">
      <c r="A440" t="s">
        <v>2171</v>
      </c>
      <c r="C440" t="s">
        <v>2172</v>
      </c>
      <c r="D440" s="1">
        <v>46029</v>
      </c>
      <c r="E440" t="s">
        <v>2173</v>
      </c>
      <c r="F440">
        <v>9</v>
      </c>
      <c r="G440">
        <v>230</v>
      </c>
      <c r="H440" t="str">
        <f>VLOOKUP(G440,[1]OPERADORES!$A:$B,2,0)</f>
        <v>SÔNIA</v>
      </c>
      <c r="I440" t="s">
        <v>21</v>
      </c>
      <c r="J440" t="s">
        <v>2174</v>
      </c>
      <c r="K440" t="s">
        <v>2175</v>
      </c>
      <c r="L440">
        <v>20384</v>
      </c>
      <c r="M440" t="s">
        <v>648</v>
      </c>
      <c r="O440" t="s">
        <v>11</v>
      </c>
      <c r="P440">
        <v>5403</v>
      </c>
      <c r="Q440">
        <v>1</v>
      </c>
      <c r="R440">
        <v>32.159999999999997</v>
      </c>
      <c r="S440">
        <v>32.159999999999997</v>
      </c>
      <c r="T440">
        <v>22.93</v>
      </c>
      <c r="U440">
        <v>28.7</v>
      </c>
      <c r="V440" t="str">
        <f>VLOOKUP(L440,'[2]tabela de preços'!$A:$D,4,0)</f>
        <v>SHERWIN WILLIAMS</v>
      </c>
      <c r="W440" t="str">
        <f>VLOOKUP(L440,'[2]tabela de preços'!$A:$F,6,0)</f>
        <v>TINTAS PU</v>
      </c>
      <c r="X440" t="str">
        <f>VLOOKUP(L440,'[2]tabela de preços'!$A:$G,7,0)</f>
        <v>AUTOMOTIVO</v>
      </c>
    </row>
    <row r="441" spans="1:24" x14ac:dyDescent="0.3">
      <c r="A441" t="s">
        <v>2171</v>
      </c>
      <c r="C441" t="s">
        <v>2172</v>
      </c>
      <c r="D441" s="1">
        <v>46029</v>
      </c>
      <c r="E441" t="s">
        <v>2173</v>
      </c>
      <c r="F441">
        <v>9</v>
      </c>
      <c r="G441">
        <v>230</v>
      </c>
      <c r="H441" t="str">
        <f>VLOOKUP(G441,[1]OPERADORES!$A:$B,2,0)</f>
        <v>SÔNIA</v>
      </c>
      <c r="I441" t="s">
        <v>21</v>
      </c>
      <c r="J441" t="s">
        <v>2174</v>
      </c>
      <c r="K441" t="s">
        <v>2175</v>
      </c>
      <c r="L441">
        <v>10238</v>
      </c>
      <c r="M441" t="s">
        <v>79</v>
      </c>
      <c r="O441" t="s">
        <v>11</v>
      </c>
      <c r="P441">
        <v>5102</v>
      </c>
      <c r="Q441">
        <v>10</v>
      </c>
      <c r="R441">
        <v>2.79</v>
      </c>
      <c r="S441">
        <v>27.9</v>
      </c>
      <c r="T441">
        <v>22.7</v>
      </c>
      <c r="U441">
        <v>18.64</v>
      </c>
      <c r="V441" t="str">
        <f>VLOOKUP(L441,'[2]tabela de preços'!$A:$D,4,0)</f>
        <v>NORTON</v>
      </c>
      <c r="W441" t="str">
        <f>VLOOKUP(L441,'[2]tabela de preços'!$A:$F,6,0)</f>
        <v xml:space="preserve">DISCOS / LIXAS / ABRASIVOS </v>
      </c>
      <c r="X441" t="str">
        <f>VLOOKUP(L441,'[2]tabela de preços'!$A:$G,7,0)</f>
        <v>AUTOMOTIVO</v>
      </c>
    </row>
    <row r="442" spans="1:24" x14ac:dyDescent="0.3">
      <c r="A442" t="s">
        <v>2171</v>
      </c>
      <c r="C442" t="s">
        <v>2172</v>
      </c>
      <c r="D442" s="1">
        <v>46029</v>
      </c>
      <c r="E442" t="s">
        <v>2173</v>
      </c>
      <c r="F442">
        <v>9</v>
      </c>
      <c r="G442">
        <v>230</v>
      </c>
      <c r="H442" t="str">
        <f>VLOOKUP(G442,[1]OPERADORES!$A:$B,2,0)</f>
        <v>SÔNIA</v>
      </c>
      <c r="I442" t="s">
        <v>21</v>
      </c>
      <c r="J442" t="s">
        <v>2174</v>
      </c>
      <c r="K442" t="s">
        <v>2175</v>
      </c>
      <c r="L442">
        <v>10243</v>
      </c>
      <c r="M442" t="s">
        <v>83</v>
      </c>
      <c r="O442" t="s">
        <v>11</v>
      </c>
      <c r="P442">
        <v>5102</v>
      </c>
      <c r="Q442">
        <v>10</v>
      </c>
      <c r="R442">
        <v>2.79</v>
      </c>
      <c r="S442">
        <v>27.9</v>
      </c>
      <c r="T442">
        <v>19.5</v>
      </c>
      <c r="U442">
        <v>30.11</v>
      </c>
      <c r="V442" t="str">
        <f>VLOOKUP(L442,'[2]tabela de preços'!$A:$D,4,0)</f>
        <v>NORTON</v>
      </c>
      <c r="W442" t="str">
        <f>VLOOKUP(L442,'[2]tabela de preços'!$A:$F,6,0)</f>
        <v xml:space="preserve">DISCOS / LIXAS / ABRASIVOS </v>
      </c>
      <c r="X442" t="str">
        <f>VLOOKUP(L442,'[2]tabela de preços'!$A:$G,7,0)</f>
        <v>AUTOMOTIVO</v>
      </c>
    </row>
    <row r="443" spans="1:24" x14ac:dyDescent="0.3">
      <c r="A443" t="s">
        <v>2171</v>
      </c>
      <c r="C443" t="s">
        <v>2172</v>
      </c>
      <c r="D443" s="1">
        <v>46029</v>
      </c>
      <c r="E443" t="s">
        <v>2173</v>
      </c>
      <c r="F443">
        <v>9</v>
      </c>
      <c r="G443">
        <v>230</v>
      </c>
      <c r="H443" t="str">
        <f>VLOOKUP(G443,[1]OPERADORES!$A:$B,2,0)</f>
        <v>SÔNIA</v>
      </c>
      <c r="I443" t="s">
        <v>21</v>
      </c>
      <c r="J443" t="s">
        <v>2174</v>
      </c>
      <c r="K443" t="s">
        <v>2175</v>
      </c>
      <c r="L443">
        <v>10244</v>
      </c>
      <c r="M443" t="s">
        <v>84</v>
      </c>
      <c r="O443" t="s">
        <v>11</v>
      </c>
      <c r="P443">
        <v>5102</v>
      </c>
      <c r="Q443">
        <v>10</v>
      </c>
      <c r="R443">
        <v>2.79</v>
      </c>
      <c r="S443">
        <v>27.9</v>
      </c>
      <c r="T443">
        <v>19.7</v>
      </c>
      <c r="U443">
        <v>29.39</v>
      </c>
      <c r="V443" t="str">
        <f>VLOOKUP(L443,'[2]tabela de preços'!$A:$D,4,0)</f>
        <v>NORTON</v>
      </c>
      <c r="W443" t="str">
        <f>VLOOKUP(L443,'[2]tabela de preços'!$A:$F,6,0)</f>
        <v xml:space="preserve">DISCOS / LIXAS / ABRASIVOS </v>
      </c>
      <c r="X443" t="str">
        <f>VLOOKUP(L443,'[2]tabela de preços'!$A:$G,7,0)</f>
        <v>AUTOMOTIVO</v>
      </c>
    </row>
    <row r="444" spans="1:24" x14ac:dyDescent="0.3">
      <c r="A444" t="s">
        <v>2171</v>
      </c>
      <c r="C444" t="s">
        <v>2172</v>
      </c>
      <c r="D444" s="1">
        <v>46029</v>
      </c>
      <c r="E444" t="s">
        <v>2173</v>
      </c>
      <c r="F444">
        <v>9</v>
      </c>
      <c r="G444">
        <v>230</v>
      </c>
      <c r="H444" t="str">
        <f>VLOOKUP(G444,[1]OPERADORES!$A:$B,2,0)</f>
        <v>SÔNIA</v>
      </c>
      <c r="I444" t="s">
        <v>21</v>
      </c>
      <c r="J444" t="s">
        <v>2174</v>
      </c>
      <c r="K444" t="s">
        <v>2175</v>
      </c>
      <c r="L444">
        <v>10245</v>
      </c>
      <c r="M444" t="s">
        <v>195</v>
      </c>
      <c r="O444" t="s">
        <v>11</v>
      </c>
      <c r="P444">
        <v>5102</v>
      </c>
      <c r="Q444">
        <v>10</v>
      </c>
      <c r="R444">
        <v>2.79</v>
      </c>
      <c r="S444">
        <v>27.9</v>
      </c>
      <c r="T444">
        <v>19.5</v>
      </c>
      <c r="U444">
        <v>30.11</v>
      </c>
      <c r="V444" t="str">
        <f>VLOOKUP(L444,'[2]tabela de preços'!$A:$D,4,0)</f>
        <v>NORTON</v>
      </c>
      <c r="W444" t="str">
        <f>VLOOKUP(L444,'[2]tabela de preços'!$A:$F,6,0)</f>
        <v xml:space="preserve">DISCOS / LIXAS / ABRASIVOS </v>
      </c>
      <c r="X444" t="str">
        <f>VLOOKUP(L444,'[2]tabela de preços'!$A:$G,7,0)</f>
        <v>AUTOMOTIVO</v>
      </c>
    </row>
    <row r="445" spans="1:24" x14ac:dyDescent="0.3">
      <c r="A445" t="s">
        <v>2171</v>
      </c>
      <c r="C445" t="s">
        <v>2172</v>
      </c>
      <c r="D445" s="1">
        <v>46029</v>
      </c>
      <c r="E445" t="s">
        <v>2173</v>
      </c>
      <c r="F445">
        <v>9</v>
      </c>
      <c r="G445">
        <v>230</v>
      </c>
      <c r="H445" t="str">
        <f>VLOOKUP(G445,[1]OPERADORES!$A:$B,2,0)</f>
        <v>SÔNIA</v>
      </c>
      <c r="I445" t="s">
        <v>21</v>
      </c>
      <c r="J445" t="s">
        <v>2174</v>
      </c>
      <c r="K445" t="s">
        <v>2175</v>
      </c>
      <c r="L445">
        <v>10246</v>
      </c>
      <c r="M445" t="s">
        <v>206</v>
      </c>
      <c r="O445" t="s">
        <v>11</v>
      </c>
      <c r="P445">
        <v>5102</v>
      </c>
      <c r="Q445">
        <v>5</v>
      </c>
      <c r="R445">
        <v>2.79</v>
      </c>
      <c r="S445">
        <v>13.95</v>
      </c>
      <c r="T445">
        <v>9.75</v>
      </c>
      <c r="U445">
        <v>30.11</v>
      </c>
      <c r="V445" t="str">
        <f>VLOOKUP(L445,'[2]tabela de preços'!$A:$D,4,0)</f>
        <v>NORTON</v>
      </c>
      <c r="W445" t="str">
        <f>VLOOKUP(L445,'[2]tabela de preços'!$A:$F,6,0)</f>
        <v xml:space="preserve">DISCOS / LIXAS / ABRASIVOS </v>
      </c>
      <c r="X445" t="str">
        <f>VLOOKUP(L445,'[2]tabela de preços'!$A:$G,7,0)</f>
        <v>AUTOMOTIVO</v>
      </c>
    </row>
    <row r="446" spans="1:24" x14ac:dyDescent="0.3">
      <c r="A446" t="s">
        <v>2171</v>
      </c>
      <c r="C446" t="s">
        <v>2172</v>
      </c>
      <c r="D446" s="1">
        <v>46029</v>
      </c>
      <c r="E446" t="s">
        <v>2173</v>
      </c>
      <c r="F446">
        <v>9</v>
      </c>
      <c r="G446">
        <v>230</v>
      </c>
      <c r="H446" t="str">
        <f>VLOOKUP(G446,[1]OPERADORES!$A:$B,2,0)</f>
        <v>SÔNIA</v>
      </c>
      <c r="I446" t="s">
        <v>21</v>
      </c>
      <c r="J446" t="s">
        <v>2174</v>
      </c>
      <c r="K446" t="s">
        <v>2175</v>
      </c>
      <c r="L446">
        <v>84658</v>
      </c>
      <c r="M446" t="s">
        <v>100</v>
      </c>
      <c r="O446" t="s">
        <v>11</v>
      </c>
      <c r="P446">
        <v>5102</v>
      </c>
      <c r="Q446">
        <v>4</v>
      </c>
      <c r="R446">
        <v>40.840000000000003</v>
      </c>
      <c r="S446">
        <v>163.36000000000001</v>
      </c>
      <c r="T446">
        <v>124</v>
      </c>
      <c r="U446">
        <v>24.09</v>
      </c>
      <c r="V446" t="str">
        <f>VLOOKUP(L446,'[2]tabela de preços'!$A:$D,4,0)</f>
        <v>ANJO</v>
      </c>
      <c r="W446" t="str">
        <f>VLOOKUP(L446,'[2]tabela de preços'!$A:$F,6,0)</f>
        <v>MASSA POLIÉSTER</v>
      </c>
      <c r="X446" t="str">
        <f>VLOOKUP(L446,'[2]tabela de preços'!$A:$G,7,0)</f>
        <v>AUTOMOTIVO</v>
      </c>
    </row>
    <row r="447" spans="1:24" x14ac:dyDescent="0.3">
      <c r="A447" t="s">
        <v>2171</v>
      </c>
      <c r="C447" t="s">
        <v>2172</v>
      </c>
      <c r="D447" s="1">
        <v>46029</v>
      </c>
      <c r="E447" t="s">
        <v>2173</v>
      </c>
      <c r="F447">
        <v>9</v>
      </c>
      <c r="G447">
        <v>230</v>
      </c>
      <c r="H447" t="str">
        <f>VLOOKUP(G447,[1]OPERADORES!$A:$B,2,0)</f>
        <v>SÔNIA</v>
      </c>
      <c r="I447" t="s">
        <v>21</v>
      </c>
      <c r="J447" t="s">
        <v>2174</v>
      </c>
      <c r="K447" t="s">
        <v>2175</v>
      </c>
      <c r="L447">
        <v>23926</v>
      </c>
      <c r="M447" t="s">
        <v>645</v>
      </c>
      <c r="O447" t="s">
        <v>11</v>
      </c>
      <c r="P447">
        <v>5403</v>
      </c>
      <c r="Q447">
        <v>1</v>
      </c>
      <c r="R447">
        <v>135.72</v>
      </c>
      <c r="S447">
        <v>135.72</v>
      </c>
      <c r="T447">
        <v>103.01</v>
      </c>
      <c r="U447">
        <v>24.1</v>
      </c>
      <c r="V447" t="str">
        <f>VLOOKUP(L447,'[2]tabela de preços'!$A:$D,4,0)</f>
        <v>SIKKENS</v>
      </c>
      <c r="W447" t="str">
        <f>VLOOKUP(L447,'[2]tabela de preços'!$A:$F,6,0)</f>
        <v>PRIMER AUTOMOTIVO</v>
      </c>
      <c r="X447" t="str">
        <f>VLOOKUP(L447,'[2]tabela de preços'!$A:$G,7,0)</f>
        <v>AUTOMOTIVO</v>
      </c>
    </row>
    <row r="448" spans="1:24" x14ac:dyDescent="0.3">
      <c r="A448" t="s">
        <v>2171</v>
      </c>
      <c r="C448" t="s">
        <v>2172</v>
      </c>
      <c r="D448" s="1">
        <v>46029</v>
      </c>
      <c r="E448" t="s">
        <v>2173</v>
      </c>
      <c r="F448">
        <v>9</v>
      </c>
      <c r="G448">
        <v>230</v>
      </c>
      <c r="H448" t="str">
        <f>VLOOKUP(G448,[1]OPERADORES!$A:$B,2,0)</f>
        <v>SÔNIA</v>
      </c>
      <c r="I448" t="s">
        <v>21</v>
      </c>
      <c r="J448" t="s">
        <v>2174</v>
      </c>
      <c r="K448" t="s">
        <v>2175</v>
      </c>
      <c r="L448">
        <v>20212</v>
      </c>
      <c r="M448" t="s">
        <v>198</v>
      </c>
      <c r="O448" t="s">
        <v>11</v>
      </c>
      <c r="P448">
        <v>5403</v>
      </c>
      <c r="Q448">
        <v>1</v>
      </c>
      <c r="R448">
        <v>26.95</v>
      </c>
      <c r="S448">
        <v>26.95</v>
      </c>
      <c r="T448">
        <v>20.46</v>
      </c>
      <c r="U448">
        <v>24.08</v>
      </c>
      <c r="V448" t="str">
        <f>VLOOKUP(L448,'[2]tabela de preços'!$A:$D,4,0)</f>
        <v>MAXI RUBBER</v>
      </c>
      <c r="W448" t="str">
        <f>VLOOKUP(L448,'[2]tabela de preços'!$A:$F,6,0)</f>
        <v>SELADORA P/ PLASTICO</v>
      </c>
      <c r="X448" t="str">
        <f>VLOOKUP(L448,'[2]tabela de preços'!$A:$G,7,0)</f>
        <v>AUTOMOTIVO</v>
      </c>
    </row>
    <row r="449" spans="1:24" x14ac:dyDescent="0.3">
      <c r="A449" t="s">
        <v>2171</v>
      </c>
      <c r="C449" t="s">
        <v>2172</v>
      </c>
      <c r="D449" s="1">
        <v>46029</v>
      </c>
      <c r="E449" t="s">
        <v>2173</v>
      </c>
      <c r="F449">
        <v>9</v>
      </c>
      <c r="G449">
        <v>230</v>
      </c>
      <c r="H449" t="str">
        <f>VLOOKUP(G449,[1]OPERADORES!$A:$B,2,0)</f>
        <v>SÔNIA</v>
      </c>
      <c r="I449" t="s">
        <v>21</v>
      </c>
      <c r="J449" t="s">
        <v>2174</v>
      </c>
      <c r="K449" t="s">
        <v>2175</v>
      </c>
      <c r="L449">
        <v>87046</v>
      </c>
      <c r="M449" t="s">
        <v>2178</v>
      </c>
      <c r="O449" t="s">
        <v>11</v>
      </c>
      <c r="P449">
        <v>5102</v>
      </c>
      <c r="Q449">
        <v>1</v>
      </c>
      <c r="R449">
        <v>16.79</v>
      </c>
      <c r="S449">
        <v>16.79</v>
      </c>
      <c r="T449">
        <v>12.74</v>
      </c>
      <c r="U449">
        <v>24.12</v>
      </c>
      <c r="V449" t="str">
        <f>VLOOKUP(L449,'[2]tabela de preços'!$A:$D,4,0)</f>
        <v>PURPLEX</v>
      </c>
      <c r="W449" t="str">
        <f>VLOOKUP(L449,'[2]tabela de preços'!$A:$F,6,0)</f>
        <v>APLICADORES / ADAPTADORES / ENGATES / SUPORTES</v>
      </c>
      <c r="X449" t="str">
        <f>VLOOKUP(L449,'[2]tabela de preços'!$A:$G,7,0)</f>
        <v>AUTOMOTIVO</v>
      </c>
    </row>
    <row r="450" spans="1:24" x14ac:dyDescent="0.3">
      <c r="A450" t="s">
        <v>2171</v>
      </c>
      <c r="C450" t="s">
        <v>2172</v>
      </c>
      <c r="D450" s="1">
        <v>46029</v>
      </c>
      <c r="E450" t="s">
        <v>2173</v>
      </c>
      <c r="F450">
        <v>9</v>
      </c>
      <c r="G450">
        <v>230</v>
      </c>
      <c r="H450" t="str">
        <f>VLOOKUP(G450,[1]OPERADORES!$A:$B,2,0)</f>
        <v>SÔNIA</v>
      </c>
      <c r="I450" t="s">
        <v>21</v>
      </c>
      <c r="J450" t="s">
        <v>2174</v>
      </c>
      <c r="K450" t="s">
        <v>2175</v>
      </c>
      <c r="L450">
        <v>85363</v>
      </c>
      <c r="M450" t="s">
        <v>2179</v>
      </c>
      <c r="O450" t="s">
        <v>11</v>
      </c>
      <c r="P450">
        <v>5102</v>
      </c>
      <c r="Q450">
        <v>1</v>
      </c>
      <c r="R450">
        <v>23.95</v>
      </c>
      <c r="S450">
        <v>23.95</v>
      </c>
      <c r="T450">
        <v>18.18</v>
      </c>
      <c r="U450">
        <v>24.09</v>
      </c>
      <c r="V450" t="str">
        <f>VLOOKUP(L450,'[2]tabela de preços'!$A:$D,4,0)</f>
        <v>BRASILUX</v>
      </c>
      <c r="W450" t="str">
        <f>VLOOKUP(L450,'[2]tabela de preços'!$A:$F,6,0)</f>
        <v>PRETO FOSCO VINÍLICO</v>
      </c>
      <c r="X450" t="str">
        <f>VLOOKUP(L450,'[2]tabela de preços'!$A:$G,7,0)</f>
        <v>AUTOMOTIVO</v>
      </c>
    </row>
    <row r="451" spans="1:24" x14ac:dyDescent="0.3">
      <c r="A451" t="s">
        <v>2293</v>
      </c>
      <c r="C451" t="s">
        <v>2300</v>
      </c>
      <c r="D451" s="1">
        <v>46029</v>
      </c>
      <c r="F451">
        <v>9</v>
      </c>
      <c r="G451">
        <v>197</v>
      </c>
      <c r="H451" t="str">
        <f>VLOOKUP(G451,[1]OPERADORES!$A:$B,2,0)</f>
        <v xml:space="preserve">POLIANA LORRANE DE AMORIM </v>
      </c>
      <c r="I451" t="s">
        <v>21</v>
      </c>
      <c r="J451" t="s">
        <v>2296</v>
      </c>
      <c r="K451" t="s">
        <v>2297</v>
      </c>
      <c r="L451">
        <v>84618</v>
      </c>
      <c r="M451" t="s">
        <v>2299</v>
      </c>
      <c r="N451" t="s">
        <v>2301</v>
      </c>
      <c r="O451" t="s">
        <v>11</v>
      </c>
      <c r="P451">
        <v>1411</v>
      </c>
      <c r="Q451">
        <v>-1</v>
      </c>
      <c r="R451">
        <v>57.04</v>
      </c>
      <c r="S451">
        <v>-57.04</v>
      </c>
      <c r="T451">
        <v>-43.29</v>
      </c>
      <c r="U451">
        <v>24.11</v>
      </c>
      <c r="V451" t="str">
        <f>VLOOKUP(L451,'[2]tabela de preços'!$A:$D,4,0)</f>
        <v>BRASILUX</v>
      </c>
      <c r="W451" t="str">
        <f>VLOOKUP(L451,'[2]tabela de preços'!$A:$F,6,0)</f>
        <v>BASES IMOBILIÁRIAS</v>
      </c>
      <c r="X451" t="str">
        <f>VLOOKUP(L451,'[2]tabela de preços'!$A:$G,7,0)</f>
        <v>IMOBILIÁRIO</v>
      </c>
    </row>
    <row r="452" spans="1:24" x14ac:dyDescent="0.3">
      <c r="A452" t="s">
        <v>165</v>
      </c>
      <c r="C452" t="s">
        <v>166</v>
      </c>
      <c r="D452" s="1">
        <v>46030</v>
      </c>
      <c r="E452" t="s">
        <v>167</v>
      </c>
      <c r="F452">
        <v>9</v>
      </c>
      <c r="G452">
        <v>174</v>
      </c>
      <c r="H452" t="str">
        <f>VLOOKUP(G452,[1]OPERADORES!$A:$B,2,0)</f>
        <v>MIRIÃ LOBATO RODRIGUES</v>
      </c>
      <c r="I452" t="s">
        <v>168</v>
      </c>
      <c r="J452" t="s">
        <v>169</v>
      </c>
      <c r="K452" t="s">
        <v>170</v>
      </c>
      <c r="L452">
        <v>85846</v>
      </c>
      <c r="M452" t="s">
        <v>171</v>
      </c>
      <c r="O452" t="s">
        <v>11</v>
      </c>
      <c r="P452">
        <v>6403</v>
      </c>
      <c r="Q452">
        <v>1</v>
      </c>
      <c r="R452">
        <v>72.22</v>
      </c>
      <c r="S452">
        <v>72.22</v>
      </c>
      <c r="T452">
        <v>54.82</v>
      </c>
      <c r="U452">
        <v>24.09</v>
      </c>
      <c r="V452" t="str">
        <f>VLOOKUP(L452,'[2]tabela de preços'!$A:$D,4,0)</f>
        <v>CORAL</v>
      </c>
      <c r="W452" t="str">
        <f>VLOOKUP(L452,'[2]tabela de preços'!$A:$F,6,0)</f>
        <v>TINTA PAREDE</v>
      </c>
      <c r="X452" t="str">
        <f>VLOOKUP(L452,'[2]tabela de preços'!$A:$G,7,0)</f>
        <v>IMOBILIÁRIO</v>
      </c>
    </row>
    <row r="453" spans="1:24" x14ac:dyDescent="0.3">
      <c r="A453" t="s">
        <v>165</v>
      </c>
      <c r="C453" t="s">
        <v>166</v>
      </c>
      <c r="D453" s="1">
        <v>46030</v>
      </c>
      <c r="E453" t="s">
        <v>167</v>
      </c>
      <c r="F453">
        <v>9</v>
      </c>
      <c r="G453">
        <v>174</v>
      </c>
      <c r="H453" t="str">
        <f>VLOOKUP(G453,[1]OPERADORES!$A:$B,2,0)</f>
        <v>MIRIÃ LOBATO RODRIGUES</v>
      </c>
      <c r="I453" t="s">
        <v>168</v>
      </c>
      <c r="J453" t="s">
        <v>169</v>
      </c>
      <c r="K453" t="s">
        <v>170</v>
      </c>
      <c r="L453">
        <v>23690</v>
      </c>
      <c r="M453" t="s">
        <v>98</v>
      </c>
      <c r="O453" t="s">
        <v>11</v>
      </c>
      <c r="P453">
        <v>6403</v>
      </c>
      <c r="Q453">
        <v>6</v>
      </c>
      <c r="R453">
        <v>39.89</v>
      </c>
      <c r="S453">
        <v>239.34</v>
      </c>
      <c r="T453">
        <v>189.66</v>
      </c>
      <c r="U453">
        <v>20.76</v>
      </c>
      <c r="V453" t="str">
        <f>VLOOKUP(L453,'[2]tabela de preços'!$A:$D,4,0)</f>
        <v>WANDA</v>
      </c>
      <c r="W453" t="str">
        <f>VLOOKUP(L453,'[2]tabela de preços'!$A:$F,6,0)</f>
        <v>VERNIZ AUTOMOTIVO</v>
      </c>
      <c r="X453" t="str">
        <f>VLOOKUP(L453,'[2]tabela de preços'!$A:$G,7,0)</f>
        <v>AUTOMOTIVO</v>
      </c>
    </row>
    <row r="454" spans="1:24" x14ac:dyDescent="0.3">
      <c r="A454" t="s">
        <v>165</v>
      </c>
      <c r="C454" t="s">
        <v>166</v>
      </c>
      <c r="D454" s="1">
        <v>46030</v>
      </c>
      <c r="E454" t="s">
        <v>167</v>
      </c>
      <c r="F454">
        <v>9</v>
      </c>
      <c r="G454">
        <v>174</v>
      </c>
      <c r="H454" t="str">
        <f>VLOOKUP(G454,[1]OPERADORES!$A:$B,2,0)</f>
        <v>MIRIÃ LOBATO RODRIGUES</v>
      </c>
      <c r="I454" t="s">
        <v>168</v>
      </c>
      <c r="J454" t="s">
        <v>169</v>
      </c>
      <c r="K454" t="s">
        <v>170</v>
      </c>
      <c r="L454">
        <v>23647</v>
      </c>
      <c r="M454" t="s">
        <v>172</v>
      </c>
      <c r="O454" t="s">
        <v>11</v>
      </c>
      <c r="P454">
        <v>6102</v>
      </c>
      <c r="Q454">
        <v>6</v>
      </c>
      <c r="R454">
        <v>33.71</v>
      </c>
      <c r="S454">
        <v>202.26</v>
      </c>
      <c r="T454">
        <v>153.54</v>
      </c>
      <c r="U454">
        <v>24.09</v>
      </c>
      <c r="V454" t="str">
        <f>VLOOKUP(L454,'[2]tabela de preços'!$A:$D,4,0)</f>
        <v>SHERWIN WILLIAMS</v>
      </c>
      <c r="W454" t="str">
        <f>VLOOKUP(L454,'[2]tabela de preços'!$A:$F,6,0)</f>
        <v>MASSA POLIÉSTER</v>
      </c>
      <c r="X454" t="str">
        <f>VLOOKUP(L454,'[2]tabela de preços'!$A:$G,7,0)</f>
        <v>AUTOMOTIVO</v>
      </c>
    </row>
    <row r="455" spans="1:24" x14ac:dyDescent="0.3">
      <c r="A455" t="s">
        <v>165</v>
      </c>
      <c r="C455" t="s">
        <v>166</v>
      </c>
      <c r="D455" s="1">
        <v>46030</v>
      </c>
      <c r="E455" t="s">
        <v>167</v>
      </c>
      <c r="F455">
        <v>9</v>
      </c>
      <c r="G455">
        <v>174</v>
      </c>
      <c r="H455" t="str">
        <f>VLOOKUP(G455,[1]OPERADORES!$A:$B,2,0)</f>
        <v>MIRIÃ LOBATO RODRIGUES</v>
      </c>
      <c r="I455" t="s">
        <v>168</v>
      </c>
      <c r="J455" t="s">
        <v>169</v>
      </c>
      <c r="K455" t="s">
        <v>170</v>
      </c>
      <c r="L455">
        <v>9764</v>
      </c>
      <c r="M455" t="s">
        <v>173</v>
      </c>
      <c r="O455" t="s">
        <v>11</v>
      </c>
      <c r="P455">
        <v>6102</v>
      </c>
      <c r="Q455">
        <v>6</v>
      </c>
      <c r="R455">
        <v>33.54</v>
      </c>
      <c r="S455">
        <v>201.24</v>
      </c>
      <c r="T455">
        <v>152.76</v>
      </c>
      <c r="U455">
        <v>24.09</v>
      </c>
      <c r="V455" t="str">
        <f>VLOOKUP(L455,'[2]tabela de preços'!$A:$D,4,0)</f>
        <v>SIKKENS</v>
      </c>
      <c r="W455" t="str">
        <f>VLOOKUP(L455,'[2]tabela de preços'!$A:$F,6,0)</f>
        <v>MASSA DE PEQUENOS REPAROS</v>
      </c>
      <c r="X455" t="str">
        <f>VLOOKUP(L455,'[2]tabela de preços'!$A:$G,7,0)</f>
        <v>AUTOMOTIVO</v>
      </c>
    </row>
    <row r="456" spans="1:24" x14ac:dyDescent="0.3">
      <c r="A456" t="s">
        <v>165</v>
      </c>
      <c r="C456" t="s">
        <v>166</v>
      </c>
      <c r="D456" s="1">
        <v>46030</v>
      </c>
      <c r="E456" t="s">
        <v>167</v>
      </c>
      <c r="F456">
        <v>9</v>
      </c>
      <c r="G456">
        <v>174</v>
      </c>
      <c r="H456" t="str">
        <f>VLOOKUP(G456,[1]OPERADORES!$A:$B,2,0)</f>
        <v>MIRIÃ LOBATO RODRIGUES</v>
      </c>
      <c r="I456" t="s">
        <v>168</v>
      </c>
      <c r="J456" t="s">
        <v>169</v>
      </c>
      <c r="K456" t="s">
        <v>170</v>
      </c>
      <c r="L456">
        <v>84044</v>
      </c>
      <c r="M456" t="s">
        <v>174</v>
      </c>
      <c r="O456" t="s">
        <v>11</v>
      </c>
      <c r="P456">
        <v>6102</v>
      </c>
      <c r="Q456">
        <v>5</v>
      </c>
      <c r="R456">
        <v>11.93</v>
      </c>
      <c r="S456">
        <v>59.65</v>
      </c>
      <c r="T456">
        <v>46.7</v>
      </c>
      <c r="U456">
        <v>21.71</v>
      </c>
      <c r="V456" t="str">
        <f>VLOOKUP(L456,'[2]tabela de preços'!$A:$D,4,0)</f>
        <v>BRASILUX</v>
      </c>
      <c r="W456" t="str">
        <f>VLOOKUP(L456,'[2]tabela de preços'!$A:$F,6,0)</f>
        <v>REMOVEDOR PASTOSO</v>
      </c>
      <c r="X456" t="str">
        <f>VLOOKUP(L456,'[2]tabela de preços'!$A:$G,7,0)</f>
        <v>AUTOMOTIVO</v>
      </c>
    </row>
    <row r="457" spans="1:24" x14ac:dyDescent="0.3">
      <c r="A457" t="s">
        <v>178</v>
      </c>
      <c r="C457" t="s">
        <v>179</v>
      </c>
      <c r="D457" s="1">
        <v>46030</v>
      </c>
      <c r="E457" t="s">
        <v>180</v>
      </c>
      <c r="F457">
        <v>9</v>
      </c>
      <c r="G457">
        <v>174</v>
      </c>
      <c r="H457" t="str">
        <f>VLOOKUP(G457,[1]OPERADORES!$A:$B,2,0)</f>
        <v>MIRIÃ LOBATO RODRIGUES</v>
      </c>
      <c r="I457" t="s">
        <v>181</v>
      </c>
      <c r="J457" t="s">
        <v>182</v>
      </c>
      <c r="K457" t="s">
        <v>183</v>
      </c>
      <c r="L457">
        <v>22233</v>
      </c>
      <c r="M457" t="s">
        <v>184</v>
      </c>
      <c r="O457" t="s">
        <v>11</v>
      </c>
      <c r="P457">
        <v>6102</v>
      </c>
      <c r="Q457">
        <v>2</v>
      </c>
      <c r="R457">
        <v>30.17</v>
      </c>
      <c r="S457">
        <v>60.34</v>
      </c>
      <c r="T457">
        <v>45.8</v>
      </c>
      <c r="U457">
        <v>24.1</v>
      </c>
      <c r="V457" t="str">
        <f>VLOOKUP(L457,'[2]tabela de preços'!$A:$D,4,0)</f>
        <v>3M</v>
      </c>
      <c r="W457" t="str">
        <f>VLOOKUP(L457,'[2]tabela de preços'!$A:$F,6,0)</f>
        <v>FITA DUPLA FACE</v>
      </c>
      <c r="X457" t="str">
        <f>VLOOKUP(L457,'[2]tabela de preços'!$A:$G,7,0)</f>
        <v>AUTOMOTIVO</v>
      </c>
    </row>
    <row r="458" spans="1:24" x14ac:dyDescent="0.3">
      <c r="A458" t="s">
        <v>178</v>
      </c>
      <c r="C458" t="s">
        <v>179</v>
      </c>
      <c r="D458" s="1">
        <v>46030</v>
      </c>
      <c r="E458" t="s">
        <v>180</v>
      </c>
      <c r="F458">
        <v>9</v>
      </c>
      <c r="G458">
        <v>174</v>
      </c>
      <c r="H458" t="str">
        <f>VLOOKUP(G458,[1]OPERADORES!$A:$B,2,0)</f>
        <v>MIRIÃ LOBATO RODRIGUES</v>
      </c>
      <c r="I458" t="s">
        <v>181</v>
      </c>
      <c r="J458" t="s">
        <v>182</v>
      </c>
      <c r="K458" t="s">
        <v>183</v>
      </c>
      <c r="L458">
        <v>20231</v>
      </c>
      <c r="M458" t="s">
        <v>185</v>
      </c>
      <c r="O458" t="s">
        <v>11</v>
      </c>
      <c r="P458">
        <v>6403</v>
      </c>
      <c r="Q458">
        <v>2</v>
      </c>
      <c r="R458">
        <v>120.25</v>
      </c>
      <c r="S458">
        <v>240.5</v>
      </c>
      <c r="T458">
        <v>182.54</v>
      </c>
      <c r="U458">
        <v>24.1</v>
      </c>
      <c r="V458" t="str">
        <f>VLOOKUP(L458,'[2]tabela de preços'!$A:$D,4,0)</f>
        <v>3M</v>
      </c>
      <c r="W458" t="str">
        <f>VLOOKUP(L458,'[2]tabela de preços'!$A:$F,6,0)</f>
        <v>PRIMER AUTOMOTIVO</v>
      </c>
      <c r="X458" t="str">
        <f>VLOOKUP(L458,'[2]tabela de preços'!$A:$G,7,0)</f>
        <v>AUTOMOTIVO</v>
      </c>
    </row>
    <row r="459" spans="1:24" x14ac:dyDescent="0.3">
      <c r="A459" t="s">
        <v>262</v>
      </c>
      <c r="C459" t="s">
        <v>263</v>
      </c>
      <c r="D459" s="1">
        <v>46030</v>
      </c>
      <c r="E459" t="s">
        <v>264</v>
      </c>
      <c r="F459">
        <v>9</v>
      </c>
      <c r="G459">
        <v>197</v>
      </c>
      <c r="H459" t="str">
        <f>VLOOKUP(G459,[1]OPERADORES!$A:$B,2,0)</f>
        <v xml:space="preserve">POLIANA LORRANE DE AMORIM </v>
      </c>
      <c r="I459" t="s">
        <v>21</v>
      </c>
      <c r="J459" t="s">
        <v>265</v>
      </c>
      <c r="K459" t="s">
        <v>266</v>
      </c>
      <c r="L459">
        <v>85695</v>
      </c>
      <c r="M459" t="s">
        <v>267</v>
      </c>
      <c r="O459" t="s">
        <v>11</v>
      </c>
      <c r="P459">
        <v>5102</v>
      </c>
      <c r="Q459">
        <v>12</v>
      </c>
      <c r="R459">
        <v>3.69</v>
      </c>
      <c r="S459">
        <v>44.28</v>
      </c>
      <c r="T459">
        <v>34.92</v>
      </c>
      <c r="U459">
        <v>21.14</v>
      </c>
      <c r="V459" t="str">
        <f>VLOOKUP(L459,'[2]tabela de preços'!$A:$D,4,0)</f>
        <v>UNIPEGA</v>
      </c>
      <c r="W459" t="str">
        <f>VLOOKUP(L459,'[2]tabela de preços'!$A:$F,6,0)</f>
        <v>PU 40</v>
      </c>
      <c r="X459" t="str">
        <f>VLOOKUP(L459,'[2]tabela de preços'!$A:$G,7,0)</f>
        <v>IMOBILIÁRIO</v>
      </c>
    </row>
    <row r="460" spans="1:24" x14ac:dyDescent="0.3">
      <c r="A460" t="s">
        <v>262</v>
      </c>
      <c r="C460" t="s">
        <v>263</v>
      </c>
      <c r="D460" s="1">
        <v>46030</v>
      </c>
      <c r="E460" t="s">
        <v>264</v>
      </c>
      <c r="F460">
        <v>9</v>
      </c>
      <c r="G460">
        <v>197</v>
      </c>
      <c r="H460" t="str">
        <f>VLOOKUP(G460,[1]OPERADORES!$A:$B,2,0)</f>
        <v xml:space="preserve">POLIANA LORRANE DE AMORIM </v>
      </c>
      <c r="I460" t="s">
        <v>21</v>
      </c>
      <c r="J460" t="s">
        <v>265</v>
      </c>
      <c r="K460" t="s">
        <v>266</v>
      </c>
      <c r="L460">
        <v>85696</v>
      </c>
      <c r="M460" t="s">
        <v>268</v>
      </c>
      <c r="O460" t="s">
        <v>11</v>
      </c>
      <c r="P460">
        <v>5102</v>
      </c>
      <c r="Q460">
        <v>12</v>
      </c>
      <c r="R460">
        <v>3.69</v>
      </c>
      <c r="S460">
        <v>44.28</v>
      </c>
      <c r="T460">
        <v>34.92</v>
      </c>
      <c r="U460">
        <v>21.14</v>
      </c>
      <c r="V460" t="str">
        <f>VLOOKUP(L460,'[2]tabela de preços'!$A:$D,4,0)</f>
        <v>UNIPEGA</v>
      </c>
      <c r="W460" t="str">
        <f>VLOOKUP(L460,'[2]tabela de preços'!$A:$F,6,0)</f>
        <v>PU 40</v>
      </c>
      <c r="X460" t="str">
        <f>VLOOKUP(L460,'[2]tabela de preços'!$A:$G,7,0)</f>
        <v>IMOBILIÁRIO</v>
      </c>
    </row>
    <row r="461" spans="1:24" x14ac:dyDescent="0.3">
      <c r="A461" t="s">
        <v>262</v>
      </c>
      <c r="C461" t="s">
        <v>263</v>
      </c>
      <c r="D461" s="1">
        <v>46030</v>
      </c>
      <c r="E461" t="s">
        <v>264</v>
      </c>
      <c r="F461">
        <v>9</v>
      </c>
      <c r="G461">
        <v>197</v>
      </c>
      <c r="H461" t="str">
        <f>VLOOKUP(G461,[1]OPERADORES!$A:$B,2,0)</f>
        <v xml:space="preserve">POLIANA LORRANE DE AMORIM </v>
      </c>
      <c r="I461" t="s">
        <v>21</v>
      </c>
      <c r="J461" t="s">
        <v>265</v>
      </c>
      <c r="K461" t="s">
        <v>266</v>
      </c>
      <c r="L461">
        <v>84335</v>
      </c>
      <c r="M461" t="s">
        <v>269</v>
      </c>
      <c r="O461" t="s">
        <v>11</v>
      </c>
      <c r="P461">
        <v>5403</v>
      </c>
      <c r="Q461">
        <v>4</v>
      </c>
      <c r="R461">
        <v>60.89</v>
      </c>
      <c r="S461">
        <v>243.56</v>
      </c>
      <c r="T461">
        <v>202.6</v>
      </c>
      <c r="U461">
        <v>16.82</v>
      </c>
      <c r="V461" t="str">
        <f>VLOOKUP(L461,'[2]tabela de preços'!$A:$D,4,0)</f>
        <v>BRASILUX</v>
      </c>
      <c r="W461" t="str">
        <f>VLOOKUP(L461,'[2]tabela de preços'!$A:$F,6,0)</f>
        <v>ESMALTES</v>
      </c>
      <c r="X461" t="str">
        <f>VLOOKUP(L461,'[2]tabela de preços'!$A:$G,7,0)</f>
        <v>INDUSTRIAL</v>
      </c>
    </row>
    <row r="462" spans="1:24" x14ac:dyDescent="0.3">
      <c r="A462" t="s">
        <v>262</v>
      </c>
      <c r="C462" t="s">
        <v>263</v>
      </c>
      <c r="D462" s="1">
        <v>46030</v>
      </c>
      <c r="E462" t="s">
        <v>264</v>
      </c>
      <c r="F462">
        <v>9</v>
      </c>
      <c r="G462">
        <v>197</v>
      </c>
      <c r="H462" t="str">
        <f>VLOOKUP(G462,[1]OPERADORES!$A:$B,2,0)</f>
        <v xml:space="preserve">POLIANA LORRANE DE AMORIM </v>
      </c>
      <c r="I462" t="s">
        <v>21</v>
      </c>
      <c r="J462" t="s">
        <v>265</v>
      </c>
      <c r="K462" t="s">
        <v>266</v>
      </c>
      <c r="L462">
        <v>10224</v>
      </c>
      <c r="M462" t="s">
        <v>270</v>
      </c>
      <c r="O462" t="s">
        <v>11</v>
      </c>
      <c r="P462">
        <v>5102</v>
      </c>
      <c r="Q462">
        <v>25</v>
      </c>
      <c r="R462">
        <v>2.79</v>
      </c>
      <c r="S462">
        <v>69.75</v>
      </c>
      <c r="T462">
        <v>59.25</v>
      </c>
      <c r="U462">
        <v>15.05</v>
      </c>
      <c r="V462" t="str">
        <f>VLOOKUP(L462,'[2]tabela de preços'!$A:$D,4,0)</f>
        <v>NORTON</v>
      </c>
      <c r="W462" t="str">
        <f>VLOOKUP(L462,'[2]tabela de preços'!$A:$F,6,0)</f>
        <v xml:space="preserve">DISCOS / LIXAS / ABRASIVOS </v>
      </c>
      <c r="X462" t="str">
        <f>VLOOKUP(L462,'[2]tabela de preços'!$A:$G,7,0)</f>
        <v>AUTOMOTIVO</v>
      </c>
    </row>
    <row r="463" spans="1:24" x14ac:dyDescent="0.3">
      <c r="A463" t="s">
        <v>262</v>
      </c>
      <c r="C463" t="s">
        <v>263</v>
      </c>
      <c r="D463" s="1">
        <v>46030</v>
      </c>
      <c r="E463" t="s">
        <v>264</v>
      </c>
      <c r="F463">
        <v>9</v>
      </c>
      <c r="G463">
        <v>197</v>
      </c>
      <c r="H463" t="str">
        <f>VLOOKUP(G463,[1]OPERADORES!$A:$B,2,0)</f>
        <v xml:space="preserve">POLIANA LORRANE DE AMORIM </v>
      </c>
      <c r="I463" t="s">
        <v>21</v>
      </c>
      <c r="J463" t="s">
        <v>265</v>
      </c>
      <c r="K463" t="s">
        <v>266</v>
      </c>
      <c r="L463">
        <v>10230</v>
      </c>
      <c r="M463" t="s">
        <v>193</v>
      </c>
      <c r="O463" t="s">
        <v>11</v>
      </c>
      <c r="P463">
        <v>5102</v>
      </c>
      <c r="Q463">
        <v>25</v>
      </c>
      <c r="R463">
        <v>2.79</v>
      </c>
      <c r="S463">
        <v>69.75</v>
      </c>
      <c r="T463">
        <v>59</v>
      </c>
      <c r="U463">
        <v>15.41</v>
      </c>
      <c r="V463" t="str">
        <f>VLOOKUP(L463,'[2]tabela de preços'!$A:$D,4,0)</f>
        <v>NORTON</v>
      </c>
      <c r="W463" t="str">
        <f>VLOOKUP(L463,'[2]tabela de preços'!$A:$F,6,0)</f>
        <v xml:space="preserve">DISCOS / LIXAS / ABRASIVOS </v>
      </c>
      <c r="X463" t="str">
        <f>VLOOKUP(L463,'[2]tabela de preços'!$A:$G,7,0)</f>
        <v>AUTOMOTIVO</v>
      </c>
    </row>
    <row r="464" spans="1:24" x14ac:dyDescent="0.3">
      <c r="A464" t="s">
        <v>262</v>
      </c>
      <c r="C464" t="s">
        <v>263</v>
      </c>
      <c r="D464" s="1">
        <v>46030</v>
      </c>
      <c r="E464" t="s">
        <v>264</v>
      </c>
      <c r="F464">
        <v>9</v>
      </c>
      <c r="G464">
        <v>197</v>
      </c>
      <c r="H464" t="str">
        <f>VLOOKUP(G464,[1]OPERADORES!$A:$B,2,0)</f>
        <v xml:space="preserve">POLIANA LORRANE DE AMORIM </v>
      </c>
      <c r="I464" t="s">
        <v>21</v>
      </c>
      <c r="J464" t="s">
        <v>265</v>
      </c>
      <c r="K464" t="s">
        <v>266</v>
      </c>
      <c r="L464">
        <v>10232</v>
      </c>
      <c r="M464" t="s">
        <v>134</v>
      </c>
      <c r="O464" t="s">
        <v>11</v>
      </c>
      <c r="P464">
        <v>5102</v>
      </c>
      <c r="Q464">
        <v>30</v>
      </c>
      <c r="R464">
        <v>2.79</v>
      </c>
      <c r="S464">
        <v>83.7</v>
      </c>
      <c r="T464">
        <v>68.7</v>
      </c>
      <c r="U464">
        <v>17.920000000000002</v>
      </c>
      <c r="V464" t="str">
        <f>VLOOKUP(L464,'[2]tabela de preços'!$A:$D,4,0)</f>
        <v>NORTON</v>
      </c>
      <c r="W464" t="str">
        <f>VLOOKUP(L464,'[2]tabela de preços'!$A:$F,6,0)</f>
        <v xml:space="preserve">DISCOS / LIXAS / ABRASIVOS </v>
      </c>
      <c r="X464" t="str">
        <f>VLOOKUP(L464,'[2]tabela de preços'!$A:$G,7,0)</f>
        <v>AUTOMOTIVO</v>
      </c>
    </row>
    <row r="465" spans="1:24" x14ac:dyDescent="0.3">
      <c r="A465" t="s">
        <v>262</v>
      </c>
      <c r="C465" t="s">
        <v>263</v>
      </c>
      <c r="D465" s="1">
        <v>46030</v>
      </c>
      <c r="E465" t="s">
        <v>264</v>
      </c>
      <c r="F465">
        <v>9</v>
      </c>
      <c r="G465">
        <v>197</v>
      </c>
      <c r="H465" t="str">
        <f>VLOOKUP(G465,[1]OPERADORES!$A:$B,2,0)</f>
        <v xml:space="preserve">POLIANA LORRANE DE AMORIM </v>
      </c>
      <c r="I465" t="s">
        <v>21</v>
      </c>
      <c r="J465" t="s">
        <v>265</v>
      </c>
      <c r="K465" t="s">
        <v>266</v>
      </c>
      <c r="L465">
        <v>10237</v>
      </c>
      <c r="M465" t="s">
        <v>271</v>
      </c>
      <c r="O465" t="s">
        <v>11</v>
      </c>
      <c r="P465">
        <v>5102</v>
      </c>
      <c r="Q465">
        <v>10</v>
      </c>
      <c r="R465">
        <v>2.79</v>
      </c>
      <c r="S465">
        <v>27.9</v>
      </c>
      <c r="T465">
        <v>22.9</v>
      </c>
      <c r="U465">
        <v>17.920000000000002</v>
      </c>
      <c r="V465" t="str">
        <f>VLOOKUP(L465,'[2]tabela de preços'!$A:$D,4,0)</f>
        <v>NORTON</v>
      </c>
      <c r="W465" t="str">
        <f>VLOOKUP(L465,'[2]tabela de preços'!$A:$F,6,0)</f>
        <v xml:space="preserve">DISCOS / LIXAS / ABRASIVOS </v>
      </c>
      <c r="X465" t="str">
        <f>VLOOKUP(L465,'[2]tabela de preços'!$A:$G,7,0)</f>
        <v>AUTOMOTIVO</v>
      </c>
    </row>
    <row r="466" spans="1:24" x14ac:dyDescent="0.3">
      <c r="A466" t="s">
        <v>262</v>
      </c>
      <c r="C466" t="s">
        <v>263</v>
      </c>
      <c r="D466" s="1">
        <v>46030</v>
      </c>
      <c r="E466" t="s">
        <v>264</v>
      </c>
      <c r="F466">
        <v>9</v>
      </c>
      <c r="G466">
        <v>197</v>
      </c>
      <c r="H466" t="str">
        <f>VLOOKUP(G466,[1]OPERADORES!$A:$B,2,0)</f>
        <v xml:space="preserve">POLIANA LORRANE DE AMORIM </v>
      </c>
      <c r="I466" t="s">
        <v>21</v>
      </c>
      <c r="J466" t="s">
        <v>265</v>
      </c>
      <c r="K466" t="s">
        <v>266</v>
      </c>
      <c r="L466">
        <v>22188</v>
      </c>
      <c r="M466" t="s">
        <v>78</v>
      </c>
      <c r="O466" t="s">
        <v>11</v>
      </c>
      <c r="P466">
        <v>5102</v>
      </c>
      <c r="Q466">
        <v>6</v>
      </c>
      <c r="R466">
        <v>12.89</v>
      </c>
      <c r="S466">
        <v>77.34</v>
      </c>
      <c r="T466">
        <v>65.34</v>
      </c>
      <c r="U466">
        <v>15.52</v>
      </c>
      <c r="V466" t="str">
        <f>VLOOKUP(L466,'[2]tabela de preços'!$A:$D,4,0)</f>
        <v>3M</v>
      </c>
      <c r="W466" t="str">
        <f>VLOOKUP(L466,'[2]tabela de preços'!$A:$F,6,0)</f>
        <v>FITA AUTOMOTIVA</v>
      </c>
      <c r="X466" t="str">
        <f>VLOOKUP(L466,'[2]tabela de preços'!$A:$G,7,0)</f>
        <v>AUTOMOTIVO</v>
      </c>
    </row>
    <row r="467" spans="1:24" x14ac:dyDescent="0.3">
      <c r="A467" t="s">
        <v>262</v>
      </c>
      <c r="C467" t="s">
        <v>263</v>
      </c>
      <c r="D467" s="1">
        <v>46030</v>
      </c>
      <c r="E467" t="s">
        <v>264</v>
      </c>
      <c r="F467">
        <v>9</v>
      </c>
      <c r="G467">
        <v>197</v>
      </c>
      <c r="H467" t="str">
        <f>VLOOKUP(G467,[1]OPERADORES!$A:$B,2,0)</f>
        <v xml:space="preserve">POLIANA LORRANE DE AMORIM </v>
      </c>
      <c r="I467" t="s">
        <v>21</v>
      </c>
      <c r="J467" t="s">
        <v>265</v>
      </c>
      <c r="K467" t="s">
        <v>266</v>
      </c>
      <c r="L467">
        <v>10242</v>
      </c>
      <c r="M467" t="s">
        <v>82</v>
      </c>
      <c r="O467" t="s">
        <v>11</v>
      </c>
      <c r="P467">
        <v>5102</v>
      </c>
      <c r="Q467">
        <v>30</v>
      </c>
      <c r="R467">
        <v>2.79</v>
      </c>
      <c r="S467">
        <v>83.7</v>
      </c>
      <c r="T467">
        <v>68.400000000000006</v>
      </c>
      <c r="U467">
        <v>18.28</v>
      </c>
      <c r="V467" t="str">
        <f>VLOOKUP(L467,'[2]tabela de preços'!$A:$D,4,0)</f>
        <v>NORTON</v>
      </c>
      <c r="W467" t="str">
        <f>VLOOKUP(L467,'[2]tabela de preços'!$A:$F,6,0)</f>
        <v xml:space="preserve">DISCOS / LIXAS / ABRASIVOS </v>
      </c>
      <c r="X467" t="str">
        <f>VLOOKUP(L467,'[2]tabela de preços'!$A:$G,7,0)</f>
        <v>AUTOMOTIVO</v>
      </c>
    </row>
    <row r="468" spans="1:24" x14ac:dyDescent="0.3">
      <c r="A468" t="s">
        <v>262</v>
      </c>
      <c r="C468" t="s">
        <v>263</v>
      </c>
      <c r="D468" s="1">
        <v>46030</v>
      </c>
      <c r="E468" t="s">
        <v>264</v>
      </c>
      <c r="F468">
        <v>9</v>
      </c>
      <c r="G468">
        <v>197</v>
      </c>
      <c r="H468" t="str">
        <f>VLOOKUP(G468,[1]OPERADORES!$A:$B,2,0)</f>
        <v xml:space="preserve">POLIANA LORRANE DE AMORIM </v>
      </c>
      <c r="I468" t="s">
        <v>21</v>
      </c>
      <c r="J468" t="s">
        <v>265</v>
      </c>
      <c r="K468" t="s">
        <v>266</v>
      </c>
      <c r="L468">
        <v>10246</v>
      </c>
      <c r="M468" t="s">
        <v>206</v>
      </c>
      <c r="O468" t="s">
        <v>11</v>
      </c>
      <c r="P468">
        <v>5102</v>
      </c>
      <c r="Q468">
        <v>30</v>
      </c>
      <c r="R468">
        <v>2.79</v>
      </c>
      <c r="S468">
        <v>83.7</v>
      </c>
      <c r="T468">
        <v>58.5</v>
      </c>
      <c r="U468">
        <v>30.11</v>
      </c>
      <c r="V468" t="str">
        <f>VLOOKUP(L468,'[2]tabela de preços'!$A:$D,4,0)</f>
        <v>NORTON</v>
      </c>
      <c r="W468" t="str">
        <f>VLOOKUP(L468,'[2]tabela de preços'!$A:$F,6,0)</f>
        <v xml:space="preserve">DISCOS / LIXAS / ABRASIVOS </v>
      </c>
      <c r="X468" t="str">
        <f>VLOOKUP(L468,'[2]tabela de preços'!$A:$G,7,0)</f>
        <v>AUTOMOTIVO</v>
      </c>
    </row>
    <row r="469" spans="1:24" x14ac:dyDescent="0.3">
      <c r="A469" t="s">
        <v>262</v>
      </c>
      <c r="C469" t="s">
        <v>263</v>
      </c>
      <c r="D469" s="1">
        <v>46030</v>
      </c>
      <c r="E469" t="s">
        <v>264</v>
      </c>
      <c r="F469">
        <v>9</v>
      </c>
      <c r="G469">
        <v>197</v>
      </c>
      <c r="H469" t="str">
        <f>VLOOKUP(G469,[1]OPERADORES!$A:$B,2,0)</f>
        <v xml:space="preserve">POLIANA LORRANE DE AMORIM </v>
      </c>
      <c r="I469" t="s">
        <v>21</v>
      </c>
      <c r="J469" t="s">
        <v>265</v>
      </c>
      <c r="K469" t="s">
        <v>266</v>
      </c>
      <c r="L469">
        <v>87043</v>
      </c>
      <c r="M469" t="s">
        <v>217</v>
      </c>
      <c r="O469" t="s">
        <v>11</v>
      </c>
      <c r="P469">
        <v>5102</v>
      </c>
      <c r="Q469">
        <v>18</v>
      </c>
      <c r="R469">
        <v>22.89</v>
      </c>
      <c r="S469">
        <v>412.02</v>
      </c>
      <c r="T469">
        <v>324.36</v>
      </c>
      <c r="U469">
        <v>21.28</v>
      </c>
      <c r="V469" t="str">
        <f>VLOOKUP(L469,'[2]tabela de preços'!$A:$D,4,0)</f>
        <v>ROBERLO</v>
      </c>
      <c r="W469" t="str">
        <f>VLOOKUP(L469,'[2]tabela de preços'!$A:$F,6,0)</f>
        <v>MASSA POLIÉSTER</v>
      </c>
      <c r="X469" t="str">
        <f>VLOOKUP(L469,'[2]tabela de preços'!$A:$G,7,0)</f>
        <v>AUTOMOTIVO</v>
      </c>
    </row>
    <row r="470" spans="1:24" x14ac:dyDescent="0.3">
      <c r="A470" t="s">
        <v>262</v>
      </c>
      <c r="C470" t="s">
        <v>263</v>
      </c>
      <c r="D470" s="1">
        <v>46030</v>
      </c>
      <c r="E470" t="s">
        <v>264</v>
      </c>
      <c r="F470">
        <v>9</v>
      </c>
      <c r="G470">
        <v>197</v>
      </c>
      <c r="H470" t="str">
        <f>VLOOKUP(G470,[1]OPERADORES!$A:$B,2,0)</f>
        <v xml:space="preserve">POLIANA LORRANE DE AMORIM </v>
      </c>
      <c r="I470" t="s">
        <v>21</v>
      </c>
      <c r="J470" t="s">
        <v>265</v>
      </c>
      <c r="K470" t="s">
        <v>266</v>
      </c>
      <c r="L470">
        <v>21321</v>
      </c>
      <c r="M470" t="s">
        <v>272</v>
      </c>
      <c r="O470" t="s">
        <v>11</v>
      </c>
      <c r="P470">
        <v>5102</v>
      </c>
      <c r="Q470">
        <v>6</v>
      </c>
      <c r="R470">
        <v>18.899999999999999</v>
      </c>
      <c r="S470">
        <v>113.4</v>
      </c>
      <c r="T470">
        <v>92.16</v>
      </c>
      <c r="U470">
        <v>18.73</v>
      </c>
      <c r="V470" t="str">
        <f>VLOOKUP(L470,'[2]tabela de preços'!$A:$D,4,0)</f>
        <v>AUTO AMERICA</v>
      </c>
      <c r="W470" t="str">
        <f>VLOOKUP(L470,'[2]tabela de preços'!$A:$F,6,0)</f>
        <v>CERA  / LIMPEZA /  POLIMENTO VEICULAR</v>
      </c>
      <c r="X470" t="str">
        <f>VLOOKUP(L470,'[2]tabela de preços'!$A:$G,7,0)</f>
        <v>AUTOMOTIVO</v>
      </c>
    </row>
    <row r="471" spans="1:24" x14ac:dyDescent="0.3">
      <c r="A471" t="s">
        <v>262</v>
      </c>
      <c r="C471" t="s">
        <v>263</v>
      </c>
      <c r="D471" s="1">
        <v>46030</v>
      </c>
      <c r="E471" t="s">
        <v>264</v>
      </c>
      <c r="F471">
        <v>9</v>
      </c>
      <c r="G471">
        <v>197</v>
      </c>
      <c r="H471" t="str">
        <f>VLOOKUP(G471,[1]OPERADORES!$A:$B,2,0)</f>
        <v xml:space="preserve">POLIANA LORRANE DE AMORIM </v>
      </c>
      <c r="I471" t="s">
        <v>21</v>
      </c>
      <c r="J471" t="s">
        <v>265</v>
      </c>
      <c r="K471" t="s">
        <v>266</v>
      </c>
      <c r="L471">
        <v>23287</v>
      </c>
      <c r="M471" t="s">
        <v>273</v>
      </c>
      <c r="O471" t="s">
        <v>11</v>
      </c>
      <c r="P471">
        <v>5102</v>
      </c>
      <c r="Q471">
        <v>2</v>
      </c>
      <c r="R471">
        <v>37.9</v>
      </c>
      <c r="S471">
        <v>75.8</v>
      </c>
      <c r="T471">
        <v>60.7</v>
      </c>
      <c r="U471">
        <v>19.920000000000002</v>
      </c>
      <c r="V471" t="str">
        <f>VLOOKUP(L471,'[2]tabela de preços'!$A:$D,4,0)</f>
        <v>AUTO AMERICA</v>
      </c>
      <c r="W471" t="str">
        <f>VLOOKUP(L471,'[2]tabela de preços'!$A:$F,6,0)</f>
        <v>CERA  / LIMPEZA /  POLIMENTO VEICULAR</v>
      </c>
      <c r="X471" t="str">
        <f>VLOOKUP(L471,'[2]tabela de preços'!$A:$G,7,0)</f>
        <v>AUTOMOTIVO</v>
      </c>
    </row>
    <row r="472" spans="1:24" x14ac:dyDescent="0.3">
      <c r="A472" t="s">
        <v>279</v>
      </c>
      <c r="C472" t="s">
        <v>290</v>
      </c>
      <c r="D472" s="1">
        <v>46030</v>
      </c>
      <c r="E472" t="s">
        <v>291</v>
      </c>
      <c r="F472">
        <v>9</v>
      </c>
      <c r="G472">
        <v>197</v>
      </c>
      <c r="H472" t="str">
        <f>VLOOKUP(G472,[1]OPERADORES!$A:$B,2,0)</f>
        <v xml:space="preserve">POLIANA LORRANE DE AMORIM </v>
      </c>
      <c r="I472" t="s">
        <v>282</v>
      </c>
      <c r="J472" t="s">
        <v>283</v>
      </c>
      <c r="K472" t="s">
        <v>284</v>
      </c>
      <c r="L472">
        <v>84114</v>
      </c>
      <c r="M472" t="s">
        <v>292</v>
      </c>
      <c r="O472" t="s">
        <v>11</v>
      </c>
      <c r="P472">
        <v>6403</v>
      </c>
      <c r="Q472">
        <v>20</v>
      </c>
      <c r="R472">
        <v>155.80000000000001</v>
      </c>
      <c r="S472" s="2">
        <v>3116</v>
      </c>
      <c r="T472" s="2">
        <v>2337.6</v>
      </c>
      <c r="U472">
        <v>24.98</v>
      </c>
      <c r="V472" t="str">
        <f>VLOOKUP(L472,'[2]tabela de preços'!$A:$D,4,0)</f>
        <v>BRASILUX</v>
      </c>
      <c r="W472" t="str">
        <f>VLOOKUP(L472,'[2]tabela de preços'!$A:$F,6,0)</f>
        <v>EPOXI</v>
      </c>
      <c r="X472" t="str">
        <f>VLOOKUP(L472,'[2]tabela de preços'!$A:$G,7,0)</f>
        <v>INDUSTRIAL</v>
      </c>
    </row>
    <row r="473" spans="1:24" x14ac:dyDescent="0.3">
      <c r="A473" t="s">
        <v>302</v>
      </c>
      <c r="B473" t="s">
        <v>303</v>
      </c>
      <c r="C473" t="s">
        <v>304</v>
      </c>
      <c r="D473" s="1">
        <v>46030</v>
      </c>
      <c r="E473" t="s">
        <v>305</v>
      </c>
      <c r="F473">
        <v>9</v>
      </c>
      <c r="G473">
        <v>174</v>
      </c>
      <c r="H473" t="str">
        <f>VLOOKUP(G473,[1]OPERADORES!$A:$B,2,0)</f>
        <v>MIRIÃ LOBATO RODRIGUES</v>
      </c>
      <c r="I473" t="s">
        <v>21</v>
      </c>
      <c r="J473" t="s">
        <v>306</v>
      </c>
      <c r="K473" t="s">
        <v>307</v>
      </c>
      <c r="L473">
        <v>10226</v>
      </c>
      <c r="M473" t="s">
        <v>145</v>
      </c>
      <c r="O473" t="s">
        <v>11</v>
      </c>
      <c r="P473">
        <v>5102</v>
      </c>
      <c r="Q473">
        <v>408</v>
      </c>
      <c r="R473">
        <v>2.79</v>
      </c>
      <c r="S473" s="2">
        <v>1138.32</v>
      </c>
      <c r="T473">
        <v>966.96</v>
      </c>
      <c r="U473">
        <v>15.05</v>
      </c>
      <c r="V473" t="str">
        <f>VLOOKUP(L473,'[2]tabela de preços'!$A:$D,4,0)</f>
        <v>NORTON</v>
      </c>
      <c r="W473" t="str">
        <f>VLOOKUP(L473,'[2]tabela de preços'!$A:$F,6,0)</f>
        <v xml:space="preserve">DISCOS / LIXAS / ABRASIVOS </v>
      </c>
      <c r="X473" t="str">
        <f>VLOOKUP(L473,'[2]tabela de preços'!$A:$G,7,0)</f>
        <v>AUTOMOTIVO</v>
      </c>
    </row>
    <row r="474" spans="1:24" x14ac:dyDescent="0.3">
      <c r="A474" t="s">
        <v>302</v>
      </c>
      <c r="B474" t="s">
        <v>303</v>
      </c>
      <c r="C474" t="s">
        <v>304</v>
      </c>
      <c r="D474" s="1">
        <v>46030</v>
      </c>
      <c r="E474" t="s">
        <v>305</v>
      </c>
      <c r="F474">
        <v>9</v>
      </c>
      <c r="G474">
        <v>174</v>
      </c>
      <c r="H474" t="str">
        <f>VLOOKUP(G474,[1]OPERADORES!$A:$B,2,0)</f>
        <v>MIRIÃ LOBATO RODRIGUES</v>
      </c>
      <c r="I474" t="s">
        <v>21</v>
      </c>
      <c r="J474" t="s">
        <v>306</v>
      </c>
      <c r="K474" t="s">
        <v>307</v>
      </c>
      <c r="L474">
        <v>10238</v>
      </c>
      <c r="M474" t="s">
        <v>79</v>
      </c>
      <c r="O474" t="s">
        <v>11</v>
      </c>
      <c r="P474">
        <v>5102</v>
      </c>
      <c r="Q474" s="2">
        <v>1000</v>
      </c>
      <c r="R474">
        <v>2.79</v>
      </c>
      <c r="S474" s="2">
        <v>2790</v>
      </c>
      <c r="T474" s="2">
        <v>2270</v>
      </c>
      <c r="U474">
        <v>18.64</v>
      </c>
      <c r="V474" t="str">
        <f>VLOOKUP(L474,'[2]tabela de preços'!$A:$D,4,0)</f>
        <v>NORTON</v>
      </c>
      <c r="W474" t="str">
        <f>VLOOKUP(L474,'[2]tabela de preços'!$A:$F,6,0)</f>
        <v xml:space="preserve">DISCOS / LIXAS / ABRASIVOS </v>
      </c>
      <c r="X474" t="str">
        <f>VLOOKUP(L474,'[2]tabela de preços'!$A:$G,7,0)</f>
        <v>AUTOMOTIVO</v>
      </c>
    </row>
    <row r="475" spans="1:24" x14ac:dyDescent="0.3">
      <c r="A475" t="s">
        <v>302</v>
      </c>
      <c r="B475" t="s">
        <v>303</v>
      </c>
      <c r="C475" t="s">
        <v>304</v>
      </c>
      <c r="D475" s="1">
        <v>46030</v>
      </c>
      <c r="E475" t="s">
        <v>305</v>
      </c>
      <c r="F475">
        <v>9</v>
      </c>
      <c r="G475">
        <v>174</v>
      </c>
      <c r="H475" t="str">
        <f>VLOOKUP(G475,[1]OPERADORES!$A:$B,2,0)</f>
        <v>MIRIÃ LOBATO RODRIGUES</v>
      </c>
      <c r="I475" t="s">
        <v>21</v>
      </c>
      <c r="J475" t="s">
        <v>306</v>
      </c>
      <c r="K475" t="s">
        <v>307</v>
      </c>
      <c r="L475">
        <v>10242</v>
      </c>
      <c r="M475" t="s">
        <v>82</v>
      </c>
      <c r="O475" t="s">
        <v>11</v>
      </c>
      <c r="P475">
        <v>5102</v>
      </c>
      <c r="Q475">
        <v>200</v>
      </c>
      <c r="R475">
        <v>2.79</v>
      </c>
      <c r="S475">
        <v>558</v>
      </c>
      <c r="T475">
        <v>456</v>
      </c>
      <c r="U475">
        <v>18.28</v>
      </c>
      <c r="V475" t="str">
        <f>VLOOKUP(L475,'[2]tabela de preços'!$A:$D,4,0)</f>
        <v>NORTON</v>
      </c>
      <c r="W475" t="str">
        <f>VLOOKUP(L475,'[2]tabela de preços'!$A:$F,6,0)</f>
        <v xml:space="preserve">DISCOS / LIXAS / ABRASIVOS </v>
      </c>
      <c r="X475" t="str">
        <f>VLOOKUP(L475,'[2]tabela de preços'!$A:$G,7,0)</f>
        <v>AUTOMOTIVO</v>
      </c>
    </row>
    <row r="476" spans="1:24" x14ac:dyDescent="0.3">
      <c r="A476" t="s">
        <v>336</v>
      </c>
      <c r="C476" t="s">
        <v>337</v>
      </c>
      <c r="D476" s="1">
        <v>46030</v>
      </c>
      <c r="E476" t="s">
        <v>338</v>
      </c>
      <c r="F476">
        <v>9</v>
      </c>
      <c r="G476">
        <v>236</v>
      </c>
      <c r="H476" t="str">
        <f>VLOOKUP(G476,[1]OPERADORES!$A:$B,2,0)</f>
        <v>DANIEL</v>
      </c>
      <c r="I476" t="s">
        <v>21</v>
      </c>
      <c r="J476" t="s">
        <v>339</v>
      </c>
      <c r="K476" t="s">
        <v>340</v>
      </c>
      <c r="L476">
        <v>85666</v>
      </c>
      <c r="M476" t="s">
        <v>341</v>
      </c>
      <c r="O476" t="s">
        <v>11</v>
      </c>
      <c r="P476">
        <v>5403</v>
      </c>
      <c r="Q476">
        <v>20</v>
      </c>
      <c r="R476">
        <v>13.89</v>
      </c>
      <c r="S476">
        <v>277.8</v>
      </c>
      <c r="T476">
        <v>239.8</v>
      </c>
      <c r="U476">
        <v>13.68</v>
      </c>
      <c r="V476" t="str">
        <f>VLOOKUP(L476,'[2]tabela de preços'!$A:$D,4,0)</f>
        <v>UNIPEGA</v>
      </c>
      <c r="W476" t="str">
        <f>VLOOKUP(L476,'[2]tabela de preços'!$A:$F,6,0)</f>
        <v xml:space="preserve">SPRAYS </v>
      </c>
      <c r="X476" t="str">
        <f>VLOOKUP(L476,'[2]tabela de preços'!$A:$G,7,0)</f>
        <v>AUTOMOTIVO</v>
      </c>
    </row>
    <row r="477" spans="1:24" x14ac:dyDescent="0.3">
      <c r="A477" t="s">
        <v>336</v>
      </c>
      <c r="C477" t="s">
        <v>337</v>
      </c>
      <c r="D477" s="1">
        <v>46030</v>
      </c>
      <c r="E477" t="s">
        <v>338</v>
      </c>
      <c r="F477">
        <v>9</v>
      </c>
      <c r="G477">
        <v>236</v>
      </c>
      <c r="H477" t="str">
        <f>VLOOKUP(G477,[1]OPERADORES!$A:$B,2,0)</f>
        <v>DANIEL</v>
      </c>
      <c r="I477" t="s">
        <v>21</v>
      </c>
      <c r="J477" t="s">
        <v>339</v>
      </c>
      <c r="K477" t="s">
        <v>340</v>
      </c>
      <c r="L477">
        <v>85661</v>
      </c>
      <c r="M477" t="s">
        <v>342</v>
      </c>
      <c r="O477" t="s">
        <v>11</v>
      </c>
      <c r="P477">
        <v>5403</v>
      </c>
      <c r="Q477">
        <v>10</v>
      </c>
      <c r="R477">
        <v>13.89</v>
      </c>
      <c r="S477">
        <v>138.9</v>
      </c>
      <c r="T477">
        <v>110</v>
      </c>
      <c r="U477">
        <v>20.81</v>
      </c>
      <c r="V477" t="str">
        <f>VLOOKUP(L477,'[2]tabela de preços'!$A:$D,4,0)</f>
        <v>UNIPEGA</v>
      </c>
      <c r="W477" t="str">
        <f>VLOOKUP(L477,'[2]tabela de preços'!$A:$F,6,0)</f>
        <v xml:space="preserve">SPRAYS </v>
      </c>
      <c r="X477" t="str">
        <f>VLOOKUP(L477,'[2]tabela de preços'!$A:$G,7,0)</f>
        <v>AUTOMOTIVO</v>
      </c>
    </row>
    <row r="478" spans="1:24" x14ac:dyDescent="0.3">
      <c r="A478" t="s">
        <v>501</v>
      </c>
      <c r="C478" t="s">
        <v>502</v>
      </c>
      <c r="D478" s="1">
        <v>46030</v>
      </c>
      <c r="E478" t="s">
        <v>503</v>
      </c>
      <c r="F478">
        <v>9</v>
      </c>
      <c r="G478">
        <v>197</v>
      </c>
      <c r="H478" t="str">
        <f>VLOOKUP(G478,[1]OPERADORES!$A:$B,2,0)</f>
        <v xml:space="preserve">POLIANA LORRANE DE AMORIM </v>
      </c>
      <c r="I478" t="s">
        <v>21</v>
      </c>
      <c r="J478" t="s">
        <v>504</v>
      </c>
      <c r="K478" t="s">
        <v>505</v>
      </c>
      <c r="L478">
        <v>23076</v>
      </c>
      <c r="M478" t="s">
        <v>97</v>
      </c>
      <c r="O478" t="s">
        <v>11</v>
      </c>
      <c r="P478">
        <v>5403</v>
      </c>
      <c r="Q478">
        <v>60</v>
      </c>
      <c r="R478">
        <v>33.89</v>
      </c>
      <c r="S478" s="2">
        <v>2033.4</v>
      </c>
      <c r="T478" s="2">
        <v>1591.8</v>
      </c>
      <c r="U478">
        <v>21.72</v>
      </c>
      <c r="V478" t="str">
        <f>VLOOKUP(L478,'[2]tabela de preços'!$A:$D,4,0)</f>
        <v>WANDA</v>
      </c>
      <c r="W478" t="str">
        <f>VLOOKUP(L478,'[2]tabela de preços'!$A:$F,6,0)</f>
        <v>PRIMER AUTOMOTIVO</v>
      </c>
      <c r="X478" t="str">
        <f>VLOOKUP(L478,'[2]tabela de preços'!$A:$G,7,0)</f>
        <v>AUTOMOTIVO</v>
      </c>
    </row>
    <row r="479" spans="1:24" x14ac:dyDescent="0.3">
      <c r="A479" t="s">
        <v>501</v>
      </c>
      <c r="C479" t="s">
        <v>502</v>
      </c>
      <c r="D479" s="1">
        <v>46030</v>
      </c>
      <c r="E479" t="s">
        <v>503</v>
      </c>
      <c r="F479">
        <v>9</v>
      </c>
      <c r="G479">
        <v>197</v>
      </c>
      <c r="H479" t="str">
        <f>VLOOKUP(G479,[1]OPERADORES!$A:$B,2,0)</f>
        <v xml:space="preserve">POLIANA LORRANE DE AMORIM </v>
      </c>
      <c r="I479" t="s">
        <v>21</v>
      </c>
      <c r="J479" t="s">
        <v>504</v>
      </c>
      <c r="K479" t="s">
        <v>505</v>
      </c>
      <c r="L479">
        <v>9764</v>
      </c>
      <c r="M479" t="s">
        <v>173</v>
      </c>
      <c r="O479" t="s">
        <v>11</v>
      </c>
      <c r="P479">
        <v>5102</v>
      </c>
      <c r="Q479">
        <v>24</v>
      </c>
      <c r="R479">
        <v>33.54</v>
      </c>
      <c r="S479">
        <v>804.96</v>
      </c>
      <c r="T479">
        <v>611.04</v>
      </c>
      <c r="U479">
        <v>24.09</v>
      </c>
      <c r="V479" t="str">
        <f>VLOOKUP(L479,'[2]tabela de preços'!$A:$D,4,0)</f>
        <v>SIKKENS</v>
      </c>
      <c r="W479" t="str">
        <f>VLOOKUP(L479,'[2]tabela de preços'!$A:$F,6,0)</f>
        <v>MASSA DE PEQUENOS REPAROS</v>
      </c>
      <c r="X479" t="str">
        <f>VLOOKUP(L479,'[2]tabela de preços'!$A:$G,7,0)</f>
        <v>AUTOMOTIVO</v>
      </c>
    </row>
    <row r="480" spans="1:24" x14ac:dyDescent="0.3">
      <c r="A480" t="s">
        <v>501</v>
      </c>
      <c r="C480" t="s">
        <v>506</v>
      </c>
      <c r="D480" s="1">
        <v>46030</v>
      </c>
      <c r="E480" t="s">
        <v>507</v>
      </c>
      <c r="F480">
        <v>9</v>
      </c>
      <c r="G480">
        <v>197</v>
      </c>
      <c r="H480" t="str">
        <f>VLOOKUP(G480,[1]OPERADORES!$A:$B,2,0)</f>
        <v xml:space="preserve">POLIANA LORRANE DE AMORIM </v>
      </c>
      <c r="I480" t="s">
        <v>21</v>
      </c>
      <c r="J480" t="s">
        <v>504</v>
      </c>
      <c r="K480" t="s">
        <v>505</v>
      </c>
      <c r="L480">
        <v>23076</v>
      </c>
      <c r="M480" t="s">
        <v>97</v>
      </c>
      <c r="O480" t="s">
        <v>11</v>
      </c>
      <c r="P480">
        <v>5403</v>
      </c>
      <c r="Q480">
        <v>30</v>
      </c>
      <c r="R480">
        <v>33.89</v>
      </c>
      <c r="S480" s="2">
        <v>1016.7</v>
      </c>
      <c r="T480">
        <v>795.9</v>
      </c>
      <c r="U480">
        <v>21.72</v>
      </c>
      <c r="V480" t="str">
        <f>VLOOKUP(L480,'[2]tabela de preços'!$A:$D,4,0)</f>
        <v>WANDA</v>
      </c>
      <c r="W480" t="str">
        <f>VLOOKUP(L480,'[2]tabela de preços'!$A:$F,6,0)</f>
        <v>PRIMER AUTOMOTIVO</v>
      </c>
      <c r="X480" t="str">
        <f>VLOOKUP(L480,'[2]tabela de preços'!$A:$G,7,0)</f>
        <v>AUTOMOTIVO</v>
      </c>
    </row>
    <row r="481" spans="1:24" x14ac:dyDescent="0.3">
      <c r="A481" t="s">
        <v>721</v>
      </c>
      <c r="C481" t="s">
        <v>722</v>
      </c>
      <c r="D481" s="1">
        <v>46030</v>
      </c>
      <c r="E481" t="s">
        <v>723</v>
      </c>
      <c r="F481">
        <v>9</v>
      </c>
      <c r="G481">
        <v>236</v>
      </c>
      <c r="H481" t="str">
        <f>VLOOKUP(G481,[1]OPERADORES!$A:$B,2,0)</f>
        <v>DANIEL</v>
      </c>
      <c r="I481" t="s">
        <v>21</v>
      </c>
      <c r="J481" t="s">
        <v>621</v>
      </c>
      <c r="K481" t="s">
        <v>724</v>
      </c>
      <c r="L481">
        <v>84258</v>
      </c>
      <c r="M481" t="s">
        <v>725</v>
      </c>
      <c r="O481" t="s">
        <v>11</v>
      </c>
      <c r="P481">
        <v>5405</v>
      </c>
      <c r="Q481">
        <v>1</v>
      </c>
      <c r="R481">
        <v>48.47</v>
      </c>
      <c r="S481">
        <v>48.47</v>
      </c>
      <c r="T481">
        <v>23.37</v>
      </c>
      <c r="U481">
        <v>51.78</v>
      </c>
      <c r="V481" t="str">
        <f>VLOOKUP(L481,'[2]tabela de preços'!$A:$D,4,0)</f>
        <v>BRASILUX</v>
      </c>
      <c r="W481" t="str">
        <f>VLOOKUP(L481,'[2]tabela de preços'!$A:$F,6,0)</f>
        <v>TINTA PAREDE</v>
      </c>
      <c r="X481" t="str">
        <f>VLOOKUP(L481,'[2]tabela de preços'!$A:$G,7,0)</f>
        <v>IMOBILIÁRIO</v>
      </c>
    </row>
    <row r="482" spans="1:24" x14ac:dyDescent="0.3">
      <c r="A482" t="s">
        <v>721</v>
      </c>
      <c r="C482" t="s">
        <v>722</v>
      </c>
      <c r="D482" s="1">
        <v>46030</v>
      </c>
      <c r="E482" t="s">
        <v>723</v>
      </c>
      <c r="F482">
        <v>9</v>
      </c>
      <c r="G482">
        <v>236</v>
      </c>
      <c r="H482" t="str">
        <f>VLOOKUP(G482,[1]OPERADORES!$A:$B,2,0)</f>
        <v>DANIEL</v>
      </c>
      <c r="I482" t="s">
        <v>21</v>
      </c>
      <c r="J482" t="s">
        <v>621</v>
      </c>
      <c r="K482" t="s">
        <v>724</v>
      </c>
      <c r="L482">
        <v>10297</v>
      </c>
      <c r="M482" t="s">
        <v>41</v>
      </c>
      <c r="O482" t="s">
        <v>11</v>
      </c>
      <c r="P482">
        <v>5102</v>
      </c>
      <c r="Q482">
        <v>1</v>
      </c>
      <c r="R482">
        <v>16.07</v>
      </c>
      <c r="S482">
        <v>16.07</v>
      </c>
      <c r="T482">
        <v>9.17</v>
      </c>
      <c r="U482">
        <v>42.94</v>
      </c>
      <c r="V482" t="str">
        <f>VLOOKUP(L482,'[2]tabela de preços'!$A:$D,4,0)</f>
        <v>ANJO</v>
      </c>
      <c r="W482" t="str">
        <f>VLOOKUP(L482,'[2]tabela de preços'!$A:$F,6,0)</f>
        <v>THINNER DE LIMPEZA</v>
      </c>
      <c r="X482" t="str">
        <f>VLOOKUP(L482,'[2]tabela de preços'!$A:$G,7,0)</f>
        <v>THINNER</v>
      </c>
    </row>
    <row r="483" spans="1:24" x14ac:dyDescent="0.3">
      <c r="A483" t="s">
        <v>721</v>
      </c>
      <c r="C483" t="s">
        <v>722</v>
      </c>
      <c r="D483" s="1">
        <v>46030</v>
      </c>
      <c r="E483" t="s">
        <v>723</v>
      </c>
      <c r="F483">
        <v>9</v>
      </c>
      <c r="G483">
        <v>236</v>
      </c>
      <c r="H483" t="str">
        <f>VLOOKUP(G483,[1]OPERADORES!$A:$B,2,0)</f>
        <v>DANIEL</v>
      </c>
      <c r="I483" t="s">
        <v>21</v>
      </c>
      <c r="J483" t="s">
        <v>621</v>
      </c>
      <c r="K483" t="s">
        <v>724</v>
      </c>
      <c r="L483">
        <v>85648</v>
      </c>
      <c r="M483" t="s">
        <v>726</v>
      </c>
      <c r="O483" t="s">
        <v>11</v>
      </c>
      <c r="P483">
        <v>5405</v>
      </c>
      <c r="Q483">
        <v>1</v>
      </c>
      <c r="R483">
        <v>12.94</v>
      </c>
      <c r="S483">
        <v>12.94</v>
      </c>
      <c r="T483">
        <v>6.92</v>
      </c>
      <c r="U483">
        <v>46.52</v>
      </c>
      <c r="V483" t="str">
        <f>VLOOKUP(L483,'[2]tabela de preços'!$A:$D,4,0)</f>
        <v>UNIPEGA</v>
      </c>
      <c r="W483" t="str">
        <f>VLOOKUP(L483,'[2]tabela de preços'!$A:$F,6,0)</f>
        <v xml:space="preserve">SPRAYS </v>
      </c>
      <c r="X483" t="str">
        <f>VLOOKUP(L483,'[2]tabela de preços'!$A:$G,7,0)</f>
        <v>AUTOMOTIVO</v>
      </c>
    </row>
    <row r="484" spans="1:24" x14ac:dyDescent="0.3">
      <c r="A484" t="s">
        <v>770</v>
      </c>
      <c r="C484" t="s">
        <v>776</v>
      </c>
      <c r="D484" s="1">
        <v>46030</v>
      </c>
      <c r="E484" t="s">
        <v>777</v>
      </c>
      <c r="F484">
        <v>9</v>
      </c>
      <c r="G484">
        <v>230</v>
      </c>
      <c r="H484" t="str">
        <f>VLOOKUP(G484,[1]OPERADORES!$A:$B,2,0)</f>
        <v>SÔNIA</v>
      </c>
      <c r="I484" t="s">
        <v>21</v>
      </c>
      <c r="J484" t="s">
        <v>397</v>
      </c>
      <c r="K484" t="s">
        <v>773</v>
      </c>
      <c r="L484">
        <v>21820</v>
      </c>
      <c r="M484" t="s">
        <v>149</v>
      </c>
      <c r="O484" t="s">
        <v>11</v>
      </c>
      <c r="P484">
        <v>5403</v>
      </c>
      <c r="Q484">
        <v>1</v>
      </c>
      <c r="R484">
        <v>38.51</v>
      </c>
      <c r="S484">
        <v>38.51</v>
      </c>
      <c r="T484">
        <v>27.46</v>
      </c>
      <c r="U484">
        <v>28.69</v>
      </c>
      <c r="V484" t="str">
        <f>VLOOKUP(L484,'[2]tabela de preços'!$A:$D,4,0)</f>
        <v>SHERWIN WILLIAMS</v>
      </c>
      <c r="W484" t="str">
        <f>VLOOKUP(L484,'[2]tabela de preços'!$A:$F,6,0)</f>
        <v>TINTAS PU</v>
      </c>
      <c r="X484" t="str">
        <f>VLOOKUP(L484,'[2]tabela de preços'!$A:$G,7,0)</f>
        <v>AUTOMOTIVO</v>
      </c>
    </row>
    <row r="485" spans="1:24" x14ac:dyDescent="0.3">
      <c r="A485" t="s">
        <v>913</v>
      </c>
      <c r="B485" t="s">
        <v>914</v>
      </c>
      <c r="C485" t="s">
        <v>915</v>
      </c>
      <c r="D485" s="1">
        <v>46030</v>
      </c>
      <c r="E485" t="s">
        <v>916</v>
      </c>
      <c r="F485">
        <v>9</v>
      </c>
      <c r="G485">
        <v>236</v>
      </c>
      <c r="H485" t="str">
        <f>VLOOKUP(G485,[1]OPERADORES!$A:$B,2,0)</f>
        <v>DANIEL</v>
      </c>
      <c r="I485" t="s">
        <v>21</v>
      </c>
      <c r="J485" t="s">
        <v>917</v>
      </c>
      <c r="K485" t="s">
        <v>918</v>
      </c>
      <c r="L485">
        <v>85771</v>
      </c>
      <c r="M485" t="s">
        <v>919</v>
      </c>
      <c r="O485" t="s">
        <v>11</v>
      </c>
      <c r="P485">
        <v>5403</v>
      </c>
      <c r="Q485">
        <v>1</v>
      </c>
      <c r="R485">
        <v>455.72</v>
      </c>
      <c r="S485">
        <v>455.72</v>
      </c>
      <c r="T485">
        <v>269.02</v>
      </c>
      <c r="U485">
        <v>40.97</v>
      </c>
      <c r="V485" t="str">
        <f>VLOOKUP(L485,'[2]tabela de preços'!$A:$D,4,0)</f>
        <v>CORAL</v>
      </c>
      <c r="W485" t="str">
        <f>VLOOKUP(L485,'[2]tabela de preços'!$A:$F,6,0)</f>
        <v>BASES IMOBILIÁRIAS</v>
      </c>
      <c r="X485" t="str">
        <f>VLOOKUP(L485,'[2]tabela de preços'!$A:$G,7,0)</f>
        <v>IMOBILIÁRIO</v>
      </c>
    </row>
    <row r="486" spans="1:24" x14ac:dyDescent="0.3">
      <c r="A486" t="s">
        <v>953</v>
      </c>
      <c r="C486" t="s">
        <v>958</v>
      </c>
      <c r="D486" s="1">
        <v>46030</v>
      </c>
      <c r="F486">
        <v>9</v>
      </c>
      <c r="G486">
        <v>231</v>
      </c>
      <c r="H486" t="str">
        <f>VLOOKUP(G486,[1]OPERADORES!$A:$B,2,0)</f>
        <v>EDIJANE</v>
      </c>
      <c r="I486" t="s">
        <v>21</v>
      </c>
      <c r="J486" t="s">
        <v>550</v>
      </c>
      <c r="K486" t="s">
        <v>956</v>
      </c>
      <c r="L486">
        <v>84011</v>
      </c>
      <c r="M486" t="s">
        <v>957</v>
      </c>
      <c r="N486" t="s">
        <v>959</v>
      </c>
      <c r="O486" t="s">
        <v>11</v>
      </c>
      <c r="P486">
        <v>1202</v>
      </c>
      <c r="Q486">
        <v>-50</v>
      </c>
      <c r="R486">
        <v>2.62</v>
      </c>
      <c r="S486">
        <v>-131</v>
      </c>
      <c r="T486">
        <v>-84.5</v>
      </c>
      <c r="U486">
        <v>35.5</v>
      </c>
      <c r="V486" t="str">
        <f>VLOOKUP(L486,'[2]tabela de preços'!$A:$D,4,0)</f>
        <v>3M</v>
      </c>
      <c r="W486" t="str">
        <f>VLOOKUP(L486,'[2]tabela de preços'!$A:$F,6,0)</f>
        <v>LIXA FERRO</v>
      </c>
      <c r="X486" t="str">
        <f>VLOOKUP(L486,'[2]tabela de preços'!$A:$G,7,0)</f>
        <v>IMOBILIÁRIO</v>
      </c>
    </row>
    <row r="487" spans="1:24" x14ac:dyDescent="0.3">
      <c r="A487" t="s">
        <v>1020</v>
      </c>
      <c r="C487" t="s">
        <v>1021</v>
      </c>
      <c r="D487" s="1">
        <v>46030</v>
      </c>
      <c r="E487" t="s">
        <v>1022</v>
      </c>
      <c r="F487">
        <v>9</v>
      </c>
      <c r="G487">
        <v>174</v>
      </c>
      <c r="H487" t="str">
        <f>VLOOKUP(G487,[1]OPERADORES!$A:$B,2,0)</f>
        <v>MIRIÃ LOBATO RODRIGUES</v>
      </c>
      <c r="I487" t="s">
        <v>21</v>
      </c>
      <c r="J487" t="s">
        <v>550</v>
      </c>
      <c r="K487" t="s">
        <v>1023</v>
      </c>
      <c r="L487">
        <v>84326</v>
      </c>
      <c r="M487" t="s">
        <v>1024</v>
      </c>
      <c r="O487" t="s">
        <v>11</v>
      </c>
      <c r="P487">
        <v>5403</v>
      </c>
      <c r="Q487">
        <v>1</v>
      </c>
      <c r="R487">
        <v>60.89</v>
      </c>
      <c r="S487">
        <v>60.89</v>
      </c>
      <c r="T487">
        <v>52</v>
      </c>
      <c r="U487">
        <v>14.6</v>
      </c>
      <c r="V487" t="str">
        <f>VLOOKUP(L487,'[2]tabela de preços'!$A:$D,4,0)</f>
        <v>BRASILUX</v>
      </c>
      <c r="W487" t="str">
        <f>VLOOKUP(L487,'[2]tabela de preços'!$A:$F,6,0)</f>
        <v>ESMALTES</v>
      </c>
      <c r="X487" t="str">
        <f>VLOOKUP(L487,'[2]tabela de preços'!$A:$G,7,0)</f>
        <v>INDUSTRIAL</v>
      </c>
    </row>
    <row r="488" spans="1:24" x14ac:dyDescent="0.3">
      <c r="A488" t="s">
        <v>1020</v>
      </c>
      <c r="C488" t="s">
        <v>1021</v>
      </c>
      <c r="D488" s="1">
        <v>46030</v>
      </c>
      <c r="E488" t="s">
        <v>1022</v>
      </c>
      <c r="F488">
        <v>9</v>
      </c>
      <c r="G488">
        <v>174</v>
      </c>
      <c r="H488" t="str">
        <f>VLOOKUP(G488,[1]OPERADORES!$A:$B,2,0)</f>
        <v>MIRIÃ LOBATO RODRIGUES</v>
      </c>
      <c r="I488" t="s">
        <v>21</v>
      </c>
      <c r="J488" t="s">
        <v>550</v>
      </c>
      <c r="K488" t="s">
        <v>1023</v>
      </c>
      <c r="L488">
        <v>84333</v>
      </c>
      <c r="M488" t="s">
        <v>1025</v>
      </c>
      <c r="O488" t="s">
        <v>11</v>
      </c>
      <c r="P488">
        <v>5403</v>
      </c>
      <c r="Q488">
        <v>1</v>
      </c>
      <c r="R488">
        <v>60.89</v>
      </c>
      <c r="S488">
        <v>60.89</v>
      </c>
      <c r="T488">
        <v>47.04</v>
      </c>
      <c r="U488">
        <v>22.75</v>
      </c>
      <c r="V488" t="str">
        <f>VLOOKUP(L488,'[2]tabela de preços'!$A:$D,4,0)</f>
        <v>BRASILUX</v>
      </c>
      <c r="W488" t="str">
        <f>VLOOKUP(L488,'[2]tabela de preços'!$A:$F,6,0)</f>
        <v>ESMALTES</v>
      </c>
      <c r="X488" t="str">
        <f>VLOOKUP(L488,'[2]tabela de preços'!$A:$G,7,0)</f>
        <v>INDUSTRIAL</v>
      </c>
    </row>
    <row r="489" spans="1:24" x14ac:dyDescent="0.3">
      <c r="A489" t="s">
        <v>1020</v>
      </c>
      <c r="C489" t="s">
        <v>1021</v>
      </c>
      <c r="D489" s="1">
        <v>46030</v>
      </c>
      <c r="E489" t="s">
        <v>1022</v>
      </c>
      <c r="F489">
        <v>9</v>
      </c>
      <c r="G489">
        <v>174</v>
      </c>
      <c r="H489" t="str">
        <f>VLOOKUP(G489,[1]OPERADORES!$A:$B,2,0)</f>
        <v>MIRIÃ LOBATO RODRIGUES</v>
      </c>
      <c r="I489" t="s">
        <v>21</v>
      </c>
      <c r="J489" t="s">
        <v>550</v>
      </c>
      <c r="K489" t="s">
        <v>1023</v>
      </c>
      <c r="L489">
        <v>84462</v>
      </c>
      <c r="M489" t="s">
        <v>1026</v>
      </c>
      <c r="O489" t="s">
        <v>11</v>
      </c>
      <c r="P489">
        <v>5403</v>
      </c>
      <c r="Q489">
        <v>1</v>
      </c>
      <c r="R489">
        <v>105.56</v>
      </c>
      <c r="S489">
        <v>105.56</v>
      </c>
      <c r="T489">
        <v>80.12</v>
      </c>
      <c r="U489">
        <v>24.1</v>
      </c>
      <c r="V489" t="str">
        <f>VLOOKUP(L489,'[2]tabela de preços'!$A:$D,4,0)</f>
        <v>BRASILUX</v>
      </c>
      <c r="W489" t="str">
        <f>VLOOKUP(L489,'[2]tabela de preços'!$A:$F,6,0)</f>
        <v>ESMALTES</v>
      </c>
      <c r="X489" t="str">
        <f>VLOOKUP(L489,'[2]tabela de preços'!$A:$G,7,0)</f>
        <v>INDUSTRIAL</v>
      </c>
    </row>
    <row r="490" spans="1:24" x14ac:dyDescent="0.3">
      <c r="A490" t="s">
        <v>1051</v>
      </c>
      <c r="C490" t="s">
        <v>1052</v>
      </c>
      <c r="D490" s="1">
        <v>46030</v>
      </c>
      <c r="E490" t="s">
        <v>1053</v>
      </c>
      <c r="F490">
        <v>9</v>
      </c>
      <c r="G490">
        <v>174</v>
      </c>
      <c r="H490" t="str">
        <f>VLOOKUP(G490,[1]OPERADORES!$A:$B,2,0)</f>
        <v>MIRIÃ LOBATO RODRIGUES</v>
      </c>
      <c r="I490" t="s">
        <v>602</v>
      </c>
      <c r="J490" t="s">
        <v>1054</v>
      </c>
      <c r="K490" t="s">
        <v>1055</v>
      </c>
      <c r="L490">
        <v>84823</v>
      </c>
      <c r="M490" t="s">
        <v>331</v>
      </c>
      <c r="O490" t="s">
        <v>11</v>
      </c>
      <c r="P490">
        <v>6102</v>
      </c>
      <c r="Q490">
        <v>15</v>
      </c>
      <c r="R490">
        <v>94.64</v>
      </c>
      <c r="S490" s="2">
        <v>1419.6</v>
      </c>
      <c r="T490" s="2">
        <v>1077.45</v>
      </c>
      <c r="U490">
        <v>24.1</v>
      </c>
      <c r="V490" t="str">
        <f>VLOOKUP(L490,'[2]tabela de preços'!$A:$D,4,0)</f>
        <v>BRASILUX</v>
      </c>
      <c r="W490" t="str">
        <f>VLOOKUP(L490,'[2]tabela de preços'!$A:$F,6,0)</f>
        <v>DILUENTE</v>
      </c>
      <c r="X490" t="str">
        <f>VLOOKUP(L490,'[2]tabela de preços'!$A:$G,7,0)</f>
        <v>AUTOMOTIVO</v>
      </c>
    </row>
    <row r="491" spans="1:24" x14ac:dyDescent="0.3">
      <c r="A491" t="s">
        <v>1051</v>
      </c>
      <c r="C491" t="s">
        <v>1052</v>
      </c>
      <c r="D491" s="1">
        <v>46030</v>
      </c>
      <c r="E491" t="s">
        <v>1053</v>
      </c>
      <c r="F491">
        <v>9</v>
      </c>
      <c r="G491">
        <v>174</v>
      </c>
      <c r="H491" t="str">
        <f>VLOOKUP(G491,[1]OPERADORES!$A:$B,2,0)</f>
        <v>MIRIÃ LOBATO RODRIGUES</v>
      </c>
      <c r="I491" t="s">
        <v>602</v>
      </c>
      <c r="J491" t="s">
        <v>1054</v>
      </c>
      <c r="K491" t="s">
        <v>1055</v>
      </c>
      <c r="L491">
        <v>84560</v>
      </c>
      <c r="M491" t="s">
        <v>118</v>
      </c>
      <c r="O491" t="s">
        <v>11</v>
      </c>
      <c r="P491">
        <v>6102</v>
      </c>
      <c r="Q491">
        <v>15</v>
      </c>
      <c r="R491">
        <v>46.9</v>
      </c>
      <c r="S491">
        <v>703.5</v>
      </c>
      <c r="T491">
        <v>587.4</v>
      </c>
      <c r="U491">
        <v>16.5</v>
      </c>
      <c r="V491" t="str">
        <f>VLOOKUP(L491,'[2]tabela de preços'!$A:$D,4,0)</f>
        <v>BRASILUX</v>
      </c>
      <c r="W491" t="str">
        <f>VLOOKUP(L491,'[2]tabela de preços'!$A:$F,6,0)</f>
        <v>THINNER DE LIMPEZA</v>
      </c>
      <c r="X491" t="str">
        <f>VLOOKUP(L491,'[2]tabela de preços'!$A:$G,7,0)</f>
        <v>THINNER</v>
      </c>
    </row>
    <row r="492" spans="1:24" x14ac:dyDescent="0.3">
      <c r="A492" t="s">
        <v>1112</v>
      </c>
      <c r="C492" t="s">
        <v>1118</v>
      </c>
      <c r="D492" s="1">
        <v>46030</v>
      </c>
      <c r="E492" t="s">
        <v>1119</v>
      </c>
      <c r="F492">
        <v>9</v>
      </c>
      <c r="G492">
        <v>236</v>
      </c>
      <c r="H492" t="str">
        <f>VLOOKUP(G492,[1]OPERADORES!$A:$B,2,0)</f>
        <v>DANIEL</v>
      </c>
      <c r="I492" t="s">
        <v>21</v>
      </c>
      <c r="J492" t="s">
        <v>211</v>
      </c>
      <c r="K492" t="s">
        <v>1115</v>
      </c>
      <c r="L492">
        <v>10277</v>
      </c>
      <c r="M492" t="s">
        <v>135</v>
      </c>
      <c r="O492" t="s">
        <v>11</v>
      </c>
      <c r="P492">
        <v>5102</v>
      </c>
      <c r="Q492">
        <v>3</v>
      </c>
      <c r="R492">
        <v>16.97</v>
      </c>
      <c r="S492">
        <v>50.91</v>
      </c>
      <c r="T492">
        <v>38.64</v>
      </c>
      <c r="U492">
        <v>24.1</v>
      </c>
      <c r="V492" t="str">
        <f>VLOOKUP(L492,'[2]tabela de preços'!$A:$D,4,0)</f>
        <v>RETOQUE</v>
      </c>
      <c r="W492" t="str">
        <f>VLOOKUP(L492,'[2]tabela de preços'!$A:$F,6,0)</f>
        <v xml:space="preserve">COLA  PLÁSTICA </v>
      </c>
      <c r="X492" t="str">
        <f>VLOOKUP(L492,'[2]tabela de preços'!$A:$G,7,0)</f>
        <v>AUTOMOTIVO</v>
      </c>
    </row>
    <row r="493" spans="1:24" x14ac:dyDescent="0.3">
      <c r="A493" t="s">
        <v>1112</v>
      </c>
      <c r="C493" t="s">
        <v>1118</v>
      </c>
      <c r="D493" s="1">
        <v>46030</v>
      </c>
      <c r="E493" t="s">
        <v>1119</v>
      </c>
      <c r="F493">
        <v>9</v>
      </c>
      <c r="G493">
        <v>236</v>
      </c>
      <c r="H493" t="str">
        <f>VLOOKUP(G493,[1]OPERADORES!$A:$B,2,0)</f>
        <v>DANIEL</v>
      </c>
      <c r="I493" t="s">
        <v>21</v>
      </c>
      <c r="J493" t="s">
        <v>211</v>
      </c>
      <c r="K493" t="s">
        <v>1115</v>
      </c>
      <c r="L493">
        <v>21067</v>
      </c>
      <c r="M493" t="s">
        <v>640</v>
      </c>
      <c r="O493" t="s">
        <v>11</v>
      </c>
      <c r="P493">
        <v>5102</v>
      </c>
      <c r="Q493">
        <v>3</v>
      </c>
      <c r="R493">
        <v>37.58</v>
      </c>
      <c r="S493">
        <v>112.74</v>
      </c>
      <c r="T493">
        <v>85.56</v>
      </c>
      <c r="U493">
        <v>24.11</v>
      </c>
      <c r="V493" t="str">
        <f>VLOOKUP(L493,'[2]tabela de preços'!$A:$D,4,0)</f>
        <v>SIKKENS</v>
      </c>
      <c r="W493" t="str">
        <f>VLOOKUP(L493,'[2]tabela de preços'!$A:$F,6,0)</f>
        <v>DILUENTE</v>
      </c>
      <c r="X493" t="str">
        <f>VLOOKUP(L493,'[2]tabela de preços'!$A:$G,7,0)</f>
        <v>AUTOMOTIVO</v>
      </c>
    </row>
    <row r="494" spans="1:24" x14ac:dyDescent="0.3">
      <c r="A494" t="s">
        <v>1130</v>
      </c>
      <c r="C494" t="s">
        <v>1131</v>
      </c>
      <c r="D494" s="1">
        <v>46030</v>
      </c>
      <c r="E494" t="s">
        <v>1132</v>
      </c>
      <c r="F494">
        <v>9</v>
      </c>
      <c r="G494">
        <v>174</v>
      </c>
      <c r="H494" t="str">
        <f>VLOOKUP(G494,[1]OPERADORES!$A:$B,2,0)</f>
        <v>MIRIÃ LOBATO RODRIGUES</v>
      </c>
      <c r="I494" t="s">
        <v>21</v>
      </c>
      <c r="J494" t="s">
        <v>621</v>
      </c>
      <c r="K494" t="s">
        <v>1133</v>
      </c>
      <c r="L494">
        <v>24240</v>
      </c>
      <c r="M494" t="s">
        <v>240</v>
      </c>
      <c r="O494" t="s">
        <v>11</v>
      </c>
      <c r="P494">
        <v>5102</v>
      </c>
      <c r="Q494">
        <v>5</v>
      </c>
      <c r="R494">
        <v>3.87</v>
      </c>
      <c r="S494">
        <v>19.350000000000001</v>
      </c>
      <c r="T494">
        <v>16.399999999999999</v>
      </c>
      <c r="U494">
        <v>15.25</v>
      </c>
      <c r="V494" t="str">
        <f>VLOOKUP(L494,'[2]tabela de preços'!$A:$D,4,0)</f>
        <v>ADERE</v>
      </c>
      <c r="W494" t="str">
        <f>VLOOKUP(L494,'[2]tabela de preços'!$A:$F,6,0)</f>
        <v>FITA AUTOMOTIVA</v>
      </c>
      <c r="X494" t="str">
        <f>VLOOKUP(L494,'[2]tabela de preços'!$A:$G,7,0)</f>
        <v>AUTOMOTIVO</v>
      </c>
    </row>
    <row r="495" spans="1:24" x14ac:dyDescent="0.3">
      <c r="A495" t="s">
        <v>1130</v>
      </c>
      <c r="C495" t="s">
        <v>1131</v>
      </c>
      <c r="D495" s="1">
        <v>46030</v>
      </c>
      <c r="E495" t="s">
        <v>1132</v>
      </c>
      <c r="F495">
        <v>9</v>
      </c>
      <c r="G495">
        <v>174</v>
      </c>
      <c r="H495" t="str">
        <f>VLOOKUP(G495,[1]OPERADORES!$A:$B,2,0)</f>
        <v>MIRIÃ LOBATO RODRIGUES</v>
      </c>
      <c r="I495" t="s">
        <v>21</v>
      </c>
      <c r="J495" t="s">
        <v>621</v>
      </c>
      <c r="K495" t="s">
        <v>1133</v>
      </c>
      <c r="L495">
        <v>85297</v>
      </c>
      <c r="M495" t="s">
        <v>1134</v>
      </c>
      <c r="O495" t="s">
        <v>11</v>
      </c>
      <c r="P495">
        <v>5403</v>
      </c>
      <c r="Q495">
        <v>1</v>
      </c>
      <c r="R495">
        <v>65.459999999999994</v>
      </c>
      <c r="S495">
        <v>65.459999999999994</v>
      </c>
      <c r="T495">
        <v>46.67</v>
      </c>
      <c r="U495">
        <v>28.7</v>
      </c>
      <c r="V495" t="str">
        <f>VLOOKUP(L495,'[2]tabela de preços'!$A:$D,4,0)</f>
        <v>SHERWIN WILLIAMS</v>
      </c>
      <c r="W495" t="str">
        <f>VLOOKUP(L495,'[2]tabela de preços'!$A:$F,6,0)</f>
        <v>TINTAS POLIÉSTER</v>
      </c>
      <c r="X495" t="str">
        <f>VLOOKUP(L495,'[2]tabela de preços'!$A:$G,7,0)</f>
        <v>AUTOMOTIVO</v>
      </c>
    </row>
    <row r="496" spans="1:24" x14ac:dyDescent="0.3">
      <c r="A496" t="s">
        <v>1130</v>
      </c>
      <c r="C496" t="s">
        <v>1131</v>
      </c>
      <c r="D496" s="1">
        <v>46030</v>
      </c>
      <c r="E496" t="s">
        <v>1132</v>
      </c>
      <c r="F496">
        <v>9</v>
      </c>
      <c r="G496">
        <v>174</v>
      </c>
      <c r="H496" t="str">
        <f>VLOOKUP(G496,[1]OPERADORES!$A:$B,2,0)</f>
        <v>MIRIÃ LOBATO RODRIGUES</v>
      </c>
      <c r="I496" t="s">
        <v>21</v>
      </c>
      <c r="J496" t="s">
        <v>621</v>
      </c>
      <c r="K496" t="s">
        <v>1133</v>
      </c>
      <c r="L496">
        <v>87043</v>
      </c>
      <c r="M496" t="s">
        <v>217</v>
      </c>
      <c r="O496" t="s">
        <v>11</v>
      </c>
      <c r="P496">
        <v>5102</v>
      </c>
      <c r="Q496">
        <v>1</v>
      </c>
      <c r="R496">
        <v>22.89</v>
      </c>
      <c r="S496">
        <v>22.89</v>
      </c>
      <c r="T496">
        <v>18.02</v>
      </c>
      <c r="U496">
        <v>21.28</v>
      </c>
      <c r="V496" t="str">
        <f>VLOOKUP(L496,'[2]tabela de preços'!$A:$D,4,0)</f>
        <v>ROBERLO</v>
      </c>
      <c r="W496" t="str">
        <f>VLOOKUP(L496,'[2]tabela de preços'!$A:$F,6,0)</f>
        <v>MASSA POLIÉSTER</v>
      </c>
      <c r="X496" t="str">
        <f>VLOOKUP(L496,'[2]tabela de preços'!$A:$G,7,0)</f>
        <v>AUTOMOTIVO</v>
      </c>
    </row>
    <row r="497" spans="1:24" x14ac:dyDescent="0.3">
      <c r="A497" t="s">
        <v>1170</v>
      </c>
      <c r="C497" t="s">
        <v>1171</v>
      </c>
      <c r="D497" s="1">
        <v>46030</v>
      </c>
      <c r="E497" t="s">
        <v>1172</v>
      </c>
      <c r="F497">
        <v>9</v>
      </c>
      <c r="G497">
        <v>174</v>
      </c>
      <c r="H497" t="str">
        <f>VLOOKUP(G497,[1]OPERADORES!$A:$B,2,0)</f>
        <v>MIRIÃ LOBATO RODRIGUES</v>
      </c>
      <c r="I497" t="s">
        <v>21</v>
      </c>
      <c r="J497" t="s">
        <v>1173</v>
      </c>
      <c r="K497" t="s">
        <v>1174</v>
      </c>
      <c r="L497">
        <v>87043</v>
      </c>
      <c r="M497" t="s">
        <v>217</v>
      </c>
      <c r="O497" t="s">
        <v>11</v>
      </c>
      <c r="P497">
        <v>5102</v>
      </c>
      <c r="Q497">
        <v>64</v>
      </c>
      <c r="R497">
        <v>22.89</v>
      </c>
      <c r="S497" s="2">
        <v>1464.96</v>
      </c>
      <c r="T497" s="2">
        <v>1153.28</v>
      </c>
      <c r="U497">
        <v>21.28</v>
      </c>
      <c r="V497" t="str">
        <f>VLOOKUP(L497,'[2]tabela de preços'!$A:$D,4,0)</f>
        <v>ROBERLO</v>
      </c>
      <c r="W497" t="str">
        <f>VLOOKUP(L497,'[2]tabela de preços'!$A:$F,6,0)</f>
        <v>MASSA POLIÉSTER</v>
      </c>
      <c r="X497" t="str">
        <f>VLOOKUP(L497,'[2]tabela de preços'!$A:$G,7,0)</f>
        <v>AUTOMOTIVO</v>
      </c>
    </row>
    <row r="498" spans="1:24" x14ac:dyDescent="0.3">
      <c r="A498" t="s">
        <v>1199</v>
      </c>
      <c r="C498" t="s">
        <v>1206</v>
      </c>
      <c r="D498" s="1">
        <v>46030</v>
      </c>
      <c r="E498" t="s">
        <v>1207</v>
      </c>
      <c r="F498">
        <v>9</v>
      </c>
      <c r="G498">
        <v>174</v>
      </c>
      <c r="H498" t="str">
        <f>VLOOKUP(G498,[1]OPERADORES!$A:$B,2,0)</f>
        <v>MIRIÃ LOBATO RODRIGUES</v>
      </c>
      <c r="I498" t="s">
        <v>21</v>
      </c>
      <c r="J498" t="s">
        <v>1128</v>
      </c>
      <c r="K498" t="s">
        <v>1202</v>
      </c>
      <c r="L498">
        <v>84195</v>
      </c>
      <c r="M498" t="s">
        <v>1208</v>
      </c>
      <c r="O498" t="s">
        <v>11</v>
      </c>
      <c r="P498">
        <v>5403</v>
      </c>
      <c r="Q498">
        <v>1</v>
      </c>
      <c r="R498">
        <v>90.79</v>
      </c>
      <c r="S498">
        <v>90.79</v>
      </c>
      <c r="T498">
        <v>68.91</v>
      </c>
      <c r="U498">
        <v>24.1</v>
      </c>
      <c r="V498" t="str">
        <f>VLOOKUP(L498,'[2]tabela de preços'!$A:$D,4,0)</f>
        <v>BRASILUX</v>
      </c>
      <c r="W498" t="str">
        <f>VLOOKUP(L498,'[2]tabela de preços'!$A:$F,6,0)</f>
        <v>ESMALTES</v>
      </c>
      <c r="X498" t="str">
        <f>VLOOKUP(L498,'[2]tabela de preços'!$A:$G,7,0)</f>
        <v>INDUSTRIAL</v>
      </c>
    </row>
    <row r="499" spans="1:24" x14ac:dyDescent="0.3">
      <c r="A499" t="s">
        <v>1324</v>
      </c>
      <c r="C499" t="s">
        <v>1325</v>
      </c>
      <c r="D499" s="1">
        <v>46030</v>
      </c>
      <c r="E499" t="s">
        <v>1326</v>
      </c>
      <c r="F499">
        <v>9</v>
      </c>
      <c r="G499">
        <v>197</v>
      </c>
      <c r="H499" t="str">
        <f>VLOOKUP(G499,[1]OPERADORES!$A:$B,2,0)</f>
        <v xml:space="preserve">POLIANA LORRANE DE AMORIM </v>
      </c>
      <c r="I499" t="s">
        <v>1327</v>
      </c>
      <c r="J499" t="s">
        <v>1328</v>
      </c>
      <c r="K499" t="s">
        <v>1329</v>
      </c>
      <c r="L499">
        <v>84557</v>
      </c>
      <c r="M499" t="s">
        <v>116</v>
      </c>
      <c r="O499" t="s">
        <v>11</v>
      </c>
      <c r="P499">
        <v>6102</v>
      </c>
      <c r="Q499">
        <v>12</v>
      </c>
      <c r="R499">
        <v>18.39</v>
      </c>
      <c r="S499">
        <v>220.68</v>
      </c>
      <c r="T499">
        <v>167.52</v>
      </c>
      <c r="U499">
        <v>24.09</v>
      </c>
      <c r="V499" t="str">
        <f>VLOOKUP(L499,'[2]tabela de preços'!$A:$D,4,0)</f>
        <v>BRASILUX</v>
      </c>
      <c r="W499" t="str">
        <f>VLOOKUP(L499,'[2]tabela de preços'!$A:$F,6,0)</f>
        <v>DILUENTE</v>
      </c>
      <c r="X499" t="str">
        <f>VLOOKUP(L499,'[2]tabela de preços'!$A:$G,7,0)</f>
        <v>AUTOMOTIVO</v>
      </c>
    </row>
    <row r="500" spans="1:24" x14ac:dyDescent="0.3">
      <c r="A500" t="s">
        <v>1324</v>
      </c>
      <c r="C500" t="s">
        <v>1325</v>
      </c>
      <c r="D500" s="1">
        <v>46030</v>
      </c>
      <c r="E500" t="s">
        <v>1326</v>
      </c>
      <c r="F500">
        <v>9</v>
      </c>
      <c r="G500">
        <v>197</v>
      </c>
      <c r="H500" t="str">
        <f>VLOOKUP(G500,[1]OPERADORES!$A:$B,2,0)</f>
        <v xml:space="preserve">POLIANA LORRANE DE AMORIM </v>
      </c>
      <c r="I500" t="s">
        <v>1327</v>
      </c>
      <c r="J500" t="s">
        <v>1328</v>
      </c>
      <c r="K500" t="s">
        <v>1329</v>
      </c>
      <c r="L500">
        <v>23110</v>
      </c>
      <c r="M500" t="s">
        <v>409</v>
      </c>
      <c r="O500" t="s">
        <v>11</v>
      </c>
      <c r="P500">
        <v>6102</v>
      </c>
      <c r="Q500">
        <v>50</v>
      </c>
      <c r="R500">
        <v>2.35</v>
      </c>
      <c r="S500">
        <v>117.5</v>
      </c>
      <c r="T500">
        <v>92.5</v>
      </c>
      <c r="U500">
        <v>21.28</v>
      </c>
      <c r="V500" t="str">
        <f>VLOOKUP(L500,'[2]tabela de preços'!$A:$D,4,0)</f>
        <v>3M</v>
      </c>
      <c r="W500" t="str">
        <f>VLOOKUP(L500,'[2]tabela de preços'!$A:$F,6,0)</f>
        <v xml:space="preserve">DISCOS / LIXAS / ABRASIVOS </v>
      </c>
      <c r="X500" t="str">
        <f>VLOOKUP(L500,'[2]tabela de preços'!$A:$G,7,0)</f>
        <v>AUTOMOTIVO</v>
      </c>
    </row>
    <row r="501" spans="1:24" x14ac:dyDescent="0.3">
      <c r="A501" t="s">
        <v>1324</v>
      </c>
      <c r="C501" t="s">
        <v>1325</v>
      </c>
      <c r="D501" s="1">
        <v>46030</v>
      </c>
      <c r="E501" t="s">
        <v>1326</v>
      </c>
      <c r="F501">
        <v>9</v>
      </c>
      <c r="G501">
        <v>197</v>
      </c>
      <c r="H501" t="str">
        <f>VLOOKUP(G501,[1]OPERADORES!$A:$B,2,0)</f>
        <v xml:space="preserve">POLIANA LORRANE DE AMORIM </v>
      </c>
      <c r="I501" t="s">
        <v>1327</v>
      </c>
      <c r="J501" t="s">
        <v>1328</v>
      </c>
      <c r="K501" t="s">
        <v>1329</v>
      </c>
      <c r="L501">
        <v>23106</v>
      </c>
      <c r="M501" t="s">
        <v>403</v>
      </c>
      <c r="O501" t="s">
        <v>11</v>
      </c>
      <c r="P501">
        <v>6102</v>
      </c>
      <c r="Q501">
        <v>50</v>
      </c>
      <c r="R501">
        <v>2.35</v>
      </c>
      <c r="S501">
        <v>117.5</v>
      </c>
      <c r="T501">
        <v>96</v>
      </c>
      <c r="U501">
        <v>18.3</v>
      </c>
      <c r="V501" t="str">
        <f>VLOOKUP(L501,'[2]tabela de preços'!$A:$D,4,0)</f>
        <v>3M</v>
      </c>
      <c r="W501" t="str">
        <f>VLOOKUP(L501,'[2]tabela de preços'!$A:$F,6,0)</f>
        <v xml:space="preserve">DISCOS / LIXAS / ABRASIVOS </v>
      </c>
      <c r="X501" t="str">
        <f>VLOOKUP(L501,'[2]tabela de preços'!$A:$G,7,0)</f>
        <v>AUTOMOTIVO</v>
      </c>
    </row>
    <row r="502" spans="1:24" x14ac:dyDescent="0.3">
      <c r="A502" t="s">
        <v>1324</v>
      </c>
      <c r="C502" t="s">
        <v>1325</v>
      </c>
      <c r="D502" s="1">
        <v>46030</v>
      </c>
      <c r="E502" t="s">
        <v>1326</v>
      </c>
      <c r="F502">
        <v>9</v>
      </c>
      <c r="G502">
        <v>197</v>
      </c>
      <c r="H502" t="str">
        <f>VLOOKUP(G502,[1]OPERADORES!$A:$B,2,0)</f>
        <v xml:space="preserve">POLIANA LORRANE DE AMORIM </v>
      </c>
      <c r="I502" t="s">
        <v>1327</v>
      </c>
      <c r="J502" t="s">
        <v>1328</v>
      </c>
      <c r="K502" t="s">
        <v>1329</v>
      </c>
      <c r="L502">
        <v>20135</v>
      </c>
      <c r="M502" t="s">
        <v>459</v>
      </c>
      <c r="O502" t="s">
        <v>11</v>
      </c>
      <c r="P502">
        <v>6102</v>
      </c>
      <c r="Q502">
        <v>3</v>
      </c>
      <c r="R502">
        <v>25.37</v>
      </c>
      <c r="S502">
        <v>76.11</v>
      </c>
      <c r="T502">
        <v>57.78</v>
      </c>
      <c r="U502">
        <v>24.08</v>
      </c>
      <c r="V502" t="str">
        <f>VLOOKUP(L502,'[2]tabela de preços'!$A:$D,4,0)</f>
        <v>3M</v>
      </c>
      <c r="W502" t="str">
        <f>VLOOKUP(L502,'[2]tabela de preços'!$A:$F,6,0)</f>
        <v>DISCO TRIZACT</v>
      </c>
      <c r="X502" t="str">
        <f>VLOOKUP(L502,'[2]tabela de preços'!$A:$G,7,0)</f>
        <v>AUTOMOTIVO</v>
      </c>
    </row>
    <row r="503" spans="1:24" x14ac:dyDescent="0.3">
      <c r="A503" t="s">
        <v>1324</v>
      </c>
      <c r="C503" t="s">
        <v>1325</v>
      </c>
      <c r="D503" s="1">
        <v>46030</v>
      </c>
      <c r="E503" t="s">
        <v>1326</v>
      </c>
      <c r="F503">
        <v>9</v>
      </c>
      <c r="G503">
        <v>197</v>
      </c>
      <c r="H503" t="str">
        <f>VLOOKUP(G503,[1]OPERADORES!$A:$B,2,0)</f>
        <v xml:space="preserve">POLIANA LORRANE DE AMORIM </v>
      </c>
      <c r="I503" t="s">
        <v>1327</v>
      </c>
      <c r="J503" t="s">
        <v>1328</v>
      </c>
      <c r="K503" t="s">
        <v>1329</v>
      </c>
      <c r="L503">
        <v>9784</v>
      </c>
      <c r="M503" t="s">
        <v>1330</v>
      </c>
      <c r="O503" t="s">
        <v>11</v>
      </c>
      <c r="P503">
        <v>6102</v>
      </c>
      <c r="Q503">
        <v>6</v>
      </c>
      <c r="R503">
        <v>10.46</v>
      </c>
      <c r="S503">
        <v>62.76</v>
      </c>
      <c r="T503">
        <v>47.64</v>
      </c>
      <c r="U503">
        <v>24.09</v>
      </c>
      <c r="V503" t="str">
        <f>VLOOKUP(L503,'[2]tabela de preços'!$A:$D,4,0)</f>
        <v>WANDA</v>
      </c>
      <c r="W503" t="str">
        <f>VLOOKUP(L503,'[2]tabela de preços'!$A:$F,6,0)</f>
        <v>CATALISADORES INDIVIDUAS</v>
      </c>
      <c r="X503" t="str">
        <f>VLOOKUP(L503,'[2]tabela de preços'!$A:$G,7,0)</f>
        <v>AUTOMOTIVO</v>
      </c>
    </row>
    <row r="504" spans="1:24" x14ac:dyDescent="0.3">
      <c r="A504" t="s">
        <v>1324</v>
      </c>
      <c r="C504" t="s">
        <v>1325</v>
      </c>
      <c r="D504" s="1">
        <v>46030</v>
      </c>
      <c r="E504" t="s">
        <v>1326</v>
      </c>
      <c r="F504">
        <v>9</v>
      </c>
      <c r="G504">
        <v>197</v>
      </c>
      <c r="H504" t="str">
        <f>VLOOKUP(G504,[1]OPERADORES!$A:$B,2,0)</f>
        <v xml:space="preserve">POLIANA LORRANE DE AMORIM </v>
      </c>
      <c r="I504" t="s">
        <v>1327</v>
      </c>
      <c r="J504" t="s">
        <v>1328</v>
      </c>
      <c r="K504" t="s">
        <v>1329</v>
      </c>
      <c r="L504">
        <v>24248</v>
      </c>
      <c r="M504" t="s">
        <v>107</v>
      </c>
      <c r="O504" t="s">
        <v>11</v>
      </c>
      <c r="P504">
        <v>6102</v>
      </c>
      <c r="Q504">
        <v>6</v>
      </c>
      <c r="R504">
        <v>9.9</v>
      </c>
      <c r="S504">
        <v>59.4</v>
      </c>
      <c r="T504">
        <v>38.46</v>
      </c>
      <c r="U504">
        <v>35.25</v>
      </c>
      <c r="V504" t="str">
        <f>VLOOKUP(L504,'[2]tabela de preços'!$A:$D,4,0)</f>
        <v>SHERWIN WILLIAMS</v>
      </c>
      <c r="W504" t="str">
        <f>VLOOKUP(L504,'[2]tabela de preços'!$A:$F,6,0)</f>
        <v>PRIMER AUTOMOTIVO</v>
      </c>
      <c r="X504" t="str">
        <f>VLOOKUP(L504,'[2]tabela de preços'!$A:$G,7,0)</f>
        <v>AUTOMOTIVO</v>
      </c>
    </row>
    <row r="505" spans="1:24" x14ac:dyDescent="0.3">
      <c r="A505" t="s">
        <v>1324</v>
      </c>
      <c r="C505" t="s">
        <v>1325</v>
      </c>
      <c r="D505" s="1">
        <v>46030</v>
      </c>
      <c r="E505" t="s">
        <v>1326</v>
      </c>
      <c r="F505">
        <v>9</v>
      </c>
      <c r="G505">
        <v>197</v>
      </c>
      <c r="H505" t="str">
        <f>VLOOKUP(G505,[1]OPERADORES!$A:$B,2,0)</f>
        <v xml:space="preserve">POLIANA LORRANE DE AMORIM </v>
      </c>
      <c r="I505" t="s">
        <v>1327</v>
      </c>
      <c r="J505" t="s">
        <v>1328</v>
      </c>
      <c r="K505" t="s">
        <v>1329</v>
      </c>
      <c r="L505">
        <v>23076</v>
      </c>
      <c r="M505" t="s">
        <v>97</v>
      </c>
      <c r="O505" t="s">
        <v>11</v>
      </c>
      <c r="P505">
        <v>6403</v>
      </c>
      <c r="Q505">
        <v>6</v>
      </c>
      <c r="R505">
        <v>33.89</v>
      </c>
      <c r="S505">
        <v>203.34</v>
      </c>
      <c r="T505">
        <v>159.18</v>
      </c>
      <c r="U505">
        <v>21.72</v>
      </c>
      <c r="V505" t="str">
        <f>VLOOKUP(L505,'[2]tabela de preços'!$A:$D,4,0)</f>
        <v>WANDA</v>
      </c>
      <c r="W505" t="str">
        <f>VLOOKUP(L505,'[2]tabela de preços'!$A:$F,6,0)</f>
        <v>PRIMER AUTOMOTIVO</v>
      </c>
      <c r="X505" t="str">
        <f>VLOOKUP(L505,'[2]tabela de preços'!$A:$G,7,0)</f>
        <v>AUTOMOTIVO</v>
      </c>
    </row>
    <row r="506" spans="1:24" x14ac:dyDescent="0.3">
      <c r="A506" t="s">
        <v>1324</v>
      </c>
      <c r="C506" t="s">
        <v>1325</v>
      </c>
      <c r="D506" s="1">
        <v>46030</v>
      </c>
      <c r="E506" t="s">
        <v>1326</v>
      </c>
      <c r="F506">
        <v>9</v>
      </c>
      <c r="G506">
        <v>197</v>
      </c>
      <c r="H506" t="str">
        <f>VLOOKUP(G506,[1]OPERADORES!$A:$B,2,0)</f>
        <v xml:space="preserve">POLIANA LORRANE DE AMORIM </v>
      </c>
      <c r="I506" t="s">
        <v>1327</v>
      </c>
      <c r="J506" t="s">
        <v>1328</v>
      </c>
      <c r="K506" t="s">
        <v>1329</v>
      </c>
      <c r="L506">
        <v>23100</v>
      </c>
      <c r="M506" t="s">
        <v>99</v>
      </c>
      <c r="O506" t="s">
        <v>11</v>
      </c>
      <c r="P506">
        <v>6102</v>
      </c>
      <c r="Q506">
        <v>50</v>
      </c>
      <c r="R506">
        <v>2.35</v>
      </c>
      <c r="S506">
        <v>117.5</v>
      </c>
      <c r="T506">
        <v>84.5</v>
      </c>
      <c r="U506">
        <v>28.09</v>
      </c>
      <c r="V506" t="str">
        <f>VLOOKUP(L506,'[2]tabela de preços'!$A:$D,4,0)</f>
        <v>3M</v>
      </c>
      <c r="W506" t="str">
        <f>VLOOKUP(L506,'[2]tabela de preços'!$A:$F,6,0)</f>
        <v xml:space="preserve">DISCOS / LIXAS / ABRASIVOS </v>
      </c>
      <c r="X506" t="str">
        <f>VLOOKUP(L506,'[2]tabela de preços'!$A:$G,7,0)</f>
        <v>AUTOMOTIVO</v>
      </c>
    </row>
    <row r="507" spans="1:24" x14ac:dyDescent="0.3">
      <c r="A507" t="s">
        <v>1324</v>
      </c>
      <c r="C507" t="s">
        <v>1325</v>
      </c>
      <c r="D507" s="1">
        <v>46030</v>
      </c>
      <c r="E507" t="s">
        <v>1326</v>
      </c>
      <c r="F507">
        <v>9</v>
      </c>
      <c r="G507">
        <v>197</v>
      </c>
      <c r="H507" t="str">
        <f>VLOOKUP(G507,[1]OPERADORES!$A:$B,2,0)</f>
        <v xml:space="preserve">POLIANA LORRANE DE AMORIM </v>
      </c>
      <c r="I507" t="s">
        <v>1327</v>
      </c>
      <c r="J507" t="s">
        <v>1328</v>
      </c>
      <c r="K507" t="s">
        <v>1329</v>
      </c>
      <c r="L507">
        <v>23096</v>
      </c>
      <c r="M507" t="s">
        <v>656</v>
      </c>
      <c r="O507" t="s">
        <v>411</v>
      </c>
      <c r="P507">
        <v>6102</v>
      </c>
      <c r="Q507">
        <v>50</v>
      </c>
      <c r="R507">
        <v>2.35</v>
      </c>
      <c r="S507">
        <v>117.5</v>
      </c>
      <c r="T507">
        <v>84.5</v>
      </c>
      <c r="U507">
        <v>28.09</v>
      </c>
      <c r="V507" t="str">
        <f>VLOOKUP(L507,'[2]tabela de preços'!$A:$D,4,0)</f>
        <v>3M</v>
      </c>
      <c r="W507" t="str">
        <f>VLOOKUP(L507,'[2]tabela de preços'!$A:$F,6,0)</f>
        <v xml:space="preserve">DISCOS / LIXAS / ABRASIVOS </v>
      </c>
      <c r="X507" t="str">
        <f>VLOOKUP(L507,'[2]tabela de preços'!$A:$G,7,0)</f>
        <v>AUTOMOTIVO</v>
      </c>
    </row>
    <row r="508" spans="1:24" x14ac:dyDescent="0.3">
      <c r="A508" t="s">
        <v>1324</v>
      </c>
      <c r="C508" t="s">
        <v>1325</v>
      </c>
      <c r="D508" s="1">
        <v>46030</v>
      </c>
      <c r="E508" t="s">
        <v>1326</v>
      </c>
      <c r="F508">
        <v>9</v>
      </c>
      <c r="G508">
        <v>197</v>
      </c>
      <c r="H508" t="str">
        <f>VLOOKUP(G508,[1]OPERADORES!$A:$B,2,0)</f>
        <v xml:space="preserve">POLIANA LORRANE DE AMORIM </v>
      </c>
      <c r="I508" t="s">
        <v>1327</v>
      </c>
      <c r="J508" t="s">
        <v>1328</v>
      </c>
      <c r="K508" t="s">
        <v>1329</v>
      </c>
      <c r="L508">
        <v>9764</v>
      </c>
      <c r="M508" t="s">
        <v>173</v>
      </c>
      <c r="O508" t="s">
        <v>11</v>
      </c>
      <c r="P508">
        <v>6102</v>
      </c>
      <c r="Q508">
        <v>3</v>
      </c>
      <c r="R508">
        <v>33.54</v>
      </c>
      <c r="S508">
        <v>100.62</v>
      </c>
      <c r="T508">
        <v>76.38</v>
      </c>
      <c r="U508">
        <v>24.09</v>
      </c>
      <c r="V508" t="str">
        <f>VLOOKUP(L508,'[2]tabela de preços'!$A:$D,4,0)</f>
        <v>SIKKENS</v>
      </c>
      <c r="W508" t="str">
        <f>VLOOKUP(L508,'[2]tabela de preços'!$A:$F,6,0)</f>
        <v>MASSA DE PEQUENOS REPAROS</v>
      </c>
      <c r="X508" t="str">
        <f>VLOOKUP(L508,'[2]tabela de preços'!$A:$G,7,0)</f>
        <v>AUTOMOTIVO</v>
      </c>
    </row>
    <row r="509" spans="1:24" x14ac:dyDescent="0.3">
      <c r="A509" t="s">
        <v>1324</v>
      </c>
      <c r="C509" t="s">
        <v>1325</v>
      </c>
      <c r="D509" s="1">
        <v>46030</v>
      </c>
      <c r="E509" t="s">
        <v>1326</v>
      </c>
      <c r="F509">
        <v>9</v>
      </c>
      <c r="G509">
        <v>197</v>
      </c>
      <c r="H509" t="str">
        <f>VLOOKUP(G509,[1]OPERADORES!$A:$B,2,0)</f>
        <v xml:space="preserve">POLIANA LORRANE DE AMORIM </v>
      </c>
      <c r="I509" t="s">
        <v>1327</v>
      </c>
      <c r="J509" t="s">
        <v>1328</v>
      </c>
      <c r="K509" t="s">
        <v>1329</v>
      </c>
      <c r="L509">
        <v>87043</v>
      </c>
      <c r="M509" t="s">
        <v>217</v>
      </c>
      <c r="O509" t="s">
        <v>11</v>
      </c>
      <c r="P509">
        <v>6102</v>
      </c>
      <c r="Q509">
        <v>8</v>
      </c>
      <c r="R509">
        <v>22.89</v>
      </c>
      <c r="S509">
        <v>183.12</v>
      </c>
      <c r="T509">
        <v>144.16</v>
      </c>
      <c r="U509">
        <v>21.28</v>
      </c>
      <c r="V509" t="str">
        <f>VLOOKUP(L509,'[2]tabela de preços'!$A:$D,4,0)</f>
        <v>ROBERLO</v>
      </c>
      <c r="W509" t="str">
        <f>VLOOKUP(L509,'[2]tabela de preços'!$A:$F,6,0)</f>
        <v>MASSA POLIÉSTER</v>
      </c>
      <c r="X509" t="str">
        <f>VLOOKUP(L509,'[2]tabela de preços'!$A:$G,7,0)</f>
        <v>AUTOMOTIVO</v>
      </c>
    </row>
    <row r="510" spans="1:24" x14ac:dyDescent="0.3">
      <c r="A510" t="s">
        <v>1324</v>
      </c>
      <c r="C510" t="s">
        <v>1325</v>
      </c>
      <c r="D510" s="1">
        <v>46030</v>
      </c>
      <c r="E510" t="s">
        <v>1326</v>
      </c>
      <c r="F510">
        <v>9</v>
      </c>
      <c r="G510">
        <v>197</v>
      </c>
      <c r="H510" t="str">
        <f>VLOOKUP(G510,[1]OPERADORES!$A:$B,2,0)</f>
        <v xml:space="preserve">POLIANA LORRANE DE AMORIM </v>
      </c>
      <c r="I510" t="s">
        <v>1327</v>
      </c>
      <c r="J510" t="s">
        <v>1328</v>
      </c>
      <c r="K510" t="s">
        <v>1329</v>
      </c>
      <c r="L510">
        <v>24247</v>
      </c>
      <c r="M510" t="s">
        <v>111</v>
      </c>
      <c r="O510" t="s">
        <v>11</v>
      </c>
      <c r="P510">
        <v>6403</v>
      </c>
      <c r="Q510">
        <v>6</v>
      </c>
      <c r="R510">
        <v>19.899999999999999</v>
      </c>
      <c r="S510">
        <v>119.4</v>
      </c>
      <c r="T510">
        <v>99.6</v>
      </c>
      <c r="U510">
        <v>16.579999999999998</v>
      </c>
      <c r="V510" t="str">
        <f>VLOOKUP(L510,'[2]tabela de preços'!$A:$D,4,0)</f>
        <v>SHERWIN WILLIAMS</v>
      </c>
      <c r="W510" t="str">
        <f>VLOOKUP(L510,'[2]tabela de preços'!$A:$F,6,0)</f>
        <v>PRIMER AUTOMOTIVO</v>
      </c>
      <c r="X510" t="str">
        <f>VLOOKUP(L510,'[2]tabela de preços'!$A:$G,7,0)</f>
        <v>AUTOMOTIVO</v>
      </c>
    </row>
    <row r="511" spans="1:24" x14ac:dyDescent="0.3">
      <c r="A511" t="s">
        <v>1324</v>
      </c>
      <c r="C511" t="s">
        <v>1325</v>
      </c>
      <c r="D511" s="1">
        <v>46030</v>
      </c>
      <c r="E511" t="s">
        <v>1326</v>
      </c>
      <c r="F511">
        <v>9</v>
      </c>
      <c r="G511">
        <v>197</v>
      </c>
      <c r="H511" t="str">
        <f>VLOOKUP(G511,[1]OPERADORES!$A:$B,2,0)</f>
        <v xml:space="preserve">POLIANA LORRANE DE AMORIM </v>
      </c>
      <c r="I511" t="s">
        <v>1327</v>
      </c>
      <c r="J511" t="s">
        <v>1328</v>
      </c>
      <c r="K511" t="s">
        <v>1329</v>
      </c>
      <c r="L511">
        <v>84460</v>
      </c>
      <c r="M511" t="s">
        <v>322</v>
      </c>
      <c r="O511" t="s">
        <v>11</v>
      </c>
      <c r="P511">
        <v>6102</v>
      </c>
      <c r="Q511">
        <v>3</v>
      </c>
      <c r="R511">
        <v>31.07</v>
      </c>
      <c r="S511">
        <v>93.21</v>
      </c>
      <c r="T511">
        <v>70.739999999999995</v>
      </c>
      <c r="U511">
        <v>24.11</v>
      </c>
      <c r="V511" t="str">
        <f>VLOOKUP(L511,'[2]tabela de preços'!$A:$D,4,0)</f>
        <v>BRASILUX</v>
      </c>
      <c r="W511" t="str">
        <f>VLOOKUP(L511,'[2]tabela de preços'!$A:$F,6,0)</f>
        <v>VEDADORES / SELANTES</v>
      </c>
      <c r="X511" t="str">
        <f>VLOOKUP(L511,'[2]tabela de preços'!$A:$G,7,0)</f>
        <v>AUTOMOTIVO</v>
      </c>
    </row>
    <row r="512" spans="1:24" x14ac:dyDescent="0.3">
      <c r="A512" t="s">
        <v>1337</v>
      </c>
      <c r="C512" t="s">
        <v>1338</v>
      </c>
      <c r="D512" s="1">
        <v>46030</v>
      </c>
      <c r="E512" t="s">
        <v>1339</v>
      </c>
      <c r="F512">
        <v>9</v>
      </c>
      <c r="G512">
        <v>174</v>
      </c>
      <c r="H512" t="str">
        <f>VLOOKUP(G512,[1]OPERADORES!$A:$B,2,0)</f>
        <v>MIRIÃ LOBATO RODRIGUES</v>
      </c>
      <c r="I512" t="s">
        <v>21</v>
      </c>
      <c r="J512" t="s">
        <v>1340</v>
      </c>
      <c r="K512" t="s">
        <v>1341</v>
      </c>
      <c r="L512">
        <v>23076</v>
      </c>
      <c r="M512" t="s">
        <v>97</v>
      </c>
      <c r="O512" t="s">
        <v>11</v>
      </c>
      <c r="P512">
        <v>5405</v>
      </c>
      <c r="Q512">
        <v>6</v>
      </c>
      <c r="R512">
        <v>33.89</v>
      </c>
      <c r="S512">
        <v>203.34</v>
      </c>
      <c r="T512">
        <v>159.18</v>
      </c>
      <c r="U512">
        <v>21.72</v>
      </c>
      <c r="V512" t="str">
        <f>VLOOKUP(L512,'[2]tabela de preços'!$A:$D,4,0)</f>
        <v>WANDA</v>
      </c>
      <c r="W512" t="str">
        <f>VLOOKUP(L512,'[2]tabela de preços'!$A:$F,6,0)</f>
        <v>PRIMER AUTOMOTIVO</v>
      </c>
      <c r="X512" t="str">
        <f>VLOOKUP(L512,'[2]tabela de preços'!$A:$G,7,0)</f>
        <v>AUTOMOTIVO</v>
      </c>
    </row>
    <row r="513" spans="1:24" x14ac:dyDescent="0.3">
      <c r="A513" t="s">
        <v>1337</v>
      </c>
      <c r="C513" t="s">
        <v>1338</v>
      </c>
      <c r="D513" s="1">
        <v>46030</v>
      </c>
      <c r="E513" t="s">
        <v>1339</v>
      </c>
      <c r="F513">
        <v>9</v>
      </c>
      <c r="G513">
        <v>174</v>
      </c>
      <c r="H513" t="str">
        <f>VLOOKUP(G513,[1]OPERADORES!$A:$B,2,0)</f>
        <v>MIRIÃ LOBATO RODRIGUES</v>
      </c>
      <c r="I513" t="s">
        <v>21</v>
      </c>
      <c r="J513" t="s">
        <v>1340</v>
      </c>
      <c r="K513" t="s">
        <v>1341</v>
      </c>
      <c r="L513">
        <v>23063</v>
      </c>
      <c r="M513" t="s">
        <v>786</v>
      </c>
      <c r="O513" t="s">
        <v>11</v>
      </c>
      <c r="P513">
        <v>5405</v>
      </c>
      <c r="Q513">
        <v>1</v>
      </c>
      <c r="R513">
        <v>39.67</v>
      </c>
      <c r="S513">
        <v>39.67</v>
      </c>
      <c r="T513">
        <v>30.11</v>
      </c>
      <c r="U513">
        <v>24.1</v>
      </c>
      <c r="V513" t="str">
        <f>VLOOKUP(L513,'[2]tabela de preços'!$A:$D,4,0)</f>
        <v>WANDA</v>
      </c>
      <c r="W513" t="str">
        <f>VLOOKUP(L513,'[2]tabela de preços'!$A:$F,6,0)</f>
        <v>VERNIZ AUTOMOTIVO</v>
      </c>
      <c r="X513" t="str">
        <f>VLOOKUP(L513,'[2]tabela de preços'!$A:$G,7,0)</f>
        <v>AUTOMOTIVO</v>
      </c>
    </row>
    <row r="514" spans="1:24" x14ac:dyDescent="0.3">
      <c r="A514" t="s">
        <v>1337</v>
      </c>
      <c r="C514" t="s">
        <v>1338</v>
      </c>
      <c r="D514" s="1">
        <v>46030</v>
      </c>
      <c r="E514" t="s">
        <v>1339</v>
      </c>
      <c r="F514">
        <v>9</v>
      </c>
      <c r="G514">
        <v>174</v>
      </c>
      <c r="H514" t="str">
        <f>VLOOKUP(G514,[1]OPERADORES!$A:$B,2,0)</f>
        <v>MIRIÃ LOBATO RODRIGUES</v>
      </c>
      <c r="I514" t="s">
        <v>21</v>
      </c>
      <c r="J514" t="s">
        <v>1340</v>
      </c>
      <c r="K514" t="s">
        <v>1341</v>
      </c>
      <c r="L514">
        <v>20354</v>
      </c>
      <c r="M514" t="s">
        <v>1342</v>
      </c>
      <c r="O514" t="s">
        <v>11</v>
      </c>
      <c r="P514">
        <v>5405</v>
      </c>
      <c r="Q514">
        <v>1</v>
      </c>
      <c r="R514">
        <v>33.75</v>
      </c>
      <c r="S514">
        <v>33.75</v>
      </c>
      <c r="T514">
        <v>23.51</v>
      </c>
      <c r="U514">
        <v>30.34</v>
      </c>
      <c r="V514" t="str">
        <f>VLOOKUP(L514,'[2]tabela de preços'!$A:$D,4,0)</f>
        <v>SHERWIN WILLIAMS</v>
      </c>
      <c r="W514" t="str">
        <f>VLOOKUP(L514,'[2]tabela de preços'!$A:$F,6,0)</f>
        <v>TINTAS POLIÉSTER</v>
      </c>
      <c r="X514" t="str">
        <f>VLOOKUP(L514,'[2]tabela de preços'!$A:$G,7,0)</f>
        <v>AUTOMOTIVO</v>
      </c>
    </row>
    <row r="515" spans="1:24" x14ac:dyDescent="0.3">
      <c r="A515" t="s">
        <v>1337</v>
      </c>
      <c r="C515" t="s">
        <v>1338</v>
      </c>
      <c r="D515" s="1">
        <v>46030</v>
      </c>
      <c r="E515" t="s">
        <v>1339</v>
      </c>
      <c r="F515">
        <v>9</v>
      </c>
      <c r="G515">
        <v>174</v>
      </c>
      <c r="H515" t="str">
        <f>VLOOKUP(G515,[1]OPERADORES!$A:$B,2,0)</f>
        <v>MIRIÃ LOBATO RODRIGUES</v>
      </c>
      <c r="I515" t="s">
        <v>21</v>
      </c>
      <c r="J515" t="s">
        <v>1340</v>
      </c>
      <c r="K515" t="s">
        <v>1341</v>
      </c>
      <c r="L515">
        <v>21077</v>
      </c>
      <c r="M515" t="s">
        <v>207</v>
      </c>
      <c r="O515" t="s">
        <v>11</v>
      </c>
      <c r="P515">
        <v>5102</v>
      </c>
      <c r="Q515">
        <v>6</v>
      </c>
      <c r="R515">
        <v>44.68</v>
      </c>
      <c r="S515">
        <v>268.08</v>
      </c>
      <c r="T515">
        <v>203.52</v>
      </c>
      <c r="U515">
        <v>24.08</v>
      </c>
      <c r="V515" t="str">
        <f>VLOOKUP(L515,'[2]tabela de preços'!$A:$D,4,0)</f>
        <v>SHERWIN WILLIAMS</v>
      </c>
      <c r="W515" t="str">
        <f>VLOOKUP(L515,'[2]tabela de preços'!$A:$F,6,0)</f>
        <v>MASSA POLIÉSTER</v>
      </c>
      <c r="X515" t="str">
        <f>VLOOKUP(L515,'[2]tabela de preços'!$A:$G,7,0)</f>
        <v>AUTOMOTIVO</v>
      </c>
    </row>
    <row r="516" spans="1:24" x14ac:dyDescent="0.3">
      <c r="A516" t="s">
        <v>1337</v>
      </c>
      <c r="C516" t="s">
        <v>1338</v>
      </c>
      <c r="D516" s="1">
        <v>46030</v>
      </c>
      <c r="E516" t="s">
        <v>1339</v>
      </c>
      <c r="F516">
        <v>9</v>
      </c>
      <c r="G516">
        <v>174</v>
      </c>
      <c r="H516" t="str">
        <f>VLOOKUP(G516,[1]OPERADORES!$A:$B,2,0)</f>
        <v>MIRIÃ LOBATO RODRIGUES</v>
      </c>
      <c r="I516" t="s">
        <v>21</v>
      </c>
      <c r="J516" t="s">
        <v>1340</v>
      </c>
      <c r="K516" t="s">
        <v>1341</v>
      </c>
      <c r="L516">
        <v>10298</v>
      </c>
      <c r="M516" t="s">
        <v>85</v>
      </c>
      <c r="O516" t="s">
        <v>11</v>
      </c>
      <c r="P516">
        <v>5102</v>
      </c>
      <c r="Q516">
        <v>15</v>
      </c>
      <c r="R516">
        <v>54.9</v>
      </c>
      <c r="S516">
        <v>823.5</v>
      </c>
      <c r="T516">
        <v>710.7</v>
      </c>
      <c r="U516">
        <v>13.7</v>
      </c>
      <c r="V516" t="str">
        <f>VLOOKUP(L516,'[2]tabela de preços'!$A:$D,4,0)</f>
        <v>ANJO</v>
      </c>
      <c r="W516" t="str">
        <f>VLOOKUP(L516,'[2]tabela de preços'!$A:$F,6,0)</f>
        <v>THINNER DE LIMPEZA</v>
      </c>
      <c r="X516" t="str">
        <f>VLOOKUP(L516,'[2]tabela de preços'!$A:$G,7,0)</f>
        <v>THINNER</v>
      </c>
    </row>
    <row r="517" spans="1:24" x14ac:dyDescent="0.3">
      <c r="A517" t="s">
        <v>1404</v>
      </c>
      <c r="C517" t="s">
        <v>1405</v>
      </c>
      <c r="D517" s="1">
        <v>46030</v>
      </c>
      <c r="E517" t="s">
        <v>1406</v>
      </c>
      <c r="F517">
        <v>9</v>
      </c>
      <c r="G517">
        <v>236</v>
      </c>
      <c r="H517" t="str">
        <f>VLOOKUP(G517,[1]OPERADORES!$A:$B,2,0)</f>
        <v>DANIEL</v>
      </c>
      <c r="I517" t="s">
        <v>282</v>
      </c>
      <c r="J517" t="s">
        <v>1407</v>
      </c>
      <c r="K517" t="s">
        <v>1408</v>
      </c>
      <c r="L517">
        <v>84244</v>
      </c>
      <c r="M517" t="s">
        <v>1409</v>
      </c>
      <c r="O517" t="s">
        <v>11</v>
      </c>
      <c r="P517">
        <v>6403</v>
      </c>
      <c r="Q517">
        <v>1</v>
      </c>
      <c r="R517">
        <v>184.59</v>
      </c>
      <c r="S517">
        <v>184.59</v>
      </c>
      <c r="T517">
        <v>140.11000000000001</v>
      </c>
      <c r="U517">
        <v>24.1</v>
      </c>
      <c r="V517" t="str">
        <f>VLOOKUP(L517,'[2]tabela de preços'!$A:$D,4,0)</f>
        <v>BRASILUX</v>
      </c>
      <c r="W517" t="str">
        <f>VLOOKUP(L517,'[2]tabela de preços'!$A:$F,6,0)</f>
        <v>IMPERMEABILIZANTES</v>
      </c>
      <c r="X517" t="str">
        <f>VLOOKUP(L517,'[2]tabela de preços'!$A:$G,7,0)</f>
        <v>IMOBILIÁRIO</v>
      </c>
    </row>
    <row r="518" spans="1:24" x14ac:dyDescent="0.3">
      <c r="A518" t="s">
        <v>1404</v>
      </c>
      <c r="C518" t="s">
        <v>1405</v>
      </c>
      <c r="D518" s="1">
        <v>46030</v>
      </c>
      <c r="E518" t="s">
        <v>1406</v>
      </c>
      <c r="F518">
        <v>9</v>
      </c>
      <c r="G518">
        <v>236</v>
      </c>
      <c r="H518" t="str">
        <f>VLOOKUP(G518,[1]OPERADORES!$A:$B,2,0)</f>
        <v>DANIEL</v>
      </c>
      <c r="I518" t="s">
        <v>282</v>
      </c>
      <c r="J518" t="s">
        <v>1407</v>
      </c>
      <c r="K518" t="s">
        <v>1408</v>
      </c>
      <c r="L518">
        <v>85339</v>
      </c>
      <c r="M518" t="s">
        <v>1410</v>
      </c>
      <c r="O518" t="s">
        <v>11</v>
      </c>
      <c r="P518">
        <v>6403</v>
      </c>
      <c r="Q518">
        <v>12</v>
      </c>
      <c r="R518">
        <v>59.9</v>
      </c>
      <c r="S518">
        <v>718.8</v>
      </c>
      <c r="T518">
        <v>590.4</v>
      </c>
      <c r="U518">
        <v>17.86</v>
      </c>
      <c r="V518" t="str">
        <f>VLOOKUP(L518,'[2]tabela de preços'!$A:$D,4,0)</f>
        <v>DÁVILA  INOVE</v>
      </c>
      <c r="W518" t="str">
        <f>VLOOKUP(L518,'[2]tabela de preços'!$A:$F,6,0)</f>
        <v>TEXTURA</v>
      </c>
      <c r="X518" t="str">
        <f>VLOOKUP(L518,'[2]tabela de preços'!$A:$G,7,0)</f>
        <v>IMOBILIÁRIO</v>
      </c>
    </row>
    <row r="519" spans="1:24" x14ac:dyDescent="0.3">
      <c r="A519" t="s">
        <v>1606</v>
      </c>
      <c r="C519" t="s">
        <v>1607</v>
      </c>
      <c r="D519" s="1">
        <v>46030</v>
      </c>
      <c r="E519" t="s">
        <v>1608</v>
      </c>
      <c r="F519">
        <v>9</v>
      </c>
      <c r="G519">
        <v>230</v>
      </c>
      <c r="H519" t="str">
        <f>VLOOKUP(G519,[1]OPERADORES!$A:$B,2,0)</f>
        <v>SÔNIA</v>
      </c>
      <c r="I519" t="s">
        <v>21</v>
      </c>
      <c r="J519" t="s">
        <v>397</v>
      </c>
      <c r="K519" t="s">
        <v>1609</v>
      </c>
      <c r="L519">
        <v>84489</v>
      </c>
      <c r="M519" t="s">
        <v>1610</v>
      </c>
      <c r="O519" t="s">
        <v>11</v>
      </c>
      <c r="P519">
        <v>5403</v>
      </c>
      <c r="Q519">
        <v>1</v>
      </c>
      <c r="R519">
        <v>480.28</v>
      </c>
      <c r="S519">
        <v>480.28</v>
      </c>
      <c r="T519">
        <v>364.54</v>
      </c>
      <c r="U519">
        <v>24.1</v>
      </c>
      <c r="V519" t="str">
        <f>VLOOKUP(L519,'[2]tabela de preços'!$A:$D,4,0)</f>
        <v>BRASILUX</v>
      </c>
      <c r="W519" t="str">
        <f>VLOOKUP(L519,'[2]tabela de preços'!$A:$F,6,0)</f>
        <v xml:space="preserve">BASES SISTEMA NO MACHINE </v>
      </c>
      <c r="X519" t="str">
        <f>VLOOKUP(L519,'[2]tabela de preços'!$A:$G,7,0)</f>
        <v>INDUSTRIAL</v>
      </c>
    </row>
    <row r="520" spans="1:24" x14ac:dyDescent="0.3">
      <c r="A520" t="s">
        <v>1606</v>
      </c>
      <c r="C520" t="s">
        <v>1607</v>
      </c>
      <c r="D520" s="1">
        <v>46030</v>
      </c>
      <c r="E520" t="s">
        <v>1608</v>
      </c>
      <c r="F520">
        <v>9</v>
      </c>
      <c r="G520">
        <v>230</v>
      </c>
      <c r="H520" t="str">
        <f>VLOOKUP(G520,[1]OPERADORES!$A:$B,2,0)</f>
        <v>SÔNIA</v>
      </c>
      <c r="I520" t="s">
        <v>21</v>
      </c>
      <c r="J520" t="s">
        <v>397</v>
      </c>
      <c r="K520" t="s">
        <v>1609</v>
      </c>
      <c r="L520">
        <v>84624</v>
      </c>
      <c r="M520" t="s">
        <v>1611</v>
      </c>
      <c r="O520" t="s">
        <v>11</v>
      </c>
      <c r="P520">
        <v>5403</v>
      </c>
      <c r="Q520">
        <v>1</v>
      </c>
      <c r="R520">
        <v>82.09</v>
      </c>
      <c r="S520">
        <v>82.09</v>
      </c>
      <c r="T520">
        <v>62.31</v>
      </c>
      <c r="U520">
        <v>24.1</v>
      </c>
      <c r="V520" t="str">
        <f>VLOOKUP(L520,'[2]tabela de preços'!$A:$D,4,0)</f>
        <v>BRASILUX</v>
      </c>
      <c r="W520" t="str">
        <f>VLOOKUP(L520,'[2]tabela de preços'!$A:$F,6,0)</f>
        <v xml:space="preserve">BASES SISTEMA NO MACHINE </v>
      </c>
      <c r="X520" t="str">
        <f>VLOOKUP(L520,'[2]tabela de preços'!$A:$G,7,0)</f>
        <v>INDUSTRIAL</v>
      </c>
    </row>
    <row r="521" spans="1:24" x14ac:dyDescent="0.3">
      <c r="A521" t="s">
        <v>1606</v>
      </c>
      <c r="C521" t="s">
        <v>1607</v>
      </c>
      <c r="D521" s="1">
        <v>46030</v>
      </c>
      <c r="E521" t="s">
        <v>1608</v>
      </c>
      <c r="F521">
        <v>9</v>
      </c>
      <c r="G521">
        <v>230</v>
      </c>
      <c r="H521" t="str">
        <f>VLOOKUP(G521,[1]OPERADORES!$A:$B,2,0)</f>
        <v>SÔNIA</v>
      </c>
      <c r="I521" t="s">
        <v>21</v>
      </c>
      <c r="J521" t="s">
        <v>397</v>
      </c>
      <c r="K521" t="s">
        <v>1609</v>
      </c>
      <c r="L521">
        <v>84625</v>
      </c>
      <c r="M521" t="s">
        <v>1612</v>
      </c>
      <c r="O521" t="s">
        <v>11</v>
      </c>
      <c r="P521">
        <v>5403</v>
      </c>
      <c r="Q521">
        <v>1</v>
      </c>
      <c r="R521">
        <v>82.99</v>
      </c>
      <c r="S521">
        <v>82.99</v>
      </c>
      <c r="T521">
        <v>62.99</v>
      </c>
      <c r="U521">
        <v>24.1</v>
      </c>
      <c r="V521" t="str">
        <f>VLOOKUP(L521,'[2]tabela de preços'!$A:$D,4,0)</f>
        <v>BRASILUX</v>
      </c>
      <c r="W521" t="str">
        <f>VLOOKUP(L521,'[2]tabela de preços'!$A:$F,6,0)</f>
        <v xml:space="preserve">BASES SISTEMA NO MACHINE </v>
      </c>
      <c r="X521" t="str">
        <f>VLOOKUP(L521,'[2]tabela de preços'!$A:$G,7,0)</f>
        <v>INDUSTRIAL</v>
      </c>
    </row>
    <row r="522" spans="1:24" x14ac:dyDescent="0.3">
      <c r="A522" t="s">
        <v>1606</v>
      </c>
      <c r="C522" t="s">
        <v>1607</v>
      </c>
      <c r="D522" s="1">
        <v>46030</v>
      </c>
      <c r="E522" t="s">
        <v>1608</v>
      </c>
      <c r="F522">
        <v>9</v>
      </c>
      <c r="G522">
        <v>230</v>
      </c>
      <c r="H522" t="str">
        <f>VLOOKUP(G522,[1]OPERADORES!$A:$B,2,0)</f>
        <v>SÔNIA</v>
      </c>
      <c r="I522" t="s">
        <v>21</v>
      </c>
      <c r="J522" t="s">
        <v>397</v>
      </c>
      <c r="K522" t="s">
        <v>1609</v>
      </c>
      <c r="L522">
        <v>84629</v>
      </c>
      <c r="M522" t="s">
        <v>1613</v>
      </c>
      <c r="O522" t="s">
        <v>11</v>
      </c>
      <c r="P522">
        <v>5403</v>
      </c>
      <c r="Q522">
        <v>1</v>
      </c>
      <c r="R522">
        <v>53.43</v>
      </c>
      <c r="S522">
        <v>53.43</v>
      </c>
      <c r="T522">
        <v>40.549999999999997</v>
      </c>
      <c r="U522">
        <v>24.11</v>
      </c>
      <c r="V522" t="str">
        <f>VLOOKUP(L522,'[2]tabela de preços'!$A:$D,4,0)</f>
        <v>BRASILUX</v>
      </c>
      <c r="W522" t="str">
        <f>VLOOKUP(L522,'[2]tabela de preços'!$A:$F,6,0)</f>
        <v xml:space="preserve">BASES SISTEMA NO MACHINE </v>
      </c>
      <c r="X522" t="str">
        <f>VLOOKUP(L522,'[2]tabela de preços'!$A:$G,7,0)</f>
        <v>INDUSTRIAL</v>
      </c>
    </row>
    <row r="523" spans="1:24" x14ac:dyDescent="0.3">
      <c r="A523" t="s">
        <v>1606</v>
      </c>
      <c r="C523" t="s">
        <v>1607</v>
      </c>
      <c r="D523" s="1">
        <v>46030</v>
      </c>
      <c r="E523" t="s">
        <v>1608</v>
      </c>
      <c r="F523">
        <v>9</v>
      </c>
      <c r="G523">
        <v>230</v>
      </c>
      <c r="H523" t="str">
        <f>VLOOKUP(G523,[1]OPERADORES!$A:$B,2,0)</f>
        <v>SÔNIA</v>
      </c>
      <c r="I523" t="s">
        <v>21</v>
      </c>
      <c r="J523" t="s">
        <v>397</v>
      </c>
      <c r="K523" t="s">
        <v>1609</v>
      </c>
      <c r="L523">
        <v>84632</v>
      </c>
      <c r="M523" t="s">
        <v>1614</v>
      </c>
      <c r="O523" t="s">
        <v>11</v>
      </c>
      <c r="P523">
        <v>5403</v>
      </c>
      <c r="Q523">
        <v>1</v>
      </c>
      <c r="R523">
        <v>95.22</v>
      </c>
      <c r="S523">
        <v>95.22</v>
      </c>
      <c r="T523">
        <v>72.27</v>
      </c>
      <c r="U523">
        <v>24.1</v>
      </c>
      <c r="V523" t="str">
        <f>VLOOKUP(L523,'[2]tabela de preços'!$A:$D,4,0)</f>
        <v>BRASILUX</v>
      </c>
      <c r="W523" t="str">
        <f>VLOOKUP(L523,'[2]tabela de preços'!$A:$F,6,0)</f>
        <v xml:space="preserve">BASES SISTEMA NO MACHINE </v>
      </c>
      <c r="X523" t="str">
        <f>VLOOKUP(L523,'[2]tabela de preços'!$A:$G,7,0)</f>
        <v>INDUSTRIAL</v>
      </c>
    </row>
    <row r="524" spans="1:24" x14ac:dyDescent="0.3">
      <c r="A524" t="s">
        <v>1606</v>
      </c>
      <c r="C524" t="s">
        <v>1607</v>
      </c>
      <c r="D524" s="1">
        <v>46030</v>
      </c>
      <c r="E524" t="s">
        <v>1608</v>
      </c>
      <c r="F524">
        <v>9</v>
      </c>
      <c r="G524">
        <v>230</v>
      </c>
      <c r="H524" t="str">
        <f>VLOOKUP(G524,[1]OPERADORES!$A:$B,2,0)</f>
        <v>SÔNIA</v>
      </c>
      <c r="I524" t="s">
        <v>21</v>
      </c>
      <c r="J524" t="s">
        <v>397</v>
      </c>
      <c r="K524" t="s">
        <v>1609</v>
      </c>
      <c r="L524">
        <v>84631</v>
      </c>
      <c r="M524" t="s">
        <v>1615</v>
      </c>
      <c r="O524" t="s">
        <v>11</v>
      </c>
      <c r="P524">
        <v>5403</v>
      </c>
      <c r="Q524">
        <v>1</v>
      </c>
      <c r="R524">
        <v>51.12</v>
      </c>
      <c r="S524">
        <v>51.12</v>
      </c>
      <c r="T524">
        <v>38.799999999999997</v>
      </c>
      <c r="U524">
        <v>24.1</v>
      </c>
      <c r="V524" t="str">
        <f>VLOOKUP(L524,'[2]tabela de preços'!$A:$D,4,0)</f>
        <v>BRASILUX</v>
      </c>
      <c r="W524" t="str">
        <f>VLOOKUP(L524,'[2]tabela de preços'!$A:$F,6,0)</f>
        <v xml:space="preserve">BASES SISTEMA NO MACHINE </v>
      </c>
      <c r="X524" t="str">
        <f>VLOOKUP(L524,'[2]tabela de preços'!$A:$G,7,0)</f>
        <v>INDUSTRIAL</v>
      </c>
    </row>
    <row r="525" spans="1:24" x14ac:dyDescent="0.3">
      <c r="A525" t="s">
        <v>1701</v>
      </c>
      <c r="C525" t="s">
        <v>1713</v>
      </c>
      <c r="D525" s="1">
        <v>46030</v>
      </c>
      <c r="E525" t="s">
        <v>1714</v>
      </c>
      <c r="F525">
        <v>9</v>
      </c>
      <c r="G525">
        <v>197</v>
      </c>
      <c r="H525" t="str">
        <f>VLOOKUP(G525,[1]OPERADORES!$A:$B,2,0)</f>
        <v xml:space="preserve">POLIANA LORRANE DE AMORIM </v>
      </c>
      <c r="I525" t="s">
        <v>21</v>
      </c>
      <c r="J525" t="s">
        <v>265</v>
      </c>
      <c r="K525" t="s">
        <v>1704</v>
      </c>
      <c r="L525">
        <v>84145</v>
      </c>
      <c r="M525" t="s">
        <v>301</v>
      </c>
      <c r="O525" t="s">
        <v>11</v>
      </c>
      <c r="P525">
        <v>5403</v>
      </c>
      <c r="Q525">
        <v>2</v>
      </c>
      <c r="R525">
        <v>68.52</v>
      </c>
      <c r="S525">
        <v>137.04</v>
      </c>
      <c r="T525">
        <v>104.02</v>
      </c>
      <c r="U525">
        <v>24.1</v>
      </c>
      <c r="V525" t="str">
        <f>VLOOKUP(L525,'[2]tabela de preços'!$A:$D,4,0)</f>
        <v>BRASILUX</v>
      </c>
      <c r="W525" t="str">
        <f>VLOOKUP(L525,'[2]tabela de preços'!$A:$F,6,0)</f>
        <v>ESMALTES</v>
      </c>
      <c r="X525" t="str">
        <f>VLOOKUP(L525,'[2]tabela de preços'!$A:$G,7,0)</f>
        <v>INDUSTRIAL</v>
      </c>
    </row>
    <row r="526" spans="1:24" x14ac:dyDescent="0.3">
      <c r="A526" t="s">
        <v>1701</v>
      </c>
      <c r="C526" t="s">
        <v>1713</v>
      </c>
      <c r="D526" s="1">
        <v>46030</v>
      </c>
      <c r="E526" t="s">
        <v>1714</v>
      </c>
      <c r="F526">
        <v>9</v>
      </c>
      <c r="G526">
        <v>197</v>
      </c>
      <c r="H526" t="str">
        <f>VLOOKUP(G526,[1]OPERADORES!$A:$B,2,0)</f>
        <v xml:space="preserve">POLIANA LORRANE DE AMORIM </v>
      </c>
      <c r="I526" t="s">
        <v>21</v>
      </c>
      <c r="J526" t="s">
        <v>265</v>
      </c>
      <c r="K526" t="s">
        <v>1704</v>
      </c>
      <c r="L526">
        <v>84344</v>
      </c>
      <c r="M526" t="s">
        <v>1000</v>
      </c>
      <c r="O526" t="s">
        <v>11</v>
      </c>
      <c r="P526">
        <v>5403</v>
      </c>
      <c r="Q526">
        <v>1</v>
      </c>
      <c r="R526">
        <v>60.89</v>
      </c>
      <c r="S526">
        <v>60.89</v>
      </c>
      <c r="T526">
        <v>49.66</v>
      </c>
      <c r="U526">
        <v>18.440000000000001</v>
      </c>
      <c r="V526" t="str">
        <f>VLOOKUP(L526,'[2]tabela de preços'!$A:$D,4,0)</f>
        <v>BRASILUX</v>
      </c>
      <c r="W526" t="str">
        <f>VLOOKUP(L526,'[2]tabela de preços'!$A:$F,6,0)</f>
        <v>ESMALTES</v>
      </c>
      <c r="X526" t="str">
        <f>VLOOKUP(L526,'[2]tabela de preços'!$A:$G,7,0)</f>
        <v>INDUSTRIAL</v>
      </c>
    </row>
    <row r="527" spans="1:24" x14ac:dyDescent="0.3">
      <c r="A527" t="s">
        <v>1701</v>
      </c>
      <c r="C527" t="s">
        <v>1713</v>
      </c>
      <c r="D527" s="1">
        <v>46030</v>
      </c>
      <c r="E527" t="s">
        <v>1714</v>
      </c>
      <c r="F527">
        <v>9</v>
      </c>
      <c r="G527">
        <v>197</v>
      </c>
      <c r="H527" t="str">
        <f>VLOOKUP(G527,[1]OPERADORES!$A:$B,2,0)</f>
        <v xml:space="preserve">POLIANA LORRANE DE AMORIM </v>
      </c>
      <c r="I527" t="s">
        <v>21</v>
      </c>
      <c r="J527" t="s">
        <v>265</v>
      </c>
      <c r="K527" t="s">
        <v>1704</v>
      </c>
      <c r="L527">
        <v>84174</v>
      </c>
      <c r="M527" t="s">
        <v>1532</v>
      </c>
      <c r="O527" t="s">
        <v>11</v>
      </c>
      <c r="P527">
        <v>5403</v>
      </c>
      <c r="Q527">
        <v>2</v>
      </c>
      <c r="R527">
        <v>92.33</v>
      </c>
      <c r="S527">
        <v>184.66</v>
      </c>
      <c r="T527">
        <v>140.16</v>
      </c>
      <c r="U527">
        <v>24.1</v>
      </c>
      <c r="V527" t="str">
        <f>VLOOKUP(L527,'[2]tabela de preços'!$A:$D,4,0)</f>
        <v>BRASILUX</v>
      </c>
      <c r="W527" t="str">
        <f>VLOOKUP(L527,'[2]tabela de preços'!$A:$F,6,0)</f>
        <v>ESMALTES</v>
      </c>
      <c r="X527" t="str">
        <f>VLOOKUP(L527,'[2]tabela de preços'!$A:$G,7,0)</f>
        <v>INDUSTRIAL</v>
      </c>
    </row>
    <row r="528" spans="1:24" x14ac:dyDescent="0.3">
      <c r="A528" t="s">
        <v>1701</v>
      </c>
      <c r="C528" t="s">
        <v>1713</v>
      </c>
      <c r="D528" s="1">
        <v>46030</v>
      </c>
      <c r="E528" t="s">
        <v>1714</v>
      </c>
      <c r="F528">
        <v>9</v>
      </c>
      <c r="G528">
        <v>197</v>
      </c>
      <c r="H528" t="str">
        <f>VLOOKUP(G528,[1]OPERADORES!$A:$B,2,0)</f>
        <v xml:space="preserve">POLIANA LORRANE DE AMORIM </v>
      </c>
      <c r="I528" t="s">
        <v>21</v>
      </c>
      <c r="J528" t="s">
        <v>265</v>
      </c>
      <c r="K528" t="s">
        <v>1704</v>
      </c>
      <c r="L528">
        <v>10298</v>
      </c>
      <c r="M528" t="s">
        <v>85</v>
      </c>
      <c r="O528" t="s">
        <v>11</v>
      </c>
      <c r="P528">
        <v>5102</v>
      </c>
      <c r="Q528">
        <v>8</v>
      </c>
      <c r="R528">
        <v>56.8</v>
      </c>
      <c r="S528">
        <v>454.4</v>
      </c>
      <c r="T528">
        <v>379.04</v>
      </c>
      <c r="U528">
        <v>16.579999999999998</v>
      </c>
      <c r="V528" t="str">
        <f>VLOOKUP(L528,'[2]tabela de preços'!$A:$D,4,0)</f>
        <v>ANJO</v>
      </c>
      <c r="W528" t="str">
        <f>VLOOKUP(L528,'[2]tabela de preços'!$A:$F,6,0)</f>
        <v>THINNER DE LIMPEZA</v>
      </c>
      <c r="X528" t="str">
        <f>VLOOKUP(L528,'[2]tabela de preços'!$A:$G,7,0)</f>
        <v>THINNER</v>
      </c>
    </row>
    <row r="529" spans="1:24" x14ac:dyDescent="0.3">
      <c r="A529" t="s">
        <v>1727</v>
      </c>
      <c r="C529" t="s">
        <v>1728</v>
      </c>
      <c r="D529" s="1">
        <v>46030</v>
      </c>
      <c r="E529" t="s">
        <v>1729</v>
      </c>
      <c r="F529">
        <v>9</v>
      </c>
      <c r="G529">
        <v>174</v>
      </c>
      <c r="H529" t="str">
        <f>VLOOKUP(G529,[1]OPERADORES!$A:$B,2,0)</f>
        <v>MIRIÃ LOBATO RODRIGUES</v>
      </c>
      <c r="I529" t="s">
        <v>21</v>
      </c>
      <c r="J529" t="s">
        <v>1173</v>
      </c>
      <c r="K529" t="s">
        <v>1730</v>
      </c>
      <c r="L529">
        <v>22684</v>
      </c>
      <c r="M529" t="s">
        <v>73</v>
      </c>
      <c r="O529" t="s">
        <v>11</v>
      </c>
      <c r="P529">
        <v>5102</v>
      </c>
      <c r="Q529">
        <v>10</v>
      </c>
      <c r="R529">
        <v>3.65</v>
      </c>
      <c r="S529">
        <v>36.5</v>
      </c>
      <c r="T529">
        <v>30.8</v>
      </c>
      <c r="U529">
        <v>15.62</v>
      </c>
      <c r="V529" t="str">
        <f>VLOOKUP(L529,'[2]tabela de preços'!$A:$D,4,0)</f>
        <v>3M</v>
      </c>
      <c r="W529" t="str">
        <f>VLOOKUP(L529,'[2]tabela de preços'!$A:$F,6,0)</f>
        <v>FITA AUTOMOTIVA</v>
      </c>
      <c r="X529" t="str">
        <f>VLOOKUP(L529,'[2]tabela de preços'!$A:$G,7,0)</f>
        <v>AUTOMOTIVO</v>
      </c>
    </row>
    <row r="530" spans="1:24" x14ac:dyDescent="0.3">
      <c r="A530" t="s">
        <v>1727</v>
      </c>
      <c r="C530" t="s">
        <v>1728</v>
      </c>
      <c r="D530" s="1">
        <v>46030</v>
      </c>
      <c r="E530" t="s">
        <v>1729</v>
      </c>
      <c r="F530">
        <v>9</v>
      </c>
      <c r="G530">
        <v>174</v>
      </c>
      <c r="H530" t="str">
        <f>VLOOKUP(G530,[1]OPERADORES!$A:$B,2,0)</f>
        <v>MIRIÃ LOBATO RODRIGUES</v>
      </c>
      <c r="I530" t="s">
        <v>21</v>
      </c>
      <c r="J530" t="s">
        <v>1173</v>
      </c>
      <c r="K530" t="s">
        <v>1730</v>
      </c>
      <c r="L530">
        <v>24241</v>
      </c>
      <c r="M530" t="s">
        <v>233</v>
      </c>
      <c r="O530" t="s">
        <v>11</v>
      </c>
      <c r="P530">
        <v>5102</v>
      </c>
      <c r="Q530">
        <v>10</v>
      </c>
      <c r="R530">
        <v>12.2</v>
      </c>
      <c r="S530">
        <v>122</v>
      </c>
      <c r="T530">
        <v>92.6</v>
      </c>
      <c r="U530">
        <v>24.1</v>
      </c>
      <c r="V530" t="str">
        <f>VLOOKUP(L530,'[2]tabela de preços'!$A:$D,4,0)</f>
        <v>ADERE</v>
      </c>
      <c r="W530" t="str">
        <f>VLOOKUP(L530,'[2]tabela de preços'!$A:$F,6,0)</f>
        <v>FITA AUTOMOTIVA</v>
      </c>
      <c r="X530" t="str">
        <f>VLOOKUP(L530,'[2]tabela de preços'!$A:$G,7,0)</f>
        <v>AUTOMOTIVO</v>
      </c>
    </row>
    <row r="531" spans="1:24" x14ac:dyDescent="0.3">
      <c r="A531" t="s">
        <v>1727</v>
      </c>
      <c r="C531" t="s">
        <v>1728</v>
      </c>
      <c r="D531" s="1">
        <v>46030</v>
      </c>
      <c r="E531" t="s">
        <v>1729</v>
      </c>
      <c r="F531">
        <v>9</v>
      </c>
      <c r="G531">
        <v>174</v>
      </c>
      <c r="H531" t="str">
        <f>VLOOKUP(G531,[1]OPERADORES!$A:$B,2,0)</f>
        <v>MIRIÃ LOBATO RODRIGUES</v>
      </c>
      <c r="I531" t="s">
        <v>21</v>
      </c>
      <c r="J531" t="s">
        <v>1173</v>
      </c>
      <c r="K531" t="s">
        <v>1730</v>
      </c>
      <c r="L531">
        <v>84894</v>
      </c>
      <c r="M531" t="s">
        <v>1260</v>
      </c>
      <c r="O531" t="s">
        <v>11</v>
      </c>
      <c r="P531">
        <v>5102</v>
      </c>
      <c r="Q531">
        <v>4</v>
      </c>
      <c r="R531">
        <v>59.53</v>
      </c>
      <c r="S531">
        <v>238.12</v>
      </c>
      <c r="T531">
        <v>180.76</v>
      </c>
      <c r="U531">
        <v>24.09</v>
      </c>
      <c r="V531" t="str">
        <f>VLOOKUP(L531,'[2]tabela de preços'!$A:$D,4,0)</f>
        <v>BRASILUX</v>
      </c>
      <c r="W531" t="str">
        <f>VLOOKUP(L531,'[2]tabela de preços'!$A:$F,6,0)</f>
        <v>DILUENTE</v>
      </c>
      <c r="X531" t="str">
        <f>VLOOKUP(L531,'[2]tabela de preços'!$A:$G,7,0)</f>
        <v>AUTOMOTIVO</v>
      </c>
    </row>
    <row r="532" spans="1:24" x14ac:dyDescent="0.3">
      <c r="A532" t="s">
        <v>1727</v>
      </c>
      <c r="C532" t="s">
        <v>1728</v>
      </c>
      <c r="D532" s="1">
        <v>46030</v>
      </c>
      <c r="E532" t="s">
        <v>1729</v>
      </c>
      <c r="F532">
        <v>9</v>
      </c>
      <c r="G532">
        <v>174</v>
      </c>
      <c r="H532" t="str">
        <f>VLOOKUP(G532,[1]OPERADORES!$A:$B,2,0)</f>
        <v>MIRIÃ LOBATO RODRIGUES</v>
      </c>
      <c r="I532" t="s">
        <v>21</v>
      </c>
      <c r="J532" t="s">
        <v>1173</v>
      </c>
      <c r="K532" t="s">
        <v>1730</v>
      </c>
      <c r="L532">
        <v>84774</v>
      </c>
      <c r="M532" t="s">
        <v>1731</v>
      </c>
      <c r="O532" t="s">
        <v>11</v>
      </c>
      <c r="P532">
        <v>5102</v>
      </c>
      <c r="Q532">
        <v>24</v>
      </c>
      <c r="R532">
        <v>11.9</v>
      </c>
      <c r="S532">
        <v>285.60000000000002</v>
      </c>
      <c r="T532">
        <v>216.72</v>
      </c>
      <c r="U532">
        <v>24.12</v>
      </c>
      <c r="V532" t="str">
        <f>VLOOKUP(L532,'[2]tabela de preços'!$A:$D,4,0)</f>
        <v>BRASILUX</v>
      </c>
      <c r="W532" t="str">
        <f>VLOOKUP(L532,'[2]tabela de preços'!$A:$F,6,0)</f>
        <v>DILUENTE</v>
      </c>
      <c r="X532" t="str">
        <f>VLOOKUP(L532,'[2]tabela de preços'!$A:$G,7,0)</f>
        <v>AUTOMOTIVO</v>
      </c>
    </row>
    <row r="533" spans="1:24" x14ac:dyDescent="0.3">
      <c r="A533" t="s">
        <v>1885</v>
      </c>
      <c r="C533" t="s">
        <v>1886</v>
      </c>
      <c r="D533" s="1">
        <v>46030</v>
      </c>
      <c r="E533" t="s">
        <v>1887</v>
      </c>
      <c r="F533">
        <v>9</v>
      </c>
      <c r="G533">
        <v>236</v>
      </c>
      <c r="H533" t="str">
        <f>VLOOKUP(G533,[1]OPERADORES!$A:$B,2,0)</f>
        <v>DANIEL</v>
      </c>
      <c r="I533" t="s">
        <v>21</v>
      </c>
      <c r="J533" t="s">
        <v>397</v>
      </c>
      <c r="K533" t="s">
        <v>1888</v>
      </c>
      <c r="L533">
        <v>20577</v>
      </c>
      <c r="M533" t="s">
        <v>1889</v>
      </c>
      <c r="O533" t="s">
        <v>11</v>
      </c>
      <c r="P533">
        <v>5102</v>
      </c>
      <c r="Q533">
        <v>50</v>
      </c>
      <c r="R533">
        <v>2.29</v>
      </c>
      <c r="S533">
        <v>114.5</v>
      </c>
      <c r="T533">
        <v>109.5</v>
      </c>
      <c r="U533">
        <v>4.37</v>
      </c>
      <c r="V533" t="str">
        <f>VLOOKUP(L533,'[2]tabela de preços'!$A:$D,4,0)</f>
        <v>3M</v>
      </c>
      <c r="W533" t="str">
        <f>VLOOKUP(L533,'[2]tabela de preços'!$A:$F,6,0)</f>
        <v>LIXA FERRO</v>
      </c>
      <c r="X533" t="str">
        <f>VLOOKUP(L533,'[2]tabela de preços'!$A:$G,7,0)</f>
        <v>IMOBILIÁRIO</v>
      </c>
    </row>
    <row r="534" spans="1:24" x14ac:dyDescent="0.3">
      <c r="A534" t="s">
        <v>1910</v>
      </c>
      <c r="C534" t="s">
        <v>1911</v>
      </c>
      <c r="D534" s="1">
        <v>46030</v>
      </c>
      <c r="E534" t="s">
        <v>1912</v>
      </c>
      <c r="F534">
        <v>9</v>
      </c>
      <c r="G534">
        <v>174</v>
      </c>
      <c r="H534" t="str">
        <f>VLOOKUP(G534,[1]OPERADORES!$A:$B,2,0)</f>
        <v>MIRIÃ LOBATO RODRIGUES</v>
      </c>
      <c r="I534" t="s">
        <v>21</v>
      </c>
      <c r="J534" t="s">
        <v>397</v>
      </c>
      <c r="K534" t="s">
        <v>1913</v>
      </c>
      <c r="L534">
        <v>84329</v>
      </c>
      <c r="M534" t="s">
        <v>285</v>
      </c>
      <c r="O534" t="s">
        <v>11</v>
      </c>
      <c r="P534">
        <v>5403</v>
      </c>
      <c r="Q534">
        <v>2</v>
      </c>
      <c r="R534">
        <v>60.89</v>
      </c>
      <c r="S534">
        <v>121.78</v>
      </c>
      <c r="T534">
        <v>96.54</v>
      </c>
      <c r="U534">
        <v>20.73</v>
      </c>
      <c r="V534" t="str">
        <f>VLOOKUP(L534,'[2]tabela de preços'!$A:$D,4,0)</f>
        <v>BRASILUX</v>
      </c>
      <c r="W534" t="str">
        <f>VLOOKUP(L534,'[2]tabela de preços'!$A:$F,6,0)</f>
        <v>ESMALTES</v>
      </c>
      <c r="X534" t="str">
        <f>VLOOKUP(L534,'[2]tabela de preços'!$A:$G,7,0)</f>
        <v>INDUSTRIAL</v>
      </c>
    </row>
    <row r="535" spans="1:24" x14ac:dyDescent="0.3">
      <c r="A535" t="s">
        <v>1910</v>
      </c>
      <c r="C535" t="s">
        <v>1911</v>
      </c>
      <c r="D535" s="1">
        <v>46030</v>
      </c>
      <c r="E535" t="s">
        <v>1912</v>
      </c>
      <c r="F535">
        <v>9</v>
      </c>
      <c r="G535">
        <v>174</v>
      </c>
      <c r="H535" t="str">
        <f>VLOOKUP(G535,[1]OPERADORES!$A:$B,2,0)</f>
        <v>MIRIÃ LOBATO RODRIGUES</v>
      </c>
      <c r="I535" t="s">
        <v>21</v>
      </c>
      <c r="J535" t="s">
        <v>397</v>
      </c>
      <c r="K535" t="s">
        <v>1913</v>
      </c>
      <c r="L535">
        <v>85241</v>
      </c>
      <c r="M535" t="s">
        <v>1914</v>
      </c>
      <c r="O535" t="s">
        <v>11</v>
      </c>
      <c r="P535">
        <v>5102</v>
      </c>
      <c r="Q535">
        <v>1</v>
      </c>
      <c r="R535">
        <v>33.520000000000003</v>
      </c>
      <c r="S535">
        <v>33.520000000000003</v>
      </c>
      <c r="T535">
        <v>24.86</v>
      </c>
      <c r="U535">
        <v>25.84</v>
      </c>
      <c r="V535" t="str">
        <f>VLOOKUP(L535,'[2]tabela de preços'!$A:$D,4,0)</f>
        <v>BRASILUX</v>
      </c>
      <c r="W535" t="str">
        <f>VLOOKUP(L535,'[2]tabela de preços'!$A:$F,6,0)</f>
        <v>CATALISADORES INDIVIDUAIS</v>
      </c>
      <c r="X535" t="str">
        <f>VLOOKUP(L535,'[2]tabela de preços'!$A:$G,7,0)</f>
        <v>IMOBILIÁRIO</v>
      </c>
    </row>
    <row r="536" spans="1:24" x14ac:dyDescent="0.3">
      <c r="A536" t="s">
        <v>1910</v>
      </c>
      <c r="C536" t="s">
        <v>1911</v>
      </c>
      <c r="D536" s="1">
        <v>46030</v>
      </c>
      <c r="E536" t="s">
        <v>1912</v>
      </c>
      <c r="F536">
        <v>9</v>
      </c>
      <c r="G536">
        <v>174</v>
      </c>
      <c r="H536" t="str">
        <f>VLOOKUP(G536,[1]OPERADORES!$A:$B,2,0)</f>
        <v>MIRIÃ LOBATO RODRIGUES</v>
      </c>
      <c r="I536" t="s">
        <v>21</v>
      </c>
      <c r="J536" t="s">
        <v>397</v>
      </c>
      <c r="K536" t="s">
        <v>1913</v>
      </c>
      <c r="L536">
        <v>84560</v>
      </c>
      <c r="M536" t="s">
        <v>118</v>
      </c>
      <c r="O536" t="s">
        <v>11</v>
      </c>
      <c r="P536">
        <v>5102</v>
      </c>
      <c r="Q536">
        <v>3</v>
      </c>
      <c r="R536">
        <v>46.9</v>
      </c>
      <c r="S536">
        <v>140.69999999999999</v>
      </c>
      <c r="T536">
        <v>117.48</v>
      </c>
      <c r="U536">
        <v>16.5</v>
      </c>
      <c r="V536" t="str">
        <f>VLOOKUP(L536,'[2]tabela de preços'!$A:$D,4,0)</f>
        <v>BRASILUX</v>
      </c>
      <c r="W536" t="str">
        <f>VLOOKUP(L536,'[2]tabela de preços'!$A:$F,6,0)</f>
        <v>THINNER DE LIMPEZA</v>
      </c>
      <c r="X536" t="str">
        <f>VLOOKUP(L536,'[2]tabela de preços'!$A:$G,7,0)</f>
        <v>THINNER</v>
      </c>
    </row>
    <row r="537" spans="1:24" x14ac:dyDescent="0.3">
      <c r="A537" t="s">
        <v>1910</v>
      </c>
      <c r="C537" t="s">
        <v>1911</v>
      </c>
      <c r="D537" s="1">
        <v>46030</v>
      </c>
      <c r="E537" t="s">
        <v>1912</v>
      </c>
      <c r="F537">
        <v>9</v>
      </c>
      <c r="G537">
        <v>174</v>
      </c>
      <c r="H537" t="str">
        <f>VLOOKUP(G537,[1]OPERADORES!$A:$B,2,0)</f>
        <v>MIRIÃ LOBATO RODRIGUES</v>
      </c>
      <c r="I537" t="s">
        <v>21</v>
      </c>
      <c r="J537" t="s">
        <v>397</v>
      </c>
      <c r="K537" t="s">
        <v>1913</v>
      </c>
      <c r="L537">
        <v>85641</v>
      </c>
      <c r="M537" t="s">
        <v>687</v>
      </c>
      <c r="O537" t="s">
        <v>11</v>
      </c>
      <c r="P537">
        <v>5403</v>
      </c>
      <c r="Q537">
        <v>3</v>
      </c>
      <c r="R537">
        <v>8.19</v>
      </c>
      <c r="S537">
        <v>24.57</v>
      </c>
      <c r="T537">
        <v>20.76</v>
      </c>
      <c r="U537">
        <v>15.51</v>
      </c>
      <c r="V537" t="str">
        <f>VLOOKUP(L537,'[2]tabela de preços'!$A:$D,4,0)</f>
        <v>UNIPEGA</v>
      </c>
      <c r="W537" t="str">
        <f>VLOOKUP(L537,'[2]tabela de preços'!$A:$F,6,0)</f>
        <v xml:space="preserve">SPRAYS </v>
      </c>
      <c r="X537" t="str">
        <f>VLOOKUP(L537,'[2]tabela de preços'!$A:$G,7,0)</f>
        <v>AUTOMOTIVO</v>
      </c>
    </row>
    <row r="538" spans="1:24" x14ac:dyDescent="0.3">
      <c r="A538" t="s">
        <v>1961</v>
      </c>
      <c r="C538" t="s">
        <v>1962</v>
      </c>
      <c r="D538" s="1">
        <v>46030</v>
      </c>
      <c r="E538" t="s">
        <v>1963</v>
      </c>
      <c r="F538">
        <v>9</v>
      </c>
      <c r="G538">
        <v>197</v>
      </c>
      <c r="H538" t="str">
        <f>VLOOKUP(G538,[1]OPERADORES!$A:$B,2,0)</f>
        <v xml:space="preserve">POLIANA LORRANE DE AMORIM </v>
      </c>
      <c r="I538" t="s">
        <v>21</v>
      </c>
      <c r="J538" t="s">
        <v>762</v>
      </c>
      <c r="K538" t="s">
        <v>1964</v>
      </c>
      <c r="L538">
        <v>5</v>
      </c>
      <c r="M538" t="s">
        <v>147</v>
      </c>
      <c r="O538" t="s">
        <v>11</v>
      </c>
      <c r="P538">
        <v>5102</v>
      </c>
      <c r="Q538">
        <v>20</v>
      </c>
      <c r="R538">
        <v>4.8499999999999996</v>
      </c>
      <c r="S538">
        <v>97</v>
      </c>
      <c r="T538">
        <v>78.2</v>
      </c>
      <c r="U538">
        <v>19.38</v>
      </c>
      <c r="V538" t="str">
        <f>VLOOKUP(L538,'[2]tabela de preços'!$A:$D,4,0)</f>
        <v>BRILHO ESTOPA</v>
      </c>
      <c r="W538" t="str">
        <f>VLOOKUP(L538,'[2]tabela de preços'!$A:$F,6,0)</f>
        <v>ESTOPAS</v>
      </c>
      <c r="X538" t="str">
        <f>VLOOKUP(L538,'[2]tabela de preços'!$A:$G,7,0)</f>
        <v>AUTOMOTIVO</v>
      </c>
    </row>
    <row r="539" spans="1:24" x14ac:dyDescent="0.3">
      <c r="A539" t="s">
        <v>1961</v>
      </c>
      <c r="C539" t="s">
        <v>1962</v>
      </c>
      <c r="D539" s="1">
        <v>46030</v>
      </c>
      <c r="E539" t="s">
        <v>1963</v>
      </c>
      <c r="F539">
        <v>9</v>
      </c>
      <c r="G539">
        <v>197</v>
      </c>
      <c r="H539" t="str">
        <f>VLOOKUP(G539,[1]OPERADORES!$A:$B,2,0)</f>
        <v xml:space="preserve">POLIANA LORRANE DE AMORIM </v>
      </c>
      <c r="I539" t="s">
        <v>21</v>
      </c>
      <c r="J539" t="s">
        <v>762</v>
      </c>
      <c r="K539" t="s">
        <v>1964</v>
      </c>
      <c r="L539">
        <v>84499</v>
      </c>
      <c r="M539" t="s">
        <v>534</v>
      </c>
      <c r="O539" t="s">
        <v>11</v>
      </c>
      <c r="P539">
        <v>5102</v>
      </c>
      <c r="Q539">
        <v>3</v>
      </c>
      <c r="R539">
        <v>182.85</v>
      </c>
      <c r="S539">
        <v>548.54999999999995</v>
      </c>
      <c r="T539">
        <v>402.15</v>
      </c>
      <c r="U539">
        <v>26.69</v>
      </c>
      <c r="V539" t="str">
        <f>VLOOKUP(L539,'[2]tabela de preços'!$A:$D,4,0)</f>
        <v>BRASILUX</v>
      </c>
      <c r="W539" t="str">
        <f>VLOOKUP(L539,'[2]tabela de preços'!$A:$F,6,0)</f>
        <v>THINNER DE LIMPEZA</v>
      </c>
      <c r="X539" t="str">
        <f>VLOOKUP(L539,'[2]tabela de preços'!$A:$G,7,0)</f>
        <v>THINNER</v>
      </c>
    </row>
    <row r="540" spans="1:24" x14ac:dyDescent="0.3">
      <c r="A540" t="s">
        <v>2147</v>
      </c>
      <c r="C540" t="s">
        <v>2148</v>
      </c>
      <c r="D540" s="1">
        <v>46030</v>
      </c>
      <c r="E540" t="s">
        <v>2149</v>
      </c>
      <c r="F540">
        <v>9</v>
      </c>
      <c r="G540">
        <v>230</v>
      </c>
      <c r="H540" t="str">
        <f>VLOOKUP(G540,[1]OPERADORES!$A:$B,2,0)</f>
        <v>SÔNIA</v>
      </c>
      <c r="I540" t="s">
        <v>21</v>
      </c>
      <c r="J540" t="s">
        <v>2150</v>
      </c>
      <c r="K540" t="s">
        <v>2151</v>
      </c>
      <c r="L540">
        <v>84351</v>
      </c>
      <c r="M540" t="s">
        <v>2152</v>
      </c>
      <c r="O540" t="s">
        <v>11</v>
      </c>
      <c r="P540">
        <v>5403</v>
      </c>
      <c r="Q540">
        <v>2</v>
      </c>
      <c r="R540">
        <v>60.89</v>
      </c>
      <c r="S540">
        <v>121.78</v>
      </c>
      <c r="T540">
        <v>104</v>
      </c>
      <c r="U540">
        <v>14.6</v>
      </c>
      <c r="V540" t="str">
        <f>VLOOKUP(L540,'[2]tabela de preços'!$A:$D,4,0)</f>
        <v>BRASILUX</v>
      </c>
      <c r="W540" t="str">
        <f>VLOOKUP(L540,'[2]tabela de preços'!$A:$F,6,0)</f>
        <v>ESMALTES</v>
      </c>
      <c r="X540" t="str">
        <f>VLOOKUP(L540,'[2]tabela de preços'!$A:$G,7,0)</f>
        <v>INDUSTRIAL</v>
      </c>
    </row>
    <row r="541" spans="1:24" x14ac:dyDescent="0.3">
      <c r="A541" t="s">
        <v>2147</v>
      </c>
      <c r="C541" t="s">
        <v>2148</v>
      </c>
      <c r="D541" s="1">
        <v>46030</v>
      </c>
      <c r="E541" t="s">
        <v>2149</v>
      </c>
      <c r="F541">
        <v>9</v>
      </c>
      <c r="G541">
        <v>230</v>
      </c>
      <c r="H541" t="str">
        <f>VLOOKUP(G541,[1]OPERADORES!$A:$B,2,0)</f>
        <v>SÔNIA</v>
      </c>
      <c r="I541" t="s">
        <v>21</v>
      </c>
      <c r="J541" t="s">
        <v>2150</v>
      </c>
      <c r="K541" t="s">
        <v>2151</v>
      </c>
      <c r="L541">
        <v>84799</v>
      </c>
      <c r="M541" t="s">
        <v>2153</v>
      </c>
      <c r="O541" t="s">
        <v>11</v>
      </c>
      <c r="P541">
        <v>5403</v>
      </c>
      <c r="Q541">
        <v>2</v>
      </c>
      <c r="R541">
        <v>288.35000000000002</v>
      </c>
      <c r="S541">
        <v>576.70000000000005</v>
      </c>
      <c r="T541">
        <v>437.72</v>
      </c>
      <c r="U541">
        <v>24.1</v>
      </c>
      <c r="V541" t="str">
        <f>VLOOKUP(L541,'[2]tabela de preços'!$A:$D,4,0)</f>
        <v>BRASILUX</v>
      </c>
      <c r="W541" t="str">
        <f>VLOOKUP(L541,'[2]tabela de preços'!$A:$F,6,0)</f>
        <v>ESMALTES</v>
      </c>
      <c r="X541" t="str">
        <f>VLOOKUP(L541,'[2]tabela de preços'!$A:$G,7,0)</f>
        <v>INDUSTRIAL</v>
      </c>
    </row>
    <row r="542" spans="1:24" x14ac:dyDescent="0.3">
      <c r="A542" t="s">
        <v>2147</v>
      </c>
      <c r="C542" t="s">
        <v>2148</v>
      </c>
      <c r="D542" s="1">
        <v>46030</v>
      </c>
      <c r="E542" t="s">
        <v>2149</v>
      </c>
      <c r="F542">
        <v>9</v>
      </c>
      <c r="G542">
        <v>230</v>
      </c>
      <c r="H542" t="str">
        <f>VLOOKUP(G542,[1]OPERADORES!$A:$B,2,0)</f>
        <v>SÔNIA</v>
      </c>
      <c r="I542" t="s">
        <v>21</v>
      </c>
      <c r="J542" t="s">
        <v>2150</v>
      </c>
      <c r="K542" t="s">
        <v>2151</v>
      </c>
      <c r="L542">
        <v>84499</v>
      </c>
      <c r="M542" t="s">
        <v>534</v>
      </c>
      <c r="O542" t="s">
        <v>11</v>
      </c>
      <c r="P542">
        <v>5102</v>
      </c>
      <c r="Q542">
        <v>1</v>
      </c>
      <c r="R542">
        <v>176.61</v>
      </c>
      <c r="S542">
        <v>176.61</v>
      </c>
      <c r="T542">
        <v>134.05000000000001</v>
      </c>
      <c r="U542">
        <v>24.1</v>
      </c>
      <c r="V542" t="str">
        <f>VLOOKUP(L542,'[2]tabela de preços'!$A:$D,4,0)</f>
        <v>BRASILUX</v>
      </c>
      <c r="W542" t="str">
        <f>VLOOKUP(L542,'[2]tabela de preços'!$A:$F,6,0)</f>
        <v>THINNER DE LIMPEZA</v>
      </c>
      <c r="X542" t="str">
        <f>VLOOKUP(L542,'[2]tabela de preços'!$A:$G,7,0)</f>
        <v>THINNER</v>
      </c>
    </row>
    <row r="543" spans="1:24" x14ac:dyDescent="0.3">
      <c r="A543" t="s">
        <v>2147</v>
      </c>
      <c r="C543" t="s">
        <v>2148</v>
      </c>
      <c r="D543" s="1">
        <v>46030</v>
      </c>
      <c r="E543" t="s">
        <v>2149</v>
      </c>
      <c r="F543">
        <v>9</v>
      </c>
      <c r="G543">
        <v>230</v>
      </c>
      <c r="H543" t="str">
        <f>VLOOKUP(G543,[1]OPERADORES!$A:$B,2,0)</f>
        <v>SÔNIA</v>
      </c>
      <c r="I543" t="s">
        <v>21</v>
      </c>
      <c r="J543" t="s">
        <v>2150</v>
      </c>
      <c r="K543" t="s">
        <v>2151</v>
      </c>
      <c r="L543">
        <v>85326</v>
      </c>
      <c r="M543" t="s">
        <v>1627</v>
      </c>
      <c r="O543" t="s">
        <v>11</v>
      </c>
      <c r="P543">
        <v>5102</v>
      </c>
      <c r="Q543">
        <v>1</v>
      </c>
      <c r="R543">
        <v>565.9</v>
      </c>
      <c r="S543">
        <v>565.9</v>
      </c>
      <c r="T543">
        <v>403.49</v>
      </c>
      <c r="U543">
        <v>28.7</v>
      </c>
      <c r="V543" t="str">
        <f>VLOOKUP(L543,'[2]tabela de preços'!$A:$D,4,0)</f>
        <v>BRASILUX</v>
      </c>
      <c r="W543" t="str">
        <f>VLOOKUP(L543,'[2]tabela de preços'!$A:$F,6,0)</f>
        <v>TINTA EM PÓ</v>
      </c>
      <c r="X543" t="str">
        <f>VLOOKUP(L543,'[2]tabela de preços'!$A:$G,7,0)</f>
        <v>INDUSTRIAL</v>
      </c>
    </row>
    <row r="544" spans="1:24" x14ac:dyDescent="0.3">
      <c r="A544" t="s">
        <v>2147</v>
      </c>
      <c r="C544" t="s">
        <v>2148</v>
      </c>
      <c r="D544" s="1">
        <v>46030</v>
      </c>
      <c r="E544" t="s">
        <v>2149</v>
      </c>
      <c r="F544">
        <v>9</v>
      </c>
      <c r="G544">
        <v>230</v>
      </c>
      <c r="H544" t="str">
        <f>VLOOKUP(G544,[1]OPERADORES!$A:$B,2,0)</f>
        <v>SÔNIA</v>
      </c>
      <c r="I544" t="s">
        <v>21</v>
      </c>
      <c r="J544" t="s">
        <v>2150</v>
      </c>
      <c r="K544" t="s">
        <v>2151</v>
      </c>
      <c r="L544">
        <v>85336</v>
      </c>
      <c r="M544" t="s">
        <v>2154</v>
      </c>
      <c r="O544" t="s">
        <v>11</v>
      </c>
      <c r="P544">
        <v>5102</v>
      </c>
      <c r="Q544">
        <v>1</v>
      </c>
      <c r="R544">
        <v>513.32000000000005</v>
      </c>
      <c r="S544">
        <v>513.32000000000005</v>
      </c>
      <c r="T544">
        <v>366</v>
      </c>
      <c r="U544">
        <v>28.7</v>
      </c>
      <c r="V544" t="str">
        <f>VLOOKUP(L544,'[2]tabela de preços'!$A:$D,4,0)</f>
        <v>BRASILUX</v>
      </c>
      <c r="W544" t="str">
        <f>VLOOKUP(L544,'[2]tabela de preços'!$A:$F,6,0)</f>
        <v>TINTA EM PÓ</v>
      </c>
      <c r="X544" t="str">
        <f>VLOOKUP(L544,'[2]tabela de preços'!$A:$G,7,0)</f>
        <v>INDUSTRIAL</v>
      </c>
    </row>
    <row r="545" spans="1:24" x14ac:dyDescent="0.3">
      <c r="A545" t="s">
        <v>2221</v>
      </c>
      <c r="B545" t="s">
        <v>2222</v>
      </c>
      <c r="C545" t="s">
        <v>2227</v>
      </c>
      <c r="D545" s="1">
        <v>46030</v>
      </c>
      <c r="F545">
        <v>9</v>
      </c>
      <c r="G545">
        <v>236</v>
      </c>
      <c r="H545" t="str">
        <f>VLOOKUP(G545,[1]OPERADORES!$A:$B,2,0)</f>
        <v>DANIEL</v>
      </c>
      <c r="I545" t="s">
        <v>21</v>
      </c>
      <c r="J545" t="s">
        <v>2225</v>
      </c>
      <c r="K545" t="s">
        <v>2226</v>
      </c>
      <c r="L545">
        <v>85666</v>
      </c>
      <c r="M545" t="s">
        <v>341</v>
      </c>
      <c r="N545" t="s">
        <v>2228</v>
      </c>
      <c r="O545" t="s">
        <v>11</v>
      </c>
      <c r="P545">
        <v>1411</v>
      </c>
      <c r="Q545">
        <v>-20</v>
      </c>
      <c r="R545">
        <v>13.89</v>
      </c>
      <c r="S545">
        <v>-277.8</v>
      </c>
      <c r="T545">
        <v>-239.8</v>
      </c>
      <c r="U545">
        <v>13.68</v>
      </c>
      <c r="V545" t="str">
        <f>VLOOKUP(L545,'[2]tabela de preços'!$A:$D,4,0)</f>
        <v>UNIPEGA</v>
      </c>
      <c r="W545" t="str">
        <f>VLOOKUP(L545,'[2]tabela de preços'!$A:$F,6,0)</f>
        <v xml:space="preserve">SPRAYS </v>
      </c>
      <c r="X545" t="str">
        <f>VLOOKUP(L545,'[2]tabela de preços'!$A:$G,7,0)</f>
        <v>AUTOMOTIVO</v>
      </c>
    </row>
    <row r="546" spans="1:24" x14ac:dyDescent="0.3">
      <c r="A546" t="s">
        <v>2221</v>
      </c>
      <c r="B546" t="s">
        <v>2222</v>
      </c>
      <c r="C546" t="s">
        <v>2227</v>
      </c>
      <c r="D546" s="1">
        <v>46030</v>
      </c>
      <c r="F546">
        <v>9</v>
      </c>
      <c r="G546">
        <v>236</v>
      </c>
      <c r="H546" t="str">
        <f>VLOOKUP(G546,[1]OPERADORES!$A:$B,2,0)</f>
        <v>DANIEL</v>
      </c>
      <c r="I546" t="s">
        <v>21</v>
      </c>
      <c r="J546" t="s">
        <v>2225</v>
      </c>
      <c r="K546" t="s">
        <v>2226</v>
      </c>
      <c r="L546">
        <v>85661</v>
      </c>
      <c r="M546" t="s">
        <v>342</v>
      </c>
      <c r="N546" t="s">
        <v>2228</v>
      </c>
      <c r="O546" t="s">
        <v>11</v>
      </c>
      <c r="P546">
        <v>1411</v>
      </c>
      <c r="Q546">
        <v>-10</v>
      </c>
      <c r="R546">
        <v>13.89</v>
      </c>
      <c r="S546">
        <v>-138.9</v>
      </c>
      <c r="T546">
        <v>-110</v>
      </c>
      <c r="U546">
        <v>20.81</v>
      </c>
      <c r="V546" t="str">
        <f>VLOOKUP(L546,'[2]tabela de preços'!$A:$D,4,0)</f>
        <v>UNIPEGA</v>
      </c>
      <c r="W546" t="str">
        <f>VLOOKUP(L546,'[2]tabela de preços'!$A:$F,6,0)</f>
        <v xml:space="preserve">SPRAYS </v>
      </c>
      <c r="X546" t="str">
        <f>VLOOKUP(L546,'[2]tabela de preços'!$A:$G,7,0)</f>
        <v>AUTOMOTIVO</v>
      </c>
    </row>
    <row r="547" spans="1:24" x14ac:dyDescent="0.3">
      <c r="A547" t="s">
        <v>2259</v>
      </c>
      <c r="B547" t="s">
        <v>2260</v>
      </c>
      <c r="C547" t="s">
        <v>2261</v>
      </c>
      <c r="D547" s="1">
        <v>46030</v>
      </c>
      <c r="E547" t="s">
        <v>2262</v>
      </c>
      <c r="F547">
        <v>9</v>
      </c>
      <c r="G547">
        <v>174</v>
      </c>
      <c r="H547" t="str">
        <f>VLOOKUP(G547,[1]OPERADORES!$A:$B,2,0)</f>
        <v>MIRIÃ LOBATO RODRIGUES</v>
      </c>
      <c r="I547" t="s">
        <v>21</v>
      </c>
      <c r="J547" t="s">
        <v>762</v>
      </c>
      <c r="K547" t="s">
        <v>2263</v>
      </c>
      <c r="L547">
        <v>22233</v>
      </c>
      <c r="M547" t="s">
        <v>184</v>
      </c>
      <c r="O547" t="s">
        <v>11</v>
      </c>
      <c r="P547">
        <v>5102</v>
      </c>
      <c r="Q547">
        <v>3</v>
      </c>
      <c r="R547">
        <v>31.94</v>
      </c>
      <c r="S547">
        <v>95.82</v>
      </c>
      <c r="T547">
        <v>68.7</v>
      </c>
      <c r="U547">
        <v>28.3</v>
      </c>
      <c r="V547" t="str">
        <f>VLOOKUP(L547,'[2]tabela de preços'!$A:$D,4,0)</f>
        <v>3M</v>
      </c>
      <c r="W547" t="str">
        <f>VLOOKUP(L547,'[2]tabela de preços'!$A:$F,6,0)</f>
        <v>FITA DUPLA FACE</v>
      </c>
      <c r="X547" t="str">
        <f>VLOOKUP(L547,'[2]tabela de preços'!$A:$G,7,0)</f>
        <v>AUTOMOTIVO</v>
      </c>
    </row>
    <row r="548" spans="1:24" x14ac:dyDescent="0.3">
      <c r="A548" t="s">
        <v>2259</v>
      </c>
      <c r="B548" t="s">
        <v>2260</v>
      </c>
      <c r="C548" t="s">
        <v>2261</v>
      </c>
      <c r="D548" s="1">
        <v>46030</v>
      </c>
      <c r="E548" t="s">
        <v>2262</v>
      </c>
      <c r="F548">
        <v>9</v>
      </c>
      <c r="G548">
        <v>174</v>
      </c>
      <c r="H548" t="str">
        <f>VLOOKUP(G548,[1]OPERADORES!$A:$B,2,0)</f>
        <v>MIRIÃ LOBATO RODRIGUES</v>
      </c>
      <c r="I548" t="s">
        <v>21</v>
      </c>
      <c r="J548" t="s">
        <v>762</v>
      </c>
      <c r="K548" t="s">
        <v>2263</v>
      </c>
      <c r="L548">
        <v>85616</v>
      </c>
      <c r="M548" t="s">
        <v>471</v>
      </c>
      <c r="O548" t="s">
        <v>11</v>
      </c>
      <c r="P548">
        <v>5102</v>
      </c>
      <c r="Q548">
        <v>12</v>
      </c>
      <c r="R548">
        <v>2.64</v>
      </c>
      <c r="S548">
        <v>31.68</v>
      </c>
      <c r="T548">
        <v>27.36</v>
      </c>
      <c r="U548">
        <v>13.64</v>
      </c>
      <c r="V548" t="str">
        <f>VLOOKUP(L548,'[2]tabela de preços'!$A:$D,4,0)</f>
        <v>ADERE</v>
      </c>
      <c r="W548" t="str">
        <f>VLOOKUP(L548,'[2]tabela de preços'!$A:$F,6,0)</f>
        <v xml:space="preserve">FITA DE USO GERAL </v>
      </c>
      <c r="X548" t="str">
        <f>VLOOKUP(L548,'[2]tabela de preços'!$A:$G,7,0)</f>
        <v>IMOBILIÁRIO</v>
      </c>
    </row>
    <row r="549" spans="1:24" x14ac:dyDescent="0.3">
      <c r="A549" t="s">
        <v>165</v>
      </c>
      <c r="C549" t="s">
        <v>175</v>
      </c>
      <c r="D549" s="1">
        <v>46031</v>
      </c>
      <c r="E549" t="s">
        <v>176</v>
      </c>
      <c r="F549">
        <v>9</v>
      </c>
      <c r="G549">
        <v>174</v>
      </c>
      <c r="H549" t="str">
        <f>VLOOKUP(G549,[1]OPERADORES!$A:$B,2,0)</f>
        <v>MIRIÃ LOBATO RODRIGUES</v>
      </c>
      <c r="I549" t="s">
        <v>168</v>
      </c>
      <c r="J549" t="s">
        <v>169</v>
      </c>
      <c r="K549" t="s">
        <v>170</v>
      </c>
      <c r="L549">
        <v>10067</v>
      </c>
      <c r="M549" t="s">
        <v>177</v>
      </c>
      <c r="O549" t="s">
        <v>11</v>
      </c>
      <c r="P549">
        <v>6102</v>
      </c>
      <c r="Q549">
        <v>2</v>
      </c>
      <c r="R549">
        <v>89.9</v>
      </c>
      <c r="S549">
        <v>179.8</v>
      </c>
      <c r="T549">
        <v>147.16</v>
      </c>
      <c r="U549">
        <v>18.149999999999999</v>
      </c>
      <c r="V549" t="str">
        <f>VLOOKUP(L549,'[2]tabela de preços'!$A:$D,4,0)</f>
        <v>3M</v>
      </c>
      <c r="W549" t="str">
        <f>VLOOKUP(L549,'[2]tabela de preços'!$A:$F,6,0)</f>
        <v>BOINAS PARA POLIMENTO</v>
      </c>
      <c r="X549" t="str">
        <f>VLOOKUP(L549,'[2]tabela de preços'!$A:$G,7,0)</f>
        <v>AUTOMOTIVO</v>
      </c>
    </row>
    <row r="550" spans="1:24" x14ac:dyDescent="0.3">
      <c r="A550" t="s">
        <v>241</v>
      </c>
      <c r="C550" t="s">
        <v>242</v>
      </c>
      <c r="D550" s="1">
        <v>46031</v>
      </c>
      <c r="E550" t="s">
        <v>243</v>
      </c>
      <c r="F550">
        <v>9</v>
      </c>
      <c r="G550">
        <v>174</v>
      </c>
      <c r="H550" t="str">
        <f>VLOOKUP(G550,[1]OPERADORES!$A:$B,2,0)</f>
        <v>MIRIÃ LOBATO RODRIGUES</v>
      </c>
      <c r="I550" t="s">
        <v>244</v>
      </c>
      <c r="J550" t="s">
        <v>245</v>
      </c>
      <c r="K550" t="s">
        <v>246</v>
      </c>
      <c r="L550">
        <v>23107</v>
      </c>
      <c r="M550" t="s">
        <v>247</v>
      </c>
      <c r="O550" t="s">
        <v>11</v>
      </c>
      <c r="P550">
        <v>6108</v>
      </c>
      <c r="Q550">
        <v>5</v>
      </c>
      <c r="R550">
        <v>2.35</v>
      </c>
      <c r="S550">
        <v>11.75</v>
      </c>
      <c r="T550">
        <v>9.25</v>
      </c>
      <c r="U550">
        <v>21.28</v>
      </c>
      <c r="V550" t="str">
        <f>VLOOKUP(L550,'[2]tabela de preços'!$A:$D,4,0)</f>
        <v>3M</v>
      </c>
      <c r="W550" t="str">
        <f>VLOOKUP(L550,'[2]tabela de preços'!$A:$F,6,0)</f>
        <v xml:space="preserve">DISCOS / LIXAS / ABRASIVOS </v>
      </c>
      <c r="X550" t="str">
        <f>VLOOKUP(L550,'[2]tabela de preços'!$A:$G,7,0)</f>
        <v>AUTOMOTIVO</v>
      </c>
    </row>
    <row r="551" spans="1:24" x14ac:dyDescent="0.3">
      <c r="A551" t="s">
        <v>241</v>
      </c>
      <c r="C551" t="s">
        <v>242</v>
      </c>
      <c r="D551" s="1">
        <v>46031</v>
      </c>
      <c r="E551" t="s">
        <v>243</v>
      </c>
      <c r="F551">
        <v>9</v>
      </c>
      <c r="G551">
        <v>174</v>
      </c>
      <c r="H551" t="str">
        <f>VLOOKUP(G551,[1]OPERADORES!$A:$B,2,0)</f>
        <v>MIRIÃ LOBATO RODRIGUES</v>
      </c>
      <c r="I551" t="s">
        <v>244</v>
      </c>
      <c r="J551" t="s">
        <v>245</v>
      </c>
      <c r="K551" t="s">
        <v>246</v>
      </c>
      <c r="L551">
        <v>23108</v>
      </c>
      <c r="M551" t="s">
        <v>248</v>
      </c>
      <c r="O551" t="s">
        <v>11</v>
      </c>
      <c r="P551">
        <v>6108</v>
      </c>
      <c r="Q551">
        <v>7</v>
      </c>
      <c r="R551">
        <v>2.35</v>
      </c>
      <c r="S551">
        <v>16.45</v>
      </c>
      <c r="T551">
        <v>12.95</v>
      </c>
      <c r="U551">
        <v>21.28</v>
      </c>
      <c r="V551" t="str">
        <f>VLOOKUP(L551,'[2]tabela de preços'!$A:$D,4,0)</f>
        <v>3M</v>
      </c>
      <c r="W551" t="str">
        <f>VLOOKUP(L551,'[2]tabela de preços'!$A:$F,6,0)</f>
        <v xml:space="preserve">DISCOS / LIXAS / ABRASIVOS </v>
      </c>
      <c r="X551" t="str">
        <f>VLOOKUP(L551,'[2]tabela de preços'!$A:$G,7,0)</f>
        <v>AUTOMOTIVO</v>
      </c>
    </row>
    <row r="552" spans="1:24" x14ac:dyDescent="0.3">
      <c r="A552" t="s">
        <v>241</v>
      </c>
      <c r="C552" t="s">
        <v>242</v>
      </c>
      <c r="D552" s="1">
        <v>46031</v>
      </c>
      <c r="E552" t="s">
        <v>243</v>
      </c>
      <c r="F552">
        <v>9</v>
      </c>
      <c r="G552">
        <v>174</v>
      </c>
      <c r="H552" t="str">
        <f>VLOOKUP(G552,[1]OPERADORES!$A:$B,2,0)</f>
        <v>MIRIÃ LOBATO RODRIGUES</v>
      </c>
      <c r="I552" t="s">
        <v>244</v>
      </c>
      <c r="J552" t="s">
        <v>245</v>
      </c>
      <c r="K552" t="s">
        <v>246</v>
      </c>
      <c r="L552">
        <v>24240</v>
      </c>
      <c r="M552" t="s">
        <v>240</v>
      </c>
      <c r="O552" t="s">
        <v>11</v>
      </c>
      <c r="P552">
        <v>6108</v>
      </c>
      <c r="Q552">
        <v>1</v>
      </c>
      <c r="R552">
        <v>3.87</v>
      </c>
      <c r="S552">
        <v>3.87</v>
      </c>
      <c r="T552">
        <v>3.28</v>
      </c>
      <c r="U552">
        <v>15.25</v>
      </c>
      <c r="V552" t="str">
        <f>VLOOKUP(L552,'[2]tabela de preços'!$A:$D,4,0)</f>
        <v>ADERE</v>
      </c>
      <c r="W552" t="str">
        <f>VLOOKUP(L552,'[2]tabela de preços'!$A:$F,6,0)</f>
        <v>FITA AUTOMOTIVA</v>
      </c>
      <c r="X552" t="str">
        <f>VLOOKUP(L552,'[2]tabela de preços'!$A:$G,7,0)</f>
        <v>AUTOMOTIVO</v>
      </c>
    </row>
    <row r="553" spans="1:24" x14ac:dyDescent="0.3">
      <c r="A553" t="s">
        <v>393</v>
      </c>
      <c r="B553" t="s">
        <v>394</v>
      </c>
      <c r="C553" t="s">
        <v>405</v>
      </c>
      <c r="D553" s="1">
        <v>46031</v>
      </c>
      <c r="E553" t="s">
        <v>406</v>
      </c>
      <c r="F553">
        <v>9</v>
      </c>
      <c r="G553">
        <v>174</v>
      </c>
      <c r="H553" t="str">
        <f>VLOOKUP(G553,[1]OPERADORES!$A:$B,2,0)</f>
        <v>MIRIÃ LOBATO RODRIGUES</v>
      </c>
      <c r="I553" t="s">
        <v>21</v>
      </c>
      <c r="J553" t="s">
        <v>397</v>
      </c>
      <c r="K553" t="s">
        <v>398</v>
      </c>
      <c r="L553">
        <v>23377</v>
      </c>
      <c r="M553" t="s">
        <v>407</v>
      </c>
      <c r="O553" t="s">
        <v>11</v>
      </c>
      <c r="P553">
        <v>5403</v>
      </c>
      <c r="Q553">
        <v>1</v>
      </c>
      <c r="R553">
        <v>43.82</v>
      </c>
      <c r="S553">
        <v>43.82</v>
      </c>
      <c r="T553">
        <v>33.26</v>
      </c>
      <c r="U553">
        <v>24.1</v>
      </c>
      <c r="V553" t="str">
        <f>VLOOKUP(L553,'[2]tabela de preços'!$A:$D,4,0)</f>
        <v>WANDA</v>
      </c>
      <c r="W553" t="str">
        <f>VLOOKUP(L553,'[2]tabela de preços'!$A:$F,6,0)</f>
        <v>TINTAS POLIÉSTER</v>
      </c>
      <c r="X553" t="str">
        <f>VLOOKUP(L553,'[2]tabela de preços'!$A:$G,7,0)</f>
        <v>AUTOMOTIVO</v>
      </c>
    </row>
    <row r="554" spans="1:24" x14ac:dyDescent="0.3">
      <c r="A554" t="s">
        <v>393</v>
      </c>
      <c r="B554" t="s">
        <v>394</v>
      </c>
      <c r="C554" t="s">
        <v>405</v>
      </c>
      <c r="D554" s="1">
        <v>46031</v>
      </c>
      <c r="E554" t="s">
        <v>406</v>
      </c>
      <c r="F554">
        <v>9</v>
      </c>
      <c r="G554">
        <v>174</v>
      </c>
      <c r="H554" t="str">
        <f>VLOOKUP(G554,[1]OPERADORES!$A:$B,2,0)</f>
        <v>MIRIÃ LOBATO RODRIGUES</v>
      </c>
      <c r="I554" t="s">
        <v>21</v>
      </c>
      <c r="J554" t="s">
        <v>397</v>
      </c>
      <c r="K554" t="s">
        <v>398</v>
      </c>
      <c r="L554">
        <v>23126</v>
      </c>
      <c r="M554" t="s">
        <v>408</v>
      </c>
      <c r="O554" t="s">
        <v>11</v>
      </c>
      <c r="P554">
        <v>5102</v>
      </c>
      <c r="Q554">
        <v>10</v>
      </c>
      <c r="R554">
        <v>3.05</v>
      </c>
      <c r="S554">
        <v>30.5</v>
      </c>
      <c r="T554">
        <v>22.4</v>
      </c>
      <c r="U554">
        <v>26.56</v>
      </c>
      <c r="V554" t="str">
        <f>VLOOKUP(L554,'[2]tabela de preços'!$A:$D,4,0)</f>
        <v>3M</v>
      </c>
      <c r="W554" t="str">
        <f>VLOOKUP(L554,'[2]tabela de preços'!$A:$F,6,0)</f>
        <v xml:space="preserve">DISCOS / LIXAS / ABRASIVOS </v>
      </c>
      <c r="X554" t="str">
        <f>VLOOKUP(L554,'[2]tabela de preços'!$A:$G,7,0)</f>
        <v>AUTOMOTIVO</v>
      </c>
    </row>
    <row r="555" spans="1:24" x14ac:dyDescent="0.3">
      <c r="A555" t="s">
        <v>393</v>
      </c>
      <c r="B555" t="s">
        <v>394</v>
      </c>
      <c r="C555" t="s">
        <v>405</v>
      </c>
      <c r="D555" s="1">
        <v>46031</v>
      </c>
      <c r="E555" t="s">
        <v>406</v>
      </c>
      <c r="F555">
        <v>9</v>
      </c>
      <c r="G555">
        <v>174</v>
      </c>
      <c r="H555" t="str">
        <f>VLOOKUP(G555,[1]OPERADORES!$A:$B,2,0)</f>
        <v>MIRIÃ LOBATO RODRIGUES</v>
      </c>
      <c r="I555" t="s">
        <v>21</v>
      </c>
      <c r="J555" t="s">
        <v>397</v>
      </c>
      <c r="K555" t="s">
        <v>398</v>
      </c>
      <c r="L555">
        <v>23110</v>
      </c>
      <c r="M555" t="s">
        <v>409</v>
      </c>
      <c r="O555" t="s">
        <v>11</v>
      </c>
      <c r="P555">
        <v>5102</v>
      </c>
      <c r="Q555">
        <v>10</v>
      </c>
      <c r="R555">
        <v>2.35</v>
      </c>
      <c r="S555">
        <v>23.5</v>
      </c>
      <c r="T555">
        <v>18.5</v>
      </c>
      <c r="U555">
        <v>21.28</v>
      </c>
      <c r="V555" t="str">
        <f>VLOOKUP(L555,'[2]tabela de preços'!$A:$D,4,0)</f>
        <v>3M</v>
      </c>
      <c r="W555" t="str">
        <f>VLOOKUP(L555,'[2]tabela de preços'!$A:$F,6,0)</f>
        <v xml:space="preserve">DISCOS / LIXAS / ABRASIVOS </v>
      </c>
      <c r="X555" t="str">
        <f>VLOOKUP(L555,'[2]tabela de preços'!$A:$G,7,0)</f>
        <v>AUTOMOTIVO</v>
      </c>
    </row>
    <row r="556" spans="1:24" x14ac:dyDescent="0.3">
      <c r="A556" t="s">
        <v>393</v>
      </c>
      <c r="B556" t="s">
        <v>394</v>
      </c>
      <c r="C556" t="s">
        <v>405</v>
      </c>
      <c r="D556" s="1">
        <v>46031</v>
      </c>
      <c r="E556" t="s">
        <v>406</v>
      </c>
      <c r="F556">
        <v>9</v>
      </c>
      <c r="G556">
        <v>174</v>
      </c>
      <c r="H556" t="str">
        <f>VLOOKUP(G556,[1]OPERADORES!$A:$B,2,0)</f>
        <v>MIRIÃ LOBATO RODRIGUES</v>
      </c>
      <c r="I556" t="s">
        <v>21</v>
      </c>
      <c r="J556" t="s">
        <v>397</v>
      </c>
      <c r="K556" t="s">
        <v>398</v>
      </c>
      <c r="L556">
        <v>24248</v>
      </c>
      <c r="M556" t="s">
        <v>107</v>
      </c>
      <c r="O556" t="s">
        <v>11</v>
      </c>
      <c r="P556">
        <v>5102</v>
      </c>
      <c r="Q556">
        <v>12</v>
      </c>
      <c r="R556">
        <v>9.9</v>
      </c>
      <c r="S556">
        <v>118.8</v>
      </c>
      <c r="T556">
        <v>76.92</v>
      </c>
      <c r="U556">
        <v>35.25</v>
      </c>
      <c r="V556" t="str">
        <f>VLOOKUP(L556,'[2]tabela de preços'!$A:$D,4,0)</f>
        <v>SHERWIN WILLIAMS</v>
      </c>
      <c r="W556" t="str">
        <f>VLOOKUP(L556,'[2]tabela de preços'!$A:$F,6,0)</f>
        <v>PRIMER AUTOMOTIVO</v>
      </c>
      <c r="X556" t="str">
        <f>VLOOKUP(L556,'[2]tabela de preços'!$A:$G,7,0)</f>
        <v>AUTOMOTIVO</v>
      </c>
    </row>
    <row r="557" spans="1:24" x14ac:dyDescent="0.3">
      <c r="A557" t="s">
        <v>393</v>
      </c>
      <c r="B557" t="s">
        <v>394</v>
      </c>
      <c r="C557" t="s">
        <v>405</v>
      </c>
      <c r="D557" s="1">
        <v>46031</v>
      </c>
      <c r="E557" t="s">
        <v>406</v>
      </c>
      <c r="F557">
        <v>9</v>
      </c>
      <c r="G557">
        <v>174</v>
      </c>
      <c r="H557" t="str">
        <f>VLOOKUP(G557,[1]OPERADORES!$A:$B,2,0)</f>
        <v>MIRIÃ LOBATO RODRIGUES</v>
      </c>
      <c r="I557" t="s">
        <v>21</v>
      </c>
      <c r="J557" t="s">
        <v>397</v>
      </c>
      <c r="K557" t="s">
        <v>398</v>
      </c>
      <c r="L557">
        <v>86995</v>
      </c>
      <c r="M557" t="s">
        <v>37</v>
      </c>
      <c r="O557" t="s">
        <v>11</v>
      </c>
      <c r="P557">
        <v>5102</v>
      </c>
      <c r="Q557">
        <v>6</v>
      </c>
      <c r="R557">
        <v>7.39</v>
      </c>
      <c r="S557">
        <v>44.34</v>
      </c>
      <c r="T557">
        <v>34.979999999999997</v>
      </c>
      <c r="U557">
        <v>21.11</v>
      </c>
      <c r="V557" t="str">
        <f>VLOOKUP(L557,'[2]tabela de preços'!$A:$D,4,0)</f>
        <v>AUTOAMERICA</v>
      </c>
      <c r="W557" t="str">
        <f>VLOOKUP(L557,'[2]tabela de preços'!$A:$F,6,0)</f>
        <v>FLANELAS / PANOS</v>
      </c>
      <c r="X557" t="str">
        <f>VLOOKUP(L557,'[2]tabela de preços'!$A:$G,7,0)</f>
        <v>AUTOMOTIVO</v>
      </c>
    </row>
    <row r="558" spans="1:24" x14ac:dyDescent="0.3">
      <c r="A558" t="s">
        <v>393</v>
      </c>
      <c r="B558" t="s">
        <v>394</v>
      </c>
      <c r="C558" t="s">
        <v>405</v>
      </c>
      <c r="D558" s="1">
        <v>46031</v>
      </c>
      <c r="E558" t="s">
        <v>406</v>
      </c>
      <c r="F558">
        <v>9</v>
      </c>
      <c r="G558">
        <v>174</v>
      </c>
      <c r="H558" t="str">
        <f>VLOOKUP(G558,[1]OPERADORES!$A:$B,2,0)</f>
        <v>MIRIÃ LOBATO RODRIGUES</v>
      </c>
      <c r="I558" t="s">
        <v>21</v>
      </c>
      <c r="J558" t="s">
        <v>397</v>
      </c>
      <c r="K558" t="s">
        <v>398</v>
      </c>
      <c r="L558">
        <v>21037</v>
      </c>
      <c r="M558" t="s">
        <v>108</v>
      </c>
      <c r="O558" t="s">
        <v>11</v>
      </c>
      <c r="P558">
        <v>5102</v>
      </c>
      <c r="Q558">
        <v>1</v>
      </c>
      <c r="R558">
        <v>17.03</v>
      </c>
      <c r="S558">
        <v>17.03</v>
      </c>
      <c r="T558">
        <v>12.92</v>
      </c>
      <c r="U558">
        <v>24.13</v>
      </c>
      <c r="V558" t="str">
        <f>VLOOKUP(L558,'[2]tabela de preços'!$A:$D,4,0)</f>
        <v>SHERWIN WILLIAMS</v>
      </c>
      <c r="W558" t="str">
        <f>VLOOKUP(L558,'[2]tabela de preços'!$A:$F,6,0)</f>
        <v>CATALISADORES INDIVIDUAS</v>
      </c>
      <c r="X558" t="str">
        <f>VLOOKUP(L558,'[2]tabela de preços'!$A:$G,7,0)</f>
        <v>AUTOMOTIVO</v>
      </c>
    </row>
    <row r="559" spans="1:24" x14ac:dyDescent="0.3">
      <c r="A559" t="s">
        <v>393</v>
      </c>
      <c r="B559" t="s">
        <v>394</v>
      </c>
      <c r="C559" t="s">
        <v>405</v>
      </c>
      <c r="D559" s="1">
        <v>46031</v>
      </c>
      <c r="E559" t="s">
        <v>406</v>
      </c>
      <c r="F559">
        <v>9</v>
      </c>
      <c r="G559">
        <v>174</v>
      </c>
      <c r="H559" t="str">
        <f>VLOOKUP(G559,[1]OPERADORES!$A:$B,2,0)</f>
        <v>MIRIÃ LOBATO RODRIGUES</v>
      </c>
      <c r="I559" t="s">
        <v>21</v>
      </c>
      <c r="J559" t="s">
        <v>397</v>
      </c>
      <c r="K559" t="s">
        <v>398</v>
      </c>
      <c r="L559">
        <v>21036</v>
      </c>
      <c r="M559" t="s">
        <v>399</v>
      </c>
      <c r="O559" t="s">
        <v>11</v>
      </c>
      <c r="P559">
        <v>5403</v>
      </c>
      <c r="Q559">
        <v>1</v>
      </c>
      <c r="R559">
        <v>34.33</v>
      </c>
      <c r="S559">
        <v>34.33</v>
      </c>
      <c r="T559">
        <v>26.06</v>
      </c>
      <c r="U559">
        <v>24.09</v>
      </c>
      <c r="V559" t="str">
        <f>VLOOKUP(L559,'[2]tabela de preços'!$A:$D,4,0)</f>
        <v>SHERWIN WILLIAMS</v>
      </c>
      <c r="W559" t="str">
        <f>VLOOKUP(L559,'[2]tabela de preços'!$A:$F,6,0)</f>
        <v>TINTAS PU</v>
      </c>
      <c r="X559" t="str">
        <f>VLOOKUP(L559,'[2]tabela de preços'!$A:$G,7,0)</f>
        <v>AUTOMOTIVO</v>
      </c>
    </row>
    <row r="560" spans="1:24" x14ac:dyDescent="0.3">
      <c r="A560" t="s">
        <v>393</v>
      </c>
      <c r="B560" t="s">
        <v>394</v>
      </c>
      <c r="C560" t="s">
        <v>405</v>
      </c>
      <c r="D560" s="1">
        <v>46031</v>
      </c>
      <c r="E560" t="s">
        <v>406</v>
      </c>
      <c r="F560">
        <v>9</v>
      </c>
      <c r="G560">
        <v>174</v>
      </c>
      <c r="H560" t="str">
        <f>VLOOKUP(G560,[1]OPERADORES!$A:$B,2,0)</f>
        <v>MIRIÃ LOBATO RODRIGUES</v>
      </c>
      <c r="I560" t="s">
        <v>21</v>
      </c>
      <c r="J560" t="s">
        <v>397</v>
      </c>
      <c r="K560" t="s">
        <v>398</v>
      </c>
      <c r="L560">
        <v>23100</v>
      </c>
      <c r="M560" t="s">
        <v>99</v>
      </c>
      <c r="O560" t="s">
        <v>11</v>
      </c>
      <c r="P560">
        <v>5102</v>
      </c>
      <c r="Q560">
        <v>15</v>
      </c>
      <c r="R560">
        <v>2.35</v>
      </c>
      <c r="S560">
        <v>35.25</v>
      </c>
      <c r="T560">
        <v>25.35</v>
      </c>
      <c r="U560">
        <v>28.09</v>
      </c>
      <c r="V560" t="str">
        <f>VLOOKUP(L560,'[2]tabela de preços'!$A:$D,4,0)</f>
        <v>3M</v>
      </c>
      <c r="W560" t="str">
        <f>VLOOKUP(L560,'[2]tabela de preços'!$A:$F,6,0)</f>
        <v xml:space="preserve">DISCOS / LIXAS / ABRASIVOS </v>
      </c>
      <c r="X560" t="str">
        <f>VLOOKUP(L560,'[2]tabela de preços'!$A:$G,7,0)</f>
        <v>AUTOMOTIVO</v>
      </c>
    </row>
    <row r="561" spans="1:24" x14ac:dyDescent="0.3">
      <c r="A561" t="s">
        <v>393</v>
      </c>
      <c r="B561" t="s">
        <v>394</v>
      </c>
      <c r="C561" t="s">
        <v>405</v>
      </c>
      <c r="D561" s="1">
        <v>46031</v>
      </c>
      <c r="E561" t="s">
        <v>406</v>
      </c>
      <c r="F561">
        <v>9</v>
      </c>
      <c r="G561">
        <v>174</v>
      </c>
      <c r="H561" t="str">
        <f>VLOOKUP(G561,[1]OPERADORES!$A:$B,2,0)</f>
        <v>MIRIÃ LOBATO RODRIGUES</v>
      </c>
      <c r="I561" t="s">
        <v>21</v>
      </c>
      <c r="J561" t="s">
        <v>397</v>
      </c>
      <c r="K561" t="s">
        <v>398</v>
      </c>
      <c r="L561">
        <v>23101</v>
      </c>
      <c r="M561" t="s">
        <v>410</v>
      </c>
      <c r="O561" t="s">
        <v>411</v>
      </c>
      <c r="P561">
        <v>5102</v>
      </c>
      <c r="Q561">
        <v>15</v>
      </c>
      <c r="R561">
        <v>2.35</v>
      </c>
      <c r="S561">
        <v>35.25</v>
      </c>
      <c r="T561">
        <v>25.35</v>
      </c>
      <c r="U561">
        <v>28.09</v>
      </c>
      <c r="V561" t="str">
        <f>VLOOKUP(L561,'[2]tabela de preços'!$A:$D,4,0)</f>
        <v>3M</v>
      </c>
      <c r="W561" t="str">
        <f>VLOOKUP(L561,'[2]tabela de preços'!$A:$F,6,0)</f>
        <v xml:space="preserve">DISCOS / LIXAS / ABRASIVOS </v>
      </c>
      <c r="X561" t="str">
        <f>VLOOKUP(L561,'[2]tabela de preços'!$A:$G,7,0)</f>
        <v>AUTOMOTIVO</v>
      </c>
    </row>
    <row r="562" spans="1:24" x14ac:dyDescent="0.3">
      <c r="A562" t="s">
        <v>393</v>
      </c>
      <c r="B562" t="s">
        <v>394</v>
      </c>
      <c r="C562" t="s">
        <v>405</v>
      </c>
      <c r="D562" s="1">
        <v>46031</v>
      </c>
      <c r="E562" t="s">
        <v>406</v>
      </c>
      <c r="F562">
        <v>9</v>
      </c>
      <c r="G562">
        <v>174</v>
      </c>
      <c r="H562" t="str">
        <f>VLOOKUP(G562,[1]OPERADORES!$A:$B,2,0)</f>
        <v>MIRIÃ LOBATO RODRIGUES</v>
      </c>
      <c r="I562" t="s">
        <v>21</v>
      </c>
      <c r="J562" t="s">
        <v>397</v>
      </c>
      <c r="K562" t="s">
        <v>398</v>
      </c>
      <c r="L562">
        <v>23097</v>
      </c>
      <c r="M562" t="s">
        <v>412</v>
      </c>
      <c r="O562" t="s">
        <v>411</v>
      </c>
      <c r="P562">
        <v>5102</v>
      </c>
      <c r="Q562">
        <v>15</v>
      </c>
      <c r="R562">
        <v>2.35</v>
      </c>
      <c r="S562">
        <v>35.25</v>
      </c>
      <c r="T562">
        <v>20.399999999999999</v>
      </c>
      <c r="U562">
        <v>42.13</v>
      </c>
      <c r="V562" t="str">
        <f>VLOOKUP(L562,'[2]tabela de preços'!$A:$D,4,0)</f>
        <v>3M</v>
      </c>
      <c r="W562" t="str">
        <f>VLOOKUP(L562,'[2]tabela de preços'!$A:$F,6,0)</f>
        <v xml:space="preserve">DISCOS / LIXAS / ABRASIVOS </v>
      </c>
      <c r="X562" t="str">
        <f>VLOOKUP(L562,'[2]tabela de preços'!$A:$G,7,0)</f>
        <v>AUTOMOTIVO</v>
      </c>
    </row>
    <row r="563" spans="1:24" x14ac:dyDescent="0.3">
      <c r="A563" t="s">
        <v>393</v>
      </c>
      <c r="B563" t="s">
        <v>394</v>
      </c>
      <c r="C563" t="s">
        <v>405</v>
      </c>
      <c r="D563" s="1">
        <v>46031</v>
      </c>
      <c r="E563" t="s">
        <v>406</v>
      </c>
      <c r="F563">
        <v>9</v>
      </c>
      <c r="G563">
        <v>174</v>
      </c>
      <c r="H563" t="str">
        <f>VLOOKUP(G563,[1]OPERADORES!$A:$B,2,0)</f>
        <v>MIRIÃ LOBATO RODRIGUES</v>
      </c>
      <c r="I563" t="s">
        <v>21</v>
      </c>
      <c r="J563" t="s">
        <v>397</v>
      </c>
      <c r="K563" t="s">
        <v>398</v>
      </c>
      <c r="L563">
        <v>23102</v>
      </c>
      <c r="M563" t="s">
        <v>413</v>
      </c>
      <c r="O563" t="s">
        <v>11</v>
      </c>
      <c r="P563">
        <v>5102</v>
      </c>
      <c r="Q563">
        <v>15</v>
      </c>
      <c r="R563">
        <v>2.35</v>
      </c>
      <c r="S563">
        <v>35.25</v>
      </c>
      <c r="T563">
        <v>19.350000000000001</v>
      </c>
      <c r="U563">
        <v>45.11</v>
      </c>
      <c r="V563" t="str">
        <f>VLOOKUP(L563,'[2]tabela de preços'!$A:$D,4,0)</f>
        <v>3M</v>
      </c>
      <c r="W563" t="str">
        <f>VLOOKUP(L563,'[2]tabela de preços'!$A:$F,6,0)</f>
        <v xml:space="preserve">DISCOS / LIXAS / ABRASIVOS </v>
      </c>
      <c r="X563" t="str">
        <f>VLOOKUP(L563,'[2]tabela de preços'!$A:$G,7,0)</f>
        <v>AUTOMOTIVO</v>
      </c>
    </row>
    <row r="564" spans="1:24" x14ac:dyDescent="0.3">
      <c r="A564" t="s">
        <v>393</v>
      </c>
      <c r="B564" t="s">
        <v>394</v>
      </c>
      <c r="C564" t="s">
        <v>405</v>
      </c>
      <c r="D564" s="1">
        <v>46031</v>
      </c>
      <c r="E564" t="s">
        <v>406</v>
      </c>
      <c r="F564">
        <v>9</v>
      </c>
      <c r="G564">
        <v>174</v>
      </c>
      <c r="H564" t="str">
        <f>VLOOKUP(G564,[1]OPERADORES!$A:$B,2,0)</f>
        <v>MIRIÃ LOBATO RODRIGUES</v>
      </c>
      <c r="I564" t="s">
        <v>21</v>
      </c>
      <c r="J564" t="s">
        <v>397</v>
      </c>
      <c r="K564" t="s">
        <v>398</v>
      </c>
      <c r="L564">
        <v>23103</v>
      </c>
      <c r="M564" t="s">
        <v>414</v>
      </c>
      <c r="O564" t="s">
        <v>11</v>
      </c>
      <c r="P564">
        <v>5102</v>
      </c>
      <c r="Q564">
        <v>15</v>
      </c>
      <c r="R564">
        <v>2.35</v>
      </c>
      <c r="S564">
        <v>35.25</v>
      </c>
      <c r="T564">
        <v>25.35</v>
      </c>
      <c r="U564">
        <v>28.09</v>
      </c>
      <c r="V564" t="str">
        <f>VLOOKUP(L564,'[2]tabela de preços'!$A:$D,4,0)</f>
        <v>3M</v>
      </c>
      <c r="W564" t="str">
        <f>VLOOKUP(L564,'[2]tabela de preços'!$A:$F,6,0)</f>
        <v xml:space="preserve">DISCOS / LIXAS / ABRASIVOS </v>
      </c>
      <c r="X564" t="str">
        <f>VLOOKUP(L564,'[2]tabela de preços'!$A:$G,7,0)</f>
        <v>AUTOMOTIVO</v>
      </c>
    </row>
    <row r="565" spans="1:24" x14ac:dyDescent="0.3">
      <c r="A565" t="s">
        <v>393</v>
      </c>
      <c r="B565" t="s">
        <v>394</v>
      </c>
      <c r="C565" t="s">
        <v>405</v>
      </c>
      <c r="D565" s="1">
        <v>46031</v>
      </c>
      <c r="E565" t="s">
        <v>406</v>
      </c>
      <c r="F565">
        <v>9</v>
      </c>
      <c r="G565">
        <v>174</v>
      </c>
      <c r="H565" t="str">
        <f>VLOOKUP(G565,[1]OPERADORES!$A:$B,2,0)</f>
        <v>MIRIÃ LOBATO RODRIGUES</v>
      </c>
      <c r="I565" t="s">
        <v>21</v>
      </c>
      <c r="J565" t="s">
        <v>397</v>
      </c>
      <c r="K565" t="s">
        <v>398</v>
      </c>
      <c r="L565">
        <v>87043</v>
      </c>
      <c r="M565" t="s">
        <v>217</v>
      </c>
      <c r="O565" t="s">
        <v>11</v>
      </c>
      <c r="P565">
        <v>5102</v>
      </c>
      <c r="Q565">
        <v>8</v>
      </c>
      <c r="R565">
        <v>22.89</v>
      </c>
      <c r="S565">
        <v>183.12</v>
      </c>
      <c r="T565">
        <v>144.16</v>
      </c>
      <c r="U565">
        <v>21.28</v>
      </c>
      <c r="V565" t="str">
        <f>VLOOKUP(L565,'[2]tabela de preços'!$A:$D,4,0)</f>
        <v>ROBERLO</v>
      </c>
      <c r="W565" t="str">
        <f>VLOOKUP(L565,'[2]tabela de preços'!$A:$F,6,0)</f>
        <v>MASSA POLIÉSTER</v>
      </c>
      <c r="X565" t="str">
        <f>VLOOKUP(L565,'[2]tabela de preços'!$A:$G,7,0)</f>
        <v>AUTOMOTIVO</v>
      </c>
    </row>
    <row r="566" spans="1:24" x14ac:dyDescent="0.3">
      <c r="A566" t="s">
        <v>393</v>
      </c>
      <c r="B566" t="s">
        <v>394</v>
      </c>
      <c r="C566" t="s">
        <v>405</v>
      </c>
      <c r="D566" s="1">
        <v>46031</v>
      </c>
      <c r="E566" t="s">
        <v>406</v>
      </c>
      <c r="F566">
        <v>9</v>
      </c>
      <c r="G566">
        <v>174</v>
      </c>
      <c r="H566" t="str">
        <f>VLOOKUP(G566,[1]OPERADORES!$A:$B,2,0)</f>
        <v>MIRIÃ LOBATO RODRIGUES</v>
      </c>
      <c r="I566" t="s">
        <v>21</v>
      </c>
      <c r="J566" t="s">
        <v>397</v>
      </c>
      <c r="K566" t="s">
        <v>398</v>
      </c>
      <c r="L566">
        <v>24247</v>
      </c>
      <c r="M566" t="s">
        <v>111</v>
      </c>
      <c r="O566" t="s">
        <v>11</v>
      </c>
      <c r="P566">
        <v>5403</v>
      </c>
      <c r="Q566">
        <v>12</v>
      </c>
      <c r="R566">
        <v>19.899999999999999</v>
      </c>
      <c r="S566">
        <v>238.8</v>
      </c>
      <c r="T566">
        <v>199.2</v>
      </c>
      <c r="U566">
        <v>16.579999999999998</v>
      </c>
      <c r="V566" t="str">
        <f>VLOOKUP(L566,'[2]tabela de preços'!$A:$D,4,0)</f>
        <v>SHERWIN WILLIAMS</v>
      </c>
      <c r="W566" t="str">
        <f>VLOOKUP(L566,'[2]tabela de preços'!$A:$F,6,0)</f>
        <v>PRIMER AUTOMOTIVO</v>
      </c>
      <c r="X566" t="str">
        <f>VLOOKUP(L566,'[2]tabela de preços'!$A:$G,7,0)</f>
        <v>AUTOMOTIVO</v>
      </c>
    </row>
    <row r="567" spans="1:24" x14ac:dyDescent="0.3">
      <c r="A567" t="s">
        <v>426</v>
      </c>
      <c r="B567" t="s">
        <v>427</v>
      </c>
      <c r="C567" t="s">
        <v>428</v>
      </c>
      <c r="D567" s="1">
        <v>46031</v>
      </c>
      <c r="E567" t="s">
        <v>429</v>
      </c>
      <c r="F567">
        <v>9</v>
      </c>
      <c r="G567">
        <v>236</v>
      </c>
      <c r="H567" t="str">
        <f>VLOOKUP(G567,[1]OPERADORES!$A:$B,2,0)</f>
        <v>DANIEL</v>
      </c>
      <c r="I567" t="s">
        <v>21</v>
      </c>
      <c r="J567" t="s">
        <v>430</v>
      </c>
      <c r="K567" t="s">
        <v>431</v>
      </c>
      <c r="L567">
        <v>84558</v>
      </c>
      <c r="M567" t="s">
        <v>432</v>
      </c>
      <c r="O567" t="s">
        <v>11</v>
      </c>
      <c r="P567">
        <v>5102</v>
      </c>
      <c r="Q567">
        <v>1</v>
      </c>
      <c r="R567">
        <v>7.57</v>
      </c>
      <c r="S567">
        <v>7.57</v>
      </c>
      <c r="T567">
        <v>4.74</v>
      </c>
      <c r="U567">
        <v>37.380000000000003</v>
      </c>
      <c r="V567" t="str">
        <f>VLOOKUP(L567,'[2]tabela de preços'!$A:$D,4,0)</f>
        <v>3M</v>
      </c>
      <c r="W567" t="str">
        <f>VLOOKUP(L567,'[2]tabela de preços'!$A:$F,6,0)</f>
        <v>FITA ISOLANTE</v>
      </c>
      <c r="X567" t="str">
        <f>VLOOKUP(L567,'[2]tabela de preços'!$A:$G,7,0)</f>
        <v>IMOBILIÁRIO</v>
      </c>
    </row>
    <row r="568" spans="1:24" x14ac:dyDescent="0.3">
      <c r="A568" t="s">
        <v>626</v>
      </c>
      <c r="B568" t="s">
        <v>627</v>
      </c>
      <c r="C568" t="s">
        <v>646</v>
      </c>
      <c r="D568" s="1">
        <v>46031</v>
      </c>
      <c r="E568" t="s">
        <v>647</v>
      </c>
      <c r="F568">
        <v>9</v>
      </c>
      <c r="G568">
        <v>174</v>
      </c>
      <c r="H568" t="str">
        <f>VLOOKUP(G568,[1]OPERADORES!$A:$B,2,0)</f>
        <v>MIRIÃ LOBATO RODRIGUES</v>
      </c>
      <c r="I568" t="s">
        <v>21</v>
      </c>
      <c r="J568" t="s">
        <v>630</v>
      </c>
      <c r="K568" t="s">
        <v>631</v>
      </c>
      <c r="L568">
        <v>20318</v>
      </c>
      <c r="M568" t="s">
        <v>136</v>
      </c>
      <c r="O568" t="s">
        <v>11</v>
      </c>
      <c r="P568">
        <v>5403</v>
      </c>
      <c r="Q568">
        <v>4</v>
      </c>
      <c r="R568">
        <v>33.4</v>
      </c>
      <c r="S568">
        <v>133.6</v>
      </c>
      <c r="T568">
        <v>95.24</v>
      </c>
      <c r="U568">
        <v>28.71</v>
      </c>
      <c r="V568" t="str">
        <f>VLOOKUP(L568,'[2]tabela de preços'!$A:$D,4,0)</f>
        <v>SHERWIN WILLIAMS</v>
      </c>
      <c r="W568" t="str">
        <f>VLOOKUP(L568,'[2]tabela de preços'!$A:$F,6,0)</f>
        <v>TINTAS POLIÉSTER</v>
      </c>
      <c r="X568" t="str">
        <f>VLOOKUP(L568,'[2]tabela de preços'!$A:$G,7,0)</f>
        <v>AUTOMOTIVO</v>
      </c>
    </row>
    <row r="569" spans="1:24" x14ac:dyDescent="0.3">
      <c r="A569" t="s">
        <v>626</v>
      </c>
      <c r="B569" t="s">
        <v>627</v>
      </c>
      <c r="C569" t="s">
        <v>646</v>
      </c>
      <c r="D569" s="1">
        <v>46031</v>
      </c>
      <c r="E569" t="s">
        <v>647</v>
      </c>
      <c r="F569">
        <v>9</v>
      </c>
      <c r="G569">
        <v>174</v>
      </c>
      <c r="H569" t="str">
        <f>VLOOKUP(G569,[1]OPERADORES!$A:$B,2,0)</f>
        <v>MIRIÃ LOBATO RODRIGUES</v>
      </c>
      <c r="I569" t="s">
        <v>21</v>
      </c>
      <c r="J569" t="s">
        <v>630</v>
      </c>
      <c r="K569" t="s">
        <v>631</v>
      </c>
      <c r="L569">
        <v>20375</v>
      </c>
      <c r="M569" t="s">
        <v>148</v>
      </c>
      <c r="O569" t="s">
        <v>11</v>
      </c>
      <c r="P569">
        <v>5403</v>
      </c>
      <c r="Q569">
        <v>2</v>
      </c>
      <c r="R569">
        <v>35.49</v>
      </c>
      <c r="S569">
        <v>70.98</v>
      </c>
      <c r="T569">
        <v>50.6</v>
      </c>
      <c r="U569">
        <v>28.71</v>
      </c>
      <c r="V569" t="str">
        <f>VLOOKUP(L569,'[2]tabela de preços'!$A:$D,4,0)</f>
        <v>SHERWIN WILLIAMS</v>
      </c>
      <c r="W569" t="str">
        <f>VLOOKUP(L569,'[2]tabela de preços'!$A:$F,6,0)</f>
        <v>TINTAS POLIÉSTER</v>
      </c>
      <c r="X569" t="str">
        <f>VLOOKUP(L569,'[2]tabela de preços'!$A:$G,7,0)</f>
        <v>AUTOMOTIVO</v>
      </c>
    </row>
    <row r="570" spans="1:24" x14ac:dyDescent="0.3">
      <c r="A570" t="s">
        <v>626</v>
      </c>
      <c r="B570" t="s">
        <v>627</v>
      </c>
      <c r="C570" t="s">
        <v>646</v>
      </c>
      <c r="D570" s="1">
        <v>46031</v>
      </c>
      <c r="E570" t="s">
        <v>647</v>
      </c>
      <c r="F570">
        <v>9</v>
      </c>
      <c r="G570">
        <v>174</v>
      </c>
      <c r="H570" t="str">
        <f>VLOOKUP(G570,[1]OPERADORES!$A:$B,2,0)</f>
        <v>MIRIÃ LOBATO RODRIGUES</v>
      </c>
      <c r="I570" t="s">
        <v>21</v>
      </c>
      <c r="J570" t="s">
        <v>630</v>
      </c>
      <c r="K570" t="s">
        <v>631</v>
      </c>
      <c r="L570">
        <v>20325</v>
      </c>
      <c r="M570" t="s">
        <v>150</v>
      </c>
      <c r="O570" t="s">
        <v>11</v>
      </c>
      <c r="P570">
        <v>5403</v>
      </c>
      <c r="Q570">
        <v>2</v>
      </c>
      <c r="R570">
        <v>32.299999999999997</v>
      </c>
      <c r="S570">
        <v>64.599999999999994</v>
      </c>
      <c r="T570">
        <v>46.06</v>
      </c>
      <c r="U570">
        <v>28.7</v>
      </c>
      <c r="V570" t="str">
        <f>VLOOKUP(L570,'[2]tabela de preços'!$A:$D,4,0)</f>
        <v>SHERWIN WILLIAMS</v>
      </c>
      <c r="W570" t="str">
        <f>VLOOKUP(L570,'[2]tabela de preços'!$A:$F,6,0)</f>
        <v>TINTAS POLIÉSTER</v>
      </c>
      <c r="X570" t="str">
        <f>VLOOKUP(L570,'[2]tabela de preços'!$A:$G,7,0)</f>
        <v>AUTOMOTIVO</v>
      </c>
    </row>
    <row r="571" spans="1:24" x14ac:dyDescent="0.3">
      <c r="A571" t="s">
        <v>626</v>
      </c>
      <c r="B571" t="s">
        <v>627</v>
      </c>
      <c r="C571" t="s">
        <v>646</v>
      </c>
      <c r="D571" s="1">
        <v>46031</v>
      </c>
      <c r="E571" t="s">
        <v>647</v>
      </c>
      <c r="F571">
        <v>9</v>
      </c>
      <c r="G571">
        <v>174</v>
      </c>
      <c r="H571" t="str">
        <f>VLOOKUP(G571,[1]OPERADORES!$A:$B,2,0)</f>
        <v>MIRIÃ LOBATO RODRIGUES</v>
      </c>
      <c r="I571" t="s">
        <v>21</v>
      </c>
      <c r="J571" t="s">
        <v>630</v>
      </c>
      <c r="K571" t="s">
        <v>631</v>
      </c>
      <c r="L571">
        <v>20846</v>
      </c>
      <c r="M571" t="s">
        <v>163</v>
      </c>
      <c r="O571" t="s">
        <v>11</v>
      </c>
      <c r="P571">
        <v>5102</v>
      </c>
      <c r="Q571">
        <v>2</v>
      </c>
      <c r="R571">
        <v>32.44</v>
      </c>
      <c r="S571">
        <v>64.88</v>
      </c>
      <c r="T571">
        <v>49.24</v>
      </c>
      <c r="U571">
        <v>24.11</v>
      </c>
      <c r="V571" t="str">
        <f>VLOOKUP(L571,'[2]tabela de preços'!$A:$D,4,0)</f>
        <v>SHERWIN WILLIAMS</v>
      </c>
      <c r="W571" t="str">
        <f>VLOOKUP(L571,'[2]tabela de preços'!$A:$F,6,0)</f>
        <v>TINTAS POLIÉSTER</v>
      </c>
      <c r="X571" t="str">
        <f>VLOOKUP(L571,'[2]tabela de preços'!$A:$G,7,0)</f>
        <v>AUTOMOTIVO</v>
      </c>
    </row>
    <row r="572" spans="1:24" x14ac:dyDescent="0.3">
      <c r="A572" t="s">
        <v>626</v>
      </c>
      <c r="B572" t="s">
        <v>627</v>
      </c>
      <c r="C572" t="s">
        <v>646</v>
      </c>
      <c r="D572" s="1">
        <v>46031</v>
      </c>
      <c r="E572" t="s">
        <v>647</v>
      </c>
      <c r="F572">
        <v>9</v>
      </c>
      <c r="G572">
        <v>174</v>
      </c>
      <c r="H572" t="str">
        <f>VLOOKUP(G572,[1]OPERADORES!$A:$B,2,0)</f>
        <v>MIRIÃ LOBATO RODRIGUES</v>
      </c>
      <c r="I572" t="s">
        <v>21</v>
      </c>
      <c r="J572" t="s">
        <v>630</v>
      </c>
      <c r="K572" t="s">
        <v>631</v>
      </c>
      <c r="L572">
        <v>20384</v>
      </c>
      <c r="M572" t="s">
        <v>648</v>
      </c>
      <c r="O572" t="s">
        <v>11</v>
      </c>
      <c r="P572">
        <v>5403</v>
      </c>
      <c r="Q572">
        <v>2</v>
      </c>
      <c r="R572">
        <v>32.159999999999997</v>
      </c>
      <c r="S572">
        <v>64.319999999999993</v>
      </c>
      <c r="T572">
        <v>45.86</v>
      </c>
      <c r="U572">
        <v>28.7</v>
      </c>
      <c r="V572" t="str">
        <f>VLOOKUP(L572,'[2]tabela de preços'!$A:$D,4,0)</f>
        <v>SHERWIN WILLIAMS</v>
      </c>
      <c r="W572" t="str">
        <f>VLOOKUP(L572,'[2]tabela de preços'!$A:$F,6,0)</f>
        <v>TINTAS PU</v>
      </c>
      <c r="X572" t="str">
        <f>VLOOKUP(L572,'[2]tabela de preços'!$A:$G,7,0)</f>
        <v>AUTOMOTIVO</v>
      </c>
    </row>
    <row r="573" spans="1:24" x14ac:dyDescent="0.3">
      <c r="A573" t="s">
        <v>626</v>
      </c>
      <c r="B573" t="s">
        <v>627</v>
      </c>
      <c r="C573" t="s">
        <v>649</v>
      </c>
      <c r="D573" s="1">
        <v>46031</v>
      </c>
      <c r="E573" t="s">
        <v>650</v>
      </c>
      <c r="F573">
        <v>9</v>
      </c>
      <c r="G573">
        <v>174</v>
      </c>
      <c r="H573" t="str">
        <f>VLOOKUP(G573,[1]OPERADORES!$A:$B,2,0)</f>
        <v>MIRIÃ LOBATO RODRIGUES</v>
      </c>
      <c r="I573" t="s">
        <v>21</v>
      </c>
      <c r="J573" t="s">
        <v>630</v>
      </c>
      <c r="K573" t="s">
        <v>631</v>
      </c>
      <c r="L573">
        <v>20245</v>
      </c>
      <c r="M573" t="s">
        <v>146</v>
      </c>
      <c r="O573" t="s">
        <v>11</v>
      </c>
      <c r="P573">
        <v>5102</v>
      </c>
      <c r="Q573">
        <v>12</v>
      </c>
      <c r="R573">
        <v>1.88</v>
      </c>
      <c r="S573">
        <v>22.56</v>
      </c>
      <c r="T573">
        <v>16.2</v>
      </c>
      <c r="U573">
        <v>28.19</v>
      </c>
      <c r="V573" t="str">
        <f>VLOOKUP(L573,'[2]tabela de preços'!$A:$D,4,0)</f>
        <v>ATLAS</v>
      </c>
      <c r="W573" t="str">
        <f>VLOOKUP(L573,'[2]tabela de preços'!$A:$F,6,0)</f>
        <v>APLICADORES / ADAPTADORES / ENGATES / SUPORTES</v>
      </c>
      <c r="X573" t="str">
        <f>VLOOKUP(L573,'[2]tabela de preços'!$A:$G,7,0)</f>
        <v>AUTOMOTIVO</v>
      </c>
    </row>
    <row r="574" spans="1:24" x14ac:dyDescent="0.3">
      <c r="A574" t="s">
        <v>626</v>
      </c>
      <c r="B574" t="s">
        <v>627</v>
      </c>
      <c r="C574" t="s">
        <v>649</v>
      </c>
      <c r="D574" s="1">
        <v>46031</v>
      </c>
      <c r="E574" t="s">
        <v>650</v>
      </c>
      <c r="F574">
        <v>9</v>
      </c>
      <c r="G574">
        <v>174</v>
      </c>
      <c r="H574" t="str">
        <f>VLOOKUP(G574,[1]OPERADORES!$A:$B,2,0)</f>
        <v>MIRIÃ LOBATO RODRIGUES</v>
      </c>
      <c r="I574" t="s">
        <v>21</v>
      </c>
      <c r="J574" t="s">
        <v>630</v>
      </c>
      <c r="K574" t="s">
        <v>631</v>
      </c>
      <c r="L574">
        <v>20383</v>
      </c>
      <c r="M574" t="s">
        <v>129</v>
      </c>
      <c r="O574" t="s">
        <v>11</v>
      </c>
      <c r="P574">
        <v>5403</v>
      </c>
      <c r="Q574">
        <v>1</v>
      </c>
      <c r="R574">
        <v>33.590000000000003</v>
      </c>
      <c r="S574">
        <v>33.590000000000003</v>
      </c>
      <c r="T574">
        <v>23.95</v>
      </c>
      <c r="U574">
        <v>28.7</v>
      </c>
      <c r="V574" t="str">
        <f>VLOOKUP(L574,'[2]tabela de preços'!$A:$D,4,0)</f>
        <v>SHERWIN WILLIAMS</v>
      </c>
      <c r="W574" t="str">
        <f>VLOOKUP(L574,'[2]tabela de preços'!$A:$F,6,0)</f>
        <v>TINTAS POLIÉSTER</v>
      </c>
      <c r="X574" t="str">
        <f>VLOOKUP(L574,'[2]tabela de preços'!$A:$G,7,0)</f>
        <v>AUTOMOTIVO</v>
      </c>
    </row>
    <row r="575" spans="1:24" x14ac:dyDescent="0.3">
      <c r="A575" t="s">
        <v>626</v>
      </c>
      <c r="B575" t="s">
        <v>627</v>
      </c>
      <c r="C575" t="s">
        <v>649</v>
      </c>
      <c r="D575" s="1">
        <v>46031</v>
      </c>
      <c r="E575" t="s">
        <v>650</v>
      </c>
      <c r="F575">
        <v>9</v>
      </c>
      <c r="G575">
        <v>174</v>
      </c>
      <c r="H575" t="str">
        <f>VLOOKUP(G575,[1]OPERADORES!$A:$B,2,0)</f>
        <v>MIRIÃ LOBATO RODRIGUES</v>
      </c>
      <c r="I575" t="s">
        <v>21</v>
      </c>
      <c r="J575" t="s">
        <v>630</v>
      </c>
      <c r="K575" t="s">
        <v>631</v>
      </c>
      <c r="L575">
        <v>21385</v>
      </c>
      <c r="M575" t="s">
        <v>651</v>
      </c>
      <c r="O575" t="s">
        <v>411</v>
      </c>
      <c r="P575">
        <v>5102</v>
      </c>
      <c r="Q575">
        <v>1</v>
      </c>
      <c r="R575">
        <v>53.94</v>
      </c>
      <c r="S575">
        <v>53.94</v>
      </c>
      <c r="T575">
        <v>40.94</v>
      </c>
      <c r="U575">
        <v>24.1</v>
      </c>
      <c r="V575" t="str">
        <f>VLOOKUP(L575,'[2]tabela de preços'!$A:$D,4,0)</f>
        <v>NORTON</v>
      </c>
      <c r="W575" t="str">
        <f>VLOOKUP(L575,'[2]tabela de preços'!$A:$F,6,0)</f>
        <v>APLICADORES / ADAPTADORES / ENGATES / SUPORTES</v>
      </c>
      <c r="X575" t="str">
        <f>VLOOKUP(L575,'[2]tabela de preços'!$A:$G,7,0)</f>
        <v>AUTOMOTIVO</v>
      </c>
    </row>
    <row r="576" spans="1:24" x14ac:dyDescent="0.3">
      <c r="A576" t="s">
        <v>626</v>
      </c>
      <c r="B576" t="s">
        <v>627</v>
      </c>
      <c r="C576" t="s">
        <v>652</v>
      </c>
      <c r="D576" s="1">
        <v>46031</v>
      </c>
      <c r="E576" t="s">
        <v>653</v>
      </c>
      <c r="F576">
        <v>9</v>
      </c>
      <c r="G576">
        <v>174</v>
      </c>
      <c r="H576" t="str">
        <f>VLOOKUP(G576,[1]OPERADORES!$A:$B,2,0)</f>
        <v>MIRIÃ LOBATO RODRIGUES</v>
      </c>
      <c r="I576" t="s">
        <v>21</v>
      </c>
      <c r="J576" t="s">
        <v>630</v>
      </c>
      <c r="K576" t="s">
        <v>631</v>
      </c>
      <c r="L576">
        <v>85693</v>
      </c>
      <c r="M576" t="s">
        <v>526</v>
      </c>
      <c r="O576" t="s">
        <v>11</v>
      </c>
      <c r="P576">
        <v>5102</v>
      </c>
      <c r="Q576">
        <v>24</v>
      </c>
      <c r="R576">
        <v>7.89</v>
      </c>
      <c r="S576">
        <v>189.36</v>
      </c>
      <c r="T576">
        <v>156.24</v>
      </c>
      <c r="U576">
        <v>17.489999999999998</v>
      </c>
      <c r="V576" t="str">
        <f>VLOOKUP(L576,'[2]tabela de preços'!$A:$D,4,0)</f>
        <v>UNIPEGA</v>
      </c>
      <c r="W576" t="str">
        <f>VLOOKUP(L576,'[2]tabela de preços'!$A:$F,6,0)</f>
        <v>PU 40</v>
      </c>
      <c r="X576" t="str">
        <f>VLOOKUP(L576,'[2]tabela de preços'!$A:$G,7,0)</f>
        <v>IMOBILIÁRIO</v>
      </c>
    </row>
    <row r="577" spans="1:24" x14ac:dyDescent="0.3">
      <c r="A577" t="s">
        <v>626</v>
      </c>
      <c r="B577" t="s">
        <v>627</v>
      </c>
      <c r="C577" t="s">
        <v>652</v>
      </c>
      <c r="D577" s="1">
        <v>46031</v>
      </c>
      <c r="E577" t="s">
        <v>653</v>
      </c>
      <c r="F577">
        <v>9</v>
      </c>
      <c r="G577">
        <v>174</v>
      </c>
      <c r="H577" t="str">
        <f>VLOOKUP(G577,[1]OPERADORES!$A:$B,2,0)</f>
        <v>MIRIÃ LOBATO RODRIGUES</v>
      </c>
      <c r="I577" t="s">
        <v>21</v>
      </c>
      <c r="J577" t="s">
        <v>630</v>
      </c>
      <c r="K577" t="s">
        <v>631</v>
      </c>
      <c r="L577">
        <v>23716</v>
      </c>
      <c r="M577" t="s">
        <v>220</v>
      </c>
      <c r="O577" t="s">
        <v>11</v>
      </c>
      <c r="P577">
        <v>5102</v>
      </c>
      <c r="Q577">
        <v>1</v>
      </c>
      <c r="R577">
        <v>40.71</v>
      </c>
      <c r="S577">
        <v>40.71</v>
      </c>
      <c r="T577">
        <v>30.9</v>
      </c>
      <c r="U577">
        <v>24.1</v>
      </c>
      <c r="V577" t="str">
        <f>VLOOKUP(L577,'[2]tabela de preços'!$A:$D,4,0)</f>
        <v>NEW PAD</v>
      </c>
      <c r="W577" t="str">
        <f>VLOOKUP(L577,'[2]tabela de preços'!$A:$F,6,0)</f>
        <v>BOINAS PARA POLIMENTO</v>
      </c>
      <c r="X577" t="str">
        <f>VLOOKUP(L577,'[2]tabela de preços'!$A:$G,7,0)</f>
        <v>AUTOMOTIVO</v>
      </c>
    </row>
    <row r="578" spans="1:24" x14ac:dyDescent="0.3">
      <c r="A578" t="s">
        <v>626</v>
      </c>
      <c r="B578" t="s">
        <v>627</v>
      </c>
      <c r="C578" t="s">
        <v>652</v>
      </c>
      <c r="D578" s="1">
        <v>46031</v>
      </c>
      <c r="E578" t="s">
        <v>653</v>
      </c>
      <c r="F578">
        <v>9</v>
      </c>
      <c r="G578">
        <v>174</v>
      </c>
      <c r="H578" t="str">
        <f>VLOOKUP(G578,[1]OPERADORES!$A:$B,2,0)</f>
        <v>MIRIÃ LOBATO RODRIGUES</v>
      </c>
      <c r="I578" t="s">
        <v>21</v>
      </c>
      <c r="J578" t="s">
        <v>630</v>
      </c>
      <c r="K578" t="s">
        <v>631</v>
      </c>
      <c r="L578">
        <v>23110</v>
      </c>
      <c r="M578" t="s">
        <v>409</v>
      </c>
      <c r="O578" t="s">
        <v>11</v>
      </c>
      <c r="P578">
        <v>5102</v>
      </c>
      <c r="Q578">
        <v>100</v>
      </c>
      <c r="R578">
        <v>2.35</v>
      </c>
      <c r="S578">
        <v>235</v>
      </c>
      <c r="T578">
        <v>185</v>
      </c>
      <c r="U578">
        <v>21.28</v>
      </c>
      <c r="V578" t="str">
        <f>VLOOKUP(L578,'[2]tabela de preços'!$A:$D,4,0)</f>
        <v>3M</v>
      </c>
      <c r="W578" t="str">
        <f>VLOOKUP(L578,'[2]tabela de preços'!$A:$F,6,0)</f>
        <v xml:space="preserve">DISCOS / LIXAS / ABRASIVOS </v>
      </c>
      <c r="X578" t="str">
        <f>VLOOKUP(L578,'[2]tabela de preços'!$A:$G,7,0)</f>
        <v>AUTOMOTIVO</v>
      </c>
    </row>
    <row r="579" spans="1:24" x14ac:dyDescent="0.3">
      <c r="A579" t="s">
        <v>626</v>
      </c>
      <c r="B579" t="s">
        <v>627</v>
      </c>
      <c r="C579" t="s">
        <v>652</v>
      </c>
      <c r="D579" s="1">
        <v>46031</v>
      </c>
      <c r="E579" t="s">
        <v>653</v>
      </c>
      <c r="F579">
        <v>9</v>
      </c>
      <c r="G579">
        <v>174</v>
      </c>
      <c r="H579" t="str">
        <f>VLOOKUP(G579,[1]OPERADORES!$A:$B,2,0)</f>
        <v>MIRIÃ LOBATO RODRIGUES</v>
      </c>
      <c r="I579" t="s">
        <v>21</v>
      </c>
      <c r="J579" t="s">
        <v>630</v>
      </c>
      <c r="K579" t="s">
        <v>631</v>
      </c>
      <c r="L579">
        <v>23105</v>
      </c>
      <c r="M579" t="s">
        <v>402</v>
      </c>
      <c r="O579" t="s">
        <v>11</v>
      </c>
      <c r="P579">
        <v>5102</v>
      </c>
      <c r="Q579">
        <v>100</v>
      </c>
      <c r="R579">
        <v>2.35</v>
      </c>
      <c r="S579">
        <v>235</v>
      </c>
      <c r="T579">
        <v>192</v>
      </c>
      <c r="U579">
        <v>18.3</v>
      </c>
      <c r="V579" t="str">
        <f>VLOOKUP(L579,'[2]tabela de preços'!$A:$D,4,0)</f>
        <v>3M</v>
      </c>
      <c r="W579" t="str">
        <f>VLOOKUP(L579,'[2]tabela de preços'!$A:$F,6,0)</f>
        <v xml:space="preserve">DISCOS / LIXAS / ABRASIVOS </v>
      </c>
      <c r="X579" t="str">
        <f>VLOOKUP(L579,'[2]tabela de preços'!$A:$G,7,0)</f>
        <v>AUTOMOTIVO</v>
      </c>
    </row>
    <row r="580" spans="1:24" x14ac:dyDescent="0.3">
      <c r="A580" t="s">
        <v>626</v>
      </c>
      <c r="B580" t="s">
        <v>627</v>
      </c>
      <c r="C580" t="s">
        <v>652</v>
      </c>
      <c r="D580" s="1">
        <v>46031</v>
      </c>
      <c r="E580" t="s">
        <v>653</v>
      </c>
      <c r="F580">
        <v>9</v>
      </c>
      <c r="G580">
        <v>174</v>
      </c>
      <c r="H580" t="str">
        <f>VLOOKUP(G580,[1]OPERADORES!$A:$B,2,0)</f>
        <v>MIRIÃ LOBATO RODRIGUES</v>
      </c>
      <c r="I580" t="s">
        <v>21</v>
      </c>
      <c r="J580" t="s">
        <v>630</v>
      </c>
      <c r="K580" t="s">
        <v>631</v>
      </c>
      <c r="L580">
        <v>23106</v>
      </c>
      <c r="M580" t="s">
        <v>403</v>
      </c>
      <c r="O580" t="s">
        <v>11</v>
      </c>
      <c r="P580">
        <v>5102</v>
      </c>
      <c r="Q580">
        <v>100</v>
      </c>
      <c r="R580">
        <v>2.35</v>
      </c>
      <c r="S580">
        <v>235</v>
      </c>
      <c r="T580">
        <v>192</v>
      </c>
      <c r="U580">
        <v>18.3</v>
      </c>
      <c r="V580" t="str">
        <f>VLOOKUP(L580,'[2]tabela de preços'!$A:$D,4,0)</f>
        <v>3M</v>
      </c>
      <c r="W580" t="str">
        <f>VLOOKUP(L580,'[2]tabela de preços'!$A:$F,6,0)</f>
        <v xml:space="preserve">DISCOS / LIXAS / ABRASIVOS </v>
      </c>
      <c r="X580" t="str">
        <f>VLOOKUP(L580,'[2]tabela de preços'!$A:$G,7,0)</f>
        <v>AUTOMOTIVO</v>
      </c>
    </row>
    <row r="581" spans="1:24" x14ac:dyDescent="0.3">
      <c r="A581" t="s">
        <v>626</v>
      </c>
      <c r="B581" t="s">
        <v>627</v>
      </c>
      <c r="C581" t="s">
        <v>652</v>
      </c>
      <c r="D581" s="1">
        <v>46031</v>
      </c>
      <c r="E581" t="s">
        <v>653</v>
      </c>
      <c r="F581">
        <v>9</v>
      </c>
      <c r="G581">
        <v>174</v>
      </c>
      <c r="H581" t="str">
        <f>VLOOKUP(G581,[1]OPERADORES!$A:$B,2,0)</f>
        <v>MIRIÃ LOBATO RODRIGUES</v>
      </c>
      <c r="I581" t="s">
        <v>21</v>
      </c>
      <c r="J581" t="s">
        <v>630</v>
      </c>
      <c r="K581" t="s">
        <v>631</v>
      </c>
      <c r="L581">
        <v>23107</v>
      </c>
      <c r="M581" t="s">
        <v>247</v>
      </c>
      <c r="O581" t="s">
        <v>11</v>
      </c>
      <c r="P581">
        <v>5102</v>
      </c>
      <c r="Q581">
        <v>100</v>
      </c>
      <c r="R581">
        <v>2.35</v>
      </c>
      <c r="S581">
        <v>235</v>
      </c>
      <c r="T581">
        <v>185</v>
      </c>
      <c r="U581">
        <v>21.28</v>
      </c>
      <c r="V581" t="str">
        <f>VLOOKUP(L581,'[2]tabela de preços'!$A:$D,4,0)</f>
        <v>3M</v>
      </c>
      <c r="W581" t="str">
        <f>VLOOKUP(L581,'[2]tabela de preços'!$A:$F,6,0)</f>
        <v xml:space="preserve">DISCOS / LIXAS / ABRASIVOS </v>
      </c>
      <c r="X581" t="str">
        <f>VLOOKUP(L581,'[2]tabela de preços'!$A:$G,7,0)</f>
        <v>AUTOMOTIVO</v>
      </c>
    </row>
    <row r="582" spans="1:24" x14ac:dyDescent="0.3">
      <c r="A582" t="s">
        <v>626</v>
      </c>
      <c r="B582" t="s">
        <v>627</v>
      </c>
      <c r="C582" t="s">
        <v>652</v>
      </c>
      <c r="D582" s="1">
        <v>46031</v>
      </c>
      <c r="E582" t="s">
        <v>653</v>
      </c>
      <c r="F582">
        <v>9</v>
      </c>
      <c r="G582">
        <v>174</v>
      </c>
      <c r="H582" t="str">
        <f>VLOOKUP(G582,[1]OPERADORES!$A:$B,2,0)</f>
        <v>MIRIÃ LOBATO RODRIGUES</v>
      </c>
      <c r="I582" t="s">
        <v>21</v>
      </c>
      <c r="J582" t="s">
        <v>630</v>
      </c>
      <c r="K582" t="s">
        <v>631</v>
      </c>
      <c r="L582">
        <v>23108</v>
      </c>
      <c r="M582" t="s">
        <v>248</v>
      </c>
      <c r="O582" t="s">
        <v>11</v>
      </c>
      <c r="P582">
        <v>5102</v>
      </c>
      <c r="Q582">
        <v>100</v>
      </c>
      <c r="R582">
        <v>2.35</v>
      </c>
      <c r="S582">
        <v>235</v>
      </c>
      <c r="T582">
        <v>185</v>
      </c>
      <c r="U582">
        <v>21.28</v>
      </c>
      <c r="V582" t="str">
        <f>VLOOKUP(L582,'[2]tabela de preços'!$A:$D,4,0)</f>
        <v>3M</v>
      </c>
      <c r="W582" t="str">
        <f>VLOOKUP(L582,'[2]tabela de preços'!$A:$F,6,0)</f>
        <v xml:space="preserve">DISCOS / LIXAS / ABRASIVOS </v>
      </c>
      <c r="X582" t="str">
        <f>VLOOKUP(L582,'[2]tabela de preços'!$A:$G,7,0)</f>
        <v>AUTOMOTIVO</v>
      </c>
    </row>
    <row r="583" spans="1:24" x14ac:dyDescent="0.3">
      <c r="A583" t="s">
        <v>626</v>
      </c>
      <c r="B583" t="s">
        <v>627</v>
      </c>
      <c r="C583" t="s">
        <v>652</v>
      </c>
      <c r="D583" s="1">
        <v>46031</v>
      </c>
      <c r="E583" t="s">
        <v>653</v>
      </c>
      <c r="F583">
        <v>9</v>
      </c>
      <c r="G583">
        <v>174</v>
      </c>
      <c r="H583" t="str">
        <f>VLOOKUP(G583,[1]OPERADORES!$A:$B,2,0)</f>
        <v>MIRIÃ LOBATO RODRIGUES</v>
      </c>
      <c r="I583" t="s">
        <v>21</v>
      </c>
      <c r="J583" t="s">
        <v>630</v>
      </c>
      <c r="K583" t="s">
        <v>631</v>
      </c>
      <c r="L583">
        <v>20433</v>
      </c>
      <c r="M583" t="s">
        <v>460</v>
      </c>
      <c r="O583" t="s">
        <v>11</v>
      </c>
      <c r="P583">
        <v>5102</v>
      </c>
      <c r="Q583">
        <v>12</v>
      </c>
      <c r="R583">
        <v>31.66</v>
      </c>
      <c r="S583">
        <v>379.92</v>
      </c>
      <c r="T583">
        <v>288.36</v>
      </c>
      <c r="U583">
        <v>24.1</v>
      </c>
      <c r="V583" t="str">
        <f>VLOOKUP(L583,'[2]tabela de preços'!$A:$D,4,0)</f>
        <v>SHERWIN WILLIAMS</v>
      </c>
      <c r="W583" t="str">
        <f>VLOOKUP(L583,'[2]tabela de preços'!$A:$F,6,0)</f>
        <v>VERNIZ AUTOMOTIVO</v>
      </c>
      <c r="X583" t="str">
        <f>VLOOKUP(L583,'[2]tabela de preços'!$A:$G,7,0)</f>
        <v>AUTOMOTIVO</v>
      </c>
    </row>
    <row r="584" spans="1:24" x14ac:dyDescent="0.3">
      <c r="A584" t="s">
        <v>626</v>
      </c>
      <c r="B584" t="s">
        <v>627</v>
      </c>
      <c r="C584" t="s">
        <v>652</v>
      </c>
      <c r="D584" s="1">
        <v>46031</v>
      </c>
      <c r="E584" t="s">
        <v>653</v>
      </c>
      <c r="F584">
        <v>9</v>
      </c>
      <c r="G584">
        <v>174</v>
      </c>
      <c r="H584" t="str">
        <f>VLOOKUP(G584,[1]OPERADORES!$A:$B,2,0)</f>
        <v>MIRIÃ LOBATO RODRIGUES</v>
      </c>
      <c r="I584" t="s">
        <v>21</v>
      </c>
      <c r="J584" t="s">
        <v>630</v>
      </c>
      <c r="K584" t="s">
        <v>631</v>
      </c>
      <c r="L584">
        <v>5</v>
      </c>
      <c r="M584" t="s">
        <v>147</v>
      </c>
      <c r="O584" t="s">
        <v>11</v>
      </c>
      <c r="P584">
        <v>5102</v>
      </c>
      <c r="Q584">
        <v>2</v>
      </c>
      <c r="R584">
        <v>4.8499999999999996</v>
      </c>
      <c r="S584">
        <v>9.6999999999999993</v>
      </c>
      <c r="T584">
        <v>7.82</v>
      </c>
      <c r="U584">
        <v>19.38</v>
      </c>
      <c r="V584" t="str">
        <f>VLOOKUP(L584,'[2]tabela de preços'!$A:$D,4,0)</f>
        <v>BRILHO ESTOPA</v>
      </c>
      <c r="W584" t="str">
        <f>VLOOKUP(L584,'[2]tabela de preços'!$A:$F,6,0)</f>
        <v>ESTOPAS</v>
      </c>
      <c r="X584" t="str">
        <f>VLOOKUP(L584,'[2]tabela de preços'!$A:$G,7,0)</f>
        <v>AUTOMOTIVO</v>
      </c>
    </row>
    <row r="585" spans="1:24" x14ac:dyDescent="0.3">
      <c r="A585" t="s">
        <v>626</v>
      </c>
      <c r="B585" t="s">
        <v>627</v>
      </c>
      <c r="C585" t="s">
        <v>652</v>
      </c>
      <c r="D585" s="1">
        <v>46031</v>
      </c>
      <c r="E585" t="s">
        <v>653</v>
      </c>
      <c r="F585">
        <v>9</v>
      </c>
      <c r="G585">
        <v>174</v>
      </c>
      <c r="H585" t="str">
        <f>VLOOKUP(G585,[1]OPERADORES!$A:$B,2,0)</f>
        <v>MIRIÃ LOBATO RODRIGUES</v>
      </c>
      <c r="I585" t="s">
        <v>21</v>
      </c>
      <c r="J585" t="s">
        <v>630</v>
      </c>
      <c r="K585" t="s">
        <v>631</v>
      </c>
      <c r="L585">
        <v>23602</v>
      </c>
      <c r="M585" t="s">
        <v>215</v>
      </c>
      <c r="O585" t="s">
        <v>11</v>
      </c>
      <c r="P585">
        <v>5403</v>
      </c>
      <c r="Q585">
        <v>18</v>
      </c>
      <c r="R585">
        <v>35.89</v>
      </c>
      <c r="S585">
        <v>646.02</v>
      </c>
      <c r="T585">
        <v>526.5</v>
      </c>
      <c r="U585">
        <v>18.5</v>
      </c>
      <c r="V585" t="str">
        <f>VLOOKUP(L585,'[2]tabela de preços'!$A:$D,4,0)</f>
        <v>SHERWIN WILLIAMS</v>
      </c>
      <c r="W585" t="str">
        <f>VLOOKUP(L585,'[2]tabela de preços'!$A:$F,6,0)</f>
        <v>VERNIZ AUTOMOTIVO</v>
      </c>
      <c r="X585" t="str">
        <f>VLOOKUP(L585,'[2]tabela de preços'!$A:$G,7,0)</f>
        <v>AUTOMOTIVO</v>
      </c>
    </row>
    <row r="586" spans="1:24" x14ac:dyDescent="0.3">
      <c r="A586" t="s">
        <v>626</v>
      </c>
      <c r="B586" t="s">
        <v>627</v>
      </c>
      <c r="C586" t="s">
        <v>652</v>
      </c>
      <c r="D586" s="1">
        <v>46031</v>
      </c>
      <c r="E586" t="s">
        <v>653</v>
      </c>
      <c r="F586">
        <v>9</v>
      </c>
      <c r="G586">
        <v>174</v>
      </c>
      <c r="H586" t="str">
        <f>VLOOKUP(G586,[1]OPERADORES!$A:$B,2,0)</f>
        <v>MIRIÃ LOBATO RODRIGUES</v>
      </c>
      <c r="I586" t="s">
        <v>21</v>
      </c>
      <c r="J586" t="s">
        <v>630</v>
      </c>
      <c r="K586" t="s">
        <v>631</v>
      </c>
      <c r="L586">
        <v>20375</v>
      </c>
      <c r="M586" t="s">
        <v>148</v>
      </c>
      <c r="O586" t="s">
        <v>11</v>
      </c>
      <c r="P586">
        <v>5403</v>
      </c>
      <c r="Q586">
        <v>2</v>
      </c>
      <c r="R586">
        <v>35.49</v>
      </c>
      <c r="S586">
        <v>70.98</v>
      </c>
      <c r="T586">
        <v>50.6</v>
      </c>
      <c r="U586">
        <v>28.71</v>
      </c>
      <c r="V586" t="str">
        <f>VLOOKUP(L586,'[2]tabela de preços'!$A:$D,4,0)</f>
        <v>SHERWIN WILLIAMS</v>
      </c>
      <c r="W586" t="str">
        <f>VLOOKUP(L586,'[2]tabela de preços'!$A:$F,6,0)</f>
        <v>TINTAS POLIÉSTER</v>
      </c>
      <c r="X586" t="str">
        <f>VLOOKUP(L586,'[2]tabela de preços'!$A:$G,7,0)</f>
        <v>AUTOMOTIVO</v>
      </c>
    </row>
    <row r="587" spans="1:24" x14ac:dyDescent="0.3">
      <c r="A587" t="s">
        <v>626</v>
      </c>
      <c r="B587" t="s">
        <v>627</v>
      </c>
      <c r="C587" t="s">
        <v>652</v>
      </c>
      <c r="D587" s="1">
        <v>46031</v>
      </c>
      <c r="E587" t="s">
        <v>653</v>
      </c>
      <c r="F587">
        <v>9</v>
      </c>
      <c r="G587">
        <v>174</v>
      </c>
      <c r="H587" t="str">
        <f>VLOOKUP(G587,[1]OPERADORES!$A:$B,2,0)</f>
        <v>MIRIÃ LOBATO RODRIGUES</v>
      </c>
      <c r="I587" t="s">
        <v>21</v>
      </c>
      <c r="J587" t="s">
        <v>630</v>
      </c>
      <c r="K587" t="s">
        <v>631</v>
      </c>
      <c r="L587">
        <v>20374</v>
      </c>
      <c r="M587" t="s">
        <v>654</v>
      </c>
      <c r="O587" t="s">
        <v>11</v>
      </c>
      <c r="P587">
        <v>5102</v>
      </c>
      <c r="Q587">
        <v>2</v>
      </c>
      <c r="R587">
        <v>33.76</v>
      </c>
      <c r="S587">
        <v>67.52</v>
      </c>
      <c r="T587">
        <v>48.14</v>
      </c>
      <c r="U587">
        <v>28.7</v>
      </c>
      <c r="V587" t="str">
        <f>VLOOKUP(L587,'[2]tabela de preços'!$A:$D,4,0)</f>
        <v>SHERWIN WILLIAMS</v>
      </c>
      <c r="W587" t="str">
        <f>VLOOKUP(L587,'[2]tabela de preços'!$A:$F,6,0)</f>
        <v>TINTAS POLIÉSTER</v>
      </c>
      <c r="X587" t="str">
        <f>VLOOKUP(L587,'[2]tabela de preços'!$A:$G,7,0)</f>
        <v>AUTOMOTIVO</v>
      </c>
    </row>
    <row r="588" spans="1:24" x14ac:dyDescent="0.3">
      <c r="A588" t="s">
        <v>626</v>
      </c>
      <c r="B588" t="s">
        <v>627</v>
      </c>
      <c r="C588" t="s">
        <v>652</v>
      </c>
      <c r="D588" s="1">
        <v>46031</v>
      </c>
      <c r="E588" t="s">
        <v>653</v>
      </c>
      <c r="F588">
        <v>9</v>
      </c>
      <c r="G588">
        <v>174</v>
      </c>
      <c r="H588" t="str">
        <f>VLOOKUP(G588,[1]OPERADORES!$A:$B,2,0)</f>
        <v>MIRIÃ LOBATO RODRIGUES</v>
      </c>
      <c r="I588" t="s">
        <v>21</v>
      </c>
      <c r="J588" t="s">
        <v>630</v>
      </c>
      <c r="K588" t="s">
        <v>631</v>
      </c>
      <c r="L588">
        <v>21782</v>
      </c>
      <c r="M588" t="s">
        <v>655</v>
      </c>
      <c r="O588" t="s">
        <v>11</v>
      </c>
      <c r="P588">
        <v>5403</v>
      </c>
      <c r="Q588">
        <v>2</v>
      </c>
      <c r="R588">
        <v>35.68</v>
      </c>
      <c r="S588">
        <v>71.36</v>
      </c>
      <c r="T588">
        <v>50.88</v>
      </c>
      <c r="U588">
        <v>28.7</v>
      </c>
      <c r="V588" t="str">
        <f>VLOOKUP(L588,'[2]tabela de preços'!$A:$D,4,0)</f>
        <v>SHERWIN WILLIAMS</v>
      </c>
      <c r="W588" t="str">
        <f>VLOOKUP(L588,'[2]tabela de preços'!$A:$F,6,0)</f>
        <v>TINTAS POLIÉSTER</v>
      </c>
      <c r="X588" t="str">
        <f>VLOOKUP(L588,'[2]tabela de preços'!$A:$G,7,0)</f>
        <v>AUTOMOTIVO</v>
      </c>
    </row>
    <row r="589" spans="1:24" x14ac:dyDescent="0.3">
      <c r="A589" t="s">
        <v>626</v>
      </c>
      <c r="B589" t="s">
        <v>627</v>
      </c>
      <c r="C589" t="s">
        <v>652</v>
      </c>
      <c r="D589" s="1">
        <v>46031</v>
      </c>
      <c r="E589" t="s">
        <v>653</v>
      </c>
      <c r="F589">
        <v>9</v>
      </c>
      <c r="G589">
        <v>174</v>
      </c>
      <c r="H589" t="str">
        <f>VLOOKUP(G589,[1]OPERADORES!$A:$B,2,0)</f>
        <v>MIRIÃ LOBATO RODRIGUES</v>
      </c>
      <c r="I589" t="s">
        <v>21</v>
      </c>
      <c r="J589" t="s">
        <v>630</v>
      </c>
      <c r="K589" t="s">
        <v>631</v>
      </c>
      <c r="L589">
        <v>20325</v>
      </c>
      <c r="M589" t="s">
        <v>150</v>
      </c>
      <c r="O589" t="s">
        <v>11</v>
      </c>
      <c r="P589">
        <v>5403</v>
      </c>
      <c r="Q589">
        <v>2</v>
      </c>
      <c r="R589">
        <v>32.299999999999997</v>
      </c>
      <c r="S589">
        <v>64.599999999999994</v>
      </c>
      <c r="T589">
        <v>46.06</v>
      </c>
      <c r="U589">
        <v>28.7</v>
      </c>
      <c r="V589" t="str">
        <f>VLOOKUP(L589,'[2]tabela de preços'!$A:$D,4,0)</f>
        <v>SHERWIN WILLIAMS</v>
      </c>
      <c r="W589" t="str">
        <f>VLOOKUP(L589,'[2]tabela de preços'!$A:$F,6,0)</f>
        <v>TINTAS POLIÉSTER</v>
      </c>
      <c r="X589" t="str">
        <f>VLOOKUP(L589,'[2]tabela de preços'!$A:$G,7,0)</f>
        <v>AUTOMOTIVO</v>
      </c>
    </row>
    <row r="590" spans="1:24" x14ac:dyDescent="0.3">
      <c r="A590" t="s">
        <v>626</v>
      </c>
      <c r="B590" t="s">
        <v>627</v>
      </c>
      <c r="C590" t="s">
        <v>652</v>
      </c>
      <c r="D590" s="1">
        <v>46031</v>
      </c>
      <c r="E590" t="s">
        <v>653</v>
      </c>
      <c r="F590">
        <v>9</v>
      </c>
      <c r="G590">
        <v>174</v>
      </c>
      <c r="H590" t="str">
        <f>VLOOKUP(G590,[1]OPERADORES!$A:$B,2,0)</f>
        <v>MIRIÃ LOBATO RODRIGUES</v>
      </c>
      <c r="I590" t="s">
        <v>21</v>
      </c>
      <c r="J590" t="s">
        <v>630</v>
      </c>
      <c r="K590" t="s">
        <v>631</v>
      </c>
      <c r="L590">
        <v>23100</v>
      </c>
      <c r="M590" t="s">
        <v>99</v>
      </c>
      <c r="O590" t="s">
        <v>11</v>
      </c>
      <c r="P590">
        <v>5102</v>
      </c>
      <c r="Q590">
        <v>100</v>
      </c>
      <c r="R590">
        <v>2.35</v>
      </c>
      <c r="S590">
        <v>235</v>
      </c>
      <c r="T590">
        <v>169</v>
      </c>
      <c r="U590">
        <v>28.09</v>
      </c>
      <c r="V590" t="str">
        <f>VLOOKUP(L590,'[2]tabela de preços'!$A:$D,4,0)</f>
        <v>3M</v>
      </c>
      <c r="W590" t="str">
        <f>VLOOKUP(L590,'[2]tabela de preços'!$A:$F,6,0)</f>
        <v xml:space="preserve">DISCOS / LIXAS / ABRASIVOS </v>
      </c>
      <c r="X590" t="str">
        <f>VLOOKUP(L590,'[2]tabela de preços'!$A:$G,7,0)</f>
        <v>AUTOMOTIVO</v>
      </c>
    </row>
    <row r="591" spans="1:24" x14ac:dyDescent="0.3">
      <c r="A591" t="s">
        <v>626</v>
      </c>
      <c r="B591" t="s">
        <v>627</v>
      </c>
      <c r="C591" t="s">
        <v>652</v>
      </c>
      <c r="D591" s="1">
        <v>46031</v>
      </c>
      <c r="E591" t="s">
        <v>653</v>
      </c>
      <c r="F591">
        <v>9</v>
      </c>
      <c r="G591">
        <v>174</v>
      </c>
      <c r="H591" t="str">
        <f>VLOOKUP(G591,[1]OPERADORES!$A:$B,2,0)</f>
        <v>MIRIÃ LOBATO RODRIGUES</v>
      </c>
      <c r="I591" t="s">
        <v>21</v>
      </c>
      <c r="J591" t="s">
        <v>630</v>
      </c>
      <c r="K591" t="s">
        <v>631</v>
      </c>
      <c r="L591">
        <v>23101</v>
      </c>
      <c r="M591" t="s">
        <v>410</v>
      </c>
      <c r="O591" t="s">
        <v>411</v>
      </c>
      <c r="P591">
        <v>5102</v>
      </c>
      <c r="Q591">
        <v>50</v>
      </c>
      <c r="R591">
        <v>2.35</v>
      </c>
      <c r="S591">
        <v>117.5</v>
      </c>
      <c r="T591">
        <v>84.5</v>
      </c>
      <c r="U591">
        <v>28.09</v>
      </c>
      <c r="V591" t="str">
        <f>VLOOKUP(L591,'[2]tabela de preços'!$A:$D,4,0)</f>
        <v>3M</v>
      </c>
      <c r="W591" t="str">
        <f>VLOOKUP(L591,'[2]tabela de preços'!$A:$F,6,0)</f>
        <v xml:space="preserve">DISCOS / LIXAS / ABRASIVOS </v>
      </c>
      <c r="X591" t="str">
        <f>VLOOKUP(L591,'[2]tabela de preços'!$A:$G,7,0)</f>
        <v>AUTOMOTIVO</v>
      </c>
    </row>
    <row r="592" spans="1:24" x14ac:dyDescent="0.3">
      <c r="A592" t="s">
        <v>626</v>
      </c>
      <c r="B592" t="s">
        <v>627</v>
      </c>
      <c r="C592" t="s">
        <v>652</v>
      </c>
      <c r="D592" s="1">
        <v>46031</v>
      </c>
      <c r="E592" t="s">
        <v>653</v>
      </c>
      <c r="F592">
        <v>9</v>
      </c>
      <c r="G592">
        <v>174</v>
      </c>
      <c r="H592" t="str">
        <f>VLOOKUP(G592,[1]OPERADORES!$A:$B,2,0)</f>
        <v>MIRIÃ LOBATO RODRIGUES</v>
      </c>
      <c r="I592" t="s">
        <v>21</v>
      </c>
      <c r="J592" t="s">
        <v>630</v>
      </c>
      <c r="K592" t="s">
        <v>631</v>
      </c>
      <c r="L592">
        <v>23099</v>
      </c>
      <c r="M592" t="s">
        <v>420</v>
      </c>
      <c r="O592" t="s">
        <v>411</v>
      </c>
      <c r="P592">
        <v>5102</v>
      </c>
      <c r="Q592">
        <v>100</v>
      </c>
      <c r="R592">
        <v>2.35</v>
      </c>
      <c r="S592">
        <v>235</v>
      </c>
      <c r="T592">
        <v>169</v>
      </c>
      <c r="U592">
        <v>28.09</v>
      </c>
      <c r="V592" t="str">
        <f>VLOOKUP(L592,'[2]tabela de preços'!$A:$D,4,0)</f>
        <v>3M</v>
      </c>
      <c r="W592" t="str">
        <f>VLOOKUP(L592,'[2]tabela de preços'!$A:$F,6,0)</f>
        <v xml:space="preserve">DISCOS / LIXAS / ABRASIVOS </v>
      </c>
      <c r="X592" t="str">
        <f>VLOOKUP(L592,'[2]tabela de preços'!$A:$G,7,0)</f>
        <v>AUTOMOTIVO</v>
      </c>
    </row>
    <row r="593" spans="1:24" x14ac:dyDescent="0.3">
      <c r="A593" t="s">
        <v>626</v>
      </c>
      <c r="B593" t="s">
        <v>627</v>
      </c>
      <c r="C593" t="s">
        <v>652</v>
      </c>
      <c r="D593" s="1">
        <v>46031</v>
      </c>
      <c r="E593" t="s">
        <v>653</v>
      </c>
      <c r="F593">
        <v>9</v>
      </c>
      <c r="G593">
        <v>174</v>
      </c>
      <c r="H593" t="str">
        <f>VLOOKUP(G593,[1]OPERADORES!$A:$B,2,0)</f>
        <v>MIRIÃ LOBATO RODRIGUES</v>
      </c>
      <c r="I593" t="s">
        <v>21</v>
      </c>
      <c r="J593" t="s">
        <v>630</v>
      </c>
      <c r="K593" t="s">
        <v>631</v>
      </c>
      <c r="L593">
        <v>23096</v>
      </c>
      <c r="M593" t="s">
        <v>656</v>
      </c>
      <c r="O593" t="s">
        <v>411</v>
      </c>
      <c r="P593">
        <v>5102</v>
      </c>
      <c r="Q593">
        <v>100</v>
      </c>
      <c r="R593">
        <v>2.35</v>
      </c>
      <c r="S593">
        <v>235</v>
      </c>
      <c r="T593">
        <v>169</v>
      </c>
      <c r="U593">
        <v>28.09</v>
      </c>
      <c r="V593" t="str">
        <f>VLOOKUP(L593,'[2]tabela de preços'!$A:$D,4,0)</f>
        <v>3M</v>
      </c>
      <c r="W593" t="str">
        <f>VLOOKUP(L593,'[2]tabela de preços'!$A:$F,6,0)</f>
        <v xml:space="preserve">DISCOS / LIXAS / ABRASIVOS </v>
      </c>
      <c r="X593" t="str">
        <f>VLOOKUP(L593,'[2]tabela de preços'!$A:$G,7,0)</f>
        <v>AUTOMOTIVO</v>
      </c>
    </row>
    <row r="594" spans="1:24" x14ac:dyDescent="0.3">
      <c r="A594" t="s">
        <v>626</v>
      </c>
      <c r="B594" t="s">
        <v>627</v>
      </c>
      <c r="C594" t="s">
        <v>652</v>
      </c>
      <c r="D594" s="1">
        <v>46031</v>
      </c>
      <c r="E594" t="s">
        <v>653</v>
      </c>
      <c r="F594">
        <v>9</v>
      </c>
      <c r="G594">
        <v>174</v>
      </c>
      <c r="H594" t="str">
        <f>VLOOKUP(G594,[1]OPERADORES!$A:$B,2,0)</f>
        <v>MIRIÃ LOBATO RODRIGUES</v>
      </c>
      <c r="I594" t="s">
        <v>21</v>
      </c>
      <c r="J594" t="s">
        <v>630</v>
      </c>
      <c r="K594" t="s">
        <v>631</v>
      </c>
      <c r="L594">
        <v>23097</v>
      </c>
      <c r="M594" t="s">
        <v>412</v>
      </c>
      <c r="O594" t="s">
        <v>411</v>
      </c>
      <c r="P594">
        <v>5102</v>
      </c>
      <c r="Q594">
        <v>100</v>
      </c>
      <c r="R594">
        <v>2.35</v>
      </c>
      <c r="S594">
        <v>235</v>
      </c>
      <c r="T594">
        <v>136</v>
      </c>
      <c r="U594">
        <v>42.13</v>
      </c>
      <c r="V594" t="str">
        <f>VLOOKUP(L594,'[2]tabela de preços'!$A:$D,4,0)</f>
        <v>3M</v>
      </c>
      <c r="W594" t="str">
        <f>VLOOKUP(L594,'[2]tabela de preços'!$A:$F,6,0)</f>
        <v xml:space="preserve">DISCOS / LIXAS / ABRASIVOS </v>
      </c>
      <c r="X594" t="str">
        <f>VLOOKUP(L594,'[2]tabela de preços'!$A:$G,7,0)</f>
        <v>AUTOMOTIVO</v>
      </c>
    </row>
    <row r="595" spans="1:24" x14ac:dyDescent="0.3">
      <c r="A595" t="s">
        <v>626</v>
      </c>
      <c r="B595" t="s">
        <v>627</v>
      </c>
      <c r="C595" t="s">
        <v>652</v>
      </c>
      <c r="D595" s="1">
        <v>46031</v>
      </c>
      <c r="E595" t="s">
        <v>653</v>
      </c>
      <c r="F595">
        <v>9</v>
      </c>
      <c r="G595">
        <v>174</v>
      </c>
      <c r="H595" t="str">
        <f>VLOOKUP(G595,[1]OPERADORES!$A:$B,2,0)</f>
        <v>MIRIÃ LOBATO RODRIGUES</v>
      </c>
      <c r="I595" t="s">
        <v>21</v>
      </c>
      <c r="J595" t="s">
        <v>630</v>
      </c>
      <c r="K595" t="s">
        <v>631</v>
      </c>
      <c r="L595">
        <v>23103</v>
      </c>
      <c r="M595" t="s">
        <v>414</v>
      </c>
      <c r="O595" t="s">
        <v>11</v>
      </c>
      <c r="P595">
        <v>5102</v>
      </c>
      <c r="Q595">
        <v>50</v>
      </c>
      <c r="R595">
        <v>2.35</v>
      </c>
      <c r="S595">
        <v>117.5</v>
      </c>
      <c r="T595">
        <v>84.5</v>
      </c>
      <c r="U595">
        <v>28.09</v>
      </c>
      <c r="V595" t="str">
        <f>VLOOKUP(L595,'[2]tabela de preços'!$A:$D,4,0)</f>
        <v>3M</v>
      </c>
      <c r="W595" t="str">
        <f>VLOOKUP(L595,'[2]tabela de preços'!$A:$F,6,0)</f>
        <v xml:space="preserve">DISCOS / LIXAS / ABRASIVOS </v>
      </c>
      <c r="X595" t="str">
        <f>VLOOKUP(L595,'[2]tabela de preços'!$A:$G,7,0)</f>
        <v>AUTOMOTIVO</v>
      </c>
    </row>
    <row r="596" spans="1:24" x14ac:dyDescent="0.3">
      <c r="A596" t="s">
        <v>626</v>
      </c>
      <c r="B596" t="s">
        <v>627</v>
      </c>
      <c r="C596" t="s">
        <v>652</v>
      </c>
      <c r="D596" s="1">
        <v>46031</v>
      </c>
      <c r="E596" t="s">
        <v>653</v>
      </c>
      <c r="F596">
        <v>9</v>
      </c>
      <c r="G596">
        <v>174</v>
      </c>
      <c r="H596" t="str">
        <f>VLOOKUP(G596,[1]OPERADORES!$A:$B,2,0)</f>
        <v>MIRIÃ LOBATO RODRIGUES</v>
      </c>
      <c r="I596" t="s">
        <v>21</v>
      </c>
      <c r="J596" t="s">
        <v>630</v>
      </c>
      <c r="K596" t="s">
        <v>631</v>
      </c>
      <c r="L596">
        <v>15</v>
      </c>
      <c r="M596" t="s">
        <v>205</v>
      </c>
      <c r="O596" t="s">
        <v>11</v>
      </c>
      <c r="P596">
        <v>5102</v>
      </c>
      <c r="Q596">
        <v>50</v>
      </c>
      <c r="R596">
        <v>5.65</v>
      </c>
      <c r="S596">
        <v>282.5</v>
      </c>
      <c r="T596">
        <v>208</v>
      </c>
      <c r="U596">
        <v>26.37</v>
      </c>
      <c r="V596" t="str">
        <f>VLOOKUP(L596,'[2]tabela de preços'!$A:$D,4,0)</f>
        <v>3M</v>
      </c>
      <c r="W596" t="str">
        <f>VLOOKUP(L596,'[2]tabela de preços'!$A:$F,6,0)</f>
        <v>LIXA DÁGUA</v>
      </c>
      <c r="X596" t="str">
        <f>VLOOKUP(L596,'[2]tabela de preços'!$A:$G,7,0)</f>
        <v>AUTOMOTIVO</v>
      </c>
    </row>
    <row r="597" spans="1:24" x14ac:dyDescent="0.3">
      <c r="A597" t="s">
        <v>626</v>
      </c>
      <c r="B597" t="s">
        <v>627</v>
      </c>
      <c r="C597" t="s">
        <v>652</v>
      </c>
      <c r="D597" s="1">
        <v>46031</v>
      </c>
      <c r="E597" t="s">
        <v>653</v>
      </c>
      <c r="F597">
        <v>9</v>
      </c>
      <c r="G597">
        <v>174</v>
      </c>
      <c r="H597" t="str">
        <f>VLOOKUP(G597,[1]OPERADORES!$A:$B,2,0)</f>
        <v>MIRIÃ LOBATO RODRIGUES</v>
      </c>
      <c r="I597" t="s">
        <v>21</v>
      </c>
      <c r="J597" t="s">
        <v>630</v>
      </c>
      <c r="K597" t="s">
        <v>631</v>
      </c>
      <c r="L597">
        <v>16</v>
      </c>
      <c r="M597" t="s">
        <v>122</v>
      </c>
      <c r="O597" t="s">
        <v>11</v>
      </c>
      <c r="P597">
        <v>5102</v>
      </c>
      <c r="Q597">
        <v>50</v>
      </c>
      <c r="R597">
        <v>2.9</v>
      </c>
      <c r="S597">
        <v>145</v>
      </c>
      <c r="T597">
        <v>110</v>
      </c>
      <c r="U597">
        <v>24.14</v>
      </c>
      <c r="V597" t="str">
        <f>VLOOKUP(L597,'[2]tabela de preços'!$A:$D,4,0)</f>
        <v>3M</v>
      </c>
      <c r="W597" t="str">
        <f>VLOOKUP(L597,'[2]tabela de preços'!$A:$F,6,0)</f>
        <v>LIXA DÁGUA</v>
      </c>
      <c r="X597" t="str">
        <f>VLOOKUP(L597,'[2]tabela de preços'!$A:$G,7,0)</f>
        <v>AUTOMOTIVO</v>
      </c>
    </row>
    <row r="598" spans="1:24" x14ac:dyDescent="0.3">
      <c r="A598" t="s">
        <v>626</v>
      </c>
      <c r="B598" t="s">
        <v>627</v>
      </c>
      <c r="C598" t="s">
        <v>652</v>
      </c>
      <c r="D598" s="1">
        <v>46031</v>
      </c>
      <c r="E598" t="s">
        <v>653</v>
      </c>
      <c r="F598">
        <v>9</v>
      </c>
      <c r="G598">
        <v>174</v>
      </c>
      <c r="H598" t="str">
        <f>VLOOKUP(G598,[1]OPERADORES!$A:$B,2,0)</f>
        <v>MIRIÃ LOBATO RODRIGUES</v>
      </c>
      <c r="I598" t="s">
        <v>21</v>
      </c>
      <c r="J598" t="s">
        <v>630</v>
      </c>
      <c r="K598" t="s">
        <v>631</v>
      </c>
      <c r="L598">
        <v>20817</v>
      </c>
      <c r="M598" t="s">
        <v>153</v>
      </c>
      <c r="O598" t="s">
        <v>11</v>
      </c>
      <c r="P598">
        <v>5102</v>
      </c>
      <c r="Q598">
        <v>5</v>
      </c>
      <c r="R598">
        <v>22.89</v>
      </c>
      <c r="S598">
        <v>114.45</v>
      </c>
      <c r="T598">
        <v>93.1</v>
      </c>
      <c r="U598">
        <v>18.649999999999999</v>
      </c>
      <c r="V598" t="str">
        <f>VLOOKUP(L598,'[2]tabela de preços'!$A:$D,4,0)</f>
        <v>AUTO AMERICA</v>
      </c>
      <c r="W598" t="str">
        <f>VLOOKUP(L598,'[2]tabela de preços'!$A:$F,6,0)</f>
        <v>MASSA DE POLIR</v>
      </c>
      <c r="X598" t="str">
        <f>VLOOKUP(L598,'[2]tabela de preços'!$A:$G,7,0)</f>
        <v>AUTOMOTIVO</v>
      </c>
    </row>
    <row r="599" spans="1:24" x14ac:dyDescent="0.3">
      <c r="A599" t="s">
        <v>626</v>
      </c>
      <c r="B599" t="s">
        <v>627</v>
      </c>
      <c r="C599" t="s">
        <v>652</v>
      </c>
      <c r="D599" s="1">
        <v>46031</v>
      </c>
      <c r="E599" t="s">
        <v>653</v>
      </c>
      <c r="F599">
        <v>9</v>
      </c>
      <c r="G599">
        <v>174</v>
      </c>
      <c r="H599" t="str">
        <f>VLOOKUP(G599,[1]OPERADORES!$A:$B,2,0)</f>
        <v>MIRIÃ LOBATO RODRIGUES</v>
      </c>
      <c r="I599" t="s">
        <v>21</v>
      </c>
      <c r="J599" t="s">
        <v>630</v>
      </c>
      <c r="K599" t="s">
        <v>631</v>
      </c>
      <c r="L599">
        <v>10298</v>
      </c>
      <c r="M599" t="s">
        <v>85</v>
      </c>
      <c r="O599" t="s">
        <v>11</v>
      </c>
      <c r="P599">
        <v>5102</v>
      </c>
      <c r="Q599">
        <v>20</v>
      </c>
      <c r="R599">
        <v>54.9</v>
      </c>
      <c r="S599" s="2">
        <v>1098</v>
      </c>
      <c r="T599">
        <v>947.6</v>
      </c>
      <c r="U599">
        <v>13.7</v>
      </c>
      <c r="V599" t="str">
        <f>VLOOKUP(L599,'[2]tabela de preços'!$A:$D,4,0)</f>
        <v>ANJO</v>
      </c>
      <c r="W599" t="str">
        <f>VLOOKUP(L599,'[2]tabela de preços'!$A:$F,6,0)</f>
        <v>THINNER DE LIMPEZA</v>
      </c>
      <c r="X599" t="str">
        <f>VLOOKUP(L599,'[2]tabela de preços'!$A:$G,7,0)</f>
        <v>THINNER</v>
      </c>
    </row>
    <row r="600" spans="1:24" x14ac:dyDescent="0.3">
      <c r="A600" t="s">
        <v>626</v>
      </c>
      <c r="B600" t="s">
        <v>627</v>
      </c>
      <c r="C600" t="s">
        <v>652</v>
      </c>
      <c r="D600" s="1">
        <v>46031</v>
      </c>
      <c r="E600" t="s">
        <v>653</v>
      </c>
      <c r="F600">
        <v>9</v>
      </c>
      <c r="G600">
        <v>174</v>
      </c>
      <c r="H600" t="str">
        <f>VLOOKUP(G600,[1]OPERADORES!$A:$B,2,0)</f>
        <v>MIRIÃ LOBATO RODRIGUES</v>
      </c>
      <c r="I600" t="s">
        <v>21</v>
      </c>
      <c r="J600" t="s">
        <v>630</v>
      </c>
      <c r="K600" t="s">
        <v>631</v>
      </c>
      <c r="L600">
        <v>10297</v>
      </c>
      <c r="M600" t="s">
        <v>41</v>
      </c>
      <c r="O600" t="s">
        <v>11</v>
      </c>
      <c r="P600">
        <v>5102</v>
      </c>
      <c r="Q600">
        <v>12</v>
      </c>
      <c r="R600">
        <v>10.95</v>
      </c>
      <c r="S600">
        <v>131.4</v>
      </c>
      <c r="T600">
        <v>110.04</v>
      </c>
      <c r="U600">
        <v>16.260000000000002</v>
      </c>
      <c r="V600" t="str">
        <f>VLOOKUP(L600,'[2]tabela de preços'!$A:$D,4,0)</f>
        <v>ANJO</v>
      </c>
      <c r="W600" t="str">
        <f>VLOOKUP(L600,'[2]tabela de preços'!$A:$F,6,0)</f>
        <v>THINNER DE LIMPEZA</v>
      </c>
      <c r="X600" t="str">
        <f>VLOOKUP(L600,'[2]tabela de preços'!$A:$G,7,0)</f>
        <v>THINNER</v>
      </c>
    </row>
    <row r="601" spans="1:24" x14ac:dyDescent="0.3">
      <c r="A601" t="s">
        <v>626</v>
      </c>
      <c r="B601" t="s">
        <v>627</v>
      </c>
      <c r="C601" t="s">
        <v>652</v>
      </c>
      <c r="D601" s="1">
        <v>46031</v>
      </c>
      <c r="E601" t="s">
        <v>653</v>
      </c>
      <c r="F601">
        <v>9</v>
      </c>
      <c r="G601">
        <v>174</v>
      </c>
      <c r="H601" t="str">
        <f>VLOOKUP(G601,[1]OPERADORES!$A:$B,2,0)</f>
        <v>MIRIÃ LOBATO RODRIGUES</v>
      </c>
      <c r="I601" t="s">
        <v>21</v>
      </c>
      <c r="J601" t="s">
        <v>630</v>
      </c>
      <c r="K601" t="s">
        <v>631</v>
      </c>
      <c r="L601">
        <v>84560</v>
      </c>
      <c r="M601" t="s">
        <v>118</v>
      </c>
      <c r="O601" t="s">
        <v>11</v>
      </c>
      <c r="P601">
        <v>5102</v>
      </c>
      <c r="Q601">
        <v>20</v>
      </c>
      <c r="R601">
        <v>46.9</v>
      </c>
      <c r="S601">
        <v>938</v>
      </c>
      <c r="T601">
        <v>783.2</v>
      </c>
      <c r="U601">
        <v>16.5</v>
      </c>
      <c r="V601" t="str">
        <f>VLOOKUP(L601,'[2]tabela de preços'!$A:$D,4,0)</f>
        <v>BRASILUX</v>
      </c>
      <c r="W601" t="str">
        <f>VLOOKUP(L601,'[2]tabela de preços'!$A:$F,6,0)</f>
        <v>THINNER DE LIMPEZA</v>
      </c>
      <c r="X601" t="str">
        <f>VLOOKUP(L601,'[2]tabela de preços'!$A:$G,7,0)</f>
        <v>THINNER</v>
      </c>
    </row>
    <row r="602" spans="1:24" x14ac:dyDescent="0.3">
      <c r="A602" t="s">
        <v>626</v>
      </c>
      <c r="B602" t="s">
        <v>627</v>
      </c>
      <c r="C602" t="s">
        <v>652</v>
      </c>
      <c r="D602" s="1">
        <v>46031</v>
      </c>
      <c r="E602" t="s">
        <v>653</v>
      </c>
      <c r="F602">
        <v>9</v>
      </c>
      <c r="G602">
        <v>174</v>
      </c>
      <c r="H602" t="str">
        <f>VLOOKUP(G602,[1]OPERADORES!$A:$B,2,0)</f>
        <v>MIRIÃ LOBATO RODRIGUES</v>
      </c>
      <c r="I602" t="s">
        <v>21</v>
      </c>
      <c r="J602" t="s">
        <v>630</v>
      </c>
      <c r="K602" t="s">
        <v>631</v>
      </c>
      <c r="L602">
        <v>85649</v>
      </c>
      <c r="M602" t="s">
        <v>478</v>
      </c>
      <c r="O602" t="s">
        <v>11</v>
      </c>
      <c r="P602">
        <v>5403</v>
      </c>
      <c r="Q602">
        <v>6</v>
      </c>
      <c r="R602">
        <v>8.19</v>
      </c>
      <c r="S602">
        <v>49.14</v>
      </c>
      <c r="T602">
        <v>41.52</v>
      </c>
      <c r="U602">
        <v>15.51</v>
      </c>
      <c r="V602" t="str">
        <f>VLOOKUP(L602,'[2]tabela de preços'!$A:$D,4,0)</f>
        <v>UNIPEGA</v>
      </c>
      <c r="W602" t="str">
        <f>VLOOKUP(L602,'[2]tabela de preços'!$A:$F,6,0)</f>
        <v xml:space="preserve">SPRAYS </v>
      </c>
      <c r="X602" t="str">
        <f>VLOOKUP(L602,'[2]tabela de preços'!$A:$G,7,0)</f>
        <v>AUTOMOTIVO</v>
      </c>
    </row>
    <row r="603" spans="1:24" x14ac:dyDescent="0.3">
      <c r="A603" t="s">
        <v>626</v>
      </c>
      <c r="B603" t="s">
        <v>627</v>
      </c>
      <c r="C603" t="s">
        <v>652</v>
      </c>
      <c r="D603" s="1">
        <v>46031</v>
      </c>
      <c r="E603" t="s">
        <v>653</v>
      </c>
      <c r="F603">
        <v>9</v>
      </c>
      <c r="G603">
        <v>174</v>
      </c>
      <c r="H603" t="str">
        <f>VLOOKUP(G603,[1]OPERADORES!$A:$B,2,0)</f>
        <v>MIRIÃ LOBATO RODRIGUES</v>
      </c>
      <c r="I603" t="s">
        <v>21</v>
      </c>
      <c r="J603" t="s">
        <v>630</v>
      </c>
      <c r="K603" t="s">
        <v>631</v>
      </c>
      <c r="L603">
        <v>84460</v>
      </c>
      <c r="M603" t="s">
        <v>322</v>
      </c>
      <c r="O603" t="s">
        <v>11</v>
      </c>
      <c r="P603">
        <v>5102</v>
      </c>
      <c r="Q603">
        <v>2</v>
      </c>
      <c r="R603">
        <v>31.07</v>
      </c>
      <c r="S603">
        <v>62.14</v>
      </c>
      <c r="T603">
        <v>47.16</v>
      </c>
      <c r="U603">
        <v>24.11</v>
      </c>
      <c r="V603" t="str">
        <f>VLOOKUP(L603,'[2]tabela de preços'!$A:$D,4,0)</f>
        <v>BRASILUX</v>
      </c>
      <c r="W603" t="str">
        <f>VLOOKUP(L603,'[2]tabela de preços'!$A:$F,6,0)</f>
        <v>VEDADORES / SELANTES</v>
      </c>
      <c r="X603" t="str">
        <f>VLOOKUP(L603,'[2]tabela de preços'!$A:$G,7,0)</f>
        <v>AUTOMOTIVO</v>
      </c>
    </row>
    <row r="604" spans="1:24" x14ac:dyDescent="0.3">
      <c r="A604" t="s">
        <v>626</v>
      </c>
      <c r="B604" t="s">
        <v>627</v>
      </c>
      <c r="C604" t="s">
        <v>652</v>
      </c>
      <c r="D604" s="1">
        <v>46031</v>
      </c>
      <c r="E604" t="s">
        <v>653</v>
      </c>
      <c r="F604">
        <v>9</v>
      </c>
      <c r="G604">
        <v>174</v>
      </c>
      <c r="H604" t="str">
        <f>VLOOKUP(G604,[1]OPERADORES!$A:$B,2,0)</f>
        <v>MIRIÃ LOBATO RODRIGUES</v>
      </c>
      <c r="I604" t="s">
        <v>21</v>
      </c>
      <c r="J604" t="s">
        <v>630</v>
      </c>
      <c r="K604" t="s">
        <v>631</v>
      </c>
      <c r="L604">
        <v>20399</v>
      </c>
      <c r="M604" t="s">
        <v>465</v>
      </c>
      <c r="O604" t="s">
        <v>11</v>
      </c>
      <c r="P604">
        <v>5403</v>
      </c>
      <c r="Q604">
        <v>12</v>
      </c>
      <c r="R604">
        <v>34.700000000000003</v>
      </c>
      <c r="S604">
        <v>416.4</v>
      </c>
      <c r="T604">
        <v>316.2</v>
      </c>
      <c r="U604">
        <v>24.06</v>
      </c>
      <c r="V604" t="str">
        <f>VLOOKUP(L604,'[2]tabela de preços'!$A:$D,4,0)</f>
        <v>SHERWIN WILLIAMS</v>
      </c>
      <c r="W604" t="str">
        <f>VLOOKUP(L604,'[2]tabela de preços'!$A:$F,6,0)</f>
        <v>VERNIZ AUTOMOTIVO</v>
      </c>
      <c r="X604" t="str">
        <f>VLOOKUP(L604,'[2]tabela de preços'!$A:$G,7,0)</f>
        <v>AUTOMOTIVO</v>
      </c>
    </row>
    <row r="605" spans="1:24" x14ac:dyDescent="0.3">
      <c r="A605" t="s">
        <v>868</v>
      </c>
      <c r="B605" t="s">
        <v>869</v>
      </c>
      <c r="C605" t="s">
        <v>874</v>
      </c>
      <c r="D605" s="1">
        <v>46031</v>
      </c>
      <c r="E605" t="s">
        <v>875</v>
      </c>
      <c r="F605">
        <v>9</v>
      </c>
      <c r="G605">
        <v>197</v>
      </c>
      <c r="H605" t="str">
        <f>VLOOKUP(G605,[1]OPERADORES!$A:$B,2,0)</f>
        <v xml:space="preserve">POLIANA LORRANE DE AMORIM </v>
      </c>
      <c r="I605" t="s">
        <v>21</v>
      </c>
      <c r="J605" t="s">
        <v>872</v>
      </c>
      <c r="K605" t="s">
        <v>873</v>
      </c>
      <c r="L605">
        <v>84123</v>
      </c>
      <c r="M605" t="s">
        <v>296</v>
      </c>
      <c r="O605" t="s">
        <v>11</v>
      </c>
      <c r="P605">
        <v>5403</v>
      </c>
      <c r="Q605">
        <v>6</v>
      </c>
      <c r="R605">
        <v>19.100000000000001</v>
      </c>
      <c r="S605">
        <v>114.6</v>
      </c>
      <c r="T605">
        <v>87</v>
      </c>
      <c r="U605">
        <v>24.08</v>
      </c>
      <c r="V605" t="str">
        <f>VLOOKUP(L605,'[2]tabela de preços'!$A:$D,4,0)</f>
        <v>BRASILUX</v>
      </c>
      <c r="W605" t="str">
        <f>VLOOKUP(L605,'[2]tabela de preços'!$A:$F,6,0)</f>
        <v>ESMALTES</v>
      </c>
      <c r="X605" t="str">
        <f>VLOOKUP(L605,'[2]tabela de preços'!$A:$G,7,0)</f>
        <v>INDUSTRIAL</v>
      </c>
    </row>
    <row r="606" spans="1:24" x14ac:dyDescent="0.3">
      <c r="A606" t="s">
        <v>868</v>
      </c>
      <c r="B606" t="s">
        <v>869</v>
      </c>
      <c r="C606" t="s">
        <v>874</v>
      </c>
      <c r="D606" s="1">
        <v>46031</v>
      </c>
      <c r="E606" t="s">
        <v>875</v>
      </c>
      <c r="F606">
        <v>9</v>
      </c>
      <c r="G606">
        <v>197</v>
      </c>
      <c r="H606" t="str">
        <f>VLOOKUP(G606,[1]OPERADORES!$A:$B,2,0)</f>
        <v xml:space="preserve">POLIANA LORRANE DE AMORIM </v>
      </c>
      <c r="I606" t="s">
        <v>21</v>
      </c>
      <c r="J606" t="s">
        <v>872</v>
      </c>
      <c r="K606" t="s">
        <v>873</v>
      </c>
      <c r="L606">
        <v>84038</v>
      </c>
      <c r="M606" t="s">
        <v>593</v>
      </c>
      <c r="O606" t="s">
        <v>11</v>
      </c>
      <c r="P606">
        <v>5102</v>
      </c>
      <c r="Q606">
        <v>4</v>
      </c>
      <c r="R606">
        <v>18.350000000000001</v>
      </c>
      <c r="S606">
        <v>73.400000000000006</v>
      </c>
      <c r="T606">
        <v>53.8</v>
      </c>
      <c r="U606">
        <v>26.7</v>
      </c>
      <c r="V606" t="str">
        <f>VLOOKUP(L606,'[2]tabela de preços'!$A:$D,4,0)</f>
        <v>BRASILUX</v>
      </c>
      <c r="W606" t="str">
        <f>VLOOKUP(L606,'[2]tabela de preços'!$A:$F,6,0)</f>
        <v>MASSA CORRIDA / ACRÍLICA</v>
      </c>
      <c r="X606" t="str">
        <f>VLOOKUP(L606,'[2]tabela de preços'!$A:$G,7,0)</f>
        <v>IMOBILIÁRIO</v>
      </c>
    </row>
    <row r="607" spans="1:24" x14ac:dyDescent="0.3">
      <c r="A607" t="s">
        <v>868</v>
      </c>
      <c r="B607" t="s">
        <v>869</v>
      </c>
      <c r="C607" t="s">
        <v>874</v>
      </c>
      <c r="D607" s="1">
        <v>46031</v>
      </c>
      <c r="E607" t="s">
        <v>875</v>
      </c>
      <c r="F607">
        <v>9</v>
      </c>
      <c r="G607">
        <v>197</v>
      </c>
      <c r="H607" t="str">
        <f>VLOOKUP(G607,[1]OPERADORES!$A:$B,2,0)</f>
        <v xml:space="preserve">POLIANA LORRANE DE AMORIM </v>
      </c>
      <c r="I607" t="s">
        <v>21</v>
      </c>
      <c r="J607" t="s">
        <v>872</v>
      </c>
      <c r="K607" t="s">
        <v>873</v>
      </c>
      <c r="L607">
        <v>84036</v>
      </c>
      <c r="M607" t="s">
        <v>289</v>
      </c>
      <c r="O607" t="s">
        <v>11</v>
      </c>
      <c r="P607">
        <v>5102</v>
      </c>
      <c r="Q607">
        <v>3</v>
      </c>
      <c r="R607">
        <v>47.89</v>
      </c>
      <c r="S607">
        <v>143.66999999999999</v>
      </c>
      <c r="T607">
        <v>124.89</v>
      </c>
      <c r="U607">
        <v>13.07</v>
      </c>
      <c r="V607" t="str">
        <f>VLOOKUP(L607,'[2]tabela de preços'!$A:$D,4,0)</f>
        <v>BRASILUX</v>
      </c>
      <c r="W607" t="str">
        <f>VLOOKUP(L607,'[2]tabela de preços'!$A:$F,6,0)</f>
        <v>MASSA CORRIDA / ACRÍLICA</v>
      </c>
      <c r="X607" t="str">
        <f>VLOOKUP(L607,'[2]tabela de preços'!$A:$G,7,0)</f>
        <v>IMOBILIÁRIO</v>
      </c>
    </row>
    <row r="608" spans="1:24" x14ac:dyDescent="0.3">
      <c r="A608" t="s">
        <v>974</v>
      </c>
      <c r="C608" t="s">
        <v>983</v>
      </c>
      <c r="D608" s="1">
        <v>46031</v>
      </c>
      <c r="E608" t="s">
        <v>984</v>
      </c>
      <c r="F608">
        <v>9</v>
      </c>
      <c r="G608">
        <v>197</v>
      </c>
      <c r="H608" t="str">
        <f>VLOOKUP(G608,[1]OPERADORES!$A:$B,2,0)</f>
        <v xml:space="preserve">POLIANA LORRANE DE AMORIM </v>
      </c>
      <c r="I608" t="s">
        <v>21</v>
      </c>
      <c r="J608" t="s">
        <v>397</v>
      </c>
      <c r="K608" t="s">
        <v>977</v>
      </c>
      <c r="L608">
        <v>85622</v>
      </c>
      <c r="M608" t="s">
        <v>985</v>
      </c>
      <c r="O608" t="s">
        <v>11</v>
      </c>
      <c r="P608">
        <v>5102</v>
      </c>
      <c r="Q608">
        <v>4</v>
      </c>
      <c r="R608">
        <v>25.06</v>
      </c>
      <c r="S608">
        <v>100.24</v>
      </c>
      <c r="T608">
        <v>76.08</v>
      </c>
      <c r="U608">
        <v>24.1</v>
      </c>
      <c r="V608" t="str">
        <f>VLOOKUP(L608,'[2]tabela de preços'!$A:$D,4,0)</f>
        <v>TEK BOND</v>
      </c>
      <c r="W608" t="str">
        <f>VLOOKUP(L608,'[2]tabela de preços'!$A:$F,6,0)</f>
        <v>COLA INST./ ADESIVOS COLANTES</v>
      </c>
      <c r="X608" t="str">
        <f>VLOOKUP(L608,'[2]tabela de preços'!$A:$G,7,0)</f>
        <v>AUTOMOTIVO</v>
      </c>
    </row>
    <row r="609" spans="1:24" x14ac:dyDescent="0.3">
      <c r="A609" t="s">
        <v>974</v>
      </c>
      <c r="C609" t="s">
        <v>983</v>
      </c>
      <c r="D609" s="1">
        <v>46031</v>
      </c>
      <c r="E609" t="s">
        <v>984</v>
      </c>
      <c r="F609">
        <v>9</v>
      </c>
      <c r="G609">
        <v>197</v>
      </c>
      <c r="H609" t="str">
        <f>VLOOKUP(G609,[1]OPERADORES!$A:$B,2,0)</f>
        <v xml:space="preserve">POLIANA LORRANE DE AMORIM </v>
      </c>
      <c r="I609" t="s">
        <v>21</v>
      </c>
      <c r="J609" t="s">
        <v>397</v>
      </c>
      <c r="K609" t="s">
        <v>977</v>
      </c>
      <c r="L609">
        <v>84101</v>
      </c>
      <c r="M609" t="s">
        <v>986</v>
      </c>
      <c r="O609" t="s">
        <v>11</v>
      </c>
      <c r="P609">
        <v>5403</v>
      </c>
      <c r="Q609">
        <v>1</v>
      </c>
      <c r="R609">
        <v>79.63</v>
      </c>
      <c r="S609">
        <v>79.63</v>
      </c>
      <c r="T609">
        <v>58.38</v>
      </c>
      <c r="U609">
        <v>26.69</v>
      </c>
      <c r="V609" t="str">
        <f>VLOOKUP(L609,'[2]tabela de preços'!$A:$D,4,0)</f>
        <v>BRASILUX</v>
      </c>
      <c r="W609" t="str">
        <f>VLOOKUP(L609,'[2]tabela de preços'!$A:$F,6,0)</f>
        <v>ESMALTES</v>
      </c>
      <c r="X609" t="str">
        <f>VLOOKUP(L609,'[2]tabela de preços'!$A:$G,7,0)</f>
        <v>INDUSTRIAL</v>
      </c>
    </row>
    <row r="610" spans="1:24" x14ac:dyDescent="0.3">
      <c r="A610" t="s">
        <v>974</v>
      </c>
      <c r="C610" t="s">
        <v>983</v>
      </c>
      <c r="D610" s="1">
        <v>46031</v>
      </c>
      <c r="E610" t="s">
        <v>984</v>
      </c>
      <c r="F610">
        <v>9</v>
      </c>
      <c r="G610">
        <v>197</v>
      </c>
      <c r="H610" t="str">
        <f>VLOOKUP(G610,[1]OPERADORES!$A:$B,2,0)</f>
        <v xml:space="preserve">POLIANA LORRANE DE AMORIM </v>
      </c>
      <c r="I610" t="s">
        <v>21</v>
      </c>
      <c r="J610" t="s">
        <v>397</v>
      </c>
      <c r="K610" t="s">
        <v>977</v>
      </c>
      <c r="L610">
        <v>85670</v>
      </c>
      <c r="M610" t="s">
        <v>981</v>
      </c>
      <c r="O610" t="s">
        <v>11</v>
      </c>
      <c r="P610">
        <v>5102</v>
      </c>
      <c r="Q610">
        <v>6</v>
      </c>
      <c r="R610">
        <v>12.2</v>
      </c>
      <c r="S610">
        <v>73.2</v>
      </c>
      <c r="T610">
        <v>55.56</v>
      </c>
      <c r="U610">
        <v>24.1</v>
      </c>
      <c r="V610" t="str">
        <f>VLOOKUP(L610,'[2]tabela de preços'!$A:$D,4,0)</f>
        <v>UNIPEGA</v>
      </c>
      <c r="W610" t="str">
        <f>VLOOKUP(L610,'[2]tabela de preços'!$A:$F,6,0)</f>
        <v>ESPUMA EXPANSIVA</v>
      </c>
      <c r="X610" t="str">
        <f>VLOOKUP(L610,'[2]tabela de preços'!$A:$G,7,0)</f>
        <v>IMOBILIÁRIO</v>
      </c>
    </row>
    <row r="611" spans="1:24" x14ac:dyDescent="0.3">
      <c r="A611" t="s">
        <v>974</v>
      </c>
      <c r="C611" t="s">
        <v>983</v>
      </c>
      <c r="D611" s="1">
        <v>46031</v>
      </c>
      <c r="E611" t="s">
        <v>984</v>
      </c>
      <c r="F611">
        <v>9</v>
      </c>
      <c r="G611">
        <v>197</v>
      </c>
      <c r="H611" t="str">
        <f>VLOOKUP(G611,[1]OPERADORES!$A:$B,2,0)</f>
        <v xml:space="preserve">POLIANA LORRANE DE AMORIM </v>
      </c>
      <c r="I611" t="s">
        <v>21</v>
      </c>
      <c r="J611" t="s">
        <v>397</v>
      </c>
      <c r="K611" t="s">
        <v>977</v>
      </c>
      <c r="L611">
        <v>86873</v>
      </c>
      <c r="M611" t="s">
        <v>987</v>
      </c>
      <c r="O611" t="s">
        <v>11</v>
      </c>
      <c r="P611">
        <v>5102</v>
      </c>
      <c r="Q611">
        <v>40</v>
      </c>
      <c r="R611">
        <v>1.06</v>
      </c>
      <c r="S611">
        <v>42.4</v>
      </c>
      <c r="T611">
        <v>31.2</v>
      </c>
      <c r="U611">
        <v>26.42</v>
      </c>
      <c r="V611" t="str">
        <f>VLOOKUP(L611,'[2]tabela de preços'!$A:$D,4,0)</f>
        <v>AÇO BOM</v>
      </c>
      <c r="W611" t="str">
        <f>VLOOKUP(L611,'[2]tabela de preços'!$A:$F,6,0)</f>
        <v>PALHA DE AÇO</v>
      </c>
      <c r="X611" t="str">
        <f>VLOOKUP(L611,'[2]tabela de preços'!$A:$G,7,0)</f>
        <v>IMOBILIÁRIO</v>
      </c>
    </row>
    <row r="612" spans="1:24" x14ac:dyDescent="0.3">
      <c r="A612" t="s">
        <v>1090</v>
      </c>
      <c r="C612" t="s">
        <v>1091</v>
      </c>
      <c r="D612" s="1">
        <v>46031</v>
      </c>
      <c r="E612" t="s">
        <v>1092</v>
      </c>
      <c r="F612">
        <v>9</v>
      </c>
      <c r="G612">
        <v>236</v>
      </c>
      <c r="H612" t="str">
        <f>VLOOKUP(G612,[1]OPERADORES!$A:$B,2,0)</f>
        <v>DANIEL</v>
      </c>
      <c r="I612" t="s">
        <v>21</v>
      </c>
      <c r="J612" t="s">
        <v>450</v>
      </c>
      <c r="K612" t="s">
        <v>1093</v>
      </c>
      <c r="L612">
        <v>84030</v>
      </c>
      <c r="M612" t="s">
        <v>900</v>
      </c>
      <c r="O612" t="s">
        <v>11</v>
      </c>
      <c r="P612">
        <v>5102</v>
      </c>
      <c r="Q612">
        <v>1</v>
      </c>
      <c r="R612">
        <v>57.12</v>
      </c>
      <c r="S612">
        <v>57.12</v>
      </c>
      <c r="T612">
        <v>42.36</v>
      </c>
      <c r="U612">
        <v>25.84</v>
      </c>
      <c r="V612" t="str">
        <f>VLOOKUP(L612,'[2]tabela de preços'!$A:$D,4,0)</f>
        <v>BRASILUX</v>
      </c>
      <c r="W612" t="str">
        <f>VLOOKUP(L612,'[2]tabela de preços'!$A:$F,6,0)</f>
        <v>AGUARRAS</v>
      </c>
      <c r="X612" t="str">
        <f>VLOOKUP(L612,'[2]tabela de preços'!$A:$G,7,0)</f>
        <v>IMOBILIÁRIO</v>
      </c>
    </row>
    <row r="613" spans="1:24" x14ac:dyDescent="0.3">
      <c r="A613" t="s">
        <v>1090</v>
      </c>
      <c r="C613" t="s">
        <v>1091</v>
      </c>
      <c r="D613" s="1">
        <v>46031</v>
      </c>
      <c r="E613" t="s">
        <v>1092</v>
      </c>
      <c r="F613">
        <v>9</v>
      </c>
      <c r="G613">
        <v>236</v>
      </c>
      <c r="H613" t="str">
        <f>VLOOKUP(G613,[1]OPERADORES!$A:$B,2,0)</f>
        <v>DANIEL</v>
      </c>
      <c r="I613" t="s">
        <v>21</v>
      </c>
      <c r="J613" t="s">
        <v>450</v>
      </c>
      <c r="K613" t="s">
        <v>1093</v>
      </c>
      <c r="L613">
        <v>85020</v>
      </c>
      <c r="M613" t="s">
        <v>1094</v>
      </c>
      <c r="O613" t="s">
        <v>11</v>
      </c>
      <c r="P613">
        <v>5102</v>
      </c>
      <c r="Q613">
        <v>20</v>
      </c>
      <c r="R613">
        <v>1.26</v>
      </c>
      <c r="S613">
        <v>25.2</v>
      </c>
      <c r="T613">
        <v>16.2</v>
      </c>
      <c r="U613">
        <v>35.71</v>
      </c>
      <c r="V613" t="str">
        <f>VLOOKUP(L613,'[2]tabela de preços'!$A:$D,4,0)</f>
        <v>.</v>
      </c>
      <c r="W613" t="str">
        <f>VLOOKUP(L613,'[2]tabela de preços'!$A:$F,6,0)</f>
        <v>PALHA DE AÇO</v>
      </c>
      <c r="X613" t="str">
        <f>VLOOKUP(L613,'[2]tabela de preços'!$A:$G,7,0)</f>
        <v>IMOBILIÁRIO</v>
      </c>
    </row>
    <row r="614" spans="1:24" x14ac:dyDescent="0.3">
      <c r="A614" t="s">
        <v>1090</v>
      </c>
      <c r="C614" t="s">
        <v>1091</v>
      </c>
      <c r="D614" s="1">
        <v>46031</v>
      </c>
      <c r="E614" t="s">
        <v>1092</v>
      </c>
      <c r="F614">
        <v>9</v>
      </c>
      <c r="G614">
        <v>236</v>
      </c>
      <c r="H614" t="str">
        <f>VLOOKUP(G614,[1]OPERADORES!$A:$B,2,0)</f>
        <v>DANIEL</v>
      </c>
      <c r="I614" t="s">
        <v>21</v>
      </c>
      <c r="J614" t="s">
        <v>450</v>
      </c>
      <c r="K614" t="s">
        <v>1093</v>
      </c>
      <c r="L614">
        <v>10298</v>
      </c>
      <c r="M614" t="s">
        <v>85</v>
      </c>
      <c r="O614" t="s">
        <v>11</v>
      </c>
      <c r="P614">
        <v>5102</v>
      </c>
      <c r="Q614">
        <v>1</v>
      </c>
      <c r="R614">
        <v>56.8</v>
      </c>
      <c r="S614">
        <v>56.8</v>
      </c>
      <c r="T614">
        <v>47.38</v>
      </c>
      <c r="U614">
        <v>16.579999999999998</v>
      </c>
      <c r="V614" t="str">
        <f>VLOOKUP(L614,'[2]tabela de preços'!$A:$D,4,0)</f>
        <v>ANJO</v>
      </c>
      <c r="W614" t="str">
        <f>VLOOKUP(L614,'[2]tabela de preços'!$A:$F,6,0)</f>
        <v>THINNER DE LIMPEZA</v>
      </c>
      <c r="X614" t="str">
        <f>VLOOKUP(L614,'[2]tabela de preços'!$A:$G,7,0)</f>
        <v>THINNER</v>
      </c>
    </row>
    <row r="615" spans="1:24" x14ac:dyDescent="0.3">
      <c r="A615" t="s">
        <v>1163</v>
      </c>
      <c r="B615" t="s">
        <v>1164</v>
      </c>
      <c r="C615" t="s">
        <v>1165</v>
      </c>
      <c r="D615" s="1">
        <v>46031</v>
      </c>
      <c r="E615" t="s">
        <v>1166</v>
      </c>
      <c r="F615">
        <v>9</v>
      </c>
      <c r="G615">
        <v>230</v>
      </c>
      <c r="H615" t="str">
        <f>VLOOKUP(G615,[1]OPERADORES!$A:$B,2,0)</f>
        <v>SÔNIA</v>
      </c>
      <c r="I615" t="s">
        <v>21</v>
      </c>
      <c r="J615" t="s">
        <v>211</v>
      </c>
      <c r="K615" t="s">
        <v>1167</v>
      </c>
      <c r="L615">
        <v>20814</v>
      </c>
      <c r="M615" t="s">
        <v>445</v>
      </c>
      <c r="O615" t="s">
        <v>11</v>
      </c>
      <c r="P615">
        <v>5102</v>
      </c>
      <c r="Q615">
        <v>2</v>
      </c>
      <c r="R615">
        <v>7.81</v>
      </c>
      <c r="S615">
        <v>15.62</v>
      </c>
      <c r="T615">
        <v>11.86</v>
      </c>
      <c r="U615">
        <v>24.07</v>
      </c>
      <c r="V615" t="str">
        <f>VLOOKUP(L615,'[2]tabela de preços'!$A:$D,4,0)</f>
        <v>AUTO AMERICA</v>
      </c>
      <c r="W615" t="str">
        <f>VLOOKUP(L615,'[2]tabela de preços'!$A:$F,6,0)</f>
        <v>APLICADORES / ADAPTADORES / ENGATES / SUPORTES</v>
      </c>
      <c r="X615" t="str">
        <f>VLOOKUP(L615,'[2]tabela de preços'!$A:$G,7,0)</f>
        <v>AUTOMOTIVO</v>
      </c>
    </row>
    <row r="616" spans="1:24" x14ac:dyDescent="0.3">
      <c r="A616" t="s">
        <v>1163</v>
      </c>
      <c r="B616" t="s">
        <v>1164</v>
      </c>
      <c r="C616" t="s">
        <v>1165</v>
      </c>
      <c r="D616" s="1">
        <v>46031</v>
      </c>
      <c r="E616" t="s">
        <v>1166</v>
      </c>
      <c r="F616">
        <v>9</v>
      </c>
      <c r="G616">
        <v>230</v>
      </c>
      <c r="H616" t="str">
        <f>VLOOKUP(G616,[1]OPERADORES!$A:$B,2,0)</f>
        <v>SÔNIA</v>
      </c>
      <c r="I616" t="s">
        <v>21</v>
      </c>
      <c r="J616" t="s">
        <v>211</v>
      </c>
      <c r="K616" t="s">
        <v>1167</v>
      </c>
      <c r="L616">
        <v>20817</v>
      </c>
      <c r="M616" t="s">
        <v>153</v>
      </c>
      <c r="O616" t="s">
        <v>11</v>
      </c>
      <c r="P616">
        <v>5102</v>
      </c>
      <c r="Q616">
        <v>3</v>
      </c>
      <c r="R616">
        <v>22.89</v>
      </c>
      <c r="S616">
        <v>68.67</v>
      </c>
      <c r="T616">
        <v>55.86</v>
      </c>
      <c r="U616">
        <v>18.649999999999999</v>
      </c>
      <c r="V616" t="str">
        <f>VLOOKUP(L616,'[2]tabela de preços'!$A:$D,4,0)</f>
        <v>AUTO AMERICA</v>
      </c>
      <c r="W616" t="str">
        <f>VLOOKUP(L616,'[2]tabela de preços'!$A:$F,6,0)</f>
        <v>MASSA DE POLIR</v>
      </c>
      <c r="X616" t="str">
        <f>VLOOKUP(L616,'[2]tabela de preços'!$A:$G,7,0)</f>
        <v>AUTOMOTIVO</v>
      </c>
    </row>
    <row r="617" spans="1:24" x14ac:dyDescent="0.3">
      <c r="A617" t="s">
        <v>1163</v>
      </c>
      <c r="B617" t="s">
        <v>1164</v>
      </c>
      <c r="C617" t="s">
        <v>1165</v>
      </c>
      <c r="D617" s="1">
        <v>46031</v>
      </c>
      <c r="E617" t="s">
        <v>1166</v>
      </c>
      <c r="F617">
        <v>9</v>
      </c>
      <c r="G617">
        <v>230</v>
      </c>
      <c r="H617" t="str">
        <f>VLOOKUP(G617,[1]OPERADORES!$A:$B,2,0)</f>
        <v>SÔNIA</v>
      </c>
      <c r="I617" t="s">
        <v>21</v>
      </c>
      <c r="J617" t="s">
        <v>211</v>
      </c>
      <c r="K617" t="s">
        <v>1167</v>
      </c>
      <c r="L617">
        <v>85227</v>
      </c>
      <c r="M617" t="s">
        <v>1042</v>
      </c>
      <c r="O617" t="s">
        <v>11</v>
      </c>
      <c r="P617">
        <v>5102</v>
      </c>
      <c r="Q617">
        <v>8</v>
      </c>
      <c r="R617">
        <v>6.06</v>
      </c>
      <c r="S617">
        <v>48.48</v>
      </c>
      <c r="T617">
        <v>36.799999999999997</v>
      </c>
      <c r="U617">
        <v>24.09</v>
      </c>
      <c r="V617" t="str">
        <f>VLOOKUP(L617,'[2]tabela de preços'!$A:$D,4,0)</f>
        <v>ATLAS</v>
      </c>
      <c r="W617" t="str">
        <f>VLOOKUP(L617,'[2]tabela de preços'!$A:$F,6,0)</f>
        <v>ROLOS / TRINCHAS / PINCÉIS / ESPÁTULAS</v>
      </c>
      <c r="X617" t="str">
        <f>VLOOKUP(L617,'[2]tabela de preços'!$A:$G,7,0)</f>
        <v>IMOBILIÁRIO</v>
      </c>
    </row>
    <row r="618" spans="1:24" x14ac:dyDescent="0.3">
      <c r="A618" t="s">
        <v>1163</v>
      </c>
      <c r="B618" t="s">
        <v>1164</v>
      </c>
      <c r="C618" t="s">
        <v>1165</v>
      </c>
      <c r="D618" s="1">
        <v>46031</v>
      </c>
      <c r="E618" t="s">
        <v>1166</v>
      </c>
      <c r="F618">
        <v>9</v>
      </c>
      <c r="G618">
        <v>230</v>
      </c>
      <c r="H618" t="str">
        <f>VLOOKUP(G618,[1]OPERADORES!$A:$B,2,0)</f>
        <v>SÔNIA</v>
      </c>
      <c r="I618" t="s">
        <v>21</v>
      </c>
      <c r="J618" t="s">
        <v>211</v>
      </c>
      <c r="K618" t="s">
        <v>1167</v>
      </c>
      <c r="L618">
        <v>85683</v>
      </c>
      <c r="M618" t="s">
        <v>521</v>
      </c>
      <c r="O618" t="s">
        <v>11</v>
      </c>
      <c r="P618">
        <v>5102</v>
      </c>
      <c r="Q618">
        <v>8</v>
      </c>
      <c r="R618">
        <v>8.68</v>
      </c>
      <c r="S618">
        <v>69.44</v>
      </c>
      <c r="T618">
        <v>52.72</v>
      </c>
      <c r="U618">
        <v>24.08</v>
      </c>
      <c r="V618" t="str">
        <f>VLOOKUP(L618,'[2]tabela de preços'!$A:$D,4,0)</f>
        <v>UNIPEGA</v>
      </c>
      <c r="W618" t="str">
        <f>VLOOKUP(L618,'[2]tabela de preços'!$A:$F,6,0)</f>
        <v>SILICONE</v>
      </c>
      <c r="X618" t="str">
        <f>VLOOKUP(L618,'[2]tabela de preços'!$A:$G,7,0)</f>
        <v>IMOBILIÁRIO</v>
      </c>
    </row>
    <row r="619" spans="1:24" x14ac:dyDescent="0.3">
      <c r="A619" t="s">
        <v>1177</v>
      </c>
      <c r="C619" t="s">
        <v>1183</v>
      </c>
      <c r="D619" s="1">
        <v>46031</v>
      </c>
      <c r="E619" t="s">
        <v>1184</v>
      </c>
      <c r="F619">
        <v>9</v>
      </c>
      <c r="G619">
        <v>236</v>
      </c>
      <c r="H619" t="str">
        <f>VLOOKUP(G619,[1]OPERADORES!$A:$B,2,0)</f>
        <v>DANIEL</v>
      </c>
      <c r="I619" t="s">
        <v>244</v>
      </c>
      <c r="J619" t="s">
        <v>1180</v>
      </c>
      <c r="K619" t="s">
        <v>1181</v>
      </c>
      <c r="L619">
        <v>85328</v>
      </c>
      <c r="M619" t="s">
        <v>605</v>
      </c>
      <c r="O619" t="s">
        <v>11</v>
      </c>
      <c r="P619">
        <v>6102</v>
      </c>
      <c r="Q619">
        <v>1</v>
      </c>
      <c r="R619">
        <v>579.12</v>
      </c>
      <c r="S619">
        <v>579.12</v>
      </c>
      <c r="T619">
        <v>403.43</v>
      </c>
      <c r="U619">
        <v>30.34</v>
      </c>
      <c r="V619" t="str">
        <f>VLOOKUP(L619,'[2]tabela de preços'!$A:$D,4,0)</f>
        <v>BRASILUX</v>
      </c>
      <c r="W619" t="str">
        <f>VLOOKUP(L619,'[2]tabela de preços'!$A:$F,6,0)</f>
        <v>TINTA EM PÓ</v>
      </c>
      <c r="X619" t="str">
        <f>VLOOKUP(L619,'[2]tabela de preços'!$A:$G,7,0)</f>
        <v>INDUSTRIAL</v>
      </c>
    </row>
    <row r="620" spans="1:24" x14ac:dyDescent="0.3">
      <c r="A620" t="s">
        <v>1361</v>
      </c>
      <c r="C620" t="s">
        <v>1362</v>
      </c>
      <c r="D620" s="1">
        <v>46031</v>
      </c>
      <c r="E620" t="s">
        <v>1363</v>
      </c>
      <c r="F620">
        <v>9</v>
      </c>
      <c r="G620">
        <v>174</v>
      </c>
      <c r="H620" t="str">
        <f>VLOOKUP(G620,[1]OPERADORES!$A:$B,2,0)</f>
        <v>MIRIÃ LOBATO RODRIGUES</v>
      </c>
      <c r="I620" t="s">
        <v>21</v>
      </c>
      <c r="J620" t="s">
        <v>1018</v>
      </c>
      <c r="K620" t="s">
        <v>1364</v>
      </c>
      <c r="L620">
        <v>84335</v>
      </c>
      <c r="M620" t="s">
        <v>269</v>
      </c>
      <c r="O620" t="s">
        <v>11</v>
      </c>
      <c r="P620">
        <v>5403</v>
      </c>
      <c r="Q620">
        <v>1</v>
      </c>
      <c r="R620">
        <v>60.89</v>
      </c>
      <c r="S620">
        <v>60.89</v>
      </c>
      <c r="T620">
        <v>50.65</v>
      </c>
      <c r="U620">
        <v>16.82</v>
      </c>
      <c r="V620" t="str">
        <f>VLOOKUP(L620,'[2]tabela de preços'!$A:$D,4,0)</f>
        <v>BRASILUX</v>
      </c>
      <c r="W620" t="str">
        <f>VLOOKUP(L620,'[2]tabela de preços'!$A:$F,6,0)</f>
        <v>ESMALTES</v>
      </c>
      <c r="X620" t="str">
        <f>VLOOKUP(L620,'[2]tabela de preços'!$A:$G,7,0)</f>
        <v>INDUSTRIAL</v>
      </c>
    </row>
    <row r="621" spans="1:24" x14ac:dyDescent="0.3">
      <c r="A621" t="s">
        <v>1361</v>
      </c>
      <c r="C621" t="s">
        <v>1362</v>
      </c>
      <c r="D621" s="1">
        <v>46031</v>
      </c>
      <c r="E621" t="s">
        <v>1363</v>
      </c>
      <c r="F621">
        <v>9</v>
      </c>
      <c r="G621">
        <v>174</v>
      </c>
      <c r="H621" t="str">
        <f>VLOOKUP(G621,[1]OPERADORES!$A:$B,2,0)</f>
        <v>MIRIÃ LOBATO RODRIGUES</v>
      </c>
      <c r="I621" t="s">
        <v>21</v>
      </c>
      <c r="J621" t="s">
        <v>1018</v>
      </c>
      <c r="K621" t="s">
        <v>1364</v>
      </c>
      <c r="L621">
        <v>84254</v>
      </c>
      <c r="M621" t="s">
        <v>1365</v>
      </c>
      <c r="O621" t="s">
        <v>11</v>
      </c>
      <c r="P621">
        <v>5403</v>
      </c>
      <c r="Q621">
        <v>2</v>
      </c>
      <c r="R621">
        <v>113.9</v>
      </c>
      <c r="S621">
        <v>227.8</v>
      </c>
      <c r="T621">
        <v>189.32</v>
      </c>
      <c r="U621">
        <v>16.89</v>
      </c>
      <c r="V621" t="str">
        <f>VLOOKUP(L621,'[2]tabela de preços'!$A:$D,4,0)</f>
        <v>BRASILUX</v>
      </c>
      <c r="W621" t="str">
        <f>VLOOKUP(L621,'[2]tabela de preços'!$A:$F,6,0)</f>
        <v>TINTA PAREDE</v>
      </c>
      <c r="X621" t="str">
        <f>VLOOKUP(L621,'[2]tabela de preços'!$A:$G,7,0)</f>
        <v>IMOBILIÁRIO</v>
      </c>
    </row>
    <row r="622" spans="1:24" x14ac:dyDescent="0.3">
      <c r="A622" t="s">
        <v>1361</v>
      </c>
      <c r="C622" t="s">
        <v>1362</v>
      </c>
      <c r="D622" s="1">
        <v>46031</v>
      </c>
      <c r="E622" t="s">
        <v>1363</v>
      </c>
      <c r="F622">
        <v>9</v>
      </c>
      <c r="G622">
        <v>174</v>
      </c>
      <c r="H622" t="str">
        <f>VLOOKUP(G622,[1]OPERADORES!$A:$B,2,0)</f>
        <v>MIRIÃ LOBATO RODRIGUES</v>
      </c>
      <c r="I622" t="s">
        <v>21</v>
      </c>
      <c r="J622" t="s">
        <v>1018</v>
      </c>
      <c r="K622" t="s">
        <v>1364</v>
      </c>
      <c r="L622">
        <v>86863</v>
      </c>
      <c r="M622" t="s">
        <v>1366</v>
      </c>
      <c r="O622" t="s">
        <v>11</v>
      </c>
      <c r="P622">
        <v>5403</v>
      </c>
      <c r="Q622">
        <v>2</v>
      </c>
      <c r="R622">
        <v>3.99</v>
      </c>
      <c r="S622">
        <v>7.98</v>
      </c>
      <c r="T622">
        <v>6.9</v>
      </c>
      <c r="U622">
        <v>13.53</v>
      </c>
      <c r="V622" t="str">
        <f>VLOOKUP(L622,'[2]tabela de preços'!$A:$D,4,0)</f>
        <v>SHERWIN WILLIAMS</v>
      </c>
      <c r="W622" t="str">
        <f>VLOOKUP(L622,'[2]tabela de preços'!$A:$F,6,0)</f>
        <v>CORANTES</v>
      </c>
      <c r="X622" t="str">
        <f>VLOOKUP(L622,'[2]tabela de preços'!$A:$G,7,0)</f>
        <v>IMOBILIÁRIO</v>
      </c>
    </row>
    <row r="623" spans="1:24" x14ac:dyDescent="0.3">
      <c r="A623" t="s">
        <v>1361</v>
      </c>
      <c r="C623" t="s">
        <v>1362</v>
      </c>
      <c r="D623" s="1">
        <v>46031</v>
      </c>
      <c r="E623" t="s">
        <v>1363</v>
      </c>
      <c r="F623">
        <v>9</v>
      </c>
      <c r="G623">
        <v>174</v>
      </c>
      <c r="H623" t="str">
        <f>VLOOKUP(G623,[1]OPERADORES!$A:$B,2,0)</f>
        <v>MIRIÃ LOBATO RODRIGUES</v>
      </c>
      <c r="I623" t="s">
        <v>21</v>
      </c>
      <c r="J623" t="s">
        <v>1018</v>
      </c>
      <c r="K623" t="s">
        <v>1364</v>
      </c>
      <c r="L623">
        <v>86862</v>
      </c>
      <c r="M623" t="s">
        <v>1367</v>
      </c>
      <c r="O623" t="s">
        <v>11</v>
      </c>
      <c r="P623">
        <v>5403</v>
      </c>
      <c r="Q623">
        <v>2</v>
      </c>
      <c r="R623">
        <v>3.99</v>
      </c>
      <c r="S623">
        <v>7.98</v>
      </c>
      <c r="T623">
        <v>6.9</v>
      </c>
      <c r="U623">
        <v>13.53</v>
      </c>
      <c r="V623" t="str">
        <f>VLOOKUP(L623,'[2]tabela de preços'!$A:$D,4,0)</f>
        <v>SHERWIN WILLIAMS</v>
      </c>
      <c r="W623" t="str">
        <f>VLOOKUP(L623,'[2]tabela de preços'!$A:$F,6,0)</f>
        <v>CORANTES</v>
      </c>
      <c r="X623" t="str">
        <f>VLOOKUP(L623,'[2]tabela de preços'!$A:$G,7,0)</f>
        <v>IMOBILIÁRIO</v>
      </c>
    </row>
    <row r="624" spans="1:24" x14ac:dyDescent="0.3">
      <c r="A624" t="s">
        <v>1361</v>
      </c>
      <c r="C624" t="s">
        <v>1362</v>
      </c>
      <c r="D624" s="1">
        <v>46031</v>
      </c>
      <c r="E624" t="s">
        <v>1363</v>
      </c>
      <c r="F624">
        <v>9</v>
      </c>
      <c r="G624">
        <v>174</v>
      </c>
      <c r="H624" t="str">
        <f>VLOOKUP(G624,[1]OPERADORES!$A:$B,2,0)</f>
        <v>MIRIÃ LOBATO RODRIGUES</v>
      </c>
      <c r="I624" t="s">
        <v>21</v>
      </c>
      <c r="J624" t="s">
        <v>1018</v>
      </c>
      <c r="K624" t="s">
        <v>1364</v>
      </c>
      <c r="L624">
        <v>86868</v>
      </c>
      <c r="M624" t="s">
        <v>1368</v>
      </c>
      <c r="O624" t="s">
        <v>11</v>
      </c>
      <c r="P624">
        <v>5403</v>
      </c>
      <c r="Q624">
        <v>2</v>
      </c>
      <c r="R624">
        <v>3.99</v>
      </c>
      <c r="S624">
        <v>7.98</v>
      </c>
      <c r="T624">
        <v>6.9</v>
      </c>
      <c r="U624">
        <v>13.53</v>
      </c>
      <c r="V624" t="str">
        <f>VLOOKUP(L624,'[2]tabela de preços'!$A:$D,4,0)</f>
        <v>SHERWIN WILLIAMS</v>
      </c>
      <c r="W624" t="str">
        <f>VLOOKUP(L624,'[2]tabela de preços'!$A:$F,6,0)</f>
        <v>CORANTES</v>
      </c>
      <c r="X624" t="str">
        <f>VLOOKUP(L624,'[2]tabela de preços'!$A:$G,7,0)</f>
        <v>IMOBILIÁRIO</v>
      </c>
    </row>
    <row r="625" spans="1:24" x14ac:dyDescent="0.3">
      <c r="A625" t="s">
        <v>1361</v>
      </c>
      <c r="C625" t="s">
        <v>1362</v>
      </c>
      <c r="D625" s="1">
        <v>46031</v>
      </c>
      <c r="E625" t="s">
        <v>1363</v>
      </c>
      <c r="F625">
        <v>9</v>
      </c>
      <c r="G625">
        <v>174</v>
      </c>
      <c r="H625" t="str">
        <f>VLOOKUP(G625,[1]OPERADORES!$A:$B,2,0)</f>
        <v>MIRIÃ LOBATO RODRIGUES</v>
      </c>
      <c r="I625" t="s">
        <v>21</v>
      </c>
      <c r="J625" t="s">
        <v>1018</v>
      </c>
      <c r="K625" t="s">
        <v>1364</v>
      </c>
      <c r="L625">
        <v>23878</v>
      </c>
      <c r="M625" t="s">
        <v>851</v>
      </c>
      <c r="O625" t="s">
        <v>11</v>
      </c>
      <c r="P625">
        <v>5102</v>
      </c>
      <c r="Q625">
        <v>1</v>
      </c>
      <c r="R625">
        <v>8.41</v>
      </c>
      <c r="S625">
        <v>8.41</v>
      </c>
      <c r="T625">
        <v>6.38</v>
      </c>
      <c r="U625">
        <v>24.14</v>
      </c>
      <c r="V625" t="str">
        <f>VLOOKUP(L625,'[2]tabela de preços'!$A:$D,4,0)</f>
        <v>ATLAS</v>
      </c>
      <c r="W625" t="str">
        <f>VLOOKUP(L625,'[2]tabela de preços'!$A:$F,6,0)</f>
        <v>ROLOS / TRINCHAS / PINCÉIS / ESPÁTULAS</v>
      </c>
      <c r="X625" t="str">
        <f>VLOOKUP(L625,'[2]tabela de preços'!$A:$G,7,0)</f>
        <v>IMOBILIÁRIO</v>
      </c>
    </row>
    <row r="626" spans="1:24" x14ac:dyDescent="0.3">
      <c r="A626" t="s">
        <v>1361</v>
      </c>
      <c r="C626" t="s">
        <v>1362</v>
      </c>
      <c r="D626" s="1">
        <v>46031</v>
      </c>
      <c r="E626" t="s">
        <v>1363</v>
      </c>
      <c r="F626">
        <v>9</v>
      </c>
      <c r="G626">
        <v>174</v>
      </c>
      <c r="H626" t="str">
        <f>VLOOKUP(G626,[1]OPERADORES!$A:$B,2,0)</f>
        <v>MIRIÃ LOBATO RODRIGUES</v>
      </c>
      <c r="I626" t="s">
        <v>21</v>
      </c>
      <c r="J626" t="s">
        <v>1018</v>
      </c>
      <c r="K626" t="s">
        <v>1364</v>
      </c>
      <c r="L626">
        <v>84036</v>
      </c>
      <c r="M626" t="s">
        <v>289</v>
      </c>
      <c r="O626" t="s">
        <v>11</v>
      </c>
      <c r="P626">
        <v>5102</v>
      </c>
      <c r="Q626">
        <v>2</v>
      </c>
      <c r="R626">
        <v>47.89</v>
      </c>
      <c r="S626">
        <v>95.78</v>
      </c>
      <c r="T626">
        <v>83.26</v>
      </c>
      <c r="U626">
        <v>13.07</v>
      </c>
      <c r="V626" t="str">
        <f>VLOOKUP(L626,'[2]tabela de preços'!$A:$D,4,0)</f>
        <v>BRASILUX</v>
      </c>
      <c r="W626" t="str">
        <f>VLOOKUP(L626,'[2]tabela de preços'!$A:$F,6,0)</f>
        <v>MASSA CORRIDA / ACRÍLICA</v>
      </c>
      <c r="X626" t="str">
        <f>VLOOKUP(L626,'[2]tabela de preços'!$A:$G,7,0)</f>
        <v>IMOBILIÁRIO</v>
      </c>
    </row>
    <row r="627" spans="1:24" x14ac:dyDescent="0.3">
      <c r="A627" t="s">
        <v>1361</v>
      </c>
      <c r="C627" t="s">
        <v>1362</v>
      </c>
      <c r="D627" s="1">
        <v>46031</v>
      </c>
      <c r="E627" t="s">
        <v>1363</v>
      </c>
      <c r="F627">
        <v>9</v>
      </c>
      <c r="G627">
        <v>174</v>
      </c>
      <c r="H627" t="str">
        <f>VLOOKUP(G627,[1]OPERADORES!$A:$B,2,0)</f>
        <v>MIRIÃ LOBATO RODRIGUES</v>
      </c>
      <c r="I627" t="s">
        <v>21</v>
      </c>
      <c r="J627" t="s">
        <v>1018</v>
      </c>
      <c r="K627" t="s">
        <v>1364</v>
      </c>
      <c r="L627">
        <v>84431</v>
      </c>
      <c r="M627" t="s">
        <v>1369</v>
      </c>
      <c r="O627" t="s">
        <v>11</v>
      </c>
      <c r="P627">
        <v>5102</v>
      </c>
      <c r="Q627">
        <v>1</v>
      </c>
      <c r="R627">
        <v>10.54</v>
      </c>
      <c r="S627">
        <v>10.54</v>
      </c>
      <c r="T627">
        <v>6.8</v>
      </c>
      <c r="U627">
        <v>35.479999999999997</v>
      </c>
      <c r="V627" t="str">
        <f>VLOOKUP(L627,'[2]tabela de preços'!$A:$D,4,0)</f>
        <v>ATLAS</v>
      </c>
      <c r="W627" t="str">
        <f>VLOOKUP(L627,'[2]tabela de preços'!$A:$F,6,0)</f>
        <v>ROLOS / TRINCHAS / PINCÉIS / ESPÁTULAS</v>
      </c>
      <c r="X627" t="str">
        <f>VLOOKUP(L627,'[2]tabela de preços'!$A:$G,7,0)</f>
        <v>IMOBILIÁRIO</v>
      </c>
    </row>
    <row r="628" spans="1:24" x14ac:dyDescent="0.3">
      <c r="A628" t="s">
        <v>1524</v>
      </c>
      <c r="B628" t="s">
        <v>1525</v>
      </c>
      <c r="C628" t="s">
        <v>1530</v>
      </c>
      <c r="D628" s="1">
        <v>46031</v>
      </c>
      <c r="E628" t="s">
        <v>1531</v>
      </c>
      <c r="F628">
        <v>9</v>
      </c>
      <c r="G628">
        <v>236</v>
      </c>
      <c r="H628" t="str">
        <f>VLOOKUP(G628,[1]OPERADORES!$A:$B,2,0)</f>
        <v>DANIEL</v>
      </c>
      <c r="I628" t="s">
        <v>21</v>
      </c>
      <c r="J628" t="s">
        <v>762</v>
      </c>
      <c r="K628" t="s">
        <v>1528</v>
      </c>
      <c r="L628">
        <v>84174</v>
      </c>
      <c r="M628" t="s">
        <v>1532</v>
      </c>
      <c r="O628" t="s">
        <v>11</v>
      </c>
      <c r="P628">
        <v>5403</v>
      </c>
      <c r="Q628">
        <v>4</v>
      </c>
      <c r="R628">
        <v>92.33</v>
      </c>
      <c r="S628">
        <v>369.32</v>
      </c>
      <c r="T628">
        <v>280.32</v>
      </c>
      <c r="U628">
        <v>24.1</v>
      </c>
      <c r="V628" t="str">
        <f>VLOOKUP(L628,'[2]tabela de preços'!$A:$D,4,0)</f>
        <v>BRASILUX</v>
      </c>
      <c r="W628" t="str">
        <f>VLOOKUP(L628,'[2]tabela de preços'!$A:$F,6,0)</f>
        <v>ESMALTES</v>
      </c>
      <c r="X628" t="str">
        <f>VLOOKUP(L628,'[2]tabela de preços'!$A:$G,7,0)</f>
        <v>INDUSTRIAL</v>
      </c>
    </row>
    <row r="629" spans="1:24" x14ac:dyDescent="0.3">
      <c r="A629" t="s">
        <v>1524</v>
      </c>
      <c r="B629" t="s">
        <v>1525</v>
      </c>
      <c r="C629" t="s">
        <v>1530</v>
      </c>
      <c r="D629" s="1">
        <v>46031</v>
      </c>
      <c r="E629" t="s">
        <v>1531</v>
      </c>
      <c r="F629">
        <v>9</v>
      </c>
      <c r="G629">
        <v>236</v>
      </c>
      <c r="H629" t="str">
        <f>VLOOKUP(G629,[1]OPERADORES!$A:$B,2,0)</f>
        <v>DANIEL</v>
      </c>
      <c r="I629" t="s">
        <v>21</v>
      </c>
      <c r="J629" t="s">
        <v>762</v>
      </c>
      <c r="K629" t="s">
        <v>1528</v>
      </c>
      <c r="L629">
        <v>86998</v>
      </c>
      <c r="M629" t="s">
        <v>1533</v>
      </c>
      <c r="O629" t="s">
        <v>11</v>
      </c>
      <c r="P629">
        <v>5403</v>
      </c>
      <c r="Q629">
        <v>3</v>
      </c>
      <c r="R629">
        <v>28.55</v>
      </c>
      <c r="S629">
        <v>85.65</v>
      </c>
      <c r="T629">
        <v>65.010000000000005</v>
      </c>
      <c r="U629">
        <v>24.1</v>
      </c>
      <c r="V629" t="str">
        <f>VLOOKUP(L629,'[2]tabela de preços'!$A:$D,4,0)</f>
        <v>BRASILUX</v>
      </c>
      <c r="W629" t="str">
        <f>VLOOKUP(L629,'[2]tabela de preços'!$A:$F,6,0)</f>
        <v>ESMALTES</v>
      </c>
      <c r="X629" t="str">
        <f>VLOOKUP(L629,'[2]tabela de preços'!$A:$G,7,0)</f>
        <v>INDUSTRIAL</v>
      </c>
    </row>
    <row r="630" spans="1:24" x14ac:dyDescent="0.3">
      <c r="A630" t="s">
        <v>1561</v>
      </c>
      <c r="C630" t="s">
        <v>1569</v>
      </c>
      <c r="D630" s="1">
        <v>46031</v>
      </c>
      <c r="E630" t="s">
        <v>1570</v>
      </c>
      <c r="F630">
        <v>9</v>
      </c>
      <c r="G630">
        <v>174</v>
      </c>
      <c r="H630" t="str">
        <f>VLOOKUP(G630,[1]OPERADORES!$A:$B,2,0)</f>
        <v>MIRIÃ LOBATO RODRIGUES</v>
      </c>
      <c r="I630" t="s">
        <v>21</v>
      </c>
      <c r="J630" t="s">
        <v>1564</v>
      </c>
      <c r="K630" t="s">
        <v>1565</v>
      </c>
      <c r="L630">
        <v>84219</v>
      </c>
      <c r="M630" t="s">
        <v>878</v>
      </c>
      <c r="O630" t="s">
        <v>11</v>
      </c>
      <c r="P630">
        <v>5403</v>
      </c>
      <c r="Q630">
        <v>1</v>
      </c>
      <c r="R630">
        <v>55.84</v>
      </c>
      <c r="S630">
        <v>55.84</v>
      </c>
      <c r="T630">
        <v>40.03</v>
      </c>
      <c r="U630">
        <v>28.31</v>
      </c>
      <c r="V630" t="str">
        <f>VLOOKUP(L630,'[2]tabela de preços'!$A:$D,4,0)</f>
        <v>BRASILUX</v>
      </c>
      <c r="W630" t="str">
        <f>VLOOKUP(L630,'[2]tabela de preços'!$A:$F,6,0)</f>
        <v>ESMALTES</v>
      </c>
      <c r="X630" t="str">
        <f>VLOOKUP(L630,'[2]tabela de preços'!$A:$G,7,0)</f>
        <v>INDUSTRIAL</v>
      </c>
    </row>
    <row r="631" spans="1:24" x14ac:dyDescent="0.3">
      <c r="A631" t="s">
        <v>1606</v>
      </c>
      <c r="C631" t="s">
        <v>1616</v>
      </c>
      <c r="D631" s="1">
        <v>46031</v>
      </c>
      <c r="E631" t="s">
        <v>1617</v>
      </c>
      <c r="F631">
        <v>9</v>
      </c>
      <c r="G631">
        <v>230</v>
      </c>
      <c r="H631" t="str">
        <f>VLOOKUP(G631,[1]OPERADORES!$A:$B,2,0)</f>
        <v>SÔNIA</v>
      </c>
      <c r="I631" t="s">
        <v>21</v>
      </c>
      <c r="J631" t="s">
        <v>397</v>
      </c>
      <c r="K631" t="s">
        <v>1609</v>
      </c>
      <c r="L631">
        <v>22173</v>
      </c>
      <c r="M631" t="s">
        <v>194</v>
      </c>
      <c r="O631" t="s">
        <v>11</v>
      </c>
      <c r="P631">
        <v>5102</v>
      </c>
      <c r="Q631">
        <v>192</v>
      </c>
      <c r="R631">
        <v>4.58</v>
      </c>
      <c r="S631">
        <v>879.36</v>
      </c>
      <c r="T631">
        <v>668.16</v>
      </c>
      <c r="U631">
        <v>24.02</v>
      </c>
      <c r="V631" t="str">
        <f>VLOOKUP(L631,'[2]tabela de preços'!$A:$D,4,0)</f>
        <v>3M</v>
      </c>
      <c r="W631" t="str">
        <f>VLOOKUP(L631,'[2]tabela de preços'!$A:$F,6,0)</f>
        <v>FITA AUTOMOTIVA</v>
      </c>
      <c r="X631" t="str">
        <f>VLOOKUP(L631,'[2]tabela de preços'!$A:$G,7,0)</f>
        <v>AUTOMOTIVO</v>
      </c>
    </row>
    <row r="632" spans="1:24" x14ac:dyDescent="0.3">
      <c r="A632" t="s">
        <v>1688</v>
      </c>
      <c r="C632" t="s">
        <v>1689</v>
      </c>
      <c r="D632" s="1">
        <v>46031</v>
      </c>
      <c r="E632" t="s">
        <v>1690</v>
      </c>
      <c r="F632">
        <v>9</v>
      </c>
      <c r="G632">
        <v>174</v>
      </c>
      <c r="H632" t="str">
        <f>VLOOKUP(G632,[1]OPERADORES!$A:$B,2,0)</f>
        <v>MIRIÃ LOBATO RODRIGUES</v>
      </c>
      <c r="I632" t="s">
        <v>21</v>
      </c>
      <c r="J632" t="s">
        <v>1691</v>
      </c>
      <c r="K632" t="s">
        <v>1692</v>
      </c>
      <c r="L632">
        <v>84823</v>
      </c>
      <c r="M632" t="s">
        <v>331</v>
      </c>
      <c r="O632" t="s">
        <v>11</v>
      </c>
      <c r="P632">
        <v>5102</v>
      </c>
      <c r="Q632">
        <v>1</v>
      </c>
      <c r="R632">
        <v>94.64</v>
      </c>
      <c r="S632">
        <v>94.64</v>
      </c>
      <c r="T632">
        <v>71.83</v>
      </c>
      <c r="U632">
        <v>24.1</v>
      </c>
      <c r="V632" t="str">
        <f>VLOOKUP(L632,'[2]tabela de preços'!$A:$D,4,0)</f>
        <v>BRASILUX</v>
      </c>
      <c r="W632" t="str">
        <f>VLOOKUP(L632,'[2]tabela de preços'!$A:$F,6,0)</f>
        <v>DILUENTE</v>
      </c>
      <c r="X632" t="str">
        <f>VLOOKUP(L632,'[2]tabela de preços'!$A:$G,7,0)</f>
        <v>AUTOMOTIVO</v>
      </c>
    </row>
    <row r="633" spans="1:24" x14ac:dyDescent="0.3">
      <c r="A633" t="s">
        <v>1688</v>
      </c>
      <c r="C633" t="s">
        <v>1689</v>
      </c>
      <c r="D633" s="1">
        <v>46031</v>
      </c>
      <c r="E633" t="s">
        <v>1690</v>
      </c>
      <c r="F633">
        <v>9</v>
      </c>
      <c r="G633">
        <v>174</v>
      </c>
      <c r="H633" t="str">
        <f>VLOOKUP(G633,[1]OPERADORES!$A:$B,2,0)</f>
        <v>MIRIÃ LOBATO RODRIGUES</v>
      </c>
      <c r="I633" t="s">
        <v>21</v>
      </c>
      <c r="J633" t="s">
        <v>1691</v>
      </c>
      <c r="K633" t="s">
        <v>1692</v>
      </c>
      <c r="L633">
        <v>86995</v>
      </c>
      <c r="M633" t="s">
        <v>37</v>
      </c>
      <c r="O633" t="s">
        <v>11</v>
      </c>
      <c r="P633">
        <v>5102</v>
      </c>
      <c r="Q633">
        <v>2</v>
      </c>
      <c r="R633">
        <v>7.39</v>
      </c>
      <c r="S633">
        <v>14.78</v>
      </c>
      <c r="T633">
        <v>11.66</v>
      </c>
      <c r="U633">
        <v>21.11</v>
      </c>
      <c r="V633" t="str">
        <f>VLOOKUP(L633,'[2]tabela de preços'!$A:$D,4,0)</f>
        <v>AUTOAMERICA</v>
      </c>
      <c r="W633" t="str">
        <f>VLOOKUP(L633,'[2]tabela de preços'!$A:$F,6,0)</f>
        <v>FLANELAS / PANOS</v>
      </c>
      <c r="X633" t="str">
        <f>VLOOKUP(L633,'[2]tabela de preços'!$A:$G,7,0)</f>
        <v>AUTOMOTIVO</v>
      </c>
    </row>
    <row r="634" spans="1:24" x14ac:dyDescent="0.3">
      <c r="A634" t="s">
        <v>1688</v>
      </c>
      <c r="C634" t="s">
        <v>1689</v>
      </c>
      <c r="D634" s="1">
        <v>46031</v>
      </c>
      <c r="E634" t="s">
        <v>1690</v>
      </c>
      <c r="F634">
        <v>9</v>
      </c>
      <c r="G634">
        <v>174</v>
      </c>
      <c r="H634" t="str">
        <f>VLOOKUP(G634,[1]OPERADORES!$A:$B,2,0)</f>
        <v>MIRIÃ LOBATO RODRIGUES</v>
      </c>
      <c r="I634" t="s">
        <v>21</v>
      </c>
      <c r="J634" t="s">
        <v>1691</v>
      </c>
      <c r="K634" t="s">
        <v>1692</v>
      </c>
      <c r="L634">
        <v>84560</v>
      </c>
      <c r="M634" t="s">
        <v>118</v>
      </c>
      <c r="O634" t="s">
        <v>11</v>
      </c>
      <c r="P634">
        <v>5102</v>
      </c>
      <c r="Q634">
        <v>1</v>
      </c>
      <c r="R634">
        <v>46.9</v>
      </c>
      <c r="S634">
        <v>46.9</v>
      </c>
      <c r="T634">
        <v>39.159999999999997</v>
      </c>
      <c r="U634">
        <v>16.5</v>
      </c>
      <c r="V634" t="str">
        <f>VLOOKUP(L634,'[2]tabela de preços'!$A:$D,4,0)</f>
        <v>BRASILUX</v>
      </c>
      <c r="W634" t="str">
        <f>VLOOKUP(L634,'[2]tabela de preços'!$A:$F,6,0)</f>
        <v>THINNER DE LIMPEZA</v>
      </c>
      <c r="X634" t="str">
        <f>VLOOKUP(L634,'[2]tabela de preços'!$A:$G,7,0)</f>
        <v>THINNER</v>
      </c>
    </row>
    <row r="635" spans="1:24" x14ac:dyDescent="0.3">
      <c r="A635" t="s">
        <v>1871</v>
      </c>
      <c r="C635" t="s">
        <v>1872</v>
      </c>
      <c r="D635" s="1">
        <v>46031</v>
      </c>
      <c r="E635" t="s">
        <v>1873</v>
      </c>
      <c r="F635">
        <v>9</v>
      </c>
      <c r="G635">
        <v>174</v>
      </c>
      <c r="H635" t="str">
        <f>VLOOKUP(G635,[1]OPERADORES!$A:$B,2,0)</f>
        <v>MIRIÃ LOBATO RODRIGUES</v>
      </c>
      <c r="I635" t="s">
        <v>21</v>
      </c>
      <c r="J635" t="s">
        <v>350</v>
      </c>
      <c r="K635" t="s">
        <v>1874</v>
      </c>
      <c r="L635">
        <v>84498</v>
      </c>
      <c r="M635" t="s">
        <v>533</v>
      </c>
      <c r="O635" t="s">
        <v>11</v>
      </c>
      <c r="P635">
        <v>5403</v>
      </c>
      <c r="Q635">
        <v>1</v>
      </c>
      <c r="R635">
        <v>412.35</v>
      </c>
      <c r="S635">
        <v>412.35</v>
      </c>
      <c r="T635">
        <v>312.98</v>
      </c>
      <c r="U635">
        <v>24.1</v>
      </c>
      <c r="V635" t="str">
        <f>VLOOKUP(L635,'[2]tabela de preços'!$A:$D,4,0)</f>
        <v>BRASILUX</v>
      </c>
      <c r="W635" t="str">
        <f>VLOOKUP(L635,'[2]tabela de preços'!$A:$F,6,0)</f>
        <v>ESMALTES</v>
      </c>
      <c r="X635" t="str">
        <f>VLOOKUP(L635,'[2]tabela de preços'!$A:$G,7,0)</f>
        <v>INDUSTRIAL</v>
      </c>
    </row>
    <row r="636" spans="1:24" x14ac:dyDescent="0.3">
      <c r="A636" t="s">
        <v>1871</v>
      </c>
      <c r="C636" t="s">
        <v>1872</v>
      </c>
      <c r="D636" s="1">
        <v>46031</v>
      </c>
      <c r="E636" t="s">
        <v>1873</v>
      </c>
      <c r="F636">
        <v>9</v>
      </c>
      <c r="G636">
        <v>174</v>
      </c>
      <c r="H636" t="str">
        <f>VLOOKUP(G636,[1]OPERADORES!$A:$B,2,0)</f>
        <v>MIRIÃ LOBATO RODRIGUES</v>
      </c>
      <c r="I636" t="s">
        <v>21</v>
      </c>
      <c r="J636" t="s">
        <v>350</v>
      </c>
      <c r="K636" t="s">
        <v>1874</v>
      </c>
      <c r="L636">
        <v>84499</v>
      </c>
      <c r="M636" t="s">
        <v>534</v>
      </c>
      <c r="O636" t="s">
        <v>11</v>
      </c>
      <c r="P636">
        <v>5102</v>
      </c>
      <c r="Q636">
        <v>1</v>
      </c>
      <c r="R636">
        <v>176.61</v>
      </c>
      <c r="S636">
        <v>176.61</v>
      </c>
      <c r="T636">
        <v>134.05000000000001</v>
      </c>
      <c r="U636">
        <v>24.1</v>
      </c>
      <c r="V636" t="str">
        <f>VLOOKUP(L636,'[2]tabela de preços'!$A:$D,4,0)</f>
        <v>BRASILUX</v>
      </c>
      <c r="W636" t="str">
        <f>VLOOKUP(L636,'[2]tabela de preços'!$A:$F,6,0)</f>
        <v>THINNER DE LIMPEZA</v>
      </c>
      <c r="X636" t="str">
        <f>VLOOKUP(L636,'[2]tabela de preços'!$A:$G,7,0)</f>
        <v>THINNER</v>
      </c>
    </row>
    <row r="637" spans="1:24" x14ac:dyDescent="0.3">
      <c r="A637" t="s">
        <v>1996</v>
      </c>
      <c r="C637" t="s">
        <v>1997</v>
      </c>
      <c r="D637" s="1">
        <v>46031</v>
      </c>
      <c r="E637" t="s">
        <v>1998</v>
      </c>
      <c r="F637">
        <v>9</v>
      </c>
      <c r="G637">
        <v>231</v>
      </c>
      <c r="H637" t="str">
        <f>VLOOKUP(G637,[1]OPERADORES!$A:$B,2,0)</f>
        <v>EDIJANE</v>
      </c>
      <c r="I637" t="s">
        <v>21</v>
      </c>
      <c r="J637" t="s">
        <v>550</v>
      </c>
      <c r="K637" t="s">
        <v>1999</v>
      </c>
      <c r="L637">
        <v>85462</v>
      </c>
      <c r="M637" t="s">
        <v>1823</v>
      </c>
      <c r="O637" t="s">
        <v>11</v>
      </c>
      <c r="P637">
        <v>5102</v>
      </c>
      <c r="Q637">
        <v>6</v>
      </c>
      <c r="R637">
        <v>7.54</v>
      </c>
      <c r="S637">
        <v>45.24</v>
      </c>
      <c r="T637">
        <v>34.32</v>
      </c>
      <c r="U637">
        <v>24.14</v>
      </c>
      <c r="V637" t="str">
        <f>VLOOKUP(L637,'[2]tabela de preços'!$A:$D,4,0)</f>
        <v>TEK BOND</v>
      </c>
      <c r="W637" t="str">
        <f>VLOOKUP(L637,'[2]tabela de preços'!$A:$F,6,0)</f>
        <v>COLA INST./ ADESIVOS COLANTES</v>
      </c>
      <c r="X637" t="str">
        <f>VLOOKUP(L637,'[2]tabela de preços'!$A:$G,7,0)</f>
        <v>AUTOMOTIVO</v>
      </c>
    </row>
    <row r="638" spans="1:24" x14ac:dyDescent="0.3">
      <c r="A638" t="s">
        <v>1996</v>
      </c>
      <c r="C638" t="s">
        <v>1997</v>
      </c>
      <c r="D638" s="1">
        <v>46031</v>
      </c>
      <c r="E638" t="s">
        <v>1998</v>
      </c>
      <c r="F638">
        <v>9</v>
      </c>
      <c r="G638">
        <v>231</v>
      </c>
      <c r="H638" t="str">
        <f>VLOOKUP(G638,[1]OPERADORES!$A:$B,2,0)</f>
        <v>EDIJANE</v>
      </c>
      <c r="I638" t="s">
        <v>21</v>
      </c>
      <c r="J638" t="s">
        <v>550</v>
      </c>
      <c r="K638" t="s">
        <v>1999</v>
      </c>
      <c r="L638">
        <v>86874</v>
      </c>
      <c r="M638" t="s">
        <v>513</v>
      </c>
      <c r="O638" t="s">
        <v>11</v>
      </c>
      <c r="P638">
        <v>5102</v>
      </c>
      <c r="Q638">
        <v>2</v>
      </c>
      <c r="R638">
        <v>15.61</v>
      </c>
      <c r="S638">
        <v>31.22</v>
      </c>
      <c r="T638">
        <v>23.7</v>
      </c>
      <c r="U638">
        <v>24.09</v>
      </c>
      <c r="V638" t="str">
        <f>VLOOKUP(L638,'[2]tabela de preços'!$A:$D,4,0)</f>
        <v>UNIFORTE</v>
      </c>
      <c r="W638" t="str">
        <f>VLOOKUP(L638,'[2]tabela de preços'!$A:$F,6,0)</f>
        <v>ASSENTOS / SIFÕES</v>
      </c>
      <c r="X638" t="str">
        <f>VLOOKUP(L638,'[2]tabela de preços'!$A:$G,7,0)</f>
        <v>IMOBILIÁRIO</v>
      </c>
    </row>
    <row r="639" spans="1:24" x14ac:dyDescent="0.3">
      <c r="A639" t="s">
        <v>1996</v>
      </c>
      <c r="C639" t="s">
        <v>1997</v>
      </c>
      <c r="D639" s="1">
        <v>46031</v>
      </c>
      <c r="E639" t="s">
        <v>1998</v>
      </c>
      <c r="F639">
        <v>9</v>
      </c>
      <c r="G639">
        <v>231</v>
      </c>
      <c r="H639" t="str">
        <f>VLOOKUP(G639,[1]OPERADORES!$A:$B,2,0)</f>
        <v>EDIJANE</v>
      </c>
      <c r="I639" t="s">
        <v>21</v>
      </c>
      <c r="J639" t="s">
        <v>550</v>
      </c>
      <c r="K639" t="s">
        <v>1999</v>
      </c>
      <c r="L639">
        <v>85680</v>
      </c>
      <c r="M639" t="s">
        <v>669</v>
      </c>
      <c r="O639" t="s">
        <v>11</v>
      </c>
      <c r="P639">
        <v>5102</v>
      </c>
      <c r="Q639">
        <v>6</v>
      </c>
      <c r="R639">
        <v>3.86</v>
      </c>
      <c r="S639">
        <v>23.16</v>
      </c>
      <c r="T639">
        <v>17.579999999999998</v>
      </c>
      <c r="U639">
        <v>24.09</v>
      </c>
      <c r="V639" t="str">
        <f>VLOOKUP(L639,'[2]tabela de preços'!$A:$D,4,0)</f>
        <v>UNIPEGA</v>
      </c>
      <c r="W639" t="str">
        <f>VLOOKUP(L639,'[2]tabela de preços'!$A:$F,6,0)</f>
        <v>FITA ISOLANTE</v>
      </c>
      <c r="X639" t="str">
        <f>VLOOKUP(L639,'[2]tabela de preços'!$A:$G,7,0)</f>
        <v>IMOBILIÁRIO</v>
      </c>
    </row>
    <row r="640" spans="1:24" x14ac:dyDescent="0.3">
      <c r="A640" t="s">
        <v>1996</v>
      </c>
      <c r="C640" t="s">
        <v>1997</v>
      </c>
      <c r="D640" s="1">
        <v>46031</v>
      </c>
      <c r="E640" t="s">
        <v>1998</v>
      </c>
      <c r="F640">
        <v>9</v>
      </c>
      <c r="G640">
        <v>231</v>
      </c>
      <c r="H640" t="str">
        <f>VLOOKUP(G640,[1]OPERADORES!$A:$B,2,0)</f>
        <v>EDIJANE</v>
      </c>
      <c r="I640" t="s">
        <v>21</v>
      </c>
      <c r="J640" t="s">
        <v>550</v>
      </c>
      <c r="K640" t="s">
        <v>1999</v>
      </c>
      <c r="L640">
        <v>23878</v>
      </c>
      <c r="M640" t="s">
        <v>851</v>
      </c>
      <c r="O640" t="s">
        <v>11</v>
      </c>
      <c r="P640">
        <v>5102</v>
      </c>
      <c r="Q640">
        <v>3</v>
      </c>
      <c r="R640">
        <v>8.41</v>
      </c>
      <c r="S640">
        <v>25.23</v>
      </c>
      <c r="T640">
        <v>19.14</v>
      </c>
      <c r="U640">
        <v>24.14</v>
      </c>
      <c r="V640" t="str">
        <f>VLOOKUP(L640,'[2]tabela de preços'!$A:$D,4,0)</f>
        <v>ATLAS</v>
      </c>
      <c r="W640" t="str">
        <f>VLOOKUP(L640,'[2]tabela de preços'!$A:$F,6,0)</f>
        <v>ROLOS / TRINCHAS / PINCÉIS / ESPÁTULAS</v>
      </c>
      <c r="X640" t="str">
        <f>VLOOKUP(L640,'[2]tabela de preços'!$A:$G,7,0)</f>
        <v>IMOBILIÁRIO</v>
      </c>
    </row>
    <row r="641" spans="1:24" x14ac:dyDescent="0.3">
      <c r="A641" t="s">
        <v>1996</v>
      </c>
      <c r="C641" t="s">
        <v>1997</v>
      </c>
      <c r="D641" s="1">
        <v>46031</v>
      </c>
      <c r="E641" t="s">
        <v>1998</v>
      </c>
      <c r="F641">
        <v>9</v>
      </c>
      <c r="G641">
        <v>231</v>
      </c>
      <c r="H641" t="str">
        <f>VLOOKUP(G641,[1]OPERADORES!$A:$B,2,0)</f>
        <v>EDIJANE</v>
      </c>
      <c r="I641" t="s">
        <v>21</v>
      </c>
      <c r="J641" t="s">
        <v>550</v>
      </c>
      <c r="K641" t="s">
        <v>1999</v>
      </c>
      <c r="L641">
        <v>83992</v>
      </c>
      <c r="M641" t="s">
        <v>1038</v>
      </c>
      <c r="O641" t="s">
        <v>11</v>
      </c>
      <c r="P641">
        <v>5102</v>
      </c>
      <c r="Q641">
        <v>10</v>
      </c>
      <c r="R641">
        <v>2.41</v>
      </c>
      <c r="S641">
        <v>24.1</v>
      </c>
      <c r="T641">
        <v>18.3</v>
      </c>
      <c r="U641">
        <v>24.07</v>
      </c>
      <c r="V641" t="str">
        <f>VLOOKUP(L641,'[2]tabela de preços'!$A:$D,4,0)</f>
        <v>3M</v>
      </c>
      <c r="W641" t="str">
        <f>VLOOKUP(L641,'[2]tabela de preços'!$A:$F,6,0)</f>
        <v>LIXA FERRO</v>
      </c>
      <c r="X641" t="str">
        <f>VLOOKUP(L641,'[2]tabela de preços'!$A:$G,7,0)</f>
        <v>IMOBILIÁRIO</v>
      </c>
    </row>
    <row r="642" spans="1:24" x14ac:dyDescent="0.3">
      <c r="A642" t="s">
        <v>1996</v>
      </c>
      <c r="C642" t="s">
        <v>1997</v>
      </c>
      <c r="D642" s="1">
        <v>46031</v>
      </c>
      <c r="E642" t="s">
        <v>1998</v>
      </c>
      <c r="F642">
        <v>9</v>
      </c>
      <c r="G642">
        <v>231</v>
      </c>
      <c r="H642" t="str">
        <f>VLOOKUP(G642,[1]OPERADORES!$A:$B,2,0)</f>
        <v>EDIJANE</v>
      </c>
      <c r="I642" t="s">
        <v>21</v>
      </c>
      <c r="J642" t="s">
        <v>550</v>
      </c>
      <c r="K642" t="s">
        <v>1999</v>
      </c>
      <c r="L642">
        <v>84019</v>
      </c>
      <c r="M642" t="s">
        <v>2000</v>
      </c>
      <c r="O642" t="s">
        <v>11</v>
      </c>
      <c r="P642">
        <v>5102</v>
      </c>
      <c r="Q642">
        <v>20</v>
      </c>
      <c r="R642">
        <v>0.82</v>
      </c>
      <c r="S642">
        <v>16.399999999999999</v>
      </c>
      <c r="T642">
        <v>13.8</v>
      </c>
      <c r="U642">
        <v>15.85</v>
      </c>
      <c r="V642" t="str">
        <f>VLOOKUP(L642,'[2]tabela de preços'!$A:$D,4,0)</f>
        <v>3M</v>
      </c>
      <c r="W642" t="str">
        <f>VLOOKUP(L642,'[2]tabela de preços'!$A:$F,6,0)</f>
        <v>LIXA MASSA  /MADEIRA / PAREDE</v>
      </c>
      <c r="X642" t="str">
        <f>VLOOKUP(L642,'[2]tabela de preços'!$A:$G,7,0)</f>
        <v>IMOBILIÁRIO</v>
      </c>
    </row>
    <row r="643" spans="1:24" x14ac:dyDescent="0.3">
      <c r="A643" t="s">
        <v>1996</v>
      </c>
      <c r="C643" t="s">
        <v>1997</v>
      </c>
      <c r="D643" s="1">
        <v>46031</v>
      </c>
      <c r="E643" t="s">
        <v>1998</v>
      </c>
      <c r="F643">
        <v>9</v>
      </c>
      <c r="G643">
        <v>231</v>
      </c>
      <c r="H643" t="str">
        <f>VLOOKUP(G643,[1]OPERADORES!$A:$B,2,0)</f>
        <v>EDIJANE</v>
      </c>
      <c r="I643" t="s">
        <v>21</v>
      </c>
      <c r="J643" t="s">
        <v>550</v>
      </c>
      <c r="K643" t="s">
        <v>1999</v>
      </c>
      <c r="L643">
        <v>84431</v>
      </c>
      <c r="M643" t="s">
        <v>1369</v>
      </c>
      <c r="O643" t="s">
        <v>11</v>
      </c>
      <c r="P643">
        <v>5102</v>
      </c>
      <c r="Q643">
        <v>3</v>
      </c>
      <c r="R643">
        <v>8.9600000000000009</v>
      </c>
      <c r="S643">
        <v>26.88</v>
      </c>
      <c r="T643">
        <v>20.399999999999999</v>
      </c>
      <c r="U643">
        <v>24.11</v>
      </c>
      <c r="V643" t="str">
        <f>VLOOKUP(L643,'[2]tabela de preços'!$A:$D,4,0)</f>
        <v>ATLAS</v>
      </c>
      <c r="W643" t="str">
        <f>VLOOKUP(L643,'[2]tabela de preços'!$A:$F,6,0)</f>
        <v>ROLOS / TRINCHAS / PINCÉIS / ESPÁTULAS</v>
      </c>
      <c r="X643" t="str">
        <f>VLOOKUP(L643,'[2]tabela de preços'!$A:$G,7,0)</f>
        <v>IMOBILIÁRIO</v>
      </c>
    </row>
    <row r="644" spans="1:24" x14ac:dyDescent="0.3">
      <c r="A644" t="s">
        <v>1996</v>
      </c>
      <c r="C644" t="s">
        <v>1997</v>
      </c>
      <c r="D644" s="1">
        <v>46031</v>
      </c>
      <c r="E644" t="s">
        <v>1998</v>
      </c>
      <c r="F644">
        <v>9</v>
      </c>
      <c r="G644">
        <v>231</v>
      </c>
      <c r="H644" t="str">
        <f>VLOOKUP(G644,[1]OPERADORES!$A:$B,2,0)</f>
        <v>EDIJANE</v>
      </c>
      <c r="I644" t="s">
        <v>21</v>
      </c>
      <c r="J644" t="s">
        <v>550</v>
      </c>
      <c r="K644" t="s">
        <v>1999</v>
      </c>
      <c r="L644">
        <v>85683</v>
      </c>
      <c r="M644" t="s">
        <v>521</v>
      </c>
      <c r="O644" t="s">
        <v>11</v>
      </c>
      <c r="P644">
        <v>5102</v>
      </c>
      <c r="Q644">
        <v>3</v>
      </c>
      <c r="R644">
        <v>8.68</v>
      </c>
      <c r="S644">
        <v>26.04</v>
      </c>
      <c r="T644">
        <v>19.77</v>
      </c>
      <c r="U644">
        <v>24.08</v>
      </c>
      <c r="V644" t="str">
        <f>VLOOKUP(L644,'[2]tabela de preços'!$A:$D,4,0)</f>
        <v>UNIPEGA</v>
      </c>
      <c r="W644" t="str">
        <f>VLOOKUP(L644,'[2]tabela de preços'!$A:$F,6,0)</f>
        <v>SILICONE</v>
      </c>
      <c r="X644" t="str">
        <f>VLOOKUP(L644,'[2]tabela de preços'!$A:$G,7,0)</f>
        <v>IMOBILIÁRIO</v>
      </c>
    </row>
    <row r="645" spans="1:24" x14ac:dyDescent="0.3">
      <c r="A645" t="s">
        <v>1996</v>
      </c>
      <c r="C645" t="s">
        <v>1997</v>
      </c>
      <c r="D645" s="1">
        <v>46031</v>
      </c>
      <c r="E645" t="s">
        <v>1998</v>
      </c>
      <c r="F645">
        <v>9</v>
      </c>
      <c r="G645">
        <v>231</v>
      </c>
      <c r="H645" t="str">
        <f>VLOOKUP(G645,[1]OPERADORES!$A:$B,2,0)</f>
        <v>EDIJANE</v>
      </c>
      <c r="I645" t="s">
        <v>21</v>
      </c>
      <c r="J645" t="s">
        <v>550</v>
      </c>
      <c r="K645" t="s">
        <v>1999</v>
      </c>
      <c r="L645">
        <v>85667</v>
      </c>
      <c r="M645" t="s">
        <v>472</v>
      </c>
      <c r="O645" t="s">
        <v>11</v>
      </c>
      <c r="P645">
        <v>5403</v>
      </c>
      <c r="Q645">
        <v>3</v>
      </c>
      <c r="R645">
        <v>13.89</v>
      </c>
      <c r="S645">
        <v>41.67</v>
      </c>
      <c r="T645">
        <v>35.97</v>
      </c>
      <c r="U645">
        <v>13.68</v>
      </c>
      <c r="V645" t="str">
        <f>VLOOKUP(L645,'[2]tabela de preços'!$A:$D,4,0)</f>
        <v>UNIPEGA</v>
      </c>
      <c r="W645" t="str">
        <f>VLOOKUP(L645,'[2]tabela de preços'!$A:$F,6,0)</f>
        <v xml:space="preserve">SPRAYS </v>
      </c>
      <c r="X645" t="str">
        <f>VLOOKUP(L645,'[2]tabela de preços'!$A:$G,7,0)</f>
        <v>AUTOMOTIVO</v>
      </c>
    </row>
    <row r="646" spans="1:24" x14ac:dyDescent="0.3">
      <c r="A646" t="s">
        <v>1996</v>
      </c>
      <c r="C646" t="s">
        <v>1997</v>
      </c>
      <c r="D646" s="1">
        <v>46031</v>
      </c>
      <c r="E646" t="s">
        <v>1998</v>
      </c>
      <c r="F646">
        <v>9</v>
      </c>
      <c r="G646">
        <v>231</v>
      </c>
      <c r="H646" t="str">
        <f>VLOOKUP(G646,[1]OPERADORES!$A:$B,2,0)</f>
        <v>EDIJANE</v>
      </c>
      <c r="I646" t="s">
        <v>21</v>
      </c>
      <c r="J646" t="s">
        <v>550</v>
      </c>
      <c r="K646" t="s">
        <v>1999</v>
      </c>
      <c r="L646">
        <v>85639</v>
      </c>
      <c r="M646" t="s">
        <v>474</v>
      </c>
      <c r="O646" t="s">
        <v>11</v>
      </c>
      <c r="P646">
        <v>5403</v>
      </c>
      <c r="Q646">
        <v>6</v>
      </c>
      <c r="R646">
        <v>8.19</v>
      </c>
      <c r="S646">
        <v>49.14</v>
      </c>
      <c r="T646">
        <v>41.52</v>
      </c>
      <c r="U646">
        <v>15.51</v>
      </c>
      <c r="V646" t="str">
        <f>VLOOKUP(L646,'[2]tabela de preços'!$A:$D,4,0)</f>
        <v>UNIPEGA</v>
      </c>
      <c r="W646" t="str">
        <f>VLOOKUP(L646,'[2]tabela de preços'!$A:$F,6,0)</f>
        <v xml:space="preserve">SPRAYS </v>
      </c>
      <c r="X646" t="str">
        <f>VLOOKUP(L646,'[2]tabela de preços'!$A:$G,7,0)</f>
        <v>AUTOMOTIVO</v>
      </c>
    </row>
    <row r="647" spans="1:24" x14ac:dyDescent="0.3">
      <c r="A647" t="s">
        <v>1996</v>
      </c>
      <c r="C647" t="s">
        <v>1997</v>
      </c>
      <c r="D647" s="1">
        <v>46031</v>
      </c>
      <c r="E647" t="s">
        <v>1998</v>
      </c>
      <c r="F647">
        <v>9</v>
      </c>
      <c r="G647">
        <v>231</v>
      </c>
      <c r="H647" t="str">
        <f>VLOOKUP(G647,[1]OPERADORES!$A:$B,2,0)</f>
        <v>EDIJANE</v>
      </c>
      <c r="I647" t="s">
        <v>21</v>
      </c>
      <c r="J647" t="s">
        <v>550</v>
      </c>
      <c r="K647" t="s">
        <v>1999</v>
      </c>
      <c r="L647">
        <v>85643</v>
      </c>
      <c r="M647" t="s">
        <v>476</v>
      </c>
      <c r="O647" t="s">
        <v>11</v>
      </c>
      <c r="P647">
        <v>5403</v>
      </c>
      <c r="Q647">
        <v>12</v>
      </c>
      <c r="R647">
        <v>8.19</v>
      </c>
      <c r="S647">
        <v>98.28</v>
      </c>
      <c r="T647">
        <v>80.52</v>
      </c>
      <c r="U647">
        <v>18.07</v>
      </c>
      <c r="V647" t="str">
        <f>VLOOKUP(L647,'[2]tabela de preços'!$A:$D,4,0)</f>
        <v>UNIPEGA</v>
      </c>
      <c r="W647" t="str">
        <f>VLOOKUP(L647,'[2]tabela de preços'!$A:$F,6,0)</f>
        <v xml:space="preserve">SPRAYS </v>
      </c>
      <c r="X647" t="str">
        <f>VLOOKUP(L647,'[2]tabela de preços'!$A:$G,7,0)</f>
        <v>AUTOMOTIVO</v>
      </c>
    </row>
    <row r="648" spans="1:24" x14ac:dyDescent="0.3">
      <c r="A648" t="s">
        <v>2073</v>
      </c>
      <c r="C648" t="s">
        <v>2074</v>
      </c>
      <c r="D648" s="1">
        <v>46031</v>
      </c>
      <c r="E648" t="s">
        <v>2075</v>
      </c>
      <c r="F648">
        <v>9</v>
      </c>
      <c r="G648">
        <v>174</v>
      </c>
      <c r="H648" t="str">
        <f>VLOOKUP(G648,[1]OPERADORES!$A:$B,2,0)</f>
        <v>MIRIÃ LOBATO RODRIGUES</v>
      </c>
      <c r="I648" t="s">
        <v>21</v>
      </c>
      <c r="J648" t="s">
        <v>1257</v>
      </c>
      <c r="K648" t="s">
        <v>2076</v>
      </c>
      <c r="L648">
        <v>84293</v>
      </c>
      <c r="M648" t="s">
        <v>2077</v>
      </c>
      <c r="O648" t="s">
        <v>11</v>
      </c>
      <c r="P648">
        <v>5403</v>
      </c>
      <c r="Q648">
        <v>5</v>
      </c>
      <c r="R648">
        <v>83.95</v>
      </c>
      <c r="S648">
        <v>419.75</v>
      </c>
      <c r="T648">
        <v>318.55</v>
      </c>
      <c r="U648">
        <v>24.11</v>
      </c>
      <c r="V648" t="str">
        <f>VLOOKUP(L648,'[2]tabela de preços'!$A:$D,4,0)</f>
        <v>BRASILUX</v>
      </c>
      <c r="W648" t="str">
        <f>VLOOKUP(L648,'[2]tabela de preços'!$A:$F,6,0)</f>
        <v>TINTA PAREDE</v>
      </c>
      <c r="X648" t="str">
        <f>VLOOKUP(L648,'[2]tabela de preços'!$A:$G,7,0)</f>
        <v>IMOBILIÁRIO</v>
      </c>
    </row>
    <row r="649" spans="1:24" x14ac:dyDescent="0.3">
      <c r="A649" t="s">
        <v>2073</v>
      </c>
      <c r="C649" t="s">
        <v>2074</v>
      </c>
      <c r="D649" s="1">
        <v>46031</v>
      </c>
      <c r="E649" t="s">
        <v>2075</v>
      </c>
      <c r="F649">
        <v>9</v>
      </c>
      <c r="G649">
        <v>174</v>
      </c>
      <c r="H649" t="str">
        <f>VLOOKUP(G649,[1]OPERADORES!$A:$B,2,0)</f>
        <v>MIRIÃ LOBATO RODRIGUES</v>
      </c>
      <c r="I649" t="s">
        <v>21</v>
      </c>
      <c r="J649" t="s">
        <v>1257</v>
      </c>
      <c r="K649" t="s">
        <v>2076</v>
      </c>
      <c r="L649">
        <v>84335</v>
      </c>
      <c r="M649" t="s">
        <v>269</v>
      </c>
      <c r="O649" t="s">
        <v>11</v>
      </c>
      <c r="P649">
        <v>5403</v>
      </c>
      <c r="Q649">
        <v>4</v>
      </c>
      <c r="R649">
        <v>60.89</v>
      </c>
      <c r="S649">
        <v>243.56</v>
      </c>
      <c r="T649">
        <v>202.6</v>
      </c>
      <c r="U649">
        <v>16.82</v>
      </c>
      <c r="V649" t="str">
        <f>VLOOKUP(L649,'[2]tabela de preços'!$A:$D,4,0)</f>
        <v>BRASILUX</v>
      </c>
      <c r="W649" t="str">
        <f>VLOOKUP(L649,'[2]tabela de preços'!$A:$F,6,0)</f>
        <v>ESMALTES</v>
      </c>
      <c r="X649" t="str">
        <f>VLOOKUP(L649,'[2]tabela de preços'!$A:$G,7,0)</f>
        <v>INDUSTRIAL</v>
      </c>
    </row>
    <row r="650" spans="1:24" x14ac:dyDescent="0.3">
      <c r="A650" t="s">
        <v>2073</v>
      </c>
      <c r="C650" t="s">
        <v>2074</v>
      </c>
      <c r="D650" s="1">
        <v>46031</v>
      </c>
      <c r="E650" t="s">
        <v>2075</v>
      </c>
      <c r="F650">
        <v>9</v>
      </c>
      <c r="G650">
        <v>174</v>
      </c>
      <c r="H650" t="str">
        <f>VLOOKUP(G650,[1]OPERADORES!$A:$B,2,0)</f>
        <v>MIRIÃ LOBATO RODRIGUES</v>
      </c>
      <c r="I650" t="s">
        <v>21</v>
      </c>
      <c r="J650" t="s">
        <v>1257</v>
      </c>
      <c r="K650" t="s">
        <v>2076</v>
      </c>
      <c r="L650">
        <v>84304</v>
      </c>
      <c r="M650" t="s">
        <v>2078</v>
      </c>
      <c r="O650" t="s">
        <v>11</v>
      </c>
      <c r="P650">
        <v>5403</v>
      </c>
      <c r="Q650">
        <v>5</v>
      </c>
      <c r="R650">
        <v>50.84</v>
      </c>
      <c r="S650">
        <v>254.2</v>
      </c>
      <c r="T650">
        <v>192.95</v>
      </c>
      <c r="U650">
        <v>24.1</v>
      </c>
      <c r="V650" t="str">
        <f>VLOOKUP(L650,'[2]tabela de preços'!$A:$D,4,0)</f>
        <v>BRASILUX</v>
      </c>
      <c r="W650" t="str">
        <f>VLOOKUP(L650,'[2]tabela de preços'!$A:$F,6,0)</f>
        <v>TINTA PARA PISO</v>
      </c>
      <c r="X650" t="str">
        <f>VLOOKUP(L650,'[2]tabela de preços'!$A:$G,7,0)</f>
        <v>IMOBILIÁRIO</v>
      </c>
    </row>
    <row r="651" spans="1:24" x14ac:dyDescent="0.3">
      <c r="A651" t="s">
        <v>2073</v>
      </c>
      <c r="C651" t="s">
        <v>2074</v>
      </c>
      <c r="D651" s="1">
        <v>46031</v>
      </c>
      <c r="E651" t="s">
        <v>2075</v>
      </c>
      <c r="F651">
        <v>9</v>
      </c>
      <c r="G651">
        <v>174</v>
      </c>
      <c r="H651" t="str">
        <f>VLOOKUP(G651,[1]OPERADORES!$A:$B,2,0)</f>
        <v>MIRIÃ LOBATO RODRIGUES</v>
      </c>
      <c r="I651" t="s">
        <v>21</v>
      </c>
      <c r="J651" t="s">
        <v>1257</v>
      </c>
      <c r="K651" t="s">
        <v>2076</v>
      </c>
      <c r="L651">
        <v>84762</v>
      </c>
      <c r="M651" t="s">
        <v>1014</v>
      </c>
      <c r="O651" t="s">
        <v>11</v>
      </c>
      <c r="P651">
        <v>5403</v>
      </c>
      <c r="Q651">
        <v>3</v>
      </c>
      <c r="R651">
        <v>153.99</v>
      </c>
      <c r="S651">
        <v>461.97</v>
      </c>
      <c r="T651">
        <v>350.64</v>
      </c>
      <c r="U651">
        <v>24.1</v>
      </c>
      <c r="V651" t="str">
        <f>VLOOKUP(L651,'[2]tabela de preços'!$A:$D,4,0)</f>
        <v>BRASILUX</v>
      </c>
      <c r="W651" t="str">
        <f>VLOOKUP(L651,'[2]tabela de preços'!$A:$F,6,0)</f>
        <v>EPOXI</v>
      </c>
      <c r="X651" t="str">
        <f>VLOOKUP(L651,'[2]tabela de preços'!$A:$G,7,0)</f>
        <v>INDUSTRIAL</v>
      </c>
    </row>
    <row r="652" spans="1:24" x14ac:dyDescent="0.3">
      <c r="A652" t="s">
        <v>2073</v>
      </c>
      <c r="C652" t="s">
        <v>2074</v>
      </c>
      <c r="D652" s="1">
        <v>46031</v>
      </c>
      <c r="E652" t="s">
        <v>2075</v>
      </c>
      <c r="F652">
        <v>9</v>
      </c>
      <c r="G652">
        <v>174</v>
      </c>
      <c r="H652" t="str">
        <f>VLOOKUP(G652,[1]OPERADORES!$A:$B,2,0)</f>
        <v>MIRIÃ LOBATO RODRIGUES</v>
      </c>
      <c r="I652" t="s">
        <v>21</v>
      </c>
      <c r="J652" t="s">
        <v>1257</v>
      </c>
      <c r="K652" t="s">
        <v>2076</v>
      </c>
      <c r="L652">
        <v>84036</v>
      </c>
      <c r="M652" t="s">
        <v>289</v>
      </c>
      <c r="O652" t="s">
        <v>11</v>
      </c>
      <c r="P652">
        <v>5102</v>
      </c>
      <c r="Q652">
        <v>4</v>
      </c>
      <c r="R652">
        <v>47.89</v>
      </c>
      <c r="S652">
        <v>191.56</v>
      </c>
      <c r="T652">
        <v>166.52</v>
      </c>
      <c r="U652">
        <v>13.07</v>
      </c>
      <c r="V652" t="str">
        <f>VLOOKUP(L652,'[2]tabela de preços'!$A:$D,4,0)</f>
        <v>BRASILUX</v>
      </c>
      <c r="W652" t="str">
        <f>VLOOKUP(L652,'[2]tabela de preços'!$A:$F,6,0)</f>
        <v>MASSA CORRIDA / ACRÍLICA</v>
      </c>
      <c r="X652" t="str">
        <f>VLOOKUP(L652,'[2]tabela de preços'!$A:$G,7,0)</f>
        <v>IMOBILIÁRIO</v>
      </c>
    </row>
    <row r="653" spans="1:24" x14ac:dyDescent="0.3">
      <c r="A653" t="s">
        <v>2073</v>
      </c>
      <c r="C653" t="s">
        <v>2074</v>
      </c>
      <c r="D653" s="1">
        <v>46031</v>
      </c>
      <c r="E653" t="s">
        <v>2075</v>
      </c>
      <c r="F653">
        <v>9</v>
      </c>
      <c r="G653">
        <v>174</v>
      </c>
      <c r="H653" t="str">
        <f>VLOOKUP(G653,[1]OPERADORES!$A:$B,2,0)</f>
        <v>MIRIÃ LOBATO RODRIGUES</v>
      </c>
      <c r="I653" t="s">
        <v>21</v>
      </c>
      <c r="J653" t="s">
        <v>1257</v>
      </c>
      <c r="K653" t="s">
        <v>2076</v>
      </c>
      <c r="L653">
        <v>85443</v>
      </c>
      <c r="M653" t="s">
        <v>2079</v>
      </c>
      <c r="O653" t="s">
        <v>11</v>
      </c>
      <c r="P653">
        <v>5403</v>
      </c>
      <c r="Q653">
        <v>5</v>
      </c>
      <c r="R653">
        <v>78.12</v>
      </c>
      <c r="S653">
        <v>390.6</v>
      </c>
      <c r="T653">
        <v>296.45</v>
      </c>
      <c r="U653">
        <v>24.1</v>
      </c>
      <c r="V653" t="str">
        <f>VLOOKUP(L653,'[2]tabela de preços'!$A:$D,4,0)</f>
        <v>BRASILUX</v>
      </c>
      <c r="W653" t="str">
        <f>VLOOKUP(L653,'[2]tabela de preços'!$A:$F,6,0)</f>
        <v>TINTA PARA PISO</v>
      </c>
      <c r="X653" t="str">
        <f>VLOOKUP(L653,'[2]tabela de preços'!$A:$G,7,0)</f>
        <v>IMOBILIÁRIO</v>
      </c>
    </row>
    <row r="654" spans="1:24" x14ac:dyDescent="0.3">
      <c r="A654" t="s">
        <v>2087</v>
      </c>
      <c r="C654" t="s">
        <v>2088</v>
      </c>
      <c r="D654" s="1">
        <v>46031</v>
      </c>
      <c r="E654" t="s">
        <v>2089</v>
      </c>
      <c r="F654">
        <v>9</v>
      </c>
      <c r="G654">
        <v>231</v>
      </c>
      <c r="H654" t="str">
        <f>VLOOKUP(G654,[1]OPERADORES!$A:$B,2,0)</f>
        <v>EDIJANE</v>
      </c>
      <c r="I654" t="s">
        <v>21</v>
      </c>
      <c r="J654" t="s">
        <v>2090</v>
      </c>
      <c r="K654" t="s">
        <v>2091</v>
      </c>
      <c r="L654">
        <v>84108</v>
      </c>
      <c r="M654" t="s">
        <v>144</v>
      </c>
      <c r="O654" t="s">
        <v>11</v>
      </c>
      <c r="P654">
        <v>5403</v>
      </c>
      <c r="Q654">
        <v>4</v>
      </c>
      <c r="R654">
        <v>27.29</v>
      </c>
      <c r="S654">
        <v>109.16</v>
      </c>
      <c r="T654">
        <v>82.84</v>
      </c>
      <c r="U654">
        <v>24.11</v>
      </c>
      <c r="V654" t="str">
        <f>VLOOKUP(L654,'[2]tabela de preços'!$A:$D,4,0)</f>
        <v>BRASILUX</v>
      </c>
      <c r="W654" t="str">
        <f>VLOOKUP(L654,'[2]tabela de preços'!$A:$F,6,0)</f>
        <v>TINTAS LACA</v>
      </c>
      <c r="X654" t="str">
        <f>VLOOKUP(L654,'[2]tabela de preços'!$A:$G,7,0)</f>
        <v>AUTOMOTIVO</v>
      </c>
    </row>
    <row r="655" spans="1:24" x14ac:dyDescent="0.3">
      <c r="A655" t="s">
        <v>2087</v>
      </c>
      <c r="C655" t="s">
        <v>2088</v>
      </c>
      <c r="D655" s="1">
        <v>46031</v>
      </c>
      <c r="E655" t="s">
        <v>2089</v>
      </c>
      <c r="F655">
        <v>9</v>
      </c>
      <c r="G655">
        <v>231</v>
      </c>
      <c r="H655" t="str">
        <f>VLOOKUP(G655,[1]OPERADORES!$A:$B,2,0)</f>
        <v>EDIJANE</v>
      </c>
      <c r="I655" t="s">
        <v>21</v>
      </c>
      <c r="J655" t="s">
        <v>2090</v>
      </c>
      <c r="K655" t="s">
        <v>2091</v>
      </c>
      <c r="L655">
        <v>23580</v>
      </c>
      <c r="M655" t="s">
        <v>115</v>
      </c>
      <c r="O655" t="s">
        <v>11</v>
      </c>
      <c r="P655">
        <v>5102</v>
      </c>
      <c r="Q655">
        <v>20</v>
      </c>
      <c r="R655">
        <v>0.56000000000000005</v>
      </c>
      <c r="S655">
        <v>11.2</v>
      </c>
      <c r="T655">
        <v>7.2</v>
      </c>
      <c r="U655">
        <v>35.71</v>
      </c>
      <c r="V655" t="str">
        <f>VLOOKUP(L655,'[2]tabela de preços'!$A:$D,4,0)</f>
        <v>RENOVA COADORES</v>
      </c>
      <c r="W655" t="str">
        <f>VLOOKUP(L655,'[2]tabela de preços'!$A:$F,6,0)</f>
        <v>COADORES</v>
      </c>
      <c r="X655" t="str">
        <f>VLOOKUP(L655,'[2]tabela de preços'!$A:$G,7,0)</f>
        <v>AUTOMOTIVO</v>
      </c>
    </row>
    <row r="656" spans="1:24" x14ac:dyDescent="0.3">
      <c r="A656" t="s">
        <v>2087</v>
      </c>
      <c r="C656" t="s">
        <v>2088</v>
      </c>
      <c r="D656" s="1">
        <v>46031</v>
      </c>
      <c r="E656" t="s">
        <v>2089</v>
      </c>
      <c r="F656">
        <v>9</v>
      </c>
      <c r="G656">
        <v>231</v>
      </c>
      <c r="H656" t="str">
        <f>VLOOKUP(G656,[1]OPERADORES!$A:$B,2,0)</f>
        <v>EDIJANE</v>
      </c>
      <c r="I656" t="s">
        <v>21</v>
      </c>
      <c r="J656" t="s">
        <v>2090</v>
      </c>
      <c r="K656" t="s">
        <v>2091</v>
      </c>
      <c r="L656">
        <v>10236</v>
      </c>
      <c r="M656" t="s">
        <v>133</v>
      </c>
      <c r="O656" t="s">
        <v>11</v>
      </c>
      <c r="P656">
        <v>5102</v>
      </c>
      <c r="Q656">
        <v>50</v>
      </c>
      <c r="R656">
        <v>2.79</v>
      </c>
      <c r="S656">
        <v>139.5</v>
      </c>
      <c r="T656">
        <v>118.5</v>
      </c>
      <c r="U656">
        <v>15.05</v>
      </c>
      <c r="V656" t="str">
        <f>VLOOKUP(L656,'[2]tabela de preços'!$A:$D,4,0)</f>
        <v>NORTON</v>
      </c>
      <c r="W656" t="str">
        <f>VLOOKUP(L656,'[2]tabela de preços'!$A:$F,6,0)</f>
        <v xml:space="preserve">DISCOS / LIXAS / ABRASIVOS </v>
      </c>
      <c r="X656" t="str">
        <f>VLOOKUP(L656,'[2]tabela de preços'!$A:$G,7,0)</f>
        <v>AUTOMOTIVO</v>
      </c>
    </row>
    <row r="657" spans="1:24" x14ac:dyDescent="0.3">
      <c r="A657" t="s">
        <v>2087</v>
      </c>
      <c r="C657" t="s">
        <v>2088</v>
      </c>
      <c r="D657" s="1">
        <v>46031</v>
      </c>
      <c r="E657" t="s">
        <v>2089</v>
      </c>
      <c r="F657">
        <v>9</v>
      </c>
      <c r="G657">
        <v>231</v>
      </c>
      <c r="H657" t="str">
        <f>VLOOKUP(G657,[1]OPERADORES!$A:$B,2,0)</f>
        <v>EDIJANE</v>
      </c>
      <c r="I657" t="s">
        <v>21</v>
      </c>
      <c r="J657" t="s">
        <v>2090</v>
      </c>
      <c r="K657" t="s">
        <v>2091</v>
      </c>
      <c r="L657">
        <v>10230</v>
      </c>
      <c r="M657" t="s">
        <v>193</v>
      </c>
      <c r="O657" t="s">
        <v>11</v>
      </c>
      <c r="P657">
        <v>5102</v>
      </c>
      <c r="Q657">
        <v>50</v>
      </c>
      <c r="R657">
        <v>2.79</v>
      </c>
      <c r="S657">
        <v>139.5</v>
      </c>
      <c r="T657">
        <v>118</v>
      </c>
      <c r="U657">
        <v>15.41</v>
      </c>
      <c r="V657" t="str">
        <f>VLOOKUP(L657,'[2]tabela de preços'!$A:$D,4,0)</f>
        <v>NORTON</v>
      </c>
      <c r="W657" t="str">
        <f>VLOOKUP(L657,'[2]tabela de preços'!$A:$F,6,0)</f>
        <v xml:space="preserve">DISCOS / LIXAS / ABRASIVOS </v>
      </c>
      <c r="X657" t="str">
        <f>VLOOKUP(L657,'[2]tabela de preços'!$A:$G,7,0)</f>
        <v>AUTOMOTIVO</v>
      </c>
    </row>
    <row r="658" spans="1:24" x14ac:dyDescent="0.3">
      <c r="A658" t="s">
        <v>2087</v>
      </c>
      <c r="C658" t="s">
        <v>2088</v>
      </c>
      <c r="D658" s="1">
        <v>46031</v>
      </c>
      <c r="E658" t="s">
        <v>2089</v>
      </c>
      <c r="F658">
        <v>9</v>
      </c>
      <c r="G658">
        <v>231</v>
      </c>
      <c r="H658" t="str">
        <f>VLOOKUP(G658,[1]OPERADORES!$A:$B,2,0)</f>
        <v>EDIJANE</v>
      </c>
      <c r="I658" t="s">
        <v>21</v>
      </c>
      <c r="J658" t="s">
        <v>2090</v>
      </c>
      <c r="K658" t="s">
        <v>2091</v>
      </c>
      <c r="L658">
        <v>20318</v>
      </c>
      <c r="M658" t="s">
        <v>136</v>
      </c>
      <c r="O658" t="s">
        <v>11</v>
      </c>
      <c r="P658">
        <v>5403</v>
      </c>
      <c r="Q658">
        <v>3</v>
      </c>
      <c r="R658">
        <v>33.4</v>
      </c>
      <c r="S658">
        <v>100.2</v>
      </c>
      <c r="T658">
        <v>71.430000000000007</v>
      </c>
      <c r="U658">
        <v>28.71</v>
      </c>
      <c r="V658" t="str">
        <f>VLOOKUP(L658,'[2]tabela de preços'!$A:$D,4,0)</f>
        <v>SHERWIN WILLIAMS</v>
      </c>
      <c r="W658" t="str">
        <f>VLOOKUP(L658,'[2]tabela de preços'!$A:$F,6,0)</f>
        <v>TINTAS POLIÉSTER</v>
      </c>
      <c r="X658" t="str">
        <f>VLOOKUP(L658,'[2]tabela de preços'!$A:$G,7,0)</f>
        <v>AUTOMOTIVO</v>
      </c>
    </row>
    <row r="659" spans="1:24" x14ac:dyDescent="0.3">
      <c r="A659" t="s">
        <v>2087</v>
      </c>
      <c r="C659" t="s">
        <v>2088</v>
      </c>
      <c r="D659" s="1">
        <v>46031</v>
      </c>
      <c r="E659" t="s">
        <v>2089</v>
      </c>
      <c r="F659">
        <v>9</v>
      </c>
      <c r="G659">
        <v>231</v>
      </c>
      <c r="H659" t="str">
        <f>VLOOKUP(G659,[1]OPERADORES!$A:$B,2,0)</f>
        <v>EDIJANE</v>
      </c>
      <c r="I659" t="s">
        <v>21</v>
      </c>
      <c r="J659" t="s">
        <v>2090</v>
      </c>
      <c r="K659" t="s">
        <v>2091</v>
      </c>
      <c r="L659">
        <v>20325</v>
      </c>
      <c r="M659" t="s">
        <v>150</v>
      </c>
      <c r="O659" t="s">
        <v>11</v>
      </c>
      <c r="P659">
        <v>5403</v>
      </c>
      <c r="Q659">
        <v>3</v>
      </c>
      <c r="R659">
        <v>32.299999999999997</v>
      </c>
      <c r="S659">
        <v>96.9</v>
      </c>
      <c r="T659">
        <v>69.09</v>
      </c>
      <c r="U659">
        <v>28.7</v>
      </c>
      <c r="V659" t="str">
        <f>VLOOKUP(L659,'[2]tabela de preços'!$A:$D,4,0)</f>
        <v>SHERWIN WILLIAMS</v>
      </c>
      <c r="W659" t="str">
        <f>VLOOKUP(L659,'[2]tabela de preços'!$A:$F,6,0)</f>
        <v>TINTAS POLIÉSTER</v>
      </c>
      <c r="X659" t="str">
        <f>VLOOKUP(L659,'[2]tabela de preços'!$A:$G,7,0)</f>
        <v>AUTOMOTIVO</v>
      </c>
    </row>
    <row r="660" spans="1:24" x14ac:dyDescent="0.3">
      <c r="A660" t="s">
        <v>2087</v>
      </c>
      <c r="C660" t="s">
        <v>2088</v>
      </c>
      <c r="D660" s="1">
        <v>46031</v>
      </c>
      <c r="E660" t="s">
        <v>2089</v>
      </c>
      <c r="F660">
        <v>9</v>
      </c>
      <c r="G660">
        <v>231</v>
      </c>
      <c r="H660" t="str">
        <f>VLOOKUP(G660,[1]OPERADORES!$A:$B,2,0)</f>
        <v>EDIJANE</v>
      </c>
      <c r="I660" t="s">
        <v>21</v>
      </c>
      <c r="J660" t="s">
        <v>2090</v>
      </c>
      <c r="K660" t="s">
        <v>2091</v>
      </c>
      <c r="L660">
        <v>20339</v>
      </c>
      <c r="M660" t="s">
        <v>2092</v>
      </c>
      <c r="O660" t="s">
        <v>11</v>
      </c>
      <c r="P660">
        <v>5102</v>
      </c>
      <c r="Q660">
        <v>4</v>
      </c>
      <c r="R660">
        <v>33.83</v>
      </c>
      <c r="S660">
        <v>135.32</v>
      </c>
      <c r="T660">
        <v>102.72</v>
      </c>
      <c r="U660">
        <v>24.09</v>
      </c>
      <c r="V660" t="str">
        <f>VLOOKUP(L660,'[2]tabela de preços'!$A:$D,4,0)</f>
        <v>SHERWIN WILLIAMS</v>
      </c>
      <c r="W660" t="str">
        <f>VLOOKUP(L660,'[2]tabela de preços'!$A:$F,6,0)</f>
        <v>TINTAS PU</v>
      </c>
      <c r="X660" t="str">
        <f>VLOOKUP(L660,'[2]tabela de preços'!$A:$G,7,0)</f>
        <v>AUTOMOTIVO</v>
      </c>
    </row>
    <row r="661" spans="1:24" x14ac:dyDescent="0.3">
      <c r="A661" t="s">
        <v>2087</v>
      </c>
      <c r="C661" t="s">
        <v>2088</v>
      </c>
      <c r="D661" s="1">
        <v>46031</v>
      </c>
      <c r="E661" t="s">
        <v>2089</v>
      </c>
      <c r="F661">
        <v>9</v>
      </c>
      <c r="G661">
        <v>231</v>
      </c>
      <c r="H661" t="str">
        <f>VLOOKUP(G661,[1]OPERADORES!$A:$B,2,0)</f>
        <v>EDIJANE</v>
      </c>
      <c r="I661" t="s">
        <v>21</v>
      </c>
      <c r="J661" t="s">
        <v>2090</v>
      </c>
      <c r="K661" t="s">
        <v>2091</v>
      </c>
      <c r="L661">
        <v>20846</v>
      </c>
      <c r="M661" t="s">
        <v>163</v>
      </c>
      <c r="O661" t="s">
        <v>11</v>
      </c>
      <c r="P661">
        <v>5102</v>
      </c>
      <c r="Q661">
        <v>4</v>
      </c>
      <c r="R661">
        <v>32.44</v>
      </c>
      <c r="S661">
        <v>129.76</v>
      </c>
      <c r="T661">
        <v>98.48</v>
      </c>
      <c r="U661">
        <v>24.11</v>
      </c>
      <c r="V661" t="str">
        <f>VLOOKUP(L661,'[2]tabela de preços'!$A:$D,4,0)</f>
        <v>SHERWIN WILLIAMS</v>
      </c>
      <c r="W661" t="str">
        <f>VLOOKUP(L661,'[2]tabela de preços'!$A:$F,6,0)</f>
        <v>TINTAS POLIÉSTER</v>
      </c>
      <c r="X661" t="str">
        <f>VLOOKUP(L661,'[2]tabela de preços'!$A:$G,7,0)</f>
        <v>AUTOMOTIVO</v>
      </c>
    </row>
    <row r="662" spans="1:24" x14ac:dyDescent="0.3">
      <c r="A662" t="s">
        <v>2087</v>
      </c>
      <c r="C662" t="s">
        <v>2088</v>
      </c>
      <c r="D662" s="1">
        <v>46031</v>
      </c>
      <c r="E662" t="s">
        <v>2089</v>
      </c>
      <c r="F662">
        <v>9</v>
      </c>
      <c r="G662">
        <v>231</v>
      </c>
      <c r="H662" t="str">
        <f>VLOOKUP(G662,[1]OPERADORES!$A:$B,2,0)</f>
        <v>EDIJANE</v>
      </c>
      <c r="I662" t="s">
        <v>21</v>
      </c>
      <c r="J662" t="s">
        <v>2090</v>
      </c>
      <c r="K662" t="s">
        <v>2091</v>
      </c>
      <c r="L662">
        <v>10238</v>
      </c>
      <c r="M662" t="s">
        <v>79</v>
      </c>
      <c r="O662" t="s">
        <v>11</v>
      </c>
      <c r="P662">
        <v>5102</v>
      </c>
      <c r="Q662">
        <v>50</v>
      </c>
      <c r="R662">
        <v>2.79</v>
      </c>
      <c r="S662">
        <v>139.5</v>
      </c>
      <c r="T662">
        <v>113.5</v>
      </c>
      <c r="U662">
        <v>18.64</v>
      </c>
      <c r="V662" t="str">
        <f>VLOOKUP(L662,'[2]tabela de preços'!$A:$D,4,0)</f>
        <v>NORTON</v>
      </c>
      <c r="W662" t="str">
        <f>VLOOKUP(L662,'[2]tabela de preços'!$A:$F,6,0)</f>
        <v xml:space="preserve">DISCOS / LIXAS / ABRASIVOS </v>
      </c>
      <c r="X662" t="str">
        <f>VLOOKUP(L662,'[2]tabela de preços'!$A:$G,7,0)</f>
        <v>AUTOMOTIVO</v>
      </c>
    </row>
    <row r="663" spans="1:24" x14ac:dyDescent="0.3">
      <c r="A663" t="s">
        <v>2087</v>
      </c>
      <c r="C663" t="s">
        <v>2088</v>
      </c>
      <c r="D663" s="1">
        <v>46031</v>
      </c>
      <c r="E663" t="s">
        <v>2089</v>
      </c>
      <c r="F663">
        <v>9</v>
      </c>
      <c r="G663">
        <v>231</v>
      </c>
      <c r="H663" t="str">
        <f>VLOOKUP(G663,[1]OPERADORES!$A:$B,2,0)</f>
        <v>EDIJANE</v>
      </c>
      <c r="I663" t="s">
        <v>21</v>
      </c>
      <c r="J663" t="s">
        <v>2090</v>
      </c>
      <c r="K663" t="s">
        <v>2091</v>
      </c>
      <c r="L663">
        <v>10246</v>
      </c>
      <c r="M663" t="s">
        <v>206</v>
      </c>
      <c r="O663" t="s">
        <v>11</v>
      </c>
      <c r="P663">
        <v>5102</v>
      </c>
      <c r="Q663">
        <v>50</v>
      </c>
      <c r="R663">
        <v>2.79</v>
      </c>
      <c r="S663">
        <v>139.5</v>
      </c>
      <c r="T663">
        <v>97.5</v>
      </c>
      <c r="U663">
        <v>30.11</v>
      </c>
      <c r="V663" t="str">
        <f>VLOOKUP(L663,'[2]tabela de preços'!$A:$D,4,0)</f>
        <v>NORTON</v>
      </c>
      <c r="W663" t="str">
        <f>VLOOKUP(L663,'[2]tabela de preços'!$A:$F,6,0)</f>
        <v xml:space="preserve">DISCOS / LIXAS / ABRASIVOS </v>
      </c>
      <c r="X663" t="str">
        <f>VLOOKUP(L663,'[2]tabela de preços'!$A:$G,7,0)</f>
        <v>AUTOMOTIVO</v>
      </c>
    </row>
    <row r="664" spans="1:24" x14ac:dyDescent="0.3">
      <c r="A664" t="s">
        <v>2333</v>
      </c>
      <c r="B664" t="s">
        <v>2334</v>
      </c>
      <c r="C664" t="s">
        <v>2340</v>
      </c>
      <c r="D664" s="1">
        <v>46031</v>
      </c>
      <c r="E664" t="s">
        <v>2341</v>
      </c>
      <c r="F664">
        <v>9</v>
      </c>
      <c r="G664">
        <v>174</v>
      </c>
      <c r="H664" t="str">
        <f>VLOOKUP(G664,[1]OPERADORES!$A:$B,2,0)</f>
        <v>MIRIÃ LOBATO RODRIGUES</v>
      </c>
      <c r="I664" t="s">
        <v>126</v>
      </c>
      <c r="J664" t="s">
        <v>2337</v>
      </c>
      <c r="K664" t="s">
        <v>2338</v>
      </c>
      <c r="L664">
        <v>84109</v>
      </c>
      <c r="M664" t="s">
        <v>2342</v>
      </c>
      <c r="O664" t="s">
        <v>11</v>
      </c>
      <c r="P664">
        <v>6403</v>
      </c>
      <c r="Q664">
        <v>6</v>
      </c>
      <c r="R664">
        <v>30.57</v>
      </c>
      <c r="S664">
        <v>183.42</v>
      </c>
      <c r="T664">
        <v>139.26</v>
      </c>
      <c r="U664">
        <v>24.08</v>
      </c>
      <c r="V664" t="str">
        <f>VLOOKUP(L664,'[2]tabela de preços'!$A:$D,4,0)</f>
        <v>BRASILUX</v>
      </c>
      <c r="W664" t="str">
        <f>VLOOKUP(L664,'[2]tabela de preços'!$A:$F,6,0)</f>
        <v>TINTAS LACA</v>
      </c>
      <c r="X664" t="str">
        <f>VLOOKUP(L664,'[2]tabela de preços'!$A:$G,7,0)</f>
        <v>AUTOMOTIVO</v>
      </c>
    </row>
    <row r="665" spans="1:24" x14ac:dyDescent="0.3">
      <c r="A665" t="s">
        <v>2333</v>
      </c>
      <c r="B665" t="s">
        <v>2334</v>
      </c>
      <c r="C665" t="s">
        <v>2340</v>
      </c>
      <c r="D665" s="1">
        <v>46031</v>
      </c>
      <c r="E665" t="s">
        <v>2341</v>
      </c>
      <c r="F665">
        <v>9</v>
      </c>
      <c r="G665">
        <v>174</v>
      </c>
      <c r="H665" t="str">
        <f>VLOOKUP(G665,[1]OPERADORES!$A:$B,2,0)</f>
        <v>MIRIÃ LOBATO RODRIGUES</v>
      </c>
      <c r="I665" t="s">
        <v>126</v>
      </c>
      <c r="J665" t="s">
        <v>2337</v>
      </c>
      <c r="K665" t="s">
        <v>2338</v>
      </c>
      <c r="L665">
        <v>84645</v>
      </c>
      <c r="M665" t="s">
        <v>2343</v>
      </c>
      <c r="O665" t="s">
        <v>11</v>
      </c>
      <c r="P665">
        <v>6403</v>
      </c>
      <c r="Q665">
        <v>6</v>
      </c>
      <c r="R665">
        <v>85.98</v>
      </c>
      <c r="S665">
        <v>515.88</v>
      </c>
      <c r="T665">
        <v>391.56</v>
      </c>
      <c r="U665">
        <v>24.1</v>
      </c>
      <c r="V665" t="str">
        <f>VLOOKUP(L665,'[2]tabela de preços'!$A:$D,4,0)</f>
        <v>BRASILUX</v>
      </c>
      <c r="W665" t="str">
        <f>VLOOKUP(L665,'[2]tabela de preços'!$A:$F,6,0)</f>
        <v xml:space="preserve">BASES SISTEMA NO MACHINE </v>
      </c>
      <c r="X665" t="str">
        <f>VLOOKUP(L665,'[2]tabela de preços'!$A:$G,7,0)</f>
        <v>INDUSTRIAL</v>
      </c>
    </row>
    <row r="666" spans="1:24" x14ac:dyDescent="0.3">
      <c r="A666" t="s">
        <v>2333</v>
      </c>
      <c r="B666" t="s">
        <v>2334</v>
      </c>
      <c r="C666" t="s">
        <v>2340</v>
      </c>
      <c r="D666" s="1">
        <v>46031</v>
      </c>
      <c r="E666" t="s">
        <v>2341</v>
      </c>
      <c r="F666">
        <v>9</v>
      </c>
      <c r="G666">
        <v>174</v>
      </c>
      <c r="H666" t="str">
        <f>VLOOKUP(G666,[1]OPERADORES!$A:$B,2,0)</f>
        <v>MIRIÃ LOBATO RODRIGUES</v>
      </c>
      <c r="I666" t="s">
        <v>126</v>
      </c>
      <c r="J666" t="s">
        <v>2337</v>
      </c>
      <c r="K666" t="s">
        <v>2338</v>
      </c>
      <c r="L666">
        <v>85280</v>
      </c>
      <c r="M666" t="s">
        <v>943</v>
      </c>
      <c r="O666" t="s">
        <v>11</v>
      </c>
      <c r="P666">
        <v>6102</v>
      </c>
      <c r="Q666">
        <v>12</v>
      </c>
      <c r="R666">
        <v>55.72</v>
      </c>
      <c r="S666">
        <v>668.64</v>
      </c>
      <c r="T666">
        <v>507.48</v>
      </c>
      <c r="U666">
        <v>24.1</v>
      </c>
      <c r="V666" t="str">
        <f>VLOOKUP(L666,'[2]tabela de preços'!$A:$D,4,0)</f>
        <v>BRASILUX</v>
      </c>
      <c r="W666" t="str">
        <f>VLOOKUP(L666,'[2]tabela de preços'!$A:$F,6,0)</f>
        <v>CATALISADORES INDIVIDUAIS</v>
      </c>
      <c r="X666" t="str">
        <f>VLOOKUP(L666,'[2]tabela de preços'!$A:$G,7,0)</f>
        <v>IMOBILIÁRIO</v>
      </c>
    </row>
    <row r="667" spans="1:24" x14ac:dyDescent="0.3">
      <c r="A667" t="s">
        <v>2333</v>
      </c>
      <c r="B667" t="s">
        <v>2334</v>
      </c>
      <c r="C667" t="s">
        <v>2340</v>
      </c>
      <c r="D667" s="1">
        <v>46031</v>
      </c>
      <c r="E667" t="s">
        <v>2341</v>
      </c>
      <c r="F667">
        <v>9</v>
      </c>
      <c r="G667">
        <v>174</v>
      </c>
      <c r="H667" t="str">
        <f>VLOOKUP(G667,[1]OPERADORES!$A:$B,2,0)</f>
        <v>MIRIÃ LOBATO RODRIGUES</v>
      </c>
      <c r="I667" t="s">
        <v>126</v>
      </c>
      <c r="J667" t="s">
        <v>2337</v>
      </c>
      <c r="K667" t="s">
        <v>2338</v>
      </c>
      <c r="L667">
        <v>84823</v>
      </c>
      <c r="M667" t="s">
        <v>331</v>
      </c>
      <c r="O667" t="s">
        <v>11</v>
      </c>
      <c r="P667">
        <v>6102</v>
      </c>
      <c r="Q667">
        <v>6</v>
      </c>
      <c r="R667">
        <v>94.64</v>
      </c>
      <c r="S667">
        <v>567.84</v>
      </c>
      <c r="T667">
        <v>430.98</v>
      </c>
      <c r="U667">
        <v>24.1</v>
      </c>
      <c r="V667" t="str">
        <f>VLOOKUP(L667,'[2]tabela de preços'!$A:$D,4,0)</f>
        <v>BRASILUX</v>
      </c>
      <c r="W667" t="str">
        <f>VLOOKUP(L667,'[2]tabela de preços'!$A:$F,6,0)</f>
        <v>DILUENTE</v>
      </c>
      <c r="X667" t="str">
        <f>VLOOKUP(L667,'[2]tabela de preços'!$A:$G,7,0)</f>
        <v>AUTOMOTIVO</v>
      </c>
    </row>
    <row r="668" spans="1:24" x14ac:dyDescent="0.3">
      <c r="A668" t="s">
        <v>2333</v>
      </c>
      <c r="B668" t="s">
        <v>2334</v>
      </c>
      <c r="C668" t="s">
        <v>2340</v>
      </c>
      <c r="D668" s="1">
        <v>46031</v>
      </c>
      <c r="E668" t="s">
        <v>2341</v>
      </c>
      <c r="F668">
        <v>9</v>
      </c>
      <c r="G668">
        <v>174</v>
      </c>
      <c r="H668" t="str">
        <f>VLOOKUP(G668,[1]OPERADORES!$A:$B,2,0)</f>
        <v>MIRIÃ LOBATO RODRIGUES</v>
      </c>
      <c r="I668" t="s">
        <v>126</v>
      </c>
      <c r="J668" t="s">
        <v>2337</v>
      </c>
      <c r="K668" t="s">
        <v>2338</v>
      </c>
      <c r="L668">
        <v>84557</v>
      </c>
      <c r="M668" t="s">
        <v>116</v>
      </c>
      <c r="O668" t="s">
        <v>11</v>
      </c>
      <c r="P668">
        <v>6102</v>
      </c>
      <c r="Q668">
        <v>18</v>
      </c>
      <c r="R668">
        <v>18.39</v>
      </c>
      <c r="S668">
        <v>331.02</v>
      </c>
      <c r="T668">
        <v>251.28</v>
      </c>
      <c r="U668">
        <v>24.09</v>
      </c>
      <c r="V668" t="str">
        <f>VLOOKUP(L668,'[2]tabela de preços'!$A:$D,4,0)</f>
        <v>BRASILUX</v>
      </c>
      <c r="W668" t="str">
        <f>VLOOKUP(L668,'[2]tabela de preços'!$A:$F,6,0)</f>
        <v>DILUENTE</v>
      </c>
      <c r="X668" t="str">
        <f>VLOOKUP(L668,'[2]tabela de preços'!$A:$G,7,0)</f>
        <v>AUTOMOTIVO</v>
      </c>
    </row>
    <row r="669" spans="1:24" x14ac:dyDescent="0.3">
      <c r="A669" t="s">
        <v>2333</v>
      </c>
      <c r="B669" t="s">
        <v>2334</v>
      </c>
      <c r="C669" t="s">
        <v>2340</v>
      </c>
      <c r="D669" s="1">
        <v>46031</v>
      </c>
      <c r="E669" t="s">
        <v>2341</v>
      </c>
      <c r="F669">
        <v>9</v>
      </c>
      <c r="G669">
        <v>174</v>
      </c>
      <c r="H669" t="str">
        <f>VLOOKUP(G669,[1]OPERADORES!$A:$B,2,0)</f>
        <v>MIRIÃ LOBATO RODRIGUES</v>
      </c>
      <c r="I669" t="s">
        <v>126</v>
      </c>
      <c r="J669" t="s">
        <v>2337</v>
      </c>
      <c r="K669" t="s">
        <v>2338</v>
      </c>
      <c r="L669">
        <v>23878</v>
      </c>
      <c r="M669" t="s">
        <v>851</v>
      </c>
      <c r="O669" t="s">
        <v>11</v>
      </c>
      <c r="P669">
        <v>6102</v>
      </c>
      <c r="Q669">
        <v>24</v>
      </c>
      <c r="R669">
        <v>8.41</v>
      </c>
      <c r="S669">
        <v>201.84</v>
      </c>
      <c r="T669">
        <v>153.12</v>
      </c>
      <c r="U669">
        <v>24.14</v>
      </c>
      <c r="V669" t="str">
        <f>VLOOKUP(L669,'[2]tabela de preços'!$A:$D,4,0)</f>
        <v>ATLAS</v>
      </c>
      <c r="W669" t="str">
        <f>VLOOKUP(L669,'[2]tabela de preços'!$A:$F,6,0)</f>
        <v>ROLOS / TRINCHAS / PINCÉIS / ESPÁTULAS</v>
      </c>
      <c r="X669" t="str">
        <f>VLOOKUP(L669,'[2]tabela de preços'!$A:$G,7,0)</f>
        <v>IMOBILIÁRIO</v>
      </c>
    </row>
    <row r="670" spans="1:24" x14ac:dyDescent="0.3">
      <c r="A670" t="s">
        <v>2333</v>
      </c>
      <c r="B670" t="s">
        <v>2334</v>
      </c>
      <c r="C670" t="s">
        <v>2340</v>
      </c>
      <c r="D670" s="1">
        <v>46031</v>
      </c>
      <c r="E670" t="s">
        <v>2341</v>
      </c>
      <c r="F670">
        <v>9</v>
      </c>
      <c r="G670">
        <v>174</v>
      </c>
      <c r="H670" t="str">
        <f>VLOOKUP(G670,[1]OPERADORES!$A:$B,2,0)</f>
        <v>MIRIÃ LOBATO RODRIGUES</v>
      </c>
      <c r="I670" t="s">
        <v>126</v>
      </c>
      <c r="J670" t="s">
        <v>2337</v>
      </c>
      <c r="K670" t="s">
        <v>2338</v>
      </c>
      <c r="L670">
        <v>83992</v>
      </c>
      <c r="M670" t="s">
        <v>1038</v>
      </c>
      <c r="O670" t="s">
        <v>11</v>
      </c>
      <c r="P670">
        <v>6102</v>
      </c>
      <c r="Q670">
        <v>50</v>
      </c>
      <c r="R670">
        <v>2.84</v>
      </c>
      <c r="S670">
        <v>142</v>
      </c>
      <c r="T670">
        <v>91.5</v>
      </c>
      <c r="U670">
        <v>35.56</v>
      </c>
      <c r="V670" t="str">
        <f>VLOOKUP(L670,'[2]tabela de preços'!$A:$D,4,0)</f>
        <v>3M</v>
      </c>
      <c r="W670" t="str">
        <f>VLOOKUP(L670,'[2]tabela de preços'!$A:$F,6,0)</f>
        <v>LIXA FERRO</v>
      </c>
      <c r="X670" t="str">
        <f>VLOOKUP(L670,'[2]tabela de preços'!$A:$G,7,0)</f>
        <v>IMOBILIÁRIO</v>
      </c>
    </row>
    <row r="671" spans="1:24" x14ac:dyDescent="0.3">
      <c r="A671" t="s">
        <v>2333</v>
      </c>
      <c r="B671" t="s">
        <v>2334</v>
      </c>
      <c r="C671" t="s">
        <v>2340</v>
      </c>
      <c r="D671" s="1">
        <v>46031</v>
      </c>
      <c r="E671" t="s">
        <v>2341</v>
      </c>
      <c r="F671">
        <v>9</v>
      </c>
      <c r="G671">
        <v>174</v>
      </c>
      <c r="H671" t="str">
        <f>VLOOKUP(G671,[1]OPERADORES!$A:$B,2,0)</f>
        <v>MIRIÃ LOBATO RODRIGUES</v>
      </c>
      <c r="I671" t="s">
        <v>126</v>
      </c>
      <c r="J671" t="s">
        <v>2337</v>
      </c>
      <c r="K671" t="s">
        <v>2338</v>
      </c>
      <c r="L671">
        <v>84015</v>
      </c>
      <c r="M671" t="s">
        <v>2344</v>
      </c>
      <c r="O671" t="s">
        <v>11</v>
      </c>
      <c r="P671">
        <v>6102</v>
      </c>
      <c r="Q671">
        <v>100</v>
      </c>
      <c r="R671">
        <v>0.52</v>
      </c>
      <c r="S671">
        <v>52</v>
      </c>
      <c r="T671">
        <v>46</v>
      </c>
      <c r="U671">
        <v>11.54</v>
      </c>
      <c r="V671" t="str">
        <f>VLOOKUP(L671,'[2]tabela de preços'!$A:$D,4,0)</f>
        <v>3M</v>
      </c>
      <c r="W671" t="str">
        <f>VLOOKUP(L671,'[2]tabela de preços'!$A:$F,6,0)</f>
        <v>LIXA MASSA  /MADEIRA / PAREDE</v>
      </c>
      <c r="X671" t="str">
        <f>VLOOKUP(L671,'[2]tabela de preços'!$A:$G,7,0)</f>
        <v>IMOBILIÁRIO</v>
      </c>
    </row>
    <row r="672" spans="1:24" x14ac:dyDescent="0.3">
      <c r="A672" t="s">
        <v>2333</v>
      </c>
      <c r="B672" t="s">
        <v>2334</v>
      </c>
      <c r="C672" t="s">
        <v>2340</v>
      </c>
      <c r="D672" s="1">
        <v>46031</v>
      </c>
      <c r="E672" t="s">
        <v>2341</v>
      </c>
      <c r="F672">
        <v>9</v>
      </c>
      <c r="G672">
        <v>174</v>
      </c>
      <c r="H672" t="str">
        <f>VLOOKUP(G672,[1]OPERADORES!$A:$B,2,0)</f>
        <v>MIRIÃ LOBATO RODRIGUES</v>
      </c>
      <c r="I672" t="s">
        <v>126</v>
      </c>
      <c r="J672" t="s">
        <v>2337</v>
      </c>
      <c r="K672" t="s">
        <v>2338</v>
      </c>
      <c r="L672">
        <v>84021</v>
      </c>
      <c r="M672" t="s">
        <v>1945</v>
      </c>
      <c r="O672" t="s">
        <v>11</v>
      </c>
      <c r="P672">
        <v>6102</v>
      </c>
      <c r="Q672">
        <v>100</v>
      </c>
      <c r="R672">
        <v>0.52</v>
      </c>
      <c r="S672">
        <v>52</v>
      </c>
      <c r="T672">
        <v>46</v>
      </c>
      <c r="U672">
        <v>11.54</v>
      </c>
      <c r="V672" t="str">
        <f>VLOOKUP(L672,'[2]tabela de preços'!$A:$D,4,0)</f>
        <v>3M</v>
      </c>
      <c r="W672" t="str">
        <f>VLOOKUP(L672,'[2]tabela de preços'!$A:$F,6,0)</f>
        <v>LIXA MASSA  /MADEIRA / PAREDE</v>
      </c>
      <c r="X672" t="str">
        <f>VLOOKUP(L672,'[2]tabela de preços'!$A:$G,7,0)</f>
        <v>IMOBILIÁRIO</v>
      </c>
    </row>
    <row r="673" spans="1:24" x14ac:dyDescent="0.3">
      <c r="A673" t="s">
        <v>2333</v>
      </c>
      <c r="B673" t="s">
        <v>2334</v>
      </c>
      <c r="C673" t="s">
        <v>2340</v>
      </c>
      <c r="D673" s="1">
        <v>46031</v>
      </c>
      <c r="E673" t="s">
        <v>2341</v>
      </c>
      <c r="F673">
        <v>9</v>
      </c>
      <c r="G673">
        <v>174</v>
      </c>
      <c r="H673" t="str">
        <f>VLOOKUP(G673,[1]OPERADORES!$A:$B,2,0)</f>
        <v>MIRIÃ LOBATO RODRIGUES</v>
      </c>
      <c r="I673" t="s">
        <v>126</v>
      </c>
      <c r="J673" t="s">
        <v>2337</v>
      </c>
      <c r="K673" t="s">
        <v>2338</v>
      </c>
      <c r="L673">
        <v>10402</v>
      </c>
      <c r="M673" t="s">
        <v>138</v>
      </c>
      <c r="O673" t="s">
        <v>11</v>
      </c>
      <c r="P673">
        <v>6102</v>
      </c>
      <c r="Q673">
        <v>6</v>
      </c>
      <c r="R673">
        <v>22.83</v>
      </c>
      <c r="S673">
        <v>136.97999999999999</v>
      </c>
      <c r="T673">
        <v>103.98</v>
      </c>
      <c r="U673">
        <v>24.09</v>
      </c>
      <c r="V673" t="str">
        <f>VLOOKUP(L673,'[2]tabela de preços'!$A:$D,4,0)</f>
        <v>MAXI RUBBER</v>
      </c>
      <c r="W673" t="str">
        <f>VLOOKUP(L673,'[2]tabela de preços'!$A:$F,6,0)</f>
        <v>REMOVEDOR PASTOSO</v>
      </c>
      <c r="X673" t="str">
        <f>VLOOKUP(L673,'[2]tabela de preços'!$A:$G,7,0)</f>
        <v>AUTOMOTIVO</v>
      </c>
    </row>
    <row r="674" spans="1:24" x14ac:dyDescent="0.3">
      <c r="A674" t="s">
        <v>2333</v>
      </c>
      <c r="B674" t="s">
        <v>2334</v>
      </c>
      <c r="C674" t="s">
        <v>2340</v>
      </c>
      <c r="D674" s="1">
        <v>46031</v>
      </c>
      <c r="E674" t="s">
        <v>2341</v>
      </c>
      <c r="F674">
        <v>9</v>
      </c>
      <c r="G674">
        <v>174</v>
      </c>
      <c r="H674" t="str">
        <f>VLOOKUP(G674,[1]OPERADORES!$A:$B,2,0)</f>
        <v>MIRIÃ LOBATO RODRIGUES</v>
      </c>
      <c r="I674" t="s">
        <v>126</v>
      </c>
      <c r="J674" t="s">
        <v>2337</v>
      </c>
      <c r="K674" t="s">
        <v>2338</v>
      </c>
      <c r="L674">
        <v>84425</v>
      </c>
      <c r="M674" t="s">
        <v>616</v>
      </c>
      <c r="O674" t="s">
        <v>11</v>
      </c>
      <c r="P674">
        <v>6102</v>
      </c>
      <c r="Q674">
        <v>12</v>
      </c>
      <c r="R674">
        <v>3.52</v>
      </c>
      <c r="S674">
        <v>42.24</v>
      </c>
      <c r="T674">
        <v>32.04</v>
      </c>
      <c r="U674">
        <v>24.15</v>
      </c>
      <c r="V674" t="str">
        <f>VLOOKUP(L674,'[2]tabela de preços'!$A:$D,4,0)</f>
        <v>ATLAS</v>
      </c>
      <c r="W674" t="str">
        <f>VLOOKUP(L674,'[2]tabela de preços'!$A:$F,6,0)</f>
        <v>ROLOS / TRINCHAS / PINCÉIS / ESPÁTULAS</v>
      </c>
      <c r="X674" t="str">
        <f>VLOOKUP(L674,'[2]tabela de preços'!$A:$G,7,0)</f>
        <v>IMOBILIÁRIO</v>
      </c>
    </row>
    <row r="675" spans="1:24" x14ac:dyDescent="0.3">
      <c r="A675" t="s">
        <v>2333</v>
      </c>
      <c r="B675" t="s">
        <v>2334</v>
      </c>
      <c r="C675" t="s">
        <v>2340</v>
      </c>
      <c r="D675" s="1">
        <v>46031</v>
      </c>
      <c r="E675" t="s">
        <v>2341</v>
      </c>
      <c r="F675">
        <v>9</v>
      </c>
      <c r="G675">
        <v>174</v>
      </c>
      <c r="H675" t="str">
        <f>VLOOKUP(G675,[1]OPERADORES!$A:$B,2,0)</f>
        <v>MIRIÃ LOBATO RODRIGUES</v>
      </c>
      <c r="I675" t="s">
        <v>126</v>
      </c>
      <c r="J675" t="s">
        <v>2337</v>
      </c>
      <c r="K675" t="s">
        <v>2338</v>
      </c>
      <c r="L675">
        <v>84423</v>
      </c>
      <c r="M675" t="s">
        <v>1198</v>
      </c>
      <c r="O675" t="s">
        <v>11</v>
      </c>
      <c r="P675">
        <v>6102</v>
      </c>
      <c r="Q675">
        <v>10</v>
      </c>
      <c r="R675">
        <v>17.82</v>
      </c>
      <c r="S675">
        <v>178.2</v>
      </c>
      <c r="T675">
        <v>135.19999999999999</v>
      </c>
      <c r="U675">
        <v>24.13</v>
      </c>
      <c r="V675" t="str">
        <f>VLOOKUP(L675,'[2]tabela de preços'!$A:$D,4,0)</f>
        <v>ATLAS</v>
      </c>
      <c r="W675" t="str">
        <f>VLOOKUP(L675,'[2]tabela de preços'!$A:$F,6,0)</f>
        <v>ROLOS / TRINCHAS / PINCÉIS / ESPÁTULAS</v>
      </c>
      <c r="X675" t="str">
        <f>VLOOKUP(L675,'[2]tabela de preços'!$A:$G,7,0)</f>
        <v>IMOBILIÁRIO</v>
      </c>
    </row>
    <row r="676" spans="1:24" x14ac:dyDescent="0.3">
      <c r="A676" t="s">
        <v>2333</v>
      </c>
      <c r="B676" t="s">
        <v>2334</v>
      </c>
      <c r="C676" t="s">
        <v>2340</v>
      </c>
      <c r="D676" s="1">
        <v>46031</v>
      </c>
      <c r="E676" t="s">
        <v>2341</v>
      </c>
      <c r="F676">
        <v>9</v>
      </c>
      <c r="G676">
        <v>174</v>
      </c>
      <c r="H676" t="str">
        <f>VLOOKUP(G676,[1]OPERADORES!$A:$B,2,0)</f>
        <v>MIRIÃ LOBATO RODRIGUES</v>
      </c>
      <c r="I676" t="s">
        <v>126</v>
      </c>
      <c r="J676" t="s">
        <v>2337</v>
      </c>
      <c r="K676" t="s">
        <v>2338</v>
      </c>
      <c r="L676">
        <v>84421</v>
      </c>
      <c r="M676" t="s">
        <v>568</v>
      </c>
      <c r="O676" t="s">
        <v>11</v>
      </c>
      <c r="P676">
        <v>6102</v>
      </c>
      <c r="Q676">
        <v>10</v>
      </c>
      <c r="R676">
        <v>6.35</v>
      </c>
      <c r="S676">
        <v>63.5</v>
      </c>
      <c r="T676">
        <v>48.2</v>
      </c>
      <c r="U676">
        <v>24.09</v>
      </c>
      <c r="V676" t="str">
        <f>VLOOKUP(L676,'[2]tabela de preços'!$A:$D,4,0)</f>
        <v>ATLAS</v>
      </c>
      <c r="W676" t="str">
        <f>VLOOKUP(L676,'[2]tabela de preços'!$A:$F,6,0)</f>
        <v>ROLOS / TRINCHAS / PINCÉIS / ESPÁTULAS</v>
      </c>
      <c r="X676" t="str">
        <f>VLOOKUP(L676,'[2]tabela de preços'!$A:$G,7,0)</f>
        <v>IMOBILIÁRIO</v>
      </c>
    </row>
    <row r="677" spans="1:24" x14ac:dyDescent="0.3">
      <c r="A677" t="s">
        <v>2333</v>
      </c>
      <c r="B677" t="s">
        <v>2334</v>
      </c>
      <c r="C677" t="s">
        <v>2340</v>
      </c>
      <c r="D677" s="1">
        <v>46031</v>
      </c>
      <c r="E677" t="s">
        <v>2341</v>
      </c>
      <c r="F677">
        <v>9</v>
      </c>
      <c r="G677">
        <v>174</v>
      </c>
      <c r="H677" t="str">
        <f>VLOOKUP(G677,[1]OPERADORES!$A:$B,2,0)</f>
        <v>MIRIÃ LOBATO RODRIGUES</v>
      </c>
      <c r="I677" t="s">
        <v>126</v>
      </c>
      <c r="J677" t="s">
        <v>2337</v>
      </c>
      <c r="K677" t="s">
        <v>2338</v>
      </c>
      <c r="L677">
        <v>84420</v>
      </c>
      <c r="M677" t="s">
        <v>353</v>
      </c>
      <c r="O677" t="s">
        <v>11</v>
      </c>
      <c r="P677">
        <v>6102</v>
      </c>
      <c r="Q677">
        <v>12</v>
      </c>
      <c r="R677">
        <v>20.34</v>
      </c>
      <c r="S677">
        <v>244.08</v>
      </c>
      <c r="T677">
        <v>185.28</v>
      </c>
      <c r="U677">
        <v>24.09</v>
      </c>
      <c r="V677" t="str">
        <f>VLOOKUP(L677,'[2]tabela de preços'!$A:$D,4,0)</f>
        <v>ATLAS</v>
      </c>
      <c r="W677" t="str">
        <f>VLOOKUP(L677,'[2]tabela de preços'!$A:$F,6,0)</f>
        <v>ROLOS / TRINCHAS / PINCÉIS / ESPÁTULAS</v>
      </c>
      <c r="X677" t="str">
        <f>VLOOKUP(L677,'[2]tabela de preços'!$A:$G,7,0)</f>
        <v>IMOBILIÁRIO</v>
      </c>
    </row>
    <row r="678" spans="1:24" x14ac:dyDescent="0.3">
      <c r="A678" t="s">
        <v>2333</v>
      </c>
      <c r="B678" t="s">
        <v>2334</v>
      </c>
      <c r="C678" t="s">
        <v>2340</v>
      </c>
      <c r="D678" s="1">
        <v>46031</v>
      </c>
      <c r="E678" t="s">
        <v>2341</v>
      </c>
      <c r="F678">
        <v>9</v>
      </c>
      <c r="G678">
        <v>174</v>
      </c>
      <c r="H678" t="str">
        <f>VLOOKUP(G678,[1]OPERADORES!$A:$B,2,0)</f>
        <v>MIRIÃ LOBATO RODRIGUES</v>
      </c>
      <c r="I678" t="s">
        <v>126</v>
      </c>
      <c r="J678" t="s">
        <v>2337</v>
      </c>
      <c r="K678" t="s">
        <v>2338</v>
      </c>
      <c r="L678">
        <v>10298</v>
      </c>
      <c r="M678" t="s">
        <v>85</v>
      </c>
      <c r="O678" t="s">
        <v>11</v>
      </c>
      <c r="P678">
        <v>6102</v>
      </c>
      <c r="Q678">
        <v>20</v>
      </c>
      <c r="R678">
        <v>54.9</v>
      </c>
      <c r="S678" s="2">
        <v>1098</v>
      </c>
      <c r="T678">
        <v>947.6</v>
      </c>
      <c r="U678">
        <v>13.7</v>
      </c>
      <c r="V678" t="str">
        <f>VLOOKUP(L678,'[2]tabela de preços'!$A:$D,4,0)</f>
        <v>ANJO</v>
      </c>
      <c r="W678" t="str">
        <f>VLOOKUP(L678,'[2]tabela de preços'!$A:$F,6,0)</f>
        <v>THINNER DE LIMPEZA</v>
      </c>
      <c r="X678" t="str">
        <f>VLOOKUP(L678,'[2]tabela de preços'!$A:$G,7,0)</f>
        <v>THINNER</v>
      </c>
    </row>
    <row r="679" spans="1:24" x14ac:dyDescent="0.3">
      <c r="A679" t="s">
        <v>2333</v>
      </c>
      <c r="B679" t="s">
        <v>2334</v>
      </c>
      <c r="C679" t="s">
        <v>2340</v>
      </c>
      <c r="D679" s="1">
        <v>46031</v>
      </c>
      <c r="E679" t="s">
        <v>2341</v>
      </c>
      <c r="F679">
        <v>9</v>
      </c>
      <c r="G679">
        <v>174</v>
      </c>
      <c r="H679" t="str">
        <f>VLOOKUP(G679,[1]OPERADORES!$A:$B,2,0)</f>
        <v>MIRIÃ LOBATO RODRIGUES</v>
      </c>
      <c r="I679" t="s">
        <v>126</v>
      </c>
      <c r="J679" t="s">
        <v>2337</v>
      </c>
      <c r="K679" t="s">
        <v>2338</v>
      </c>
      <c r="L679">
        <v>10114</v>
      </c>
      <c r="M679" t="s">
        <v>571</v>
      </c>
      <c r="O679" t="s">
        <v>11</v>
      </c>
      <c r="P679">
        <v>6102</v>
      </c>
      <c r="Q679">
        <v>12</v>
      </c>
      <c r="R679">
        <v>3.95</v>
      </c>
      <c r="S679">
        <v>47.4</v>
      </c>
      <c r="T679">
        <v>36</v>
      </c>
      <c r="U679">
        <v>24.05</v>
      </c>
      <c r="V679" t="str">
        <f>VLOOKUP(L679,'[2]tabela de preços'!$A:$D,4,0)</f>
        <v>ATLAS</v>
      </c>
      <c r="W679" t="str">
        <f>VLOOKUP(L679,'[2]tabela de preços'!$A:$F,6,0)</f>
        <v>ROLOS / TRINCHAS / PINCÉIS / ESPÁTULAS</v>
      </c>
      <c r="X679" t="str">
        <f>VLOOKUP(L679,'[2]tabela de preços'!$A:$G,7,0)</f>
        <v>IMOBILIÁRIO</v>
      </c>
    </row>
    <row r="680" spans="1:24" x14ac:dyDescent="0.3">
      <c r="A680" t="s">
        <v>2333</v>
      </c>
      <c r="B680" t="s">
        <v>2334</v>
      </c>
      <c r="C680" t="s">
        <v>2340</v>
      </c>
      <c r="D680" s="1">
        <v>46031</v>
      </c>
      <c r="E680" t="s">
        <v>2341</v>
      </c>
      <c r="F680">
        <v>9</v>
      </c>
      <c r="G680">
        <v>174</v>
      </c>
      <c r="H680" t="str">
        <f>VLOOKUP(G680,[1]OPERADORES!$A:$B,2,0)</f>
        <v>MIRIÃ LOBATO RODRIGUES</v>
      </c>
      <c r="I680" t="s">
        <v>126</v>
      </c>
      <c r="J680" t="s">
        <v>2337</v>
      </c>
      <c r="K680" t="s">
        <v>2338</v>
      </c>
      <c r="L680">
        <v>10117</v>
      </c>
      <c r="M680" t="s">
        <v>1043</v>
      </c>
      <c r="O680" t="s">
        <v>11</v>
      </c>
      <c r="P680">
        <v>6102</v>
      </c>
      <c r="Q680">
        <v>24</v>
      </c>
      <c r="R680">
        <v>6.52</v>
      </c>
      <c r="S680">
        <v>156.47999999999999</v>
      </c>
      <c r="T680">
        <v>118.8</v>
      </c>
      <c r="U680">
        <v>24.08</v>
      </c>
      <c r="V680" t="str">
        <f>VLOOKUP(L680,'[2]tabela de preços'!$A:$D,4,0)</f>
        <v>ATLAS</v>
      </c>
      <c r="W680" t="str">
        <f>VLOOKUP(L680,'[2]tabela de preços'!$A:$F,6,0)</f>
        <v>ROLOS / TRINCHAS / PINCÉIS / ESPÁTULAS</v>
      </c>
      <c r="X680" t="str">
        <f>VLOOKUP(L680,'[2]tabela de preços'!$A:$G,7,0)</f>
        <v>IMOBILIÁRIO</v>
      </c>
    </row>
    <row r="681" spans="1:24" x14ac:dyDescent="0.3">
      <c r="A681" t="s">
        <v>2333</v>
      </c>
      <c r="B681" t="s">
        <v>2334</v>
      </c>
      <c r="C681" t="s">
        <v>2340</v>
      </c>
      <c r="D681" s="1">
        <v>46031</v>
      </c>
      <c r="E681" t="s">
        <v>2341</v>
      </c>
      <c r="F681">
        <v>9</v>
      </c>
      <c r="G681">
        <v>174</v>
      </c>
      <c r="H681" t="str">
        <f>VLOOKUP(G681,[1]OPERADORES!$A:$B,2,0)</f>
        <v>MIRIÃ LOBATO RODRIGUES</v>
      </c>
      <c r="I681" t="s">
        <v>126</v>
      </c>
      <c r="J681" t="s">
        <v>2337</v>
      </c>
      <c r="K681" t="s">
        <v>2338</v>
      </c>
      <c r="L681">
        <v>10118</v>
      </c>
      <c r="M681" t="s">
        <v>572</v>
      </c>
      <c r="O681" t="s">
        <v>11</v>
      </c>
      <c r="P681">
        <v>6102</v>
      </c>
      <c r="Q681">
        <v>24</v>
      </c>
      <c r="R681">
        <v>5.0199999999999996</v>
      </c>
      <c r="S681">
        <v>120.48</v>
      </c>
      <c r="T681">
        <v>91.44</v>
      </c>
      <c r="U681">
        <v>24.1</v>
      </c>
      <c r="V681" t="str">
        <f>VLOOKUP(L681,'[2]tabela de preços'!$A:$D,4,0)</f>
        <v>ATLAS</v>
      </c>
      <c r="W681" t="str">
        <f>VLOOKUP(L681,'[2]tabela de preços'!$A:$F,6,0)</f>
        <v>ROLOS / TRINCHAS / PINCÉIS / ESPÁTULAS</v>
      </c>
      <c r="X681" t="str">
        <f>VLOOKUP(L681,'[2]tabela de preços'!$A:$G,7,0)</f>
        <v>IMOBILIÁRIO</v>
      </c>
    </row>
    <row r="682" spans="1:24" x14ac:dyDescent="0.3">
      <c r="A682" t="s">
        <v>2333</v>
      </c>
      <c r="B682" t="s">
        <v>2334</v>
      </c>
      <c r="C682" t="s">
        <v>2340</v>
      </c>
      <c r="D682" s="1">
        <v>46031</v>
      </c>
      <c r="E682" t="s">
        <v>2341</v>
      </c>
      <c r="F682">
        <v>9</v>
      </c>
      <c r="G682">
        <v>174</v>
      </c>
      <c r="H682" t="str">
        <f>VLOOKUP(G682,[1]OPERADORES!$A:$B,2,0)</f>
        <v>MIRIÃ LOBATO RODRIGUES</v>
      </c>
      <c r="I682" t="s">
        <v>126</v>
      </c>
      <c r="J682" t="s">
        <v>2337</v>
      </c>
      <c r="K682" t="s">
        <v>2338</v>
      </c>
      <c r="L682">
        <v>84460</v>
      </c>
      <c r="M682" t="s">
        <v>322</v>
      </c>
      <c r="O682" t="s">
        <v>11</v>
      </c>
      <c r="P682">
        <v>6102</v>
      </c>
      <c r="Q682">
        <v>6</v>
      </c>
      <c r="R682">
        <v>31.07</v>
      </c>
      <c r="S682">
        <v>186.42</v>
      </c>
      <c r="T682">
        <v>141.47999999999999</v>
      </c>
      <c r="U682">
        <v>24.11</v>
      </c>
      <c r="V682" t="str">
        <f>VLOOKUP(L682,'[2]tabela de preços'!$A:$D,4,0)</f>
        <v>BRASILUX</v>
      </c>
      <c r="W682" t="str">
        <f>VLOOKUP(L682,'[2]tabela de preços'!$A:$F,6,0)</f>
        <v>VEDADORES / SELANTES</v>
      </c>
      <c r="X682" t="str">
        <f>VLOOKUP(L682,'[2]tabela de preços'!$A:$G,7,0)</f>
        <v>AUTOMOTIVO</v>
      </c>
    </row>
    <row r="683" spans="1:24" x14ac:dyDescent="0.3">
      <c r="A683" t="s">
        <v>186</v>
      </c>
      <c r="C683" t="s">
        <v>199</v>
      </c>
      <c r="D683" s="1">
        <v>46034</v>
      </c>
      <c r="E683" t="s">
        <v>200</v>
      </c>
      <c r="F683">
        <v>9</v>
      </c>
      <c r="G683">
        <v>236</v>
      </c>
      <c r="H683" t="str">
        <f>VLOOKUP(G683,[1]OPERADORES!$A:$B,2,0)</f>
        <v>DANIEL</v>
      </c>
      <c r="I683" t="s">
        <v>21</v>
      </c>
      <c r="J683" t="s">
        <v>189</v>
      </c>
      <c r="K683" t="s">
        <v>190</v>
      </c>
      <c r="L683">
        <v>24248</v>
      </c>
      <c r="M683" t="s">
        <v>107</v>
      </c>
      <c r="O683" t="s">
        <v>11</v>
      </c>
      <c r="P683">
        <v>5102</v>
      </c>
      <c r="Q683">
        <v>3</v>
      </c>
      <c r="R683">
        <v>8</v>
      </c>
      <c r="S683">
        <v>24</v>
      </c>
      <c r="T683">
        <v>19.23</v>
      </c>
      <c r="U683">
        <v>19.88</v>
      </c>
      <c r="V683" t="str">
        <f>VLOOKUP(L683,'[2]tabela de preços'!$A:$D,4,0)</f>
        <v>SHERWIN WILLIAMS</v>
      </c>
      <c r="W683" t="str">
        <f>VLOOKUP(L683,'[2]tabela de preços'!$A:$F,6,0)</f>
        <v>PRIMER AUTOMOTIVO</v>
      </c>
      <c r="X683" t="str">
        <f>VLOOKUP(L683,'[2]tabela de preços'!$A:$G,7,0)</f>
        <v>AUTOMOTIVO</v>
      </c>
    </row>
    <row r="684" spans="1:24" x14ac:dyDescent="0.3">
      <c r="A684" t="s">
        <v>186</v>
      </c>
      <c r="C684" t="s">
        <v>199</v>
      </c>
      <c r="D684" s="1">
        <v>46034</v>
      </c>
      <c r="E684" t="s">
        <v>200</v>
      </c>
      <c r="F684">
        <v>9</v>
      </c>
      <c r="G684">
        <v>236</v>
      </c>
      <c r="H684" t="str">
        <f>VLOOKUP(G684,[1]OPERADORES!$A:$B,2,0)</f>
        <v>DANIEL</v>
      </c>
      <c r="I684" t="s">
        <v>21</v>
      </c>
      <c r="J684" t="s">
        <v>189</v>
      </c>
      <c r="K684" t="s">
        <v>190</v>
      </c>
      <c r="L684">
        <v>22684</v>
      </c>
      <c r="M684" t="s">
        <v>73</v>
      </c>
      <c r="O684" t="s">
        <v>11</v>
      </c>
      <c r="P684">
        <v>5102</v>
      </c>
      <c r="Q684">
        <v>10</v>
      </c>
      <c r="R684">
        <v>3.65</v>
      </c>
      <c r="S684">
        <v>36.5</v>
      </c>
      <c r="T684">
        <v>30.8</v>
      </c>
      <c r="U684">
        <v>15.62</v>
      </c>
      <c r="V684" t="str">
        <f>VLOOKUP(L684,'[2]tabela de preços'!$A:$D,4,0)</f>
        <v>3M</v>
      </c>
      <c r="W684" t="str">
        <f>VLOOKUP(L684,'[2]tabela de preços'!$A:$F,6,0)</f>
        <v>FITA AUTOMOTIVA</v>
      </c>
      <c r="X684" t="str">
        <f>VLOOKUP(L684,'[2]tabela de preços'!$A:$G,7,0)</f>
        <v>AUTOMOTIVO</v>
      </c>
    </row>
    <row r="685" spans="1:24" x14ac:dyDescent="0.3">
      <c r="A685" t="s">
        <v>186</v>
      </c>
      <c r="C685" t="s">
        <v>199</v>
      </c>
      <c r="D685" s="1">
        <v>46034</v>
      </c>
      <c r="E685" t="s">
        <v>200</v>
      </c>
      <c r="F685">
        <v>9</v>
      </c>
      <c r="G685">
        <v>236</v>
      </c>
      <c r="H685" t="str">
        <f>VLOOKUP(G685,[1]OPERADORES!$A:$B,2,0)</f>
        <v>DANIEL</v>
      </c>
      <c r="I685" t="s">
        <v>21</v>
      </c>
      <c r="J685" t="s">
        <v>189</v>
      </c>
      <c r="K685" t="s">
        <v>190</v>
      </c>
      <c r="L685">
        <v>22188</v>
      </c>
      <c r="M685" t="s">
        <v>78</v>
      </c>
      <c r="O685" t="s">
        <v>11</v>
      </c>
      <c r="P685">
        <v>5102</v>
      </c>
      <c r="Q685">
        <v>1</v>
      </c>
      <c r="R685">
        <v>14.35</v>
      </c>
      <c r="S685">
        <v>14.35</v>
      </c>
      <c r="T685">
        <v>10.89</v>
      </c>
      <c r="U685">
        <v>24.11</v>
      </c>
      <c r="V685" t="str">
        <f>VLOOKUP(L685,'[2]tabela de preços'!$A:$D,4,0)</f>
        <v>3M</v>
      </c>
      <c r="W685" t="str">
        <f>VLOOKUP(L685,'[2]tabela de preços'!$A:$F,6,0)</f>
        <v>FITA AUTOMOTIVA</v>
      </c>
      <c r="X685" t="str">
        <f>VLOOKUP(L685,'[2]tabela de preços'!$A:$G,7,0)</f>
        <v>AUTOMOTIVO</v>
      </c>
    </row>
    <row r="686" spans="1:24" x14ac:dyDescent="0.3">
      <c r="A686" t="s">
        <v>186</v>
      </c>
      <c r="C686" t="s">
        <v>199</v>
      </c>
      <c r="D686" s="1">
        <v>46034</v>
      </c>
      <c r="E686" t="s">
        <v>200</v>
      </c>
      <c r="F686">
        <v>9</v>
      </c>
      <c r="G686">
        <v>236</v>
      </c>
      <c r="H686" t="str">
        <f>VLOOKUP(G686,[1]OPERADORES!$A:$B,2,0)</f>
        <v>DANIEL</v>
      </c>
      <c r="I686" t="s">
        <v>21</v>
      </c>
      <c r="J686" t="s">
        <v>189</v>
      </c>
      <c r="K686" t="s">
        <v>190</v>
      </c>
      <c r="L686">
        <v>85409</v>
      </c>
      <c r="M686" t="s">
        <v>201</v>
      </c>
      <c r="O686" t="s">
        <v>11</v>
      </c>
      <c r="P686">
        <v>5403</v>
      </c>
      <c r="Q686">
        <v>1</v>
      </c>
      <c r="R686">
        <v>28.9</v>
      </c>
      <c r="S686">
        <v>28.9</v>
      </c>
      <c r="T686">
        <v>23.11</v>
      </c>
      <c r="U686">
        <v>20.03</v>
      </c>
      <c r="V686" t="str">
        <f>VLOOKUP(L686,'[2]tabela de preços'!$A:$D,4,0)</f>
        <v>WANDA</v>
      </c>
      <c r="W686" t="str">
        <f>VLOOKUP(L686,'[2]tabela de preços'!$A:$F,6,0)</f>
        <v>PRIMER AUTOMOTIVO</v>
      </c>
      <c r="X686" t="str">
        <f>VLOOKUP(L686,'[2]tabela de preços'!$A:$G,7,0)</f>
        <v>AUTOMOTIVO</v>
      </c>
    </row>
    <row r="687" spans="1:24" x14ac:dyDescent="0.3">
      <c r="A687" t="s">
        <v>186</v>
      </c>
      <c r="C687" t="s">
        <v>199</v>
      </c>
      <c r="D687" s="1">
        <v>46034</v>
      </c>
      <c r="E687" t="s">
        <v>200</v>
      </c>
      <c r="F687">
        <v>9</v>
      </c>
      <c r="G687">
        <v>236</v>
      </c>
      <c r="H687" t="str">
        <f>VLOOKUP(G687,[1]OPERADORES!$A:$B,2,0)</f>
        <v>DANIEL</v>
      </c>
      <c r="I687" t="s">
        <v>21</v>
      </c>
      <c r="J687" t="s">
        <v>189</v>
      </c>
      <c r="K687" t="s">
        <v>190</v>
      </c>
      <c r="L687">
        <v>23690</v>
      </c>
      <c r="M687" t="s">
        <v>98</v>
      </c>
      <c r="O687" t="s">
        <v>11</v>
      </c>
      <c r="P687">
        <v>5403</v>
      </c>
      <c r="Q687">
        <v>2</v>
      </c>
      <c r="R687">
        <v>39.89</v>
      </c>
      <c r="S687">
        <v>79.78</v>
      </c>
      <c r="T687">
        <v>63.22</v>
      </c>
      <c r="U687">
        <v>20.76</v>
      </c>
      <c r="V687" t="str">
        <f>VLOOKUP(L687,'[2]tabela de preços'!$A:$D,4,0)</f>
        <v>WANDA</v>
      </c>
      <c r="W687" t="str">
        <f>VLOOKUP(L687,'[2]tabela de preços'!$A:$F,6,0)</f>
        <v>VERNIZ AUTOMOTIVO</v>
      </c>
      <c r="X687" t="str">
        <f>VLOOKUP(L687,'[2]tabela de preços'!$A:$G,7,0)</f>
        <v>AUTOMOTIVO</v>
      </c>
    </row>
    <row r="688" spans="1:24" x14ac:dyDescent="0.3">
      <c r="A688" t="s">
        <v>186</v>
      </c>
      <c r="C688" t="s">
        <v>199</v>
      </c>
      <c r="D688" s="1">
        <v>46034</v>
      </c>
      <c r="E688" t="s">
        <v>200</v>
      </c>
      <c r="F688">
        <v>9</v>
      </c>
      <c r="G688">
        <v>236</v>
      </c>
      <c r="H688" t="str">
        <f>VLOOKUP(G688,[1]OPERADORES!$A:$B,2,0)</f>
        <v>DANIEL</v>
      </c>
      <c r="I688" t="s">
        <v>21</v>
      </c>
      <c r="J688" t="s">
        <v>189</v>
      </c>
      <c r="K688" t="s">
        <v>190</v>
      </c>
      <c r="L688">
        <v>20431</v>
      </c>
      <c r="M688" t="s">
        <v>202</v>
      </c>
      <c r="O688" t="s">
        <v>11</v>
      </c>
      <c r="P688">
        <v>5403</v>
      </c>
      <c r="Q688">
        <v>9</v>
      </c>
      <c r="R688">
        <v>36.89</v>
      </c>
      <c r="S688">
        <v>332.01</v>
      </c>
      <c r="T688">
        <v>268.02</v>
      </c>
      <c r="U688">
        <v>19.27</v>
      </c>
      <c r="V688" t="str">
        <f>VLOOKUP(L688,'[2]tabela de preços'!$A:$D,4,0)</f>
        <v>SHERWIN WILLIAMS</v>
      </c>
      <c r="W688" t="str">
        <f>VLOOKUP(L688,'[2]tabela de preços'!$A:$F,6,0)</f>
        <v>VERNIZ AUTOMOTIVO</v>
      </c>
      <c r="X688" t="str">
        <f>VLOOKUP(L688,'[2]tabela de preços'!$A:$G,7,0)</f>
        <v>AUTOMOTIVO</v>
      </c>
    </row>
    <row r="689" spans="1:24" x14ac:dyDescent="0.3">
      <c r="A689" t="s">
        <v>186</v>
      </c>
      <c r="C689" t="s">
        <v>199</v>
      </c>
      <c r="D689" s="1">
        <v>46034</v>
      </c>
      <c r="E689" t="s">
        <v>200</v>
      </c>
      <c r="F689">
        <v>9</v>
      </c>
      <c r="G689">
        <v>236</v>
      </c>
      <c r="H689" t="str">
        <f>VLOOKUP(G689,[1]OPERADORES!$A:$B,2,0)</f>
        <v>DANIEL</v>
      </c>
      <c r="I689" t="s">
        <v>21</v>
      </c>
      <c r="J689" t="s">
        <v>189</v>
      </c>
      <c r="K689" t="s">
        <v>190</v>
      </c>
      <c r="L689">
        <v>10238</v>
      </c>
      <c r="M689" t="s">
        <v>79</v>
      </c>
      <c r="O689" t="s">
        <v>11</v>
      </c>
      <c r="P689">
        <v>5102</v>
      </c>
      <c r="Q689">
        <v>5</v>
      </c>
      <c r="R689">
        <v>2.79</v>
      </c>
      <c r="S689">
        <v>13.95</v>
      </c>
      <c r="T689">
        <v>11.2</v>
      </c>
      <c r="U689">
        <v>19.71</v>
      </c>
      <c r="V689" t="str">
        <f>VLOOKUP(L689,'[2]tabela de preços'!$A:$D,4,0)</f>
        <v>NORTON</v>
      </c>
      <c r="W689" t="str">
        <f>VLOOKUP(L689,'[2]tabela de preços'!$A:$F,6,0)</f>
        <v xml:space="preserve">DISCOS / LIXAS / ABRASIVOS </v>
      </c>
      <c r="X689" t="str">
        <f>VLOOKUP(L689,'[2]tabela de preços'!$A:$G,7,0)</f>
        <v>AUTOMOTIVO</v>
      </c>
    </row>
    <row r="690" spans="1:24" x14ac:dyDescent="0.3">
      <c r="A690" t="s">
        <v>186</v>
      </c>
      <c r="C690" t="s">
        <v>199</v>
      </c>
      <c r="D690" s="1">
        <v>46034</v>
      </c>
      <c r="E690" t="s">
        <v>200</v>
      </c>
      <c r="F690">
        <v>9</v>
      </c>
      <c r="G690">
        <v>236</v>
      </c>
      <c r="H690" t="str">
        <f>VLOOKUP(G690,[1]OPERADORES!$A:$B,2,0)</f>
        <v>DANIEL</v>
      </c>
      <c r="I690" t="s">
        <v>21</v>
      </c>
      <c r="J690" t="s">
        <v>189</v>
      </c>
      <c r="K690" t="s">
        <v>190</v>
      </c>
      <c r="L690">
        <v>10240</v>
      </c>
      <c r="M690" t="s">
        <v>81</v>
      </c>
      <c r="O690" t="s">
        <v>11</v>
      </c>
      <c r="P690">
        <v>5102</v>
      </c>
      <c r="Q690">
        <v>5</v>
      </c>
      <c r="R690">
        <v>2.79</v>
      </c>
      <c r="S690">
        <v>13.95</v>
      </c>
      <c r="T690">
        <v>11.2</v>
      </c>
      <c r="U690">
        <v>19.71</v>
      </c>
      <c r="V690" t="str">
        <f>VLOOKUP(L690,'[2]tabela de preços'!$A:$D,4,0)</f>
        <v>NORTON</v>
      </c>
      <c r="W690" t="str">
        <f>VLOOKUP(L690,'[2]tabela de preços'!$A:$F,6,0)</f>
        <v xml:space="preserve">DISCOS / LIXAS / ABRASIVOS </v>
      </c>
      <c r="X690" t="str">
        <f>VLOOKUP(L690,'[2]tabela de preços'!$A:$G,7,0)</f>
        <v>AUTOMOTIVO</v>
      </c>
    </row>
    <row r="691" spans="1:24" x14ac:dyDescent="0.3">
      <c r="A691" t="s">
        <v>186</v>
      </c>
      <c r="C691" t="s">
        <v>199</v>
      </c>
      <c r="D691" s="1">
        <v>46034</v>
      </c>
      <c r="E691" t="s">
        <v>200</v>
      </c>
      <c r="F691">
        <v>9</v>
      </c>
      <c r="G691">
        <v>236</v>
      </c>
      <c r="H691" t="str">
        <f>VLOOKUP(G691,[1]OPERADORES!$A:$B,2,0)</f>
        <v>DANIEL</v>
      </c>
      <c r="I691" t="s">
        <v>21</v>
      </c>
      <c r="J691" t="s">
        <v>189</v>
      </c>
      <c r="K691" t="s">
        <v>190</v>
      </c>
      <c r="L691">
        <v>10242</v>
      </c>
      <c r="M691" t="s">
        <v>82</v>
      </c>
      <c r="O691" t="s">
        <v>11</v>
      </c>
      <c r="P691">
        <v>5102</v>
      </c>
      <c r="Q691">
        <v>5</v>
      </c>
      <c r="R691">
        <v>2.79</v>
      </c>
      <c r="S691">
        <v>13.95</v>
      </c>
      <c r="T691">
        <v>11.2</v>
      </c>
      <c r="U691">
        <v>19.71</v>
      </c>
      <c r="V691" t="str">
        <f>VLOOKUP(L691,'[2]tabela de preços'!$A:$D,4,0)</f>
        <v>NORTON</v>
      </c>
      <c r="W691" t="str">
        <f>VLOOKUP(L691,'[2]tabela de preços'!$A:$F,6,0)</f>
        <v xml:space="preserve">DISCOS / LIXAS / ABRASIVOS </v>
      </c>
      <c r="X691" t="str">
        <f>VLOOKUP(L691,'[2]tabela de preços'!$A:$G,7,0)</f>
        <v>AUTOMOTIVO</v>
      </c>
    </row>
    <row r="692" spans="1:24" x14ac:dyDescent="0.3">
      <c r="A692" t="s">
        <v>186</v>
      </c>
      <c r="C692" t="s">
        <v>199</v>
      </c>
      <c r="D692" s="1">
        <v>46034</v>
      </c>
      <c r="E692" t="s">
        <v>200</v>
      </c>
      <c r="F692">
        <v>9</v>
      </c>
      <c r="G692">
        <v>236</v>
      </c>
      <c r="H692" t="str">
        <f>VLOOKUP(G692,[1]OPERADORES!$A:$B,2,0)</f>
        <v>DANIEL</v>
      </c>
      <c r="I692" t="s">
        <v>21</v>
      </c>
      <c r="J692" t="s">
        <v>189</v>
      </c>
      <c r="K692" t="s">
        <v>190</v>
      </c>
      <c r="L692">
        <v>10243</v>
      </c>
      <c r="M692" t="s">
        <v>83</v>
      </c>
      <c r="O692" t="s">
        <v>11</v>
      </c>
      <c r="P692">
        <v>5102</v>
      </c>
      <c r="Q692">
        <v>5</v>
      </c>
      <c r="R692">
        <v>2.79</v>
      </c>
      <c r="S692">
        <v>13.95</v>
      </c>
      <c r="T692">
        <v>9.65</v>
      </c>
      <c r="U692">
        <v>30.82</v>
      </c>
      <c r="V692" t="str">
        <f>VLOOKUP(L692,'[2]tabela de preços'!$A:$D,4,0)</f>
        <v>NORTON</v>
      </c>
      <c r="W692" t="str">
        <f>VLOOKUP(L692,'[2]tabela de preços'!$A:$F,6,0)</f>
        <v xml:space="preserve">DISCOS / LIXAS / ABRASIVOS </v>
      </c>
      <c r="X692" t="str">
        <f>VLOOKUP(L692,'[2]tabela de preços'!$A:$G,7,0)</f>
        <v>AUTOMOTIVO</v>
      </c>
    </row>
    <row r="693" spans="1:24" x14ac:dyDescent="0.3">
      <c r="A693" t="s">
        <v>186</v>
      </c>
      <c r="C693" t="s">
        <v>199</v>
      </c>
      <c r="D693" s="1">
        <v>46034</v>
      </c>
      <c r="E693" t="s">
        <v>200</v>
      </c>
      <c r="F693">
        <v>9</v>
      </c>
      <c r="G693">
        <v>236</v>
      </c>
      <c r="H693" t="str">
        <f>VLOOKUP(G693,[1]OPERADORES!$A:$B,2,0)</f>
        <v>DANIEL</v>
      </c>
      <c r="I693" t="s">
        <v>21</v>
      </c>
      <c r="J693" t="s">
        <v>189</v>
      </c>
      <c r="K693" t="s">
        <v>190</v>
      </c>
      <c r="L693">
        <v>10244</v>
      </c>
      <c r="M693" t="s">
        <v>84</v>
      </c>
      <c r="O693" t="s">
        <v>11</v>
      </c>
      <c r="P693">
        <v>5102</v>
      </c>
      <c r="Q693">
        <v>5</v>
      </c>
      <c r="R693">
        <v>2.79</v>
      </c>
      <c r="S693">
        <v>13.95</v>
      </c>
      <c r="T693">
        <v>9.65</v>
      </c>
      <c r="U693">
        <v>30.82</v>
      </c>
      <c r="V693" t="str">
        <f>VLOOKUP(L693,'[2]tabela de preços'!$A:$D,4,0)</f>
        <v>NORTON</v>
      </c>
      <c r="W693" t="str">
        <f>VLOOKUP(L693,'[2]tabela de preços'!$A:$F,6,0)</f>
        <v xml:space="preserve">DISCOS / LIXAS / ABRASIVOS </v>
      </c>
      <c r="X693" t="str">
        <f>VLOOKUP(L693,'[2]tabela de preços'!$A:$G,7,0)</f>
        <v>AUTOMOTIVO</v>
      </c>
    </row>
    <row r="694" spans="1:24" x14ac:dyDescent="0.3">
      <c r="A694" t="s">
        <v>186</v>
      </c>
      <c r="C694" t="s">
        <v>199</v>
      </c>
      <c r="D694" s="1">
        <v>46034</v>
      </c>
      <c r="E694" t="s">
        <v>200</v>
      </c>
      <c r="F694">
        <v>9</v>
      </c>
      <c r="G694">
        <v>236</v>
      </c>
      <c r="H694" t="str">
        <f>VLOOKUP(G694,[1]OPERADORES!$A:$B,2,0)</f>
        <v>DANIEL</v>
      </c>
      <c r="I694" t="s">
        <v>21</v>
      </c>
      <c r="J694" t="s">
        <v>189</v>
      </c>
      <c r="K694" t="s">
        <v>190</v>
      </c>
      <c r="L694">
        <v>20817</v>
      </c>
      <c r="M694" t="s">
        <v>153</v>
      </c>
      <c r="O694" t="s">
        <v>11</v>
      </c>
      <c r="P694">
        <v>5102</v>
      </c>
      <c r="Q694">
        <v>1</v>
      </c>
      <c r="R694">
        <v>22.89</v>
      </c>
      <c r="S694">
        <v>22.89</v>
      </c>
      <c r="T694">
        <v>18.62</v>
      </c>
      <c r="U694">
        <v>18.649999999999999</v>
      </c>
      <c r="V694" t="str">
        <f>VLOOKUP(L694,'[2]tabela de preços'!$A:$D,4,0)</f>
        <v>AUTO AMERICA</v>
      </c>
      <c r="W694" t="str">
        <f>VLOOKUP(L694,'[2]tabela de preços'!$A:$F,6,0)</f>
        <v>MASSA DE POLIR</v>
      </c>
      <c r="X694" t="str">
        <f>VLOOKUP(L694,'[2]tabela de preços'!$A:$G,7,0)</f>
        <v>AUTOMOTIVO</v>
      </c>
    </row>
    <row r="695" spans="1:24" x14ac:dyDescent="0.3">
      <c r="A695" t="s">
        <v>186</v>
      </c>
      <c r="C695" t="s">
        <v>199</v>
      </c>
      <c r="D695" s="1">
        <v>46034</v>
      </c>
      <c r="E695" t="s">
        <v>200</v>
      </c>
      <c r="F695">
        <v>9</v>
      </c>
      <c r="G695">
        <v>236</v>
      </c>
      <c r="H695" t="str">
        <f>VLOOKUP(G695,[1]OPERADORES!$A:$B,2,0)</f>
        <v>DANIEL</v>
      </c>
      <c r="I695" t="s">
        <v>21</v>
      </c>
      <c r="J695" t="s">
        <v>189</v>
      </c>
      <c r="K695" t="s">
        <v>190</v>
      </c>
      <c r="L695">
        <v>24247</v>
      </c>
      <c r="M695" t="s">
        <v>111</v>
      </c>
      <c r="O695" t="s">
        <v>11</v>
      </c>
      <c r="P695">
        <v>5403</v>
      </c>
      <c r="Q695">
        <v>3</v>
      </c>
      <c r="R695">
        <v>21</v>
      </c>
      <c r="S695">
        <v>63</v>
      </c>
      <c r="T695">
        <v>49.8</v>
      </c>
      <c r="U695">
        <v>20.95</v>
      </c>
      <c r="V695" t="str">
        <f>VLOOKUP(L695,'[2]tabela de preços'!$A:$D,4,0)</f>
        <v>SHERWIN WILLIAMS</v>
      </c>
      <c r="W695" t="str">
        <f>VLOOKUP(L695,'[2]tabela de preços'!$A:$F,6,0)</f>
        <v>PRIMER AUTOMOTIVO</v>
      </c>
      <c r="X695" t="str">
        <f>VLOOKUP(L695,'[2]tabela de preços'!$A:$G,7,0)</f>
        <v>AUTOMOTIVO</v>
      </c>
    </row>
    <row r="696" spans="1:24" x14ac:dyDescent="0.3">
      <c r="A696" t="s">
        <v>186</v>
      </c>
      <c r="C696" t="s">
        <v>199</v>
      </c>
      <c r="D696" s="1">
        <v>46034</v>
      </c>
      <c r="E696" t="s">
        <v>200</v>
      </c>
      <c r="F696">
        <v>9</v>
      </c>
      <c r="G696">
        <v>236</v>
      </c>
      <c r="H696" t="str">
        <f>VLOOKUP(G696,[1]OPERADORES!$A:$B,2,0)</f>
        <v>DANIEL</v>
      </c>
      <c r="I696" t="s">
        <v>21</v>
      </c>
      <c r="J696" t="s">
        <v>189</v>
      </c>
      <c r="K696" t="s">
        <v>190</v>
      </c>
      <c r="L696">
        <v>20212</v>
      </c>
      <c r="M696" t="s">
        <v>198</v>
      </c>
      <c r="O696" t="s">
        <v>11</v>
      </c>
      <c r="P696">
        <v>5403</v>
      </c>
      <c r="Q696">
        <v>1</v>
      </c>
      <c r="R696">
        <v>26.95</v>
      </c>
      <c r="S696">
        <v>26.95</v>
      </c>
      <c r="T696">
        <v>20.46</v>
      </c>
      <c r="U696">
        <v>24.08</v>
      </c>
      <c r="V696" t="str">
        <f>VLOOKUP(L696,'[2]tabela de preços'!$A:$D,4,0)</f>
        <v>MAXI RUBBER</v>
      </c>
      <c r="W696" t="str">
        <f>VLOOKUP(L696,'[2]tabela de preços'!$A:$F,6,0)</f>
        <v>SELADORA P/ PLASTICO</v>
      </c>
      <c r="X696" t="str">
        <f>VLOOKUP(L696,'[2]tabela de preços'!$A:$G,7,0)</f>
        <v>AUTOMOTIVO</v>
      </c>
    </row>
    <row r="697" spans="1:24" x14ac:dyDescent="0.3">
      <c r="A697" t="s">
        <v>186</v>
      </c>
      <c r="C697" t="s">
        <v>199</v>
      </c>
      <c r="D697" s="1">
        <v>46034</v>
      </c>
      <c r="E697" t="s">
        <v>200</v>
      </c>
      <c r="F697">
        <v>9</v>
      </c>
      <c r="G697">
        <v>236</v>
      </c>
      <c r="H697" t="str">
        <f>VLOOKUP(G697,[1]OPERADORES!$A:$B,2,0)</f>
        <v>DANIEL</v>
      </c>
      <c r="I697" t="s">
        <v>21</v>
      </c>
      <c r="J697" t="s">
        <v>189</v>
      </c>
      <c r="K697" t="s">
        <v>190</v>
      </c>
      <c r="L697">
        <v>20414</v>
      </c>
      <c r="M697" t="s">
        <v>112</v>
      </c>
      <c r="O697" t="s">
        <v>11</v>
      </c>
      <c r="P697">
        <v>5102</v>
      </c>
      <c r="Q697">
        <v>1</v>
      </c>
      <c r="R697">
        <v>21.89</v>
      </c>
      <c r="S697">
        <v>21.89</v>
      </c>
      <c r="T697">
        <v>18</v>
      </c>
      <c r="U697">
        <v>17.77</v>
      </c>
      <c r="V697" t="str">
        <f>VLOOKUP(L697,'[2]tabela de preços'!$A:$D,4,0)</f>
        <v>SHERWIN WILLIAMS</v>
      </c>
      <c r="W697" t="str">
        <f>VLOOKUP(L697,'[2]tabela de preços'!$A:$F,6,0)</f>
        <v>DILUENTE</v>
      </c>
      <c r="X697" t="str">
        <f>VLOOKUP(L697,'[2]tabela de preços'!$A:$G,7,0)</f>
        <v>AUTOMOTIVO</v>
      </c>
    </row>
    <row r="698" spans="1:24" x14ac:dyDescent="0.3">
      <c r="A698" t="s">
        <v>447</v>
      </c>
      <c r="C698" t="s">
        <v>448</v>
      </c>
      <c r="D698" s="1">
        <v>46034</v>
      </c>
      <c r="E698" t="s">
        <v>449</v>
      </c>
      <c r="F698">
        <v>9</v>
      </c>
      <c r="G698">
        <v>174</v>
      </c>
      <c r="H698" t="str">
        <f>VLOOKUP(G698,[1]OPERADORES!$A:$B,2,0)</f>
        <v>MIRIÃ LOBATO RODRIGUES</v>
      </c>
      <c r="I698" t="s">
        <v>21</v>
      </c>
      <c r="J698" t="s">
        <v>450</v>
      </c>
      <c r="K698" t="s">
        <v>451</v>
      </c>
      <c r="L698">
        <v>13</v>
      </c>
      <c r="M698" t="s">
        <v>152</v>
      </c>
      <c r="O698" t="s">
        <v>11</v>
      </c>
      <c r="P698">
        <v>5102</v>
      </c>
      <c r="Q698">
        <v>100</v>
      </c>
      <c r="R698">
        <v>5.79</v>
      </c>
      <c r="S698">
        <v>579</v>
      </c>
      <c r="T698">
        <v>416</v>
      </c>
      <c r="U698">
        <v>28.15</v>
      </c>
      <c r="V698" t="str">
        <f>VLOOKUP(L698,'[2]tabela de preços'!$A:$D,4,0)</f>
        <v>3M</v>
      </c>
      <c r="W698" t="str">
        <f>VLOOKUP(L698,'[2]tabela de preços'!$A:$F,6,0)</f>
        <v>LIXA DÁGUA</v>
      </c>
      <c r="X698" t="str">
        <f>VLOOKUP(L698,'[2]tabela de preços'!$A:$G,7,0)</f>
        <v>AUTOMOTIVO</v>
      </c>
    </row>
    <row r="699" spans="1:24" x14ac:dyDescent="0.3">
      <c r="A699" t="s">
        <v>447</v>
      </c>
      <c r="C699" t="s">
        <v>448</v>
      </c>
      <c r="D699" s="1">
        <v>46034</v>
      </c>
      <c r="E699" t="s">
        <v>449</v>
      </c>
      <c r="F699">
        <v>9</v>
      </c>
      <c r="G699">
        <v>174</v>
      </c>
      <c r="H699" t="str">
        <f>VLOOKUP(G699,[1]OPERADORES!$A:$B,2,0)</f>
        <v>MIRIÃ LOBATO RODRIGUES</v>
      </c>
      <c r="I699" t="s">
        <v>21</v>
      </c>
      <c r="J699" t="s">
        <v>450</v>
      </c>
      <c r="K699" t="s">
        <v>451</v>
      </c>
      <c r="L699">
        <v>15</v>
      </c>
      <c r="M699" t="s">
        <v>205</v>
      </c>
      <c r="O699" t="s">
        <v>11</v>
      </c>
      <c r="P699">
        <v>5102</v>
      </c>
      <c r="Q699">
        <v>50</v>
      </c>
      <c r="R699">
        <v>5.79</v>
      </c>
      <c r="S699">
        <v>289.5</v>
      </c>
      <c r="T699">
        <v>208</v>
      </c>
      <c r="U699">
        <v>28.15</v>
      </c>
      <c r="V699" t="str">
        <f>VLOOKUP(L699,'[2]tabela de preços'!$A:$D,4,0)</f>
        <v>3M</v>
      </c>
      <c r="W699" t="str">
        <f>VLOOKUP(L699,'[2]tabela de preços'!$A:$F,6,0)</f>
        <v>LIXA DÁGUA</v>
      </c>
      <c r="X699" t="str">
        <f>VLOOKUP(L699,'[2]tabela de preços'!$A:$G,7,0)</f>
        <v>AUTOMOTIVO</v>
      </c>
    </row>
    <row r="700" spans="1:24" x14ac:dyDescent="0.3">
      <c r="A700" t="s">
        <v>447</v>
      </c>
      <c r="C700" t="s">
        <v>448</v>
      </c>
      <c r="D700" s="1">
        <v>46034</v>
      </c>
      <c r="E700" t="s">
        <v>449</v>
      </c>
      <c r="F700">
        <v>9</v>
      </c>
      <c r="G700">
        <v>174</v>
      </c>
      <c r="H700" t="str">
        <f>VLOOKUP(G700,[1]OPERADORES!$A:$B,2,0)</f>
        <v>MIRIÃ LOBATO RODRIGUES</v>
      </c>
      <c r="I700" t="s">
        <v>21</v>
      </c>
      <c r="J700" t="s">
        <v>450</v>
      </c>
      <c r="K700" t="s">
        <v>451</v>
      </c>
      <c r="L700">
        <v>16</v>
      </c>
      <c r="M700" t="s">
        <v>122</v>
      </c>
      <c r="O700" t="s">
        <v>11</v>
      </c>
      <c r="P700">
        <v>5102</v>
      </c>
      <c r="Q700">
        <v>50</v>
      </c>
      <c r="R700">
        <v>2.9</v>
      </c>
      <c r="S700">
        <v>145</v>
      </c>
      <c r="T700">
        <v>110</v>
      </c>
      <c r="U700">
        <v>24.14</v>
      </c>
      <c r="V700" t="str">
        <f>VLOOKUP(L700,'[2]tabela de preços'!$A:$D,4,0)</f>
        <v>3M</v>
      </c>
      <c r="W700" t="str">
        <f>VLOOKUP(L700,'[2]tabela de preços'!$A:$F,6,0)</f>
        <v>LIXA DÁGUA</v>
      </c>
      <c r="X700" t="str">
        <f>VLOOKUP(L700,'[2]tabela de preços'!$A:$G,7,0)</f>
        <v>AUTOMOTIVO</v>
      </c>
    </row>
    <row r="701" spans="1:24" x14ac:dyDescent="0.3">
      <c r="A701" t="s">
        <v>447</v>
      </c>
      <c r="C701" t="s">
        <v>448</v>
      </c>
      <c r="D701" s="1">
        <v>46034</v>
      </c>
      <c r="E701" t="s">
        <v>449</v>
      </c>
      <c r="F701">
        <v>9</v>
      </c>
      <c r="G701">
        <v>174</v>
      </c>
      <c r="H701" t="str">
        <f>VLOOKUP(G701,[1]OPERADORES!$A:$B,2,0)</f>
        <v>MIRIÃ LOBATO RODRIGUES</v>
      </c>
      <c r="I701" t="s">
        <v>21</v>
      </c>
      <c r="J701" t="s">
        <v>450</v>
      </c>
      <c r="K701" t="s">
        <v>451</v>
      </c>
      <c r="L701">
        <v>10298</v>
      </c>
      <c r="M701" t="s">
        <v>85</v>
      </c>
      <c r="O701" t="s">
        <v>11</v>
      </c>
      <c r="P701">
        <v>5102</v>
      </c>
      <c r="Q701">
        <v>4</v>
      </c>
      <c r="R701">
        <v>56.89</v>
      </c>
      <c r="S701">
        <v>227.56</v>
      </c>
      <c r="T701">
        <v>189.52</v>
      </c>
      <c r="U701">
        <v>16.72</v>
      </c>
      <c r="V701" t="str">
        <f>VLOOKUP(L701,'[2]tabela de preços'!$A:$D,4,0)</f>
        <v>ANJO</v>
      </c>
      <c r="W701" t="str">
        <f>VLOOKUP(L701,'[2]tabela de preços'!$A:$F,6,0)</f>
        <v>THINNER DE LIMPEZA</v>
      </c>
      <c r="X701" t="str">
        <f>VLOOKUP(L701,'[2]tabela de preços'!$A:$G,7,0)</f>
        <v>THINNER</v>
      </c>
    </row>
    <row r="702" spans="1:24" x14ac:dyDescent="0.3">
      <c r="A702" t="s">
        <v>770</v>
      </c>
      <c r="C702" t="s">
        <v>778</v>
      </c>
      <c r="D702" s="1">
        <v>46034</v>
      </c>
      <c r="E702" t="s">
        <v>779</v>
      </c>
      <c r="F702">
        <v>9</v>
      </c>
      <c r="G702">
        <v>230</v>
      </c>
      <c r="H702" t="str">
        <f>VLOOKUP(G702,[1]OPERADORES!$A:$B,2,0)</f>
        <v>SÔNIA</v>
      </c>
      <c r="I702" t="s">
        <v>21</v>
      </c>
      <c r="J702" t="s">
        <v>397</v>
      </c>
      <c r="K702" t="s">
        <v>773</v>
      </c>
      <c r="L702">
        <v>9788</v>
      </c>
      <c r="M702" t="s">
        <v>780</v>
      </c>
      <c r="O702" t="s">
        <v>11</v>
      </c>
      <c r="P702">
        <v>5102</v>
      </c>
      <c r="Q702">
        <v>2</v>
      </c>
      <c r="R702">
        <v>66.760000000000005</v>
      </c>
      <c r="S702">
        <v>133.52000000000001</v>
      </c>
      <c r="T702">
        <v>101.34</v>
      </c>
      <c r="U702">
        <v>24.1</v>
      </c>
      <c r="V702" t="str">
        <f>VLOOKUP(L702,'[2]tabela de preços'!$A:$D,4,0)</f>
        <v>WANDA</v>
      </c>
      <c r="W702" t="str">
        <f>VLOOKUP(L702,'[2]tabela de preços'!$A:$F,6,0)</f>
        <v>CATALISADORES INDIVIDUAS</v>
      </c>
      <c r="X702" t="str">
        <f>VLOOKUP(L702,'[2]tabela de preços'!$A:$G,7,0)</f>
        <v>AUTOMOTIVO</v>
      </c>
    </row>
    <row r="703" spans="1:24" x14ac:dyDescent="0.3">
      <c r="A703" t="s">
        <v>770</v>
      </c>
      <c r="C703" t="s">
        <v>778</v>
      </c>
      <c r="D703" s="1">
        <v>46034</v>
      </c>
      <c r="E703" t="s">
        <v>779</v>
      </c>
      <c r="F703">
        <v>9</v>
      </c>
      <c r="G703">
        <v>230</v>
      </c>
      <c r="H703" t="str">
        <f>VLOOKUP(G703,[1]OPERADORES!$A:$B,2,0)</f>
        <v>SÔNIA</v>
      </c>
      <c r="I703" t="s">
        <v>21</v>
      </c>
      <c r="J703" t="s">
        <v>397</v>
      </c>
      <c r="K703" t="s">
        <v>773</v>
      </c>
      <c r="L703">
        <v>23653</v>
      </c>
      <c r="M703" t="s">
        <v>644</v>
      </c>
      <c r="O703" t="s">
        <v>11</v>
      </c>
      <c r="P703">
        <v>5102</v>
      </c>
      <c r="Q703">
        <v>1</v>
      </c>
      <c r="R703">
        <v>67.150000000000006</v>
      </c>
      <c r="S703">
        <v>67.150000000000006</v>
      </c>
      <c r="T703">
        <v>50.97</v>
      </c>
      <c r="U703">
        <v>24.1</v>
      </c>
      <c r="V703" t="str">
        <f>VLOOKUP(L703,'[2]tabela de preços'!$A:$D,4,0)</f>
        <v>SIKKENS</v>
      </c>
      <c r="W703" t="str">
        <f>VLOOKUP(L703,'[2]tabela de preços'!$A:$F,6,0)</f>
        <v>CATALISADORES INDIVIDUAS</v>
      </c>
      <c r="X703" t="str">
        <f>VLOOKUP(L703,'[2]tabela de preços'!$A:$G,7,0)</f>
        <v>AUTOMOTIVO</v>
      </c>
    </row>
    <row r="704" spans="1:24" x14ac:dyDescent="0.3">
      <c r="A704" t="s">
        <v>770</v>
      </c>
      <c r="C704" t="s">
        <v>778</v>
      </c>
      <c r="D704" s="1">
        <v>46034</v>
      </c>
      <c r="E704" t="s">
        <v>779</v>
      </c>
      <c r="F704">
        <v>9</v>
      </c>
      <c r="G704">
        <v>230</v>
      </c>
      <c r="H704" t="str">
        <f>VLOOKUP(G704,[1]OPERADORES!$A:$B,2,0)</f>
        <v>SÔNIA</v>
      </c>
      <c r="I704" t="s">
        <v>21</v>
      </c>
      <c r="J704" t="s">
        <v>397</v>
      </c>
      <c r="K704" t="s">
        <v>773</v>
      </c>
      <c r="L704">
        <v>13</v>
      </c>
      <c r="M704" t="s">
        <v>152</v>
      </c>
      <c r="O704" t="s">
        <v>11</v>
      </c>
      <c r="P704">
        <v>5102</v>
      </c>
      <c r="Q704">
        <v>5</v>
      </c>
      <c r="R704">
        <v>5.79</v>
      </c>
      <c r="S704">
        <v>28.95</v>
      </c>
      <c r="T704">
        <v>20.8</v>
      </c>
      <c r="U704">
        <v>28.15</v>
      </c>
      <c r="V704" t="str">
        <f>VLOOKUP(L704,'[2]tabela de preços'!$A:$D,4,0)</f>
        <v>3M</v>
      </c>
      <c r="W704" t="str">
        <f>VLOOKUP(L704,'[2]tabela de preços'!$A:$F,6,0)</f>
        <v>LIXA DÁGUA</v>
      </c>
      <c r="X704" t="str">
        <f>VLOOKUP(L704,'[2]tabela de preços'!$A:$G,7,0)</f>
        <v>AUTOMOTIVO</v>
      </c>
    </row>
    <row r="705" spans="1:24" x14ac:dyDescent="0.3">
      <c r="A705" t="s">
        <v>770</v>
      </c>
      <c r="C705" t="s">
        <v>778</v>
      </c>
      <c r="D705" s="1">
        <v>46034</v>
      </c>
      <c r="E705" t="s">
        <v>779</v>
      </c>
      <c r="F705">
        <v>9</v>
      </c>
      <c r="G705">
        <v>230</v>
      </c>
      <c r="H705" t="str">
        <f>VLOOKUP(G705,[1]OPERADORES!$A:$B,2,0)</f>
        <v>SÔNIA</v>
      </c>
      <c r="I705" t="s">
        <v>21</v>
      </c>
      <c r="J705" t="s">
        <v>397</v>
      </c>
      <c r="K705" t="s">
        <v>773</v>
      </c>
      <c r="L705">
        <v>15</v>
      </c>
      <c r="M705" t="s">
        <v>205</v>
      </c>
      <c r="O705" t="s">
        <v>11</v>
      </c>
      <c r="P705">
        <v>5102</v>
      </c>
      <c r="Q705">
        <v>5</v>
      </c>
      <c r="R705">
        <v>5.79</v>
      </c>
      <c r="S705">
        <v>28.95</v>
      </c>
      <c r="T705">
        <v>20.8</v>
      </c>
      <c r="U705">
        <v>28.15</v>
      </c>
      <c r="V705" t="str">
        <f>VLOOKUP(L705,'[2]tabela de preços'!$A:$D,4,0)</f>
        <v>3M</v>
      </c>
      <c r="W705" t="str">
        <f>VLOOKUP(L705,'[2]tabela de preços'!$A:$F,6,0)</f>
        <v>LIXA DÁGUA</v>
      </c>
      <c r="X705" t="str">
        <f>VLOOKUP(L705,'[2]tabela de preços'!$A:$G,7,0)</f>
        <v>AUTOMOTIVO</v>
      </c>
    </row>
    <row r="706" spans="1:24" x14ac:dyDescent="0.3">
      <c r="A706" t="s">
        <v>770</v>
      </c>
      <c r="C706" t="s">
        <v>778</v>
      </c>
      <c r="D706" s="1">
        <v>46034</v>
      </c>
      <c r="E706" t="s">
        <v>779</v>
      </c>
      <c r="F706">
        <v>9</v>
      </c>
      <c r="G706">
        <v>230</v>
      </c>
      <c r="H706" t="str">
        <f>VLOOKUP(G706,[1]OPERADORES!$A:$B,2,0)</f>
        <v>SÔNIA</v>
      </c>
      <c r="I706" t="s">
        <v>21</v>
      </c>
      <c r="J706" t="s">
        <v>397</v>
      </c>
      <c r="K706" t="s">
        <v>773</v>
      </c>
      <c r="L706">
        <v>23926</v>
      </c>
      <c r="M706" t="s">
        <v>645</v>
      </c>
      <c r="O706" t="s">
        <v>11</v>
      </c>
      <c r="P706">
        <v>5403</v>
      </c>
      <c r="Q706">
        <v>1</v>
      </c>
      <c r="R706">
        <v>135.72</v>
      </c>
      <c r="S706">
        <v>135.72</v>
      </c>
      <c r="T706">
        <v>103.01</v>
      </c>
      <c r="U706">
        <v>24.1</v>
      </c>
      <c r="V706" t="str">
        <f>VLOOKUP(L706,'[2]tabela de preços'!$A:$D,4,0)</f>
        <v>SIKKENS</v>
      </c>
      <c r="W706" t="str">
        <f>VLOOKUP(L706,'[2]tabela de preços'!$A:$F,6,0)</f>
        <v>PRIMER AUTOMOTIVO</v>
      </c>
      <c r="X706" t="str">
        <f>VLOOKUP(L706,'[2]tabela de preços'!$A:$G,7,0)</f>
        <v>AUTOMOTIVO</v>
      </c>
    </row>
    <row r="707" spans="1:24" x14ac:dyDescent="0.3">
      <c r="A707" t="s">
        <v>770</v>
      </c>
      <c r="C707" t="s">
        <v>778</v>
      </c>
      <c r="D707" s="1">
        <v>46034</v>
      </c>
      <c r="E707" t="s">
        <v>779</v>
      </c>
      <c r="F707">
        <v>9</v>
      </c>
      <c r="G707">
        <v>230</v>
      </c>
      <c r="H707" t="str">
        <f>VLOOKUP(G707,[1]OPERADORES!$A:$B,2,0)</f>
        <v>SÔNIA</v>
      </c>
      <c r="I707" t="s">
        <v>21</v>
      </c>
      <c r="J707" t="s">
        <v>397</v>
      </c>
      <c r="K707" t="s">
        <v>773</v>
      </c>
      <c r="L707">
        <v>21489</v>
      </c>
      <c r="M707" t="s">
        <v>781</v>
      </c>
      <c r="O707" t="s">
        <v>11</v>
      </c>
      <c r="P707">
        <v>5403</v>
      </c>
      <c r="Q707">
        <v>1</v>
      </c>
      <c r="R707">
        <v>173.14</v>
      </c>
      <c r="S707">
        <v>173.14</v>
      </c>
      <c r="T707">
        <v>131.41</v>
      </c>
      <c r="U707">
        <v>24.1</v>
      </c>
      <c r="V707" t="str">
        <f>VLOOKUP(L707,'[2]tabela de preços'!$A:$D,4,0)</f>
        <v>WANDA</v>
      </c>
      <c r="W707" t="str">
        <f>VLOOKUP(L707,'[2]tabela de preços'!$A:$F,6,0)</f>
        <v>VERNIZ AUTOMOTIVO</v>
      </c>
      <c r="X707" t="str">
        <f>VLOOKUP(L707,'[2]tabela de preços'!$A:$G,7,0)</f>
        <v>AUTOMOTIVO</v>
      </c>
    </row>
    <row r="708" spans="1:24" x14ac:dyDescent="0.3">
      <c r="A708" t="s">
        <v>923</v>
      </c>
      <c r="C708" t="s">
        <v>924</v>
      </c>
      <c r="D708" s="1">
        <v>46034</v>
      </c>
      <c r="E708" t="s">
        <v>925</v>
      </c>
      <c r="F708">
        <v>9</v>
      </c>
      <c r="G708">
        <v>236</v>
      </c>
      <c r="H708" t="str">
        <f>VLOOKUP(G708,[1]OPERADORES!$A:$B,2,0)</f>
        <v>DANIEL</v>
      </c>
      <c r="I708" t="s">
        <v>21</v>
      </c>
      <c r="J708" t="s">
        <v>211</v>
      </c>
      <c r="K708" t="s">
        <v>926</v>
      </c>
      <c r="L708">
        <v>23295</v>
      </c>
      <c r="M708" t="s">
        <v>789</v>
      </c>
      <c r="O708" t="s">
        <v>11</v>
      </c>
      <c r="P708">
        <v>5403</v>
      </c>
      <c r="Q708">
        <v>1</v>
      </c>
      <c r="R708">
        <v>270.76</v>
      </c>
      <c r="S708">
        <v>270.76</v>
      </c>
      <c r="T708">
        <v>194.09</v>
      </c>
      <c r="U708">
        <v>28.32</v>
      </c>
      <c r="V708" t="str">
        <f>VLOOKUP(L708,'[2]tabela de preços'!$A:$D,4,0)</f>
        <v>SIKKENS</v>
      </c>
      <c r="W708" t="str">
        <f>VLOOKUP(L708,'[2]tabela de preços'!$A:$F,6,0)</f>
        <v>VERNIZ AUTOMOTIVO</v>
      </c>
      <c r="X708" t="str">
        <f>VLOOKUP(L708,'[2]tabela de preços'!$A:$G,7,0)</f>
        <v>AUTOMOTIVO</v>
      </c>
    </row>
    <row r="709" spans="1:24" x14ac:dyDescent="0.3">
      <c r="A709" t="s">
        <v>923</v>
      </c>
      <c r="C709" t="s">
        <v>924</v>
      </c>
      <c r="D709" s="1">
        <v>46034</v>
      </c>
      <c r="E709" t="s">
        <v>925</v>
      </c>
      <c r="F709">
        <v>9</v>
      </c>
      <c r="G709">
        <v>236</v>
      </c>
      <c r="H709" t="str">
        <f>VLOOKUP(G709,[1]OPERADORES!$A:$B,2,0)</f>
        <v>DANIEL</v>
      </c>
      <c r="I709" t="s">
        <v>21</v>
      </c>
      <c r="J709" t="s">
        <v>211</v>
      </c>
      <c r="K709" t="s">
        <v>926</v>
      </c>
      <c r="L709">
        <v>22188</v>
      </c>
      <c r="M709" t="s">
        <v>78</v>
      </c>
      <c r="O709" t="s">
        <v>11</v>
      </c>
      <c r="P709">
        <v>5102</v>
      </c>
      <c r="Q709">
        <v>6</v>
      </c>
      <c r="R709">
        <v>15.19</v>
      </c>
      <c r="S709">
        <v>91.14</v>
      </c>
      <c r="T709">
        <v>65.34</v>
      </c>
      <c r="U709">
        <v>28.31</v>
      </c>
      <c r="V709" t="str">
        <f>VLOOKUP(L709,'[2]tabela de preços'!$A:$D,4,0)</f>
        <v>3M</v>
      </c>
      <c r="W709" t="str">
        <f>VLOOKUP(L709,'[2]tabela de preços'!$A:$F,6,0)</f>
        <v>FITA AUTOMOTIVA</v>
      </c>
      <c r="X709" t="str">
        <f>VLOOKUP(L709,'[2]tabela de preços'!$A:$G,7,0)</f>
        <v>AUTOMOTIVO</v>
      </c>
    </row>
    <row r="710" spans="1:24" x14ac:dyDescent="0.3">
      <c r="A710" t="s">
        <v>923</v>
      </c>
      <c r="C710" t="s">
        <v>924</v>
      </c>
      <c r="D710" s="1">
        <v>46034</v>
      </c>
      <c r="E710" t="s">
        <v>925</v>
      </c>
      <c r="F710">
        <v>9</v>
      </c>
      <c r="G710">
        <v>236</v>
      </c>
      <c r="H710" t="str">
        <f>VLOOKUP(G710,[1]OPERADORES!$A:$B,2,0)</f>
        <v>DANIEL</v>
      </c>
      <c r="I710" t="s">
        <v>21</v>
      </c>
      <c r="J710" t="s">
        <v>211</v>
      </c>
      <c r="K710" t="s">
        <v>926</v>
      </c>
      <c r="L710">
        <v>24240</v>
      </c>
      <c r="M710" t="s">
        <v>240</v>
      </c>
      <c r="O710" t="s">
        <v>11</v>
      </c>
      <c r="P710">
        <v>5102</v>
      </c>
      <c r="Q710">
        <v>32</v>
      </c>
      <c r="R710">
        <v>3.81</v>
      </c>
      <c r="S710">
        <v>121.92</v>
      </c>
      <c r="T710">
        <v>104.96</v>
      </c>
      <c r="U710">
        <v>13.91</v>
      </c>
      <c r="V710" t="str">
        <f>VLOOKUP(L710,'[2]tabela de preços'!$A:$D,4,0)</f>
        <v>ADERE</v>
      </c>
      <c r="W710" t="str">
        <f>VLOOKUP(L710,'[2]tabela de preços'!$A:$F,6,0)</f>
        <v>FITA AUTOMOTIVA</v>
      </c>
      <c r="X710" t="str">
        <f>VLOOKUP(L710,'[2]tabela de preços'!$A:$G,7,0)</f>
        <v>AUTOMOTIVO</v>
      </c>
    </row>
    <row r="711" spans="1:24" x14ac:dyDescent="0.3">
      <c r="A711" t="s">
        <v>923</v>
      </c>
      <c r="C711" t="s">
        <v>924</v>
      </c>
      <c r="D711" s="1">
        <v>46034</v>
      </c>
      <c r="E711" t="s">
        <v>925</v>
      </c>
      <c r="F711">
        <v>9</v>
      </c>
      <c r="G711">
        <v>236</v>
      </c>
      <c r="H711" t="str">
        <f>VLOOKUP(G711,[1]OPERADORES!$A:$B,2,0)</f>
        <v>DANIEL</v>
      </c>
      <c r="I711" t="s">
        <v>21</v>
      </c>
      <c r="J711" t="s">
        <v>211</v>
      </c>
      <c r="K711" t="s">
        <v>926</v>
      </c>
      <c r="L711">
        <v>23653</v>
      </c>
      <c r="M711" t="s">
        <v>644</v>
      </c>
      <c r="O711" t="s">
        <v>11</v>
      </c>
      <c r="P711">
        <v>5102</v>
      </c>
      <c r="Q711">
        <v>3</v>
      </c>
      <c r="R711">
        <v>79</v>
      </c>
      <c r="S711">
        <v>237</v>
      </c>
      <c r="T711">
        <v>152.91</v>
      </c>
      <c r="U711">
        <v>35.479999999999997</v>
      </c>
      <c r="V711" t="str">
        <f>VLOOKUP(L711,'[2]tabela de preços'!$A:$D,4,0)</f>
        <v>SIKKENS</v>
      </c>
      <c r="W711" t="str">
        <f>VLOOKUP(L711,'[2]tabela de preços'!$A:$F,6,0)</f>
        <v>CATALISADORES INDIVIDUAS</v>
      </c>
      <c r="X711" t="str">
        <f>VLOOKUP(L711,'[2]tabela de preços'!$A:$G,7,0)</f>
        <v>AUTOMOTIVO</v>
      </c>
    </row>
    <row r="712" spans="1:24" x14ac:dyDescent="0.3">
      <c r="A712" t="s">
        <v>923</v>
      </c>
      <c r="C712" t="s">
        <v>924</v>
      </c>
      <c r="D712" s="1">
        <v>46034</v>
      </c>
      <c r="E712" t="s">
        <v>925</v>
      </c>
      <c r="F712">
        <v>9</v>
      </c>
      <c r="G712">
        <v>236</v>
      </c>
      <c r="H712" t="str">
        <f>VLOOKUP(G712,[1]OPERADORES!$A:$B,2,0)</f>
        <v>DANIEL</v>
      </c>
      <c r="I712" t="s">
        <v>21</v>
      </c>
      <c r="J712" t="s">
        <v>211</v>
      </c>
      <c r="K712" t="s">
        <v>926</v>
      </c>
      <c r="L712">
        <v>21078</v>
      </c>
      <c r="M712" t="s">
        <v>141</v>
      </c>
      <c r="O712" t="s">
        <v>11</v>
      </c>
      <c r="P712">
        <v>5102</v>
      </c>
      <c r="Q712">
        <v>12</v>
      </c>
      <c r="R712">
        <v>22.89</v>
      </c>
      <c r="S712">
        <v>274.68</v>
      </c>
      <c r="T712">
        <v>223.92</v>
      </c>
      <c r="U712">
        <v>18.48</v>
      </c>
      <c r="V712" t="str">
        <f>VLOOKUP(L712,'[2]tabela de preços'!$A:$D,4,0)</f>
        <v>SHERWIN WILLIAMS</v>
      </c>
      <c r="W712" t="str">
        <f>VLOOKUP(L712,'[2]tabela de preços'!$A:$F,6,0)</f>
        <v>MASSA POLIÉSTER</v>
      </c>
      <c r="X712" t="str">
        <f>VLOOKUP(L712,'[2]tabela de preços'!$A:$G,7,0)</f>
        <v>AUTOMOTIVO</v>
      </c>
    </row>
    <row r="713" spans="1:24" x14ac:dyDescent="0.3">
      <c r="A713" t="s">
        <v>923</v>
      </c>
      <c r="C713" t="s">
        <v>924</v>
      </c>
      <c r="D713" s="1">
        <v>46034</v>
      </c>
      <c r="E713" t="s">
        <v>925</v>
      </c>
      <c r="F713">
        <v>9</v>
      </c>
      <c r="G713">
        <v>236</v>
      </c>
      <c r="H713" t="str">
        <f>VLOOKUP(G713,[1]OPERADORES!$A:$B,2,0)</f>
        <v>DANIEL</v>
      </c>
      <c r="I713" t="s">
        <v>21</v>
      </c>
      <c r="J713" t="s">
        <v>211</v>
      </c>
      <c r="K713" t="s">
        <v>926</v>
      </c>
      <c r="L713">
        <v>23926</v>
      </c>
      <c r="M713" t="s">
        <v>645</v>
      </c>
      <c r="O713" t="s">
        <v>11</v>
      </c>
      <c r="P713">
        <v>5403</v>
      </c>
      <c r="Q713">
        <v>1</v>
      </c>
      <c r="R713">
        <v>159.66999999999999</v>
      </c>
      <c r="S713">
        <v>159.66999999999999</v>
      </c>
      <c r="T713">
        <v>103.01</v>
      </c>
      <c r="U713">
        <v>35.49</v>
      </c>
      <c r="V713" t="str">
        <f>VLOOKUP(L713,'[2]tabela de preços'!$A:$D,4,0)</f>
        <v>SIKKENS</v>
      </c>
      <c r="W713" t="str">
        <f>VLOOKUP(L713,'[2]tabela de preços'!$A:$F,6,0)</f>
        <v>PRIMER AUTOMOTIVO</v>
      </c>
      <c r="X713" t="str">
        <f>VLOOKUP(L713,'[2]tabela de preços'!$A:$G,7,0)</f>
        <v>AUTOMOTIVO</v>
      </c>
    </row>
    <row r="714" spans="1:24" x14ac:dyDescent="0.3">
      <c r="A714" t="s">
        <v>923</v>
      </c>
      <c r="C714" t="s">
        <v>924</v>
      </c>
      <c r="D714" s="1">
        <v>46034</v>
      </c>
      <c r="E714" t="s">
        <v>925</v>
      </c>
      <c r="F714">
        <v>9</v>
      </c>
      <c r="G714">
        <v>236</v>
      </c>
      <c r="H714" t="str">
        <f>VLOOKUP(G714,[1]OPERADORES!$A:$B,2,0)</f>
        <v>DANIEL</v>
      </c>
      <c r="I714" t="s">
        <v>21</v>
      </c>
      <c r="J714" t="s">
        <v>211</v>
      </c>
      <c r="K714" t="s">
        <v>926</v>
      </c>
      <c r="L714">
        <v>23710</v>
      </c>
      <c r="M714" t="s">
        <v>927</v>
      </c>
      <c r="O714" t="s">
        <v>11</v>
      </c>
      <c r="P714">
        <v>5102</v>
      </c>
      <c r="Q714">
        <v>2</v>
      </c>
      <c r="R714">
        <v>39.340000000000003</v>
      </c>
      <c r="S714">
        <v>78.680000000000007</v>
      </c>
      <c r="T714">
        <v>57.68</v>
      </c>
      <c r="U714">
        <v>26.69</v>
      </c>
      <c r="V714" t="str">
        <f>VLOOKUP(L714,'[2]tabela de preços'!$A:$D,4,0)</f>
        <v>NEW PAD</v>
      </c>
      <c r="W714" t="str">
        <f>VLOOKUP(L714,'[2]tabela de preços'!$A:$F,6,0)</f>
        <v>APLICADORES / ADAPTADORES / ENGATES / SUPORTES</v>
      </c>
      <c r="X714" t="str">
        <f>VLOOKUP(L714,'[2]tabela de preços'!$A:$G,7,0)</f>
        <v>AUTOMOTIVO</v>
      </c>
    </row>
    <row r="715" spans="1:24" x14ac:dyDescent="0.3">
      <c r="A715" t="s">
        <v>923</v>
      </c>
      <c r="C715" t="s">
        <v>924</v>
      </c>
      <c r="D715" s="1">
        <v>46034</v>
      </c>
      <c r="E715" t="s">
        <v>925</v>
      </c>
      <c r="F715">
        <v>9</v>
      </c>
      <c r="G715">
        <v>236</v>
      </c>
      <c r="H715" t="str">
        <f>VLOOKUP(G715,[1]OPERADORES!$A:$B,2,0)</f>
        <v>DANIEL</v>
      </c>
      <c r="I715" t="s">
        <v>21</v>
      </c>
      <c r="J715" t="s">
        <v>211</v>
      </c>
      <c r="K715" t="s">
        <v>926</v>
      </c>
      <c r="L715">
        <v>20414</v>
      </c>
      <c r="M715" t="s">
        <v>112</v>
      </c>
      <c r="O715" t="s">
        <v>11</v>
      </c>
      <c r="P715">
        <v>5102</v>
      </c>
      <c r="Q715">
        <v>5</v>
      </c>
      <c r="R715">
        <v>21.89</v>
      </c>
      <c r="S715">
        <v>109.45</v>
      </c>
      <c r="T715">
        <v>90</v>
      </c>
      <c r="U715">
        <v>17.77</v>
      </c>
      <c r="V715" t="str">
        <f>VLOOKUP(L715,'[2]tabela de preços'!$A:$D,4,0)</f>
        <v>SHERWIN WILLIAMS</v>
      </c>
      <c r="W715" t="str">
        <f>VLOOKUP(L715,'[2]tabela de preços'!$A:$F,6,0)</f>
        <v>DILUENTE</v>
      </c>
      <c r="X715" t="str">
        <f>VLOOKUP(L715,'[2]tabela de preços'!$A:$G,7,0)</f>
        <v>AUTOMOTIVO</v>
      </c>
    </row>
    <row r="716" spans="1:24" x14ac:dyDescent="0.3">
      <c r="A716" t="s">
        <v>1275</v>
      </c>
      <c r="C716" t="s">
        <v>1283</v>
      </c>
      <c r="D716" s="1">
        <v>46034</v>
      </c>
      <c r="E716" t="s">
        <v>1284</v>
      </c>
      <c r="F716">
        <v>9</v>
      </c>
      <c r="G716">
        <v>197</v>
      </c>
      <c r="H716" t="str">
        <f>VLOOKUP(G716,[1]OPERADORES!$A:$B,2,0)</f>
        <v xml:space="preserve">POLIANA LORRANE DE AMORIM </v>
      </c>
      <c r="I716" t="s">
        <v>21</v>
      </c>
      <c r="J716" t="s">
        <v>1278</v>
      </c>
      <c r="K716" t="s">
        <v>1279</v>
      </c>
      <c r="L716">
        <v>84785</v>
      </c>
      <c r="M716" t="s">
        <v>944</v>
      </c>
      <c r="O716" t="s">
        <v>11</v>
      </c>
      <c r="P716">
        <v>5403</v>
      </c>
      <c r="Q716">
        <v>8</v>
      </c>
      <c r="R716">
        <v>172.23</v>
      </c>
      <c r="S716" s="2">
        <v>1377.84</v>
      </c>
      <c r="T716" s="2">
        <v>1045.76</v>
      </c>
      <c r="U716">
        <v>24.1</v>
      </c>
      <c r="V716" t="str">
        <f>VLOOKUP(L716,'[2]tabela de preços'!$A:$D,4,0)</f>
        <v>BRASILUX</v>
      </c>
      <c r="W716" t="str">
        <f>VLOOKUP(L716,'[2]tabela de preços'!$A:$F,6,0)</f>
        <v>EPOXI</v>
      </c>
      <c r="X716" t="str">
        <f>VLOOKUP(L716,'[2]tabela de preços'!$A:$G,7,0)</f>
        <v>INDUSTRIAL</v>
      </c>
    </row>
    <row r="717" spans="1:24" x14ac:dyDescent="0.3">
      <c r="A717" t="s">
        <v>1430</v>
      </c>
      <c r="C717" t="s">
        <v>1438</v>
      </c>
      <c r="D717" s="1">
        <v>46034</v>
      </c>
      <c r="E717" t="s">
        <v>1439</v>
      </c>
      <c r="F717">
        <v>9</v>
      </c>
      <c r="G717">
        <v>197</v>
      </c>
      <c r="H717" t="str">
        <f>VLOOKUP(G717,[1]OPERADORES!$A:$B,2,0)</f>
        <v xml:space="preserve">POLIANA LORRANE DE AMORIM </v>
      </c>
      <c r="I717" t="s">
        <v>21</v>
      </c>
      <c r="J717" t="s">
        <v>363</v>
      </c>
      <c r="K717" t="s">
        <v>1433</v>
      </c>
      <c r="L717">
        <v>84560</v>
      </c>
      <c r="M717" t="s">
        <v>118</v>
      </c>
      <c r="O717" t="s">
        <v>11</v>
      </c>
      <c r="P717">
        <v>5102</v>
      </c>
      <c r="Q717">
        <v>1</v>
      </c>
      <c r="R717">
        <v>47.89</v>
      </c>
      <c r="S717">
        <v>47.89</v>
      </c>
      <c r="T717">
        <v>39.159999999999997</v>
      </c>
      <c r="U717">
        <v>18.23</v>
      </c>
      <c r="V717" t="str">
        <f>VLOOKUP(L717,'[2]tabela de preços'!$A:$D,4,0)</f>
        <v>BRASILUX</v>
      </c>
      <c r="W717" t="str">
        <f>VLOOKUP(L717,'[2]tabela de preços'!$A:$F,6,0)</f>
        <v>THINNER DE LIMPEZA</v>
      </c>
      <c r="X717" t="str">
        <f>VLOOKUP(L717,'[2]tabela de preços'!$A:$G,7,0)</f>
        <v>THINNER</v>
      </c>
    </row>
    <row r="718" spans="1:24" x14ac:dyDescent="0.3">
      <c r="A718" t="s">
        <v>1430</v>
      </c>
      <c r="C718" t="s">
        <v>1438</v>
      </c>
      <c r="D718" s="1">
        <v>46034</v>
      </c>
      <c r="E718" t="s">
        <v>1439</v>
      </c>
      <c r="F718">
        <v>9</v>
      </c>
      <c r="G718">
        <v>197</v>
      </c>
      <c r="H718" t="str">
        <f>VLOOKUP(G718,[1]OPERADORES!$A:$B,2,0)</f>
        <v xml:space="preserve">POLIANA LORRANE DE AMORIM </v>
      </c>
      <c r="I718" t="s">
        <v>21</v>
      </c>
      <c r="J718" t="s">
        <v>363</v>
      </c>
      <c r="K718" t="s">
        <v>1433</v>
      </c>
      <c r="L718">
        <v>85321</v>
      </c>
      <c r="M718" t="s">
        <v>1063</v>
      </c>
      <c r="O718" t="s">
        <v>11</v>
      </c>
      <c r="P718">
        <v>5102</v>
      </c>
      <c r="Q718">
        <v>1</v>
      </c>
      <c r="R718">
        <v>614.41</v>
      </c>
      <c r="S718">
        <v>614.41</v>
      </c>
      <c r="T718">
        <v>438.08</v>
      </c>
      <c r="U718">
        <v>28.7</v>
      </c>
      <c r="V718" t="str">
        <f>VLOOKUP(L718,'[2]tabela de preços'!$A:$D,4,0)</f>
        <v>BRASILUX</v>
      </c>
      <c r="W718" t="str">
        <f>VLOOKUP(L718,'[2]tabela de preços'!$A:$F,6,0)</f>
        <v>TINTA EM PÓ</v>
      </c>
      <c r="X718" t="str">
        <f>VLOOKUP(L718,'[2]tabela de preços'!$A:$G,7,0)</f>
        <v>INDUSTRIAL</v>
      </c>
    </row>
    <row r="719" spans="1:24" x14ac:dyDescent="0.3">
      <c r="A719" t="s">
        <v>1486</v>
      </c>
      <c r="C719" t="s">
        <v>1493</v>
      </c>
      <c r="D719" s="1">
        <v>46034</v>
      </c>
      <c r="E719" t="s">
        <v>1494</v>
      </c>
      <c r="F719">
        <v>9</v>
      </c>
      <c r="G719">
        <v>236</v>
      </c>
      <c r="H719" t="str">
        <f>VLOOKUP(G719,[1]OPERADORES!$A:$B,2,0)</f>
        <v>DANIEL</v>
      </c>
      <c r="I719" t="s">
        <v>1489</v>
      </c>
      <c r="J719" t="s">
        <v>1490</v>
      </c>
      <c r="K719" t="s">
        <v>1491</v>
      </c>
      <c r="L719">
        <v>9894</v>
      </c>
      <c r="M719" t="s">
        <v>1495</v>
      </c>
      <c r="O719" t="s">
        <v>11</v>
      </c>
      <c r="P719">
        <v>6403</v>
      </c>
      <c r="Q719">
        <v>1</v>
      </c>
      <c r="R719">
        <v>285.57</v>
      </c>
      <c r="S719">
        <v>285.57</v>
      </c>
      <c r="T719">
        <v>203.62</v>
      </c>
      <c r="U719">
        <v>28.7</v>
      </c>
      <c r="V719" t="str">
        <f>VLOOKUP(L719,'[2]tabela de preços'!$A:$D,4,0)</f>
        <v>WANDA</v>
      </c>
      <c r="W719" t="str">
        <f>VLOOKUP(L719,'[2]tabela de preços'!$A:$F,6,0)</f>
        <v>BASES POLIÉSTER</v>
      </c>
      <c r="X719" t="str">
        <f>VLOOKUP(L719,'[2]tabela de preços'!$A:$G,7,0)</f>
        <v>AUTOMOTIVO</v>
      </c>
    </row>
    <row r="720" spans="1:24" x14ac:dyDescent="0.3">
      <c r="A720" t="s">
        <v>1524</v>
      </c>
      <c r="B720" t="s">
        <v>1525</v>
      </c>
      <c r="C720" t="s">
        <v>1534</v>
      </c>
      <c r="D720" s="1">
        <v>46034</v>
      </c>
      <c r="E720" t="s">
        <v>1535</v>
      </c>
      <c r="F720">
        <v>9</v>
      </c>
      <c r="G720">
        <v>236</v>
      </c>
      <c r="H720" t="str">
        <f>VLOOKUP(G720,[1]OPERADORES!$A:$B,2,0)</f>
        <v>DANIEL</v>
      </c>
      <c r="I720" t="s">
        <v>21</v>
      </c>
      <c r="J720" t="s">
        <v>762</v>
      </c>
      <c r="K720" t="s">
        <v>1528</v>
      </c>
      <c r="L720">
        <v>84383</v>
      </c>
      <c r="M720" t="s">
        <v>836</v>
      </c>
      <c r="O720" t="s">
        <v>11</v>
      </c>
      <c r="P720">
        <v>5403</v>
      </c>
      <c r="Q720">
        <v>1</v>
      </c>
      <c r="R720">
        <v>159.9</v>
      </c>
      <c r="S720">
        <v>159.9</v>
      </c>
      <c r="T720">
        <v>137.61000000000001</v>
      </c>
      <c r="U720">
        <v>13.94</v>
      </c>
      <c r="V720" t="str">
        <f>VLOOKUP(L720,'[2]tabela de preços'!$A:$D,4,0)</f>
        <v>BRASILUX</v>
      </c>
      <c r="W720" t="str">
        <f>VLOOKUP(L720,'[2]tabela de preços'!$A:$F,6,0)</f>
        <v>TINTA PARA PISO</v>
      </c>
      <c r="X720" t="str">
        <f>VLOOKUP(L720,'[2]tabela de preços'!$A:$G,7,0)</f>
        <v>IMOBILIÁRIO</v>
      </c>
    </row>
    <row r="721" spans="1:24" x14ac:dyDescent="0.3">
      <c r="A721" t="s">
        <v>1524</v>
      </c>
      <c r="B721" t="s">
        <v>1525</v>
      </c>
      <c r="C721" t="s">
        <v>1534</v>
      </c>
      <c r="D721" s="1">
        <v>46034</v>
      </c>
      <c r="E721" t="s">
        <v>1535</v>
      </c>
      <c r="F721">
        <v>9</v>
      </c>
      <c r="G721">
        <v>236</v>
      </c>
      <c r="H721" t="str">
        <f>VLOOKUP(G721,[1]OPERADORES!$A:$B,2,0)</f>
        <v>DANIEL</v>
      </c>
      <c r="I721" t="s">
        <v>21</v>
      </c>
      <c r="J721" t="s">
        <v>762</v>
      </c>
      <c r="K721" t="s">
        <v>1528</v>
      </c>
      <c r="L721">
        <v>84384</v>
      </c>
      <c r="M721" t="s">
        <v>1529</v>
      </c>
      <c r="O721" t="s">
        <v>11</v>
      </c>
      <c r="P721">
        <v>5403</v>
      </c>
      <c r="Q721">
        <v>5</v>
      </c>
      <c r="R721">
        <v>159.9</v>
      </c>
      <c r="S721">
        <v>799.5</v>
      </c>
      <c r="T721">
        <v>688.05</v>
      </c>
      <c r="U721">
        <v>13.94</v>
      </c>
      <c r="V721" t="str">
        <f>VLOOKUP(L721,'[2]tabela de preços'!$A:$D,4,0)</f>
        <v>BRASILUX</v>
      </c>
      <c r="W721" t="str">
        <f>VLOOKUP(L721,'[2]tabela de preços'!$A:$F,6,0)</f>
        <v>TINTA PARA PISO</v>
      </c>
      <c r="X721" t="str">
        <f>VLOOKUP(L721,'[2]tabela de preços'!$A:$G,7,0)</f>
        <v>IMOBILIÁRIO</v>
      </c>
    </row>
    <row r="722" spans="1:24" x14ac:dyDescent="0.3">
      <c r="A722" t="s">
        <v>1524</v>
      </c>
      <c r="B722" t="s">
        <v>1525</v>
      </c>
      <c r="C722" t="s">
        <v>1534</v>
      </c>
      <c r="D722" s="1">
        <v>46034</v>
      </c>
      <c r="E722" t="s">
        <v>1535</v>
      </c>
      <c r="F722">
        <v>9</v>
      </c>
      <c r="G722">
        <v>236</v>
      </c>
      <c r="H722" t="str">
        <f>VLOOKUP(G722,[1]OPERADORES!$A:$B,2,0)</f>
        <v>DANIEL</v>
      </c>
      <c r="I722" t="s">
        <v>21</v>
      </c>
      <c r="J722" t="s">
        <v>762</v>
      </c>
      <c r="K722" t="s">
        <v>1528</v>
      </c>
      <c r="L722">
        <v>84389</v>
      </c>
      <c r="M722" t="s">
        <v>832</v>
      </c>
      <c r="O722" t="s">
        <v>11</v>
      </c>
      <c r="P722">
        <v>5403</v>
      </c>
      <c r="Q722">
        <v>2</v>
      </c>
      <c r="R722">
        <v>159.9</v>
      </c>
      <c r="S722">
        <v>319.8</v>
      </c>
      <c r="T722">
        <v>275.22000000000003</v>
      </c>
      <c r="U722">
        <v>13.94</v>
      </c>
      <c r="V722" t="str">
        <f>VLOOKUP(L722,'[2]tabela de preços'!$A:$D,4,0)</f>
        <v>BRASILUX</v>
      </c>
      <c r="W722" t="str">
        <f>VLOOKUP(L722,'[2]tabela de preços'!$A:$F,6,0)</f>
        <v>TINTA PARA PISO</v>
      </c>
      <c r="X722" t="str">
        <f>VLOOKUP(L722,'[2]tabela de preços'!$A:$G,7,0)</f>
        <v>IMOBILIÁRIO</v>
      </c>
    </row>
    <row r="723" spans="1:24" x14ac:dyDescent="0.3">
      <c r="A723" t="s">
        <v>1524</v>
      </c>
      <c r="B723" t="s">
        <v>1525</v>
      </c>
      <c r="C723" t="s">
        <v>1534</v>
      </c>
      <c r="D723" s="1">
        <v>46034</v>
      </c>
      <c r="E723" t="s">
        <v>1535</v>
      </c>
      <c r="F723">
        <v>9</v>
      </c>
      <c r="G723">
        <v>236</v>
      </c>
      <c r="H723" t="str">
        <f>VLOOKUP(G723,[1]OPERADORES!$A:$B,2,0)</f>
        <v>DANIEL</v>
      </c>
      <c r="I723" t="s">
        <v>21</v>
      </c>
      <c r="J723" t="s">
        <v>762</v>
      </c>
      <c r="K723" t="s">
        <v>1528</v>
      </c>
      <c r="L723">
        <v>85280</v>
      </c>
      <c r="M723" t="s">
        <v>943</v>
      </c>
      <c r="O723" t="s">
        <v>11</v>
      </c>
      <c r="P723">
        <v>5102</v>
      </c>
      <c r="Q723">
        <v>3</v>
      </c>
      <c r="R723">
        <v>55.72</v>
      </c>
      <c r="S723">
        <v>167.16</v>
      </c>
      <c r="T723">
        <v>126.87</v>
      </c>
      <c r="U723">
        <v>24.1</v>
      </c>
      <c r="V723" t="str">
        <f>VLOOKUP(L723,'[2]tabela de preços'!$A:$D,4,0)</f>
        <v>BRASILUX</v>
      </c>
      <c r="W723" t="str">
        <f>VLOOKUP(L723,'[2]tabela de preços'!$A:$F,6,0)</f>
        <v>CATALISADORES INDIVIDUAIS</v>
      </c>
      <c r="X723" t="str">
        <f>VLOOKUP(L723,'[2]tabela de preços'!$A:$G,7,0)</f>
        <v>IMOBILIÁRIO</v>
      </c>
    </row>
    <row r="724" spans="1:24" x14ac:dyDescent="0.3">
      <c r="A724" t="s">
        <v>1561</v>
      </c>
      <c r="C724" t="s">
        <v>1571</v>
      </c>
      <c r="D724" s="1">
        <v>46034</v>
      </c>
      <c r="E724" t="s">
        <v>1572</v>
      </c>
      <c r="F724">
        <v>9</v>
      </c>
      <c r="G724">
        <v>174</v>
      </c>
      <c r="H724" t="str">
        <f>VLOOKUP(G724,[1]OPERADORES!$A:$B,2,0)</f>
        <v>MIRIÃ LOBATO RODRIGUES</v>
      </c>
      <c r="I724" t="s">
        <v>21</v>
      </c>
      <c r="J724" t="s">
        <v>1564</v>
      </c>
      <c r="K724" t="s">
        <v>1565</v>
      </c>
      <c r="L724">
        <v>86230</v>
      </c>
      <c r="M724" t="s">
        <v>375</v>
      </c>
      <c r="O724" t="s">
        <v>11</v>
      </c>
      <c r="P724">
        <v>5403</v>
      </c>
      <c r="Q724">
        <v>1</v>
      </c>
      <c r="R724">
        <v>290.88</v>
      </c>
      <c r="S724">
        <v>290.88</v>
      </c>
      <c r="T724">
        <v>220.78</v>
      </c>
      <c r="U724">
        <v>24.1</v>
      </c>
      <c r="V724" t="str">
        <f>VLOOKUP(L724,'[2]tabela de preços'!$A:$D,4,0)</f>
        <v>CORAL</v>
      </c>
      <c r="W724" t="str">
        <f>VLOOKUP(L724,'[2]tabela de preços'!$A:$F,6,0)</f>
        <v>TINTA PAREDE</v>
      </c>
      <c r="X724" t="str">
        <f>VLOOKUP(L724,'[2]tabela de preços'!$A:$G,7,0)</f>
        <v>IMOBILIÁRIO</v>
      </c>
    </row>
    <row r="725" spans="1:24" x14ac:dyDescent="0.3">
      <c r="A725" t="s">
        <v>1561</v>
      </c>
      <c r="C725" t="s">
        <v>1571</v>
      </c>
      <c r="D725" s="1">
        <v>46034</v>
      </c>
      <c r="E725" t="s">
        <v>1572</v>
      </c>
      <c r="F725">
        <v>9</v>
      </c>
      <c r="G725">
        <v>174</v>
      </c>
      <c r="H725" t="str">
        <f>VLOOKUP(G725,[1]OPERADORES!$A:$B,2,0)</f>
        <v>MIRIÃ LOBATO RODRIGUES</v>
      </c>
      <c r="I725" t="s">
        <v>21</v>
      </c>
      <c r="J725" t="s">
        <v>1564</v>
      </c>
      <c r="K725" t="s">
        <v>1565</v>
      </c>
      <c r="L725">
        <v>84032</v>
      </c>
      <c r="M725" t="s">
        <v>1573</v>
      </c>
      <c r="O725" t="s">
        <v>11</v>
      </c>
      <c r="P725">
        <v>5102</v>
      </c>
      <c r="Q725">
        <v>3</v>
      </c>
      <c r="R725">
        <v>96.39</v>
      </c>
      <c r="S725">
        <v>289.17</v>
      </c>
      <c r="T725">
        <v>219.48</v>
      </c>
      <c r="U725">
        <v>24.1</v>
      </c>
      <c r="V725" t="str">
        <f>VLOOKUP(L725,'[2]tabela de preços'!$A:$D,4,0)</f>
        <v>BRASILUX</v>
      </c>
      <c r="W725" t="str">
        <f>VLOOKUP(L725,'[2]tabela de preços'!$A:$F,6,0)</f>
        <v>MASSA CORRIDA / ACRÍLICA</v>
      </c>
      <c r="X725" t="str">
        <f>VLOOKUP(L725,'[2]tabela de preços'!$A:$G,7,0)</f>
        <v>IMOBILIÁRIO</v>
      </c>
    </row>
    <row r="726" spans="1:24" x14ac:dyDescent="0.3">
      <c r="A726" t="s">
        <v>1561</v>
      </c>
      <c r="C726" t="s">
        <v>1571</v>
      </c>
      <c r="D726" s="1">
        <v>46034</v>
      </c>
      <c r="E726" t="s">
        <v>1572</v>
      </c>
      <c r="F726">
        <v>9</v>
      </c>
      <c r="G726">
        <v>174</v>
      </c>
      <c r="H726" t="str">
        <f>VLOOKUP(G726,[1]OPERADORES!$A:$B,2,0)</f>
        <v>MIRIÃ LOBATO RODRIGUES</v>
      </c>
      <c r="I726" t="s">
        <v>21</v>
      </c>
      <c r="J726" t="s">
        <v>1564</v>
      </c>
      <c r="K726" t="s">
        <v>1565</v>
      </c>
      <c r="L726">
        <v>84036</v>
      </c>
      <c r="M726" t="s">
        <v>289</v>
      </c>
      <c r="O726" t="s">
        <v>11</v>
      </c>
      <c r="P726">
        <v>5102</v>
      </c>
      <c r="Q726">
        <v>8</v>
      </c>
      <c r="R726">
        <v>47.9</v>
      </c>
      <c r="S726">
        <v>383.2</v>
      </c>
      <c r="T726">
        <v>333.04</v>
      </c>
      <c r="U726">
        <v>13.09</v>
      </c>
      <c r="V726" t="str">
        <f>VLOOKUP(L726,'[2]tabela de preços'!$A:$D,4,0)</f>
        <v>BRASILUX</v>
      </c>
      <c r="W726" t="str">
        <f>VLOOKUP(L726,'[2]tabela de preços'!$A:$F,6,0)</f>
        <v>MASSA CORRIDA / ACRÍLICA</v>
      </c>
      <c r="X726" t="str">
        <f>VLOOKUP(L726,'[2]tabela de preços'!$A:$G,7,0)</f>
        <v>IMOBILIÁRIO</v>
      </c>
    </row>
    <row r="727" spans="1:24" x14ac:dyDescent="0.3">
      <c r="A727" t="s">
        <v>1561</v>
      </c>
      <c r="C727" t="s">
        <v>1574</v>
      </c>
      <c r="D727" s="1">
        <v>46034</v>
      </c>
      <c r="E727" t="s">
        <v>1575</v>
      </c>
      <c r="F727">
        <v>9</v>
      </c>
      <c r="G727">
        <v>174</v>
      </c>
      <c r="H727" t="str">
        <f>VLOOKUP(G727,[1]OPERADORES!$A:$B,2,0)</f>
        <v>MIRIÃ LOBATO RODRIGUES</v>
      </c>
      <c r="I727" t="s">
        <v>21</v>
      </c>
      <c r="J727" t="s">
        <v>1564</v>
      </c>
      <c r="K727" t="s">
        <v>1565</v>
      </c>
      <c r="L727">
        <v>84334</v>
      </c>
      <c r="M727" t="s">
        <v>895</v>
      </c>
      <c r="O727" t="s">
        <v>11</v>
      </c>
      <c r="P727">
        <v>5403</v>
      </c>
      <c r="Q727">
        <v>4</v>
      </c>
      <c r="R727">
        <v>59.98</v>
      </c>
      <c r="S727">
        <v>239.92</v>
      </c>
      <c r="T727">
        <v>190.64</v>
      </c>
      <c r="U727">
        <v>20.54</v>
      </c>
      <c r="V727" t="str">
        <f>VLOOKUP(L727,'[2]tabela de preços'!$A:$D,4,0)</f>
        <v>BRASILUX</v>
      </c>
      <c r="W727" t="str">
        <f>VLOOKUP(L727,'[2]tabela de preços'!$A:$F,6,0)</f>
        <v>ESMALTES</v>
      </c>
      <c r="X727" t="str">
        <f>VLOOKUP(L727,'[2]tabela de preços'!$A:$G,7,0)</f>
        <v>INDUSTRIAL</v>
      </c>
    </row>
    <row r="728" spans="1:24" x14ac:dyDescent="0.3">
      <c r="A728" t="s">
        <v>1561</v>
      </c>
      <c r="C728" t="s">
        <v>1574</v>
      </c>
      <c r="D728" s="1">
        <v>46034</v>
      </c>
      <c r="E728" t="s">
        <v>1575</v>
      </c>
      <c r="F728">
        <v>9</v>
      </c>
      <c r="G728">
        <v>174</v>
      </c>
      <c r="H728" t="str">
        <f>VLOOKUP(G728,[1]OPERADORES!$A:$B,2,0)</f>
        <v>MIRIÃ LOBATO RODRIGUES</v>
      </c>
      <c r="I728" t="s">
        <v>21</v>
      </c>
      <c r="J728" t="s">
        <v>1564</v>
      </c>
      <c r="K728" t="s">
        <v>1565</v>
      </c>
      <c r="L728">
        <v>86846</v>
      </c>
      <c r="M728" t="s">
        <v>1576</v>
      </c>
      <c r="O728" t="s">
        <v>11</v>
      </c>
      <c r="P728">
        <v>5403</v>
      </c>
      <c r="Q728">
        <v>2</v>
      </c>
      <c r="R728">
        <v>290.88</v>
      </c>
      <c r="S728">
        <v>581.76</v>
      </c>
      <c r="T728">
        <v>441.56</v>
      </c>
      <c r="U728">
        <v>24.1</v>
      </c>
      <c r="V728" t="str">
        <f>VLOOKUP(L728,'[2]tabela de preços'!$A:$D,4,0)</f>
        <v>CORAL</v>
      </c>
      <c r="W728" t="str">
        <f>VLOOKUP(L728,'[2]tabela de preços'!$A:$F,6,0)</f>
        <v>TINTA PAREDE</v>
      </c>
      <c r="X728" t="str">
        <f>VLOOKUP(L728,'[2]tabela de preços'!$A:$G,7,0)</f>
        <v>IMOBILIÁRIO</v>
      </c>
    </row>
    <row r="729" spans="1:24" x14ac:dyDescent="0.3">
      <c r="A729" t="s">
        <v>1630</v>
      </c>
      <c r="C729" t="s">
        <v>1634</v>
      </c>
      <c r="D729" s="1">
        <v>46034</v>
      </c>
      <c r="E729" t="s">
        <v>1635</v>
      </c>
      <c r="F729">
        <v>9</v>
      </c>
      <c r="G729">
        <v>174</v>
      </c>
      <c r="H729" t="str">
        <f>VLOOKUP(G729,[1]OPERADORES!$A:$B,2,0)</f>
        <v>MIRIÃ LOBATO RODRIGUES</v>
      </c>
      <c r="I729" t="s">
        <v>21</v>
      </c>
      <c r="J729" t="s">
        <v>762</v>
      </c>
      <c r="K729" t="s">
        <v>1633</v>
      </c>
      <c r="L729">
        <v>9799</v>
      </c>
      <c r="M729" t="s">
        <v>1636</v>
      </c>
      <c r="O729" t="s">
        <v>11</v>
      </c>
      <c r="P729">
        <v>5102</v>
      </c>
      <c r="Q729">
        <v>7</v>
      </c>
      <c r="R729">
        <v>34.729999999999997</v>
      </c>
      <c r="S729">
        <v>243.11</v>
      </c>
      <c r="T729">
        <v>184.52</v>
      </c>
      <c r="U729">
        <v>24.1</v>
      </c>
      <c r="V729" t="str">
        <f>VLOOKUP(L729,'[2]tabela de preços'!$A:$D,4,0)</f>
        <v>WANDA</v>
      </c>
      <c r="W729" t="str">
        <f>VLOOKUP(L729,'[2]tabela de preços'!$A:$F,6,0)</f>
        <v>FERRUGEM</v>
      </c>
      <c r="X729" t="str">
        <f>VLOOKUP(L729,'[2]tabela de preços'!$A:$G,7,0)</f>
        <v>AUTOMOTIVO</v>
      </c>
    </row>
    <row r="730" spans="1:24" x14ac:dyDescent="0.3">
      <c r="A730" t="s">
        <v>1630</v>
      </c>
      <c r="C730" t="s">
        <v>1634</v>
      </c>
      <c r="D730" s="1">
        <v>46034</v>
      </c>
      <c r="E730" t="s">
        <v>1635</v>
      </c>
      <c r="F730">
        <v>9</v>
      </c>
      <c r="G730">
        <v>174</v>
      </c>
      <c r="H730" t="str">
        <f>VLOOKUP(G730,[1]OPERADORES!$A:$B,2,0)</f>
        <v>MIRIÃ LOBATO RODRIGUES</v>
      </c>
      <c r="I730" t="s">
        <v>21</v>
      </c>
      <c r="J730" t="s">
        <v>762</v>
      </c>
      <c r="K730" t="s">
        <v>1633</v>
      </c>
      <c r="L730">
        <v>23465</v>
      </c>
      <c r="M730" t="s">
        <v>110</v>
      </c>
      <c r="O730" t="s">
        <v>11</v>
      </c>
      <c r="P730">
        <v>5102</v>
      </c>
      <c r="Q730">
        <v>24</v>
      </c>
      <c r="R730">
        <v>3.76</v>
      </c>
      <c r="S730">
        <v>90.24</v>
      </c>
      <c r="T730">
        <v>68.400000000000006</v>
      </c>
      <c r="U730">
        <v>24.2</v>
      </c>
      <c r="V730" t="str">
        <f>VLOOKUP(L730,'[2]tabela de preços'!$A:$D,4,0)</f>
        <v>3M</v>
      </c>
      <c r="W730" t="str">
        <f>VLOOKUP(L730,'[2]tabela de preços'!$A:$F,6,0)</f>
        <v>EPI´S</v>
      </c>
      <c r="X730" t="str">
        <f>VLOOKUP(L730,'[2]tabela de preços'!$A:$G,7,0)</f>
        <v>AUTOMOTIVO</v>
      </c>
    </row>
    <row r="731" spans="1:24" x14ac:dyDescent="0.3">
      <c r="A731" t="s">
        <v>1766</v>
      </c>
      <c r="C731" t="s">
        <v>1767</v>
      </c>
      <c r="D731" s="1">
        <v>46034</v>
      </c>
      <c r="E731" t="s">
        <v>1768</v>
      </c>
      <c r="F731">
        <v>9</v>
      </c>
      <c r="G731">
        <v>236</v>
      </c>
      <c r="H731" t="str">
        <f>VLOOKUP(G731,[1]OPERADORES!$A:$B,2,0)</f>
        <v>DANIEL</v>
      </c>
      <c r="I731" t="s">
        <v>21</v>
      </c>
      <c r="J731" t="s">
        <v>372</v>
      </c>
      <c r="K731" t="s">
        <v>1769</v>
      </c>
      <c r="L731">
        <v>84383</v>
      </c>
      <c r="M731" t="s">
        <v>836</v>
      </c>
      <c r="O731" t="s">
        <v>11</v>
      </c>
      <c r="P731">
        <v>5403</v>
      </c>
      <c r="Q731">
        <v>6</v>
      </c>
      <c r="R731">
        <v>159.9</v>
      </c>
      <c r="S731">
        <v>959.4</v>
      </c>
      <c r="T731">
        <v>825.66</v>
      </c>
      <c r="U731">
        <v>13.94</v>
      </c>
      <c r="V731" t="str">
        <f>VLOOKUP(L731,'[2]tabela de preços'!$A:$D,4,0)</f>
        <v>BRASILUX</v>
      </c>
      <c r="W731" t="str">
        <f>VLOOKUP(L731,'[2]tabela de preços'!$A:$F,6,0)</f>
        <v>TINTA PARA PISO</v>
      </c>
      <c r="X731" t="str">
        <f>VLOOKUP(L731,'[2]tabela de preços'!$A:$G,7,0)</f>
        <v>IMOBILIÁRIO</v>
      </c>
    </row>
    <row r="732" spans="1:24" x14ac:dyDescent="0.3">
      <c r="A732" t="s">
        <v>1947</v>
      </c>
      <c r="B732" t="s">
        <v>1948</v>
      </c>
      <c r="C732" t="s">
        <v>1949</v>
      </c>
      <c r="D732" s="1">
        <v>46034</v>
      </c>
      <c r="E732" t="s">
        <v>1950</v>
      </c>
      <c r="F732">
        <v>9</v>
      </c>
      <c r="G732">
        <v>236</v>
      </c>
      <c r="H732" t="str">
        <f>VLOOKUP(G732,[1]OPERADORES!$A:$B,2,0)</f>
        <v>DANIEL</v>
      </c>
      <c r="I732" t="s">
        <v>21</v>
      </c>
      <c r="J732" t="s">
        <v>1951</v>
      </c>
      <c r="K732" t="s">
        <v>1952</v>
      </c>
      <c r="L732">
        <v>85772</v>
      </c>
      <c r="M732" t="s">
        <v>54</v>
      </c>
      <c r="O732" t="s">
        <v>11</v>
      </c>
      <c r="P732">
        <v>5403</v>
      </c>
      <c r="Q732">
        <v>1</v>
      </c>
      <c r="R732">
        <v>78.11</v>
      </c>
      <c r="S732">
        <v>78.11</v>
      </c>
      <c r="T732">
        <v>59.28</v>
      </c>
      <c r="U732">
        <v>24.11</v>
      </c>
      <c r="V732" t="str">
        <f>VLOOKUP(L732,'[2]tabela de preços'!$A:$D,4,0)</f>
        <v>CORAL</v>
      </c>
      <c r="W732" t="str">
        <f>VLOOKUP(L732,'[2]tabela de preços'!$A:$F,6,0)</f>
        <v>TINTA PAREDE</v>
      </c>
      <c r="X732" t="str">
        <f>VLOOKUP(L732,'[2]tabela de preços'!$A:$G,7,0)</f>
        <v>IMOBILIÁRIO</v>
      </c>
    </row>
    <row r="733" spans="1:24" x14ac:dyDescent="0.3">
      <c r="A733" t="s">
        <v>1947</v>
      </c>
      <c r="B733" t="s">
        <v>1948</v>
      </c>
      <c r="C733" t="s">
        <v>1949</v>
      </c>
      <c r="D733" s="1">
        <v>46034</v>
      </c>
      <c r="E733" t="s">
        <v>1950</v>
      </c>
      <c r="F733">
        <v>9</v>
      </c>
      <c r="G733">
        <v>236</v>
      </c>
      <c r="H733" t="str">
        <f>VLOOKUP(G733,[1]OPERADORES!$A:$B,2,0)</f>
        <v>DANIEL</v>
      </c>
      <c r="I733" t="s">
        <v>21</v>
      </c>
      <c r="J733" t="s">
        <v>1951</v>
      </c>
      <c r="K733" t="s">
        <v>1952</v>
      </c>
      <c r="L733">
        <v>84411</v>
      </c>
      <c r="M733" t="s">
        <v>35</v>
      </c>
      <c r="O733" t="s">
        <v>11</v>
      </c>
      <c r="P733">
        <v>5102</v>
      </c>
      <c r="Q733">
        <v>10</v>
      </c>
      <c r="R733">
        <v>4.29</v>
      </c>
      <c r="S733">
        <v>42.9</v>
      </c>
      <c r="T733">
        <v>35.4</v>
      </c>
      <c r="U733">
        <v>17.48</v>
      </c>
      <c r="V733" t="str">
        <f>VLOOKUP(L733,'[2]tabela de preços'!$A:$D,4,0)</f>
        <v>ADERE</v>
      </c>
      <c r="W733" t="str">
        <f>VLOOKUP(L733,'[2]tabela de preços'!$A:$F,6,0)</f>
        <v xml:space="preserve">FITA DE USO GERAL </v>
      </c>
      <c r="X733" t="str">
        <f>VLOOKUP(L733,'[2]tabela de preços'!$A:$G,7,0)</f>
        <v>IMOBILIÁRIO</v>
      </c>
    </row>
    <row r="734" spans="1:24" x14ac:dyDescent="0.3">
      <c r="A734" t="s">
        <v>1947</v>
      </c>
      <c r="B734" t="s">
        <v>1948</v>
      </c>
      <c r="C734" t="s">
        <v>1949</v>
      </c>
      <c r="D734" s="1">
        <v>46034</v>
      </c>
      <c r="E734" t="s">
        <v>1950</v>
      </c>
      <c r="F734">
        <v>9</v>
      </c>
      <c r="G734">
        <v>236</v>
      </c>
      <c r="H734" t="str">
        <f>VLOOKUP(G734,[1]OPERADORES!$A:$B,2,0)</f>
        <v>DANIEL</v>
      </c>
      <c r="I734" t="s">
        <v>21</v>
      </c>
      <c r="J734" t="s">
        <v>1951</v>
      </c>
      <c r="K734" t="s">
        <v>1952</v>
      </c>
      <c r="L734">
        <v>84928</v>
      </c>
      <c r="M734" t="s">
        <v>36</v>
      </c>
      <c r="O734" t="s">
        <v>11</v>
      </c>
      <c r="P734">
        <v>5102</v>
      </c>
      <c r="Q734">
        <v>6</v>
      </c>
      <c r="R734">
        <v>9.7200000000000006</v>
      </c>
      <c r="S734">
        <v>58.32</v>
      </c>
      <c r="T734">
        <v>42.78</v>
      </c>
      <c r="U734">
        <v>26.65</v>
      </c>
      <c r="V734" t="str">
        <f>VLOOKUP(L734,'[2]tabela de preços'!$A:$D,4,0)</f>
        <v>ADERE</v>
      </c>
      <c r="W734" t="str">
        <f>VLOOKUP(L734,'[2]tabela de preços'!$A:$F,6,0)</f>
        <v xml:space="preserve">FITA DE USO GERAL </v>
      </c>
      <c r="X734" t="str">
        <f>VLOOKUP(L734,'[2]tabela de preços'!$A:$G,7,0)</f>
        <v>IMOBILIÁRIO</v>
      </c>
    </row>
    <row r="735" spans="1:24" x14ac:dyDescent="0.3">
      <c r="A735" t="s">
        <v>1947</v>
      </c>
      <c r="B735" t="s">
        <v>1948</v>
      </c>
      <c r="C735" t="s">
        <v>1949</v>
      </c>
      <c r="D735" s="1">
        <v>46034</v>
      </c>
      <c r="E735" t="s">
        <v>1950</v>
      </c>
      <c r="F735">
        <v>9</v>
      </c>
      <c r="G735">
        <v>236</v>
      </c>
      <c r="H735" t="str">
        <f>VLOOKUP(G735,[1]OPERADORES!$A:$B,2,0)</f>
        <v>DANIEL</v>
      </c>
      <c r="I735" t="s">
        <v>21</v>
      </c>
      <c r="J735" t="s">
        <v>1951</v>
      </c>
      <c r="K735" t="s">
        <v>1952</v>
      </c>
      <c r="L735">
        <v>84021</v>
      </c>
      <c r="M735" t="s">
        <v>1945</v>
      </c>
      <c r="O735" t="s">
        <v>11</v>
      </c>
      <c r="P735">
        <v>5102</v>
      </c>
      <c r="Q735">
        <v>20</v>
      </c>
      <c r="R735">
        <v>0.62</v>
      </c>
      <c r="S735">
        <v>12.4</v>
      </c>
      <c r="T735">
        <v>9.1999999999999993</v>
      </c>
      <c r="U735">
        <v>25.81</v>
      </c>
      <c r="V735" t="str">
        <f>VLOOKUP(L735,'[2]tabela de preços'!$A:$D,4,0)</f>
        <v>3M</v>
      </c>
      <c r="W735" t="str">
        <f>VLOOKUP(L735,'[2]tabela de preços'!$A:$F,6,0)</f>
        <v>LIXA MASSA  /MADEIRA / PAREDE</v>
      </c>
      <c r="X735" t="str">
        <f>VLOOKUP(L735,'[2]tabela de preços'!$A:$G,7,0)</f>
        <v>IMOBILIÁRIO</v>
      </c>
    </row>
    <row r="736" spans="1:24" x14ac:dyDescent="0.3">
      <c r="A736" t="s">
        <v>1947</v>
      </c>
      <c r="B736" t="s">
        <v>1948</v>
      </c>
      <c r="C736" t="s">
        <v>1949</v>
      </c>
      <c r="D736" s="1">
        <v>46034</v>
      </c>
      <c r="E736" t="s">
        <v>1950</v>
      </c>
      <c r="F736">
        <v>9</v>
      </c>
      <c r="G736">
        <v>236</v>
      </c>
      <c r="H736" t="str">
        <f>VLOOKUP(G736,[1]OPERADORES!$A:$B,2,0)</f>
        <v>DANIEL</v>
      </c>
      <c r="I736" t="s">
        <v>21</v>
      </c>
      <c r="J736" t="s">
        <v>1951</v>
      </c>
      <c r="K736" t="s">
        <v>1952</v>
      </c>
      <c r="L736">
        <v>84017</v>
      </c>
      <c r="M736" t="s">
        <v>519</v>
      </c>
      <c r="O736" t="s">
        <v>11</v>
      </c>
      <c r="P736">
        <v>5102</v>
      </c>
      <c r="Q736">
        <v>20</v>
      </c>
      <c r="R736">
        <v>0.62</v>
      </c>
      <c r="S736">
        <v>12.4</v>
      </c>
      <c r="T736">
        <v>9.1999999999999993</v>
      </c>
      <c r="U736">
        <v>25.81</v>
      </c>
      <c r="V736" t="str">
        <f>VLOOKUP(L736,'[2]tabela de preços'!$A:$D,4,0)</f>
        <v>3M</v>
      </c>
      <c r="W736" t="str">
        <f>VLOOKUP(L736,'[2]tabela de preços'!$A:$F,6,0)</f>
        <v>LIXA MASSA  /MADEIRA / PAREDE</v>
      </c>
      <c r="X736" t="str">
        <f>VLOOKUP(L736,'[2]tabela de preços'!$A:$G,7,0)</f>
        <v>IMOBILIÁRIO</v>
      </c>
    </row>
    <row r="737" spans="1:24" x14ac:dyDescent="0.3">
      <c r="A737" t="s">
        <v>1947</v>
      </c>
      <c r="B737" t="s">
        <v>1948</v>
      </c>
      <c r="C737" t="s">
        <v>1949</v>
      </c>
      <c r="D737" s="1">
        <v>46034</v>
      </c>
      <c r="E737" t="s">
        <v>1950</v>
      </c>
      <c r="F737">
        <v>9</v>
      </c>
      <c r="G737">
        <v>236</v>
      </c>
      <c r="H737" t="str">
        <f>VLOOKUP(G737,[1]OPERADORES!$A:$B,2,0)</f>
        <v>DANIEL</v>
      </c>
      <c r="I737" t="s">
        <v>21</v>
      </c>
      <c r="J737" t="s">
        <v>1951</v>
      </c>
      <c r="K737" t="s">
        <v>1952</v>
      </c>
      <c r="L737">
        <v>85583</v>
      </c>
      <c r="M737" t="s">
        <v>970</v>
      </c>
      <c r="O737" t="s">
        <v>11</v>
      </c>
      <c r="P737">
        <v>5102</v>
      </c>
      <c r="Q737">
        <v>2</v>
      </c>
      <c r="R737">
        <v>37</v>
      </c>
      <c r="S737">
        <v>74</v>
      </c>
      <c r="T737">
        <v>54.26</v>
      </c>
      <c r="U737">
        <v>26.68</v>
      </c>
      <c r="V737" t="str">
        <f>VLOOKUP(L737,'[2]tabela de preços'!$A:$D,4,0)</f>
        <v>DÁVILA  INOVE</v>
      </c>
      <c r="W737" t="str">
        <f>VLOOKUP(L737,'[2]tabela de preços'!$A:$F,6,0)</f>
        <v>MASSA CORRIDA / ACRÍLICA</v>
      </c>
      <c r="X737" t="str">
        <f>VLOOKUP(L737,'[2]tabela de preços'!$A:$G,7,0)</f>
        <v>IMOBILIÁRIO</v>
      </c>
    </row>
    <row r="738" spans="1:24" x14ac:dyDescent="0.3">
      <c r="A738" t="s">
        <v>2025</v>
      </c>
      <c r="C738" t="s">
        <v>2030</v>
      </c>
      <c r="D738" s="1">
        <v>46034</v>
      </c>
      <c r="E738" t="s">
        <v>2031</v>
      </c>
      <c r="F738">
        <v>9</v>
      </c>
      <c r="G738">
        <v>174</v>
      </c>
      <c r="H738" t="str">
        <f>VLOOKUP(G738,[1]OPERADORES!$A:$B,2,0)</f>
        <v>MIRIÃ LOBATO RODRIGUES</v>
      </c>
      <c r="I738" t="s">
        <v>21</v>
      </c>
      <c r="J738" t="s">
        <v>762</v>
      </c>
      <c r="K738" t="s">
        <v>2028</v>
      </c>
      <c r="L738">
        <v>23295</v>
      </c>
      <c r="M738" t="s">
        <v>789</v>
      </c>
      <c r="O738" t="s">
        <v>11</v>
      </c>
      <c r="P738">
        <v>5403</v>
      </c>
      <c r="Q738">
        <v>1</v>
      </c>
      <c r="R738">
        <v>255.71</v>
      </c>
      <c r="S738">
        <v>255.71</v>
      </c>
      <c r="T738">
        <v>194.09</v>
      </c>
      <c r="U738">
        <v>24.1</v>
      </c>
      <c r="V738" t="str">
        <f>VLOOKUP(L738,'[2]tabela de preços'!$A:$D,4,0)</f>
        <v>SIKKENS</v>
      </c>
      <c r="W738" t="str">
        <f>VLOOKUP(L738,'[2]tabela de preços'!$A:$F,6,0)</f>
        <v>VERNIZ AUTOMOTIVO</v>
      </c>
      <c r="X738" t="str">
        <f>VLOOKUP(L738,'[2]tabela de preços'!$A:$G,7,0)</f>
        <v>AUTOMOTIVO</v>
      </c>
    </row>
    <row r="739" spans="1:24" x14ac:dyDescent="0.3">
      <c r="A739" t="s">
        <v>2025</v>
      </c>
      <c r="C739" t="s">
        <v>2030</v>
      </c>
      <c r="D739" s="1">
        <v>46034</v>
      </c>
      <c r="E739" t="s">
        <v>2031</v>
      </c>
      <c r="F739">
        <v>9</v>
      </c>
      <c r="G739">
        <v>174</v>
      </c>
      <c r="H739" t="str">
        <f>VLOOKUP(G739,[1]OPERADORES!$A:$B,2,0)</f>
        <v>MIRIÃ LOBATO RODRIGUES</v>
      </c>
      <c r="I739" t="s">
        <v>21</v>
      </c>
      <c r="J739" t="s">
        <v>762</v>
      </c>
      <c r="K739" t="s">
        <v>2028</v>
      </c>
      <c r="L739">
        <v>10236</v>
      </c>
      <c r="M739" t="s">
        <v>133</v>
      </c>
      <c r="O739" t="s">
        <v>11</v>
      </c>
      <c r="P739">
        <v>5102</v>
      </c>
      <c r="Q739">
        <v>10</v>
      </c>
      <c r="R739">
        <v>2.79</v>
      </c>
      <c r="S739">
        <v>27.9</v>
      </c>
      <c r="T739">
        <v>23.2</v>
      </c>
      <c r="U739">
        <v>16.850000000000001</v>
      </c>
      <c r="V739" t="str">
        <f>VLOOKUP(L739,'[2]tabela de preços'!$A:$D,4,0)</f>
        <v>NORTON</v>
      </c>
      <c r="W739" t="str">
        <f>VLOOKUP(L739,'[2]tabela de preços'!$A:$F,6,0)</f>
        <v xml:space="preserve">DISCOS / LIXAS / ABRASIVOS </v>
      </c>
      <c r="X739" t="str">
        <f>VLOOKUP(L739,'[2]tabela de preços'!$A:$G,7,0)</f>
        <v>AUTOMOTIVO</v>
      </c>
    </row>
    <row r="740" spans="1:24" x14ac:dyDescent="0.3">
      <c r="A740" t="s">
        <v>2025</v>
      </c>
      <c r="C740" t="s">
        <v>2030</v>
      </c>
      <c r="D740" s="1">
        <v>46034</v>
      </c>
      <c r="E740" t="s">
        <v>2031</v>
      </c>
      <c r="F740">
        <v>9</v>
      </c>
      <c r="G740">
        <v>174</v>
      </c>
      <c r="H740" t="str">
        <f>VLOOKUP(G740,[1]OPERADORES!$A:$B,2,0)</f>
        <v>MIRIÃ LOBATO RODRIGUES</v>
      </c>
      <c r="I740" t="s">
        <v>21</v>
      </c>
      <c r="J740" t="s">
        <v>762</v>
      </c>
      <c r="K740" t="s">
        <v>2028</v>
      </c>
      <c r="L740">
        <v>10226</v>
      </c>
      <c r="M740" t="s">
        <v>145</v>
      </c>
      <c r="O740" t="s">
        <v>11</v>
      </c>
      <c r="P740">
        <v>5102</v>
      </c>
      <c r="Q740">
        <v>10</v>
      </c>
      <c r="R740">
        <v>2.79</v>
      </c>
      <c r="S740">
        <v>27.9</v>
      </c>
      <c r="T740">
        <v>23.2</v>
      </c>
      <c r="U740">
        <v>16.850000000000001</v>
      </c>
      <c r="V740" t="str">
        <f>VLOOKUP(L740,'[2]tabela de preços'!$A:$D,4,0)</f>
        <v>NORTON</v>
      </c>
      <c r="W740" t="str">
        <f>VLOOKUP(L740,'[2]tabela de preços'!$A:$F,6,0)</f>
        <v xml:space="preserve">DISCOS / LIXAS / ABRASIVOS </v>
      </c>
      <c r="X740" t="str">
        <f>VLOOKUP(L740,'[2]tabela de preços'!$A:$G,7,0)</f>
        <v>AUTOMOTIVO</v>
      </c>
    </row>
    <row r="741" spans="1:24" x14ac:dyDescent="0.3">
      <c r="A741" t="s">
        <v>2025</v>
      </c>
      <c r="C741" t="s">
        <v>2030</v>
      </c>
      <c r="D741" s="1">
        <v>46034</v>
      </c>
      <c r="E741" t="s">
        <v>2031</v>
      </c>
      <c r="F741">
        <v>9</v>
      </c>
      <c r="G741">
        <v>174</v>
      </c>
      <c r="H741" t="str">
        <f>VLOOKUP(G741,[1]OPERADORES!$A:$B,2,0)</f>
        <v>MIRIÃ LOBATO RODRIGUES</v>
      </c>
      <c r="I741" t="s">
        <v>21</v>
      </c>
      <c r="J741" t="s">
        <v>762</v>
      </c>
      <c r="K741" t="s">
        <v>2028</v>
      </c>
      <c r="L741">
        <v>10234</v>
      </c>
      <c r="M741" t="s">
        <v>157</v>
      </c>
      <c r="O741" t="s">
        <v>11</v>
      </c>
      <c r="P741">
        <v>5102</v>
      </c>
      <c r="Q741">
        <v>10</v>
      </c>
      <c r="R741">
        <v>2.79</v>
      </c>
      <c r="S741">
        <v>27.9</v>
      </c>
      <c r="T741">
        <v>23.2</v>
      </c>
      <c r="U741">
        <v>16.850000000000001</v>
      </c>
      <c r="V741" t="str">
        <f>VLOOKUP(L741,'[2]tabela de preços'!$A:$D,4,0)</f>
        <v>NORTON</v>
      </c>
      <c r="W741" t="str">
        <f>VLOOKUP(L741,'[2]tabela de preços'!$A:$F,6,0)</f>
        <v xml:space="preserve">DISCOS / LIXAS / ABRASIVOS </v>
      </c>
      <c r="X741" t="str">
        <f>VLOOKUP(L741,'[2]tabela de preços'!$A:$G,7,0)</f>
        <v>AUTOMOTIVO</v>
      </c>
    </row>
    <row r="742" spans="1:24" x14ac:dyDescent="0.3">
      <c r="A742" t="s">
        <v>2025</v>
      </c>
      <c r="C742" t="s">
        <v>2030</v>
      </c>
      <c r="D742" s="1">
        <v>46034</v>
      </c>
      <c r="E742" t="s">
        <v>2031</v>
      </c>
      <c r="F742">
        <v>9</v>
      </c>
      <c r="G742">
        <v>174</v>
      </c>
      <c r="H742" t="str">
        <f>VLOOKUP(G742,[1]OPERADORES!$A:$B,2,0)</f>
        <v>MIRIÃ LOBATO RODRIGUES</v>
      </c>
      <c r="I742" t="s">
        <v>21</v>
      </c>
      <c r="J742" t="s">
        <v>762</v>
      </c>
      <c r="K742" t="s">
        <v>2028</v>
      </c>
      <c r="L742">
        <v>24241</v>
      </c>
      <c r="M742" t="s">
        <v>233</v>
      </c>
      <c r="O742" t="s">
        <v>11</v>
      </c>
      <c r="P742">
        <v>5102</v>
      </c>
      <c r="Q742">
        <v>4</v>
      </c>
      <c r="R742">
        <v>12.2</v>
      </c>
      <c r="S742">
        <v>48.8</v>
      </c>
      <c r="T742">
        <v>37.04</v>
      </c>
      <c r="U742">
        <v>24.1</v>
      </c>
      <c r="V742" t="str">
        <f>VLOOKUP(L742,'[2]tabela de preços'!$A:$D,4,0)</f>
        <v>ADERE</v>
      </c>
      <c r="W742" t="str">
        <f>VLOOKUP(L742,'[2]tabela de preços'!$A:$F,6,0)</f>
        <v>FITA AUTOMOTIVA</v>
      </c>
      <c r="X742" t="str">
        <f>VLOOKUP(L742,'[2]tabela de preços'!$A:$G,7,0)</f>
        <v>AUTOMOTIVO</v>
      </c>
    </row>
    <row r="743" spans="1:24" x14ac:dyDescent="0.3">
      <c r="A743" t="s">
        <v>2025</v>
      </c>
      <c r="C743" t="s">
        <v>2030</v>
      </c>
      <c r="D743" s="1">
        <v>46034</v>
      </c>
      <c r="E743" t="s">
        <v>2031</v>
      </c>
      <c r="F743">
        <v>9</v>
      </c>
      <c r="G743">
        <v>174</v>
      </c>
      <c r="H743" t="str">
        <f>VLOOKUP(G743,[1]OPERADORES!$A:$B,2,0)</f>
        <v>MIRIÃ LOBATO RODRIGUES</v>
      </c>
      <c r="I743" t="s">
        <v>21</v>
      </c>
      <c r="J743" t="s">
        <v>762</v>
      </c>
      <c r="K743" t="s">
        <v>2028</v>
      </c>
      <c r="L743">
        <v>23653</v>
      </c>
      <c r="M743" t="s">
        <v>644</v>
      </c>
      <c r="O743" t="s">
        <v>11</v>
      </c>
      <c r="P743">
        <v>5102</v>
      </c>
      <c r="Q743">
        <v>2</v>
      </c>
      <c r="R743">
        <v>67.150000000000006</v>
      </c>
      <c r="S743">
        <v>134.30000000000001</v>
      </c>
      <c r="T743">
        <v>101.94</v>
      </c>
      <c r="U743">
        <v>24.1</v>
      </c>
      <c r="V743" t="str">
        <f>VLOOKUP(L743,'[2]tabela de preços'!$A:$D,4,0)</f>
        <v>SIKKENS</v>
      </c>
      <c r="W743" t="str">
        <f>VLOOKUP(L743,'[2]tabela de preços'!$A:$F,6,0)</f>
        <v>CATALISADORES INDIVIDUAS</v>
      </c>
      <c r="X743" t="str">
        <f>VLOOKUP(L743,'[2]tabela de preços'!$A:$G,7,0)</f>
        <v>AUTOMOTIVO</v>
      </c>
    </row>
    <row r="744" spans="1:24" x14ac:dyDescent="0.3">
      <c r="A744" t="s">
        <v>2025</v>
      </c>
      <c r="C744" t="s">
        <v>2030</v>
      </c>
      <c r="D744" s="1">
        <v>46034</v>
      </c>
      <c r="E744" t="s">
        <v>2031</v>
      </c>
      <c r="F744">
        <v>9</v>
      </c>
      <c r="G744">
        <v>174</v>
      </c>
      <c r="H744" t="str">
        <f>VLOOKUP(G744,[1]OPERADORES!$A:$B,2,0)</f>
        <v>MIRIÃ LOBATO RODRIGUES</v>
      </c>
      <c r="I744" t="s">
        <v>21</v>
      </c>
      <c r="J744" t="s">
        <v>762</v>
      </c>
      <c r="K744" t="s">
        <v>2028</v>
      </c>
      <c r="L744">
        <v>23296</v>
      </c>
      <c r="M744" t="s">
        <v>2032</v>
      </c>
      <c r="O744" t="s">
        <v>11</v>
      </c>
      <c r="P744">
        <v>5102</v>
      </c>
      <c r="Q744">
        <v>1</v>
      </c>
      <c r="R744">
        <v>42.14</v>
      </c>
      <c r="S744">
        <v>42.14</v>
      </c>
      <c r="T744">
        <v>31.99</v>
      </c>
      <c r="U744">
        <v>24.09</v>
      </c>
      <c r="V744" t="str">
        <f>VLOOKUP(L744,'[2]tabela de preços'!$A:$D,4,0)</f>
        <v>SIKKENS</v>
      </c>
      <c r="W744" t="str">
        <f>VLOOKUP(L744,'[2]tabela de preços'!$A:$F,6,0)</f>
        <v>CATALISADORES INDIVIDUAS</v>
      </c>
      <c r="X744" t="str">
        <f>VLOOKUP(L744,'[2]tabela de preços'!$A:$G,7,0)</f>
        <v>AUTOMOTIVO</v>
      </c>
    </row>
    <row r="745" spans="1:24" x14ac:dyDescent="0.3">
      <c r="A745" t="s">
        <v>2025</v>
      </c>
      <c r="C745" t="s">
        <v>2030</v>
      </c>
      <c r="D745" s="1">
        <v>46034</v>
      </c>
      <c r="E745" t="s">
        <v>2031</v>
      </c>
      <c r="F745">
        <v>9</v>
      </c>
      <c r="G745">
        <v>174</v>
      </c>
      <c r="H745" t="str">
        <f>VLOOKUP(G745,[1]OPERADORES!$A:$B,2,0)</f>
        <v>MIRIÃ LOBATO RODRIGUES</v>
      </c>
      <c r="I745" t="s">
        <v>21</v>
      </c>
      <c r="J745" t="s">
        <v>762</v>
      </c>
      <c r="K745" t="s">
        <v>2028</v>
      </c>
      <c r="L745">
        <v>23623</v>
      </c>
      <c r="M745" t="s">
        <v>2033</v>
      </c>
      <c r="O745" t="s">
        <v>11</v>
      </c>
      <c r="P745">
        <v>5102</v>
      </c>
      <c r="Q745">
        <v>1</v>
      </c>
      <c r="R745">
        <v>118.74</v>
      </c>
      <c r="S745">
        <v>118.74</v>
      </c>
      <c r="T745">
        <v>90.12</v>
      </c>
      <c r="U745">
        <v>24.1</v>
      </c>
      <c r="V745" t="str">
        <f>VLOOKUP(L745,'[2]tabela de preços'!$A:$D,4,0)</f>
        <v>SIKKENS</v>
      </c>
      <c r="W745" t="str">
        <f>VLOOKUP(L745,'[2]tabela de preços'!$A:$F,6,0)</f>
        <v>MASSA POLIÉSTER</v>
      </c>
      <c r="X745" t="str">
        <f>VLOOKUP(L745,'[2]tabela de preços'!$A:$G,7,0)</f>
        <v>AUTOMOTIVO</v>
      </c>
    </row>
    <row r="746" spans="1:24" x14ac:dyDescent="0.3">
      <c r="A746" t="s">
        <v>2259</v>
      </c>
      <c r="B746" t="s">
        <v>2260</v>
      </c>
      <c r="C746" t="s">
        <v>2264</v>
      </c>
      <c r="D746" s="1">
        <v>46034</v>
      </c>
      <c r="E746" t="s">
        <v>2265</v>
      </c>
      <c r="F746">
        <v>9</v>
      </c>
      <c r="G746">
        <v>174</v>
      </c>
      <c r="H746" t="str">
        <f>VLOOKUP(G746,[1]OPERADORES!$A:$B,2,0)</f>
        <v>MIRIÃ LOBATO RODRIGUES</v>
      </c>
      <c r="I746" t="s">
        <v>21</v>
      </c>
      <c r="J746" t="s">
        <v>762</v>
      </c>
      <c r="K746" t="s">
        <v>2263</v>
      </c>
      <c r="L746">
        <v>85679</v>
      </c>
      <c r="M746" t="s">
        <v>2266</v>
      </c>
      <c r="O746" t="s">
        <v>11</v>
      </c>
      <c r="P746">
        <v>5102</v>
      </c>
      <c r="Q746">
        <v>20</v>
      </c>
      <c r="R746">
        <v>2.27</v>
      </c>
      <c r="S746">
        <v>45.4</v>
      </c>
      <c r="T746">
        <v>35.200000000000003</v>
      </c>
      <c r="U746">
        <v>22.47</v>
      </c>
      <c r="V746" t="str">
        <f>VLOOKUP(L746,'[2]tabela de preços'!$A:$D,4,0)</f>
        <v>UNIPEGA</v>
      </c>
      <c r="W746" t="str">
        <f>VLOOKUP(L746,'[2]tabela de preços'!$A:$F,6,0)</f>
        <v>FITA ISOLANTE</v>
      </c>
      <c r="X746" t="str">
        <f>VLOOKUP(L746,'[2]tabela de preços'!$A:$G,7,0)</f>
        <v>IMOBILIÁRIO</v>
      </c>
    </row>
    <row r="747" spans="1:24" x14ac:dyDescent="0.3">
      <c r="A747" t="s">
        <v>2306</v>
      </c>
      <c r="C747" t="s">
        <v>2311</v>
      </c>
      <c r="D747" s="1">
        <v>46034</v>
      </c>
      <c r="E747" t="s">
        <v>2312</v>
      </c>
      <c r="F747">
        <v>9</v>
      </c>
      <c r="G747">
        <v>230</v>
      </c>
      <c r="H747" t="str">
        <f>VLOOKUP(G747,[1]OPERADORES!$A:$B,2,0)</f>
        <v>SÔNIA</v>
      </c>
      <c r="I747" t="s">
        <v>21</v>
      </c>
      <c r="J747" t="s">
        <v>2309</v>
      </c>
      <c r="K747" t="s">
        <v>2310</v>
      </c>
      <c r="L747">
        <v>84113</v>
      </c>
      <c r="M747" t="s">
        <v>737</v>
      </c>
      <c r="O747" t="s">
        <v>11</v>
      </c>
      <c r="P747">
        <v>5403</v>
      </c>
      <c r="Q747">
        <v>3</v>
      </c>
      <c r="R747">
        <v>153.99</v>
      </c>
      <c r="S747">
        <v>461.97</v>
      </c>
      <c r="T747">
        <v>350.64</v>
      </c>
      <c r="U747">
        <v>24.1</v>
      </c>
      <c r="V747" t="str">
        <f>VLOOKUP(L747,'[2]tabela de preços'!$A:$D,4,0)</f>
        <v>BRASILUX</v>
      </c>
      <c r="W747" t="str">
        <f>VLOOKUP(L747,'[2]tabela de preços'!$A:$F,6,0)</f>
        <v>EPOXI</v>
      </c>
      <c r="X747" t="str">
        <f>VLOOKUP(L747,'[2]tabela de preços'!$A:$G,7,0)</f>
        <v>INDUSTRIAL</v>
      </c>
    </row>
    <row r="748" spans="1:24" x14ac:dyDescent="0.3">
      <c r="A748" t="s">
        <v>18</v>
      </c>
      <c r="C748" t="s">
        <v>19</v>
      </c>
      <c r="D748" s="1">
        <v>46035</v>
      </c>
      <c r="E748" t="s">
        <v>20</v>
      </c>
      <c r="F748">
        <v>9</v>
      </c>
      <c r="G748">
        <v>236</v>
      </c>
      <c r="H748" t="str">
        <f>VLOOKUP(G748,[1]OPERADORES!$A:$B,2,0)</f>
        <v>DANIEL</v>
      </c>
      <c r="I748" t="s">
        <v>21</v>
      </c>
      <c r="J748" t="s">
        <v>22</v>
      </c>
      <c r="K748" t="s">
        <v>23</v>
      </c>
      <c r="L748">
        <v>86735</v>
      </c>
      <c r="M748" t="s">
        <v>24</v>
      </c>
      <c r="O748" t="s">
        <v>11</v>
      </c>
      <c r="P748">
        <v>5403</v>
      </c>
      <c r="Q748">
        <v>1</v>
      </c>
      <c r="R748">
        <v>112.63</v>
      </c>
      <c r="S748">
        <v>112.63</v>
      </c>
      <c r="T748">
        <v>85.49</v>
      </c>
      <c r="U748">
        <v>24.1</v>
      </c>
      <c r="V748" t="str">
        <f>VLOOKUP(L748,'[2]tabela de preços'!$A:$D,4,0)</f>
        <v>CORAL</v>
      </c>
      <c r="W748" t="str">
        <f>VLOOKUP(L748,'[2]tabela de preços'!$A:$F,6,0)</f>
        <v>ESMALTES</v>
      </c>
      <c r="X748" t="str">
        <f>VLOOKUP(L748,'[2]tabela de preços'!$A:$G,7,0)</f>
        <v>INDUSTRIAL</v>
      </c>
    </row>
    <row r="749" spans="1:24" x14ac:dyDescent="0.3">
      <c r="A749" t="s">
        <v>18</v>
      </c>
      <c r="C749" t="s">
        <v>19</v>
      </c>
      <c r="D749" s="1">
        <v>46035</v>
      </c>
      <c r="E749" t="s">
        <v>25</v>
      </c>
      <c r="F749">
        <v>9</v>
      </c>
      <c r="G749">
        <v>236</v>
      </c>
      <c r="H749" t="str">
        <f>VLOOKUP(G749,[1]OPERADORES!$A:$B,2,0)</f>
        <v>DANIEL</v>
      </c>
      <c r="I749" t="s">
        <v>21</v>
      </c>
      <c r="J749" t="s">
        <v>22</v>
      </c>
      <c r="K749" t="s">
        <v>23</v>
      </c>
      <c r="L749">
        <v>83801</v>
      </c>
      <c r="M749" t="s">
        <v>26</v>
      </c>
      <c r="O749" t="s">
        <v>11</v>
      </c>
      <c r="P749">
        <v>5102</v>
      </c>
      <c r="Q749">
        <v>1</v>
      </c>
      <c r="R749">
        <v>60.16</v>
      </c>
      <c r="S749">
        <v>60.16</v>
      </c>
      <c r="T749">
        <v>44.1</v>
      </c>
      <c r="U749">
        <v>26.7</v>
      </c>
      <c r="V749" t="str">
        <f>VLOOKUP(L749,'[2]tabela de preços'!$A:$D,4,0)</f>
        <v>VONIXX</v>
      </c>
      <c r="W749" t="str">
        <f>VLOOKUP(L749,'[2]tabela de preços'!$A:$F,6,0)</f>
        <v>LINHA DE HIGENIZAÇÃO E ESTÉTICA  AUTOMOTIVA</v>
      </c>
      <c r="X749" t="str">
        <f>VLOOKUP(L749,'[2]tabela de preços'!$A:$G,7,0)</f>
        <v>AUTOMOTIVO</v>
      </c>
    </row>
    <row r="750" spans="1:24" x14ac:dyDescent="0.3">
      <c r="A750" t="s">
        <v>18</v>
      </c>
      <c r="C750" t="s">
        <v>27</v>
      </c>
      <c r="D750" s="1">
        <v>46035</v>
      </c>
      <c r="E750" t="s">
        <v>28</v>
      </c>
      <c r="F750">
        <v>9</v>
      </c>
      <c r="G750">
        <v>236</v>
      </c>
      <c r="H750" t="str">
        <f>VLOOKUP(G750,[1]OPERADORES!$A:$B,2,0)</f>
        <v>DANIEL</v>
      </c>
      <c r="I750" t="s">
        <v>21</v>
      </c>
      <c r="J750" t="s">
        <v>22</v>
      </c>
      <c r="K750" t="s">
        <v>23</v>
      </c>
      <c r="L750">
        <v>84029</v>
      </c>
      <c r="M750" t="s">
        <v>29</v>
      </c>
      <c r="O750" t="s">
        <v>11</v>
      </c>
      <c r="P750">
        <v>5102</v>
      </c>
      <c r="Q750">
        <v>1</v>
      </c>
      <c r="R750">
        <v>11.45</v>
      </c>
      <c r="S750">
        <v>11.45</v>
      </c>
      <c r="T750">
        <v>8.69</v>
      </c>
      <c r="U750">
        <v>24.1</v>
      </c>
      <c r="V750" t="str">
        <f>VLOOKUP(L750,'[2]tabela de preços'!$A:$D,4,0)</f>
        <v>BRASILUX</v>
      </c>
      <c r="W750" t="str">
        <f>VLOOKUP(L750,'[2]tabela de preços'!$A:$F,6,0)</f>
        <v>AGUARRAS</v>
      </c>
      <c r="X750" t="str">
        <f>VLOOKUP(L750,'[2]tabela de preços'!$A:$G,7,0)</f>
        <v>IMOBILIÁRIO</v>
      </c>
    </row>
    <row r="751" spans="1:24" x14ac:dyDescent="0.3">
      <c r="A751" t="s">
        <v>18</v>
      </c>
      <c r="C751" t="s">
        <v>27</v>
      </c>
      <c r="D751" s="1">
        <v>46035</v>
      </c>
      <c r="E751" t="s">
        <v>28</v>
      </c>
      <c r="F751">
        <v>9</v>
      </c>
      <c r="G751">
        <v>236</v>
      </c>
      <c r="H751" t="str">
        <f>VLOOKUP(G751,[1]OPERADORES!$A:$B,2,0)</f>
        <v>DANIEL</v>
      </c>
      <c r="I751" t="s">
        <v>21</v>
      </c>
      <c r="J751" t="s">
        <v>22</v>
      </c>
      <c r="K751" t="s">
        <v>23</v>
      </c>
      <c r="L751">
        <v>84076</v>
      </c>
      <c r="M751" t="s">
        <v>30</v>
      </c>
      <c r="O751" t="s">
        <v>11</v>
      </c>
      <c r="P751">
        <v>5403</v>
      </c>
      <c r="Q751">
        <v>1</v>
      </c>
      <c r="R751">
        <v>21.36</v>
      </c>
      <c r="S751">
        <v>21.36</v>
      </c>
      <c r="T751">
        <v>16.21</v>
      </c>
      <c r="U751">
        <v>24.11</v>
      </c>
      <c r="V751" t="str">
        <f>VLOOKUP(L751,'[2]tabela de preços'!$A:$D,4,0)</f>
        <v>BRASILUX</v>
      </c>
      <c r="W751" t="str">
        <f>VLOOKUP(L751,'[2]tabela de preços'!$A:$F,6,0)</f>
        <v>LINHA MOVELEIRA</v>
      </c>
      <c r="X751" t="str">
        <f>VLOOKUP(L751,'[2]tabela de preços'!$A:$G,7,0)</f>
        <v>MOVELEIRA</v>
      </c>
    </row>
    <row r="752" spans="1:24" x14ac:dyDescent="0.3">
      <c r="A752" t="s">
        <v>18</v>
      </c>
      <c r="C752" t="s">
        <v>27</v>
      </c>
      <c r="D752" s="1">
        <v>46035</v>
      </c>
      <c r="E752" t="s">
        <v>28</v>
      </c>
      <c r="F752">
        <v>9</v>
      </c>
      <c r="G752">
        <v>236</v>
      </c>
      <c r="H752" t="str">
        <f>VLOOKUP(G752,[1]OPERADORES!$A:$B,2,0)</f>
        <v>DANIEL</v>
      </c>
      <c r="I752" t="s">
        <v>21</v>
      </c>
      <c r="J752" t="s">
        <v>22</v>
      </c>
      <c r="K752" t="s">
        <v>23</v>
      </c>
      <c r="L752">
        <v>84501</v>
      </c>
      <c r="M752" t="s">
        <v>31</v>
      </c>
      <c r="O752" t="s">
        <v>11</v>
      </c>
      <c r="P752">
        <v>5403</v>
      </c>
      <c r="Q752">
        <v>1</v>
      </c>
      <c r="R752">
        <v>46.33</v>
      </c>
      <c r="S752">
        <v>46.33</v>
      </c>
      <c r="T752">
        <v>35.159999999999997</v>
      </c>
      <c r="U752">
        <v>24.11</v>
      </c>
      <c r="V752" t="str">
        <f>VLOOKUP(L752,'[2]tabela de preços'!$A:$D,4,0)</f>
        <v>BRASILUX</v>
      </c>
      <c r="W752" t="str">
        <f>VLOOKUP(L752,'[2]tabela de preços'!$A:$F,6,0)</f>
        <v>CIMENTO QUEIMADO / EFEITOS DECORATIVOS</v>
      </c>
      <c r="X752" t="str">
        <f>VLOOKUP(L752,'[2]tabela de preços'!$A:$G,7,0)</f>
        <v>IMOBILIÁRIO</v>
      </c>
    </row>
    <row r="753" spans="1:24" x14ac:dyDescent="0.3">
      <c r="A753" t="s">
        <v>18</v>
      </c>
      <c r="C753" t="s">
        <v>27</v>
      </c>
      <c r="D753" s="1">
        <v>46035</v>
      </c>
      <c r="E753" t="s">
        <v>28</v>
      </c>
      <c r="F753">
        <v>9</v>
      </c>
      <c r="G753">
        <v>236</v>
      </c>
      <c r="H753" t="str">
        <f>VLOOKUP(G753,[1]OPERADORES!$A:$B,2,0)</f>
        <v>DANIEL</v>
      </c>
      <c r="I753" t="s">
        <v>21</v>
      </c>
      <c r="J753" t="s">
        <v>22</v>
      </c>
      <c r="K753" t="s">
        <v>23</v>
      </c>
      <c r="L753">
        <v>86567</v>
      </c>
      <c r="M753" t="s">
        <v>32</v>
      </c>
      <c r="O753" t="s">
        <v>11</v>
      </c>
      <c r="P753">
        <v>5403</v>
      </c>
      <c r="Q753">
        <v>2</v>
      </c>
      <c r="R753">
        <v>122.45</v>
      </c>
      <c r="S753">
        <v>244.9</v>
      </c>
      <c r="T753">
        <v>185.88</v>
      </c>
      <c r="U753">
        <v>24.1</v>
      </c>
      <c r="V753" t="str">
        <f>VLOOKUP(L753,'[2]tabela de preços'!$A:$D,4,0)</f>
        <v>CORAL</v>
      </c>
      <c r="W753" t="str">
        <f>VLOOKUP(L753,'[2]tabela de preços'!$A:$F,6,0)</f>
        <v>CIMENTO QUEIMADO / EFEITOS DECORATIVOS</v>
      </c>
      <c r="X753" t="str">
        <f>VLOOKUP(L753,'[2]tabela de preços'!$A:$G,7,0)</f>
        <v>IMOBILIÁRIO</v>
      </c>
    </row>
    <row r="754" spans="1:24" x14ac:dyDescent="0.3">
      <c r="A754" t="s">
        <v>18</v>
      </c>
      <c r="C754" t="s">
        <v>27</v>
      </c>
      <c r="D754" s="1">
        <v>46035</v>
      </c>
      <c r="E754" t="s">
        <v>28</v>
      </c>
      <c r="F754">
        <v>9</v>
      </c>
      <c r="G754">
        <v>236</v>
      </c>
      <c r="H754" t="str">
        <f>VLOOKUP(G754,[1]OPERADORES!$A:$B,2,0)</f>
        <v>DANIEL</v>
      </c>
      <c r="I754" t="s">
        <v>21</v>
      </c>
      <c r="J754" t="s">
        <v>22</v>
      </c>
      <c r="K754" t="s">
        <v>23</v>
      </c>
      <c r="L754">
        <v>86195</v>
      </c>
      <c r="M754" t="s">
        <v>33</v>
      </c>
      <c r="O754" t="s">
        <v>11</v>
      </c>
      <c r="P754">
        <v>5403</v>
      </c>
      <c r="Q754">
        <v>2</v>
      </c>
      <c r="R754">
        <v>134.26</v>
      </c>
      <c r="S754">
        <v>268.52</v>
      </c>
      <c r="T754">
        <v>203.8</v>
      </c>
      <c r="U754">
        <v>24.1</v>
      </c>
      <c r="V754" t="str">
        <f>VLOOKUP(L754,'[2]tabela de preços'!$A:$D,4,0)</f>
        <v>CORAL</v>
      </c>
      <c r="W754" t="str">
        <f>VLOOKUP(L754,'[2]tabela de preços'!$A:$F,6,0)</f>
        <v>TINTA PAREDE</v>
      </c>
      <c r="X754" t="str">
        <f>VLOOKUP(L754,'[2]tabela de preços'!$A:$G,7,0)</f>
        <v>IMOBILIÁRIO</v>
      </c>
    </row>
    <row r="755" spans="1:24" x14ac:dyDescent="0.3">
      <c r="A755" t="s">
        <v>18</v>
      </c>
      <c r="C755" t="s">
        <v>27</v>
      </c>
      <c r="D755" s="1">
        <v>46035</v>
      </c>
      <c r="E755" t="s">
        <v>28</v>
      </c>
      <c r="F755">
        <v>9</v>
      </c>
      <c r="G755">
        <v>236</v>
      </c>
      <c r="H755" t="str">
        <f>VLOOKUP(G755,[1]OPERADORES!$A:$B,2,0)</f>
        <v>DANIEL</v>
      </c>
      <c r="I755" t="s">
        <v>21</v>
      </c>
      <c r="J755" t="s">
        <v>22</v>
      </c>
      <c r="K755" t="s">
        <v>23</v>
      </c>
      <c r="L755">
        <v>86711</v>
      </c>
      <c r="M755" t="s">
        <v>34</v>
      </c>
      <c r="O755" t="s">
        <v>11</v>
      </c>
      <c r="P755">
        <v>5102</v>
      </c>
      <c r="Q755">
        <v>1</v>
      </c>
      <c r="R755">
        <v>25.99</v>
      </c>
      <c r="S755">
        <v>25.99</v>
      </c>
      <c r="T755">
        <v>19.73</v>
      </c>
      <c r="U755">
        <v>24.09</v>
      </c>
      <c r="V755" t="str">
        <f>VLOOKUP(L755,'[2]tabela de preços'!$A:$D,4,0)</f>
        <v>CORAL</v>
      </c>
      <c r="W755" t="str">
        <f>VLOOKUP(L755,'[2]tabela de preços'!$A:$F,6,0)</f>
        <v>MASSA CORRIDA / ACRÍLICA</v>
      </c>
      <c r="X755" t="str">
        <f>VLOOKUP(L755,'[2]tabela de preços'!$A:$G,7,0)</f>
        <v>IMOBILIÁRIO</v>
      </c>
    </row>
    <row r="756" spans="1:24" x14ac:dyDescent="0.3">
      <c r="A756" t="s">
        <v>18</v>
      </c>
      <c r="C756" t="s">
        <v>27</v>
      </c>
      <c r="D756" s="1">
        <v>46035</v>
      </c>
      <c r="E756" t="s">
        <v>28</v>
      </c>
      <c r="F756">
        <v>9</v>
      </c>
      <c r="G756">
        <v>236</v>
      </c>
      <c r="H756" t="str">
        <f>VLOOKUP(G756,[1]OPERADORES!$A:$B,2,0)</f>
        <v>DANIEL</v>
      </c>
      <c r="I756" t="s">
        <v>21</v>
      </c>
      <c r="J756" t="s">
        <v>22</v>
      </c>
      <c r="K756" t="s">
        <v>23</v>
      </c>
      <c r="L756">
        <v>84411</v>
      </c>
      <c r="M756" t="s">
        <v>35</v>
      </c>
      <c r="O756" t="s">
        <v>11</v>
      </c>
      <c r="P756">
        <v>5102</v>
      </c>
      <c r="Q756">
        <v>2</v>
      </c>
      <c r="R756">
        <v>4.29</v>
      </c>
      <c r="S756">
        <v>8.58</v>
      </c>
      <c r="T756">
        <v>7.08</v>
      </c>
      <c r="U756">
        <v>17.48</v>
      </c>
      <c r="V756" t="str">
        <f>VLOOKUP(L756,'[2]tabela de preços'!$A:$D,4,0)</f>
        <v>ADERE</v>
      </c>
      <c r="W756" t="str">
        <f>VLOOKUP(L756,'[2]tabela de preços'!$A:$F,6,0)</f>
        <v xml:space="preserve">FITA DE USO GERAL </v>
      </c>
      <c r="X756" t="str">
        <f>VLOOKUP(L756,'[2]tabela de preços'!$A:$G,7,0)</f>
        <v>IMOBILIÁRIO</v>
      </c>
    </row>
    <row r="757" spans="1:24" x14ac:dyDescent="0.3">
      <c r="A757" t="s">
        <v>18</v>
      </c>
      <c r="C757" t="s">
        <v>27</v>
      </c>
      <c r="D757" s="1">
        <v>46035</v>
      </c>
      <c r="E757" t="s">
        <v>28</v>
      </c>
      <c r="F757">
        <v>9</v>
      </c>
      <c r="G757">
        <v>236</v>
      </c>
      <c r="H757" t="str">
        <f>VLOOKUP(G757,[1]OPERADORES!$A:$B,2,0)</f>
        <v>DANIEL</v>
      </c>
      <c r="I757" t="s">
        <v>21</v>
      </c>
      <c r="J757" t="s">
        <v>22</v>
      </c>
      <c r="K757" t="s">
        <v>23</v>
      </c>
      <c r="L757">
        <v>84928</v>
      </c>
      <c r="M757" t="s">
        <v>36</v>
      </c>
      <c r="O757" t="s">
        <v>11</v>
      </c>
      <c r="P757">
        <v>5102</v>
      </c>
      <c r="Q757">
        <v>7</v>
      </c>
      <c r="R757">
        <v>9.39</v>
      </c>
      <c r="S757">
        <v>65.73</v>
      </c>
      <c r="T757">
        <v>49.91</v>
      </c>
      <c r="U757">
        <v>24.07</v>
      </c>
      <c r="V757" t="str">
        <f>VLOOKUP(L757,'[2]tabela de preços'!$A:$D,4,0)</f>
        <v>ADERE</v>
      </c>
      <c r="W757" t="str">
        <f>VLOOKUP(L757,'[2]tabela de preços'!$A:$F,6,0)</f>
        <v xml:space="preserve">FITA DE USO GERAL </v>
      </c>
      <c r="X757" t="str">
        <f>VLOOKUP(L757,'[2]tabela de preços'!$A:$G,7,0)</f>
        <v>IMOBILIÁRIO</v>
      </c>
    </row>
    <row r="758" spans="1:24" x14ac:dyDescent="0.3">
      <c r="A758" t="s">
        <v>18</v>
      </c>
      <c r="C758" t="s">
        <v>27</v>
      </c>
      <c r="D758" s="1">
        <v>46035</v>
      </c>
      <c r="E758" t="s">
        <v>28</v>
      </c>
      <c r="F758">
        <v>9</v>
      </c>
      <c r="G758">
        <v>236</v>
      </c>
      <c r="H758" t="str">
        <f>VLOOKUP(G758,[1]OPERADORES!$A:$B,2,0)</f>
        <v>DANIEL</v>
      </c>
      <c r="I758" t="s">
        <v>21</v>
      </c>
      <c r="J758" t="s">
        <v>22</v>
      </c>
      <c r="K758" t="s">
        <v>23</v>
      </c>
      <c r="L758">
        <v>86995</v>
      </c>
      <c r="M758" t="s">
        <v>37</v>
      </c>
      <c r="O758" t="s">
        <v>11</v>
      </c>
      <c r="P758">
        <v>5102</v>
      </c>
      <c r="Q758">
        <v>3</v>
      </c>
      <c r="R758">
        <v>7.29</v>
      </c>
      <c r="S758">
        <v>21.87</v>
      </c>
      <c r="T758">
        <v>17.489999999999998</v>
      </c>
      <c r="U758">
        <v>20.03</v>
      </c>
      <c r="V758" t="str">
        <f>VLOOKUP(L758,'[2]tabela de preços'!$A:$D,4,0)</f>
        <v>AUTOAMERICA</v>
      </c>
      <c r="W758" t="str">
        <f>VLOOKUP(L758,'[2]tabela de preços'!$A:$F,6,0)</f>
        <v>FLANELAS / PANOS</v>
      </c>
      <c r="X758" t="str">
        <f>VLOOKUP(L758,'[2]tabela de preços'!$A:$G,7,0)</f>
        <v>AUTOMOTIVO</v>
      </c>
    </row>
    <row r="759" spans="1:24" x14ac:dyDescent="0.3">
      <c r="A759" t="s">
        <v>18</v>
      </c>
      <c r="C759" t="s">
        <v>27</v>
      </c>
      <c r="D759" s="1">
        <v>46035</v>
      </c>
      <c r="E759" t="s">
        <v>28</v>
      </c>
      <c r="F759">
        <v>9</v>
      </c>
      <c r="G759">
        <v>236</v>
      </c>
      <c r="H759" t="str">
        <f>VLOOKUP(G759,[1]OPERADORES!$A:$B,2,0)</f>
        <v>DANIEL</v>
      </c>
      <c r="I759" t="s">
        <v>21</v>
      </c>
      <c r="J759" t="s">
        <v>22</v>
      </c>
      <c r="K759" t="s">
        <v>23</v>
      </c>
      <c r="L759">
        <v>85599</v>
      </c>
      <c r="M759" t="s">
        <v>38</v>
      </c>
      <c r="O759" t="s">
        <v>11</v>
      </c>
      <c r="P759">
        <v>5102</v>
      </c>
      <c r="Q759">
        <v>2</v>
      </c>
      <c r="R759">
        <v>2.58</v>
      </c>
      <c r="S759">
        <v>5.16</v>
      </c>
      <c r="T759">
        <v>3.92</v>
      </c>
      <c r="U759">
        <v>24.03</v>
      </c>
      <c r="V759" t="str">
        <f>VLOOKUP(L759,'[2]tabela de preços'!$A:$D,4,0)</f>
        <v>REJUMASSA</v>
      </c>
      <c r="W759" t="str">
        <f>VLOOKUP(L759,'[2]tabela de preços'!$A:$F,6,0)</f>
        <v>GESSO</v>
      </c>
      <c r="X759" t="str">
        <f>VLOOKUP(L759,'[2]tabela de preços'!$A:$G,7,0)</f>
        <v>IMOBILIÁRIO</v>
      </c>
    </row>
    <row r="760" spans="1:24" x14ac:dyDescent="0.3">
      <c r="A760" t="s">
        <v>18</v>
      </c>
      <c r="C760" t="s">
        <v>27</v>
      </c>
      <c r="D760" s="1">
        <v>46035</v>
      </c>
      <c r="E760" t="s">
        <v>28</v>
      </c>
      <c r="F760">
        <v>9</v>
      </c>
      <c r="G760">
        <v>236</v>
      </c>
      <c r="H760" t="str">
        <f>VLOOKUP(G760,[1]OPERADORES!$A:$B,2,0)</f>
        <v>DANIEL</v>
      </c>
      <c r="I760" t="s">
        <v>21</v>
      </c>
      <c r="J760" t="s">
        <v>22</v>
      </c>
      <c r="K760" t="s">
        <v>23</v>
      </c>
      <c r="L760">
        <v>85210</v>
      </c>
      <c r="M760" t="s">
        <v>39</v>
      </c>
      <c r="O760" t="s">
        <v>11</v>
      </c>
      <c r="P760">
        <v>5102</v>
      </c>
      <c r="Q760">
        <v>1</v>
      </c>
      <c r="R760">
        <v>34.82</v>
      </c>
      <c r="S760">
        <v>34.82</v>
      </c>
      <c r="T760">
        <v>26.43</v>
      </c>
      <c r="U760">
        <v>24.1</v>
      </c>
      <c r="V760" t="str">
        <f>VLOOKUP(L760,'[2]tabela de preços'!$A:$D,4,0)</f>
        <v>VONIXX</v>
      </c>
      <c r="W760" t="str">
        <f>VLOOKUP(L760,'[2]tabela de preços'!$A:$F,6,0)</f>
        <v>LINHA DE HIGENIZAÇÃO E ESTÉTICA  AUTOMOTIVA</v>
      </c>
      <c r="X760" t="str">
        <f>VLOOKUP(L760,'[2]tabela de preços'!$A:$G,7,0)</f>
        <v>AUTOMOTIVO</v>
      </c>
    </row>
    <row r="761" spans="1:24" x14ac:dyDescent="0.3">
      <c r="A761" t="s">
        <v>18</v>
      </c>
      <c r="C761" t="s">
        <v>27</v>
      </c>
      <c r="D761" s="1">
        <v>46035</v>
      </c>
      <c r="E761" t="s">
        <v>28</v>
      </c>
      <c r="F761">
        <v>9</v>
      </c>
      <c r="G761">
        <v>236</v>
      </c>
      <c r="H761" t="str">
        <f>VLOOKUP(G761,[1]OPERADORES!$A:$B,2,0)</f>
        <v>DANIEL</v>
      </c>
      <c r="I761" t="s">
        <v>21</v>
      </c>
      <c r="J761" t="s">
        <v>22</v>
      </c>
      <c r="K761" t="s">
        <v>23</v>
      </c>
      <c r="L761">
        <v>24331</v>
      </c>
      <c r="M761" t="s">
        <v>40</v>
      </c>
      <c r="O761" t="s">
        <v>11</v>
      </c>
      <c r="P761">
        <v>5102</v>
      </c>
      <c r="Q761">
        <v>1</v>
      </c>
      <c r="R761">
        <v>66.14</v>
      </c>
      <c r="S761">
        <v>66.14</v>
      </c>
      <c r="T761">
        <v>50.2</v>
      </c>
      <c r="U761">
        <v>24.1</v>
      </c>
      <c r="V761" t="str">
        <f>VLOOKUP(L761,'[2]tabela de preços'!$A:$D,4,0)</f>
        <v>VONIXX</v>
      </c>
      <c r="W761" t="str">
        <f>VLOOKUP(L761,'[2]tabela de preços'!$A:$F,6,0)</f>
        <v>LINHA DE HIGENIZAÇÃO E ESTÉTICA  AUTOMOTIVA</v>
      </c>
      <c r="X761" t="str">
        <f>VLOOKUP(L761,'[2]tabela de preços'!$A:$G,7,0)</f>
        <v>AUTOMOTIVO</v>
      </c>
    </row>
    <row r="762" spans="1:24" x14ac:dyDescent="0.3">
      <c r="A762" t="s">
        <v>18</v>
      </c>
      <c r="C762" t="s">
        <v>27</v>
      </c>
      <c r="D762" s="1">
        <v>46035</v>
      </c>
      <c r="E762" t="s">
        <v>28</v>
      </c>
      <c r="F762">
        <v>9</v>
      </c>
      <c r="G762">
        <v>236</v>
      </c>
      <c r="H762" t="str">
        <f>VLOOKUP(G762,[1]OPERADORES!$A:$B,2,0)</f>
        <v>DANIEL</v>
      </c>
      <c r="I762" t="s">
        <v>21</v>
      </c>
      <c r="J762" t="s">
        <v>22</v>
      </c>
      <c r="K762" t="s">
        <v>23</v>
      </c>
      <c r="L762">
        <v>10297</v>
      </c>
      <c r="M762" t="s">
        <v>41</v>
      </c>
      <c r="O762" t="s">
        <v>11</v>
      </c>
      <c r="P762">
        <v>5102</v>
      </c>
      <c r="Q762">
        <v>1</v>
      </c>
      <c r="R762">
        <v>10.89</v>
      </c>
      <c r="S762">
        <v>10.89</v>
      </c>
      <c r="T762">
        <v>9.17</v>
      </c>
      <c r="U762">
        <v>15.79</v>
      </c>
      <c r="V762" t="str">
        <f>VLOOKUP(L762,'[2]tabela de preços'!$A:$D,4,0)</f>
        <v>ANJO</v>
      </c>
      <c r="W762" t="str">
        <f>VLOOKUP(L762,'[2]tabela de preços'!$A:$F,6,0)</f>
        <v>THINNER DE LIMPEZA</v>
      </c>
      <c r="X762" t="str">
        <f>VLOOKUP(L762,'[2]tabela de preços'!$A:$G,7,0)</f>
        <v>THINNER</v>
      </c>
    </row>
    <row r="763" spans="1:24" x14ac:dyDescent="0.3">
      <c r="A763" t="s">
        <v>18</v>
      </c>
      <c r="C763" t="s">
        <v>27</v>
      </c>
      <c r="D763" s="1">
        <v>46035</v>
      </c>
      <c r="E763" t="s">
        <v>28</v>
      </c>
      <c r="F763">
        <v>9</v>
      </c>
      <c r="G763">
        <v>236</v>
      </c>
      <c r="H763" t="str">
        <f>VLOOKUP(G763,[1]OPERADORES!$A:$B,2,0)</f>
        <v>DANIEL</v>
      </c>
      <c r="I763" t="s">
        <v>21</v>
      </c>
      <c r="J763" t="s">
        <v>22</v>
      </c>
      <c r="K763" t="s">
        <v>23</v>
      </c>
      <c r="L763">
        <v>85206</v>
      </c>
      <c r="M763" t="s">
        <v>42</v>
      </c>
      <c r="O763" t="s">
        <v>11</v>
      </c>
      <c r="P763">
        <v>5102</v>
      </c>
      <c r="Q763">
        <v>1</v>
      </c>
      <c r="R763">
        <v>81.040000000000006</v>
      </c>
      <c r="S763">
        <v>81.040000000000006</v>
      </c>
      <c r="T763">
        <v>61.51</v>
      </c>
      <c r="U763">
        <v>24.1</v>
      </c>
      <c r="V763" t="str">
        <f>VLOOKUP(L763,'[2]tabela de preços'!$A:$D,4,0)</f>
        <v>VONIXX</v>
      </c>
      <c r="W763" t="str">
        <f>VLOOKUP(L763,'[2]tabela de preços'!$A:$F,6,0)</f>
        <v>LINHA DE HIGENIZAÇÃO E ESTÉTICA  AUTOMOTIVA</v>
      </c>
      <c r="X763" t="str">
        <f>VLOOKUP(L763,'[2]tabela de preços'!$A:$G,7,0)</f>
        <v>AUTOMOTIVO</v>
      </c>
    </row>
    <row r="764" spans="1:24" x14ac:dyDescent="0.3">
      <c r="A764" t="s">
        <v>63</v>
      </c>
      <c r="C764" t="s">
        <v>69</v>
      </c>
      <c r="D764" s="1">
        <v>46035</v>
      </c>
      <c r="E764" t="s">
        <v>70</v>
      </c>
      <c r="F764">
        <v>9</v>
      </c>
      <c r="G764">
        <v>236</v>
      </c>
      <c r="H764" t="str">
        <f>VLOOKUP(G764,[1]OPERADORES!$A:$B,2,0)</f>
        <v>DANIEL</v>
      </c>
      <c r="I764" t="s">
        <v>21</v>
      </c>
      <c r="J764" t="s">
        <v>66</v>
      </c>
      <c r="K764" t="s">
        <v>67</v>
      </c>
      <c r="L764">
        <v>23656</v>
      </c>
      <c r="M764" t="s">
        <v>71</v>
      </c>
      <c r="O764" t="s">
        <v>11</v>
      </c>
      <c r="P764">
        <v>5403</v>
      </c>
      <c r="Q764">
        <v>2</v>
      </c>
      <c r="R764">
        <v>104.45</v>
      </c>
      <c r="S764">
        <v>208.9</v>
      </c>
      <c r="T764">
        <v>158.56</v>
      </c>
      <c r="U764">
        <v>24.1</v>
      </c>
      <c r="V764" t="str">
        <f>VLOOKUP(L764,'[2]tabela de preços'!$A:$D,4,0)</f>
        <v>SHERWIN WILLIAMS</v>
      </c>
      <c r="W764" t="str">
        <f>VLOOKUP(L764,'[2]tabela de preços'!$A:$F,6,0)</f>
        <v>CATALISADORES INDIVIDUAS</v>
      </c>
      <c r="X764" t="str">
        <f>VLOOKUP(L764,'[2]tabela de preços'!$A:$G,7,0)</f>
        <v>AUTOMOTIVO</v>
      </c>
    </row>
    <row r="765" spans="1:24" x14ac:dyDescent="0.3">
      <c r="A765" t="s">
        <v>63</v>
      </c>
      <c r="C765" t="s">
        <v>69</v>
      </c>
      <c r="D765" s="1">
        <v>46035</v>
      </c>
      <c r="E765" t="s">
        <v>72</v>
      </c>
      <c r="F765">
        <v>9</v>
      </c>
      <c r="G765">
        <v>236</v>
      </c>
      <c r="H765" t="str">
        <f>VLOOKUP(G765,[1]OPERADORES!$A:$B,2,0)</f>
        <v>DANIEL</v>
      </c>
      <c r="I765" t="s">
        <v>21</v>
      </c>
      <c r="J765" t="s">
        <v>66</v>
      </c>
      <c r="K765" t="s">
        <v>67</v>
      </c>
      <c r="L765">
        <v>22684</v>
      </c>
      <c r="M765" t="s">
        <v>73</v>
      </c>
      <c r="O765" t="s">
        <v>11</v>
      </c>
      <c r="P765">
        <v>5102</v>
      </c>
      <c r="Q765">
        <v>10</v>
      </c>
      <c r="R765">
        <v>3.65</v>
      </c>
      <c r="S765">
        <v>36.5</v>
      </c>
      <c r="T765">
        <v>30.8</v>
      </c>
      <c r="U765">
        <v>15.62</v>
      </c>
      <c r="V765" t="str">
        <f>VLOOKUP(L765,'[2]tabela de preços'!$A:$D,4,0)</f>
        <v>3M</v>
      </c>
      <c r="W765" t="str">
        <f>VLOOKUP(L765,'[2]tabela de preços'!$A:$F,6,0)</f>
        <v>FITA AUTOMOTIVA</v>
      </c>
      <c r="X765" t="str">
        <f>VLOOKUP(L765,'[2]tabela de preços'!$A:$G,7,0)</f>
        <v>AUTOMOTIVO</v>
      </c>
    </row>
    <row r="766" spans="1:24" x14ac:dyDescent="0.3">
      <c r="A766" t="s">
        <v>63</v>
      </c>
      <c r="C766" t="s">
        <v>69</v>
      </c>
      <c r="D766" s="1">
        <v>46035</v>
      </c>
      <c r="E766" t="s">
        <v>70</v>
      </c>
      <c r="F766">
        <v>9</v>
      </c>
      <c r="G766">
        <v>236</v>
      </c>
      <c r="H766" t="str">
        <f>VLOOKUP(G766,[1]OPERADORES!$A:$B,2,0)</f>
        <v>DANIEL</v>
      </c>
      <c r="I766" t="s">
        <v>21</v>
      </c>
      <c r="J766" t="s">
        <v>66</v>
      </c>
      <c r="K766" t="s">
        <v>67</v>
      </c>
      <c r="L766">
        <v>21721</v>
      </c>
      <c r="M766" t="s">
        <v>74</v>
      </c>
      <c r="O766" t="s">
        <v>11</v>
      </c>
      <c r="P766">
        <v>5403</v>
      </c>
      <c r="Q766">
        <v>1</v>
      </c>
      <c r="R766">
        <v>27.04</v>
      </c>
      <c r="S766">
        <v>27.04</v>
      </c>
      <c r="T766">
        <v>20.52</v>
      </c>
      <c r="U766">
        <v>24.11</v>
      </c>
      <c r="V766" t="str">
        <f>VLOOKUP(L766,'[2]tabela de preços'!$A:$D,4,0)</f>
        <v>WANDA</v>
      </c>
      <c r="W766" t="str">
        <f>VLOOKUP(L766,'[2]tabela de preços'!$A:$F,6,0)</f>
        <v xml:space="preserve">MASCARAMENTO </v>
      </c>
      <c r="X766" t="str">
        <f>VLOOKUP(L766,'[2]tabela de preços'!$A:$G,7,0)</f>
        <v>AUTOMOTIVO</v>
      </c>
    </row>
    <row r="767" spans="1:24" x14ac:dyDescent="0.3">
      <c r="A767" t="s">
        <v>63</v>
      </c>
      <c r="C767" t="s">
        <v>69</v>
      </c>
      <c r="D767" s="1">
        <v>46035</v>
      </c>
      <c r="E767" t="s">
        <v>70</v>
      </c>
      <c r="F767">
        <v>9</v>
      </c>
      <c r="G767">
        <v>236</v>
      </c>
      <c r="H767" t="str">
        <f>VLOOKUP(G767,[1]OPERADORES!$A:$B,2,0)</f>
        <v>DANIEL</v>
      </c>
      <c r="I767" t="s">
        <v>21</v>
      </c>
      <c r="J767" t="s">
        <v>66</v>
      </c>
      <c r="K767" t="s">
        <v>67</v>
      </c>
      <c r="L767">
        <v>10333</v>
      </c>
      <c r="M767" t="s">
        <v>68</v>
      </c>
      <c r="O767" t="s">
        <v>11</v>
      </c>
      <c r="P767">
        <v>5102</v>
      </c>
      <c r="Q767">
        <v>6</v>
      </c>
      <c r="R767">
        <v>28.65</v>
      </c>
      <c r="S767">
        <v>171.9</v>
      </c>
      <c r="T767">
        <v>130.44</v>
      </c>
      <c r="U767">
        <v>24.12</v>
      </c>
      <c r="V767" t="str">
        <f>VLOOKUP(L767,'[2]tabela de preços'!$A:$D,4,0)</f>
        <v>ANJO</v>
      </c>
      <c r="W767" t="str">
        <f>VLOOKUP(L767,'[2]tabela de preços'!$A:$F,6,0)</f>
        <v>REMOVEDOR PASTOSO</v>
      </c>
      <c r="X767" t="str">
        <f>VLOOKUP(L767,'[2]tabela de preços'!$A:$G,7,0)</f>
        <v>AUTOMOTIVO</v>
      </c>
    </row>
    <row r="768" spans="1:24" x14ac:dyDescent="0.3">
      <c r="A768" t="s">
        <v>241</v>
      </c>
      <c r="C768" t="s">
        <v>249</v>
      </c>
      <c r="D768" s="1">
        <v>46035</v>
      </c>
      <c r="F768">
        <v>9</v>
      </c>
      <c r="G768">
        <v>174</v>
      </c>
      <c r="H768" t="str">
        <f>VLOOKUP(G768,[1]OPERADORES!$A:$B,2,0)</f>
        <v>MIRIÃ LOBATO RODRIGUES</v>
      </c>
      <c r="I768" t="s">
        <v>244</v>
      </c>
      <c r="J768" t="s">
        <v>245</v>
      </c>
      <c r="K768" t="s">
        <v>246</v>
      </c>
      <c r="L768">
        <v>23107</v>
      </c>
      <c r="M768" t="s">
        <v>247</v>
      </c>
      <c r="N768" t="s">
        <v>250</v>
      </c>
      <c r="O768" t="s">
        <v>11</v>
      </c>
      <c r="P768">
        <v>2202</v>
      </c>
      <c r="Q768">
        <v>-5</v>
      </c>
      <c r="R768">
        <v>2.35</v>
      </c>
      <c r="S768">
        <v>-11.75</v>
      </c>
      <c r="T768">
        <v>-9.25</v>
      </c>
      <c r="U768">
        <v>21.28</v>
      </c>
      <c r="V768" t="str">
        <f>VLOOKUP(L768,'[2]tabela de preços'!$A:$D,4,0)</f>
        <v>3M</v>
      </c>
      <c r="W768" t="str">
        <f>VLOOKUP(L768,'[2]tabela de preços'!$A:$F,6,0)</f>
        <v xml:space="preserve">DISCOS / LIXAS / ABRASIVOS </v>
      </c>
      <c r="X768" t="str">
        <f>VLOOKUP(L768,'[2]tabela de preços'!$A:$G,7,0)</f>
        <v>AUTOMOTIVO</v>
      </c>
    </row>
    <row r="769" spans="1:24" x14ac:dyDescent="0.3">
      <c r="A769" t="s">
        <v>241</v>
      </c>
      <c r="C769" t="s">
        <v>249</v>
      </c>
      <c r="D769" s="1">
        <v>46035</v>
      </c>
      <c r="F769">
        <v>9</v>
      </c>
      <c r="G769">
        <v>174</v>
      </c>
      <c r="H769" t="str">
        <f>VLOOKUP(G769,[1]OPERADORES!$A:$B,2,0)</f>
        <v>MIRIÃ LOBATO RODRIGUES</v>
      </c>
      <c r="I769" t="s">
        <v>244</v>
      </c>
      <c r="J769" t="s">
        <v>245</v>
      </c>
      <c r="K769" t="s">
        <v>246</v>
      </c>
      <c r="L769">
        <v>23108</v>
      </c>
      <c r="M769" t="s">
        <v>248</v>
      </c>
      <c r="N769" t="s">
        <v>250</v>
      </c>
      <c r="O769" t="s">
        <v>11</v>
      </c>
      <c r="P769">
        <v>2202</v>
      </c>
      <c r="Q769">
        <v>-3</v>
      </c>
      <c r="R769">
        <v>2.35</v>
      </c>
      <c r="S769">
        <v>-7.05</v>
      </c>
      <c r="T769">
        <v>-5.55</v>
      </c>
      <c r="U769">
        <v>21.28</v>
      </c>
      <c r="V769" t="str">
        <f>VLOOKUP(L769,'[2]tabela de preços'!$A:$D,4,0)</f>
        <v>3M</v>
      </c>
      <c r="W769" t="str">
        <f>VLOOKUP(L769,'[2]tabela de preços'!$A:$F,6,0)</f>
        <v xml:space="preserve">DISCOS / LIXAS / ABRASIVOS </v>
      </c>
      <c r="X769" t="str">
        <f>VLOOKUP(L769,'[2]tabela de preços'!$A:$G,7,0)</f>
        <v>AUTOMOTIVO</v>
      </c>
    </row>
    <row r="770" spans="1:24" x14ac:dyDescent="0.3">
      <c r="A770" t="s">
        <v>241</v>
      </c>
      <c r="C770" t="s">
        <v>251</v>
      </c>
      <c r="D770" s="1">
        <v>46035</v>
      </c>
      <c r="E770" t="s">
        <v>252</v>
      </c>
      <c r="F770">
        <v>9</v>
      </c>
      <c r="G770">
        <v>174</v>
      </c>
      <c r="H770" t="str">
        <f>VLOOKUP(G770,[1]OPERADORES!$A:$B,2,0)</f>
        <v>MIRIÃ LOBATO RODRIGUES</v>
      </c>
      <c r="I770" t="s">
        <v>244</v>
      </c>
      <c r="J770" t="s">
        <v>245</v>
      </c>
      <c r="K770" t="s">
        <v>246</v>
      </c>
      <c r="L770">
        <v>23123</v>
      </c>
      <c r="M770" t="s">
        <v>253</v>
      </c>
      <c r="O770" t="s">
        <v>11</v>
      </c>
      <c r="P770">
        <v>6108</v>
      </c>
      <c r="Q770">
        <v>8</v>
      </c>
      <c r="R770">
        <v>2.35</v>
      </c>
      <c r="S770">
        <v>18.8</v>
      </c>
      <c r="T770">
        <v>14.8</v>
      </c>
      <c r="U770">
        <v>21.28</v>
      </c>
      <c r="V770" t="str">
        <f>VLOOKUP(L770,'[2]tabela de preços'!$A:$D,4,0)</f>
        <v>3M</v>
      </c>
      <c r="W770" t="str">
        <f>VLOOKUP(L770,'[2]tabela de preços'!$A:$F,6,0)</f>
        <v xml:space="preserve">DISCOS / LIXAS / ABRASIVOS </v>
      </c>
      <c r="X770" t="str">
        <f>VLOOKUP(L770,'[2]tabela de preços'!$A:$G,7,0)</f>
        <v>AUTOMOTIVO</v>
      </c>
    </row>
    <row r="771" spans="1:24" x14ac:dyDescent="0.3">
      <c r="A771" t="s">
        <v>599</v>
      </c>
      <c r="C771" t="s">
        <v>600</v>
      </c>
      <c r="D771" s="1">
        <v>46035</v>
      </c>
      <c r="E771" t="s">
        <v>601</v>
      </c>
      <c r="F771">
        <v>9</v>
      </c>
      <c r="G771">
        <v>230</v>
      </c>
      <c r="H771" t="str">
        <f>VLOOKUP(G771,[1]OPERADORES!$A:$B,2,0)</f>
        <v>SÔNIA</v>
      </c>
      <c r="I771" t="s">
        <v>602</v>
      </c>
      <c r="J771" t="s">
        <v>603</v>
      </c>
      <c r="K771" t="s">
        <v>604</v>
      </c>
      <c r="L771">
        <v>85328</v>
      </c>
      <c r="M771" t="s">
        <v>605</v>
      </c>
      <c r="O771" t="s">
        <v>11</v>
      </c>
      <c r="P771">
        <v>6102</v>
      </c>
      <c r="Q771">
        <v>1</v>
      </c>
      <c r="R771">
        <v>565.80999999999995</v>
      </c>
      <c r="S771">
        <v>565.80999999999995</v>
      </c>
      <c r="T771">
        <v>403.43</v>
      </c>
      <c r="U771">
        <v>28.7</v>
      </c>
      <c r="V771" t="str">
        <f>VLOOKUP(L771,'[2]tabela de preços'!$A:$D,4,0)</f>
        <v>BRASILUX</v>
      </c>
      <c r="W771" t="str">
        <f>VLOOKUP(L771,'[2]tabela de preços'!$A:$F,6,0)</f>
        <v>TINTA EM PÓ</v>
      </c>
      <c r="X771" t="str">
        <f>VLOOKUP(L771,'[2]tabela de preços'!$A:$G,7,0)</f>
        <v>INDUSTRIAL</v>
      </c>
    </row>
    <row r="772" spans="1:24" x14ac:dyDescent="0.3">
      <c r="A772" t="s">
        <v>626</v>
      </c>
      <c r="B772" t="s">
        <v>627</v>
      </c>
      <c r="C772" t="s">
        <v>657</v>
      </c>
      <c r="D772" s="1">
        <v>46035</v>
      </c>
      <c r="E772" t="s">
        <v>658</v>
      </c>
      <c r="F772">
        <v>9</v>
      </c>
      <c r="G772">
        <v>174</v>
      </c>
      <c r="H772" t="str">
        <f>VLOOKUP(G772,[1]OPERADORES!$A:$B,2,0)</f>
        <v>MIRIÃ LOBATO RODRIGUES</v>
      </c>
      <c r="I772" t="s">
        <v>21</v>
      </c>
      <c r="J772" t="s">
        <v>630</v>
      </c>
      <c r="K772" t="s">
        <v>631</v>
      </c>
      <c r="L772">
        <v>84487</v>
      </c>
      <c r="M772" t="s">
        <v>633</v>
      </c>
      <c r="O772" t="s">
        <v>11</v>
      </c>
      <c r="P772">
        <v>5403</v>
      </c>
      <c r="Q772">
        <v>6</v>
      </c>
      <c r="R772">
        <v>28.84</v>
      </c>
      <c r="S772">
        <v>173.04</v>
      </c>
      <c r="T772">
        <v>131.34</v>
      </c>
      <c r="U772">
        <v>24.1</v>
      </c>
      <c r="V772" t="str">
        <f>VLOOKUP(L772,'[2]tabela de preços'!$A:$D,4,0)</f>
        <v>BRASILUX</v>
      </c>
      <c r="W772" t="str">
        <f>VLOOKUP(L772,'[2]tabela de preços'!$A:$F,6,0)</f>
        <v>TINTAS LACA</v>
      </c>
      <c r="X772" t="str">
        <f>VLOOKUP(L772,'[2]tabela de preços'!$A:$G,7,0)</f>
        <v>AUTOMOTIVO</v>
      </c>
    </row>
    <row r="773" spans="1:24" x14ac:dyDescent="0.3">
      <c r="A773" t="s">
        <v>626</v>
      </c>
      <c r="B773" t="s">
        <v>627</v>
      </c>
      <c r="C773" t="s">
        <v>657</v>
      </c>
      <c r="D773" s="1">
        <v>46035</v>
      </c>
      <c r="E773" t="s">
        <v>658</v>
      </c>
      <c r="F773">
        <v>9</v>
      </c>
      <c r="G773">
        <v>174</v>
      </c>
      <c r="H773" t="str">
        <f>VLOOKUP(G773,[1]OPERADORES!$A:$B,2,0)</f>
        <v>MIRIÃ LOBATO RODRIGUES</v>
      </c>
      <c r="I773" t="s">
        <v>21</v>
      </c>
      <c r="J773" t="s">
        <v>630</v>
      </c>
      <c r="K773" t="s">
        <v>631</v>
      </c>
      <c r="L773">
        <v>84108</v>
      </c>
      <c r="M773" t="s">
        <v>144</v>
      </c>
      <c r="O773" t="s">
        <v>11</v>
      </c>
      <c r="P773">
        <v>5403</v>
      </c>
      <c r="Q773">
        <v>6</v>
      </c>
      <c r="R773">
        <v>27.29</v>
      </c>
      <c r="S773">
        <v>163.74</v>
      </c>
      <c r="T773">
        <v>124.26</v>
      </c>
      <c r="U773">
        <v>24.11</v>
      </c>
      <c r="V773" t="str">
        <f>VLOOKUP(L773,'[2]tabela de preços'!$A:$D,4,0)</f>
        <v>BRASILUX</v>
      </c>
      <c r="W773" t="str">
        <f>VLOOKUP(L773,'[2]tabela de preços'!$A:$F,6,0)</f>
        <v>TINTAS LACA</v>
      </c>
      <c r="X773" t="str">
        <f>VLOOKUP(L773,'[2]tabela de preços'!$A:$G,7,0)</f>
        <v>AUTOMOTIVO</v>
      </c>
    </row>
    <row r="774" spans="1:24" x14ac:dyDescent="0.3">
      <c r="A774" t="s">
        <v>626</v>
      </c>
      <c r="B774" t="s">
        <v>627</v>
      </c>
      <c r="C774" t="s">
        <v>657</v>
      </c>
      <c r="D774" s="1">
        <v>46035</v>
      </c>
      <c r="E774" t="s">
        <v>658</v>
      </c>
      <c r="F774">
        <v>9</v>
      </c>
      <c r="G774">
        <v>174</v>
      </c>
      <c r="H774" t="str">
        <f>VLOOKUP(G774,[1]OPERADORES!$A:$B,2,0)</f>
        <v>MIRIÃ LOBATO RODRIGUES</v>
      </c>
      <c r="I774" t="s">
        <v>21</v>
      </c>
      <c r="J774" t="s">
        <v>630</v>
      </c>
      <c r="K774" t="s">
        <v>631</v>
      </c>
      <c r="L774">
        <v>24248</v>
      </c>
      <c r="M774" t="s">
        <v>107</v>
      </c>
      <c r="O774" t="s">
        <v>11</v>
      </c>
      <c r="P774">
        <v>5102</v>
      </c>
      <c r="Q774">
        <v>12</v>
      </c>
      <c r="R774">
        <v>8</v>
      </c>
      <c r="S774">
        <v>96</v>
      </c>
      <c r="T774">
        <v>76.92</v>
      </c>
      <c r="U774">
        <v>19.88</v>
      </c>
      <c r="V774" t="str">
        <f>VLOOKUP(L774,'[2]tabela de preços'!$A:$D,4,0)</f>
        <v>SHERWIN WILLIAMS</v>
      </c>
      <c r="W774" t="str">
        <f>VLOOKUP(L774,'[2]tabela de preços'!$A:$F,6,0)</f>
        <v>PRIMER AUTOMOTIVO</v>
      </c>
      <c r="X774" t="str">
        <f>VLOOKUP(L774,'[2]tabela de preços'!$A:$G,7,0)</f>
        <v>AUTOMOTIVO</v>
      </c>
    </row>
    <row r="775" spans="1:24" x14ac:dyDescent="0.3">
      <c r="A775" t="s">
        <v>626</v>
      </c>
      <c r="B775" t="s">
        <v>627</v>
      </c>
      <c r="C775" t="s">
        <v>657</v>
      </c>
      <c r="D775" s="1">
        <v>46035</v>
      </c>
      <c r="E775" t="s">
        <v>658</v>
      </c>
      <c r="F775">
        <v>9</v>
      </c>
      <c r="G775">
        <v>174</v>
      </c>
      <c r="H775" t="str">
        <f>VLOOKUP(G775,[1]OPERADORES!$A:$B,2,0)</f>
        <v>MIRIÃ LOBATO RODRIGUES</v>
      </c>
      <c r="I775" t="s">
        <v>21</v>
      </c>
      <c r="J775" t="s">
        <v>630</v>
      </c>
      <c r="K775" t="s">
        <v>631</v>
      </c>
      <c r="L775">
        <v>5</v>
      </c>
      <c r="M775" t="s">
        <v>147</v>
      </c>
      <c r="O775" t="s">
        <v>11</v>
      </c>
      <c r="P775">
        <v>5102</v>
      </c>
      <c r="Q775">
        <v>3</v>
      </c>
      <c r="R775">
        <v>5.15</v>
      </c>
      <c r="S775">
        <v>15.45</v>
      </c>
      <c r="T775">
        <v>11.73</v>
      </c>
      <c r="U775">
        <v>24.08</v>
      </c>
      <c r="V775" t="str">
        <f>VLOOKUP(L775,'[2]tabela de preços'!$A:$D,4,0)</f>
        <v>BRILHO ESTOPA</v>
      </c>
      <c r="W775" t="str">
        <f>VLOOKUP(L775,'[2]tabela de preços'!$A:$F,6,0)</f>
        <v>ESTOPAS</v>
      </c>
      <c r="X775" t="str">
        <f>VLOOKUP(L775,'[2]tabela de preços'!$A:$G,7,0)</f>
        <v>AUTOMOTIVO</v>
      </c>
    </row>
    <row r="776" spans="1:24" x14ac:dyDescent="0.3">
      <c r="A776" t="s">
        <v>626</v>
      </c>
      <c r="B776" t="s">
        <v>627</v>
      </c>
      <c r="C776" t="s">
        <v>657</v>
      </c>
      <c r="D776" s="1">
        <v>46035</v>
      </c>
      <c r="E776" t="s">
        <v>658</v>
      </c>
      <c r="F776">
        <v>9</v>
      </c>
      <c r="G776">
        <v>174</v>
      </c>
      <c r="H776" t="str">
        <f>VLOOKUP(G776,[1]OPERADORES!$A:$B,2,0)</f>
        <v>MIRIÃ LOBATO RODRIGUES</v>
      </c>
      <c r="I776" t="s">
        <v>21</v>
      </c>
      <c r="J776" t="s">
        <v>630</v>
      </c>
      <c r="K776" t="s">
        <v>631</v>
      </c>
      <c r="L776">
        <v>20431</v>
      </c>
      <c r="M776" t="s">
        <v>202</v>
      </c>
      <c r="O776" t="s">
        <v>11</v>
      </c>
      <c r="P776">
        <v>5403</v>
      </c>
      <c r="Q776">
        <v>6</v>
      </c>
      <c r="R776">
        <v>36.89</v>
      </c>
      <c r="S776">
        <v>221.34</v>
      </c>
      <c r="T776">
        <v>178.68</v>
      </c>
      <c r="U776">
        <v>19.27</v>
      </c>
      <c r="V776" t="str">
        <f>VLOOKUP(L776,'[2]tabela de preços'!$A:$D,4,0)</f>
        <v>SHERWIN WILLIAMS</v>
      </c>
      <c r="W776" t="str">
        <f>VLOOKUP(L776,'[2]tabela de preços'!$A:$F,6,0)</f>
        <v>VERNIZ AUTOMOTIVO</v>
      </c>
      <c r="X776" t="str">
        <f>VLOOKUP(L776,'[2]tabela de preços'!$A:$G,7,0)</f>
        <v>AUTOMOTIVO</v>
      </c>
    </row>
    <row r="777" spans="1:24" x14ac:dyDescent="0.3">
      <c r="A777" t="s">
        <v>626</v>
      </c>
      <c r="B777" t="s">
        <v>627</v>
      </c>
      <c r="C777" t="s">
        <v>657</v>
      </c>
      <c r="D777" s="1">
        <v>46035</v>
      </c>
      <c r="E777" t="s">
        <v>658</v>
      </c>
      <c r="F777">
        <v>9</v>
      </c>
      <c r="G777">
        <v>174</v>
      </c>
      <c r="H777" t="str">
        <f>VLOOKUP(G777,[1]OPERADORES!$A:$B,2,0)</f>
        <v>MIRIÃ LOBATO RODRIGUES</v>
      </c>
      <c r="I777" t="s">
        <v>21</v>
      </c>
      <c r="J777" t="s">
        <v>630</v>
      </c>
      <c r="K777" t="s">
        <v>631</v>
      </c>
      <c r="L777">
        <v>20570</v>
      </c>
      <c r="M777" t="s">
        <v>659</v>
      </c>
      <c r="O777" t="s">
        <v>11</v>
      </c>
      <c r="P777">
        <v>5403</v>
      </c>
      <c r="Q777">
        <v>1</v>
      </c>
      <c r="R777">
        <v>72.69</v>
      </c>
      <c r="S777">
        <v>72.69</v>
      </c>
      <c r="T777">
        <v>51.83</v>
      </c>
      <c r="U777">
        <v>28.7</v>
      </c>
      <c r="V777" t="str">
        <f>VLOOKUP(L777,'[2]tabela de preços'!$A:$D,4,0)</f>
        <v>SHERWIN WILLIAMS</v>
      </c>
      <c r="W777" t="str">
        <f>VLOOKUP(L777,'[2]tabela de preços'!$A:$F,6,0)</f>
        <v>TINTAS POLIÉSTER</v>
      </c>
      <c r="X777" t="str">
        <f>VLOOKUP(L777,'[2]tabela de preços'!$A:$G,7,0)</f>
        <v>AUTOMOTIVO</v>
      </c>
    </row>
    <row r="778" spans="1:24" x14ac:dyDescent="0.3">
      <c r="A778" t="s">
        <v>626</v>
      </c>
      <c r="B778" t="s">
        <v>627</v>
      </c>
      <c r="C778" t="s">
        <v>657</v>
      </c>
      <c r="D778" s="1">
        <v>46035</v>
      </c>
      <c r="E778" t="s">
        <v>658</v>
      </c>
      <c r="F778">
        <v>9</v>
      </c>
      <c r="G778">
        <v>174</v>
      </c>
      <c r="H778" t="str">
        <f>VLOOKUP(G778,[1]OPERADORES!$A:$B,2,0)</f>
        <v>MIRIÃ LOBATO RODRIGUES</v>
      </c>
      <c r="I778" t="s">
        <v>21</v>
      </c>
      <c r="J778" t="s">
        <v>630</v>
      </c>
      <c r="K778" t="s">
        <v>631</v>
      </c>
      <c r="L778">
        <v>21077</v>
      </c>
      <c r="M778" t="s">
        <v>207</v>
      </c>
      <c r="O778" t="s">
        <v>11</v>
      </c>
      <c r="P778">
        <v>5102</v>
      </c>
      <c r="Q778">
        <v>6</v>
      </c>
      <c r="R778">
        <v>44.68</v>
      </c>
      <c r="S778">
        <v>268.08</v>
      </c>
      <c r="T778">
        <v>203.52</v>
      </c>
      <c r="U778">
        <v>24.08</v>
      </c>
      <c r="V778" t="str">
        <f>VLOOKUP(L778,'[2]tabela de preços'!$A:$D,4,0)</f>
        <v>SHERWIN WILLIAMS</v>
      </c>
      <c r="W778" t="str">
        <f>VLOOKUP(L778,'[2]tabela de preços'!$A:$F,6,0)</f>
        <v>MASSA POLIÉSTER</v>
      </c>
      <c r="X778" t="str">
        <f>VLOOKUP(L778,'[2]tabela de preços'!$A:$G,7,0)</f>
        <v>AUTOMOTIVO</v>
      </c>
    </row>
    <row r="779" spans="1:24" x14ac:dyDescent="0.3">
      <c r="A779" t="s">
        <v>626</v>
      </c>
      <c r="B779" t="s">
        <v>627</v>
      </c>
      <c r="C779" t="s">
        <v>657</v>
      </c>
      <c r="D779" s="1">
        <v>46035</v>
      </c>
      <c r="E779" t="s">
        <v>658</v>
      </c>
      <c r="F779">
        <v>9</v>
      </c>
      <c r="G779">
        <v>174</v>
      </c>
      <c r="H779" t="str">
        <f>VLOOKUP(G779,[1]OPERADORES!$A:$B,2,0)</f>
        <v>MIRIÃ LOBATO RODRIGUES</v>
      </c>
      <c r="I779" t="s">
        <v>21</v>
      </c>
      <c r="J779" t="s">
        <v>630</v>
      </c>
      <c r="K779" t="s">
        <v>631</v>
      </c>
      <c r="L779">
        <v>84658</v>
      </c>
      <c r="M779" t="s">
        <v>100</v>
      </c>
      <c r="O779" t="s">
        <v>11</v>
      </c>
      <c r="P779">
        <v>5102</v>
      </c>
      <c r="Q779">
        <v>6</v>
      </c>
      <c r="R779">
        <v>40.840000000000003</v>
      </c>
      <c r="S779">
        <v>245.04</v>
      </c>
      <c r="T779">
        <v>186</v>
      </c>
      <c r="U779">
        <v>24.09</v>
      </c>
      <c r="V779" t="str">
        <f>VLOOKUP(L779,'[2]tabela de preços'!$A:$D,4,0)</f>
        <v>ANJO</v>
      </c>
      <c r="W779" t="str">
        <f>VLOOKUP(L779,'[2]tabela de preços'!$A:$F,6,0)</f>
        <v>MASSA POLIÉSTER</v>
      </c>
      <c r="X779" t="str">
        <f>VLOOKUP(L779,'[2]tabela de preços'!$A:$G,7,0)</f>
        <v>AUTOMOTIVO</v>
      </c>
    </row>
    <row r="780" spans="1:24" x14ac:dyDescent="0.3">
      <c r="A780" t="s">
        <v>626</v>
      </c>
      <c r="B780" t="s">
        <v>627</v>
      </c>
      <c r="C780" t="s">
        <v>657</v>
      </c>
      <c r="D780" s="1">
        <v>46035</v>
      </c>
      <c r="E780" t="s">
        <v>658</v>
      </c>
      <c r="F780">
        <v>9</v>
      </c>
      <c r="G780">
        <v>174</v>
      </c>
      <c r="H780" t="str">
        <f>VLOOKUP(G780,[1]OPERADORES!$A:$B,2,0)</f>
        <v>MIRIÃ LOBATO RODRIGUES</v>
      </c>
      <c r="I780" t="s">
        <v>21</v>
      </c>
      <c r="J780" t="s">
        <v>630</v>
      </c>
      <c r="K780" t="s">
        <v>631</v>
      </c>
      <c r="L780">
        <v>24247</v>
      </c>
      <c r="M780" t="s">
        <v>111</v>
      </c>
      <c r="O780" t="s">
        <v>11</v>
      </c>
      <c r="P780">
        <v>5403</v>
      </c>
      <c r="Q780">
        <v>12</v>
      </c>
      <c r="R780">
        <v>21</v>
      </c>
      <c r="S780">
        <v>252</v>
      </c>
      <c r="T780">
        <v>199.2</v>
      </c>
      <c r="U780">
        <v>20.95</v>
      </c>
      <c r="V780" t="str">
        <f>VLOOKUP(L780,'[2]tabela de preços'!$A:$D,4,0)</f>
        <v>SHERWIN WILLIAMS</v>
      </c>
      <c r="W780" t="str">
        <f>VLOOKUP(L780,'[2]tabela de preços'!$A:$F,6,0)</f>
        <v>PRIMER AUTOMOTIVO</v>
      </c>
      <c r="X780" t="str">
        <f>VLOOKUP(L780,'[2]tabela de preços'!$A:$G,7,0)</f>
        <v>AUTOMOTIVO</v>
      </c>
    </row>
    <row r="781" spans="1:24" x14ac:dyDescent="0.3">
      <c r="A781" t="s">
        <v>626</v>
      </c>
      <c r="B781" t="s">
        <v>627</v>
      </c>
      <c r="C781" t="s">
        <v>657</v>
      </c>
      <c r="D781" s="1">
        <v>46035</v>
      </c>
      <c r="E781" t="s">
        <v>658</v>
      </c>
      <c r="F781">
        <v>9</v>
      </c>
      <c r="G781">
        <v>174</v>
      </c>
      <c r="H781" t="str">
        <f>VLOOKUP(G781,[1]OPERADORES!$A:$B,2,0)</f>
        <v>MIRIÃ LOBATO RODRIGUES</v>
      </c>
      <c r="I781" t="s">
        <v>21</v>
      </c>
      <c r="J781" t="s">
        <v>630</v>
      </c>
      <c r="K781" t="s">
        <v>631</v>
      </c>
      <c r="L781">
        <v>21067</v>
      </c>
      <c r="M781" t="s">
        <v>640</v>
      </c>
      <c r="O781" t="s">
        <v>11</v>
      </c>
      <c r="P781">
        <v>5102</v>
      </c>
      <c r="Q781">
        <v>2</v>
      </c>
      <c r="R781">
        <v>37.58</v>
      </c>
      <c r="S781">
        <v>75.16</v>
      </c>
      <c r="T781">
        <v>57.04</v>
      </c>
      <c r="U781">
        <v>24.11</v>
      </c>
      <c r="V781" t="str">
        <f>VLOOKUP(L781,'[2]tabela de preços'!$A:$D,4,0)</f>
        <v>SIKKENS</v>
      </c>
      <c r="W781" t="str">
        <f>VLOOKUP(L781,'[2]tabela de preços'!$A:$F,6,0)</f>
        <v>DILUENTE</v>
      </c>
      <c r="X781" t="str">
        <f>VLOOKUP(L781,'[2]tabela de preços'!$A:$G,7,0)</f>
        <v>AUTOMOTIVO</v>
      </c>
    </row>
    <row r="782" spans="1:24" x14ac:dyDescent="0.3">
      <c r="A782" t="s">
        <v>626</v>
      </c>
      <c r="B782" t="s">
        <v>627</v>
      </c>
      <c r="C782" t="s">
        <v>657</v>
      </c>
      <c r="D782" s="1">
        <v>46035</v>
      </c>
      <c r="E782" t="s">
        <v>658</v>
      </c>
      <c r="F782">
        <v>9</v>
      </c>
      <c r="G782">
        <v>174</v>
      </c>
      <c r="H782" t="str">
        <f>VLOOKUP(G782,[1]OPERADORES!$A:$B,2,0)</f>
        <v>MIRIÃ LOBATO RODRIGUES</v>
      </c>
      <c r="I782" t="s">
        <v>21</v>
      </c>
      <c r="J782" t="s">
        <v>630</v>
      </c>
      <c r="K782" t="s">
        <v>631</v>
      </c>
      <c r="L782">
        <v>20212</v>
      </c>
      <c r="M782" t="s">
        <v>198</v>
      </c>
      <c r="O782" t="s">
        <v>11</v>
      </c>
      <c r="P782">
        <v>5403</v>
      </c>
      <c r="Q782">
        <v>2</v>
      </c>
      <c r="R782">
        <v>26.95</v>
      </c>
      <c r="S782">
        <v>53.9</v>
      </c>
      <c r="T782">
        <v>40.92</v>
      </c>
      <c r="U782">
        <v>24.08</v>
      </c>
      <c r="V782" t="str">
        <f>VLOOKUP(L782,'[2]tabela de preços'!$A:$D,4,0)</f>
        <v>MAXI RUBBER</v>
      </c>
      <c r="W782" t="str">
        <f>VLOOKUP(L782,'[2]tabela de preços'!$A:$F,6,0)</f>
        <v>SELADORA P/ PLASTICO</v>
      </c>
      <c r="X782" t="str">
        <f>VLOOKUP(L782,'[2]tabela de preços'!$A:$G,7,0)</f>
        <v>AUTOMOTIVO</v>
      </c>
    </row>
    <row r="783" spans="1:24" x14ac:dyDescent="0.3">
      <c r="A783" t="s">
        <v>626</v>
      </c>
      <c r="B783" t="s">
        <v>627</v>
      </c>
      <c r="C783" t="s">
        <v>657</v>
      </c>
      <c r="D783" s="1">
        <v>46035</v>
      </c>
      <c r="E783" t="s">
        <v>658</v>
      </c>
      <c r="F783">
        <v>9</v>
      </c>
      <c r="G783">
        <v>174</v>
      </c>
      <c r="H783" t="str">
        <f>VLOOKUP(G783,[1]OPERADORES!$A:$B,2,0)</f>
        <v>MIRIÃ LOBATO RODRIGUES</v>
      </c>
      <c r="I783" t="s">
        <v>21</v>
      </c>
      <c r="J783" t="s">
        <v>630</v>
      </c>
      <c r="K783" t="s">
        <v>631</v>
      </c>
      <c r="L783">
        <v>10404</v>
      </c>
      <c r="M783" t="s">
        <v>130</v>
      </c>
      <c r="O783" t="s">
        <v>11</v>
      </c>
      <c r="P783">
        <v>5102</v>
      </c>
      <c r="Q783">
        <v>10</v>
      </c>
      <c r="R783">
        <v>16.29</v>
      </c>
      <c r="S783">
        <v>162.9</v>
      </c>
      <c r="T783">
        <v>133.19999999999999</v>
      </c>
      <c r="U783">
        <v>18.23</v>
      </c>
      <c r="V783" t="str">
        <f>VLOOKUP(L783,'[2]tabela de preços'!$A:$D,4,0)</f>
        <v>MAXI RUBBER</v>
      </c>
      <c r="W783" t="str">
        <f>VLOOKUP(L783,'[2]tabela de preços'!$A:$F,6,0)</f>
        <v>VEDADORES / SELANTES</v>
      </c>
      <c r="X783" t="str">
        <f>VLOOKUP(L783,'[2]tabela de preços'!$A:$G,7,0)</f>
        <v>AUTOMOTIVO</v>
      </c>
    </row>
    <row r="784" spans="1:24" x14ac:dyDescent="0.3">
      <c r="A784" t="s">
        <v>811</v>
      </c>
      <c r="C784" t="s">
        <v>812</v>
      </c>
      <c r="D784" s="1">
        <v>46035</v>
      </c>
      <c r="E784" t="s">
        <v>813</v>
      </c>
      <c r="F784">
        <v>9</v>
      </c>
      <c r="G784">
        <v>236</v>
      </c>
      <c r="H784" t="str">
        <f>VLOOKUP(G784,[1]OPERADORES!$A:$B,2,0)</f>
        <v>DANIEL</v>
      </c>
      <c r="I784" t="s">
        <v>282</v>
      </c>
      <c r="J784" t="s">
        <v>814</v>
      </c>
      <c r="K784" t="s">
        <v>815</v>
      </c>
      <c r="L784">
        <v>84026</v>
      </c>
      <c r="M784" t="s">
        <v>816</v>
      </c>
      <c r="O784" t="s">
        <v>11</v>
      </c>
      <c r="P784">
        <v>6102</v>
      </c>
      <c r="Q784">
        <v>6</v>
      </c>
      <c r="R784">
        <v>9.48</v>
      </c>
      <c r="S784">
        <v>56.88</v>
      </c>
      <c r="T784">
        <v>41.7</v>
      </c>
      <c r="U784">
        <v>26.69</v>
      </c>
      <c r="V784" t="str">
        <f>VLOOKUP(L784,'[2]tabela de preços'!$A:$D,4,0)</f>
        <v>BRASILUX</v>
      </c>
      <c r="W784" t="str">
        <f>VLOOKUP(L784,'[2]tabela de preços'!$A:$F,6,0)</f>
        <v>CATALISADORES INDIVIDUAIS</v>
      </c>
      <c r="X784" t="str">
        <f>VLOOKUP(L784,'[2]tabela de preços'!$A:$G,7,0)</f>
        <v>IMOBILIÁRIO</v>
      </c>
    </row>
    <row r="785" spans="1:24" x14ac:dyDescent="0.3">
      <c r="A785" t="s">
        <v>811</v>
      </c>
      <c r="C785" t="s">
        <v>812</v>
      </c>
      <c r="D785" s="1">
        <v>46035</v>
      </c>
      <c r="E785" t="s">
        <v>813</v>
      </c>
      <c r="F785">
        <v>9</v>
      </c>
      <c r="G785">
        <v>236</v>
      </c>
      <c r="H785" t="str">
        <f>VLOOKUP(G785,[1]OPERADORES!$A:$B,2,0)</f>
        <v>DANIEL</v>
      </c>
      <c r="I785" t="s">
        <v>282</v>
      </c>
      <c r="J785" t="s">
        <v>814</v>
      </c>
      <c r="K785" t="s">
        <v>815</v>
      </c>
      <c r="L785">
        <v>10316</v>
      </c>
      <c r="M785" t="s">
        <v>582</v>
      </c>
      <c r="O785" t="s">
        <v>11</v>
      </c>
      <c r="P785">
        <v>6102</v>
      </c>
      <c r="Q785">
        <v>12</v>
      </c>
      <c r="R785">
        <v>13.89</v>
      </c>
      <c r="S785">
        <v>166.68</v>
      </c>
      <c r="T785">
        <v>139.56</v>
      </c>
      <c r="U785">
        <v>16.27</v>
      </c>
      <c r="V785" t="str">
        <f>VLOOKUP(L785,'[2]tabela de preços'!$A:$D,4,0)</f>
        <v>ANJO</v>
      </c>
      <c r="W785" t="str">
        <f>VLOOKUP(L785,'[2]tabela de preços'!$A:$F,6,0)</f>
        <v xml:space="preserve">COLA  PLÁSTICA </v>
      </c>
      <c r="X785" t="str">
        <f>VLOOKUP(L785,'[2]tabela de preços'!$A:$G,7,0)</f>
        <v>AUTOMOTIVO</v>
      </c>
    </row>
    <row r="786" spans="1:24" x14ac:dyDescent="0.3">
      <c r="A786" t="s">
        <v>811</v>
      </c>
      <c r="C786" t="s">
        <v>812</v>
      </c>
      <c r="D786" s="1">
        <v>46035</v>
      </c>
      <c r="E786" t="s">
        <v>813</v>
      </c>
      <c r="F786">
        <v>9</v>
      </c>
      <c r="G786">
        <v>236</v>
      </c>
      <c r="H786" t="str">
        <f>VLOOKUP(G786,[1]OPERADORES!$A:$B,2,0)</f>
        <v>DANIEL</v>
      </c>
      <c r="I786" t="s">
        <v>282</v>
      </c>
      <c r="J786" t="s">
        <v>814</v>
      </c>
      <c r="K786" t="s">
        <v>815</v>
      </c>
      <c r="L786">
        <v>20484</v>
      </c>
      <c r="M786" t="s">
        <v>817</v>
      </c>
      <c r="O786" t="s">
        <v>11</v>
      </c>
      <c r="P786">
        <v>6102</v>
      </c>
      <c r="Q786">
        <v>3</v>
      </c>
      <c r="R786">
        <v>10.53</v>
      </c>
      <c r="S786">
        <v>31.59</v>
      </c>
      <c r="T786">
        <v>23.16</v>
      </c>
      <c r="U786">
        <v>26.69</v>
      </c>
      <c r="V786" t="str">
        <f>VLOOKUP(L786,'[2]tabela de preços'!$A:$D,4,0)</f>
        <v>3M</v>
      </c>
      <c r="W786" t="str">
        <f>VLOOKUP(L786,'[2]tabela de preços'!$A:$F,6,0)</f>
        <v>FITA DUPLA FACE</v>
      </c>
      <c r="X786" t="str">
        <f>VLOOKUP(L786,'[2]tabela de preços'!$A:$G,7,0)</f>
        <v>AUTOMOTIVO</v>
      </c>
    </row>
    <row r="787" spans="1:24" x14ac:dyDescent="0.3">
      <c r="A787" t="s">
        <v>811</v>
      </c>
      <c r="C787" t="s">
        <v>812</v>
      </c>
      <c r="D787" s="1">
        <v>46035</v>
      </c>
      <c r="E787" t="s">
        <v>813</v>
      </c>
      <c r="F787">
        <v>9</v>
      </c>
      <c r="G787">
        <v>236</v>
      </c>
      <c r="H787" t="str">
        <f>VLOOKUP(G787,[1]OPERADORES!$A:$B,2,0)</f>
        <v>DANIEL</v>
      </c>
      <c r="I787" t="s">
        <v>282</v>
      </c>
      <c r="J787" t="s">
        <v>814</v>
      </c>
      <c r="K787" t="s">
        <v>815</v>
      </c>
      <c r="L787">
        <v>84020</v>
      </c>
      <c r="M787" t="s">
        <v>518</v>
      </c>
      <c r="O787" t="s">
        <v>11</v>
      </c>
      <c r="P787">
        <v>6102</v>
      </c>
      <c r="Q787">
        <v>50</v>
      </c>
      <c r="R787">
        <v>0.91</v>
      </c>
      <c r="S787">
        <v>45.5</v>
      </c>
      <c r="T787">
        <v>34.5</v>
      </c>
      <c r="U787">
        <v>24.18</v>
      </c>
      <c r="V787" t="str">
        <f>VLOOKUP(L787,'[2]tabela de preços'!$A:$D,4,0)</f>
        <v>3M</v>
      </c>
      <c r="W787" t="str">
        <f>VLOOKUP(L787,'[2]tabela de preços'!$A:$F,6,0)</f>
        <v>LIXA MASSA  /MADEIRA / PAREDE</v>
      </c>
      <c r="X787" t="str">
        <f>VLOOKUP(L787,'[2]tabela de preços'!$A:$G,7,0)</f>
        <v>IMOBILIÁRIO</v>
      </c>
    </row>
    <row r="788" spans="1:24" x14ac:dyDescent="0.3">
      <c r="A788" t="s">
        <v>811</v>
      </c>
      <c r="C788" t="s">
        <v>812</v>
      </c>
      <c r="D788" s="1">
        <v>46035</v>
      </c>
      <c r="E788" t="s">
        <v>813</v>
      </c>
      <c r="F788">
        <v>9</v>
      </c>
      <c r="G788">
        <v>236</v>
      </c>
      <c r="H788" t="str">
        <f>VLOOKUP(G788,[1]OPERADORES!$A:$B,2,0)</f>
        <v>DANIEL</v>
      </c>
      <c r="I788" t="s">
        <v>282</v>
      </c>
      <c r="J788" t="s">
        <v>814</v>
      </c>
      <c r="K788" t="s">
        <v>815</v>
      </c>
      <c r="L788">
        <v>84017</v>
      </c>
      <c r="M788" t="s">
        <v>519</v>
      </c>
      <c r="O788" t="s">
        <v>11</v>
      </c>
      <c r="P788">
        <v>6102</v>
      </c>
      <c r="Q788">
        <v>50</v>
      </c>
      <c r="R788">
        <v>0.6</v>
      </c>
      <c r="S788">
        <v>30</v>
      </c>
      <c r="T788">
        <v>23</v>
      </c>
      <c r="U788">
        <v>23.33</v>
      </c>
      <c r="V788" t="str">
        <f>VLOOKUP(L788,'[2]tabela de preços'!$A:$D,4,0)</f>
        <v>3M</v>
      </c>
      <c r="W788" t="str">
        <f>VLOOKUP(L788,'[2]tabela de preços'!$A:$F,6,0)</f>
        <v>LIXA MASSA  /MADEIRA / PAREDE</v>
      </c>
      <c r="X788" t="str">
        <f>VLOOKUP(L788,'[2]tabela de preços'!$A:$G,7,0)</f>
        <v>IMOBILIÁRIO</v>
      </c>
    </row>
    <row r="789" spans="1:24" x14ac:dyDescent="0.3">
      <c r="A789" t="s">
        <v>811</v>
      </c>
      <c r="C789" t="s">
        <v>812</v>
      </c>
      <c r="D789" s="1">
        <v>46035</v>
      </c>
      <c r="E789" t="s">
        <v>813</v>
      </c>
      <c r="F789">
        <v>9</v>
      </c>
      <c r="G789">
        <v>236</v>
      </c>
      <c r="H789" t="str">
        <f>VLOOKUP(G789,[1]OPERADORES!$A:$B,2,0)</f>
        <v>DANIEL</v>
      </c>
      <c r="I789" t="s">
        <v>282</v>
      </c>
      <c r="J789" t="s">
        <v>814</v>
      </c>
      <c r="K789" t="s">
        <v>815</v>
      </c>
      <c r="L789">
        <v>84018</v>
      </c>
      <c r="M789" t="s">
        <v>818</v>
      </c>
      <c r="O789" t="s">
        <v>11</v>
      </c>
      <c r="P789">
        <v>6102</v>
      </c>
      <c r="Q789">
        <v>50</v>
      </c>
      <c r="R789">
        <v>0.6</v>
      </c>
      <c r="S789">
        <v>30</v>
      </c>
      <c r="T789">
        <v>23</v>
      </c>
      <c r="U789">
        <v>23.33</v>
      </c>
      <c r="V789" t="str">
        <f>VLOOKUP(L789,'[2]tabela de preços'!$A:$D,4,0)</f>
        <v>3M</v>
      </c>
      <c r="W789" t="str">
        <f>VLOOKUP(L789,'[2]tabela de preços'!$A:$F,6,0)</f>
        <v>LIXA MASSA  /MADEIRA / PAREDE</v>
      </c>
      <c r="X789" t="str">
        <f>VLOOKUP(L789,'[2]tabela de preços'!$A:$G,7,0)</f>
        <v>IMOBILIÁRIO</v>
      </c>
    </row>
    <row r="790" spans="1:24" x14ac:dyDescent="0.3">
      <c r="A790" t="s">
        <v>811</v>
      </c>
      <c r="C790" t="s">
        <v>812</v>
      </c>
      <c r="D790" s="1">
        <v>46035</v>
      </c>
      <c r="E790" t="s">
        <v>813</v>
      </c>
      <c r="F790">
        <v>9</v>
      </c>
      <c r="G790">
        <v>236</v>
      </c>
      <c r="H790" t="str">
        <f>VLOOKUP(G790,[1]OPERADORES!$A:$B,2,0)</f>
        <v>DANIEL</v>
      </c>
      <c r="I790" t="s">
        <v>282</v>
      </c>
      <c r="J790" t="s">
        <v>814</v>
      </c>
      <c r="K790" t="s">
        <v>815</v>
      </c>
      <c r="L790">
        <v>10241</v>
      </c>
      <c r="M790" t="s">
        <v>819</v>
      </c>
      <c r="O790" t="s">
        <v>11</v>
      </c>
      <c r="P790">
        <v>6102</v>
      </c>
      <c r="Q790">
        <v>50</v>
      </c>
      <c r="R790">
        <v>2.79</v>
      </c>
      <c r="S790">
        <v>139.5</v>
      </c>
      <c r="T790">
        <v>114</v>
      </c>
      <c r="U790">
        <v>18.28</v>
      </c>
      <c r="V790" t="str">
        <f>VLOOKUP(L790,'[2]tabela de preços'!$A:$D,4,0)</f>
        <v>NORTON</v>
      </c>
      <c r="W790" t="str">
        <f>VLOOKUP(L790,'[2]tabela de preços'!$A:$F,6,0)</f>
        <v xml:space="preserve">DISCOS / LIXAS / ABRASIVOS </v>
      </c>
      <c r="X790" t="str">
        <f>VLOOKUP(L790,'[2]tabela de preços'!$A:$G,7,0)</f>
        <v>AUTOMOTIVO</v>
      </c>
    </row>
    <row r="791" spans="1:24" x14ac:dyDescent="0.3">
      <c r="A791" t="s">
        <v>811</v>
      </c>
      <c r="C791" t="s">
        <v>812</v>
      </c>
      <c r="D791" s="1">
        <v>46035</v>
      </c>
      <c r="E791" t="s">
        <v>813</v>
      </c>
      <c r="F791">
        <v>9</v>
      </c>
      <c r="G791">
        <v>236</v>
      </c>
      <c r="H791" t="str">
        <f>VLOOKUP(G791,[1]OPERADORES!$A:$B,2,0)</f>
        <v>DANIEL</v>
      </c>
      <c r="I791" t="s">
        <v>282</v>
      </c>
      <c r="J791" t="s">
        <v>814</v>
      </c>
      <c r="K791" t="s">
        <v>815</v>
      </c>
      <c r="L791">
        <v>10243</v>
      </c>
      <c r="M791" t="s">
        <v>83</v>
      </c>
      <c r="O791" t="s">
        <v>11</v>
      </c>
      <c r="P791">
        <v>6102</v>
      </c>
      <c r="Q791">
        <v>50</v>
      </c>
      <c r="R791">
        <v>2.79</v>
      </c>
      <c r="S791">
        <v>139.5</v>
      </c>
      <c r="T791">
        <v>96.5</v>
      </c>
      <c r="U791">
        <v>30.82</v>
      </c>
      <c r="V791" t="str">
        <f>VLOOKUP(L791,'[2]tabela de preços'!$A:$D,4,0)</f>
        <v>NORTON</v>
      </c>
      <c r="W791" t="str">
        <f>VLOOKUP(L791,'[2]tabela de preços'!$A:$F,6,0)</f>
        <v xml:space="preserve">DISCOS / LIXAS / ABRASIVOS </v>
      </c>
      <c r="X791" t="str">
        <f>VLOOKUP(L791,'[2]tabela de preços'!$A:$G,7,0)</f>
        <v>AUTOMOTIVO</v>
      </c>
    </row>
    <row r="792" spans="1:24" x14ac:dyDescent="0.3">
      <c r="A792" t="s">
        <v>811</v>
      </c>
      <c r="C792" t="s">
        <v>812</v>
      </c>
      <c r="D792" s="1">
        <v>46035</v>
      </c>
      <c r="E792" t="s">
        <v>813</v>
      </c>
      <c r="F792">
        <v>9</v>
      </c>
      <c r="G792">
        <v>236</v>
      </c>
      <c r="H792" t="str">
        <f>VLOOKUP(G792,[1]OPERADORES!$A:$B,2,0)</f>
        <v>DANIEL</v>
      </c>
      <c r="I792" t="s">
        <v>282</v>
      </c>
      <c r="J792" t="s">
        <v>814</v>
      </c>
      <c r="K792" t="s">
        <v>815</v>
      </c>
      <c r="L792">
        <v>10245</v>
      </c>
      <c r="M792" t="s">
        <v>195</v>
      </c>
      <c r="O792" t="s">
        <v>11</v>
      </c>
      <c r="P792">
        <v>6102</v>
      </c>
      <c r="Q792">
        <v>50</v>
      </c>
      <c r="R792">
        <v>2.79</v>
      </c>
      <c r="S792">
        <v>139.5</v>
      </c>
      <c r="T792">
        <v>96.5</v>
      </c>
      <c r="U792">
        <v>30.82</v>
      </c>
      <c r="V792" t="str">
        <f>VLOOKUP(L792,'[2]tabela de preços'!$A:$D,4,0)</f>
        <v>NORTON</v>
      </c>
      <c r="W792" t="str">
        <f>VLOOKUP(L792,'[2]tabela de preços'!$A:$F,6,0)</f>
        <v xml:space="preserve">DISCOS / LIXAS / ABRASIVOS </v>
      </c>
      <c r="X792" t="str">
        <f>VLOOKUP(L792,'[2]tabela de preços'!$A:$G,7,0)</f>
        <v>AUTOMOTIVO</v>
      </c>
    </row>
    <row r="793" spans="1:24" x14ac:dyDescent="0.3">
      <c r="A793" t="s">
        <v>811</v>
      </c>
      <c r="C793" t="s">
        <v>812</v>
      </c>
      <c r="D793" s="1">
        <v>46035</v>
      </c>
      <c r="E793" t="s">
        <v>813</v>
      </c>
      <c r="F793">
        <v>9</v>
      </c>
      <c r="G793">
        <v>236</v>
      </c>
      <c r="H793" t="str">
        <f>VLOOKUP(G793,[1]OPERADORES!$A:$B,2,0)</f>
        <v>DANIEL</v>
      </c>
      <c r="I793" t="s">
        <v>282</v>
      </c>
      <c r="J793" t="s">
        <v>814</v>
      </c>
      <c r="K793" t="s">
        <v>815</v>
      </c>
      <c r="L793">
        <v>10401</v>
      </c>
      <c r="M793" t="s">
        <v>154</v>
      </c>
      <c r="O793" t="s">
        <v>11</v>
      </c>
      <c r="P793">
        <v>6403</v>
      </c>
      <c r="Q793">
        <v>6</v>
      </c>
      <c r="R793">
        <v>34.39</v>
      </c>
      <c r="S793">
        <v>206.34</v>
      </c>
      <c r="T793">
        <v>151.26</v>
      </c>
      <c r="U793">
        <v>26.69</v>
      </c>
      <c r="V793" t="str">
        <f>VLOOKUP(L793,'[2]tabela de preços'!$A:$D,4,0)</f>
        <v>MAXI RUBBER</v>
      </c>
      <c r="W793" t="str">
        <f>VLOOKUP(L793,'[2]tabela de preços'!$A:$F,6,0)</f>
        <v>PRIMER AUTOMOTIVO</v>
      </c>
      <c r="X793" t="str">
        <f>VLOOKUP(L793,'[2]tabela de preços'!$A:$G,7,0)</f>
        <v>AUTOMOTIVO</v>
      </c>
    </row>
    <row r="794" spans="1:24" x14ac:dyDescent="0.3">
      <c r="A794" t="s">
        <v>811</v>
      </c>
      <c r="C794" t="s">
        <v>812</v>
      </c>
      <c r="D794" s="1">
        <v>46035</v>
      </c>
      <c r="E794" t="s">
        <v>813</v>
      </c>
      <c r="F794">
        <v>9</v>
      </c>
      <c r="G794">
        <v>236</v>
      </c>
      <c r="H794" t="str">
        <f>VLOOKUP(G794,[1]OPERADORES!$A:$B,2,0)</f>
        <v>DANIEL</v>
      </c>
      <c r="I794" t="s">
        <v>282</v>
      </c>
      <c r="J794" t="s">
        <v>814</v>
      </c>
      <c r="K794" t="s">
        <v>815</v>
      </c>
      <c r="L794">
        <v>10298</v>
      </c>
      <c r="M794" t="s">
        <v>85</v>
      </c>
      <c r="O794" t="s">
        <v>11</v>
      </c>
      <c r="P794">
        <v>6102</v>
      </c>
      <c r="Q794">
        <v>8</v>
      </c>
      <c r="R794">
        <v>56.89</v>
      </c>
      <c r="S794">
        <v>455.12</v>
      </c>
      <c r="T794">
        <v>379.04</v>
      </c>
      <c r="U794">
        <v>16.72</v>
      </c>
      <c r="V794" t="str">
        <f>VLOOKUP(L794,'[2]tabela de preços'!$A:$D,4,0)</f>
        <v>ANJO</v>
      </c>
      <c r="W794" t="str">
        <f>VLOOKUP(L794,'[2]tabela de preços'!$A:$F,6,0)</f>
        <v>THINNER DE LIMPEZA</v>
      </c>
      <c r="X794" t="str">
        <f>VLOOKUP(L794,'[2]tabela de preços'!$A:$G,7,0)</f>
        <v>THINNER</v>
      </c>
    </row>
    <row r="795" spans="1:24" x14ac:dyDescent="0.3">
      <c r="A795" t="s">
        <v>811</v>
      </c>
      <c r="C795" t="s">
        <v>812</v>
      </c>
      <c r="D795" s="1">
        <v>46035</v>
      </c>
      <c r="E795" t="s">
        <v>813</v>
      </c>
      <c r="F795">
        <v>9</v>
      </c>
      <c r="G795">
        <v>236</v>
      </c>
      <c r="H795" t="str">
        <f>VLOOKUP(G795,[1]OPERADORES!$A:$B,2,0)</f>
        <v>DANIEL</v>
      </c>
      <c r="I795" t="s">
        <v>282</v>
      </c>
      <c r="J795" t="s">
        <v>814</v>
      </c>
      <c r="K795" t="s">
        <v>815</v>
      </c>
      <c r="L795">
        <v>84460</v>
      </c>
      <c r="M795" t="s">
        <v>322</v>
      </c>
      <c r="O795" t="s">
        <v>11</v>
      </c>
      <c r="P795">
        <v>6102</v>
      </c>
      <c r="Q795">
        <v>4</v>
      </c>
      <c r="R795">
        <v>31.07</v>
      </c>
      <c r="S795">
        <v>124.28</v>
      </c>
      <c r="T795">
        <v>94.32</v>
      </c>
      <c r="U795">
        <v>24.11</v>
      </c>
      <c r="V795" t="str">
        <f>VLOOKUP(L795,'[2]tabela de preços'!$A:$D,4,0)</f>
        <v>BRASILUX</v>
      </c>
      <c r="W795" t="str">
        <f>VLOOKUP(L795,'[2]tabela de preços'!$A:$F,6,0)</f>
        <v>VEDADORES / SELANTES</v>
      </c>
      <c r="X795" t="str">
        <f>VLOOKUP(L795,'[2]tabela de preços'!$A:$G,7,0)</f>
        <v>AUTOMOTIVO</v>
      </c>
    </row>
    <row r="796" spans="1:24" x14ac:dyDescent="0.3">
      <c r="A796" t="s">
        <v>868</v>
      </c>
      <c r="B796" t="s">
        <v>869</v>
      </c>
      <c r="C796" t="s">
        <v>876</v>
      </c>
      <c r="D796" s="1">
        <v>46035</v>
      </c>
      <c r="E796" t="s">
        <v>877</v>
      </c>
      <c r="F796">
        <v>9</v>
      </c>
      <c r="G796">
        <v>197</v>
      </c>
      <c r="H796" t="str">
        <f>VLOOKUP(G796,[1]OPERADORES!$A:$B,2,0)</f>
        <v xml:space="preserve">POLIANA LORRANE DE AMORIM </v>
      </c>
      <c r="I796" t="s">
        <v>21</v>
      </c>
      <c r="J796" t="s">
        <v>872</v>
      </c>
      <c r="K796" t="s">
        <v>873</v>
      </c>
      <c r="L796">
        <v>84219</v>
      </c>
      <c r="M796" t="s">
        <v>878</v>
      </c>
      <c r="O796" t="s">
        <v>11</v>
      </c>
      <c r="P796">
        <v>5403</v>
      </c>
      <c r="Q796">
        <v>2</v>
      </c>
      <c r="R796">
        <v>52.73</v>
      </c>
      <c r="S796">
        <v>105.46</v>
      </c>
      <c r="T796">
        <v>80.06</v>
      </c>
      <c r="U796">
        <v>24.08</v>
      </c>
      <c r="V796" t="str">
        <f>VLOOKUP(L796,'[2]tabela de preços'!$A:$D,4,0)</f>
        <v>BRASILUX</v>
      </c>
      <c r="W796" t="str">
        <f>VLOOKUP(L796,'[2]tabela de preços'!$A:$F,6,0)</f>
        <v>ESMALTES</v>
      </c>
      <c r="X796" t="str">
        <f>VLOOKUP(L796,'[2]tabela de preços'!$A:$G,7,0)</f>
        <v>INDUSTRIAL</v>
      </c>
    </row>
    <row r="797" spans="1:24" x14ac:dyDescent="0.3">
      <c r="A797" t="s">
        <v>868</v>
      </c>
      <c r="B797" t="s">
        <v>869</v>
      </c>
      <c r="C797" t="s">
        <v>876</v>
      </c>
      <c r="D797" s="1">
        <v>46035</v>
      </c>
      <c r="E797" t="s">
        <v>877</v>
      </c>
      <c r="F797">
        <v>9</v>
      </c>
      <c r="G797">
        <v>197</v>
      </c>
      <c r="H797" t="str">
        <f>VLOOKUP(G797,[1]OPERADORES!$A:$B,2,0)</f>
        <v xml:space="preserve">POLIANA LORRANE DE AMORIM </v>
      </c>
      <c r="I797" t="s">
        <v>21</v>
      </c>
      <c r="J797" t="s">
        <v>872</v>
      </c>
      <c r="K797" t="s">
        <v>873</v>
      </c>
      <c r="L797">
        <v>84218</v>
      </c>
      <c r="M797" t="s">
        <v>879</v>
      </c>
      <c r="O797" t="s">
        <v>11</v>
      </c>
      <c r="P797">
        <v>5403</v>
      </c>
      <c r="Q797">
        <v>3</v>
      </c>
      <c r="R797">
        <v>57.11</v>
      </c>
      <c r="S797">
        <v>171.33</v>
      </c>
      <c r="T797">
        <v>130.05000000000001</v>
      </c>
      <c r="U797">
        <v>24.09</v>
      </c>
      <c r="V797" t="str">
        <f>VLOOKUP(L797,'[2]tabela de preços'!$A:$D,4,0)</f>
        <v>BRASILUX</v>
      </c>
      <c r="W797" t="str">
        <f>VLOOKUP(L797,'[2]tabela de preços'!$A:$F,6,0)</f>
        <v>ESMALTES</v>
      </c>
      <c r="X797" t="str">
        <f>VLOOKUP(L797,'[2]tabela de preços'!$A:$G,7,0)</f>
        <v>INDUSTRIAL</v>
      </c>
    </row>
    <row r="798" spans="1:24" x14ac:dyDescent="0.3">
      <c r="A798" t="s">
        <v>868</v>
      </c>
      <c r="B798" t="s">
        <v>869</v>
      </c>
      <c r="C798" t="s">
        <v>876</v>
      </c>
      <c r="D798" s="1">
        <v>46035</v>
      </c>
      <c r="E798" t="s">
        <v>877</v>
      </c>
      <c r="F798">
        <v>9</v>
      </c>
      <c r="G798">
        <v>197</v>
      </c>
      <c r="H798" t="str">
        <f>VLOOKUP(G798,[1]OPERADORES!$A:$B,2,0)</f>
        <v xml:space="preserve">POLIANA LORRANE DE AMORIM </v>
      </c>
      <c r="I798" t="s">
        <v>21</v>
      </c>
      <c r="J798" t="s">
        <v>872</v>
      </c>
      <c r="K798" t="s">
        <v>873</v>
      </c>
      <c r="L798">
        <v>10277</v>
      </c>
      <c r="M798" t="s">
        <v>135</v>
      </c>
      <c r="O798" t="s">
        <v>11</v>
      </c>
      <c r="P798">
        <v>5102</v>
      </c>
      <c r="Q798">
        <v>24</v>
      </c>
      <c r="R798">
        <v>15.89</v>
      </c>
      <c r="S798">
        <v>381.36</v>
      </c>
      <c r="T798">
        <v>309.12</v>
      </c>
      <c r="U798">
        <v>18.940000000000001</v>
      </c>
      <c r="V798" t="str">
        <f>VLOOKUP(L798,'[2]tabela de preços'!$A:$D,4,0)</f>
        <v>RETOQUE</v>
      </c>
      <c r="W798" t="str">
        <f>VLOOKUP(L798,'[2]tabela de preços'!$A:$F,6,0)</f>
        <v xml:space="preserve">COLA  PLÁSTICA </v>
      </c>
      <c r="X798" t="str">
        <f>VLOOKUP(L798,'[2]tabela de preços'!$A:$G,7,0)</f>
        <v>AUTOMOTIVO</v>
      </c>
    </row>
    <row r="799" spans="1:24" x14ac:dyDescent="0.3">
      <c r="A799" t="s">
        <v>963</v>
      </c>
      <c r="B799" t="s">
        <v>964</v>
      </c>
      <c r="C799" t="s">
        <v>965</v>
      </c>
      <c r="D799" s="1">
        <v>46035</v>
      </c>
      <c r="E799" t="s">
        <v>966</v>
      </c>
      <c r="F799">
        <v>9</v>
      </c>
      <c r="G799">
        <v>197</v>
      </c>
      <c r="H799" t="str">
        <f>VLOOKUP(G799,[1]OPERADORES!$A:$B,2,0)</f>
        <v xml:space="preserve">POLIANA LORRANE DE AMORIM </v>
      </c>
      <c r="I799" t="s">
        <v>244</v>
      </c>
      <c r="J799" t="s">
        <v>967</v>
      </c>
      <c r="K799" t="s">
        <v>968</v>
      </c>
      <c r="L799">
        <v>85692</v>
      </c>
      <c r="M799" t="s">
        <v>969</v>
      </c>
      <c r="O799" t="s">
        <v>11</v>
      </c>
      <c r="P799">
        <v>6102</v>
      </c>
      <c r="Q799">
        <v>5</v>
      </c>
      <c r="R799">
        <v>7.89</v>
      </c>
      <c r="S799">
        <v>39.450000000000003</v>
      </c>
      <c r="T799">
        <v>32.549999999999997</v>
      </c>
      <c r="U799">
        <v>17.489999999999998</v>
      </c>
      <c r="V799" t="str">
        <f>VLOOKUP(L799,'[2]tabela de preços'!$A:$D,4,0)</f>
        <v>UNIPEGA</v>
      </c>
      <c r="W799" t="str">
        <f>VLOOKUP(L799,'[2]tabela de preços'!$A:$F,6,0)</f>
        <v>PU 40</v>
      </c>
      <c r="X799" t="str">
        <f>VLOOKUP(L799,'[2]tabela de preços'!$A:$G,7,0)</f>
        <v>IMOBILIÁRIO</v>
      </c>
    </row>
    <row r="800" spans="1:24" x14ac:dyDescent="0.3">
      <c r="A800" t="s">
        <v>963</v>
      </c>
      <c r="B800" t="s">
        <v>964</v>
      </c>
      <c r="C800" t="s">
        <v>965</v>
      </c>
      <c r="D800" s="1">
        <v>46035</v>
      </c>
      <c r="E800" t="s">
        <v>966</v>
      </c>
      <c r="F800">
        <v>9</v>
      </c>
      <c r="G800">
        <v>197</v>
      </c>
      <c r="H800" t="str">
        <f>VLOOKUP(G800,[1]OPERADORES!$A:$B,2,0)</f>
        <v xml:space="preserve">POLIANA LORRANE DE AMORIM </v>
      </c>
      <c r="I800" t="s">
        <v>244</v>
      </c>
      <c r="J800" t="s">
        <v>967</v>
      </c>
      <c r="K800" t="s">
        <v>968</v>
      </c>
      <c r="L800">
        <v>85693</v>
      </c>
      <c r="M800" t="s">
        <v>526</v>
      </c>
      <c r="O800" t="s">
        <v>11</v>
      </c>
      <c r="P800">
        <v>6102</v>
      </c>
      <c r="Q800">
        <v>5</v>
      </c>
      <c r="R800">
        <v>7.89</v>
      </c>
      <c r="S800">
        <v>39.450000000000003</v>
      </c>
      <c r="T800">
        <v>32.549999999999997</v>
      </c>
      <c r="U800">
        <v>17.489999999999998</v>
      </c>
      <c r="V800" t="str">
        <f>VLOOKUP(L800,'[2]tabela de preços'!$A:$D,4,0)</f>
        <v>UNIPEGA</v>
      </c>
      <c r="W800" t="str">
        <f>VLOOKUP(L800,'[2]tabela de preços'!$A:$F,6,0)</f>
        <v>PU 40</v>
      </c>
      <c r="X800" t="str">
        <f>VLOOKUP(L800,'[2]tabela de preços'!$A:$G,7,0)</f>
        <v>IMOBILIÁRIO</v>
      </c>
    </row>
    <row r="801" spans="1:24" x14ac:dyDescent="0.3">
      <c r="A801" t="s">
        <v>963</v>
      </c>
      <c r="B801" t="s">
        <v>964</v>
      </c>
      <c r="C801" t="s">
        <v>965</v>
      </c>
      <c r="D801" s="1">
        <v>46035</v>
      </c>
      <c r="E801" t="s">
        <v>966</v>
      </c>
      <c r="F801">
        <v>9</v>
      </c>
      <c r="G801">
        <v>197</v>
      </c>
      <c r="H801" t="str">
        <f>VLOOKUP(G801,[1]OPERADORES!$A:$B,2,0)</f>
        <v xml:space="preserve">POLIANA LORRANE DE AMORIM </v>
      </c>
      <c r="I801" t="s">
        <v>244</v>
      </c>
      <c r="J801" t="s">
        <v>967</v>
      </c>
      <c r="K801" t="s">
        <v>968</v>
      </c>
      <c r="L801">
        <v>85583</v>
      </c>
      <c r="M801" t="s">
        <v>970</v>
      </c>
      <c r="O801" t="s">
        <v>11</v>
      </c>
      <c r="P801">
        <v>6102</v>
      </c>
      <c r="Q801">
        <v>6</v>
      </c>
      <c r="R801">
        <v>29.9</v>
      </c>
      <c r="S801">
        <v>179.4</v>
      </c>
      <c r="T801">
        <v>162.78</v>
      </c>
      <c r="U801">
        <v>9.26</v>
      </c>
      <c r="V801" t="str">
        <f>VLOOKUP(L801,'[2]tabela de preços'!$A:$D,4,0)</f>
        <v>DÁVILA  INOVE</v>
      </c>
      <c r="W801" t="str">
        <f>VLOOKUP(L801,'[2]tabela de preços'!$A:$F,6,0)</f>
        <v>MASSA CORRIDA / ACRÍLICA</v>
      </c>
      <c r="X801" t="str">
        <f>VLOOKUP(L801,'[2]tabela de preços'!$A:$G,7,0)</f>
        <v>IMOBILIÁRIO</v>
      </c>
    </row>
    <row r="802" spans="1:24" x14ac:dyDescent="0.3">
      <c r="A802" t="s">
        <v>963</v>
      </c>
      <c r="B802" t="s">
        <v>964</v>
      </c>
      <c r="C802" t="s">
        <v>965</v>
      </c>
      <c r="D802" s="1">
        <v>46035</v>
      </c>
      <c r="E802" t="s">
        <v>966</v>
      </c>
      <c r="F802">
        <v>9</v>
      </c>
      <c r="G802">
        <v>197</v>
      </c>
      <c r="H802" t="str">
        <f>VLOOKUP(G802,[1]OPERADORES!$A:$B,2,0)</f>
        <v xml:space="preserve">POLIANA LORRANE DE AMORIM </v>
      </c>
      <c r="I802" t="s">
        <v>244</v>
      </c>
      <c r="J802" t="s">
        <v>967</v>
      </c>
      <c r="K802" t="s">
        <v>968</v>
      </c>
      <c r="L802">
        <v>87043</v>
      </c>
      <c r="M802" t="s">
        <v>217</v>
      </c>
      <c r="O802" t="s">
        <v>11</v>
      </c>
      <c r="P802">
        <v>6102</v>
      </c>
      <c r="Q802">
        <v>64</v>
      </c>
      <c r="R802">
        <v>21.95</v>
      </c>
      <c r="S802" s="2">
        <v>1404.8</v>
      </c>
      <c r="T802" s="2">
        <v>1153.28</v>
      </c>
      <c r="U802">
        <v>17.899999999999999</v>
      </c>
      <c r="V802" t="str">
        <f>VLOOKUP(L802,'[2]tabela de preços'!$A:$D,4,0)</f>
        <v>ROBERLO</v>
      </c>
      <c r="W802" t="str">
        <f>VLOOKUP(L802,'[2]tabela de preços'!$A:$F,6,0)</f>
        <v>MASSA POLIÉSTER</v>
      </c>
      <c r="X802" t="str">
        <f>VLOOKUP(L802,'[2]tabela de preços'!$A:$G,7,0)</f>
        <v>AUTOMOTIVO</v>
      </c>
    </row>
    <row r="803" spans="1:24" x14ac:dyDescent="0.3">
      <c r="A803" t="s">
        <v>963</v>
      </c>
      <c r="B803" t="s">
        <v>964</v>
      </c>
      <c r="C803" t="s">
        <v>965</v>
      </c>
      <c r="D803" s="1">
        <v>46035</v>
      </c>
      <c r="E803" t="s">
        <v>966</v>
      </c>
      <c r="F803">
        <v>9</v>
      </c>
      <c r="G803">
        <v>197</v>
      </c>
      <c r="H803" t="str">
        <f>VLOOKUP(G803,[1]OPERADORES!$A:$B,2,0)</f>
        <v xml:space="preserve">POLIANA LORRANE DE AMORIM </v>
      </c>
      <c r="I803" t="s">
        <v>244</v>
      </c>
      <c r="J803" t="s">
        <v>967</v>
      </c>
      <c r="K803" t="s">
        <v>968</v>
      </c>
      <c r="L803">
        <v>85660</v>
      </c>
      <c r="M803" t="s">
        <v>971</v>
      </c>
      <c r="O803" t="s">
        <v>11</v>
      </c>
      <c r="P803">
        <v>6403</v>
      </c>
      <c r="Q803">
        <v>3</v>
      </c>
      <c r="R803">
        <v>13.89</v>
      </c>
      <c r="S803">
        <v>41.67</v>
      </c>
      <c r="T803">
        <v>33</v>
      </c>
      <c r="U803">
        <v>20.81</v>
      </c>
      <c r="V803" t="str">
        <f>VLOOKUP(L803,'[2]tabela de preços'!$A:$D,4,0)</f>
        <v>UNIPEGA</v>
      </c>
      <c r="W803" t="str">
        <f>VLOOKUP(L803,'[2]tabela de preços'!$A:$F,6,0)</f>
        <v xml:space="preserve">SPRAYS </v>
      </c>
      <c r="X803" t="str">
        <f>VLOOKUP(L803,'[2]tabela de preços'!$A:$G,7,0)</f>
        <v>AUTOMOTIVO</v>
      </c>
    </row>
    <row r="804" spans="1:24" x14ac:dyDescent="0.3">
      <c r="A804" t="s">
        <v>963</v>
      </c>
      <c r="B804" t="s">
        <v>964</v>
      </c>
      <c r="C804" t="s">
        <v>965</v>
      </c>
      <c r="D804" s="1">
        <v>46035</v>
      </c>
      <c r="E804" t="s">
        <v>966</v>
      </c>
      <c r="F804">
        <v>9</v>
      </c>
      <c r="G804">
        <v>197</v>
      </c>
      <c r="H804" t="str">
        <f>VLOOKUP(G804,[1]OPERADORES!$A:$B,2,0)</f>
        <v xml:space="preserve">POLIANA LORRANE DE AMORIM </v>
      </c>
      <c r="I804" t="s">
        <v>244</v>
      </c>
      <c r="J804" t="s">
        <v>967</v>
      </c>
      <c r="K804" t="s">
        <v>968</v>
      </c>
      <c r="L804">
        <v>85662</v>
      </c>
      <c r="M804" t="s">
        <v>972</v>
      </c>
      <c r="O804" t="s">
        <v>11</v>
      </c>
      <c r="P804">
        <v>6403</v>
      </c>
      <c r="Q804">
        <v>4</v>
      </c>
      <c r="R804">
        <v>13.89</v>
      </c>
      <c r="S804">
        <v>55.56</v>
      </c>
      <c r="T804">
        <v>44</v>
      </c>
      <c r="U804">
        <v>20.81</v>
      </c>
      <c r="V804" t="str">
        <f>VLOOKUP(L804,'[2]tabela de preços'!$A:$D,4,0)</f>
        <v>UNIPEGA</v>
      </c>
      <c r="W804" t="str">
        <f>VLOOKUP(L804,'[2]tabela de preços'!$A:$F,6,0)</f>
        <v xml:space="preserve">SPRAYS </v>
      </c>
      <c r="X804" t="str">
        <f>VLOOKUP(L804,'[2]tabela de preços'!$A:$G,7,0)</f>
        <v>AUTOMOTIVO</v>
      </c>
    </row>
    <row r="805" spans="1:24" x14ac:dyDescent="0.3">
      <c r="A805" t="s">
        <v>963</v>
      </c>
      <c r="B805" t="s">
        <v>964</v>
      </c>
      <c r="C805" t="s">
        <v>965</v>
      </c>
      <c r="D805" s="1">
        <v>46035</v>
      </c>
      <c r="E805" t="s">
        <v>966</v>
      </c>
      <c r="F805">
        <v>9</v>
      </c>
      <c r="G805">
        <v>197</v>
      </c>
      <c r="H805" t="str">
        <f>VLOOKUP(G805,[1]OPERADORES!$A:$B,2,0)</f>
        <v xml:space="preserve">POLIANA LORRANE DE AMORIM </v>
      </c>
      <c r="I805" t="s">
        <v>244</v>
      </c>
      <c r="J805" t="s">
        <v>967</v>
      </c>
      <c r="K805" t="s">
        <v>968</v>
      </c>
      <c r="L805">
        <v>85663</v>
      </c>
      <c r="M805" t="s">
        <v>973</v>
      </c>
      <c r="O805" t="s">
        <v>11</v>
      </c>
      <c r="P805">
        <v>6403</v>
      </c>
      <c r="Q805">
        <v>4</v>
      </c>
      <c r="R805">
        <v>13.89</v>
      </c>
      <c r="S805">
        <v>55.56</v>
      </c>
      <c r="T805">
        <v>44</v>
      </c>
      <c r="U805">
        <v>20.81</v>
      </c>
      <c r="V805" t="str">
        <f>VLOOKUP(L805,'[2]tabela de preços'!$A:$D,4,0)</f>
        <v>UNIPEGA</v>
      </c>
      <c r="W805" t="str">
        <f>VLOOKUP(L805,'[2]tabela de preços'!$A:$F,6,0)</f>
        <v xml:space="preserve">SPRAYS </v>
      </c>
      <c r="X805" t="str">
        <f>VLOOKUP(L805,'[2]tabela de preços'!$A:$G,7,0)</f>
        <v>AUTOMOTIVO</v>
      </c>
    </row>
    <row r="806" spans="1:24" x14ac:dyDescent="0.3">
      <c r="A806" t="s">
        <v>974</v>
      </c>
      <c r="C806" t="s">
        <v>988</v>
      </c>
      <c r="D806" s="1">
        <v>46035</v>
      </c>
      <c r="E806" t="s">
        <v>989</v>
      </c>
      <c r="F806">
        <v>9</v>
      </c>
      <c r="G806">
        <v>197</v>
      </c>
      <c r="H806" t="str">
        <f>VLOOKUP(G806,[1]OPERADORES!$A:$B,2,0)</f>
        <v xml:space="preserve">POLIANA LORRANE DE AMORIM </v>
      </c>
      <c r="I806" t="s">
        <v>21</v>
      </c>
      <c r="J806" t="s">
        <v>397</v>
      </c>
      <c r="K806" t="s">
        <v>977</v>
      </c>
      <c r="L806">
        <v>84084</v>
      </c>
      <c r="M806" t="s">
        <v>990</v>
      </c>
      <c r="O806" t="s">
        <v>11</v>
      </c>
      <c r="P806">
        <v>5403</v>
      </c>
      <c r="Q806">
        <v>34</v>
      </c>
      <c r="R806">
        <v>79.63</v>
      </c>
      <c r="S806" s="2">
        <v>2707.42</v>
      </c>
      <c r="T806" s="2">
        <v>1984.92</v>
      </c>
      <c r="U806">
        <v>26.69</v>
      </c>
      <c r="V806" t="str">
        <f>VLOOKUP(L806,'[2]tabela de preços'!$A:$D,4,0)</f>
        <v>BRASILUX</v>
      </c>
      <c r="W806" t="str">
        <f>VLOOKUP(L806,'[2]tabela de preços'!$A:$F,6,0)</f>
        <v>ESMALTES</v>
      </c>
      <c r="X806" t="str">
        <f>VLOOKUP(L806,'[2]tabela de preços'!$A:$G,7,0)</f>
        <v>INDUSTRIAL</v>
      </c>
    </row>
    <row r="807" spans="1:24" x14ac:dyDescent="0.3">
      <c r="A807" t="s">
        <v>974</v>
      </c>
      <c r="C807" t="s">
        <v>991</v>
      </c>
      <c r="D807" s="1">
        <v>46035</v>
      </c>
      <c r="E807" t="s">
        <v>992</v>
      </c>
      <c r="F807">
        <v>9</v>
      </c>
      <c r="G807">
        <v>197</v>
      </c>
      <c r="H807" t="str">
        <f>VLOOKUP(G807,[1]OPERADORES!$A:$B,2,0)</f>
        <v xml:space="preserve">POLIANA LORRANE DE AMORIM </v>
      </c>
      <c r="I807" t="s">
        <v>21</v>
      </c>
      <c r="J807" t="s">
        <v>397</v>
      </c>
      <c r="K807" t="s">
        <v>977</v>
      </c>
      <c r="L807">
        <v>84084</v>
      </c>
      <c r="M807" t="s">
        <v>990</v>
      </c>
      <c r="O807" t="s">
        <v>11</v>
      </c>
      <c r="P807">
        <v>5403</v>
      </c>
      <c r="Q807">
        <v>34</v>
      </c>
      <c r="R807">
        <v>79.63</v>
      </c>
      <c r="S807" s="2">
        <v>2707.42</v>
      </c>
      <c r="T807" s="2">
        <v>1984.92</v>
      </c>
      <c r="U807">
        <v>26.69</v>
      </c>
      <c r="V807" t="str">
        <f>VLOOKUP(L807,'[2]tabela de preços'!$A:$D,4,0)</f>
        <v>BRASILUX</v>
      </c>
      <c r="W807" t="str">
        <f>VLOOKUP(L807,'[2]tabela de preços'!$A:$F,6,0)</f>
        <v>ESMALTES</v>
      </c>
      <c r="X807" t="str">
        <f>VLOOKUP(L807,'[2]tabela de preços'!$A:$G,7,0)</f>
        <v>INDUSTRIAL</v>
      </c>
    </row>
    <row r="808" spans="1:24" x14ac:dyDescent="0.3">
      <c r="A808" t="s">
        <v>1020</v>
      </c>
      <c r="C808" t="s">
        <v>1027</v>
      </c>
      <c r="D808" s="1">
        <v>46035</v>
      </c>
      <c r="E808" t="s">
        <v>1028</v>
      </c>
      <c r="F808">
        <v>9</v>
      </c>
      <c r="G808">
        <v>174</v>
      </c>
      <c r="H808" t="str">
        <f>VLOOKUP(G808,[1]OPERADORES!$A:$B,2,0)</f>
        <v>MIRIÃ LOBATO RODRIGUES</v>
      </c>
      <c r="I808" t="s">
        <v>21</v>
      </c>
      <c r="J808" t="s">
        <v>550</v>
      </c>
      <c r="K808" t="s">
        <v>1023</v>
      </c>
      <c r="L808">
        <v>84334</v>
      </c>
      <c r="M808" t="s">
        <v>895</v>
      </c>
      <c r="O808" t="s">
        <v>11</v>
      </c>
      <c r="P808">
        <v>5403</v>
      </c>
      <c r="Q808">
        <v>1</v>
      </c>
      <c r="R808">
        <v>59.98</v>
      </c>
      <c r="S808">
        <v>59.98</v>
      </c>
      <c r="T808">
        <v>47.66</v>
      </c>
      <c r="U808">
        <v>20.54</v>
      </c>
      <c r="V808" t="str">
        <f>VLOOKUP(L808,'[2]tabela de preços'!$A:$D,4,0)</f>
        <v>BRASILUX</v>
      </c>
      <c r="W808" t="str">
        <f>VLOOKUP(L808,'[2]tabela de preços'!$A:$F,6,0)</f>
        <v>ESMALTES</v>
      </c>
      <c r="X808" t="str">
        <f>VLOOKUP(L808,'[2]tabela de preços'!$A:$G,7,0)</f>
        <v>INDUSTRIAL</v>
      </c>
    </row>
    <row r="809" spans="1:24" x14ac:dyDescent="0.3">
      <c r="A809" t="s">
        <v>1020</v>
      </c>
      <c r="C809" t="s">
        <v>1027</v>
      </c>
      <c r="D809" s="1">
        <v>46035</v>
      </c>
      <c r="E809" t="s">
        <v>1028</v>
      </c>
      <c r="F809">
        <v>9</v>
      </c>
      <c r="G809">
        <v>174</v>
      </c>
      <c r="H809" t="str">
        <f>VLOOKUP(G809,[1]OPERADORES!$A:$B,2,0)</f>
        <v>MIRIÃ LOBATO RODRIGUES</v>
      </c>
      <c r="I809" t="s">
        <v>21</v>
      </c>
      <c r="J809" t="s">
        <v>550</v>
      </c>
      <c r="K809" t="s">
        <v>1023</v>
      </c>
      <c r="L809">
        <v>85189</v>
      </c>
      <c r="M809" t="s">
        <v>197</v>
      </c>
      <c r="O809" t="s">
        <v>11</v>
      </c>
      <c r="P809">
        <v>5102</v>
      </c>
      <c r="Q809">
        <v>1</v>
      </c>
      <c r="R809">
        <v>177.9</v>
      </c>
      <c r="S809">
        <v>177.9</v>
      </c>
      <c r="T809">
        <v>138.15</v>
      </c>
      <c r="U809">
        <v>22.34</v>
      </c>
      <c r="V809" t="str">
        <f>VLOOKUP(L809,'[2]tabela de preços'!$A:$D,4,0)</f>
        <v>PDR</v>
      </c>
      <c r="W809" t="str">
        <f>VLOOKUP(L809,'[2]tabela de preços'!$A:$F,6,0)</f>
        <v>PISTOLAS</v>
      </c>
      <c r="X809" t="str">
        <f>VLOOKUP(L809,'[2]tabela de preços'!$A:$G,7,0)</f>
        <v>AUTOMOTIVO</v>
      </c>
    </row>
    <row r="810" spans="1:24" x14ac:dyDescent="0.3">
      <c r="A810" t="s">
        <v>1020</v>
      </c>
      <c r="C810" t="s">
        <v>1027</v>
      </c>
      <c r="D810" s="1">
        <v>46035</v>
      </c>
      <c r="E810" t="s">
        <v>1028</v>
      </c>
      <c r="F810">
        <v>9</v>
      </c>
      <c r="G810">
        <v>174</v>
      </c>
      <c r="H810" t="str">
        <f>VLOOKUP(G810,[1]OPERADORES!$A:$B,2,0)</f>
        <v>MIRIÃ LOBATO RODRIGUES</v>
      </c>
      <c r="I810" t="s">
        <v>21</v>
      </c>
      <c r="J810" t="s">
        <v>550</v>
      </c>
      <c r="K810" t="s">
        <v>1023</v>
      </c>
      <c r="L810">
        <v>10298</v>
      </c>
      <c r="M810" t="s">
        <v>85</v>
      </c>
      <c r="O810" t="s">
        <v>11</v>
      </c>
      <c r="P810">
        <v>5102</v>
      </c>
      <c r="Q810">
        <v>1</v>
      </c>
      <c r="R810">
        <v>56.89</v>
      </c>
      <c r="S810">
        <v>56.89</v>
      </c>
      <c r="T810">
        <v>47.38</v>
      </c>
      <c r="U810">
        <v>16.72</v>
      </c>
      <c r="V810" t="str">
        <f>VLOOKUP(L810,'[2]tabela de preços'!$A:$D,4,0)</f>
        <v>ANJO</v>
      </c>
      <c r="W810" t="str">
        <f>VLOOKUP(L810,'[2]tabela de preços'!$A:$F,6,0)</f>
        <v>THINNER DE LIMPEZA</v>
      </c>
      <c r="X810" t="str">
        <f>VLOOKUP(L810,'[2]tabela de preços'!$A:$G,7,0)</f>
        <v>THINNER</v>
      </c>
    </row>
    <row r="811" spans="1:24" x14ac:dyDescent="0.3">
      <c r="A811" t="s">
        <v>1064</v>
      </c>
      <c r="C811" t="s">
        <v>1065</v>
      </c>
      <c r="D811" s="1">
        <v>46035</v>
      </c>
      <c r="E811" t="s">
        <v>1066</v>
      </c>
      <c r="F811">
        <v>9</v>
      </c>
      <c r="G811">
        <v>231</v>
      </c>
      <c r="H811" t="str">
        <f>VLOOKUP(G811,[1]OPERADORES!$A:$B,2,0)</f>
        <v>EDIJANE</v>
      </c>
      <c r="I811" t="s">
        <v>21</v>
      </c>
      <c r="J811" t="s">
        <v>66</v>
      </c>
      <c r="K811" t="s">
        <v>1067</v>
      </c>
      <c r="L811">
        <v>24292</v>
      </c>
      <c r="M811" t="s">
        <v>1068</v>
      </c>
      <c r="O811" t="s">
        <v>11</v>
      </c>
      <c r="P811">
        <v>5102</v>
      </c>
      <c r="Q811">
        <v>3</v>
      </c>
      <c r="R811">
        <v>41.3</v>
      </c>
      <c r="S811">
        <v>123.9</v>
      </c>
      <c r="T811">
        <v>94.05</v>
      </c>
      <c r="U811">
        <v>24.09</v>
      </c>
      <c r="V811" t="str">
        <f>VLOOKUP(L811,'[2]tabela de preços'!$A:$D,4,0)</f>
        <v>VONIXX</v>
      </c>
      <c r="W811" t="str">
        <f>VLOOKUP(L811,'[2]tabela de preços'!$A:$F,6,0)</f>
        <v>LINHA DE HIGENIZAÇÃO E ESTÉTICA  AUTOMOTIVA</v>
      </c>
      <c r="X811" t="str">
        <f>VLOOKUP(L811,'[2]tabela de preços'!$A:$G,7,0)</f>
        <v>AUTOMOTIVO</v>
      </c>
    </row>
    <row r="812" spans="1:24" x14ac:dyDescent="0.3">
      <c r="A812" t="s">
        <v>1064</v>
      </c>
      <c r="C812" t="s">
        <v>1065</v>
      </c>
      <c r="D812" s="1">
        <v>46035</v>
      </c>
      <c r="E812" t="s">
        <v>1066</v>
      </c>
      <c r="F812">
        <v>9</v>
      </c>
      <c r="G812">
        <v>231</v>
      </c>
      <c r="H812" t="str">
        <f>VLOOKUP(G812,[1]OPERADORES!$A:$B,2,0)</f>
        <v>EDIJANE</v>
      </c>
      <c r="I812" t="s">
        <v>21</v>
      </c>
      <c r="J812" t="s">
        <v>66</v>
      </c>
      <c r="K812" t="s">
        <v>1067</v>
      </c>
      <c r="L812">
        <v>20814</v>
      </c>
      <c r="M812" t="s">
        <v>445</v>
      </c>
      <c r="O812" t="s">
        <v>11</v>
      </c>
      <c r="P812">
        <v>5102</v>
      </c>
      <c r="Q812">
        <v>5</v>
      </c>
      <c r="R812">
        <v>7.81</v>
      </c>
      <c r="S812">
        <v>39.049999999999997</v>
      </c>
      <c r="T812">
        <v>29.65</v>
      </c>
      <c r="U812">
        <v>24.07</v>
      </c>
      <c r="V812" t="str">
        <f>VLOOKUP(L812,'[2]tabela de preços'!$A:$D,4,0)</f>
        <v>AUTO AMERICA</v>
      </c>
      <c r="W812" t="str">
        <f>VLOOKUP(L812,'[2]tabela de preços'!$A:$F,6,0)</f>
        <v>APLICADORES / ADAPTADORES / ENGATES / SUPORTES</v>
      </c>
      <c r="X812" t="str">
        <f>VLOOKUP(L812,'[2]tabela de preços'!$A:$G,7,0)</f>
        <v>AUTOMOTIVO</v>
      </c>
    </row>
    <row r="813" spans="1:24" x14ac:dyDescent="0.3">
      <c r="A813" t="s">
        <v>1064</v>
      </c>
      <c r="C813" t="s">
        <v>1065</v>
      </c>
      <c r="D813" s="1">
        <v>46035</v>
      </c>
      <c r="E813" t="s">
        <v>1066</v>
      </c>
      <c r="F813">
        <v>9</v>
      </c>
      <c r="G813">
        <v>231</v>
      </c>
      <c r="H813" t="str">
        <f>VLOOKUP(G813,[1]OPERADORES!$A:$B,2,0)</f>
        <v>EDIJANE</v>
      </c>
      <c r="I813" t="s">
        <v>21</v>
      </c>
      <c r="J813" t="s">
        <v>66</v>
      </c>
      <c r="K813" t="s">
        <v>1067</v>
      </c>
      <c r="L813">
        <v>86965</v>
      </c>
      <c r="M813" t="s">
        <v>1069</v>
      </c>
      <c r="O813" t="s">
        <v>11</v>
      </c>
      <c r="P813">
        <v>5102</v>
      </c>
      <c r="Q813">
        <v>2</v>
      </c>
      <c r="R813">
        <v>38.869999999999997</v>
      </c>
      <c r="S813">
        <v>77.739999999999995</v>
      </c>
      <c r="T813">
        <v>59</v>
      </c>
      <c r="U813">
        <v>24.11</v>
      </c>
      <c r="V813" t="str">
        <f>VLOOKUP(L813,'[2]tabela de preços'!$A:$D,4,0)</f>
        <v>VONIXX</v>
      </c>
      <c r="W813" t="str">
        <f>VLOOKUP(L813,'[2]tabela de preços'!$A:$F,6,0)</f>
        <v>LINHA DE HIGENIZAÇÃO E ESTÉTICA  AUTOMOTIVA</v>
      </c>
      <c r="X813" t="str">
        <f>VLOOKUP(L813,'[2]tabela de preços'!$A:$G,7,0)</f>
        <v>AUTOMOTIVO</v>
      </c>
    </row>
    <row r="814" spans="1:24" x14ac:dyDescent="0.3">
      <c r="A814" t="s">
        <v>1064</v>
      </c>
      <c r="C814" t="s">
        <v>1065</v>
      </c>
      <c r="D814" s="1">
        <v>46035</v>
      </c>
      <c r="E814" t="s">
        <v>1066</v>
      </c>
      <c r="F814">
        <v>9</v>
      </c>
      <c r="G814">
        <v>231</v>
      </c>
      <c r="H814" t="str">
        <f>VLOOKUP(G814,[1]OPERADORES!$A:$B,2,0)</f>
        <v>EDIJANE</v>
      </c>
      <c r="I814" t="s">
        <v>21</v>
      </c>
      <c r="J814" t="s">
        <v>66</v>
      </c>
      <c r="K814" t="s">
        <v>1067</v>
      </c>
      <c r="L814">
        <v>23444</v>
      </c>
      <c r="M814" t="s">
        <v>1070</v>
      </c>
      <c r="O814" t="s">
        <v>11</v>
      </c>
      <c r="P814">
        <v>5102</v>
      </c>
      <c r="Q814">
        <v>3</v>
      </c>
      <c r="R814">
        <v>32.200000000000003</v>
      </c>
      <c r="S814">
        <v>96.6</v>
      </c>
      <c r="T814">
        <v>73.319999999999993</v>
      </c>
      <c r="U814">
        <v>24.1</v>
      </c>
      <c r="V814" t="str">
        <f>VLOOKUP(L814,'[2]tabela de preços'!$A:$D,4,0)</f>
        <v>VONIXX</v>
      </c>
      <c r="W814" t="str">
        <f>VLOOKUP(L814,'[2]tabela de preços'!$A:$F,6,0)</f>
        <v>LINHA DE HIGENIZAÇÃO E ESTÉTICA  AUTOMOTIVA</v>
      </c>
      <c r="X814" t="str">
        <f>VLOOKUP(L814,'[2]tabela de preços'!$A:$G,7,0)</f>
        <v>AUTOMOTIVO</v>
      </c>
    </row>
    <row r="815" spans="1:24" x14ac:dyDescent="0.3">
      <c r="A815" t="s">
        <v>1064</v>
      </c>
      <c r="C815" t="s">
        <v>1065</v>
      </c>
      <c r="D815" s="1">
        <v>46035</v>
      </c>
      <c r="E815" t="s">
        <v>1066</v>
      </c>
      <c r="F815">
        <v>9</v>
      </c>
      <c r="G815">
        <v>231</v>
      </c>
      <c r="H815" t="str">
        <f>VLOOKUP(G815,[1]OPERADORES!$A:$B,2,0)</f>
        <v>EDIJANE</v>
      </c>
      <c r="I815" t="s">
        <v>21</v>
      </c>
      <c r="J815" t="s">
        <v>66</v>
      </c>
      <c r="K815" t="s">
        <v>1067</v>
      </c>
      <c r="L815">
        <v>23443</v>
      </c>
      <c r="M815" t="s">
        <v>1071</v>
      </c>
      <c r="O815" t="s">
        <v>11</v>
      </c>
      <c r="P815">
        <v>5102</v>
      </c>
      <c r="Q815">
        <v>2</v>
      </c>
      <c r="R815">
        <v>20.6</v>
      </c>
      <c r="S815">
        <v>41.2</v>
      </c>
      <c r="T815">
        <v>31.28</v>
      </c>
      <c r="U815">
        <v>24.08</v>
      </c>
      <c r="V815" t="str">
        <f>VLOOKUP(L815,'[2]tabela de preços'!$A:$D,4,0)</f>
        <v>VONIXX</v>
      </c>
      <c r="W815" t="str">
        <f>VLOOKUP(L815,'[2]tabela de preços'!$A:$F,6,0)</f>
        <v>LINHA DE HIGENIZAÇÃO E ESTÉTICA  AUTOMOTIVA</v>
      </c>
      <c r="X815" t="str">
        <f>VLOOKUP(L815,'[2]tabela de preços'!$A:$G,7,0)</f>
        <v>AUTOMOTIVO</v>
      </c>
    </row>
    <row r="816" spans="1:24" x14ac:dyDescent="0.3">
      <c r="A816" t="s">
        <v>1064</v>
      </c>
      <c r="C816" t="s">
        <v>1065</v>
      </c>
      <c r="D816" s="1">
        <v>46035</v>
      </c>
      <c r="E816" t="s">
        <v>1066</v>
      </c>
      <c r="F816">
        <v>9</v>
      </c>
      <c r="G816">
        <v>231</v>
      </c>
      <c r="H816" t="str">
        <f>VLOOKUP(G816,[1]OPERADORES!$A:$B,2,0)</f>
        <v>EDIJANE</v>
      </c>
      <c r="I816" t="s">
        <v>21</v>
      </c>
      <c r="J816" t="s">
        <v>66</v>
      </c>
      <c r="K816" t="s">
        <v>1067</v>
      </c>
      <c r="L816">
        <v>24296</v>
      </c>
      <c r="M816" t="s">
        <v>446</v>
      </c>
      <c r="O816" t="s">
        <v>11</v>
      </c>
      <c r="P816">
        <v>5102</v>
      </c>
      <c r="Q816">
        <v>3</v>
      </c>
      <c r="R816">
        <v>29.71</v>
      </c>
      <c r="S816">
        <v>89.13</v>
      </c>
      <c r="T816">
        <v>67.650000000000006</v>
      </c>
      <c r="U816">
        <v>24.1</v>
      </c>
      <c r="V816" t="str">
        <f>VLOOKUP(L816,'[2]tabela de preços'!$A:$D,4,0)</f>
        <v>VONIXX</v>
      </c>
      <c r="W816" t="str">
        <f>VLOOKUP(L816,'[2]tabela de preços'!$A:$F,6,0)</f>
        <v>LINHA DE HIGENIZAÇÃO E ESTÉTICA  AUTOMOTIVA</v>
      </c>
      <c r="X816" t="str">
        <f>VLOOKUP(L816,'[2]tabela de preços'!$A:$G,7,0)</f>
        <v>AUTOMOTIVO</v>
      </c>
    </row>
    <row r="817" spans="1:24" x14ac:dyDescent="0.3">
      <c r="A817" t="s">
        <v>1064</v>
      </c>
      <c r="C817" t="s">
        <v>1065</v>
      </c>
      <c r="D817" s="1">
        <v>46035</v>
      </c>
      <c r="E817" t="s">
        <v>1066</v>
      </c>
      <c r="F817">
        <v>9</v>
      </c>
      <c r="G817">
        <v>231</v>
      </c>
      <c r="H817" t="str">
        <f>VLOOKUP(G817,[1]OPERADORES!$A:$B,2,0)</f>
        <v>EDIJANE</v>
      </c>
      <c r="I817" t="s">
        <v>21</v>
      </c>
      <c r="J817" t="s">
        <v>66</v>
      </c>
      <c r="K817" t="s">
        <v>1067</v>
      </c>
      <c r="L817">
        <v>85209</v>
      </c>
      <c r="M817" t="s">
        <v>1072</v>
      </c>
      <c r="O817" t="s">
        <v>11</v>
      </c>
      <c r="P817">
        <v>5102</v>
      </c>
      <c r="Q817">
        <v>1</v>
      </c>
      <c r="R817">
        <v>20.6</v>
      </c>
      <c r="S817">
        <v>20.6</v>
      </c>
      <c r="T817">
        <v>15.64</v>
      </c>
      <c r="U817">
        <v>24.08</v>
      </c>
      <c r="V817" t="str">
        <f>VLOOKUP(L817,'[2]tabela de preços'!$A:$D,4,0)</f>
        <v>VONIXX</v>
      </c>
      <c r="W817" t="str">
        <f>VLOOKUP(L817,'[2]tabela de preços'!$A:$F,6,0)</f>
        <v>LINHA DE HIGENIZAÇÃO E ESTÉTICA  AUTOMOTIVA</v>
      </c>
      <c r="X817" t="str">
        <f>VLOOKUP(L817,'[2]tabela de preços'!$A:$G,7,0)</f>
        <v>AUTOMOTIVO</v>
      </c>
    </row>
    <row r="818" spans="1:24" x14ac:dyDescent="0.3">
      <c r="A818" t="s">
        <v>1064</v>
      </c>
      <c r="C818" t="s">
        <v>1065</v>
      </c>
      <c r="D818" s="1">
        <v>46035</v>
      </c>
      <c r="E818" t="s">
        <v>1066</v>
      </c>
      <c r="F818">
        <v>9</v>
      </c>
      <c r="G818">
        <v>231</v>
      </c>
      <c r="H818" t="str">
        <f>VLOOKUP(G818,[1]OPERADORES!$A:$B,2,0)</f>
        <v>EDIJANE</v>
      </c>
      <c r="I818" t="s">
        <v>21</v>
      </c>
      <c r="J818" t="s">
        <v>66</v>
      </c>
      <c r="K818" t="s">
        <v>1067</v>
      </c>
      <c r="L818">
        <v>23449</v>
      </c>
      <c r="M818" t="s">
        <v>1073</v>
      </c>
      <c r="O818" t="s">
        <v>11</v>
      </c>
      <c r="P818">
        <v>5102</v>
      </c>
      <c r="Q818">
        <v>4</v>
      </c>
      <c r="R818">
        <v>47.1</v>
      </c>
      <c r="S818">
        <v>188.4</v>
      </c>
      <c r="T818">
        <v>143</v>
      </c>
      <c r="U818">
        <v>24.1</v>
      </c>
      <c r="V818" t="str">
        <f>VLOOKUP(L818,'[2]tabela de preços'!$A:$D,4,0)</f>
        <v>VONIXX</v>
      </c>
      <c r="W818" t="str">
        <f>VLOOKUP(L818,'[2]tabela de preços'!$A:$F,6,0)</f>
        <v>LINHA DE HIGENIZAÇÃO E ESTÉTICA  AUTOMOTIVA</v>
      </c>
      <c r="X818" t="str">
        <f>VLOOKUP(L818,'[2]tabela de preços'!$A:$G,7,0)</f>
        <v>AUTOMOTIVO</v>
      </c>
    </row>
    <row r="819" spans="1:24" x14ac:dyDescent="0.3">
      <c r="A819" t="s">
        <v>1064</v>
      </c>
      <c r="C819" t="s">
        <v>1065</v>
      </c>
      <c r="D819" s="1">
        <v>46035</v>
      </c>
      <c r="E819" t="s">
        <v>1066</v>
      </c>
      <c r="F819">
        <v>9</v>
      </c>
      <c r="G819">
        <v>231</v>
      </c>
      <c r="H819" t="str">
        <f>VLOOKUP(G819,[1]OPERADORES!$A:$B,2,0)</f>
        <v>EDIJANE</v>
      </c>
      <c r="I819" t="s">
        <v>21</v>
      </c>
      <c r="J819" t="s">
        <v>66</v>
      </c>
      <c r="K819" t="s">
        <v>1067</v>
      </c>
      <c r="L819">
        <v>24266</v>
      </c>
      <c r="M819" t="s">
        <v>1074</v>
      </c>
      <c r="O819" t="s">
        <v>11</v>
      </c>
      <c r="P819">
        <v>5102</v>
      </c>
      <c r="Q819">
        <v>1</v>
      </c>
      <c r="R819">
        <v>53.71</v>
      </c>
      <c r="S819">
        <v>53.71</v>
      </c>
      <c r="T819">
        <v>40.770000000000003</v>
      </c>
      <c r="U819">
        <v>24.09</v>
      </c>
      <c r="V819" t="str">
        <f>VLOOKUP(L819,'[2]tabela de preços'!$A:$D,4,0)</f>
        <v>VONIXX</v>
      </c>
      <c r="W819" t="str">
        <f>VLOOKUP(L819,'[2]tabela de preços'!$A:$F,6,0)</f>
        <v>LINHA DE HIGENIZAÇÃO E ESTÉTICA  AUTOMOTIVA</v>
      </c>
      <c r="X819" t="str">
        <f>VLOOKUP(L819,'[2]tabela de preços'!$A:$G,7,0)</f>
        <v>AUTOMOTIVO</v>
      </c>
    </row>
    <row r="820" spans="1:24" x14ac:dyDescent="0.3">
      <c r="A820" t="s">
        <v>1064</v>
      </c>
      <c r="C820" t="s">
        <v>1065</v>
      </c>
      <c r="D820" s="1">
        <v>46035</v>
      </c>
      <c r="E820" t="s">
        <v>1066</v>
      </c>
      <c r="F820">
        <v>9</v>
      </c>
      <c r="G820">
        <v>231</v>
      </c>
      <c r="H820" t="str">
        <f>VLOOKUP(G820,[1]OPERADORES!$A:$B,2,0)</f>
        <v>EDIJANE</v>
      </c>
      <c r="I820" t="s">
        <v>21</v>
      </c>
      <c r="J820" t="s">
        <v>66</v>
      </c>
      <c r="K820" t="s">
        <v>1067</v>
      </c>
      <c r="L820">
        <v>24299</v>
      </c>
      <c r="M820" t="s">
        <v>1075</v>
      </c>
      <c r="O820" t="s">
        <v>11</v>
      </c>
      <c r="P820">
        <v>5102</v>
      </c>
      <c r="Q820">
        <v>1</v>
      </c>
      <c r="R820">
        <v>52.9</v>
      </c>
      <c r="S820">
        <v>52.9</v>
      </c>
      <c r="T820">
        <v>40.15</v>
      </c>
      <c r="U820">
        <v>24.1</v>
      </c>
      <c r="V820" t="str">
        <f>VLOOKUP(L820,'[2]tabela de preços'!$A:$D,4,0)</f>
        <v>VONIXX</v>
      </c>
      <c r="W820" t="str">
        <f>VLOOKUP(L820,'[2]tabela de preços'!$A:$F,6,0)</f>
        <v>LINHA DE HIGENIZAÇÃO E ESTÉTICA  AUTOMOTIVA</v>
      </c>
      <c r="X820" t="str">
        <f>VLOOKUP(L820,'[2]tabela de preços'!$A:$G,7,0)</f>
        <v>AUTOMOTIVO</v>
      </c>
    </row>
    <row r="821" spans="1:24" x14ac:dyDescent="0.3">
      <c r="A821" t="s">
        <v>1064</v>
      </c>
      <c r="C821" t="s">
        <v>1065</v>
      </c>
      <c r="D821" s="1">
        <v>46035</v>
      </c>
      <c r="E821" t="s">
        <v>1066</v>
      </c>
      <c r="F821">
        <v>9</v>
      </c>
      <c r="G821">
        <v>231</v>
      </c>
      <c r="H821" t="str">
        <f>VLOOKUP(G821,[1]OPERADORES!$A:$B,2,0)</f>
        <v>EDIJANE</v>
      </c>
      <c r="I821" t="s">
        <v>21</v>
      </c>
      <c r="J821" t="s">
        <v>66</v>
      </c>
      <c r="K821" t="s">
        <v>1067</v>
      </c>
      <c r="L821">
        <v>83872</v>
      </c>
      <c r="M821" t="s">
        <v>1076</v>
      </c>
      <c r="O821" t="s">
        <v>11</v>
      </c>
      <c r="P821">
        <v>5102</v>
      </c>
      <c r="Q821">
        <v>2</v>
      </c>
      <c r="R821">
        <v>22.26</v>
      </c>
      <c r="S821">
        <v>44.52</v>
      </c>
      <c r="T821">
        <v>33.799999999999997</v>
      </c>
      <c r="U821">
        <v>24.08</v>
      </c>
      <c r="V821" t="str">
        <f>VLOOKUP(L821,'[2]tabela de preços'!$A:$D,4,0)</f>
        <v>VONIXX</v>
      </c>
      <c r="W821" t="str">
        <f>VLOOKUP(L821,'[2]tabela de preços'!$A:$F,6,0)</f>
        <v>LINHA DE HIGENIZAÇÃO E ESTÉTICA  AUTOMOTIVA</v>
      </c>
      <c r="X821" t="str">
        <f>VLOOKUP(L821,'[2]tabela de preços'!$A:$G,7,0)</f>
        <v>AUTOMOTIVO</v>
      </c>
    </row>
    <row r="822" spans="1:24" x14ac:dyDescent="0.3">
      <c r="A822" t="s">
        <v>1064</v>
      </c>
      <c r="C822" t="s">
        <v>1065</v>
      </c>
      <c r="D822" s="1">
        <v>46035</v>
      </c>
      <c r="E822" t="s">
        <v>1066</v>
      </c>
      <c r="F822">
        <v>9</v>
      </c>
      <c r="G822">
        <v>231</v>
      </c>
      <c r="H822" t="str">
        <f>VLOOKUP(G822,[1]OPERADORES!$A:$B,2,0)</f>
        <v>EDIJANE</v>
      </c>
      <c r="I822" t="s">
        <v>21</v>
      </c>
      <c r="J822" t="s">
        <v>66</v>
      </c>
      <c r="K822" t="s">
        <v>1067</v>
      </c>
      <c r="L822">
        <v>24267</v>
      </c>
      <c r="M822" t="s">
        <v>442</v>
      </c>
      <c r="O822" t="s">
        <v>11</v>
      </c>
      <c r="P822">
        <v>5102</v>
      </c>
      <c r="Q822">
        <v>4</v>
      </c>
      <c r="R822">
        <v>30.54</v>
      </c>
      <c r="S822">
        <v>122.16</v>
      </c>
      <c r="T822">
        <v>92.72</v>
      </c>
      <c r="U822">
        <v>24.1</v>
      </c>
      <c r="V822" t="str">
        <f>VLOOKUP(L822,'[2]tabela de preços'!$A:$D,4,0)</f>
        <v>VONIXX</v>
      </c>
      <c r="W822" t="str">
        <f>VLOOKUP(L822,'[2]tabela de preços'!$A:$F,6,0)</f>
        <v>LINHA DE HIGENIZAÇÃO E ESTÉTICA  AUTOMOTIVA</v>
      </c>
      <c r="X822" t="str">
        <f>VLOOKUP(L822,'[2]tabela de preços'!$A:$G,7,0)</f>
        <v>AUTOMOTIVO</v>
      </c>
    </row>
    <row r="823" spans="1:24" x14ac:dyDescent="0.3">
      <c r="A823" t="s">
        <v>1064</v>
      </c>
      <c r="C823" t="s">
        <v>1065</v>
      </c>
      <c r="D823" s="1">
        <v>46035</v>
      </c>
      <c r="E823" t="s">
        <v>1066</v>
      </c>
      <c r="F823">
        <v>9</v>
      </c>
      <c r="G823">
        <v>231</v>
      </c>
      <c r="H823" t="str">
        <f>VLOOKUP(G823,[1]OPERADORES!$A:$B,2,0)</f>
        <v>EDIJANE</v>
      </c>
      <c r="I823" t="s">
        <v>21</v>
      </c>
      <c r="J823" t="s">
        <v>66</v>
      </c>
      <c r="K823" t="s">
        <v>1067</v>
      </c>
      <c r="L823">
        <v>23447</v>
      </c>
      <c r="M823" t="s">
        <v>1077</v>
      </c>
      <c r="O823" t="s">
        <v>11</v>
      </c>
      <c r="P823">
        <v>5102</v>
      </c>
      <c r="Q823">
        <v>1</v>
      </c>
      <c r="R823">
        <v>40.49</v>
      </c>
      <c r="S823">
        <v>40.49</v>
      </c>
      <c r="T823">
        <v>30.73</v>
      </c>
      <c r="U823">
        <v>24.1</v>
      </c>
      <c r="V823" t="str">
        <f>VLOOKUP(L823,'[2]tabela de preços'!$A:$D,4,0)</f>
        <v>VONIXX</v>
      </c>
      <c r="W823" t="str">
        <f>VLOOKUP(L823,'[2]tabela de preços'!$A:$F,6,0)</f>
        <v>LINHA DE HIGENIZAÇÃO E ESTÉTICA  AUTOMOTIVA</v>
      </c>
      <c r="X823" t="str">
        <f>VLOOKUP(L823,'[2]tabela de preços'!$A:$G,7,0)</f>
        <v>AUTOMOTIVO</v>
      </c>
    </row>
    <row r="824" spans="1:24" x14ac:dyDescent="0.3">
      <c r="A824" t="s">
        <v>1064</v>
      </c>
      <c r="C824" t="s">
        <v>1065</v>
      </c>
      <c r="D824" s="1">
        <v>46035</v>
      </c>
      <c r="E824" t="s">
        <v>1066</v>
      </c>
      <c r="F824">
        <v>9</v>
      </c>
      <c r="G824">
        <v>231</v>
      </c>
      <c r="H824" t="str">
        <f>VLOOKUP(G824,[1]OPERADORES!$A:$B,2,0)</f>
        <v>EDIJANE</v>
      </c>
      <c r="I824" t="s">
        <v>21</v>
      </c>
      <c r="J824" t="s">
        <v>66</v>
      </c>
      <c r="K824" t="s">
        <v>1067</v>
      </c>
      <c r="L824">
        <v>86962</v>
      </c>
      <c r="M824" t="s">
        <v>1078</v>
      </c>
      <c r="O824" t="s">
        <v>11</v>
      </c>
      <c r="P824">
        <v>5102</v>
      </c>
      <c r="Q824">
        <v>2</v>
      </c>
      <c r="R824">
        <v>39.659999999999997</v>
      </c>
      <c r="S824">
        <v>79.319999999999993</v>
      </c>
      <c r="T824">
        <v>60.2</v>
      </c>
      <c r="U824">
        <v>24.1</v>
      </c>
      <c r="V824" t="str">
        <f>VLOOKUP(L824,'[2]tabela de preços'!$A:$D,4,0)</f>
        <v>VONIXX</v>
      </c>
      <c r="W824" t="str">
        <f>VLOOKUP(L824,'[2]tabela de preços'!$A:$F,6,0)</f>
        <v>LINHA DE HIGENIZAÇÃO E ESTÉTICA  AUTOMOTIVA</v>
      </c>
      <c r="X824" t="str">
        <f>VLOOKUP(L824,'[2]tabela de preços'!$A:$G,7,0)</f>
        <v>AUTOMOTIVO</v>
      </c>
    </row>
    <row r="825" spans="1:24" x14ac:dyDescent="0.3">
      <c r="A825" t="s">
        <v>1064</v>
      </c>
      <c r="C825" t="s">
        <v>1065</v>
      </c>
      <c r="D825" s="1">
        <v>46035</v>
      </c>
      <c r="E825" t="s">
        <v>1066</v>
      </c>
      <c r="F825">
        <v>9</v>
      </c>
      <c r="G825">
        <v>231</v>
      </c>
      <c r="H825" t="str">
        <f>VLOOKUP(G825,[1]OPERADORES!$A:$B,2,0)</f>
        <v>EDIJANE</v>
      </c>
      <c r="I825" t="s">
        <v>21</v>
      </c>
      <c r="J825" t="s">
        <v>66</v>
      </c>
      <c r="K825" t="s">
        <v>1067</v>
      </c>
      <c r="L825">
        <v>85211</v>
      </c>
      <c r="M825" t="s">
        <v>1079</v>
      </c>
      <c r="O825" t="s">
        <v>11</v>
      </c>
      <c r="P825">
        <v>5102</v>
      </c>
      <c r="Q825">
        <v>2</v>
      </c>
      <c r="R825">
        <v>23.09</v>
      </c>
      <c r="S825">
        <v>46.18</v>
      </c>
      <c r="T825">
        <v>35.06</v>
      </c>
      <c r="U825">
        <v>24.08</v>
      </c>
      <c r="V825" t="str">
        <f>VLOOKUP(L825,'[2]tabela de preços'!$A:$D,4,0)</f>
        <v>VONIXX</v>
      </c>
      <c r="W825" t="str">
        <f>VLOOKUP(L825,'[2]tabela de preços'!$A:$F,6,0)</f>
        <v>LINHA DE HIGENIZAÇÃO E ESTÉTICA  AUTOMOTIVA</v>
      </c>
      <c r="X825" t="str">
        <f>VLOOKUP(L825,'[2]tabela de preços'!$A:$G,7,0)</f>
        <v>AUTOMOTIVO</v>
      </c>
    </row>
    <row r="826" spans="1:24" x14ac:dyDescent="0.3">
      <c r="A826" t="s">
        <v>1170</v>
      </c>
      <c r="C826" t="s">
        <v>1175</v>
      </c>
      <c r="D826" s="1">
        <v>46035</v>
      </c>
      <c r="E826" t="s">
        <v>1176</v>
      </c>
      <c r="F826">
        <v>9</v>
      </c>
      <c r="G826">
        <v>174</v>
      </c>
      <c r="H826" t="str">
        <f>VLOOKUP(G826,[1]OPERADORES!$A:$B,2,0)</f>
        <v>MIRIÃ LOBATO RODRIGUES</v>
      </c>
      <c r="I826" t="s">
        <v>21</v>
      </c>
      <c r="J826" t="s">
        <v>1173</v>
      </c>
      <c r="K826" t="s">
        <v>1174</v>
      </c>
      <c r="L826">
        <v>23076</v>
      </c>
      <c r="M826" t="s">
        <v>97</v>
      </c>
      <c r="O826" t="s">
        <v>11</v>
      </c>
      <c r="P826">
        <v>5403</v>
      </c>
      <c r="Q826">
        <v>18</v>
      </c>
      <c r="R826">
        <v>34.89</v>
      </c>
      <c r="S826">
        <v>628.02</v>
      </c>
      <c r="T826">
        <v>477.54</v>
      </c>
      <c r="U826">
        <v>23.96</v>
      </c>
      <c r="V826" t="str">
        <f>VLOOKUP(L826,'[2]tabela de preços'!$A:$D,4,0)</f>
        <v>WANDA</v>
      </c>
      <c r="W826" t="str">
        <f>VLOOKUP(L826,'[2]tabela de preços'!$A:$F,6,0)</f>
        <v>PRIMER AUTOMOTIVO</v>
      </c>
      <c r="X826" t="str">
        <f>VLOOKUP(L826,'[2]tabela de preços'!$A:$G,7,0)</f>
        <v>AUTOMOTIVO</v>
      </c>
    </row>
    <row r="827" spans="1:24" x14ac:dyDescent="0.3">
      <c r="A827" t="s">
        <v>1170</v>
      </c>
      <c r="C827" t="s">
        <v>1175</v>
      </c>
      <c r="D827" s="1">
        <v>46035</v>
      </c>
      <c r="E827" t="s">
        <v>1176</v>
      </c>
      <c r="F827">
        <v>9</v>
      </c>
      <c r="G827">
        <v>174</v>
      </c>
      <c r="H827" t="str">
        <f>VLOOKUP(G827,[1]OPERADORES!$A:$B,2,0)</f>
        <v>MIRIÃ LOBATO RODRIGUES</v>
      </c>
      <c r="I827" t="s">
        <v>21</v>
      </c>
      <c r="J827" t="s">
        <v>1173</v>
      </c>
      <c r="K827" t="s">
        <v>1174</v>
      </c>
      <c r="L827">
        <v>21067</v>
      </c>
      <c r="M827" t="s">
        <v>640</v>
      </c>
      <c r="O827" t="s">
        <v>11</v>
      </c>
      <c r="P827">
        <v>5102</v>
      </c>
      <c r="Q827">
        <v>12</v>
      </c>
      <c r="R827">
        <v>37.58</v>
      </c>
      <c r="S827">
        <v>450.96</v>
      </c>
      <c r="T827">
        <v>342.24</v>
      </c>
      <c r="U827">
        <v>24.11</v>
      </c>
      <c r="V827" t="str">
        <f>VLOOKUP(L827,'[2]tabela de preços'!$A:$D,4,0)</f>
        <v>SIKKENS</v>
      </c>
      <c r="W827" t="str">
        <f>VLOOKUP(L827,'[2]tabela de preços'!$A:$F,6,0)</f>
        <v>DILUENTE</v>
      </c>
      <c r="X827" t="str">
        <f>VLOOKUP(L827,'[2]tabela de preços'!$A:$G,7,0)</f>
        <v>AUTOMOTIVO</v>
      </c>
    </row>
    <row r="828" spans="1:24" x14ac:dyDescent="0.3">
      <c r="A828" t="s">
        <v>1199</v>
      </c>
      <c r="C828" t="s">
        <v>1209</v>
      </c>
      <c r="D828" s="1">
        <v>46035</v>
      </c>
      <c r="E828" t="s">
        <v>1210</v>
      </c>
      <c r="F828">
        <v>9</v>
      </c>
      <c r="G828">
        <v>174</v>
      </c>
      <c r="H828" t="str">
        <f>VLOOKUP(G828,[1]OPERADORES!$A:$B,2,0)</f>
        <v>MIRIÃ LOBATO RODRIGUES</v>
      </c>
      <c r="I828" t="s">
        <v>21</v>
      </c>
      <c r="J828" t="s">
        <v>1128</v>
      </c>
      <c r="K828" t="s">
        <v>1202</v>
      </c>
      <c r="L828">
        <v>10022</v>
      </c>
      <c r="M828" t="s">
        <v>1211</v>
      </c>
      <c r="O828" t="s">
        <v>11</v>
      </c>
      <c r="P828">
        <v>5102</v>
      </c>
      <c r="Q828">
        <v>100</v>
      </c>
      <c r="R828">
        <v>1.98</v>
      </c>
      <c r="S828">
        <v>198</v>
      </c>
      <c r="T828">
        <v>128</v>
      </c>
      <c r="U828">
        <v>35.35</v>
      </c>
      <c r="V828" t="str">
        <f>VLOOKUP(L828,'[2]tabela de preços'!$A:$D,4,0)</f>
        <v>3M</v>
      </c>
      <c r="W828" t="str">
        <f>VLOOKUP(L828,'[2]tabela de preços'!$A:$F,6,0)</f>
        <v xml:space="preserve">DISCOS / LIXAS / ABRASIVOS </v>
      </c>
      <c r="X828" t="str">
        <f>VLOOKUP(L828,'[2]tabela de preços'!$A:$G,7,0)</f>
        <v>AUTOMOTIVO</v>
      </c>
    </row>
    <row r="829" spans="1:24" x14ac:dyDescent="0.3">
      <c r="A829" t="s">
        <v>1199</v>
      </c>
      <c r="C829" t="s">
        <v>1209</v>
      </c>
      <c r="D829" s="1">
        <v>46035</v>
      </c>
      <c r="E829" t="s">
        <v>1210</v>
      </c>
      <c r="F829">
        <v>9</v>
      </c>
      <c r="G829">
        <v>174</v>
      </c>
      <c r="H829" t="str">
        <f>VLOOKUP(G829,[1]OPERADORES!$A:$B,2,0)</f>
        <v>MIRIÃ LOBATO RODRIGUES</v>
      </c>
      <c r="I829" t="s">
        <v>21</v>
      </c>
      <c r="J829" t="s">
        <v>1128</v>
      </c>
      <c r="K829" t="s">
        <v>1202</v>
      </c>
      <c r="L829">
        <v>10026</v>
      </c>
      <c r="M829" t="s">
        <v>1212</v>
      </c>
      <c r="O829" t="s">
        <v>11</v>
      </c>
      <c r="P829">
        <v>5102</v>
      </c>
      <c r="Q829">
        <v>50</v>
      </c>
      <c r="R829">
        <v>2.0499999999999998</v>
      </c>
      <c r="S829">
        <v>102.5</v>
      </c>
      <c r="T829">
        <v>66</v>
      </c>
      <c r="U829">
        <v>35.61</v>
      </c>
      <c r="V829" t="str">
        <f>VLOOKUP(L829,'[2]tabela de preços'!$A:$D,4,0)</f>
        <v>3M</v>
      </c>
      <c r="W829" t="str">
        <f>VLOOKUP(L829,'[2]tabela de preços'!$A:$F,6,0)</f>
        <v xml:space="preserve">DISCOS / LIXAS / ABRASIVOS </v>
      </c>
      <c r="X829" t="str">
        <f>VLOOKUP(L829,'[2]tabela de preços'!$A:$G,7,0)</f>
        <v>AUTOMOTIVO</v>
      </c>
    </row>
    <row r="830" spans="1:24" x14ac:dyDescent="0.3">
      <c r="A830" t="s">
        <v>1199</v>
      </c>
      <c r="C830" t="s">
        <v>1209</v>
      </c>
      <c r="D830" s="1">
        <v>46035</v>
      </c>
      <c r="E830" t="s">
        <v>1210</v>
      </c>
      <c r="F830">
        <v>9</v>
      </c>
      <c r="G830">
        <v>174</v>
      </c>
      <c r="H830" t="str">
        <f>VLOOKUP(G830,[1]OPERADORES!$A:$B,2,0)</f>
        <v>MIRIÃ LOBATO RODRIGUES</v>
      </c>
      <c r="I830" t="s">
        <v>21</v>
      </c>
      <c r="J830" t="s">
        <v>1128</v>
      </c>
      <c r="K830" t="s">
        <v>1202</v>
      </c>
      <c r="L830">
        <v>10027</v>
      </c>
      <c r="M830" t="s">
        <v>1213</v>
      </c>
      <c r="O830" t="s">
        <v>11</v>
      </c>
      <c r="P830">
        <v>5102</v>
      </c>
      <c r="Q830">
        <v>50</v>
      </c>
      <c r="R830">
        <v>2.37</v>
      </c>
      <c r="S830">
        <v>118.5</v>
      </c>
      <c r="T830">
        <v>76.5</v>
      </c>
      <c r="U830">
        <v>35.44</v>
      </c>
      <c r="V830" t="str">
        <f>VLOOKUP(L830,'[2]tabela de preços'!$A:$D,4,0)</f>
        <v>3M</v>
      </c>
      <c r="W830" t="str">
        <f>VLOOKUP(L830,'[2]tabela de preços'!$A:$F,6,0)</f>
        <v xml:space="preserve">DISCOS / LIXAS / ABRASIVOS </v>
      </c>
      <c r="X830" t="str">
        <f>VLOOKUP(L830,'[2]tabela de preços'!$A:$G,7,0)</f>
        <v>AUTOMOTIVO</v>
      </c>
    </row>
    <row r="831" spans="1:24" x14ac:dyDescent="0.3">
      <c r="A831" t="s">
        <v>1199</v>
      </c>
      <c r="C831" t="s">
        <v>1209</v>
      </c>
      <c r="D831" s="1">
        <v>46035</v>
      </c>
      <c r="E831" t="s">
        <v>1210</v>
      </c>
      <c r="F831">
        <v>9</v>
      </c>
      <c r="G831">
        <v>174</v>
      </c>
      <c r="H831" t="str">
        <f>VLOOKUP(G831,[1]OPERADORES!$A:$B,2,0)</f>
        <v>MIRIÃ LOBATO RODRIGUES</v>
      </c>
      <c r="I831" t="s">
        <v>21</v>
      </c>
      <c r="J831" t="s">
        <v>1128</v>
      </c>
      <c r="K831" t="s">
        <v>1202</v>
      </c>
      <c r="L831">
        <v>10028</v>
      </c>
      <c r="M831" t="s">
        <v>1214</v>
      </c>
      <c r="O831" t="s">
        <v>11</v>
      </c>
      <c r="P831">
        <v>5102</v>
      </c>
      <c r="Q831">
        <v>50</v>
      </c>
      <c r="R831">
        <v>1.6</v>
      </c>
      <c r="S831">
        <v>80</v>
      </c>
      <c r="T831">
        <v>51.5</v>
      </c>
      <c r="U831">
        <v>35.630000000000003</v>
      </c>
      <c r="V831" t="str">
        <f>VLOOKUP(L831,'[2]tabela de preços'!$A:$D,4,0)</f>
        <v>3M</v>
      </c>
      <c r="W831" t="str">
        <f>VLOOKUP(L831,'[2]tabela de preços'!$A:$F,6,0)</f>
        <v xml:space="preserve">DISCOS / LIXAS / ABRASIVOS </v>
      </c>
      <c r="X831" t="str">
        <f>VLOOKUP(L831,'[2]tabela de preços'!$A:$G,7,0)</f>
        <v>AUTOMOTIVO</v>
      </c>
    </row>
    <row r="832" spans="1:24" x14ac:dyDescent="0.3">
      <c r="A832" t="s">
        <v>1267</v>
      </c>
      <c r="C832" t="s">
        <v>1271</v>
      </c>
      <c r="D832" s="1">
        <v>46035</v>
      </c>
      <c r="E832" t="s">
        <v>1272</v>
      </c>
      <c r="F832">
        <v>9</v>
      </c>
      <c r="G832">
        <v>174</v>
      </c>
      <c r="H832" t="str">
        <f>VLOOKUP(G832,[1]OPERADORES!$A:$B,2,0)</f>
        <v>MIRIÃ LOBATO RODRIGUES</v>
      </c>
      <c r="I832" t="s">
        <v>21</v>
      </c>
      <c r="J832" t="s">
        <v>372</v>
      </c>
      <c r="K832" t="s">
        <v>1270</v>
      </c>
      <c r="L832">
        <v>23076</v>
      </c>
      <c r="M832" t="s">
        <v>97</v>
      </c>
      <c r="O832" t="s">
        <v>11</v>
      </c>
      <c r="P832">
        <v>5403</v>
      </c>
      <c r="Q832">
        <v>12</v>
      </c>
      <c r="R832">
        <v>39.94</v>
      </c>
      <c r="S832">
        <v>479.28</v>
      </c>
      <c r="T832">
        <v>318.36</v>
      </c>
      <c r="U832">
        <v>33.58</v>
      </c>
      <c r="V832" t="str">
        <f>VLOOKUP(L832,'[2]tabela de preços'!$A:$D,4,0)</f>
        <v>WANDA</v>
      </c>
      <c r="W832" t="str">
        <f>VLOOKUP(L832,'[2]tabela de preços'!$A:$F,6,0)</f>
        <v>PRIMER AUTOMOTIVO</v>
      </c>
      <c r="X832" t="str">
        <f>VLOOKUP(L832,'[2]tabela de preços'!$A:$G,7,0)</f>
        <v>AUTOMOTIVO</v>
      </c>
    </row>
    <row r="833" spans="1:24" x14ac:dyDescent="0.3">
      <c r="A833" t="s">
        <v>1460</v>
      </c>
      <c r="C833" t="s">
        <v>1461</v>
      </c>
      <c r="D833" s="1">
        <v>46035</v>
      </c>
      <c r="E833" t="s">
        <v>1462</v>
      </c>
      <c r="F833">
        <v>9</v>
      </c>
      <c r="G833">
        <v>231</v>
      </c>
      <c r="H833" t="str">
        <f>VLOOKUP(G833,[1]OPERADORES!$A:$B,2,0)</f>
        <v>EDIJANE</v>
      </c>
      <c r="I833" t="s">
        <v>21</v>
      </c>
      <c r="J833" t="s">
        <v>1463</v>
      </c>
      <c r="K833" t="s">
        <v>1464</v>
      </c>
      <c r="L833">
        <v>85318</v>
      </c>
      <c r="M833" t="s">
        <v>258</v>
      </c>
      <c r="O833" t="s">
        <v>11</v>
      </c>
      <c r="P833">
        <v>5102</v>
      </c>
      <c r="Q833">
        <v>1</v>
      </c>
      <c r="R833">
        <v>775.32</v>
      </c>
      <c r="S833">
        <v>775.32</v>
      </c>
      <c r="T833">
        <v>552.80999999999995</v>
      </c>
      <c r="U833">
        <v>28.7</v>
      </c>
      <c r="V833" t="str">
        <f>VLOOKUP(L833,'[2]tabela de preços'!$A:$D,4,0)</f>
        <v>BRASILUX</v>
      </c>
      <c r="W833" t="str">
        <f>VLOOKUP(L833,'[2]tabela de preços'!$A:$F,6,0)</f>
        <v>TINTA EM PÓ</v>
      </c>
      <c r="X833" t="str">
        <f>VLOOKUP(L833,'[2]tabela de preços'!$A:$G,7,0)</f>
        <v>INDUSTRIAL</v>
      </c>
    </row>
    <row r="834" spans="1:24" x14ac:dyDescent="0.3">
      <c r="A834" t="s">
        <v>1460</v>
      </c>
      <c r="C834" t="s">
        <v>1461</v>
      </c>
      <c r="D834" s="1">
        <v>46035</v>
      </c>
      <c r="E834" t="s">
        <v>1462</v>
      </c>
      <c r="F834">
        <v>9</v>
      </c>
      <c r="G834">
        <v>231</v>
      </c>
      <c r="H834" t="str">
        <f>VLOOKUP(G834,[1]OPERADORES!$A:$B,2,0)</f>
        <v>EDIJANE</v>
      </c>
      <c r="I834" t="s">
        <v>21</v>
      </c>
      <c r="J834" t="s">
        <v>1463</v>
      </c>
      <c r="K834" t="s">
        <v>1464</v>
      </c>
      <c r="L834">
        <v>85472</v>
      </c>
      <c r="M834" t="s">
        <v>1465</v>
      </c>
      <c r="O834" t="s">
        <v>11</v>
      </c>
      <c r="P834">
        <v>5102</v>
      </c>
      <c r="Q834">
        <v>1</v>
      </c>
      <c r="R834">
        <v>554.63</v>
      </c>
      <c r="S834">
        <v>554.63</v>
      </c>
      <c r="T834">
        <v>395.46</v>
      </c>
      <c r="U834">
        <v>28.7</v>
      </c>
      <c r="V834" t="str">
        <f>VLOOKUP(L834,'[2]tabela de preços'!$A:$D,4,0)</f>
        <v>BRASILUX</v>
      </c>
      <c r="W834" t="str">
        <f>VLOOKUP(L834,'[2]tabela de preços'!$A:$F,6,0)</f>
        <v>TINTA EM PÓ</v>
      </c>
      <c r="X834" t="str">
        <f>VLOOKUP(L834,'[2]tabela de preços'!$A:$G,7,0)</f>
        <v>INDUSTRIAL</v>
      </c>
    </row>
    <row r="835" spans="1:24" x14ac:dyDescent="0.3">
      <c r="A835" t="s">
        <v>1468</v>
      </c>
      <c r="C835" t="s">
        <v>1469</v>
      </c>
      <c r="D835" s="1">
        <v>46035</v>
      </c>
      <c r="E835" t="s">
        <v>1470</v>
      </c>
      <c r="F835">
        <v>9</v>
      </c>
      <c r="G835">
        <v>174</v>
      </c>
      <c r="H835" t="str">
        <f>VLOOKUP(G835,[1]OPERADORES!$A:$B,2,0)</f>
        <v>MIRIÃ LOBATO RODRIGUES</v>
      </c>
      <c r="I835" t="s">
        <v>21</v>
      </c>
      <c r="J835" t="s">
        <v>494</v>
      </c>
      <c r="K835" t="s">
        <v>1471</v>
      </c>
      <c r="L835">
        <v>84107</v>
      </c>
      <c r="M835" t="s">
        <v>1116</v>
      </c>
      <c r="O835" t="s">
        <v>11</v>
      </c>
      <c r="P835">
        <v>5403</v>
      </c>
      <c r="Q835">
        <v>6</v>
      </c>
      <c r="R835">
        <v>31.91</v>
      </c>
      <c r="S835">
        <v>191.46</v>
      </c>
      <c r="T835">
        <v>145.32</v>
      </c>
      <c r="U835">
        <v>24.1</v>
      </c>
      <c r="V835" t="str">
        <f>VLOOKUP(L835,'[2]tabela de preços'!$A:$D,4,0)</f>
        <v>BRASILUX</v>
      </c>
      <c r="W835" t="str">
        <f>VLOOKUP(L835,'[2]tabela de preços'!$A:$F,6,0)</f>
        <v>TINTAS LACA</v>
      </c>
      <c r="X835" t="str">
        <f>VLOOKUP(L835,'[2]tabela de preços'!$A:$G,7,0)</f>
        <v>AUTOMOTIVO</v>
      </c>
    </row>
    <row r="836" spans="1:24" x14ac:dyDescent="0.3">
      <c r="A836" t="s">
        <v>1468</v>
      </c>
      <c r="C836" t="s">
        <v>1469</v>
      </c>
      <c r="D836" s="1">
        <v>46035</v>
      </c>
      <c r="E836" t="s">
        <v>1470</v>
      </c>
      <c r="F836">
        <v>9</v>
      </c>
      <c r="G836">
        <v>174</v>
      </c>
      <c r="H836" t="str">
        <f>VLOOKUP(G836,[1]OPERADORES!$A:$B,2,0)</f>
        <v>MIRIÃ LOBATO RODRIGUES</v>
      </c>
      <c r="I836" t="s">
        <v>21</v>
      </c>
      <c r="J836" t="s">
        <v>494</v>
      </c>
      <c r="K836" t="s">
        <v>1471</v>
      </c>
      <c r="L836">
        <v>10316</v>
      </c>
      <c r="M836" t="s">
        <v>582</v>
      </c>
      <c r="O836" t="s">
        <v>11</v>
      </c>
      <c r="P836">
        <v>5102</v>
      </c>
      <c r="Q836">
        <v>24</v>
      </c>
      <c r="R836">
        <v>13.89</v>
      </c>
      <c r="S836">
        <v>333.36</v>
      </c>
      <c r="T836">
        <v>279.12</v>
      </c>
      <c r="U836">
        <v>16.27</v>
      </c>
      <c r="V836" t="str">
        <f>VLOOKUP(L836,'[2]tabela de preços'!$A:$D,4,0)</f>
        <v>ANJO</v>
      </c>
      <c r="W836" t="str">
        <f>VLOOKUP(L836,'[2]tabela de preços'!$A:$F,6,0)</f>
        <v xml:space="preserve">COLA  PLÁSTICA </v>
      </c>
      <c r="X836" t="str">
        <f>VLOOKUP(L836,'[2]tabela de preços'!$A:$G,7,0)</f>
        <v>AUTOMOTIVO</v>
      </c>
    </row>
    <row r="837" spans="1:24" x14ac:dyDescent="0.3">
      <c r="A837" t="s">
        <v>1468</v>
      </c>
      <c r="C837" t="s">
        <v>1469</v>
      </c>
      <c r="D837" s="1">
        <v>46035</v>
      </c>
      <c r="E837" t="s">
        <v>1470</v>
      </c>
      <c r="F837">
        <v>9</v>
      </c>
      <c r="G837">
        <v>174</v>
      </c>
      <c r="H837" t="str">
        <f>VLOOKUP(G837,[1]OPERADORES!$A:$B,2,0)</f>
        <v>MIRIÃ LOBATO RODRIGUES</v>
      </c>
      <c r="I837" t="s">
        <v>21</v>
      </c>
      <c r="J837" t="s">
        <v>494</v>
      </c>
      <c r="K837" t="s">
        <v>1471</v>
      </c>
      <c r="L837">
        <v>10236</v>
      </c>
      <c r="M837" t="s">
        <v>133</v>
      </c>
      <c r="O837" t="s">
        <v>11</v>
      </c>
      <c r="P837">
        <v>5102</v>
      </c>
      <c r="Q837">
        <v>102</v>
      </c>
      <c r="R837">
        <v>2.79</v>
      </c>
      <c r="S837">
        <v>284.58</v>
      </c>
      <c r="T837">
        <v>236.64</v>
      </c>
      <c r="U837">
        <v>16.850000000000001</v>
      </c>
      <c r="V837" t="str">
        <f>VLOOKUP(L837,'[2]tabela de preços'!$A:$D,4,0)</f>
        <v>NORTON</v>
      </c>
      <c r="W837" t="str">
        <f>VLOOKUP(L837,'[2]tabela de preços'!$A:$F,6,0)</f>
        <v xml:space="preserve">DISCOS / LIXAS / ABRASIVOS </v>
      </c>
      <c r="X837" t="str">
        <f>VLOOKUP(L837,'[2]tabela de preços'!$A:$G,7,0)</f>
        <v>AUTOMOTIVO</v>
      </c>
    </row>
    <row r="838" spans="1:24" x14ac:dyDescent="0.3">
      <c r="A838" t="s">
        <v>1468</v>
      </c>
      <c r="C838" t="s">
        <v>1469</v>
      </c>
      <c r="D838" s="1">
        <v>46035</v>
      </c>
      <c r="E838" t="s">
        <v>1470</v>
      </c>
      <c r="F838">
        <v>9</v>
      </c>
      <c r="G838">
        <v>174</v>
      </c>
      <c r="H838" t="str">
        <f>VLOOKUP(G838,[1]OPERADORES!$A:$B,2,0)</f>
        <v>MIRIÃ LOBATO RODRIGUES</v>
      </c>
      <c r="I838" t="s">
        <v>21</v>
      </c>
      <c r="J838" t="s">
        <v>494</v>
      </c>
      <c r="K838" t="s">
        <v>1471</v>
      </c>
      <c r="L838">
        <v>16</v>
      </c>
      <c r="M838" t="s">
        <v>122</v>
      </c>
      <c r="O838" t="s">
        <v>11</v>
      </c>
      <c r="P838">
        <v>5102</v>
      </c>
      <c r="Q838">
        <v>50</v>
      </c>
      <c r="R838">
        <v>2.9</v>
      </c>
      <c r="S838">
        <v>145</v>
      </c>
      <c r="T838">
        <v>110</v>
      </c>
      <c r="U838">
        <v>24.14</v>
      </c>
      <c r="V838" t="str">
        <f>VLOOKUP(L838,'[2]tabela de preços'!$A:$D,4,0)</f>
        <v>3M</v>
      </c>
      <c r="W838" t="str">
        <f>VLOOKUP(L838,'[2]tabela de preços'!$A:$F,6,0)</f>
        <v>LIXA DÁGUA</v>
      </c>
      <c r="X838" t="str">
        <f>VLOOKUP(L838,'[2]tabela de preços'!$A:$G,7,0)</f>
        <v>AUTOMOTIVO</v>
      </c>
    </row>
    <row r="839" spans="1:24" x14ac:dyDescent="0.3">
      <c r="A839" t="s">
        <v>1468</v>
      </c>
      <c r="C839" t="s">
        <v>1469</v>
      </c>
      <c r="D839" s="1">
        <v>46035</v>
      </c>
      <c r="E839" t="s">
        <v>1470</v>
      </c>
      <c r="F839">
        <v>9</v>
      </c>
      <c r="G839">
        <v>174</v>
      </c>
      <c r="H839" t="str">
        <f>VLOOKUP(G839,[1]OPERADORES!$A:$B,2,0)</f>
        <v>MIRIÃ LOBATO RODRIGUES</v>
      </c>
      <c r="I839" t="s">
        <v>21</v>
      </c>
      <c r="J839" t="s">
        <v>494</v>
      </c>
      <c r="K839" t="s">
        <v>1471</v>
      </c>
      <c r="L839">
        <v>10238</v>
      </c>
      <c r="M839" t="s">
        <v>79</v>
      </c>
      <c r="O839" t="s">
        <v>11</v>
      </c>
      <c r="P839">
        <v>5102</v>
      </c>
      <c r="Q839">
        <v>100</v>
      </c>
      <c r="R839">
        <v>2.79</v>
      </c>
      <c r="S839">
        <v>279</v>
      </c>
      <c r="T839">
        <v>224</v>
      </c>
      <c r="U839">
        <v>19.71</v>
      </c>
      <c r="V839" t="str">
        <f>VLOOKUP(L839,'[2]tabela de preços'!$A:$D,4,0)</f>
        <v>NORTON</v>
      </c>
      <c r="W839" t="str">
        <f>VLOOKUP(L839,'[2]tabela de preços'!$A:$F,6,0)</f>
        <v xml:space="preserve">DISCOS / LIXAS / ABRASIVOS </v>
      </c>
      <c r="X839" t="str">
        <f>VLOOKUP(L839,'[2]tabela de preços'!$A:$G,7,0)</f>
        <v>AUTOMOTIVO</v>
      </c>
    </row>
    <row r="840" spans="1:24" x14ac:dyDescent="0.3">
      <c r="A840" t="s">
        <v>1468</v>
      </c>
      <c r="C840" t="s">
        <v>1469</v>
      </c>
      <c r="D840" s="1">
        <v>46035</v>
      </c>
      <c r="E840" t="s">
        <v>1470</v>
      </c>
      <c r="F840">
        <v>9</v>
      </c>
      <c r="G840">
        <v>174</v>
      </c>
      <c r="H840" t="str">
        <f>VLOOKUP(G840,[1]OPERADORES!$A:$B,2,0)</f>
        <v>MIRIÃ LOBATO RODRIGUES</v>
      </c>
      <c r="I840" t="s">
        <v>21</v>
      </c>
      <c r="J840" t="s">
        <v>494</v>
      </c>
      <c r="K840" t="s">
        <v>1471</v>
      </c>
      <c r="L840">
        <v>10246</v>
      </c>
      <c r="M840" t="s">
        <v>206</v>
      </c>
      <c r="O840" t="s">
        <v>11</v>
      </c>
      <c r="P840">
        <v>5102</v>
      </c>
      <c r="Q840">
        <v>50</v>
      </c>
      <c r="R840">
        <v>2.79</v>
      </c>
      <c r="S840">
        <v>139.5</v>
      </c>
      <c r="T840">
        <v>96.5</v>
      </c>
      <c r="U840">
        <v>30.82</v>
      </c>
      <c r="V840" t="str">
        <f>VLOOKUP(L840,'[2]tabela de preços'!$A:$D,4,0)</f>
        <v>NORTON</v>
      </c>
      <c r="W840" t="str">
        <f>VLOOKUP(L840,'[2]tabela de preços'!$A:$F,6,0)</f>
        <v xml:space="preserve">DISCOS / LIXAS / ABRASIVOS </v>
      </c>
      <c r="X840" t="str">
        <f>VLOOKUP(L840,'[2]tabela de preços'!$A:$G,7,0)</f>
        <v>AUTOMOTIVO</v>
      </c>
    </row>
    <row r="841" spans="1:24" x14ac:dyDescent="0.3">
      <c r="A841" t="s">
        <v>1468</v>
      </c>
      <c r="C841" t="s">
        <v>1469</v>
      </c>
      <c r="D841" s="1">
        <v>46035</v>
      </c>
      <c r="E841" t="s">
        <v>1470</v>
      </c>
      <c r="F841">
        <v>9</v>
      </c>
      <c r="G841">
        <v>174</v>
      </c>
      <c r="H841" t="str">
        <f>VLOOKUP(G841,[1]OPERADORES!$A:$B,2,0)</f>
        <v>MIRIÃ LOBATO RODRIGUES</v>
      </c>
      <c r="I841" t="s">
        <v>21</v>
      </c>
      <c r="J841" t="s">
        <v>494</v>
      </c>
      <c r="K841" t="s">
        <v>1471</v>
      </c>
      <c r="L841">
        <v>20817</v>
      </c>
      <c r="M841" t="s">
        <v>153</v>
      </c>
      <c r="O841" t="s">
        <v>11</v>
      </c>
      <c r="P841">
        <v>5102</v>
      </c>
      <c r="Q841">
        <v>6</v>
      </c>
      <c r="R841">
        <v>22.89</v>
      </c>
      <c r="S841">
        <v>137.34</v>
      </c>
      <c r="T841">
        <v>111.72</v>
      </c>
      <c r="U841">
        <v>18.649999999999999</v>
      </c>
      <c r="V841" t="str">
        <f>VLOOKUP(L841,'[2]tabela de preços'!$A:$D,4,0)</f>
        <v>AUTO AMERICA</v>
      </c>
      <c r="W841" t="str">
        <f>VLOOKUP(L841,'[2]tabela de preços'!$A:$F,6,0)</f>
        <v>MASSA DE POLIR</v>
      </c>
      <c r="X841" t="str">
        <f>VLOOKUP(L841,'[2]tabela de preços'!$A:$G,7,0)</f>
        <v>AUTOMOTIVO</v>
      </c>
    </row>
    <row r="842" spans="1:24" x14ac:dyDescent="0.3">
      <c r="A842" t="s">
        <v>1468</v>
      </c>
      <c r="C842" t="s">
        <v>1469</v>
      </c>
      <c r="D842" s="1">
        <v>46035</v>
      </c>
      <c r="E842" t="s">
        <v>1470</v>
      </c>
      <c r="F842">
        <v>9</v>
      </c>
      <c r="G842">
        <v>174</v>
      </c>
      <c r="H842" t="str">
        <f>VLOOKUP(G842,[1]OPERADORES!$A:$B,2,0)</f>
        <v>MIRIÃ LOBATO RODRIGUES</v>
      </c>
      <c r="I842" t="s">
        <v>21</v>
      </c>
      <c r="J842" t="s">
        <v>494</v>
      </c>
      <c r="K842" t="s">
        <v>1471</v>
      </c>
      <c r="L842">
        <v>9764</v>
      </c>
      <c r="M842" t="s">
        <v>173</v>
      </c>
      <c r="O842" t="s">
        <v>11</v>
      </c>
      <c r="P842">
        <v>5102</v>
      </c>
      <c r="Q842">
        <v>3</v>
      </c>
      <c r="R842">
        <v>33.54</v>
      </c>
      <c r="S842">
        <v>100.62</v>
      </c>
      <c r="T842">
        <v>76.38</v>
      </c>
      <c r="U842">
        <v>24.09</v>
      </c>
      <c r="V842" t="str">
        <f>VLOOKUP(L842,'[2]tabela de preços'!$A:$D,4,0)</f>
        <v>SIKKENS</v>
      </c>
      <c r="W842" t="str">
        <f>VLOOKUP(L842,'[2]tabela de preços'!$A:$F,6,0)</f>
        <v>MASSA DE PEQUENOS REPAROS</v>
      </c>
      <c r="X842" t="str">
        <f>VLOOKUP(L842,'[2]tabela de preços'!$A:$G,7,0)</f>
        <v>AUTOMOTIVO</v>
      </c>
    </row>
    <row r="843" spans="1:24" x14ac:dyDescent="0.3">
      <c r="A843" t="s">
        <v>1516</v>
      </c>
      <c r="C843" t="s">
        <v>1517</v>
      </c>
      <c r="D843" s="1">
        <v>46035</v>
      </c>
      <c r="E843" t="s">
        <v>1518</v>
      </c>
      <c r="F843">
        <v>9</v>
      </c>
      <c r="G843">
        <v>174</v>
      </c>
      <c r="H843" t="str">
        <f>VLOOKUP(G843,[1]OPERADORES!$A:$B,2,0)</f>
        <v>MIRIÃ LOBATO RODRIGUES</v>
      </c>
      <c r="I843" t="s">
        <v>21</v>
      </c>
      <c r="J843" t="s">
        <v>372</v>
      </c>
      <c r="K843" t="s">
        <v>1519</v>
      </c>
      <c r="L843">
        <v>84025</v>
      </c>
      <c r="M843" t="s">
        <v>1520</v>
      </c>
      <c r="O843" t="s">
        <v>11</v>
      </c>
      <c r="P843">
        <v>5102</v>
      </c>
      <c r="Q843">
        <v>2</v>
      </c>
      <c r="R843">
        <v>80.42</v>
      </c>
      <c r="S843">
        <v>160.84</v>
      </c>
      <c r="T843">
        <v>122.08</v>
      </c>
      <c r="U843">
        <v>24.1</v>
      </c>
      <c r="V843" t="str">
        <f>VLOOKUP(L843,'[2]tabela de preços'!$A:$D,4,0)</f>
        <v>BRASILUX</v>
      </c>
      <c r="W843" t="str">
        <f>VLOOKUP(L843,'[2]tabela de preços'!$A:$F,6,0)</f>
        <v>EPOXI</v>
      </c>
      <c r="X843" t="str">
        <f>VLOOKUP(L843,'[2]tabela de preços'!$A:$G,7,0)</f>
        <v>INDUSTRIAL</v>
      </c>
    </row>
    <row r="844" spans="1:24" x14ac:dyDescent="0.3">
      <c r="A844" t="s">
        <v>1516</v>
      </c>
      <c r="C844" t="s">
        <v>1517</v>
      </c>
      <c r="D844" s="1">
        <v>46035</v>
      </c>
      <c r="E844" t="s">
        <v>1518</v>
      </c>
      <c r="F844">
        <v>9</v>
      </c>
      <c r="G844">
        <v>174</v>
      </c>
      <c r="H844" t="str">
        <f>VLOOKUP(G844,[1]OPERADORES!$A:$B,2,0)</f>
        <v>MIRIÃ LOBATO RODRIGUES</v>
      </c>
      <c r="I844" t="s">
        <v>21</v>
      </c>
      <c r="J844" t="s">
        <v>372</v>
      </c>
      <c r="K844" t="s">
        <v>1519</v>
      </c>
      <c r="L844">
        <v>84112</v>
      </c>
      <c r="M844" t="s">
        <v>885</v>
      </c>
      <c r="O844" t="s">
        <v>11</v>
      </c>
      <c r="P844">
        <v>5403</v>
      </c>
      <c r="Q844">
        <v>1</v>
      </c>
      <c r="R844">
        <v>153.99</v>
      </c>
      <c r="S844">
        <v>153.99</v>
      </c>
      <c r="T844">
        <v>116.88</v>
      </c>
      <c r="U844">
        <v>24.1</v>
      </c>
      <c r="V844" t="str">
        <f>VLOOKUP(L844,'[2]tabela de preços'!$A:$D,4,0)</f>
        <v>BRASILUX</v>
      </c>
      <c r="W844" t="str">
        <f>VLOOKUP(L844,'[2]tabela de preços'!$A:$F,6,0)</f>
        <v>EPOXI</v>
      </c>
      <c r="X844" t="str">
        <f>VLOOKUP(L844,'[2]tabela de preços'!$A:$G,7,0)</f>
        <v>INDUSTRIAL</v>
      </c>
    </row>
    <row r="845" spans="1:24" x14ac:dyDescent="0.3">
      <c r="A845" t="s">
        <v>1516</v>
      </c>
      <c r="C845" t="s">
        <v>1517</v>
      </c>
      <c r="D845" s="1">
        <v>46035</v>
      </c>
      <c r="E845" t="s">
        <v>1518</v>
      </c>
      <c r="F845">
        <v>9</v>
      </c>
      <c r="G845">
        <v>174</v>
      </c>
      <c r="H845" t="str">
        <f>VLOOKUP(G845,[1]OPERADORES!$A:$B,2,0)</f>
        <v>MIRIÃ LOBATO RODRIGUES</v>
      </c>
      <c r="I845" t="s">
        <v>21</v>
      </c>
      <c r="J845" t="s">
        <v>372</v>
      </c>
      <c r="K845" t="s">
        <v>1519</v>
      </c>
      <c r="L845">
        <v>84897</v>
      </c>
      <c r="M845" t="s">
        <v>852</v>
      </c>
      <c r="O845" t="s">
        <v>11</v>
      </c>
      <c r="P845">
        <v>5403</v>
      </c>
      <c r="Q845">
        <v>3</v>
      </c>
      <c r="R845">
        <v>230.87</v>
      </c>
      <c r="S845">
        <v>692.61</v>
      </c>
      <c r="T845">
        <v>525.69000000000005</v>
      </c>
      <c r="U845">
        <v>24.1</v>
      </c>
      <c r="V845" t="str">
        <f>VLOOKUP(L845,'[2]tabela de preços'!$A:$D,4,0)</f>
        <v>BRASILUX</v>
      </c>
      <c r="W845" t="str">
        <f>VLOOKUP(L845,'[2]tabela de preços'!$A:$F,6,0)</f>
        <v>EPOXI</v>
      </c>
      <c r="X845" t="str">
        <f>VLOOKUP(L845,'[2]tabela de preços'!$A:$G,7,0)</f>
        <v>INDUSTRIAL</v>
      </c>
    </row>
    <row r="846" spans="1:24" x14ac:dyDescent="0.3">
      <c r="A846" t="s">
        <v>1516</v>
      </c>
      <c r="C846" t="s">
        <v>1517</v>
      </c>
      <c r="D846" s="1">
        <v>46035</v>
      </c>
      <c r="E846" t="s">
        <v>1518</v>
      </c>
      <c r="F846">
        <v>9</v>
      </c>
      <c r="G846">
        <v>174</v>
      </c>
      <c r="H846" t="str">
        <f>VLOOKUP(G846,[1]OPERADORES!$A:$B,2,0)</f>
        <v>MIRIÃ LOBATO RODRIGUES</v>
      </c>
      <c r="I846" t="s">
        <v>21</v>
      </c>
      <c r="J846" t="s">
        <v>372</v>
      </c>
      <c r="K846" t="s">
        <v>1519</v>
      </c>
      <c r="L846">
        <v>84898</v>
      </c>
      <c r="M846" t="s">
        <v>853</v>
      </c>
      <c r="O846" t="s">
        <v>11</v>
      </c>
      <c r="P846">
        <v>5403</v>
      </c>
      <c r="Q846">
        <v>12</v>
      </c>
      <c r="R846">
        <v>209.03</v>
      </c>
      <c r="S846" s="2">
        <v>2508.36</v>
      </c>
      <c r="T846" s="2">
        <v>1903.92</v>
      </c>
      <c r="U846">
        <v>24.1</v>
      </c>
      <c r="V846" t="str">
        <f>VLOOKUP(L846,'[2]tabela de preços'!$A:$D,4,0)</f>
        <v>BRASILUX</v>
      </c>
      <c r="W846" t="str">
        <f>VLOOKUP(L846,'[2]tabela de preços'!$A:$F,6,0)</f>
        <v>EPOXI</v>
      </c>
      <c r="X846" t="str">
        <f>VLOOKUP(L846,'[2]tabela de preços'!$A:$G,7,0)</f>
        <v>INDUSTRIAL</v>
      </c>
    </row>
    <row r="847" spans="1:24" x14ac:dyDescent="0.3">
      <c r="A847" t="s">
        <v>1516</v>
      </c>
      <c r="C847" t="s">
        <v>1517</v>
      </c>
      <c r="D847" s="1">
        <v>46035</v>
      </c>
      <c r="E847" t="s">
        <v>1518</v>
      </c>
      <c r="F847">
        <v>9</v>
      </c>
      <c r="G847">
        <v>174</v>
      </c>
      <c r="H847" t="str">
        <f>VLOOKUP(G847,[1]OPERADORES!$A:$B,2,0)</f>
        <v>MIRIÃ LOBATO RODRIGUES</v>
      </c>
      <c r="I847" t="s">
        <v>21</v>
      </c>
      <c r="J847" t="s">
        <v>372</v>
      </c>
      <c r="K847" t="s">
        <v>1519</v>
      </c>
      <c r="L847">
        <v>84899</v>
      </c>
      <c r="M847" t="s">
        <v>854</v>
      </c>
      <c r="O847" t="s">
        <v>11</v>
      </c>
      <c r="P847">
        <v>5403</v>
      </c>
      <c r="Q847">
        <v>2</v>
      </c>
      <c r="R847">
        <v>169.39</v>
      </c>
      <c r="S847">
        <v>338.78</v>
      </c>
      <c r="T847">
        <v>257.14</v>
      </c>
      <c r="U847">
        <v>24.1</v>
      </c>
      <c r="V847" t="str">
        <f>VLOOKUP(L847,'[2]tabela de preços'!$A:$D,4,0)</f>
        <v>BRASILUX</v>
      </c>
      <c r="W847" t="str">
        <f>VLOOKUP(L847,'[2]tabela de preços'!$A:$F,6,0)</f>
        <v>EPOXI</v>
      </c>
      <c r="X847" t="str">
        <f>VLOOKUP(L847,'[2]tabela de preços'!$A:$G,7,0)</f>
        <v>INDUSTRIAL</v>
      </c>
    </row>
    <row r="848" spans="1:24" x14ac:dyDescent="0.3">
      <c r="A848" t="s">
        <v>1516</v>
      </c>
      <c r="C848" t="s">
        <v>1517</v>
      </c>
      <c r="D848" s="1">
        <v>46035</v>
      </c>
      <c r="E848" t="s">
        <v>1518</v>
      </c>
      <c r="F848">
        <v>9</v>
      </c>
      <c r="G848">
        <v>174</v>
      </c>
      <c r="H848" t="str">
        <f>VLOOKUP(G848,[1]OPERADORES!$A:$B,2,0)</f>
        <v>MIRIÃ LOBATO RODRIGUES</v>
      </c>
      <c r="I848" t="s">
        <v>21</v>
      </c>
      <c r="J848" t="s">
        <v>372</v>
      </c>
      <c r="K848" t="s">
        <v>1519</v>
      </c>
      <c r="L848">
        <v>86935</v>
      </c>
      <c r="M848" t="s">
        <v>1521</v>
      </c>
      <c r="O848" t="s">
        <v>11</v>
      </c>
      <c r="P848">
        <v>5403</v>
      </c>
      <c r="Q848">
        <v>7</v>
      </c>
      <c r="R848">
        <v>219.88</v>
      </c>
      <c r="S848" s="2">
        <v>1539.16</v>
      </c>
      <c r="T848" s="2">
        <v>1168.23</v>
      </c>
      <c r="U848">
        <v>24.1</v>
      </c>
      <c r="V848" t="str">
        <f>VLOOKUP(L848,'[2]tabela de preços'!$A:$D,4,0)</f>
        <v>BRASILUX</v>
      </c>
      <c r="W848" t="str">
        <f>VLOOKUP(L848,'[2]tabela de preços'!$A:$F,6,0)</f>
        <v>EPOXI</v>
      </c>
      <c r="X848" t="str">
        <f>VLOOKUP(L848,'[2]tabela de preços'!$A:$G,7,0)</f>
        <v>INDUSTRIAL</v>
      </c>
    </row>
    <row r="849" spans="1:24" x14ac:dyDescent="0.3">
      <c r="A849" t="s">
        <v>1524</v>
      </c>
      <c r="B849" t="s">
        <v>1525</v>
      </c>
      <c r="C849" t="s">
        <v>1536</v>
      </c>
      <c r="D849" s="1">
        <v>46035</v>
      </c>
      <c r="E849" t="s">
        <v>1537</v>
      </c>
      <c r="F849">
        <v>9</v>
      </c>
      <c r="G849">
        <v>236</v>
      </c>
      <c r="H849" t="str">
        <f>VLOOKUP(G849,[1]OPERADORES!$A:$B,2,0)</f>
        <v>DANIEL</v>
      </c>
      <c r="I849" t="s">
        <v>21</v>
      </c>
      <c r="J849" t="s">
        <v>762</v>
      </c>
      <c r="K849" t="s">
        <v>1528</v>
      </c>
      <c r="L849">
        <v>84495</v>
      </c>
      <c r="M849" t="s">
        <v>1538</v>
      </c>
      <c r="O849" t="s">
        <v>11</v>
      </c>
      <c r="P849">
        <v>5403</v>
      </c>
      <c r="Q849">
        <v>5</v>
      </c>
      <c r="R849">
        <v>81.459999999999994</v>
      </c>
      <c r="S849">
        <v>407.3</v>
      </c>
      <c r="T849">
        <v>309.14999999999998</v>
      </c>
      <c r="U849">
        <v>24.1</v>
      </c>
      <c r="V849" t="str">
        <f>VLOOKUP(L849,'[2]tabela de preços'!$A:$D,4,0)</f>
        <v>BRASILUX</v>
      </c>
      <c r="W849" t="str">
        <f>VLOOKUP(L849,'[2]tabela de preços'!$A:$F,6,0)</f>
        <v xml:space="preserve">BASES SISTEMA NO MACHINE </v>
      </c>
      <c r="X849" t="str">
        <f>VLOOKUP(L849,'[2]tabela de preços'!$A:$G,7,0)</f>
        <v>INDUSTRIAL</v>
      </c>
    </row>
    <row r="850" spans="1:24" x14ac:dyDescent="0.3">
      <c r="A850" t="s">
        <v>1524</v>
      </c>
      <c r="B850" t="s">
        <v>1525</v>
      </c>
      <c r="C850" t="s">
        <v>1536</v>
      </c>
      <c r="D850" s="1">
        <v>46035</v>
      </c>
      <c r="E850" t="s">
        <v>1537</v>
      </c>
      <c r="F850">
        <v>9</v>
      </c>
      <c r="G850">
        <v>236</v>
      </c>
      <c r="H850" t="str">
        <f>VLOOKUP(G850,[1]OPERADORES!$A:$B,2,0)</f>
        <v>DANIEL</v>
      </c>
      <c r="I850" t="s">
        <v>21</v>
      </c>
      <c r="J850" t="s">
        <v>762</v>
      </c>
      <c r="K850" t="s">
        <v>1528</v>
      </c>
      <c r="L850">
        <v>84494</v>
      </c>
      <c r="M850" t="s">
        <v>1539</v>
      </c>
      <c r="O850" t="s">
        <v>11</v>
      </c>
      <c r="P850">
        <v>5403</v>
      </c>
      <c r="Q850">
        <v>1</v>
      </c>
      <c r="R850">
        <v>150.94</v>
      </c>
      <c r="S850">
        <v>150.94</v>
      </c>
      <c r="T850">
        <v>114.57</v>
      </c>
      <c r="U850">
        <v>24.1</v>
      </c>
      <c r="V850" t="str">
        <f>VLOOKUP(L850,'[2]tabela de preços'!$A:$D,4,0)</f>
        <v>BRASILUX</v>
      </c>
      <c r="W850" t="str">
        <f>VLOOKUP(L850,'[2]tabela de preços'!$A:$F,6,0)</f>
        <v xml:space="preserve">BASES SISTEMA NO MACHINE </v>
      </c>
      <c r="X850" t="str">
        <f>VLOOKUP(L850,'[2]tabela de preços'!$A:$G,7,0)</f>
        <v>INDUSTRIAL</v>
      </c>
    </row>
    <row r="851" spans="1:24" x14ac:dyDescent="0.3">
      <c r="A851" t="s">
        <v>1524</v>
      </c>
      <c r="B851" t="s">
        <v>1525</v>
      </c>
      <c r="C851" t="s">
        <v>1536</v>
      </c>
      <c r="D851" s="1">
        <v>46035</v>
      </c>
      <c r="E851" t="s">
        <v>1537</v>
      </c>
      <c r="F851">
        <v>9</v>
      </c>
      <c r="G851">
        <v>236</v>
      </c>
      <c r="H851" t="str">
        <f>VLOOKUP(G851,[1]OPERADORES!$A:$B,2,0)</f>
        <v>DANIEL</v>
      </c>
      <c r="I851" t="s">
        <v>21</v>
      </c>
      <c r="J851" t="s">
        <v>762</v>
      </c>
      <c r="K851" t="s">
        <v>1528</v>
      </c>
      <c r="L851">
        <v>84891</v>
      </c>
      <c r="M851" t="s">
        <v>1540</v>
      </c>
      <c r="O851" t="s">
        <v>11</v>
      </c>
      <c r="P851">
        <v>5403</v>
      </c>
      <c r="Q851">
        <v>1</v>
      </c>
      <c r="R851">
        <v>322.86</v>
      </c>
      <c r="S851">
        <v>322.86</v>
      </c>
      <c r="T851">
        <v>245.06</v>
      </c>
      <c r="U851">
        <v>24.1</v>
      </c>
      <c r="V851" t="str">
        <f>VLOOKUP(L851,'[2]tabela de preços'!$A:$D,4,0)</f>
        <v>BRASILUX</v>
      </c>
      <c r="W851" t="str">
        <f>VLOOKUP(L851,'[2]tabela de preços'!$A:$F,6,0)</f>
        <v xml:space="preserve">BASES SISTEMA NO MACHINE </v>
      </c>
      <c r="X851" t="str">
        <f>VLOOKUP(L851,'[2]tabela de preços'!$A:$G,7,0)</f>
        <v>INDUSTRIAL</v>
      </c>
    </row>
    <row r="852" spans="1:24" x14ac:dyDescent="0.3">
      <c r="A852" t="s">
        <v>1524</v>
      </c>
      <c r="B852" t="s">
        <v>1525</v>
      </c>
      <c r="C852" t="s">
        <v>1536</v>
      </c>
      <c r="D852" s="1">
        <v>46035</v>
      </c>
      <c r="E852" t="s">
        <v>1537</v>
      </c>
      <c r="F852">
        <v>9</v>
      </c>
      <c r="G852">
        <v>236</v>
      </c>
      <c r="H852" t="str">
        <f>VLOOKUP(G852,[1]OPERADORES!$A:$B,2,0)</f>
        <v>DANIEL</v>
      </c>
      <c r="I852" t="s">
        <v>21</v>
      </c>
      <c r="J852" t="s">
        <v>762</v>
      </c>
      <c r="K852" t="s">
        <v>1528</v>
      </c>
      <c r="L852">
        <v>85280</v>
      </c>
      <c r="M852" t="s">
        <v>943</v>
      </c>
      <c r="O852" t="s">
        <v>11</v>
      </c>
      <c r="P852">
        <v>5102</v>
      </c>
      <c r="Q852">
        <v>3</v>
      </c>
      <c r="R852">
        <v>55.72</v>
      </c>
      <c r="S852">
        <v>167.16</v>
      </c>
      <c r="T852">
        <v>126.87</v>
      </c>
      <c r="U852">
        <v>24.1</v>
      </c>
      <c r="V852" t="str">
        <f>VLOOKUP(L852,'[2]tabela de preços'!$A:$D,4,0)</f>
        <v>BRASILUX</v>
      </c>
      <c r="W852" t="str">
        <f>VLOOKUP(L852,'[2]tabela de preços'!$A:$F,6,0)</f>
        <v>CATALISADORES INDIVIDUAIS</v>
      </c>
      <c r="X852" t="str">
        <f>VLOOKUP(L852,'[2]tabela de preços'!$A:$G,7,0)</f>
        <v>IMOBILIÁRIO</v>
      </c>
    </row>
    <row r="853" spans="1:24" x14ac:dyDescent="0.3">
      <c r="A853" t="s">
        <v>1524</v>
      </c>
      <c r="B853" t="s">
        <v>1525</v>
      </c>
      <c r="C853" t="s">
        <v>1536</v>
      </c>
      <c r="D853" s="1">
        <v>46035</v>
      </c>
      <c r="E853" t="s">
        <v>1537</v>
      </c>
      <c r="F853">
        <v>9</v>
      </c>
      <c r="G853">
        <v>236</v>
      </c>
      <c r="H853" t="str">
        <f>VLOOKUP(G853,[1]OPERADORES!$A:$B,2,0)</f>
        <v>DANIEL</v>
      </c>
      <c r="I853" t="s">
        <v>21</v>
      </c>
      <c r="J853" t="s">
        <v>762</v>
      </c>
      <c r="K853" t="s">
        <v>1528</v>
      </c>
      <c r="L853">
        <v>23878</v>
      </c>
      <c r="M853" t="s">
        <v>851</v>
      </c>
      <c r="O853" t="s">
        <v>11</v>
      </c>
      <c r="P853">
        <v>5102</v>
      </c>
      <c r="Q853">
        <v>12</v>
      </c>
      <c r="R853">
        <v>7.2</v>
      </c>
      <c r="S853">
        <v>86.4</v>
      </c>
      <c r="T853">
        <v>76.56</v>
      </c>
      <c r="U853">
        <v>11.39</v>
      </c>
      <c r="V853" t="str">
        <f>VLOOKUP(L853,'[2]tabela de preços'!$A:$D,4,0)</f>
        <v>ATLAS</v>
      </c>
      <c r="W853" t="str">
        <f>VLOOKUP(L853,'[2]tabela de preços'!$A:$F,6,0)</f>
        <v>ROLOS / TRINCHAS / PINCÉIS / ESPÁTULAS</v>
      </c>
      <c r="X853" t="str">
        <f>VLOOKUP(L853,'[2]tabela de preços'!$A:$G,7,0)</f>
        <v>IMOBILIÁRIO</v>
      </c>
    </row>
    <row r="854" spans="1:24" x14ac:dyDescent="0.3">
      <c r="A854" t="s">
        <v>1649</v>
      </c>
      <c r="B854" t="s">
        <v>1650</v>
      </c>
      <c r="C854" t="s">
        <v>1651</v>
      </c>
      <c r="D854" s="1">
        <v>46035</v>
      </c>
      <c r="E854" t="s">
        <v>1652</v>
      </c>
      <c r="F854">
        <v>9</v>
      </c>
      <c r="G854">
        <v>236</v>
      </c>
      <c r="H854" t="str">
        <f>VLOOKUP(G854,[1]OPERADORES!$A:$B,2,0)</f>
        <v>DANIEL</v>
      </c>
      <c r="I854" t="s">
        <v>21</v>
      </c>
      <c r="J854" t="s">
        <v>1653</v>
      </c>
      <c r="K854" t="s">
        <v>1654</v>
      </c>
      <c r="L854">
        <v>20135</v>
      </c>
      <c r="M854" t="s">
        <v>459</v>
      </c>
      <c r="O854" t="s">
        <v>11</v>
      </c>
      <c r="P854">
        <v>5102</v>
      </c>
      <c r="Q854">
        <v>30</v>
      </c>
      <c r="R854">
        <v>25.37</v>
      </c>
      <c r="S854">
        <v>761.1</v>
      </c>
      <c r="T854">
        <v>577.79999999999995</v>
      </c>
      <c r="U854">
        <v>24.08</v>
      </c>
      <c r="V854" t="str">
        <f>VLOOKUP(L854,'[2]tabela de preços'!$A:$D,4,0)</f>
        <v>3M</v>
      </c>
      <c r="W854" t="str">
        <f>VLOOKUP(L854,'[2]tabela de preços'!$A:$F,6,0)</f>
        <v>DISCO TRIZACT</v>
      </c>
      <c r="X854" t="str">
        <f>VLOOKUP(L854,'[2]tabela de preços'!$A:$G,7,0)</f>
        <v>AUTOMOTIVO</v>
      </c>
    </row>
    <row r="855" spans="1:24" x14ac:dyDescent="0.3">
      <c r="A855" t="s">
        <v>1649</v>
      </c>
      <c r="B855" t="s">
        <v>1650</v>
      </c>
      <c r="C855" t="s">
        <v>1651</v>
      </c>
      <c r="D855" s="1">
        <v>46035</v>
      </c>
      <c r="E855" t="s">
        <v>1652</v>
      </c>
      <c r="F855">
        <v>9</v>
      </c>
      <c r="G855">
        <v>236</v>
      </c>
      <c r="H855" t="str">
        <f>VLOOKUP(G855,[1]OPERADORES!$A:$B,2,0)</f>
        <v>DANIEL</v>
      </c>
      <c r="I855" t="s">
        <v>21</v>
      </c>
      <c r="J855" t="s">
        <v>1653</v>
      </c>
      <c r="K855" t="s">
        <v>1654</v>
      </c>
      <c r="L855">
        <v>24248</v>
      </c>
      <c r="M855" t="s">
        <v>107</v>
      </c>
      <c r="O855" t="s">
        <v>11</v>
      </c>
      <c r="P855">
        <v>5102</v>
      </c>
      <c r="Q855">
        <v>48</v>
      </c>
      <c r="R855">
        <v>8</v>
      </c>
      <c r="S855">
        <v>384</v>
      </c>
      <c r="T855">
        <v>307.68</v>
      </c>
      <c r="U855">
        <v>19.88</v>
      </c>
      <c r="V855" t="str">
        <f>VLOOKUP(L855,'[2]tabela de preços'!$A:$D,4,0)</f>
        <v>SHERWIN WILLIAMS</v>
      </c>
      <c r="W855" t="str">
        <f>VLOOKUP(L855,'[2]tabela de preços'!$A:$F,6,0)</f>
        <v>PRIMER AUTOMOTIVO</v>
      </c>
      <c r="X855" t="str">
        <f>VLOOKUP(L855,'[2]tabela de preços'!$A:$G,7,0)</f>
        <v>AUTOMOTIVO</v>
      </c>
    </row>
    <row r="856" spans="1:24" x14ac:dyDescent="0.3">
      <c r="A856" t="s">
        <v>1649</v>
      </c>
      <c r="B856" t="s">
        <v>1650</v>
      </c>
      <c r="C856" t="s">
        <v>1651</v>
      </c>
      <c r="D856" s="1">
        <v>46035</v>
      </c>
      <c r="E856" t="s">
        <v>1652</v>
      </c>
      <c r="F856">
        <v>9</v>
      </c>
      <c r="G856">
        <v>236</v>
      </c>
      <c r="H856" t="str">
        <f>VLOOKUP(G856,[1]OPERADORES!$A:$B,2,0)</f>
        <v>DANIEL</v>
      </c>
      <c r="I856" t="s">
        <v>21</v>
      </c>
      <c r="J856" t="s">
        <v>1653</v>
      </c>
      <c r="K856" t="s">
        <v>1654</v>
      </c>
      <c r="L856">
        <v>10097</v>
      </c>
      <c r="M856" t="s">
        <v>461</v>
      </c>
      <c r="O856" t="s">
        <v>11</v>
      </c>
      <c r="P856">
        <v>5102</v>
      </c>
      <c r="Q856">
        <v>20</v>
      </c>
      <c r="R856">
        <v>9.1300000000000008</v>
      </c>
      <c r="S856">
        <v>182.6</v>
      </c>
      <c r="T856">
        <v>134</v>
      </c>
      <c r="U856">
        <v>26.62</v>
      </c>
      <c r="V856" t="str">
        <f>VLOOKUP(L856,'[2]tabela de preços'!$A:$D,4,0)</f>
        <v>3M</v>
      </c>
      <c r="W856" t="str">
        <f>VLOOKUP(L856,'[2]tabela de preços'!$A:$F,6,0)</f>
        <v>EPI´S</v>
      </c>
      <c r="X856" t="str">
        <f>VLOOKUP(L856,'[2]tabela de preços'!$A:$G,7,0)</f>
        <v>AUTOMOTIVO</v>
      </c>
    </row>
    <row r="857" spans="1:24" x14ac:dyDescent="0.3">
      <c r="A857" t="s">
        <v>1649</v>
      </c>
      <c r="B857" t="s">
        <v>1650</v>
      </c>
      <c r="C857" t="s">
        <v>1651</v>
      </c>
      <c r="D857" s="1">
        <v>46035</v>
      </c>
      <c r="E857" t="s">
        <v>1652</v>
      </c>
      <c r="F857">
        <v>9</v>
      </c>
      <c r="G857">
        <v>236</v>
      </c>
      <c r="H857" t="str">
        <f>VLOOKUP(G857,[1]OPERADORES!$A:$B,2,0)</f>
        <v>DANIEL</v>
      </c>
      <c r="I857" t="s">
        <v>21</v>
      </c>
      <c r="J857" t="s">
        <v>1653</v>
      </c>
      <c r="K857" t="s">
        <v>1654</v>
      </c>
      <c r="L857">
        <v>24183</v>
      </c>
      <c r="M857" t="s">
        <v>1655</v>
      </c>
      <c r="O857" t="s">
        <v>11</v>
      </c>
      <c r="P857">
        <v>5102</v>
      </c>
      <c r="Q857">
        <v>48</v>
      </c>
      <c r="R857">
        <v>30.45</v>
      </c>
      <c r="S857" s="2">
        <v>1461.6</v>
      </c>
      <c r="T857" s="2">
        <v>1109.28</v>
      </c>
      <c r="U857">
        <v>24.11</v>
      </c>
      <c r="V857" t="str">
        <f>VLOOKUP(L857,'[2]tabela de preços'!$A:$D,4,0)</f>
        <v>3M</v>
      </c>
      <c r="W857" t="str">
        <f>VLOOKUP(L857,'[2]tabela de preços'!$A:$F,6,0)</f>
        <v>FITA DUPLA FACE</v>
      </c>
      <c r="X857" t="str">
        <f>VLOOKUP(L857,'[2]tabela de preços'!$A:$G,7,0)</f>
        <v>AUTOMOTIVO</v>
      </c>
    </row>
    <row r="858" spans="1:24" x14ac:dyDescent="0.3">
      <c r="A858" t="s">
        <v>1649</v>
      </c>
      <c r="B858" t="s">
        <v>1650</v>
      </c>
      <c r="C858" t="s">
        <v>1651</v>
      </c>
      <c r="D858" s="1">
        <v>46035</v>
      </c>
      <c r="E858" t="s">
        <v>1652</v>
      </c>
      <c r="F858">
        <v>9</v>
      </c>
      <c r="G858">
        <v>236</v>
      </c>
      <c r="H858" t="str">
        <f>VLOOKUP(G858,[1]OPERADORES!$A:$B,2,0)</f>
        <v>DANIEL</v>
      </c>
      <c r="I858" t="s">
        <v>21</v>
      </c>
      <c r="J858" t="s">
        <v>1653</v>
      </c>
      <c r="K858" t="s">
        <v>1654</v>
      </c>
      <c r="L858">
        <v>85621</v>
      </c>
      <c r="M858" t="s">
        <v>1656</v>
      </c>
      <c r="O858" t="s">
        <v>11</v>
      </c>
      <c r="P858">
        <v>5102</v>
      </c>
      <c r="Q858">
        <v>22</v>
      </c>
      <c r="R858">
        <v>16.75</v>
      </c>
      <c r="S858">
        <v>368.5</v>
      </c>
      <c r="T858">
        <v>270.16000000000003</v>
      </c>
      <c r="U858">
        <v>26.69</v>
      </c>
      <c r="V858" t="str">
        <f>VLOOKUP(L858,'[2]tabela de preços'!$A:$D,4,0)</f>
        <v>ADERE</v>
      </c>
      <c r="W858" t="str">
        <f>VLOOKUP(L858,'[2]tabela de preços'!$A:$F,6,0)</f>
        <v xml:space="preserve">FITA DE USO GERAL </v>
      </c>
      <c r="X858" t="str">
        <f>VLOOKUP(L858,'[2]tabela de preços'!$A:$G,7,0)</f>
        <v>IMOBILIÁRIO</v>
      </c>
    </row>
    <row r="859" spans="1:24" x14ac:dyDescent="0.3">
      <c r="A859" t="s">
        <v>1649</v>
      </c>
      <c r="B859" t="s">
        <v>1650</v>
      </c>
      <c r="C859" t="s">
        <v>1651</v>
      </c>
      <c r="D859" s="1">
        <v>46035</v>
      </c>
      <c r="E859" t="s">
        <v>1652</v>
      </c>
      <c r="F859">
        <v>9</v>
      </c>
      <c r="G859">
        <v>236</v>
      </c>
      <c r="H859" t="str">
        <f>VLOOKUP(G859,[1]OPERADORES!$A:$B,2,0)</f>
        <v>DANIEL</v>
      </c>
      <c r="I859" t="s">
        <v>21</v>
      </c>
      <c r="J859" t="s">
        <v>1653</v>
      </c>
      <c r="K859" t="s">
        <v>1654</v>
      </c>
      <c r="L859">
        <v>21078</v>
      </c>
      <c r="M859" t="s">
        <v>141</v>
      </c>
      <c r="O859" t="s">
        <v>11</v>
      </c>
      <c r="P859">
        <v>5102</v>
      </c>
      <c r="Q859">
        <v>36</v>
      </c>
      <c r="R859">
        <v>22.89</v>
      </c>
      <c r="S859">
        <v>824.04</v>
      </c>
      <c r="T859">
        <v>671.76</v>
      </c>
      <c r="U859">
        <v>18.48</v>
      </c>
      <c r="V859" t="str">
        <f>VLOOKUP(L859,'[2]tabela de preços'!$A:$D,4,0)</f>
        <v>SHERWIN WILLIAMS</v>
      </c>
      <c r="W859" t="str">
        <f>VLOOKUP(L859,'[2]tabela de preços'!$A:$F,6,0)</f>
        <v>MASSA POLIÉSTER</v>
      </c>
      <c r="X859" t="str">
        <f>VLOOKUP(L859,'[2]tabela de preços'!$A:$G,7,0)</f>
        <v>AUTOMOTIVO</v>
      </c>
    </row>
    <row r="860" spans="1:24" x14ac:dyDescent="0.3">
      <c r="A860" t="s">
        <v>1649</v>
      </c>
      <c r="B860" t="s">
        <v>1650</v>
      </c>
      <c r="C860" t="s">
        <v>1651</v>
      </c>
      <c r="D860" s="1">
        <v>46035</v>
      </c>
      <c r="E860" t="s">
        <v>1652</v>
      </c>
      <c r="F860">
        <v>9</v>
      </c>
      <c r="G860">
        <v>236</v>
      </c>
      <c r="H860" t="str">
        <f>VLOOKUP(G860,[1]OPERADORES!$A:$B,2,0)</f>
        <v>DANIEL</v>
      </c>
      <c r="I860" t="s">
        <v>21</v>
      </c>
      <c r="J860" t="s">
        <v>1653</v>
      </c>
      <c r="K860" t="s">
        <v>1654</v>
      </c>
      <c r="L860">
        <v>24247</v>
      </c>
      <c r="M860" t="s">
        <v>111</v>
      </c>
      <c r="O860" t="s">
        <v>11</v>
      </c>
      <c r="P860">
        <v>5403</v>
      </c>
      <c r="Q860">
        <v>48</v>
      </c>
      <c r="R860">
        <v>21</v>
      </c>
      <c r="S860" s="2">
        <v>1008</v>
      </c>
      <c r="T860">
        <v>796.8</v>
      </c>
      <c r="U860">
        <v>20.95</v>
      </c>
      <c r="V860" t="str">
        <f>VLOOKUP(L860,'[2]tabela de preços'!$A:$D,4,0)</f>
        <v>SHERWIN WILLIAMS</v>
      </c>
      <c r="W860" t="str">
        <f>VLOOKUP(L860,'[2]tabela de preços'!$A:$F,6,0)</f>
        <v>PRIMER AUTOMOTIVO</v>
      </c>
      <c r="X860" t="str">
        <f>VLOOKUP(L860,'[2]tabela de preços'!$A:$G,7,0)</f>
        <v>AUTOMOTIVO</v>
      </c>
    </row>
    <row r="861" spans="1:24" x14ac:dyDescent="0.3">
      <c r="A861" t="s">
        <v>1671</v>
      </c>
      <c r="B861" t="s">
        <v>1672</v>
      </c>
      <c r="C861" t="s">
        <v>1673</v>
      </c>
      <c r="D861" s="1">
        <v>46035</v>
      </c>
      <c r="E861" t="s">
        <v>1674</v>
      </c>
      <c r="F861">
        <v>9</v>
      </c>
      <c r="G861">
        <v>236</v>
      </c>
      <c r="H861" t="str">
        <f>VLOOKUP(G861,[1]OPERADORES!$A:$B,2,0)</f>
        <v>DANIEL</v>
      </c>
      <c r="I861" t="s">
        <v>21</v>
      </c>
      <c r="J861" t="s">
        <v>494</v>
      </c>
      <c r="K861" t="s">
        <v>1675</v>
      </c>
      <c r="L861">
        <v>84762</v>
      </c>
      <c r="M861" t="s">
        <v>1014</v>
      </c>
      <c r="O861" t="s">
        <v>11</v>
      </c>
      <c r="P861">
        <v>5403</v>
      </c>
      <c r="Q861">
        <v>1</v>
      </c>
      <c r="R861">
        <v>163.04</v>
      </c>
      <c r="S861">
        <v>163.04</v>
      </c>
      <c r="T861">
        <v>116.88</v>
      </c>
      <c r="U861">
        <v>28.31</v>
      </c>
      <c r="V861" t="str">
        <f>VLOOKUP(L861,'[2]tabela de preços'!$A:$D,4,0)</f>
        <v>BRASILUX</v>
      </c>
      <c r="W861" t="str">
        <f>VLOOKUP(L861,'[2]tabela de preços'!$A:$F,6,0)</f>
        <v>EPOXI</v>
      </c>
      <c r="X861" t="str">
        <f>VLOOKUP(L861,'[2]tabela de preços'!$A:$G,7,0)</f>
        <v>INDUSTRIAL</v>
      </c>
    </row>
    <row r="862" spans="1:24" x14ac:dyDescent="0.3">
      <c r="A862" t="s">
        <v>1671</v>
      </c>
      <c r="B862" t="s">
        <v>1672</v>
      </c>
      <c r="C862" t="s">
        <v>1673</v>
      </c>
      <c r="D862" s="1">
        <v>46035</v>
      </c>
      <c r="E862" t="s">
        <v>1674</v>
      </c>
      <c r="F862">
        <v>9</v>
      </c>
      <c r="G862">
        <v>236</v>
      </c>
      <c r="H862" t="str">
        <f>VLOOKUP(G862,[1]OPERADORES!$A:$B,2,0)</f>
        <v>DANIEL</v>
      </c>
      <c r="I862" t="s">
        <v>21</v>
      </c>
      <c r="J862" t="s">
        <v>494</v>
      </c>
      <c r="K862" t="s">
        <v>1675</v>
      </c>
      <c r="L862">
        <v>84767</v>
      </c>
      <c r="M862" t="s">
        <v>732</v>
      </c>
      <c r="O862" t="s">
        <v>11</v>
      </c>
      <c r="P862">
        <v>5403</v>
      </c>
      <c r="Q862">
        <v>1</v>
      </c>
      <c r="R862">
        <v>163.04</v>
      </c>
      <c r="S862">
        <v>163.04</v>
      </c>
      <c r="T862">
        <v>116.88</v>
      </c>
      <c r="U862">
        <v>28.31</v>
      </c>
      <c r="V862" t="str">
        <f>VLOOKUP(L862,'[2]tabela de preços'!$A:$D,4,0)</f>
        <v>BRASILUX</v>
      </c>
      <c r="W862" t="str">
        <f>VLOOKUP(L862,'[2]tabela de preços'!$A:$F,6,0)</f>
        <v>EPOXI</v>
      </c>
      <c r="X862" t="str">
        <f>VLOOKUP(L862,'[2]tabela de preços'!$A:$G,7,0)</f>
        <v>INDUSTRIAL</v>
      </c>
    </row>
    <row r="863" spans="1:24" x14ac:dyDescent="0.3">
      <c r="A863" t="s">
        <v>1676</v>
      </c>
      <c r="C863" t="s">
        <v>1677</v>
      </c>
      <c r="D863" s="1">
        <v>46035</v>
      </c>
      <c r="E863" t="s">
        <v>1678</v>
      </c>
      <c r="F863">
        <v>9</v>
      </c>
      <c r="G863">
        <v>174</v>
      </c>
      <c r="H863" t="str">
        <f>VLOOKUP(G863,[1]OPERADORES!$A:$B,2,0)</f>
        <v>MIRIÃ LOBATO RODRIGUES</v>
      </c>
      <c r="I863" t="s">
        <v>21</v>
      </c>
      <c r="J863" t="s">
        <v>306</v>
      </c>
      <c r="K863" t="s">
        <v>1679</v>
      </c>
      <c r="L863">
        <v>24248</v>
      </c>
      <c r="M863" t="s">
        <v>107</v>
      </c>
      <c r="O863" t="s">
        <v>11</v>
      </c>
      <c r="P863">
        <v>5102</v>
      </c>
      <c r="Q863">
        <v>5</v>
      </c>
      <c r="R863">
        <v>8</v>
      </c>
      <c r="S863">
        <v>40</v>
      </c>
      <c r="T863">
        <v>32.049999999999997</v>
      </c>
      <c r="U863">
        <v>19.88</v>
      </c>
      <c r="V863" t="str">
        <f>VLOOKUP(L863,'[2]tabela de preços'!$A:$D,4,0)</f>
        <v>SHERWIN WILLIAMS</v>
      </c>
      <c r="W863" t="str">
        <f>VLOOKUP(L863,'[2]tabela de preços'!$A:$F,6,0)</f>
        <v>PRIMER AUTOMOTIVO</v>
      </c>
      <c r="X863" t="str">
        <f>VLOOKUP(L863,'[2]tabela de preços'!$A:$G,7,0)</f>
        <v>AUTOMOTIVO</v>
      </c>
    </row>
    <row r="864" spans="1:24" x14ac:dyDescent="0.3">
      <c r="A864" t="s">
        <v>1676</v>
      </c>
      <c r="C864" t="s">
        <v>1677</v>
      </c>
      <c r="D864" s="1">
        <v>46035</v>
      </c>
      <c r="E864" t="s">
        <v>1678</v>
      </c>
      <c r="F864">
        <v>9</v>
      </c>
      <c r="G864">
        <v>174</v>
      </c>
      <c r="H864" t="str">
        <f>VLOOKUP(G864,[1]OPERADORES!$A:$B,2,0)</f>
        <v>MIRIÃ LOBATO RODRIGUES</v>
      </c>
      <c r="I864" t="s">
        <v>21</v>
      </c>
      <c r="J864" t="s">
        <v>306</v>
      </c>
      <c r="K864" t="s">
        <v>1679</v>
      </c>
      <c r="L864">
        <v>24240</v>
      </c>
      <c r="M864" t="s">
        <v>240</v>
      </c>
      <c r="O864" t="s">
        <v>11</v>
      </c>
      <c r="P864">
        <v>5102</v>
      </c>
      <c r="Q864">
        <v>32</v>
      </c>
      <c r="R864">
        <v>3.81</v>
      </c>
      <c r="S864">
        <v>121.92</v>
      </c>
      <c r="T864">
        <v>104.96</v>
      </c>
      <c r="U864">
        <v>13.91</v>
      </c>
      <c r="V864" t="str">
        <f>VLOOKUP(L864,'[2]tabela de preços'!$A:$D,4,0)</f>
        <v>ADERE</v>
      </c>
      <c r="W864" t="str">
        <f>VLOOKUP(L864,'[2]tabela de preços'!$A:$F,6,0)</f>
        <v>FITA AUTOMOTIVA</v>
      </c>
      <c r="X864" t="str">
        <f>VLOOKUP(L864,'[2]tabela de preços'!$A:$G,7,0)</f>
        <v>AUTOMOTIVO</v>
      </c>
    </row>
    <row r="865" spans="1:24" x14ac:dyDescent="0.3">
      <c r="A865" t="s">
        <v>1676</v>
      </c>
      <c r="C865" t="s">
        <v>1677</v>
      </c>
      <c r="D865" s="1">
        <v>46035</v>
      </c>
      <c r="E865" t="s">
        <v>1678</v>
      </c>
      <c r="F865">
        <v>9</v>
      </c>
      <c r="G865">
        <v>174</v>
      </c>
      <c r="H865" t="str">
        <f>VLOOKUP(G865,[1]OPERADORES!$A:$B,2,0)</f>
        <v>MIRIÃ LOBATO RODRIGUES</v>
      </c>
      <c r="I865" t="s">
        <v>21</v>
      </c>
      <c r="J865" t="s">
        <v>306</v>
      </c>
      <c r="K865" t="s">
        <v>1679</v>
      </c>
      <c r="L865">
        <v>23602</v>
      </c>
      <c r="M865" t="s">
        <v>215</v>
      </c>
      <c r="O865" t="s">
        <v>11</v>
      </c>
      <c r="P865">
        <v>5405</v>
      </c>
      <c r="Q865">
        <v>5</v>
      </c>
      <c r="R865">
        <v>35.89</v>
      </c>
      <c r="S865">
        <v>179.45</v>
      </c>
      <c r="T865">
        <v>146.25</v>
      </c>
      <c r="U865">
        <v>18.5</v>
      </c>
      <c r="V865" t="str">
        <f>VLOOKUP(L865,'[2]tabela de preços'!$A:$D,4,0)</f>
        <v>SHERWIN WILLIAMS</v>
      </c>
      <c r="W865" t="str">
        <f>VLOOKUP(L865,'[2]tabela de preços'!$A:$F,6,0)</f>
        <v>VERNIZ AUTOMOTIVO</v>
      </c>
      <c r="X865" t="str">
        <f>VLOOKUP(L865,'[2]tabela de preços'!$A:$G,7,0)</f>
        <v>AUTOMOTIVO</v>
      </c>
    </row>
    <row r="866" spans="1:24" x14ac:dyDescent="0.3">
      <c r="A866" t="s">
        <v>1676</v>
      </c>
      <c r="C866" t="s">
        <v>1677</v>
      </c>
      <c r="D866" s="1">
        <v>46035</v>
      </c>
      <c r="E866" t="s">
        <v>1678</v>
      </c>
      <c r="F866">
        <v>9</v>
      </c>
      <c r="G866">
        <v>174</v>
      </c>
      <c r="H866" t="str">
        <f>VLOOKUP(G866,[1]OPERADORES!$A:$B,2,0)</f>
        <v>MIRIÃ LOBATO RODRIGUES</v>
      </c>
      <c r="I866" t="s">
        <v>21</v>
      </c>
      <c r="J866" t="s">
        <v>306</v>
      </c>
      <c r="K866" t="s">
        <v>1679</v>
      </c>
      <c r="L866">
        <v>87043</v>
      </c>
      <c r="M866" t="s">
        <v>217</v>
      </c>
      <c r="O866" t="s">
        <v>11</v>
      </c>
      <c r="P866">
        <v>5102</v>
      </c>
      <c r="Q866">
        <v>5</v>
      </c>
      <c r="R866">
        <v>21.95</v>
      </c>
      <c r="S866">
        <v>109.75</v>
      </c>
      <c r="T866">
        <v>90.1</v>
      </c>
      <c r="U866">
        <v>17.899999999999999</v>
      </c>
      <c r="V866" t="str">
        <f>VLOOKUP(L866,'[2]tabela de preços'!$A:$D,4,0)</f>
        <v>ROBERLO</v>
      </c>
      <c r="W866" t="str">
        <f>VLOOKUP(L866,'[2]tabela de preços'!$A:$F,6,0)</f>
        <v>MASSA POLIÉSTER</v>
      </c>
      <c r="X866" t="str">
        <f>VLOOKUP(L866,'[2]tabela de preços'!$A:$G,7,0)</f>
        <v>AUTOMOTIVO</v>
      </c>
    </row>
    <row r="867" spans="1:24" x14ac:dyDescent="0.3">
      <c r="A867" t="s">
        <v>1676</v>
      </c>
      <c r="C867" t="s">
        <v>1677</v>
      </c>
      <c r="D867" s="1">
        <v>46035</v>
      </c>
      <c r="E867" t="s">
        <v>1678</v>
      </c>
      <c r="F867">
        <v>9</v>
      </c>
      <c r="G867">
        <v>174</v>
      </c>
      <c r="H867" t="str">
        <f>VLOOKUP(G867,[1]OPERADORES!$A:$B,2,0)</f>
        <v>MIRIÃ LOBATO RODRIGUES</v>
      </c>
      <c r="I867" t="s">
        <v>21</v>
      </c>
      <c r="J867" t="s">
        <v>306</v>
      </c>
      <c r="K867" t="s">
        <v>1679</v>
      </c>
      <c r="L867">
        <v>24247</v>
      </c>
      <c r="M867" t="s">
        <v>111</v>
      </c>
      <c r="O867" t="s">
        <v>11</v>
      </c>
      <c r="P867">
        <v>5405</v>
      </c>
      <c r="Q867">
        <v>5</v>
      </c>
      <c r="R867">
        <v>21</v>
      </c>
      <c r="S867">
        <v>105</v>
      </c>
      <c r="T867">
        <v>83</v>
      </c>
      <c r="U867">
        <v>20.95</v>
      </c>
      <c r="V867" t="str">
        <f>VLOOKUP(L867,'[2]tabela de preços'!$A:$D,4,0)</f>
        <v>SHERWIN WILLIAMS</v>
      </c>
      <c r="W867" t="str">
        <f>VLOOKUP(L867,'[2]tabela de preços'!$A:$F,6,0)</f>
        <v>PRIMER AUTOMOTIVO</v>
      </c>
      <c r="X867" t="str">
        <f>VLOOKUP(L867,'[2]tabela de preços'!$A:$G,7,0)</f>
        <v>AUTOMOTIVO</v>
      </c>
    </row>
    <row r="868" spans="1:24" x14ac:dyDescent="0.3">
      <c r="A868" t="s">
        <v>1682</v>
      </c>
      <c r="C868" t="s">
        <v>1683</v>
      </c>
      <c r="D868" s="1">
        <v>46035</v>
      </c>
      <c r="E868" t="s">
        <v>1684</v>
      </c>
      <c r="F868">
        <v>9</v>
      </c>
      <c r="G868">
        <v>174</v>
      </c>
      <c r="H868" t="str">
        <f>VLOOKUP(G868,[1]OPERADORES!$A:$B,2,0)</f>
        <v>MIRIÃ LOBATO RODRIGUES</v>
      </c>
      <c r="I868" t="s">
        <v>21</v>
      </c>
      <c r="J868" t="s">
        <v>95</v>
      </c>
      <c r="K868" t="s">
        <v>1685</v>
      </c>
      <c r="L868">
        <v>23580</v>
      </c>
      <c r="M868" t="s">
        <v>115</v>
      </c>
      <c r="O868" t="s">
        <v>11</v>
      </c>
      <c r="P868">
        <v>5102</v>
      </c>
      <c r="Q868">
        <v>7</v>
      </c>
      <c r="R868">
        <v>0.56000000000000005</v>
      </c>
      <c r="S868">
        <v>3.92</v>
      </c>
      <c r="T868">
        <v>2.52</v>
      </c>
      <c r="U868">
        <v>35.71</v>
      </c>
      <c r="V868" t="str">
        <f>VLOOKUP(L868,'[2]tabela de preços'!$A:$D,4,0)</f>
        <v>RENOVA COADORES</v>
      </c>
      <c r="W868" t="str">
        <f>VLOOKUP(L868,'[2]tabela de preços'!$A:$F,6,0)</f>
        <v>COADORES</v>
      </c>
      <c r="X868" t="str">
        <f>VLOOKUP(L868,'[2]tabela de preços'!$A:$G,7,0)</f>
        <v>AUTOMOTIVO</v>
      </c>
    </row>
    <row r="869" spans="1:24" x14ac:dyDescent="0.3">
      <c r="A869" t="s">
        <v>1682</v>
      </c>
      <c r="C869" t="s">
        <v>1683</v>
      </c>
      <c r="D869" s="1">
        <v>46035</v>
      </c>
      <c r="E869" t="s">
        <v>1684</v>
      </c>
      <c r="F869">
        <v>9</v>
      </c>
      <c r="G869">
        <v>174</v>
      </c>
      <c r="H869" t="str">
        <f>VLOOKUP(G869,[1]OPERADORES!$A:$B,2,0)</f>
        <v>MIRIÃ LOBATO RODRIGUES</v>
      </c>
      <c r="I869" t="s">
        <v>21</v>
      </c>
      <c r="J869" t="s">
        <v>95</v>
      </c>
      <c r="K869" t="s">
        <v>1685</v>
      </c>
      <c r="L869">
        <v>24248</v>
      </c>
      <c r="M869" t="s">
        <v>107</v>
      </c>
      <c r="O869" t="s">
        <v>11</v>
      </c>
      <c r="P869">
        <v>5102</v>
      </c>
      <c r="Q869">
        <v>12</v>
      </c>
      <c r="R869">
        <v>8</v>
      </c>
      <c r="S869">
        <v>96</v>
      </c>
      <c r="T869">
        <v>76.92</v>
      </c>
      <c r="U869">
        <v>19.88</v>
      </c>
      <c r="V869" t="str">
        <f>VLOOKUP(L869,'[2]tabela de preços'!$A:$D,4,0)</f>
        <v>SHERWIN WILLIAMS</v>
      </c>
      <c r="W869" t="str">
        <f>VLOOKUP(L869,'[2]tabela de preços'!$A:$F,6,0)</f>
        <v>PRIMER AUTOMOTIVO</v>
      </c>
      <c r="X869" t="str">
        <f>VLOOKUP(L869,'[2]tabela de preços'!$A:$G,7,0)</f>
        <v>AUTOMOTIVO</v>
      </c>
    </row>
    <row r="870" spans="1:24" x14ac:dyDescent="0.3">
      <c r="A870" t="s">
        <v>1682</v>
      </c>
      <c r="C870" t="s">
        <v>1683</v>
      </c>
      <c r="D870" s="1">
        <v>46035</v>
      </c>
      <c r="E870" t="s">
        <v>1684</v>
      </c>
      <c r="F870">
        <v>9</v>
      </c>
      <c r="G870">
        <v>174</v>
      </c>
      <c r="H870" t="str">
        <f>VLOOKUP(G870,[1]OPERADORES!$A:$B,2,0)</f>
        <v>MIRIÃ LOBATO RODRIGUES</v>
      </c>
      <c r="I870" t="s">
        <v>21</v>
      </c>
      <c r="J870" t="s">
        <v>95</v>
      </c>
      <c r="K870" t="s">
        <v>1685</v>
      </c>
      <c r="L870">
        <v>22684</v>
      </c>
      <c r="M870" t="s">
        <v>73</v>
      </c>
      <c r="O870" t="s">
        <v>11</v>
      </c>
      <c r="P870">
        <v>5102</v>
      </c>
      <c r="Q870">
        <v>80</v>
      </c>
      <c r="R870">
        <v>3.65</v>
      </c>
      <c r="S870">
        <v>292</v>
      </c>
      <c r="T870">
        <v>246.4</v>
      </c>
      <c r="U870">
        <v>15.62</v>
      </c>
      <c r="V870" t="str">
        <f>VLOOKUP(L870,'[2]tabela de preços'!$A:$D,4,0)</f>
        <v>3M</v>
      </c>
      <c r="W870" t="str">
        <f>VLOOKUP(L870,'[2]tabela de preços'!$A:$F,6,0)</f>
        <v>FITA AUTOMOTIVA</v>
      </c>
      <c r="X870" t="str">
        <f>VLOOKUP(L870,'[2]tabela de preços'!$A:$G,7,0)</f>
        <v>AUTOMOTIVO</v>
      </c>
    </row>
    <row r="871" spans="1:24" x14ac:dyDescent="0.3">
      <c r="A871" t="s">
        <v>1682</v>
      </c>
      <c r="C871" t="s">
        <v>1683</v>
      </c>
      <c r="D871" s="1">
        <v>46035</v>
      </c>
      <c r="E871" t="s">
        <v>1684</v>
      </c>
      <c r="F871">
        <v>9</v>
      </c>
      <c r="G871">
        <v>174</v>
      </c>
      <c r="H871" t="str">
        <f>VLOOKUP(G871,[1]OPERADORES!$A:$B,2,0)</f>
        <v>MIRIÃ LOBATO RODRIGUES</v>
      </c>
      <c r="I871" t="s">
        <v>21</v>
      </c>
      <c r="J871" t="s">
        <v>95</v>
      </c>
      <c r="K871" t="s">
        <v>1685</v>
      </c>
      <c r="L871">
        <v>24247</v>
      </c>
      <c r="M871" t="s">
        <v>111</v>
      </c>
      <c r="O871" t="s">
        <v>11</v>
      </c>
      <c r="P871">
        <v>5403</v>
      </c>
      <c r="Q871">
        <v>12</v>
      </c>
      <c r="R871">
        <v>21</v>
      </c>
      <c r="S871">
        <v>252</v>
      </c>
      <c r="T871">
        <v>199.2</v>
      </c>
      <c r="U871">
        <v>20.95</v>
      </c>
      <c r="V871" t="str">
        <f>VLOOKUP(L871,'[2]tabela de preços'!$A:$D,4,0)</f>
        <v>SHERWIN WILLIAMS</v>
      </c>
      <c r="W871" t="str">
        <f>VLOOKUP(L871,'[2]tabela de preços'!$A:$F,6,0)</f>
        <v>PRIMER AUTOMOTIVO</v>
      </c>
      <c r="X871" t="str">
        <f>VLOOKUP(L871,'[2]tabela de preços'!$A:$G,7,0)</f>
        <v>AUTOMOTIVO</v>
      </c>
    </row>
    <row r="872" spans="1:24" x14ac:dyDescent="0.3">
      <c r="A872" t="s">
        <v>1682</v>
      </c>
      <c r="C872" t="s">
        <v>1683</v>
      </c>
      <c r="D872" s="1">
        <v>46035</v>
      </c>
      <c r="E872" t="s">
        <v>1684</v>
      </c>
      <c r="F872">
        <v>9</v>
      </c>
      <c r="G872">
        <v>174</v>
      </c>
      <c r="H872" t="str">
        <f>VLOOKUP(G872,[1]OPERADORES!$A:$B,2,0)</f>
        <v>MIRIÃ LOBATO RODRIGUES</v>
      </c>
      <c r="I872" t="s">
        <v>21</v>
      </c>
      <c r="J872" t="s">
        <v>95</v>
      </c>
      <c r="K872" t="s">
        <v>1685</v>
      </c>
      <c r="L872">
        <v>84560</v>
      </c>
      <c r="M872" t="s">
        <v>118</v>
      </c>
      <c r="O872" t="s">
        <v>11</v>
      </c>
      <c r="P872">
        <v>5102</v>
      </c>
      <c r="Q872">
        <v>6</v>
      </c>
      <c r="R872">
        <v>47.89</v>
      </c>
      <c r="S872">
        <v>287.33999999999997</v>
      </c>
      <c r="T872">
        <v>234.96</v>
      </c>
      <c r="U872">
        <v>18.23</v>
      </c>
      <c r="V872" t="str">
        <f>VLOOKUP(L872,'[2]tabela de preços'!$A:$D,4,0)</f>
        <v>BRASILUX</v>
      </c>
      <c r="W872" t="str">
        <f>VLOOKUP(L872,'[2]tabela de preços'!$A:$F,6,0)</f>
        <v>THINNER DE LIMPEZA</v>
      </c>
      <c r="X872" t="str">
        <f>VLOOKUP(L872,'[2]tabela de preços'!$A:$G,7,0)</f>
        <v>THINNER</v>
      </c>
    </row>
    <row r="873" spans="1:24" x14ac:dyDescent="0.3">
      <c r="A873" t="s">
        <v>1682</v>
      </c>
      <c r="C873" t="s">
        <v>1683</v>
      </c>
      <c r="D873" s="1">
        <v>46035</v>
      </c>
      <c r="E873" t="s">
        <v>1684</v>
      </c>
      <c r="F873">
        <v>9</v>
      </c>
      <c r="G873">
        <v>174</v>
      </c>
      <c r="H873" t="str">
        <f>VLOOKUP(G873,[1]OPERADORES!$A:$B,2,0)</f>
        <v>MIRIÃ LOBATO RODRIGUES</v>
      </c>
      <c r="I873" t="s">
        <v>21</v>
      </c>
      <c r="J873" t="s">
        <v>95</v>
      </c>
      <c r="K873" t="s">
        <v>1685</v>
      </c>
      <c r="L873">
        <v>20414</v>
      </c>
      <c r="M873" t="s">
        <v>112</v>
      </c>
      <c r="O873" t="s">
        <v>11</v>
      </c>
      <c r="P873">
        <v>5102</v>
      </c>
      <c r="Q873">
        <v>7</v>
      </c>
      <c r="R873">
        <v>21.89</v>
      </c>
      <c r="S873">
        <v>153.22999999999999</v>
      </c>
      <c r="T873">
        <v>126</v>
      </c>
      <c r="U873">
        <v>17.77</v>
      </c>
      <c r="V873" t="str">
        <f>VLOOKUP(L873,'[2]tabela de preços'!$A:$D,4,0)</f>
        <v>SHERWIN WILLIAMS</v>
      </c>
      <c r="W873" t="str">
        <f>VLOOKUP(L873,'[2]tabela de preços'!$A:$F,6,0)</f>
        <v>DILUENTE</v>
      </c>
      <c r="X873" t="str">
        <f>VLOOKUP(L873,'[2]tabela de preços'!$A:$G,7,0)</f>
        <v>AUTOMOTIVO</v>
      </c>
    </row>
    <row r="874" spans="1:24" x14ac:dyDescent="0.3">
      <c r="A874" t="s">
        <v>1682</v>
      </c>
      <c r="C874" t="s">
        <v>1683</v>
      </c>
      <c r="D874" s="1">
        <v>46035</v>
      </c>
      <c r="E874" t="s">
        <v>1684</v>
      </c>
      <c r="F874">
        <v>9</v>
      </c>
      <c r="G874">
        <v>174</v>
      </c>
      <c r="H874" t="str">
        <f>VLOOKUP(G874,[1]OPERADORES!$A:$B,2,0)</f>
        <v>MIRIÃ LOBATO RODRIGUES</v>
      </c>
      <c r="I874" t="s">
        <v>21</v>
      </c>
      <c r="J874" t="s">
        <v>95</v>
      </c>
      <c r="K874" t="s">
        <v>1685</v>
      </c>
      <c r="L874">
        <v>84460</v>
      </c>
      <c r="M874" t="s">
        <v>322</v>
      </c>
      <c r="O874" t="s">
        <v>11</v>
      </c>
      <c r="P874">
        <v>5102</v>
      </c>
      <c r="Q874">
        <v>2</v>
      </c>
      <c r="R874">
        <v>31.07</v>
      </c>
      <c r="S874">
        <v>62.14</v>
      </c>
      <c r="T874">
        <v>47.16</v>
      </c>
      <c r="U874">
        <v>24.11</v>
      </c>
      <c r="V874" t="str">
        <f>VLOOKUP(L874,'[2]tabela de preços'!$A:$D,4,0)</f>
        <v>BRASILUX</v>
      </c>
      <c r="W874" t="str">
        <f>VLOOKUP(L874,'[2]tabela de preços'!$A:$F,6,0)</f>
        <v>VEDADORES / SELANTES</v>
      </c>
      <c r="X874" t="str">
        <f>VLOOKUP(L874,'[2]tabela de preços'!$A:$G,7,0)</f>
        <v>AUTOMOTIVO</v>
      </c>
    </row>
    <row r="875" spans="1:24" x14ac:dyDescent="0.3">
      <c r="A875" t="s">
        <v>1701</v>
      </c>
      <c r="C875" t="s">
        <v>1715</v>
      </c>
      <c r="D875" s="1">
        <v>46035</v>
      </c>
      <c r="E875" t="s">
        <v>1716</v>
      </c>
      <c r="F875">
        <v>9</v>
      </c>
      <c r="G875">
        <v>197</v>
      </c>
      <c r="H875" t="str">
        <f>VLOOKUP(G875,[1]OPERADORES!$A:$B,2,0)</f>
        <v xml:space="preserve">POLIANA LORRANE DE AMORIM </v>
      </c>
      <c r="I875" t="s">
        <v>21</v>
      </c>
      <c r="J875" t="s">
        <v>265</v>
      </c>
      <c r="K875" t="s">
        <v>1704</v>
      </c>
      <c r="L875">
        <v>84328</v>
      </c>
      <c r="M875" t="s">
        <v>496</v>
      </c>
      <c r="O875" t="s">
        <v>11</v>
      </c>
      <c r="P875">
        <v>5403</v>
      </c>
      <c r="Q875">
        <v>1</v>
      </c>
      <c r="R875">
        <v>59.98</v>
      </c>
      <c r="S875">
        <v>59.98</v>
      </c>
      <c r="T875">
        <v>46.19</v>
      </c>
      <c r="U875">
        <v>22.99</v>
      </c>
      <c r="V875" t="str">
        <f>VLOOKUP(L875,'[2]tabela de preços'!$A:$D,4,0)</f>
        <v>BRASILUX</v>
      </c>
      <c r="W875" t="str">
        <f>VLOOKUP(L875,'[2]tabela de preços'!$A:$F,6,0)</f>
        <v>ESMALTES</v>
      </c>
      <c r="X875" t="str">
        <f>VLOOKUP(L875,'[2]tabela de preços'!$A:$G,7,0)</f>
        <v>INDUSTRIAL</v>
      </c>
    </row>
    <row r="876" spans="1:24" x14ac:dyDescent="0.3">
      <c r="A876" t="s">
        <v>1701</v>
      </c>
      <c r="C876" t="s">
        <v>1715</v>
      </c>
      <c r="D876" s="1">
        <v>46035</v>
      </c>
      <c r="E876" t="s">
        <v>1716</v>
      </c>
      <c r="F876">
        <v>9</v>
      </c>
      <c r="G876">
        <v>197</v>
      </c>
      <c r="H876" t="str">
        <f>VLOOKUP(G876,[1]OPERADORES!$A:$B,2,0)</f>
        <v xml:space="preserve">POLIANA LORRANE DE AMORIM </v>
      </c>
      <c r="I876" t="s">
        <v>21</v>
      </c>
      <c r="J876" t="s">
        <v>265</v>
      </c>
      <c r="K876" t="s">
        <v>1704</v>
      </c>
      <c r="L876">
        <v>84144</v>
      </c>
      <c r="M876" t="s">
        <v>1287</v>
      </c>
      <c r="O876" t="s">
        <v>11</v>
      </c>
      <c r="P876">
        <v>5403</v>
      </c>
      <c r="Q876">
        <v>3</v>
      </c>
      <c r="R876">
        <v>59.98</v>
      </c>
      <c r="S876">
        <v>179.94</v>
      </c>
      <c r="T876">
        <v>156</v>
      </c>
      <c r="U876">
        <v>13.3</v>
      </c>
      <c r="V876" t="str">
        <f>VLOOKUP(L876,'[2]tabela de preços'!$A:$D,4,0)</f>
        <v>BRASILUX</v>
      </c>
      <c r="W876" t="str">
        <f>VLOOKUP(L876,'[2]tabela de preços'!$A:$F,6,0)</f>
        <v>ESMALTES</v>
      </c>
      <c r="X876" t="str">
        <f>VLOOKUP(L876,'[2]tabela de preços'!$A:$G,7,0)</f>
        <v>INDUSTRIAL</v>
      </c>
    </row>
    <row r="877" spans="1:24" x14ac:dyDescent="0.3">
      <c r="A877" t="s">
        <v>1701</v>
      </c>
      <c r="C877" t="s">
        <v>1715</v>
      </c>
      <c r="D877" s="1">
        <v>46035</v>
      </c>
      <c r="E877" t="s">
        <v>1716</v>
      </c>
      <c r="F877">
        <v>9</v>
      </c>
      <c r="G877">
        <v>197</v>
      </c>
      <c r="H877" t="str">
        <f>VLOOKUP(G877,[1]OPERADORES!$A:$B,2,0)</f>
        <v xml:space="preserve">POLIANA LORRANE DE AMORIM </v>
      </c>
      <c r="I877" t="s">
        <v>21</v>
      </c>
      <c r="J877" t="s">
        <v>265</v>
      </c>
      <c r="K877" t="s">
        <v>1704</v>
      </c>
      <c r="L877">
        <v>84147</v>
      </c>
      <c r="M877" t="s">
        <v>1717</v>
      </c>
      <c r="O877" t="s">
        <v>11</v>
      </c>
      <c r="P877">
        <v>5403</v>
      </c>
      <c r="Q877">
        <v>4</v>
      </c>
      <c r="R877">
        <v>19.41</v>
      </c>
      <c r="S877">
        <v>77.64</v>
      </c>
      <c r="T877">
        <v>58.92</v>
      </c>
      <c r="U877">
        <v>24.11</v>
      </c>
      <c r="V877" t="str">
        <f>VLOOKUP(L877,'[2]tabela de preços'!$A:$D,4,0)</f>
        <v>BRASILUX</v>
      </c>
      <c r="W877" t="str">
        <f>VLOOKUP(L877,'[2]tabela de preços'!$A:$F,6,0)</f>
        <v>ESMALTES</v>
      </c>
      <c r="X877" t="str">
        <f>VLOOKUP(L877,'[2]tabela de preços'!$A:$G,7,0)</f>
        <v>INDUSTRIAL</v>
      </c>
    </row>
    <row r="878" spans="1:24" x14ac:dyDescent="0.3">
      <c r="A878" t="s">
        <v>1701</v>
      </c>
      <c r="C878" t="s">
        <v>1715</v>
      </c>
      <c r="D878" s="1">
        <v>46035</v>
      </c>
      <c r="E878" t="s">
        <v>1716</v>
      </c>
      <c r="F878">
        <v>9</v>
      </c>
      <c r="G878">
        <v>197</v>
      </c>
      <c r="H878" t="str">
        <f>VLOOKUP(G878,[1]OPERADORES!$A:$B,2,0)</f>
        <v xml:space="preserve">POLIANA LORRANE DE AMORIM </v>
      </c>
      <c r="I878" t="s">
        <v>21</v>
      </c>
      <c r="J878" t="s">
        <v>265</v>
      </c>
      <c r="K878" t="s">
        <v>1704</v>
      </c>
      <c r="L878">
        <v>84348</v>
      </c>
      <c r="M878" t="s">
        <v>1711</v>
      </c>
      <c r="O878" t="s">
        <v>11</v>
      </c>
      <c r="P878">
        <v>5403</v>
      </c>
      <c r="Q878">
        <v>1</v>
      </c>
      <c r="R878">
        <v>59.98</v>
      </c>
      <c r="S878">
        <v>59.98</v>
      </c>
      <c r="T878">
        <v>47.66</v>
      </c>
      <c r="U878">
        <v>20.54</v>
      </c>
      <c r="V878" t="str">
        <f>VLOOKUP(L878,'[2]tabela de preços'!$A:$D,4,0)</f>
        <v>BRASILUX</v>
      </c>
      <c r="W878" t="str">
        <f>VLOOKUP(L878,'[2]tabela de preços'!$A:$F,6,0)</f>
        <v>ESMALTES</v>
      </c>
      <c r="X878" t="str">
        <f>VLOOKUP(L878,'[2]tabela de preços'!$A:$G,7,0)</f>
        <v>INDUSTRIAL</v>
      </c>
    </row>
    <row r="879" spans="1:24" x14ac:dyDescent="0.3">
      <c r="A879" t="s">
        <v>1701</v>
      </c>
      <c r="C879" t="s">
        <v>1715</v>
      </c>
      <c r="D879" s="1">
        <v>46035</v>
      </c>
      <c r="E879" t="s">
        <v>1716</v>
      </c>
      <c r="F879">
        <v>9</v>
      </c>
      <c r="G879">
        <v>197</v>
      </c>
      <c r="H879" t="str">
        <f>VLOOKUP(G879,[1]OPERADORES!$A:$B,2,0)</f>
        <v xml:space="preserve">POLIANA LORRANE DE AMORIM </v>
      </c>
      <c r="I879" t="s">
        <v>21</v>
      </c>
      <c r="J879" t="s">
        <v>265</v>
      </c>
      <c r="K879" t="s">
        <v>1704</v>
      </c>
      <c r="L879">
        <v>84177</v>
      </c>
      <c r="M879" t="s">
        <v>1718</v>
      </c>
      <c r="O879" t="s">
        <v>11</v>
      </c>
      <c r="P879">
        <v>5403</v>
      </c>
      <c r="Q879">
        <v>3</v>
      </c>
      <c r="R879">
        <v>29.69</v>
      </c>
      <c r="S879">
        <v>89.07</v>
      </c>
      <c r="T879">
        <v>67.62</v>
      </c>
      <c r="U879">
        <v>24.08</v>
      </c>
      <c r="V879" t="str">
        <f>VLOOKUP(L879,'[2]tabela de preços'!$A:$D,4,0)</f>
        <v>BRASILUX</v>
      </c>
      <c r="W879" t="str">
        <f>VLOOKUP(L879,'[2]tabela de preços'!$A:$F,6,0)</f>
        <v>ESMALTES</v>
      </c>
      <c r="X879" t="str">
        <f>VLOOKUP(L879,'[2]tabela de preços'!$A:$G,7,0)</f>
        <v>INDUSTRIAL</v>
      </c>
    </row>
    <row r="880" spans="1:24" x14ac:dyDescent="0.3">
      <c r="A880" t="s">
        <v>1701</v>
      </c>
      <c r="C880" t="s">
        <v>1715</v>
      </c>
      <c r="D880" s="1">
        <v>46035</v>
      </c>
      <c r="E880" t="s">
        <v>1716</v>
      </c>
      <c r="F880">
        <v>9</v>
      </c>
      <c r="G880">
        <v>197</v>
      </c>
      <c r="H880" t="str">
        <f>VLOOKUP(G880,[1]OPERADORES!$A:$B,2,0)</f>
        <v xml:space="preserve">POLIANA LORRANE DE AMORIM </v>
      </c>
      <c r="I880" t="s">
        <v>21</v>
      </c>
      <c r="J880" t="s">
        <v>265</v>
      </c>
      <c r="K880" t="s">
        <v>1704</v>
      </c>
      <c r="L880">
        <v>84073</v>
      </c>
      <c r="M880" t="s">
        <v>1719</v>
      </c>
      <c r="O880" t="s">
        <v>11</v>
      </c>
      <c r="P880">
        <v>5403</v>
      </c>
      <c r="Q880">
        <v>1</v>
      </c>
      <c r="R880">
        <v>27.77</v>
      </c>
      <c r="S880">
        <v>27.77</v>
      </c>
      <c r="T880">
        <v>20.36</v>
      </c>
      <c r="U880">
        <v>26.68</v>
      </c>
      <c r="V880" t="str">
        <f>VLOOKUP(L880,'[2]tabela de preços'!$A:$D,4,0)</f>
        <v>BRASILUX</v>
      </c>
      <c r="W880" t="str">
        <f>VLOOKUP(L880,'[2]tabela de preços'!$A:$F,6,0)</f>
        <v>ESMALTES</v>
      </c>
      <c r="X880" t="str">
        <f>VLOOKUP(L880,'[2]tabela de preços'!$A:$G,7,0)</f>
        <v>INDUSTRIAL</v>
      </c>
    </row>
    <row r="881" spans="1:24" x14ac:dyDescent="0.3">
      <c r="A881" t="s">
        <v>2041</v>
      </c>
      <c r="C881" t="s">
        <v>2042</v>
      </c>
      <c r="D881" s="1">
        <v>46035</v>
      </c>
      <c r="E881" t="s">
        <v>2043</v>
      </c>
      <c r="F881">
        <v>9</v>
      </c>
      <c r="G881">
        <v>231</v>
      </c>
      <c r="H881" t="str">
        <f>VLOOKUP(G881,[1]OPERADORES!$A:$B,2,0)</f>
        <v>EDIJANE</v>
      </c>
      <c r="I881" t="s">
        <v>21</v>
      </c>
      <c r="J881" t="s">
        <v>1653</v>
      </c>
      <c r="K881" t="s">
        <v>2044</v>
      </c>
      <c r="L881">
        <v>85628</v>
      </c>
      <c r="M881" t="s">
        <v>2045</v>
      </c>
      <c r="O881" t="s">
        <v>11</v>
      </c>
      <c r="P881">
        <v>5403</v>
      </c>
      <c r="Q881">
        <v>1</v>
      </c>
      <c r="R881">
        <v>466.65</v>
      </c>
      <c r="S881">
        <v>466.65</v>
      </c>
      <c r="T881">
        <v>264.62</v>
      </c>
      <c r="U881">
        <v>43.29</v>
      </c>
      <c r="V881" t="str">
        <f>VLOOKUP(L881,'[2]tabela de preços'!$A:$D,4,0)</f>
        <v>BRASILUX</v>
      </c>
      <c r="W881" t="str">
        <f>VLOOKUP(L881,'[2]tabela de preços'!$A:$F,6,0)</f>
        <v>TINTA PARA PISO</v>
      </c>
      <c r="X881" t="str">
        <f>VLOOKUP(L881,'[2]tabela de preços'!$A:$G,7,0)</f>
        <v>IMOBILIÁRIO</v>
      </c>
    </row>
    <row r="882" spans="1:24" x14ac:dyDescent="0.3">
      <c r="A882" t="s">
        <v>2046</v>
      </c>
      <c r="C882" t="s">
        <v>2050</v>
      </c>
      <c r="D882" s="1">
        <v>46035</v>
      </c>
      <c r="E882" t="s">
        <v>2051</v>
      </c>
      <c r="F882">
        <v>9</v>
      </c>
      <c r="G882">
        <v>236</v>
      </c>
      <c r="H882" t="str">
        <f>VLOOKUP(G882,[1]OPERADORES!$A:$B,2,0)</f>
        <v>DANIEL</v>
      </c>
      <c r="I882" t="s">
        <v>21</v>
      </c>
      <c r="J882" t="s">
        <v>614</v>
      </c>
      <c r="K882" t="s">
        <v>2049</v>
      </c>
      <c r="L882">
        <v>84108</v>
      </c>
      <c r="M882" t="s">
        <v>144</v>
      </c>
      <c r="O882" t="s">
        <v>11</v>
      </c>
      <c r="P882">
        <v>5403</v>
      </c>
      <c r="Q882">
        <v>6</v>
      </c>
      <c r="R882">
        <v>27.29</v>
      </c>
      <c r="S882">
        <v>163.74</v>
      </c>
      <c r="T882">
        <v>124.26</v>
      </c>
      <c r="U882">
        <v>24.11</v>
      </c>
      <c r="V882" t="str">
        <f>VLOOKUP(L882,'[2]tabela de preços'!$A:$D,4,0)</f>
        <v>BRASILUX</v>
      </c>
      <c r="W882" t="str">
        <f>VLOOKUP(L882,'[2]tabela de preços'!$A:$F,6,0)</f>
        <v>TINTAS LACA</v>
      </c>
      <c r="X882" t="str">
        <f>VLOOKUP(L882,'[2]tabela de preços'!$A:$G,7,0)</f>
        <v>AUTOMOTIVO</v>
      </c>
    </row>
    <row r="883" spans="1:24" x14ac:dyDescent="0.3">
      <c r="A883" t="s">
        <v>2046</v>
      </c>
      <c r="C883" t="s">
        <v>2050</v>
      </c>
      <c r="D883" s="1">
        <v>46035</v>
      </c>
      <c r="E883" t="s">
        <v>2051</v>
      </c>
      <c r="F883">
        <v>9</v>
      </c>
      <c r="G883">
        <v>236</v>
      </c>
      <c r="H883" t="str">
        <f>VLOOKUP(G883,[1]OPERADORES!$A:$B,2,0)</f>
        <v>DANIEL</v>
      </c>
      <c r="I883" t="s">
        <v>21</v>
      </c>
      <c r="J883" t="s">
        <v>614</v>
      </c>
      <c r="K883" t="s">
        <v>2049</v>
      </c>
      <c r="L883">
        <v>24248</v>
      </c>
      <c r="M883" t="s">
        <v>107</v>
      </c>
      <c r="O883" t="s">
        <v>11</v>
      </c>
      <c r="P883">
        <v>5102</v>
      </c>
      <c r="Q883">
        <v>12</v>
      </c>
      <c r="R883">
        <v>8</v>
      </c>
      <c r="S883">
        <v>96</v>
      </c>
      <c r="T883">
        <v>76.92</v>
      </c>
      <c r="U883">
        <v>19.88</v>
      </c>
      <c r="V883" t="str">
        <f>VLOOKUP(L883,'[2]tabela de preços'!$A:$D,4,0)</f>
        <v>SHERWIN WILLIAMS</v>
      </c>
      <c r="W883" t="str">
        <f>VLOOKUP(L883,'[2]tabela de preços'!$A:$F,6,0)</f>
        <v>PRIMER AUTOMOTIVO</v>
      </c>
      <c r="X883" t="str">
        <f>VLOOKUP(L883,'[2]tabela de preços'!$A:$G,7,0)</f>
        <v>AUTOMOTIVO</v>
      </c>
    </row>
    <row r="884" spans="1:24" x14ac:dyDescent="0.3">
      <c r="A884" t="s">
        <v>2046</v>
      </c>
      <c r="C884" t="s">
        <v>2050</v>
      </c>
      <c r="D884" s="1">
        <v>46035</v>
      </c>
      <c r="E884" t="s">
        <v>2051</v>
      </c>
      <c r="F884">
        <v>9</v>
      </c>
      <c r="G884">
        <v>236</v>
      </c>
      <c r="H884" t="str">
        <f>VLOOKUP(G884,[1]OPERADORES!$A:$B,2,0)</f>
        <v>DANIEL</v>
      </c>
      <c r="I884" t="s">
        <v>21</v>
      </c>
      <c r="J884" t="s">
        <v>614</v>
      </c>
      <c r="K884" t="s">
        <v>2049</v>
      </c>
      <c r="L884">
        <v>10277</v>
      </c>
      <c r="M884" t="s">
        <v>135</v>
      </c>
      <c r="O884" t="s">
        <v>11</v>
      </c>
      <c r="P884">
        <v>5102</v>
      </c>
      <c r="Q884">
        <v>12</v>
      </c>
      <c r="R884">
        <v>15.89</v>
      </c>
      <c r="S884">
        <v>190.68</v>
      </c>
      <c r="T884">
        <v>154.56</v>
      </c>
      <c r="U884">
        <v>18.940000000000001</v>
      </c>
      <c r="V884" t="str">
        <f>VLOOKUP(L884,'[2]tabela de preços'!$A:$D,4,0)</f>
        <v>RETOQUE</v>
      </c>
      <c r="W884" t="str">
        <f>VLOOKUP(L884,'[2]tabela de preços'!$A:$F,6,0)</f>
        <v xml:space="preserve">COLA  PLÁSTICA </v>
      </c>
      <c r="X884" t="str">
        <f>VLOOKUP(L884,'[2]tabela de preços'!$A:$G,7,0)</f>
        <v>AUTOMOTIVO</v>
      </c>
    </row>
    <row r="885" spans="1:24" x14ac:dyDescent="0.3">
      <c r="A885" t="s">
        <v>2046</v>
      </c>
      <c r="C885" t="s">
        <v>2050</v>
      </c>
      <c r="D885" s="1">
        <v>46035</v>
      </c>
      <c r="E885" t="s">
        <v>2051</v>
      </c>
      <c r="F885">
        <v>9</v>
      </c>
      <c r="G885">
        <v>236</v>
      </c>
      <c r="H885" t="str">
        <f>VLOOKUP(G885,[1]OPERADORES!$A:$B,2,0)</f>
        <v>DANIEL</v>
      </c>
      <c r="I885" t="s">
        <v>21</v>
      </c>
      <c r="J885" t="s">
        <v>614</v>
      </c>
      <c r="K885" t="s">
        <v>2049</v>
      </c>
      <c r="L885">
        <v>20431</v>
      </c>
      <c r="M885" t="s">
        <v>202</v>
      </c>
      <c r="O885" t="s">
        <v>11</v>
      </c>
      <c r="P885">
        <v>5403</v>
      </c>
      <c r="Q885">
        <v>9</v>
      </c>
      <c r="R885">
        <v>36.89</v>
      </c>
      <c r="S885">
        <v>332.01</v>
      </c>
      <c r="T885">
        <v>268.02</v>
      </c>
      <c r="U885">
        <v>19.27</v>
      </c>
      <c r="V885" t="str">
        <f>VLOOKUP(L885,'[2]tabela de preços'!$A:$D,4,0)</f>
        <v>SHERWIN WILLIAMS</v>
      </c>
      <c r="W885" t="str">
        <f>VLOOKUP(L885,'[2]tabela de preços'!$A:$F,6,0)</f>
        <v>VERNIZ AUTOMOTIVO</v>
      </c>
      <c r="X885" t="str">
        <f>VLOOKUP(L885,'[2]tabela de preços'!$A:$G,7,0)</f>
        <v>AUTOMOTIVO</v>
      </c>
    </row>
    <row r="886" spans="1:24" x14ac:dyDescent="0.3">
      <c r="A886" t="s">
        <v>2046</v>
      </c>
      <c r="C886" t="s">
        <v>2050</v>
      </c>
      <c r="D886" s="1">
        <v>46035</v>
      </c>
      <c r="E886" t="s">
        <v>2051</v>
      </c>
      <c r="F886">
        <v>9</v>
      </c>
      <c r="G886">
        <v>236</v>
      </c>
      <c r="H886" t="str">
        <f>VLOOKUP(G886,[1]OPERADORES!$A:$B,2,0)</f>
        <v>DANIEL</v>
      </c>
      <c r="I886" t="s">
        <v>21</v>
      </c>
      <c r="J886" t="s">
        <v>614</v>
      </c>
      <c r="K886" t="s">
        <v>2049</v>
      </c>
      <c r="L886">
        <v>21215</v>
      </c>
      <c r="M886" t="s">
        <v>2052</v>
      </c>
      <c r="O886" t="s">
        <v>11</v>
      </c>
      <c r="P886">
        <v>5403</v>
      </c>
      <c r="Q886">
        <v>1</v>
      </c>
      <c r="R886">
        <v>51.61</v>
      </c>
      <c r="S886">
        <v>51.61</v>
      </c>
      <c r="T886">
        <v>36.799999999999997</v>
      </c>
      <c r="U886">
        <v>28.7</v>
      </c>
      <c r="V886" t="str">
        <f>VLOOKUP(L886,'[2]tabela de preços'!$A:$D,4,0)</f>
        <v>SHERWIN WILLIAMS</v>
      </c>
      <c r="W886" t="str">
        <f>VLOOKUP(L886,'[2]tabela de preços'!$A:$F,6,0)</f>
        <v>TINTAS POLIÉSTER</v>
      </c>
      <c r="X886" t="str">
        <f>VLOOKUP(L886,'[2]tabela de preços'!$A:$G,7,0)</f>
        <v>AUTOMOTIVO</v>
      </c>
    </row>
    <row r="887" spans="1:24" x14ac:dyDescent="0.3">
      <c r="A887" t="s">
        <v>2046</v>
      </c>
      <c r="C887" t="s">
        <v>2050</v>
      </c>
      <c r="D887" s="1">
        <v>46035</v>
      </c>
      <c r="E887" t="s">
        <v>2051</v>
      </c>
      <c r="F887">
        <v>9</v>
      </c>
      <c r="G887">
        <v>236</v>
      </c>
      <c r="H887" t="str">
        <f>VLOOKUP(G887,[1]OPERADORES!$A:$B,2,0)</f>
        <v>DANIEL</v>
      </c>
      <c r="I887" t="s">
        <v>21</v>
      </c>
      <c r="J887" t="s">
        <v>614</v>
      </c>
      <c r="K887" t="s">
        <v>2049</v>
      </c>
      <c r="L887">
        <v>20525</v>
      </c>
      <c r="M887" t="s">
        <v>137</v>
      </c>
      <c r="O887" t="s">
        <v>11</v>
      </c>
      <c r="P887">
        <v>5102</v>
      </c>
      <c r="Q887">
        <v>6</v>
      </c>
      <c r="R887">
        <v>13.65</v>
      </c>
      <c r="S887">
        <v>81.900000000000006</v>
      </c>
      <c r="T887">
        <v>62.16</v>
      </c>
      <c r="U887">
        <v>24.1</v>
      </c>
      <c r="V887" t="str">
        <f>VLOOKUP(L887,'[2]tabela de preços'!$A:$D,4,0)</f>
        <v>SHERWIN WILLIAMS</v>
      </c>
      <c r="W887" t="str">
        <f>VLOOKUP(L887,'[2]tabela de preços'!$A:$F,6,0)</f>
        <v>MASSA DE PEQUENOS REPAROS</v>
      </c>
      <c r="X887" t="str">
        <f>VLOOKUP(L887,'[2]tabela de preços'!$A:$G,7,0)</f>
        <v>AUTOMOTIVO</v>
      </c>
    </row>
    <row r="888" spans="1:24" x14ac:dyDescent="0.3">
      <c r="A888" t="s">
        <v>2046</v>
      </c>
      <c r="C888" t="s">
        <v>2050</v>
      </c>
      <c r="D888" s="1">
        <v>46035</v>
      </c>
      <c r="E888" t="s">
        <v>2051</v>
      </c>
      <c r="F888">
        <v>9</v>
      </c>
      <c r="G888">
        <v>236</v>
      </c>
      <c r="H888" t="str">
        <f>VLOOKUP(G888,[1]OPERADORES!$A:$B,2,0)</f>
        <v>DANIEL</v>
      </c>
      <c r="I888" t="s">
        <v>21</v>
      </c>
      <c r="J888" t="s">
        <v>614</v>
      </c>
      <c r="K888" t="s">
        <v>2049</v>
      </c>
      <c r="L888">
        <v>21077</v>
      </c>
      <c r="M888" t="s">
        <v>207</v>
      </c>
      <c r="O888" t="s">
        <v>11</v>
      </c>
      <c r="P888">
        <v>5102</v>
      </c>
      <c r="Q888">
        <v>6</v>
      </c>
      <c r="R888">
        <v>44.68</v>
      </c>
      <c r="S888">
        <v>268.08</v>
      </c>
      <c r="T888">
        <v>203.52</v>
      </c>
      <c r="U888">
        <v>24.08</v>
      </c>
      <c r="V888" t="str">
        <f>VLOOKUP(L888,'[2]tabela de preços'!$A:$D,4,0)</f>
        <v>SHERWIN WILLIAMS</v>
      </c>
      <c r="W888" t="str">
        <f>VLOOKUP(L888,'[2]tabela de preços'!$A:$F,6,0)</f>
        <v>MASSA POLIÉSTER</v>
      </c>
      <c r="X888" t="str">
        <f>VLOOKUP(L888,'[2]tabela de preços'!$A:$G,7,0)</f>
        <v>AUTOMOTIVO</v>
      </c>
    </row>
    <row r="889" spans="1:24" x14ac:dyDescent="0.3">
      <c r="A889" t="s">
        <v>2046</v>
      </c>
      <c r="C889" t="s">
        <v>2050</v>
      </c>
      <c r="D889" s="1">
        <v>46035</v>
      </c>
      <c r="E889" t="s">
        <v>2051</v>
      </c>
      <c r="F889">
        <v>9</v>
      </c>
      <c r="G889">
        <v>236</v>
      </c>
      <c r="H889" t="str">
        <f>VLOOKUP(G889,[1]OPERADORES!$A:$B,2,0)</f>
        <v>DANIEL</v>
      </c>
      <c r="I889" t="s">
        <v>21</v>
      </c>
      <c r="J889" t="s">
        <v>614</v>
      </c>
      <c r="K889" t="s">
        <v>2049</v>
      </c>
      <c r="L889">
        <v>23267</v>
      </c>
      <c r="M889" t="s">
        <v>164</v>
      </c>
      <c r="O889" t="s">
        <v>11</v>
      </c>
      <c r="P889">
        <v>5102</v>
      </c>
      <c r="Q889">
        <v>12</v>
      </c>
      <c r="R889">
        <v>22.89</v>
      </c>
      <c r="S889">
        <v>274.68</v>
      </c>
      <c r="T889">
        <v>234.48</v>
      </c>
      <c r="U889">
        <v>14.64</v>
      </c>
      <c r="V889" t="str">
        <f>VLOOKUP(L889,'[2]tabela de preços'!$A:$D,4,0)</f>
        <v>ANJO</v>
      </c>
      <c r="W889" t="str">
        <f>VLOOKUP(L889,'[2]tabela de preços'!$A:$F,6,0)</f>
        <v>MASSA POLIÉSTER</v>
      </c>
      <c r="X889" t="str">
        <f>VLOOKUP(L889,'[2]tabela de preços'!$A:$G,7,0)</f>
        <v>AUTOMOTIVO</v>
      </c>
    </row>
    <row r="890" spans="1:24" x14ac:dyDescent="0.3">
      <c r="A890" t="s">
        <v>2046</v>
      </c>
      <c r="C890" t="s">
        <v>2050</v>
      </c>
      <c r="D890" s="1">
        <v>46035</v>
      </c>
      <c r="E890" t="s">
        <v>2051</v>
      </c>
      <c r="F890">
        <v>9</v>
      </c>
      <c r="G890">
        <v>236</v>
      </c>
      <c r="H890" t="str">
        <f>VLOOKUP(G890,[1]OPERADORES!$A:$B,2,0)</f>
        <v>DANIEL</v>
      </c>
      <c r="I890" t="s">
        <v>21</v>
      </c>
      <c r="J890" t="s">
        <v>614</v>
      </c>
      <c r="K890" t="s">
        <v>2049</v>
      </c>
      <c r="L890">
        <v>24247</v>
      </c>
      <c r="M890" t="s">
        <v>111</v>
      </c>
      <c r="O890" t="s">
        <v>11</v>
      </c>
      <c r="P890">
        <v>5403</v>
      </c>
      <c r="Q890">
        <v>12</v>
      </c>
      <c r="R890">
        <v>21</v>
      </c>
      <c r="S890">
        <v>252</v>
      </c>
      <c r="T890">
        <v>199.2</v>
      </c>
      <c r="U890">
        <v>20.95</v>
      </c>
      <c r="V890" t="str">
        <f>VLOOKUP(L890,'[2]tabela de preços'!$A:$D,4,0)</f>
        <v>SHERWIN WILLIAMS</v>
      </c>
      <c r="W890" t="str">
        <f>VLOOKUP(L890,'[2]tabela de preços'!$A:$F,6,0)</f>
        <v>PRIMER AUTOMOTIVO</v>
      </c>
      <c r="X890" t="str">
        <f>VLOOKUP(L890,'[2]tabela de preços'!$A:$G,7,0)</f>
        <v>AUTOMOTIVO</v>
      </c>
    </row>
    <row r="891" spans="1:24" x14ac:dyDescent="0.3">
      <c r="A891" t="s">
        <v>2046</v>
      </c>
      <c r="C891" t="s">
        <v>2050</v>
      </c>
      <c r="D891" s="1">
        <v>46035</v>
      </c>
      <c r="E891" t="s">
        <v>2051</v>
      </c>
      <c r="F891">
        <v>9</v>
      </c>
      <c r="G891">
        <v>236</v>
      </c>
      <c r="H891" t="str">
        <f>VLOOKUP(G891,[1]OPERADORES!$A:$B,2,0)</f>
        <v>DANIEL</v>
      </c>
      <c r="I891" t="s">
        <v>21</v>
      </c>
      <c r="J891" t="s">
        <v>614</v>
      </c>
      <c r="K891" t="s">
        <v>2049</v>
      </c>
      <c r="L891">
        <v>10298</v>
      </c>
      <c r="M891" t="s">
        <v>85</v>
      </c>
      <c r="O891" t="s">
        <v>11</v>
      </c>
      <c r="P891">
        <v>5102</v>
      </c>
      <c r="Q891">
        <v>8</v>
      </c>
      <c r="R891">
        <v>56.89</v>
      </c>
      <c r="S891">
        <v>455.12</v>
      </c>
      <c r="T891">
        <v>379.04</v>
      </c>
      <c r="U891">
        <v>16.72</v>
      </c>
      <c r="V891" t="str">
        <f>VLOOKUP(L891,'[2]tabela de preços'!$A:$D,4,0)</f>
        <v>ANJO</v>
      </c>
      <c r="W891" t="str">
        <f>VLOOKUP(L891,'[2]tabela de preços'!$A:$F,6,0)</f>
        <v>THINNER DE LIMPEZA</v>
      </c>
      <c r="X891" t="str">
        <f>VLOOKUP(L891,'[2]tabela de preços'!$A:$G,7,0)</f>
        <v>THINNER</v>
      </c>
    </row>
    <row r="892" spans="1:24" x14ac:dyDescent="0.3">
      <c r="A892" t="s">
        <v>2046</v>
      </c>
      <c r="C892" t="s">
        <v>2050</v>
      </c>
      <c r="D892" s="1">
        <v>46035</v>
      </c>
      <c r="E892" t="s">
        <v>2051</v>
      </c>
      <c r="F892">
        <v>9</v>
      </c>
      <c r="G892">
        <v>236</v>
      </c>
      <c r="H892" t="str">
        <f>VLOOKUP(G892,[1]OPERADORES!$A:$B,2,0)</f>
        <v>DANIEL</v>
      </c>
      <c r="I892" t="s">
        <v>21</v>
      </c>
      <c r="J892" t="s">
        <v>614</v>
      </c>
      <c r="K892" t="s">
        <v>2049</v>
      </c>
      <c r="L892">
        <v>10297</v>
      </c>
      <c r="M892" t="s">
        <v>41</v>
      </c>
      <c r="O892" t="s">
        <v>11</v>
      </c>
      <c r="P892">
        <v>5102</v>
      </c>
      <c r="Q892">
        <v>12</v>
      </c>
      <c r="R892">
        <v>10.89</v>
      </c>
      <c r="S892">
        <v>130.68</v>
      </c>
      <c r="T892">
        <v>110.04</v>
      </c>
      <c r="U892">
        <v>15.79</v>
      </c>
      <c r="V892" t="str">
        <f>VLOOKUP(L892,'[2]tabela de preços'!$A:$D,4,0)</f>
        <v>ANJO</v>
      </c>
      <c r="W892" t="str">
        <f>VLOOKUP(L892,'[2]tabela de preços'!$A:$F,6,0)</f>
        <v>THINNER DE LIMPEZA</v>
      </c>
      <c r="X892" t="str">
        <f>VLOOKUP(L892,'[2]tabela de preços'!$A:$G,7,0)</f>
        <v>THINNER</v>
      </c>
    </row>
    <row r="893" spans="1:24" x14ac:dyDescent="0.3">
      <c r="A893" t="s">
        <v>2046</v>
      </c>
      <c r="C893" t="s">
        <v>2050</v>
      </c>
      <c r="D893" s="1">
        <v>46035</v>
      </c>
      <c r="E893" t="s">
        <v>2051</v>
      </c>
      <c r="F893">
        <v>9</v>
      </c>
      <c r="G893">
        <v>236</v>
      </c>
      <c r="H893" t="str">
        <f>VLOOKUP(G893,[1]OPERADORES!$A:$B,2,0)</f>
        <v>DANIEL</v>
      </c>
      <c r="I893" t="s">
        <v>21</v>
      </c>
      <c r="J893" t="s">
        <v>614</v>
      </c>
      <c r="K893" t="s">
        <v>2049</v>
      </c>
      <c r="L893">
        <v>10404</v>
      </c>
      <c r="M893" t="s">
        <v>130</v>
      </c>
      <c r="O893" t="s">
        <v>11</v>
      </c>
      <c r="P893">
        <v>5102</v>
      </c>
      <c r="Q893">
        <v>24</v>
      </c>
      <c r="R893">
        <v>16.29</v>
      </c>
      <c r="S893">
        <v>390.96</v>
      </c>
      <c r="T893">
        <v>319.68</v>
      </c>
      <c r="U893">
        <v>18.23</v>
      </c>
      <c r="V893" t="str">
        <f>VLOOKUP(L893,'[2]tabela de preços'!$A:$D,4,0)</f>
        <v>MAXI RUBBER</v>
      </c>
      <c r="W893" t="str">
        <f>VLOOKUP(L893,'[2]tabela de preços'!$A:$F,6,0)</f>
        <v>VEDADORES / SELANTES</v>
      </c>
      <c r="X893" t="str">
        <f>VLOOKUP(L893,'[2]tabela de preços'!$A:$G,7,0)</f>
        <v>AUTOMOTIVO</v>
      </c>
    </row>
    <row r="894" spans="1:24" x14ac:dyDescent="0.3">
      <c r="A894" t="s">
        <v>2100</v>
      </c>
      <c r="C894" t="s">
        <v>2105</v>
      </c>
      <c r="D894" s="1">
        <v>46035</v>
      </c>
      <c r="E894" t="s">
        <v>2106</v>
      </c>
      <c r="F894">
        <v>9</v>
      </c>
      <c r="G894">
        <v>174</v>
      </c>
      <c r="H894" t="str">
        <f>VLOOKUP(G894,[1]OPERADORES!$A:$B,2,0)</f>
        <v>MIRIÃ LOBATO RODRIGUES</v>
      </c>
      <c r="I894" t="s">
        <v>21</v>
      </c>
      <c r="J894" t="s">
        <v>1788</v>
      </c>
      <c r="K894" t="s">
        <v>2103</v>
      </c>
      <c r="L894">
        <v>20099</v>
      </c>
      <c r="M894" t="s">
        <v>1308</v>
      </c>
      <c r="O894" t="s">
        <v>11</v>
      </c>
      <c r="P894">
        <v>5403</v>
      </c>
      <c r="Q894">
        <v>3</v>
      </c>
      <c r="R894">
        <v>15.9</v>
      </c>
      <c r="S894">
        <v>47.7</v>
      </c>
      <c r="T894">
        <v>36.21</v>
      </c>
      <c r="U894">
        <v>24.09</v>
      </c>
      <c r="V894" t="str">
        <f>VLOOKUP(L894,'[2]tabela de preços'!$A:$D,4,0)</f>
        <v>MAXI RUBBER</v>
      </c>
      <c r="W894" t="str">
        <f>VLOOKUP(L894,'[2]tabela de preços'!$A:$F,6,0)</f>
        <v>BATIDA DE PEDRA</v>
      </c>
      <c r="X894" t="str">
        <f>VLOOKUP(L894,'[2]tabela de preços'!$A:$G,7,0)</f>
        <v>AUTOMOTIVO</v>
      </c>
    </row>
    <row r="895" spans="1:24" x14ac:dyDescent="0.3">
      <c r="A895" t="s">
        <v>2100</v>
      </c>
      <c r="C895" t="s">
        <v>2105</v>
      </c>
      <c r="D895" s="1">
        <v>46035</v>
      </c>
      <c r="E895" t="s">
        <v>2106</v>
      </c>
      <c r="F895">
        <v>9</v>
      </c>
      <c r="G895">
        <v>174</v>
      </c>
      <c r="H895" t="str">
        <f>VLOOKUP(G895,[1]OPERADORES!$A:$B,2,0)</f>
        <v>MIRIÃ LOBATO RODRIGUES</v>
      </c>
      <c r="I895" t="s">
        <v>21</v>
      </c>
      <c r="J895" t="s">
        <v>1788</v>
      </c>
      <c r="K895" t="s">
        <v>2103</v>
      </c>
      <c r="L895">
        <v>84557</v>
      </c>
      <c r="M895" t="s">
        <v>116</v>
      </c>
      <c r="O895" t="s">
        <v>11</v>
      </c>
      <c r="P895">
        <v>5102</v>
      </c>
      <c r="Q895">
        <v>8</v>
      </c>
      <c r="R895">
        <v>17.489999999999998</v>
      </c>
      <c r="S895">
        <v>139.91999999999999</v>
      </c>
      <c r="T895">
        <v>111.68</v>
      </c>
      <c r="U895">
        <v>20.18</v>
      </c>
      <c r="V895" t="str">
        <f>VLOOKUP(L895,'[2]tabela de preços'!$A:$D,4,0)</f>
        <v>BRASILUX</v>
      </c>
      <c r="W895" t="str">
        <f>VLOOKUP(L895,'[2]tabela de preços'!$A:$F,6,0)</f>
        <v>DILUENTE</v>
      </c>
      <c r="X895" t="str">
        <f>VLOOKUP(L895,'[2]tabela de preços'!$A:$G,7,0)</f>
        <v>AUTOMOTIVO</v>
      </c>
    </row>
    <row r="896" spans="1:24" x14ac:dyDescent="0.3">
      <c r="A896" t="s">
        <v>2100</v>
      </c>
      <c r="C896" t="s">
        <v>2105</v>
      </c>
      <c r="D896" s="1">
        <v>46035</v>
      </c>
      <c r="E896" t="s">
        <v>2106</v>
      </c>
      <c r="F896">
        <v>9</v>
      </c>
      <c r="G896">
        <v>174</v>
      </c>
      <c r="H896" t="str">
        <f>VLOOKUP(G896,[1]OPERADORES!$A:$B,2,0)</f>
        <v>MIRIÃ LOBATO RODRIGUES</v>
      </c>
      <c r="I896" t="s">
        <v>21</v>
      </c>
      <c r="J896" t="s">
        <v>1788</v>
      </c>
      <c r="K896" t="s">
        <v>2103</v>
      </c>
      <c r="L896">
        <v>10236</v>
      </c>
      <c r="M896" t="s">
        <v>133</v>
      </c>
      <c r="O896" t="s">
        <v>11</v>
      </c>
      <c r="P896">
        <v>5102</v>
      </c>
      <c r="Q896">
        <v>25</v>
      </c>
      <c r="R896">
        <v>2.79</v>
      </c>
      <c r="S896">
        <v>69.75</v>
      </c>
      <c r="T896">
        <v>58</v>
      </c>
      <c r="U896">
        <v>16.850000000000001</v>
      </c>
      <c r="V896" t="str">
        <f>VLOOKUP(L896,'[2]tabela de preços'!$A:$D,4,0)</f>
        <v>NORTON</v>
      </c>
      <c r="W896" t="str">
        <f>VLOOKUP(L896,'[2]tabela de preços'!$A:$F,6,0)</f>
        <v xml:space="preserve">DISCOS / LIXAS / ABRASIVOS </v>
      </c>
      <c r="X896" t="str">
        <f>VLOOKUP(L896,'[2]tabela de preços'!$A:$G,7,0)</f>
        <v>AUTOMOTIVO</v>
      </c>
    </row>
    <row r="897" spans="1:24" x14ac:dyDescent="0.3">
      <c r="A897" t="s">
        <v>2100</v>
      </c>
      <c r="C897" t="s">
        <v>2105</v>
      </c>
      <c r="D897" s="1">
        <v>46035</v>
      </c>
      <c r="E897" t="s">
        <v>2106</v>
      </c>
      <c r="F897">
        <v>9</v>
      </c>
      <c r="G897">
        <v>174</v>
      </c>
      <c r="H897" t="str">
        <f>VLOOKUP(G897,[1]OPERADORES!$A:$B,2,0)</f>
        <v>MIRIÃ LOBATO RODRIGUES</v>
      </c>
      <c r="I897" t="s">
        <v>21</v>
      </c>
      <c r="J897" t="s">
        <v>1788</v>
      </c>
      <c r="K897" t="s">
        <v>2103</v>
      </c>
      <c r="L897">
        <v>10226</v>
      </c>
      <c r="M897" t="s">
        <v>145</v>
      </c>
      <c r="O897" t="s">
        <v>11</v>
      </c>
      <c r="P897">
        <v>5102</v>
      </c>
      <c r="Q897">
        <v>20</v>
      </c>
      <c r="R897">
        <v>2.79</v>
      </c>
      <c r="S897">
        <v>55.8</v>
      </c>
      <c r="T897">
        <v>46.4</v>
      </c>
      <c r="U897">
        <v>16.850000000000001</v>
      </c>
      <c r="V897" t="str">
        <f>VLOOKUP(L897,'[2]tabela de preços'!$A:$D,4,0)</f>
        <v>NORTON</v>
      </c>
      <c r="W897" t="str">
        <f>VLOOKUP(L897,'[2]tabela de preços'!$A:$F,6,0)</f>
        <v xml:space="preserve">DISCOS / LIXAS / ABRASIVOS </v>
      </c>
      <c r="X897" t="str">
        <f>VLOOKUP(L897,'[2]tabela de preços'!$A:$G,7,0)</f>
        <v>AUTOMOTIVO</v>
      </c>
    </row>
    <row r="898" spans="1:24" x14ac:dyDescent="0.3">
      <c r="A898" t="s">
        <v>2100</v>
      </c>
      <c r="C898" t="s">
        <v>2105</v>
      </c>
      <c r="D898" s="1">
        <v>46035</v>
      </c>
      <c r="E898" t="s">
        <v>2106</v>
      </c>
      <c r="F898">
        <v>9</v>
      </c>
      <c r="G898">
        <v>174</v>
      </c>
      <c r="H898" t="str">
        <f>VLOOKUP(G898,[1]OPERADORES!$A:$B,2,0)</f>
        <v>MIRIÃ LOBATO RODRIGUES</v>
      </c>
      <c r="I898" t="s">
        <v>21</v>
      </c>
      <c r="J898" t="s">
        <v>1788</v>
      </c>
      <c r="K898" t="s">
        <v>2103</v>
      </c>
      <c r="L898">
        <v>20983</v>
      </c>
      <c r="M898" t="s">
        <v>2107</v>
      </c>
      <c r="O898" t="s">
        <v>11</v>
      </c>
      <c r="P898">
        <v>5102</v>
      </c>
      <c r="Q898">
        <v>2</v>
      </c>
      <c r="R898">
        <v>16.84</v>
      </c>
      <c r="S898">
        <v>33.68</v>
      </c>
      <c r="T898">
        <v>25.56</v>
      </c>
      <c r="U898">
        <v>24.11</v>
      </c>
      <c r="V898" t="str">
        <f>VLOOKUP(L898,'[2]tabela de preços'!$A:$D,4,0)</f>
        <v>3M</v>
      </c>
      <c r="W898" t="str">
        <f>VLOOKUP(L898,'[2]tabela de preços'!$A:$F,6,0)</f>
        <v>DISCO TRIZACT</v>
      </c>
      <c r="X898" t="str">
        <f>VLOOKUP(L898,'[2]tabela de preços'!$A:$G,7,0)</f>
        <v>AUTOMOTIVO</v>
      </c>
    </row>
    <row r="899" spans="1:24" x14ac:dyDescent="0.3">
      <c r="A899" t="s">
        <v>2100</v>
      </c>
      <c r="C899" t="s">
        <v>2105</v>
      </c>
      <c r="D899" s="1">
        <v>46035</v>
      </c>
      <c r="E899" t="s">
        <v>2106</v>
      </c>
      <c r="F899">
        <v>9</v>
      </c>
      <c r="G899">
        <v>174</v>
      </c>
      <c r="H899" t="str">
        <f>VLOOKUP(G899,[1]OPERADORES!$A:$B,2,0)</f>
        <v>MIRIÃ LOBATO RODRIGUES</v>
      </c>
      <c r="I899" t="s">
        <v>21</v>
      </c>
      <c r="J899" t="s">
        <v>1788</v>
      </c>
      <c r="K899" t="s">
        <v>2103</v>
      </c>
      <c r="L899">
        <v>20135</v>
      </c>
      <c r="M899" t="s">
        <v>459</v>
      </c>
      <c r="O899" t="s">
        <v>11</v>
      </c>
      <c r="P899">
        <v>5102</v>
      </c>
      <c r="Q899">
        <v>2</v>
      </c>
      <c r="R899">
        <v>25.37</v>
      </c>
      <c r="S899">
        <v>50.74</v>
      </c>
      <c r="T899">
        <v>38.520000000000003</v>
      </c>
      <c r="U899">
        <v>24.08</v>
      </c>
      <c r="V899" t="str">
        <f>VLOOKUP(L899,'[2]tabela de preços'!$A:$D,4,0)</f>
        <v>3M</v>
      </c>
      <c r="W899" t="str">
        <f>VLOOKUP(L899,'[2]tabela de preços'!$A:$F,6,0)</f>
        <v>DISCO TRIZACT</v>
      </c>
      <c r="X899" t="str">
        <f>VLOOKUP(L899,'[2]tabela de preços'!$A:$G,7,0)</f>
        <v>AUTOMOTIVO</v>
      </c>
    </row>
    <row r="900" spans="1:24" x14ac:dyDescent="0.3">
      <c r="A900" t="s">
        <v>2100</v>
      </c>
      <c r="C900" t="s">
        <v>2105</v>
      </c>
      <c r="D900" s="1">
        <v>46035</v>
      </c>
      <c r="E900" t="s">
        <v>2106</v>
      </c>
      <c r="F900">
        <v>9</v>
      </c>
      <c r="G900">
        <v>174</v>
      </c>
      <c r="H900" t="str">
        <f>VLOOKUP(G900,[1]OPERADORES!$A:$B,2,0)</f>
        <v>MIRIÃ LOBATO RODRIGUES</v>
      </c>
      <c r="I900" t="s">
        <v>21</v>
      </c>
      <c r="J900" t="s">
        <v>1788</v>
      </c>
      <c r="K900" t="s">
        <v>2103</v>
      </c>
      <c r="L900">
        <v>24248</v>
      </c>
      <c r="M900" t="s">
        <v>107</v>
      </c>
      <c r="O900" t="s">
        <v>11</v>
      </c>
      <c r="P900">
        <v>5102</v>
      </c>
      <c r="Q900">
        <v>5</v>
      </c>
      <c r="R900">
        <v>8</v>
      </c>
      <c r="S900">
        <v>40</v>
      </c>
      <c r="T900">
        <v>32.049999999999997</v>
      </c>
      <c r="U900">
        <v>19.88</v>
      </c>
      <c r="V900" t="str">
        <f>VLOOKUP(L900,'[2]tabela de preços'!$A:$D,4,0)</f>
        <v>SHERWIN WILLIAMS</v>
      </c>
      <c r="W900" t="str">
        <f>VLOOKUP(L900,'[2]tabela de preços'!$A:$F,6,0)</f>
        <v>PRIMER AUTOMOTIVO</v>
      </c>
      <c r="X900" t="str">
        <f>VLOOKUP(L900,'[2]tabela de preços'!$A:$G,7,0)</f>
        <v>AUTOMOTIVO</v>
      </c>
    </row>
    <row r="901" spans="1:24" x14ac:dyDescent="0.3">
      <c r="A901" t="s">
        <v>2100</v>
      </c>
      <c r="C901" t="s">
        <v>2105</v>
      </c>
      <c r="D901" s="1">
        <v>46035</v>
      </c>
      <c r="E901" t="s">
        <v>2106</v>
      </c>
      <c r="F901">
        <v>9</v>
      </c>
      <c r="G901">
        <v>174</v>
      </c>
      <c r="H901" t="str">
        <f>VLOOKUP(G901,[1]OPERADORES!$A:$B,2,0)</f>
        <v>MIRIÃ LOBATO RODRIGUES</v>
      </c>
      <c r="I901" t="s">
        <v>21</v>
      </c>
      <c r="J901" t="s">
        <v>1788</v>
      </c>
      <c r="K901" t="s">
        <v>2103</v>
      </c>
      <c r="L901">
        <v>24240</v>
      </c>
      <c r="M901" t="s">
        <v>240</v>
      </c>
      <c r="O901" t="s">
        <v>11</v>
      </c>
      <c r="P901">
        <v>5102</v>
      </c>
      <c r="Q901">
        <v>50</v>
      </c>
      <c r="R901">
        <v>3.81</v>
      </c>
      <c r="S901">
        <v>190.5</v>
      </c>
      <c r="T901">
        <v>164</v>
      </c>
      <c r="U901">
        <v>13.91</v>
      </c>
      <c r="V901" t="str">
        <f>VLOOKUP(L901,'[2]tabela de preços'!$A:$D,4,0)</f>
        <v>ADERE</v>
      </c>
      <c r="W901" t="str">
        <f>VLOOKUP(L901,'[2]tabela de preços'!$A:$F,6,0)</f>
        <v>FITA AUTOMOTIVA</v>
      </c>
      <c r="X901" t="str">
        <f>VLOOKUP(L901,'[2]tabela de preços'!$A:$G,7,0)</f>
        <v>AUTOMOTIVO</v>
      </c>
    </row>
    <row r="902" spans="1:24" x14ac:dyDescent="0.3">
      <c r="A902" t="s">
        <v>2100</v>
      </c>
      <c r="C902" t="s">
        <v>2105</v>
      </c>
      <c r="D902" s="1">
        <v>46035</v>
      </c>
      <c r="E902" t="s">
        <v>2106</v>
      </c>
      <c r="F902">
        <v>9</v>
      </c>
      <c r="G902">
        <v>174</v>
      </c>
      <c r="H902" t="str">
        <f>VLOOKUP(G902,[1]OPERADORES!$A:$B,2,0)</f>
        <v>MIRIÃ LOBATO RODRIGUES</v>
      </c>
      <c r="I902" t="s">
        <v>21</v>
      </c>
      <c r="J902" t="s">
        <v>1788</v>
      </c>
      <c r="K902" t="s">
        <v>2103</v>
      </c>
      <c r="L902">
        <v>23602</v>
      </c>
      <c r="M902" t="s">
        <v>215</v>
      </c>
      <c r="O902" t="s">
        <v>11</v>
      </c>
      <c r="P902">
        <v>5403</v>
      </c>
      <c r="Q902">
        <v>5</v>
      </c>
      <c r="R902">
        <v>35.89</v>
      </c>
      <c r="S902">
        <v>179.45</v>
      </c>
      <c r="T902">
        <v>146.25</v>
      </c>
      <c r="U902">
        <v>18.5</v>
      </c>
      <c r="V902" t="str">
        <f>VLOOKUP(L902,'[2]tabela de preços'!$A:$D,4,0)</f>
        <v>SHERWIN WILLIAMS</v>
      </c>
      <c r="W902" t="str">
        <f>VLOOKUP(L902,'[2]tabela de preços'!$A:$F,6,0)</f>
        <v>VERNIZ AUTOMOTIVO</v>
      </c>
      <c r="X902" t="str">
        <f>VLOOKUP(L902,'[2]tabela de preços'!$A:$G,7,0)</f>
        <v>AUTOMOTIVO</v>
      </c>
    </row>
    <row r="903" spans="1:24" x14ac:dyDescent="0.3">
      <c r="A903" t="s">
        <v>2100</v>
      </c>
      <c r="C903" t="s">
        <v>2105</v>
      </c>
      <c r="D903" s="1">
        <v>46035</v>
      </c>
      <c r="E903" t="s">
        <v>2106</v>
      </c>
      <c r="F903">
        <v>9</v>
      </c>
      <c r="G903">
        <v>174</v>
      </c>
      <c r="H903" t="str">
        <f>VLOOKUP(G903,[1]OPERADORES!$A:$B,2,0)</f>
        <v>MIRIÃ LOBATO RODRIGUES</v>
      </c>
      <c r="I903" t="s">
        <v>21</v>
      </c>
      <c r="J903" t="s">
        <v>1788</v>
      </c>
      <c r="K903" t="s">
        <v>2103</v>
      </c>
      <c r="L903">
        <v>24067</v>
      </c>
      <c r="M903" t="s">
        <v>1978</v>
      </c>
      <c r="O903" t="s">
        <v>11</v>
      </c>
      <c r="P903">
        <v>5403</v>
      </c>
      <c r="Q903">
        <v>5</v>
      </c>
      <c r="R903">
        <v>69.25</v>
      </c>
      <c r="S903">
        <v>346.25</v>
      </c>
      <c r="T903">
        <v>262.8</v>
      </c>
      <c r="U903">
        <v>24.1</v>
      </c>
      <c r="V903" t="str">
        <f>VLOOKUP(L903,'[2]tabela de preços'!$A:$D,4,0)</f>
        <v>SKY</v>
      </c>
      <c r="W903" t="str">
        <f>VLOOKUP(L903,'[2]tabela de preços'!$A:$F,6,0)</f>
        <v>VERNIZ AUTOMOTIVO</v>
      </c>
      <c r="X903" t="str">
        <f>VLOOKUP(L903,'[2]tabela de preços'!$A:$G,7,0)</f>
        <v>AUTOMOTIVO</v>
      </c>
    </row>
    <row r="904" spans="1:24" x14ac:dyDescent="0.3">
      <c r="A904" t="s">
        <v>2100</v>
      </c>
      <c r="C904" t="s">
        <v>2105</v>
      </c>
      <c r="D904" s="1">
        <v>46035</v>
      </c>
      <c r="E904" t="s">
        <v>2106</v>
      </c>
      <c r="F904">
        <v>9</v>
      </c>
      <c r="G904">
        <v>174</v>
      </c>
      <c r="H904" t="str">
        <f>VLOOKUP(G904,[1]OPERADORES!$A:$B,2,0)</f>
        <v>MIRIÃ LOBATO RODRIGUES</v>
      </c>
      <c r="I904" t="s">
        <v>21</v>
      </c>
      <c r="J904" t="s">
        <v>1788</v>
      </c>
      <c r="K904" t="s">
        <v>2103</v>
      </c>
      <c r="L904">
        <v>20960</v>
      </c>
      <c r="M904" t="s">
        <v>1734</v>
      </c>
      <c r="O904" t="s">
        <v>11</v>
      </c>
      <c r="P904">
        <v>5403</v>
      </c>
      <c r="Q904">
        <v>1</v>
      </c>
      <c r="R904">
        <v>79.56</v>
      </c>
      <c r="S904">
        <v>79.56</v>
      </c>
      <c r="T904">
        <v>60.39</v>
      </c>
      <c r="U904">
        <v>24.1</v>
      </c>
      <c r="V904" t="str">
        <f>VLOOKUP(L904,'[2]tabela de preços'!$A:$D,4,0)</f>
        <v>SHERWIN WILLIAMS</v>
      </c>
      <c r="W904" t="str">
        <f>VLOOKUP(L904,'[2]tabela de preços'!$A:$F,6,0)</f>
        <v>VERNIZ AUTOMOTIVO</v>
      </c>
      <c r="X904" t="str">
        <f>VLOOKUP(L904,'[2]tabela de preços'!$A:$G,7,0)</f>
        <v>AUTOMOTIVO</v>
      </c>
    </row>
    <row r="905" spans="1:24" x14ac:dyDescent="0.3">
      <c r="A905" t="s">
        <v>2100</v>
      </c>
      <c r="C905" t="s">
        <v>2105</v>
      </c>
      <c r="D905" s="1">
        <v>46035</v>
      </c>
      <c r="E905" t="s">
        <v>2106</v>
      </c>
      <c r="F905">
        <v>9</v>
      </c>
      <c r="G905">
        <v>174</v>
      </c>
      <c r="H905" t="str">
        <f>VLOOKUP(G905,[1]OPERADORES!$A:$B,2,0)</f>
        <v>MIRIÃ LOBATO RODRIGUES</v>
      </c>
      <c r="I905" t="s">
        <v>21</v>
      </c>
      <c r="J905" t="s">
        <v>1788</v>
      </c>
      <c r="K905" t="s">
        <v>2103</v>
      </c>
      <c r="L905">
        <v>85498</v>
      </c>
      <c r="M905" t="s">
        <v>1474</v>
      </c>
      <c r="O905" t="s">
        <v>411</v>
      </c>
      <c r="P905">
        <v>5403</v>
      </c>
      <c r="Q905">
        <v>2</v>
      </c>
      <c r="R905">
        <v>42.12</v>
      </c>
      <c r="S905">
        <v>84.24</v>
      </c>
      <c r="T905">
        <v>60.06</v>
      </c>
      <c r="U905">
        <v>28.7</v>
      </c>
      <c r="V905" t="str">
        <f>VLOOKUP(L905,'[2]tabela de preços'!$A:$D,4,0)</f>
        <v>SHERWIN WILLIAMS</v>
      </c>
      <c r="W905" t="str">
        <f>VLOOKUP(L905,'[2]tabela de preços'!$A:$F,6,0)</f>
        <v>TINTAS POLIÉSTER</v>
      </c>
      <c r="X905" t="str">
        <f>VLOOKUP(L905,'[2]tabela de preços'!$A:$G,7,0)</f>
        <v>AUTOMOTIVO</v>
      </c>
    </row>
    <row r="906" spans="1:24" x14ac:dyDescent="0.3">
      <c r="A906" t="s">
        <v>2100</v>
      </c>
      <c r="C906" t="s">
        <v>2105</v>
      </c>
      <c r="D906" s="1">
        <v>46035</v>
      </c>
      <c r="E906" t="s">
        <v>2106</v>
      </c>
      <c r="F906">
        <v>9</v>
      </c>
      <c r="G906">
        <v>174</v>
      </c>
      <c r="H906" t="str">
        <f>VLOOKUP(G906,[1]OPERADORES!$A:$B,2,0)</f>
        <v>MIRIÃ LOBATO RODRIGUES</v>
      </c>
      <c r="I906" t="s">
        <v>21</v>
      </c>
      <c r="J906" t="s">
        <v>1788</v>
      </c>
      <c r="K906" t="s">
        <v>2103</v>
      </c>
      <c r="L906">
        <v>13</v>
      </c>
      <c r="M906" t="s">
        <v>152</v>
      </c>
      <c r="O906" t="s">
        <v>11</v>
      </c>
      <c r="P906">
        <v>5102</v>
      </c>
      <c r="Q906">
        <v>20</v>
      </c>
      <c r="R906">
        <v>5.79</v>
      </c>
      <c r="S906">
        <v>115.8</v>
      </c>
      <c r="T906">
        <v>83.2</v>
      </c>
      <c r="U906">
        <v>28.15</v>
      </c>
      <c r="V906" t="str">
        <f>VLOOKUP(L906,'[2]tabela de preços'!$A:$D,4,0)</f>
        <v>3M</v>
      </c>
      <c r="W906" t="str">
        <f>VLOOKUP(L906,'[2]tabela de preços'!$A:$F,6,0)</f>
        <v>LIXA DÁGUA</v>
      </c>
      <c r="X906" t="str">
        <f>VLOOKUP(L906,'[2]tabela de preços'!$A:$G,7,0)</f>
        <v>AUTOMOTIVO</v>
      </c>
    </row>
    <row r="907" spans="1:24" x14ac:dyDescent="0.3">
      <c r="A907" t="s">
        <v>2100</v>
      </c>
      <c r="C907" t="s">
        <v>2105</v>
      </c>
      <c r="D907" s="1">
        <v>46035</v>
      </c>
      <c r="E907" t="s">
        <v>2106</v>
      </c>
      <c r="F907">
        <v>9</v>
      </c>
      <c r="G907">
        <v>174</v>
      </c>
      <c r="H907" t="str">
        <f>VLOOKUP(G907,[1]OPERADORES!$A:$B,2,0)</f>
        <v>MIRIÃ LOBATO RODRIGUES</v>
      </c>
      <c r="I907" t="s">
        <v>21</v>
      </c>
      <c r="J907" t="s">
        <v>1788</v>
      </c>
      <c r="K907" t="s">
        <v>2103</v>
      </c>
      <c r="L907">
        <v>10238</v>
      </c>
      <c r="M907" t="s">
        <v>79</v>
      </c>
      <c r="O907" t="s">
        <v>11</v>
      </c>
      <c r="P907">
        <v>5102</v>
      </c>
      <c r="Q907">
        <v>50</v>
      </c>
      <c r="R907">
        <v>2.79</v>
      </c>
      <c r="S907">
        <v>139.5</v>
      </c>
      <c r="T907">
        <v>112</v>
      </c>
      <c r="U907">
        <v>19.71</v>
      </c>
      <c r="V907" t="str">
        <f>VLOOKUP(L907,'[2]tabela de preços'!$A:$D,4,0)</f>
        <v>NORTON</v>
      </c>
      <c r="W907" t="str">
        <f>VLOOKUP(L907,'[2]tabela de preços'!$A:$F,6,0)</f>
        <v xml:space="preserve">DISCOS / LIXAS / ABRASIVOS </v>
      </c>
      <c r="X907" t="str">
        <f>VLOOKUP(L907,'[2]tabela de preços'!$A:$G,7,0)</f>
        <v>AUTOMOTIVO</v>
      </c>
    </row>
    <row r="908" spans="1:24" x14ac:dyDescent="0.3">
      <c r="A908" t="s">
        <v>2100</v>
      </c>
      <c r="C908" t="s">
        <v>2105</v>
      </c>
      <c r="D908" s="1">
        <v>46035</v>
      </c>
      <c r="E908" t="s">
        <v>2106</v>
      </c>
      <c r="F908">
        <v>9</v>
      </c>
      <c r="G908">
        <v>174</v>
      </c>
      <c r="H908" t="str">
        <f>VLOOKUP(G908,[1]OPERADORES!$A:$B,2,0)</f>
        <v>MIRIÃ LOBATO RODRIGUES</v>
      </c>
      <c r="I908" t="s">
        <v>21</v>
      </c>
      <c r="J908" t="s">
        <v>1788</v>
      </c>
      <c r="K908" t="s">
        <v>2103</v>
      </c>
      <c r="L908">
        <v>10243</v>
      </c>
      <c r="M908" t="s">
        <v>83</v>
      </c>
      <c r="O908" t="s">
        <v>11</v>
      </c>
      <c r="P908">
        <v>5102</v>
      </c>
      <c r="Q908">
        <v>50</v>
      </c>
      <c r="R908">
        <v>2.79</v>
      </c>
      <c r="S908">
        <v>139.5</v>
      </c>
      <c r="T908">
        <v>96.5</v>
      </c>
      <c r="U908">
        <v>30.82</v>
      </c>
      <c r="V908" t="str">
        <f>VLOOKUP(L908,'[2]tabela de preços'!$A:$D,4,0)</f>
        <v>NORTON</v>
      </c>
      <c r="W908" t="str">
        <f>VLOOKUP(L908,'[2]tabela de preços'!$A:$F,6,0)</f>
        <v xml:space="preserve">DISCOS / LIXAS / ABRASIVOS </v>
      </c>
      <c r="X908" t="str">
        <f>VLOOKUP(L908,'[2]tabela de preços'!$A:$G,7,0)</f>
        <v>AUTOMOTIVO</v>
      </c>
    </row>
    <row r="909" spans="1:24" x14ac:dyDescent="0.3">
      <c r="A909" t="s">
        <v>2100</v>
      </c>
      <c r="C909" t="s">
        <v>2105</v>
      </c>
      <c r="D909" s="1">
        <v>46035</v>
      </c>
      <c r="E909" t="s">
        <v>2106</v>
      </c>
      <c r="F909">
        <v>9</v>
      </c>
      <c r="G909">
        <v>174</v>
      </c>
      <c r="H909" t="str">
        <f>VLOOKUP(G909,[1]OPERADORES!$A:$B,2,0)</f>
        <v>MIRIÃ LOBATO RODRIGUES</v>
      </c>
      <c r="I909" t="s">
        <v>21</v>
      </c>
      <c r="J909" t="s">
        <v>1788</v>
      </c>
      <c r="K909" t="s">
        <v>2103</v>
      </c>
      <c r="L909">
        <v>10244</v>
      </c>
      <c r="M909" t="s">
        <v>84</v>
      </c>
      <c r="O909" t="s">
        <v>11</v>
      </c>
      <c r="P909">
        <v>5102</v>
      </c>
      <c r="Q909">
        <v>50</v>
      </c>
      <c r="R909">
        <v>2.79</v>
      </c>
      <c r="S909">
        <v>139.5</v>
      </c>
      <c r="T909">
        <v>96.5</v>
      </c>
      <c r="U909">
        <v>30.82</v>
      </c>
      <c r="V909" t="str">
        <f>VLOOKUP(L909,'[2]tabela de preços'!$A:$D,4,0)</f>
        <v>NORTON</v>
      </c>
      <c r="W909" t="str">
        <f>VLOOKUP(L909,'[2]tabela de preços'!$A:$F,6,0)</f>
        <v xml:space="preserve">DISCOS / LIXAS / ABRASIVOS </v>
      </c>
      <c r="X909" t="str">
        <f>VLOOKUP(L909,'[2]tabela de preços'!$A:$G,7,0)</f>
        <v>AUTOMOTIVO</v>
      </c>
    </row>
    <row r="910" spans="1:24" x14ac:dyDescent="0.3">
      <c r="A910" t="s">
        <v>2100</v>
      </c>
      <c r="C910" t="s">
        <v>2105</v>
      </c>
      <c r="D910" s="1">
        <v>46035</v>
      </c>
      <c r="E910" t="s">
        <v>2106</v>
      </c>
      <c r="F910">
        <v>9</v>
      </c>
      <c r="G910">
        <v>174</v>
      </c>
      <c r="H910" t="str">
        <f>VLOOKUP(G910,[1]OPERADORES!$A:$B,2,0)</f>
        <v>MIRIÃ LOBATO RODRIGUES</v>
      </c>
      <c r="I910" t="s">
        <v>21</v>
      </c>
      <c r="J910" t="s">
        <v>1788</v>
      </c>
      <c r="K910" t="s">
        <v>2103</v>
      </c>
      <c r="L910">
        <v>10245</v>
      </c>
      <c r="M910" t="s">
        <v>195</v>
      </c>
      <c r="O910" t="s">
        <v>11</v>
      </c>
      <c r="P910">
        <v>5102</v>
      </c>
      <c r="Q910">
        <v>50</v>
      </c>
      <c r="R910">
        <v>2.79</v>
      </c>
      <c r="S910">
        <v>139.5</v>
      </c>
      <c r="T910">
        <v>96.5</v>
      </c>
      <c r="U910">
        <v>30.82</v>
      </c>
      <c r="V910" t="str">
        <f>VLOOKUP(L910,'[2]tabela de preços'!$A:$D,4,0)</f>
        <v>NORTON</v>
      </c>
      <c r="W910" t="str">
        <f>VLOOKUP(L910,'[2]tabela de preços'!$A:$F,6,0)</f>
        <v xml:space="preserve">DISCOS / LIXAS / ABRASIVOS </v>
      </c>
      <c r="X910" t="str">
        <f>VLOOKUP(L910,'[2]tabela de preços'!$A:$G,7,0)</f>
        <v>AUTOMOTIVO</v>
      </c>
    </row>
    <row r="911" spans="1:24" x14ac:dyDescent="0.3">
      <c r="A911" t="s">
        <v>2100</v>
      </c>
      <c r="C911" t="s">
        <v>2105</v>
      </c>
      <c r="D911" s="1">
        <v>46035</v>
      </c>
      <c r="E911" t="s">
        <v>2106</v>
      </c>
      <c r="F911">
        <v>9</v>
      </c>
      <c r="G911">
        <v>174</v>
      </c>
      <c r="H911" t="str">
        <f>VLOOKUP(G911,[1]OPERADORES!$A:$B,2,0)</f>
        <v>MIRIÃ LOBATO RODRIGUES</v>
      </c>
      <c r="I911" t="s">
        <v>21</v>
      </c>
      <c r="J911" t="s">
        <v>1788</v>
      </c>
      <c r="K911" t="s">
        <v>2103</v>
      </c>
      <c r="L911">
        <v>10246</v>
      </c>
      <c r="M911" t="s">
        <v>206</v>
      </c>
      <c r="O911" t="s">
        <v>11</v>
      </c>
      <c r="P911">
        <v>5102</v>
      </c>
      <c r="Q911">
        <v>50</v>
      </c>
      <c r="R911">
        <v>2.79</v>
      </c>
      <c r="S911">
        <v>139.5</v>
      </c>
      <c r="T911">
        <v>96.5</v>
      </c>
      <c r="U911">
        <v>30.82</v>
      </c>
      <c r="V911" t="str">
        <f>VLOOKUP(L911,'[2]tabela de preços'!$A:$D,4,0)</f>
        <v>NORTON</v>
      </c>
      <c r="W911" t="str">
        <f>VLOOKUP(L911,'[2]tabela de preços'!$A:$F,6,0)</f>
        <v xml:space="preserve">DISCOS / LIXAS / ABRASIVOS </v>
      </c>
      <c r="X911" t="str">
        <f>VLOOKUP(L911,'[2]tabela de preços'!$A:$G,7,0)</f>
        <v>AUTOMOTIVO</v>
      </c>
    </row>
    <row r="912" spans="1:24" x14ac:dyDescent="0.3">
      <c r="A912" t="s">
        <v>2100</v>
      </c>
      <c r="C912" t="s">
        <v>2105</v>
      </c>
      <c r="D912" s="1">
        <v>46035</v>
      </c>
      <c r="E912" t="s">
        <v>2106</v>
      </c>
      <c r="F912">
        <v>9</v>
      </c>
      <c r="G912">
        <v>174</v>
      </c>
      <c r="H912" t="str">
        <f>VLOOKUP(G912,[1]OPERADORES!$A:$B,2,0)</f>
        <v>MIRIÃ LOBATO RODRIGUES</v>
      </c>
      <c r="I912" t="s">
        <v>21</v>
      </c>
      <c r="J912" t="s">
        <v>1788</v>
      </c>
      <c r="K912" t="s">
        <v>2103</v>
      </c>
      <c r="L912">
        <v>20817</v>
      </c>
      <c r="M912" t="s">
        <v>153</v>
      </c>
      <c r="O912" t="s">
        <v>11</v>
      </c>
      <c r="P912">
        <v>5102</v>
      </c>
      <c r="Q912">
        <v>3</v>
      </c>
      <c r="R912">
        <v>22.89</v>
      </c>
      <c r="S912">
        <v>68.67</v>
      </c>
      <c r="T912">
        <v>55.86</v>
      </c>
      <c r="U912">
        <v>18.649999999999999</v>
      </c>
      <c r="V912" t="str">
        <f>VLOOKUP(L912,'[2]tabela de preços'!$A:$D,4,0)</f>
        <v>AUTO AMERICA</v>
      </c>
      <c r="W912" t="str">
        <f>VLOOKUP(L912,'[2]tabela de preços'!$A:$F,6,0)</f>
        <v>MASSA DE POLIR</v>
      </c>
      <c r="X912" t="str">
        <f>VLOOKUP(L912,'[2]tabela de preços'!$A:$G,7,0)</f>
        <v>AUTOMOTIVO</v>
      </c>
    </row>
    <row r="913" spans="1:24" x14ac:dyDescent="0.3">
      <c r="A913" t="s">
        <v>2100</v>
      </c>
      <c r="C913" t="s">
        <v>2105</v>
      </c>
      <c r="D913" s="1">
        <v>46035</v>
      </c>
      <c r="E913" t="s">
        <v>2106</v>
      </c>
      <c r="F913">
        <v>9</v>
      </c>
      <c r="G913">
        <v>174</v>
      </c>
      <c r="H913" t="str">
        <f>VLOOKUP(G913,[1]OPERADORES!$A:$B,2,0)</f>
        <v>MIRIÃ LOBATO RODRIGUES</v>
      </c>
      <c r="I913" t="s">
        <v>21</v>
      </c>
      <c r="J913" t="s">
        <v>1788</v>
      </c>
      <c r="K913" t="s">
        <v>2103</v>
      </c>
      <c r="L913">
        <v>21077</v>
      </c>
      <c r="M913" t="s">
        <v>207</v>
      </c>
      <c r="O913" t="s">
        <v>11</v>
      </c>
      <c r="P913">
        <v>5102</v>
      </c>
      <c r="Q913">
        <v>4</v>
      </c>
      <c r="R913">
        <v>44.68</v>
      </c>
      <c r="S913">
        <v>178.72</v>
      </c>
      <c r="T913">
        <v>135.68</v>
      </c>
      <c r="U913">
        <v>24.08</v>
      </c>
      <c r="V913" t="str">
        <f>VLOOKUP(L913,'[2]tabela de preços'!$A:$D,4,0)</f>
        <v>SHERWIN WILLIAMS</v>
      </c>
      <c r="W913" t="str">
        <f>VLOOKUP(L913,'[2]tabela de preços'!$A:$F,6,0)</f>
        <v>MASSA POLIÉSTER</v>
      </c>
      <c r="X913" t="str">
        <f>VLOOKUP(L913,'[2]tabela de preços'!$A:$G,7,0)</f>
        <v>AUTOMOTIVO</v>
      </c>
    </row>
    <row r="914" spans="1:24" x14ac:dyDescent="0.3">
      <c r="A914" t="s">
        <v>2100</v>
      </c>
      <c r="C914" t="s">
        <v>2105</v>
      </c>
      <c r="D914" s="1">
        <v>46035</v>
      </c>
      <c r="E914" t="s">
        <v>2106</v>
      </c>
      <c r="F914">
        <v>9</v>
      </c>
      <c r="G914">
        <v>174</v>
      </c>
      <c r="H914" t="str">
        <f>VLOOKUP(G914,[1]OPERADORES!$A:$B,2,0)</f>
        <v>MIRIÃ LOBATO RODRIGUES</v>
      </c>
      <c r="I914" t="s">
        <v>21</v>
      </c>
      <c r="J914" t="s">
        <v>1788</v>
      </c>
      <c r="K914" t="s">
        <v>2103</v>
      </c>
      <c r="L914">
        <v>87043</v>
      </c>
      <c r="M914" t="s">
        <v>217</v>
      </c>
      <c r="O914" t="s">
        <v>11</v>
      </c>
      <c r="P914">
        <v>5102</v>
      </c>
      <c r="Q914">
        <v>20</v>
      </c>
      <c r="R914">
        <v>21.95</v>
      </c>
      <c r="S914">
        <v>439</v>
      </c>
      <c r="T914">
        <v>360.4</v>
      </c>
      <c r="U914">
        <v>17.899999999999999</v>
      </c>
      <c r="V914" t="str">
        <f>VLOOKUP(L914,'[2]tabela de preços'!$A:$D,4,0)</f>
        <v>ROBERLO</v>
      </c>
      <c r="W914" t="str">
        <f>VLOOKUP(L914,'[2]tabela de preços'!$A:$F,6,0)</f>
        <v>MASSA POLIÉSTER</v>
      </c>
      <c r="X914" t="str">
        <f>VLOOKUP(L914,'[2]tabela de preços'!$A:$G,7,0)</f>
        <v>AUTOMOTIVO</v>
      </c>
    </row>
    <row r="915" spans="1:24" x14ac:dyDescent="0.3">
      <c r="A915" t="s">
        <v>2100</v>
      </c>
      <c r="C915" t="s">
        <v>2105</v>
      </c>
      <c r="D915" s="1">
        <v>46035</v>
      </c>
      <c r="E915" t="s">
        <v>2106</v>
      </c>
      <c r="F915">
        <v>9</v>
      </c>
      <c r="G915">
        <v>174</v>
      </c>
      <c r="H915" t="str">
        <f>VLOOKUP(G915,[1]OPERADORES!$A:$B,2,0)</f>
        <v>MIRIÃ LOBATO RODRIGUES</v>
      </c>
      <c r="I915" t="s">
        <v>21</v>
      </c>
      <c r="J915" t="s">
        <v>1788</v>
      </c>
      <c r="K915" t="s">
        <v>2103</v>
      </c>
      <c r="L915">
        <v>24247</v>
      </c>
      <c r="M915" t="s">
        <v>111</v>
      </c>
      <c r="O915" t="s">
        <v>11</v>
      </c>
      <c r="P915">
        <v>5403</v>
      </c>
      <c r="Q915">
        <v>5</v>
      </c>
      <c r="R915">
        <v>21</v>
      </c>
      <c r="S915">
        <v>105</v>
      </c>
      <c r="T915">
        <v>83</v>
      </c>
      <c r="U915">
        <v>20.95</v>
      </c>
      <c r="V915" t="str">
        <f>VLOOKUP(L915,'[2]tabela de preços'!$A:$D,4,0)</f>
        <v>SHERWIN WILLIAMS</v>
      </c>
      <c r="W915" t="str">
        <f>VLOOKUP(L915,'[2]tabela de preços'!$A:$F,6,0)</f>
        <v>PRIMER AUTOMOTIVO</v>
      </c>
      <c r="X915" t="str">
        <f>VLOOKUP(L915,'[2]tabela de preços'!$A:$G,7,0)</f>
        <v>AUTOMOTIVO</v>
      </c>
    </row>
    <row r="916" spans="1:24" x14ac:dyDescent="0.3">
      <c r="A916" t="s">
        <v>2100</v>
      </c>
      <c r="C916" t="s">
        <v>2105</v>
      </c>
      <c r="D916" s="1">
        <v>46035</v>
      </c>
      <c r="E916" t="s">
        <v>2106</v>
      </c>
      <c r="F916">
        <v>9</v>
      </c>
      <c r="G916">
        <v>174</v>
      </c>
      <c r="H916" t="str">
        <f>VLOOKUP(G916,[1]OPERADORES!$A:$B,2,0)</f>
        <v>MIRIÃ LOBATO RODRIGUES</v>
      </c>
      <c r="I916" t="s">
        <v>21</v>
      </c>
      <c r="J916" t="s">
        <v>1788</v>
      </c>
      <c r="K916" t="s">
        <v>2103</v>
      </c>
      <c r="L916">
        <v>10296</v>
      </c>
      <c r="M916" t="s">
        <v>334</v>
      </c>
      <c r="O916" t="s">
        <v>11</v>
      </c>
      <c r="P916">
        <v>5102</v>
      </c>
      <c r="Q916">
        <v>6</v>
      </c>
      <c r="R916">
        <v>17.02</v>
      </c>
      <c r="S916">
        <v>102.12</v>
      </c>
      <c r="T916">
        <v>75.42</v>
      </c>
      <c r="U916">
        <v>26.15</v>
      </c>
      <c r="V916" t="str">
        <f>VLOOKUP(L916,'[2]tabela de preços'!$A:$D,4,0)</f>
        <v>ANJO</v>
      </c>
      <c r="W916" t="str">
        <f>VLOOKUP(L916,'[2]tabela de preços'!$A:$F,6,0)</f>
        <v>DESENGRAXANTE</v>
      </c>
      <c r="X916" t="str">
        <f>VLOOKUP(L916,'[2]tabela de preços'!$A:$G,7,0)</f>
        <v>AUTOMOTIVO</v>
      </c>
    </row>
    <row r="917" spans="1:24" x14ac:dyDescent="0.3">
      <c r="A917" t="s">
        <v>2100</v>
      </c>
      <c r="C917" t="s">
        <v>2105</v>
      </c>
      <c r="D917" s="1">
        <v>46035</v>
      </c>
      <c r="E917" t="s">
        <v>2106</v>
      </c>
      <c r="F917">
        <v>9</v>
      </c>
      <c r="G917">
        <v>174</v>
      </c>
      <c r="H917" t="str">
        <f>VLOOKUP(G917,[1]OPERADORES!$A:$B,2,0)</f>
        <v>MIRIÃ LOBATO RODRIGUES</v>
      </c>
      <c r="I917" t="s">
        <v>21</v>
      </c>
      <c r="J917" t="s">
        <v>1788</v>
      </c>
      <c r="K917" t="s">
        <v>2103</v>
      </c>
      <c r="L917">
        <v>10298</v>
      </c>
      <c r="M917" t="s">
        <v>85</v>
      </c>
      <c r="O917" t="s">
        <v>11</v>
      </c>
      <c r="P917">
        <v>5102</v>
      </c>
      <c r="Q917">
        <v>1</v>
      </c>
      <c r="R917">
        <v>56.89</v>
      </c>
      <c r="S917">
        <v>56.89</v>
      </c>
      <c r="T917">
        <v>47.38</v>
      </c>
      <c r="U917">
        <v>16.72</v>
      </c>
      <c r="V917" t="str">
        <f>VLOOKUP(L917,'[2]tabela de preços'!$A:$D,4,0)</f>
        <v>ANJO</v>
      </c>
      <c r="W917" t="str">
        <f>VLOOKUP(L917,'[2]tabela de preços'!$A:$F,6,0)</f>
        <v>THINNER DE LIMPEZA</v>
      </c>
      <c r="X917" t="str">
        <f>VLOOKUP(L917,'[2]tabela de preços'!$A:$G,7,0)</f>
        <v>THINNER</v>
      </c>
    </row>
    <row r="918" spans="1:24" x14ac:dyDescent="0.3">
      <c r="A918" t="s">
        <v>2113</v>
      </c>
      <c r="C918" t="s">
        <v>2114</v>
      </c>
      <c r="D918" s="1">
        <v>46035</v>
      </c>
      <c r="E918" t="s">
        <v>2115</v>
      </c>
      <c r="F918">
        <v>9</v>
      </c>
      <c r="G918">
        <v>236</v>
      </c>
      <c r="H918" t="str">
        <f>VLOOKUP(G918,[1]OPERADORES!$A:$B,2,0)</f>
        <v>DANIEL</v>
      </c>
      <c r="I918" t="s">
        <v>21</v>
      </c>
      <c r="J918" t="s">
        <v>211</v>
      </c>
      <c r="K918" t="s">
        <v>2116</v>
      </c>
      <c r="L918">
        <v>21757</v>
      </c>
      <c r="M918" t="s">
        <v>2117</v>
      </c>
      <c r="O918" t="s">
        <v>11</v>
      </c>
      <c r="P918">
        <v>5403</v>
      </c>
      <c r="Q918">
        <v>10</v>
      </c>
      <c r="R918">
        <v>16.79</v>
      </c>
      <c r="S918">
        <v>167.9</v>
      </c>
      <c r="T918">
        <v>120.4</v>
      </c>
      <c r="U918">
        <v>28.29</v>
      </c>
      <c r="V918" t="str">
        <f>VLOOKUP(L918,'[2]tabela de preços'!$A:$D,4,0)</f>
        <v>SHERWIN WILLIAMS</v>
      </c>
      <c r="W918" t="str">
        <f>VLOOKUP(L918,'[2]tabela de preços'!$A:$F,6,0)</f>
        <v xml:space="preserve">SPRAYS </v>
      </c>
      <c r="X918" t="str">
        <f>VLOOKUP(L918,'[2]tabela de preços'!$A:$G,7,0)</f>
        <v>AUTOMOTIVO</v>
      </c>
    </row>
    <row r="919" spans="1:24" x14ac:dyDescent="0.3">
      <c r="A919" t="s">
        <v>2113</v>
      </c>
      <c r="C919" t="s">
        <v>2118</v>
      </c>
      <c r="D919" s="1">
        <v>46035</v>
      </c>
      <c r="E919" t="s">
        <v>2119</v>
      </c>
      <c r="F919">
        <v>9</v>
      </c>
      <c r="G919">
        <v>236</v>
      </c>
      <c r="H919" t="str">
        <f>VLOOKUP(G919,[1]OPERADORES!$A:$B,2,0)</f>
        <v>DANIEL</v>
      </c>
      <c r="I919" t="s">
        <v>21</v>
      </c>
      <c r="J919" t="s">
        <v>211</v>
      </c>
      <c r="K919" t="s">
        <v>2116</v>
      </c>
      <c r="L919">
        <v>10316</v>
      </c>
      <c r="M919" t="s">
        <v>582</v>
      </c>
      <c r="O919" t="s">
        <v>11</v>
      </c>
      <c r="P919">
        <v>5102</v>
      </c>
      <c r="Q919">
        <v>1</v>
      </c>
      <c r="R919">
        <v>13.89</v>
      </c>
      <c r="S919">
        <v>13.89</v>
      </c>
      <c r="T919">
        <v>11.63</v>
      </c>
      <c r="U919">
        <v>16.27</v>
      </c>
      <c r="V919" t="str">
        <f>VLOOKUP(L919,'[2]tabela de preços'!$A:$D,4,0)</f>
        <v>ANJO</v>
      </c>
      <c r="W919" t="str">
        <f>VLOOKUP(L919,'[2]tabela de preços'!$A:$F,6,0)</f>
        <v xml:space="preserve">COLA  PLÁSTICA </v>
      </c>
      <c r="X919" t="str">
        <f>VLOOKUP(L919,'[2]tabela de preços'!$A:$G,7,0)</f>
        <v>AUTOMOTIVO</v>
      </c>
    </row>
    <row r="920" spans="1:24" x14ac:dyDescent="0.3">
      <c r="A920" t="s">
        <v>2113</v>
      </c>
      <c r="C920" t="s">
        <v>2118</v>
      </c>
      <c r="D920" s="1">
        <v>46035</v>
      </c>
      <c r="E920" t="s">
        <v>2119</v>
      </c>
      <c r="F920">
        <v>9</v>
      </c>
      <c r="G920">
        <v>236</v>
      </c>
      <c r="H920" t="str">
        <f>VLOOKUP(G920,[1]OPERADORES!$A:$B,2,0)</f>
        <v>DANIEL</v>
      </c>
      <c r="I920" t="s">
        <v>21</v>
      </c>
      <c r="J920" t="s">
        <v>211</v>
      </c>
      <c r="K920" t="s">
        <v>2116</v>
      </c>
      <c r="L920">
        <v>21757</v>
      </c>
      <c r="M920" t="s">
        <v>2117</v>
      </c>
      <c r="O920" t="s">
        <v>11</v>
      </c>
      <c r="P920">
        <v>5403</v>
      </c>
      <c r="Q920">
        <v>2</v>
      </c>
      <c r="R920">
        <v>16.79</v>
      </c>
      <c r="S920">
        <v>33.58</v>
      </c>
      <c r="T920">
        <v>24.08</v>
      </c>
      <c r="U920">
        <v>28.29</v>
      </c>
      <c r="V920" t="str">
        <f>VLOOKUP(L920,'[2]tabela de preços'!$A:$D,4,0)</f>
        <v>SHERWIN WILLIAMS</v>
      </c>
      <c r="W920" t="str">
        <f>VLOOKUP(L920,'[2]tabela de preços'!$A:$F,6,0)</f>
        <v xml:space="preserve">SPRAYS </v>
      </c>
      <c r="X920" t="str">
        <f>VLOOKUP(L920,'[2]tabela de preços'!$A:$G,7,0)</f>
        <v>AUTOMOTIVO</v>
      </c>
    </row>
    <row r="921" spans="1:24" x14ac:dyDescent="0.3">
      <c r="A921" t="s">
        <v>2131</v>
      </c>
      <c r="C921" t="s">
        <v>2132</v>
      </c>
      <c r="D921" s="1">
        <v>46035</v>
      </c>
      <c r="E921" t="s">
        <v>2133</v>
      </c>
      <c r="F921">
        <v>9</v>
      </c>
      <c r="G921">
        <v>174</v>
      </c>
      <c r="H921" t="str">
        <f>VLOOKUP(G921,[1]OPERADORES!$A:$B,2,0)</f>
        <v>MIRIÃ LOBATO RODRIGUES</v>
      </c>
      <c r="I921" t="s">
        <v>1327</v>
      </c>
      <c r="J921" t="s">
        <v>1328</v>
      </c>
      <c r="K921" t="s">
        <v>2134</v>
      </c>
      <c r="L921">
        <v>85362</v>
      </c>
      <c r="M921" t="s">
        <v>2135</v>
      </c>
      <c r="O921" t="s">
        <v>11</v>
      </c>
      <c r="P921">
        <v>6102</v>
      </c>
      <c r="Q921">
        <v>3</v>
      </c>
      <c r="R921">
        <v>142.69999999999999</v>
      </c>
      <c r="S921">
        <v>428.1</v>
      </c>
      <c r="T921">
        <v>324.93</v>
      </c>
      <c r="U921">
        <v>24.1</v>
      </c>
      <c r="V921" t="str">
        <f>VLOOKUP(L921,'[2]tabela de preços'!$A:$D,4,0)</f>
        <v>BRASILUX</v>
      </c>
      <c r="W921" t="str">
        <f>VLOOKUP(L921,'[2]tabela de preços'!$A:$F,6,0)</f>
        <v>PRETO FOSCO VINÍLICO</v>
      </c>
      <c r="X921" t="str">
        <f>VLOOKUP(L921,'[2]tabela de preços'!$A:$G,7,0)</f>
        <v>AUTOMOTIVO</v>
      </c>
    </row>
    <row r="922" spans="1:24" x14ac:dyDescent="0.3">
      <c r="A922" t="s">
        <v>2131</v>
      </c>
      <c r="C922" t="s">
        <v>2132</v>
      </c>
      <c r="D922" s="1">
        <v>46035</v>
      </c>
      <c r="E922" t="s">
        <v>2133</v>
      </c>
      <c r="F922">
        <v>9</v>
      </c>
      <c r="G922">
        <v>174</v>
      </c>
      <c r="H922" t="str">
        <f>VLOOKUP(G922,[1]OPERADORES!$A:$B,2,0)</f>
        <v>MIRIÃ LOBATO RODRIGUES</v>
      </c>
      <c r="I922" t="s">
        <v>1327</v>
      </c>
      <c r="J922" t="s">
        <v>1328</v>
      </c>
      <c r="K922" t="s">
        <v>2134</v>
      </c>
      <c r="L922">
        <v>84025</v>
      </c>
      <c r="M922" t="s">
        <v>1520</v>
      </c>
      <c r="O922" t="s">
        <v>11</v>
      </c>
      <c r="P922">
        <v>6102</v>
      </c>
      <c r="Q922">
        <v>3</v>
      </c>
      <c r="R922">
        <v>80.42</v>
      </c>
      <c r="S922">
        <v>241.26</v>
      </c>
      <c r="T922">
        <v>183.12</v>
      </c>
      <c r="U922">
        <v>24.1</v>
      </c>
      <c r="V922" t="str">
        <f>VLOOKUP(L922,'[2]tabela de preços'!$A:$D,4,0)</f>
        <v>BRASILUX</v>
      </c>
      <c r="W922" t="str">
        <f>VLOOKUP(L922,'[2]tabela de preços'!$A:$F,6,0)</f>
        <v>EPOXI</v>
      </c>
      <c r="X922" t="str">
        <f>VLOOKUP(L922,'[2]tabela de preços'!$A:$G,7,0)</f>
        <v>INDUSTRIAL</v>
      </c>
    </row>
    <row r="923" spans="1:24" x14ac:dyDescent="0.3">
      <c r="A923" t="s">
        <v>2131</v>
      </c>
      <c r="C923" t="s">
        <v>2132</v>
      </c>
      <c r="D923" s="1">
        <v>46035</v>
      </c>
      <c r="E923" t="s">
        <v>2133</v>
      </c>
      <c r="F923">
        <v>9</v>
      </c>
      <c r="G923">
        <v>174</v>
      </c>
      <c r="H923" t="str">
        <f>VLOOKUP(G923,[1]OPERADORES!$A:$B,2,0)</f>
        <v>MIRIÃ LOBATO RODRIGUES</v>
      </c>
      <c r="I923" t="s">
        <v>1327</v>
      </c>
      <c r="J923" t="s">
        <v>1328</v>
      </c>
      <c r="K923" t="s">
        <v>2134</v>
      </c>
      <c r="L923">
        <v>85416</v>
      </c>
      <c r="M923" t="s">
        <v>756</v>
      </c>
      <c r="O923" t="s">
        <v>11</v>
      </c>
      <c r="P923">
        <v>6102</v>
      </c>
      <c r="Q923">
        <v>6</v>
      </c>
      <c r="R923">
        <v>8.9</v>
      </c>
      <c r="S923">
        <v>53.4</v>
      </c>
      <c r="T923">
        <v>43.92</v>
      </c>
      <c r="U923">
        <v>17.75</v>
      </c>
      <c r="V923" t="str">
        <f>VLOOKUP(L923,'[2]tabela de preços'!$A:$D,4,0)</f>
        <v>IBERÊ</v>
      </c>
      <c r="W923" t="str">
        <f>VLOOKUP(L923,'[2]tabela de preços'!$A:$F,6,0)</f>
        <v xml:space="preserve">COLA  PLÁSTICA </v>
      </c>
      <c r="X923" t="str">
        <f>VLOOKUP(L923,'[2]tabela de preços'!$A:$G,7,0)</f>
        <v>AUTOMOTIVO</v>
      </c>
    </row>
    <row r="924" spans="1:24" x14ac:dyDescent="0.3">
      <c r="A924" t="s">
        <v>2131</v>
      </c>
      <c r="C924" t="s">
        <v>2132</v>
      </c>
      <c r="D924" s="1">
        <v>46035</v>
      </c>
      <c r="E924" t="s">
        <v>2133</v>
      </c>
      <c r="F924">
        <v>9</v>
      </c>
      <c r="G924">
        <v>174</v>
      </c>
      <c r="H924" t="str">
        <f>VLOOKUP(G924,[1]OPERADORES!$A:$B,2,0)</f>
        <v>MIRIÃ LOBATO RODRIGUES</v>
      </c>
      <c r="I924" t="s">
        <v>1327</v>
      </c>
      <c r="J924" t="s">
        <v>1328</v>
      </c>
      <c r="K924" t="s">
        <v>2134</v>
      </c>
      <c r="L924">
        <v>84560</v>
      </c>
      <c r="M924" t="s">
        <v>118</v>
      </c>
      <c r="O924" t="s">
        <v>11</v>
      </c>
      <c r="P924">
        <v>6102</v>
      </c>
      <c r="Q924">
        <v>12</v>
      </c>
      <c r="R924">
        <v>47.89</v>
      </c>
      <c r="S924">
        <v>574.67999999999995</v>
      </c>
      <c r="T924">
        <v>469.92</v>
      </c>
      <c r="U924">
        <v>18.23</v>
      </c>
      <c r="V924" t="str">
        <f>VLOOKUP(L924,'[2]tabela de preços'!$A:$D,4,0)</f>
        <v>BRASILUX</v>
      </c>
      <c r="W924" t="str">
        <f>VLOOKUP(L924,'[2]tabela de preços'!$A:$F,6,0)</f>
        <v>THINNER DE LIMPEZA</v>
      </c>
      <c r="X924" t="str">
        <f>VLOOKUP(L924,'[2]tabela de preços'!$A:$G,7,0)</f>
        <v>THINNER</v>
      </c>
    </row>
    <row r="925" spans="1:24" x14ac:dyDescent="0.3">
      <c r="A925" t="s">
        <v>2306</v>
      </c>
      <c r="C925" t="s">
        <v>2313</v>
      </c>
      <c r="D925" s="1">
        <v>46035</v>
      </c>
      <c r="E925" t="s">
        <v>2314</v>
      </c>
      <c r="F925">
        <v>9</v>
      </c>
      <c r="G925">
        <v>230</v>
      </c>
      <c r="H925" t="str">
        <f>VLOOKUP(G925,[1]OPERADORES!$A:$B,2,0)</f>
        <v>SÔNIA</v>
      </c>
      <c r="I925" t="s">
        <v>21</v>
      </c>
      <c r="J925" t="s">
        <v>2309</v>
      </c>
      <c r="K925" t="s">
        <v>2310</v>
      </c>
      <c r="L925">
        <v>84113</v>
      </c>
      <c r="M925" t="s">
        <v>737</v>
      </c>
      <c r="O925" t="s">
        <v>11</v>
      </c>
      <c r="P925">
        <v>5403</v>
      </c>
      <c r="Q925">
        <v>3</v>
      </c>
      <c r="R925">
        <v>153.99</v>
      </c>
      <c r="S925">
        <v>461.97</v>
      </c>
      <c r="T925">
        <v>350.64</v>
      </c>
      <c r="U925">
        <v>24.1</v>
      </c>
      <c r="V925" t="str">
        <f>VLOOKUP(L925,'[2]tabela de preços'!$A:$D,4,0)</f>
        <v>BRASILUX</v>
      </c>
      <c r="W925" t="str">
        <f>VLOOKUP(L925,'[2]tabela de preços'!$A:$F,6,0)</f>
        <v>EPOXI</v>
      </c>
      <c r="X925" t="str">
        <f>VLOOKUP(L925,'[2]tabela de preços'!$A:$G,7,0)</f>
        <v>INDUSTRIAL</v>
      </c>
    </row>
    <row r="926" spans="1:24" x14ac:dyDescent="0.3">
      <c r="A926" t="s">
        <v>555</v>
      </c>
      <c r="C926" t="s">
        <v>556</v>
      </c>
      <c r="D926" s="1">
        <v>46036</v>
      </c>
      <c r="E926" t="s">
        <v>557</v>
      </c>
      <c r="F926">
        <v>9</v>
      </c>
      <c r="G926">
        <v>230</v>
      </c>
      <c r="H926" t="str">
        <f>VLOOKUP(G926,[1]OPERADORES!$A:$B,2,0)</f>
        <v>SÔNIA</v>
      </c>
      <c r="I926" t="s">
        <v>21</v>
      </c>
      <c r="J926" t="s">
        <v>558</v>
      </c>
      <c r="K926" t="s">
        <v>559</v>
      </c>
      <c r="L926">
        <v>84356</v>
      </c>
      <c r="M926" t="s">
        <v>560</v>
      </c>
      <c r="O926" t="s">
        <v>11</v>
      </c>
      <c r="P926">
        <v>5403</v>
      </c>
      <c r="Q926">
        <v>1</v>
      </c>
      <c r="R926">
        <v>19.64</v>
      </c>
      <c r="S926">
        <v>19.64</v>
      </c>
      <c r="T926">
        <v>14.91</v>
      </c>
      <c r="U926">
        <v>24.08</v>
      </c>
      <c r="V926" t="str">
        <f>VLOOKUP(L926,'[2]tabela de preços'!$A:$D,4,0)</f>
        <v>BRASILUX</v>
      </c>
      <c r="W926" t="str">
        <f>VLOOKUP(L926,'[2]tabela de preços'!$A:$F,6,0)</f>
        <v>ESMALTES</v>
      </c>
      <c r="X926" t="str">
        <f>VLOOKUP(L926,'[2]tabela de preços'!$A:$G,7,0)</f>
        <v>INDUSTRIAL</v>
      </c>
    </row>
    <row r="927" spans="1:24" x14ac:dyDescent="0.3">
      <c r="A927" t="s">
        <v>555</v>
      </c>
      <c r="C927" t="s">
        <v>556</v>
      </c>
      <c r="D927" s="1">
        <v>46036</v>
      </c>
      <c r="E927" t="s">
        <v>557</v>
      </c>
      <c r="F927">
        <v>9</v>
      </c>
      <c r="G927">
        <v>230</v>
      </c>
      <c r="H927" t="str">
        <f>VLOOKUP(G927,[1]OPERADORES!$A:$B,2,0)</f>
        <v>SÔNIA</v>
      </c>
      <c r="I927" t="s">
        <v>21</v>
      </c>
      <c r="J927" t="s">
        <v>558</v>
      </c>
      <c r="K927" t="s">
        <v>559</v>
      </c>
      <c r="L927">
        <v>84361</v>
      </c>
      <c r="M927" t="s">
        <v>561</v>
      </c>
      <c r="O927" t="s">
        <v>11</v>
      </c>
      <c r="P927">
        <v>5403</v>
      </c>
      <c r="Q927">
        <v>1</v>
      </c>
      <c r="R927">
        <v>17.05</v>
      </c>
      <c r="S927">
        <v>17.05</v>
      </c>
      <c r="T927">
        <v>12.94</v>
      </c>
      <c r="U927">
        <v>24.11</v>
      </c>
      <c r="V927" t="str">
        <f>VLOOKUP(L927,'[2]tabela de preços'!$A:$D,4,0)</f>
        <v>BRASILUX</v>
      </c>
      <c r="W927" t="str">
        <f>VLOOKUP(L927,'[2]tabela de preços'!$A:$F,6,0)</f>
        <v>ESMALTES</v>
      </c>
      <c r="X927" t="str">
        <f>VLOOKUP(L927,'[2]tabela de preços'!$A:$G,7,0)</f>
        <v>INDUSTRIAL</v>
      </c>
    </row>
    <row r="928" spans="1:24" x14ac:dyDescent="0.3">
      <c r="A928" t="s">
        <v>555</v>
      </c>
      <c r="C928" t="s">
        <v>556</v>
      </c>
      <c r="D928" s="1">
        <v>46036</v>
      </c>
      <c r="E928" t="s">
        <v>557</v>
      </c>
      <c r="F928">
        <v>9</v>
      </c>
      <c r="G928">
        <v>230</v>
      </c>
      <c r="H928" t="str">
        <f>VLOOKUP(G928,[1]OPERADORES!$A:$B,2,0)</f>
        <v>SÔNIA</v>
      </c>
      <c r="I928" t="s">
        <v>21</v>
      </c>
      <c r="J928" t="s">
        <v>558</v>
      </c>
      <c r="K928" t="s">
        <v>559</v>
      </c>
      <c r="L928">
        <v>84120</v>
      </c>
      <c r="M928" t="s">
        <v>562</v>
      </c>
      <c r="O928" t="s">
        <v>11</v>
      </c>
      <c r="P928">
        <v>5403</v>
      </c>
      <c r="Q928">
        <v>1</v>
      </c>
      <c r="R928">
        <v>20.100000000000001</v>
      </c>
      <c r="S928">
        <v>20.100000000000001</v>
      </c>
      <c r="T928">
        <v>15.26</v>
      </c>
      <c r="U928">
        <v>24.08</v>
      </c>
      <c r="V928" t="str">
        <f>VLOOKUP(L928,'[2]tabela de preços'!$A:$D,4,0)</f>
        <v>BRASILUX</v>
      </c>
      <c r="W928" t="str">
        <f>VLOOKUP(L928,'[2]tabela de preços'!$A:$F,6,0)</f>
        <v>ESMALTES</v>
      </c>
      <c r="X928" t="str">
        <f>VLOOKUP(L928,'[2]tabela de preços'!$A:$G,7,0)</f>
        <v>INDUSTRIAL</v>
      </c>
    </row>
    <row r="929" spans="1:24" x14ac:dyDescent="0.3">
      <c r="A929" t="s">
        <v>555</v>
      </c>
      <c r="C929" t="s">
        <v>556</v>
      </c>
      <c r="D929" s="1">
        <v>46036</v>
      </c>
      <c r="E929" t="s">
        <v>557</v>
      </c>
      <c r="F929">
        <v>9</v>
      </c>
      <c r="G929">
        <v>230</v>
      </c>
      <c r="H929" t="str">
        <f>VLOOKUP(G929,[1]OPERADORES!$A:$B,2,0)</f>
        <v>SÔNIA</v>
      </c>
      <c r="I929" t="s">
        <v>21</v>
      </c>
      <c r="J929" t="s">
        <v>558</v>
      </c>
      <c r="K929" t="s">
        <v>559</v>
      </c>
      <c r="L929">
        <v>84411</v>
      </c>
      <c r="M929" t="s">
        <v>35</v>
      </c>
      <c r="O929" t="s">
        <v>11</v>
      </c>
      <c r="P929">
        <v>5102</v>
      </c>
      <c r="Q929">
        <v>5</v>
      </c>
      <c r="R929">
        <v>4.29</v>
      </c>
      <c r="S929">
        <v>21.45</v>
      </c>
      <c r="T929">
        <v>17.7</v>
      </c>
      <c r="U929">
        <v>17.48</v>
      </c>
      <c r="V929" t="str">
        <f>VLOOKUP(L929,'[2]tabela de preços'!$A:$D,4,0)</f>
        <v>ADERE</v>
      </c>
      <c r="W929" t="str">
        <f>VLOOKUP(L929,'[2]tabela de preços'!$A:$F,6,0)</f>
        <v xml:space="preserve">FITA DE USO GERAL </v>
      </c>
      <c r="X929" t="str">
        <f>VLOOKUP(L929,'[2]tabela de preços'!$A:$G,7,0)</f>
        <v>IMOBILIÁRIO</v>
      </c>
    </row>
    <row r="930" spans="1:24" x14ac:dyDescent="0.3">
      <c r="A930" t="s">
        <v>555</v>
      </c>
      <c r="C930" t="s">
        <v>556</v>
      </c>
      <c r="D930" s="1">
        <v>46036</v>
      </c>
      <c r="E930" t="s">
        <v>557</v>
      </c>
      <c r="F930">
        <v>9</v>
      </c>
      <c r="G930">
        <v>230</v>
      </c>
      <c r="H930" t="str">
        <f>VLOOKUP(G930,[1]OPERADORES!$A:$B,2,0)</f>
        <v>SÔNIA</v>
      </c>
      <c r="I930" t="s">
        <v>21</v>
      </c>
      <c r="J930" t="s">
        <v>558</v>
      </c>
      <c r="K930" t="s">
        <v>559</v>
      </c>
      <c r="L930">
        <v>84928</v>
      </c>
      <c r="M930" t="s">
        <v>36</v>
      </c>
      <c r="O930" t="s">
        <v>11</v>
      </c>
      <c r="P930">
        <v>5102</v>
      </c>
      <c r="Q930">
        <v>4</v>
      </c>
      <c r="R930">
        <v>9.39</v>
      </c>
      <c r="S930">
        <v>37.56</v>
      </c>
      <c r="T930">
        <v>28.52</v>
      </c>
      <c r="U930">
        <v>24.07</v>
      </c>
      <c r="V930" t="str">
        <f>VLOOKUP(L930,'[2]tabela de preços'!$A:$D,4,0)</f>
        <v>ADERE</v>
      </c>
      <c r="W930" t="str">
        <f>VLOOKUP(L930,'[2]tabela de preços'!$A:$F,6,0)</f>
        <v xml:space="preserve">FITA DE USO GERAL </v>
      </c>
      <c r="X930" t="str">
        <f>VLOOKUP(L930,'[2]tabela de preços'!$A:$G,7,0)</f>
        <v>IMOBILIÁRIO</v>
      </c>
    </row>
    <row r="931" spans="1:24" x14ac:dyDescent="0.3">
      <c r="A931" t="s">
        <v>555</v>
      </c>
      <c r="C931" t="s">
        <v>556</v>
      </c>
      <c r="D931" s="1">
        <v>46036</v>
      </c>
      <c r="E931" t="s">
        <v>557</v>
      </c>
      <c r="F931">
        <v>9</v>
      </c>
      <c r="G931">
        <v>230</v>
      </c>
      <c r="H931" t="str">
        <f>VLOOKUP(G931,[1]OPERADORES!$A:$B,2,0)</f>
        <v>SÔNIA</v>
      </c>
      <c r="I931" t="s">
        <v>21</v>
      </c>
      <c r="J931" t="s">
        <v>558</v>
      </c>
      <c r="K931" t="s">
        <v>559</v>
      </c>
      <c r="L931">
        <v>84312</v>
      </c>
      <c r="M931" t="s">
        <v>563</v>
      </c>
      <c r="O931" t="s">
        <v>11</v>
      </c>
      <c r="P931">
        <v>5403</v>
      </c>
      <c r="Q931">
        <v>1</v>
      </c>
      <c r="R931">
        <v>305.89999999999998</v>
      </c>
      <c r="S931">
        <v>305.89999999999998</v>
      </c>
      <c r="T931">
        <v>232.18</v>
      </c>
      <c r="U931">
        <v>24.1</v>
      </c>
      <c r="V931" t="str">
        <f>VLOOKUP(L931,'[2]tabela de preços'!$A:$D,4,0)</f>
        <v>BRASILUX</v>
      </c>
      <c r="W931" t="str">
        <f>VLOOKUP(L931,'[2]tabela de preços'!$A:$F,6,0)</f>
        <v>IMPERMEABILIZANTES</v>
      </c>
      <c r="X931" t="str">
        <f>VLOOKUP(L931,'[2]tabela de preços'!$A:$G,7,0)</f>
        <v>IMOBILIÁRIO</v>
      </c>
    </row>
    <row r="932" spans="1:24" x14ac:dyDescent="0.3">
      <c r="A932" t="s">
        <v>727</v>
      </c>
      <c r="C932" t="s">
        <v>735</v>
      </c>
      <c r="D932" s="1">
        <v>46036</v>
      </c>
      <c r="E932" t="s">
        <v>736</v>
      </c>
      <c r="F932">
        <v>9</v>
      </c>
      <c r="G932">
        <v>231</v>
      </c>
      <c r="H932" t="str">
        <f>VLOOKUP(G932,[1]OPERADORES!$A:$B,2,0)</f>
        <v>EDIJANE</v>
      </c>
      <c r="I932" t="s">
        <v>21</v>
      </c>
      <c r="J932" t="s">
        <v>730</v>
      </c>
      <c r="K932" t="s">
        <v>731</v>
      </c>
      <c r="L932">
        <v>84113</v>
      </c>
      <c r="M932" t="s">
        <v>737</v>
      </c>
      <c r="O932" t="s">
        <v>11</v>
      </c>
      <c r="P932">
        <v>5403</v>
      </c>
      <c r="Q932">
        <v>4</v>
      </c>
      <c r="R932">
        <v>153.99</v>
      </c>
      <c r="S932">
        <v>615.96</v>
      </c>
      <c r="T932">
        <v>467.52</v>
      </c>
      <c r="U932">
        <v>24.1</v>
      </c>
      <c r="V932" t="str">
        <f>VLOOKUP(L932,'[2]tabela de preços'!$A:$D,4,0)</f>
        <v>BRASILUX</v>
      </c>
      <c r="W932" t="str">
        <f>VLOOKUP(L932,'[2]tabela de preços'!$A:$F,6,0)</f>
        <v>EPOXI</v>
      </c>
      <c r="X932" t="str">
        <f>VLOOKUP(L932,'[2]tabela de preços'!$A:$G,7,0)</f>
        <v>INDUSTRIAL</v>
      </c>
    </row>
    <row r="933" spans="1:24" x14ac:dyDescent="0.3">
      <c r="A933" t="s">
        <v>727</v>
      </c>
      <c r="C933" t="s">
        <v>735</v>
      </c>
      <c r="D933" s="1">
        <v>46036</v>
      </c>
      <c r="E933" t="s">
        <v>736</v>
      </c>
      <c r="F933">
        <v>9</v>
      </c>
      <c r="G933">
        <v>231</v>
      </c>
      <c r="H933" t="str">
        <f>VLOOKUP(G933,[1]OPERADORES!$A:$B,2,0)</f>
        <v>EDIJANE</v>
      </c>
      <c r="I933" t="s">
        <v>21</v>
      </c>
      <c r="J933" t="s">
        <v>730</v>
      </c>
      <c r="K933" t="s">
        <v>731</v>
      </c>
      <c r="L933">
        <v>84045</v>
      </c>
      <c r="M933" t="s">
        <v>527</v>
      </c>
      <c r="O933" t="s">
        <v>11</v>
      </c>
      <c r="P933">
        <v>5102</v>
      </c>
      <c r="Q933">
        <v>12</v>
      </c>
      <c r="R933">
        <v>19.48</v>
      </c>
      <c r="S933">
        <v>233.76</v>
      </c>
      <c r="T933">
        <v>177.48</v>
      </c>
      <c r="U933">
        <v>24.08</v>
      </c>
      <c r="V933" t="str">
        <f>VLOOKUP(L933,'[2]tabela de preços'!$A:$D,4,0)</f>
        <v>BRASILUX</v>
      </c>
      <c r="W933" t="str">
        <f>VLOOKUP(L933,'[2]tabela de preços'!$A:$F,6,0)</f>
        <v>REMOVEDOR PASTOSO</v>
      </c>
      <c r="X933" t="str">
        <f>VLOOKUP(L933,'[2]tabela de preços'!$A:$G,7,0)</f>
        <v>AUTOMOTIVO</v>
      </c>
    </row>
    <row r="934" spans="1:24" x14ac:dyDescent="0.3">
      <c r="A934" t="s">
        <v>727</v>
      </c>
      <c r="C934" t="s">
        <v>735</v>
      </c>
      <c r="D934" s="1">
        <v>46036</v>
      </c>
      <c r="E934" t="s">
        <v>736</v>
      </c>
      <c r="F934">
        <v>9</v>
      </c>
      <c r="G934">
        <v>231</v>
      </c>
      <c r="H934" t="str">
        <f>VLOOKUP(G934,[1]OPERADORES!$A:$B,2,0)</f>
        <v>EDIJANE</v>
      </c>
      <c r="I934" t="s">
        <v>21</v>
      </c>
      <c r="J934" t="s">
        <v>730</v>
      </c>
      <c r="K934" t="s">
        <v>731</v>
      </c>
      <c r="L934">
        <v>84043</v>
      </c>
      <c r="M934" t="s">
        <v>738</v>
      </c>
      <c r="O934" t="s">
        <v>11</v>
      </c>
      <c r="P934">
        <v>5102</v>
      </c>
      <c r="Q934">
        <v>8</v>
      </c>
      <c r="R934">
        <v>70.69</v>
      </c>
      <c r="S934">
        <v>565.52</v>
      </c>
      <c r="T934">
        <v>429.2</v>
      </c>
      <c r="U934">
        <v>24.11</v>
      </c>
      <c r="V934" t="str">
        <f>VLOOKUP(L934,'[2]tabela de preços'!$A:$D,4,0)</f>
        <v>BRASILUX</v>
      </c>
      <c r="W934" t="str">
        <f>VLOOKUP(L934,'[2]tabela de preços'!$A:$F,6,0)</f>
        <v>REMOVEDOR PASTOSO</v>
      </c>
      <c r="X934" t="str">
        <f>VLOOKUP(L934,'[2]tabela de preços'!$A:$G,7,0)</f>
        <v>AUTOMOTIVO</v>
      </c>
    </row>
    <row r="935" spans="1:24" x14ac:dyDescent="0.3">
      <c r="A935" t="s">
        <v>770</v>
      </c>
      <c r="C935" t="s">
        <v>782</v>
      </c>
      <c r="D935" s="1">
        <v>46036</v>
      </c>
      <c r="E935" t="s">
        <v>783</v>
      </c>
      <c r="F935">
        <v>9</v>
      </c>
      <c r="G935">
        <v>230</v>
      </c>
      <c r="H935" t="str">
        <f>VLOOKUP(G935,[1]OPERADORES!$A:$B,2,0)</f>
        <v>SÔNIA</v>
      </c>
      <c r="I935" t="s">
        <v>21</v>
      </c>
      <c r="J935" t="s">
        <v>397</v>
      </c>
      <c r="K935" t="s">
        <v>773</v>
      </c>
      <c r="L935">
        <v>84557</v>
      </c>
      <c r="M935" t="s">
        <v>116</v>
      </c>
      <c r="O935" t="s">
        <v>11</v>
      </c>
      <c r="P935">
        <v>5102</v>
      </c>
      <c r="Q935">
        <v>5</v>
      </c>
      <c r="R935">
        <v>17.489999999999998</v>
      </c>
      <c r="S935">
        <v>87.45</v>
      </c>
      <c r="T935">
        <v>69.8</v>
      </c>
      <c r="U935">
        <v>20.18</v>
      </c>
      <c r="V935" t="str">
        <f>VLOOKUP(L935,'[2]tabela de preços'!$A:$D,4,0)</f>
        <v>BRASILUX</v>
      </c>
      <c r="W935" t="str">
        <f>VLOOKUP(L935,'[2]tabela de preços'!$A:$F,6,0)</f>
        <v>DILUENTE</v>
      </c>
      <c r="X935" t="str">
        <f>VLOOKUP(L935,'[2]tabela de preços'!$A:$G,7,0)</f>
        <v>AUTOMOTIVO</v>
      </c>
    </row>
    <row r="936" spans="1:24" x14ac:dyDescent="0.3">
      <c r="A936" t="s">
        <v>770</v>
      </c>
      <c r="C936" t="s">
        <v>782</v>
      </c>
      <c r="D936" s="1">
        <v>46036</v>
      </c>
      <c r="E936" t="s">
        <v>783</v>
      </c>
      <c r="F936">
        <v>9</v>
      </c>
      <c r="G936">
        <v>230</v>
      </c>
      <c r="H936" t="str">
        <f>VLOOKUP(G936,[1]OPERADORES!$A:$B,2,0)</f>
        <v>SÔNIA</v>
      </c>
      <c r="I936" t="s">
        <v>21</v>
      </c>
      <c r="J936" t="s">
        <v>397</v>
      </c>
      <c r="K936" t="s">
        <v>773</v>
      </c>
      <c r="L936">
        <v>22173</v>
      </c>
      <c r="M936" t="s">
        <v>194</v>
      </c>
      <c r="O936" t="s">
        <v>11</v>
      </c>
      <c r="P936">
        <v>5102</v>
      </c>
      <c r="Q936">
        <v>10</v>
      </c>
      <c r="R936">
        <v>4.58</v>
      </c>
      <c r="S936">
        <v>45.8</v>
      </c>
      <c r="T936">
        <v>34.799999999999997</v>
      </c>
      <c r="U936">
        <v>24.02</v>
      </c>
      <c r="V936" t="str">
        <f>VLOOKUP(L936,'[2]tabela de preços'!$A:$D,4,0)</f>
        <v>3M</v>
      </c>
      <c r="W936" t="str">
        <f>VLOOKUP(L936,'[2]tabela de preços'!$A:$F,6,0)</f>
        <v>FITA AUTOMOTIVA</v>
      </c>
      <c r="X936" t="str">
        <f>VLOOKUP(L936,'[2]tabela de preços'!$A:$G,7,0)</f>
        <v>AUTOMOTIVO</v>
      </c>
    </row>
    <row r="937" spans="1:24" x14ac:dyDescent="0.3">
      <c r="A937" t="s">
        <v>770</v>
      </c>
      <c r="C937" t="s">
        <v>782</v>
      </c>
      <c r="D937" s="1">
        <v>46036</v>
      </c>
      <c r="E937" t="s">
        <v>783</v>
      </c>
      <c r="F937">
        <v>9</v>
      </c>
      <c r="G937">
        <v>230</v>
      </c>
      <c r="H937" t="str">
        <f>VLOOKUP(G937,[1]OPERADORES!$A:$B,2,0)</f>
        <v>SÔNIA</v>
      </c>
      <c r="I937" t="s">
        <v>21</v>
      </c>
      <c r="J937" t="s">
        <v>397</v>
      </c>
      <c r="K937" t="s">
        <v>773</v>
      </c>
      <c r="L937">
        <v>22188</v>
      </c>
      <c r="M937" t="s">
        <v>78</v>
      </c>
      <c r="O937" t="s">
        <v>11</v>
      </c>
      <c r="P937">
        <v>5102</v>
      </c>
      <c r="Q937">
        <v>1</v>
      </c>
      <c r="R937">
        <v>16.88</v>
      </c>
      <c r="S937">
        <v>16.88</v>
      </c>
      <c r="T937">
        <v>10.89</v>
      </c>
      <c r="U937">
        <v>35.49</v>
      </c>
      <c r="V937" t="str">
        <f>VLOOKUP(L937,'[2]tabela de preços'!$A:$D,4,0)</f>
        <v>3M</v>
      </c>
      <c r="W937" t="str">
        <f>VLOOKUP(L937,'[2]tabela de preços'!$A:$F,6,0)</f>
        <v>FITA AUTOMOTIVA</v>
      </c>
      <c r="X937" t="str">
        <f>VLOOKUP(L937,'[2]tabela de preços'!$A:$G,7,0)</f>
        <v>AUTOMOTIVO</v>
      </c>
    </row>
    <row r="938" spans="1:24" x14ac:dyDescent="0.3">
      <c r="A938" t="s">
        <v>770</v>
      </c>
      <c r="C938" t="s">
        <v>782</v>
      </c>
      <c r="D938" s="1">
        <v>46036</v>
      </c>
      <c r="E938" t="s">
        <v>783</v>
      </c>
      <c r="F938">
        <v>9</v>
      </c>
      <c r="G938">
        <v>230</v>
      </c>
      <c r="H938" t="str">
        <f>VLOOKUP(G938,[1]OPERADORES!$A:$B,2,0)</f>
        <v>SÔNIA</v>
      </c>
      <c r="I938" t="s">
        <v>21</v>
      </c>
      <c r="J938" t="s">
        <v>397</v>
      </c>
      <c r="K938" t="s">
        <v>773</v>
      </c>
      <c r="L938">
        <v>10298</v>
      </c>
      <c r="M938" t="s">
        <v>85</v>
      </c>
      <c r="O938" t="s">
        <v>11</v>
      </c>
      <c r="P938">
        <v>5102</v>
      </c>
      <c r="Q938">
        <v>2</v>
      </c>
      <c r="R938">
        <v>56.89</v>
      </c>
      <c r="S938">
        <v>113.78</v>
      </c>
      <c r="T938">
        <v>94.76</v>
      </c>
      <c r="U938">
        <v>16.72</v>
      </c>
      <c r="V938" t="str">
        <f>VLOOKUP(L938,'[2]tabela de preços'!$A:$D,4,0)</f>
        <v>ANJO</v>
      </c>
      <c r="W938" t="str">
        <f>VLOOKUP(L938,'[2]tabela de preços'!$A:$F,6,0)</f>
        <v>THINNER DE LIMPEZA</v>
      </c>
      <c r="X938" t="str">
        <f>VLOOKUP(L938,'[2]tabela de preços'!$A:$G,7,0)</f>
        <v>THINNER</v>
      </c>
    </row>
    <row r="939" spans="1:24" x14ac:dyDescent="0.3">
      <c r="A939" t="s">
        <v>770</v>
      </c>
      <c r="C939" t="s">
        <v>784</v>
      </c>
      <c r="D939" s="1">
        <v>46036</v>
      </c>
      <c r="E939" t="s">
        <v>785</v>
      </c>
      <c r="F939">
        <v>9</v>
      </c>
      <c r="G939">
        <v>230</v>
      </c>
      <c r="H939" t="str">
        <f>VLOOKUP(G939,[1]OPERADORES!$A:$B,2,0)</f>
        <v>SÔNIA</v>
      </c>
      <c r="I939" t="s">
        <v>21</v>
      </c>
      <c r="J939" t="s">
        <v>397</v>
      </c>
      <c r="K939" t="s">
        <v>773</v>
      </c>
      <c r="L939">
        <v>23063</v>
      </c>
      <c r="M939" t="s">
        <v>786</v>
      </c>
      <c r="O939" t="s">
        <v>11</v>
      </c>
      <c r="P939">
        <v>5403</v>
      </c>
      <c r="Q939">
        <v>1</v>
      </c>
      <c r="R939">
        <v>39.67</v>
      </c>
      <c r="S939">
        <v>39.67</v>
      </c>
      <c r="T939">
        <v>30.11</v>
      </c>
      <c r="U939">
        <v>24.1</v>
      </c>
      <c r="V939" t="str">
        <f>VLOOKUP(L939,'[2]tabela de preços'!$A:$D,4,0)</f>
        <v>WANDA</v>
      </c>
      <c r="W939" t="str">
        <f>VLOOKUP(L939,'[2]tabela de preços'!$A:$F,6,0)</f>
        <v>VERNIZ AUTOMOTIVO</v>
      </c>
      <c r="X939" t="str">
        <f>VLOOKUP(L939,'[2]tabela de preços'!$A:$G,7,0)</f>
        <v>AUTOMOTIVO</v>
      </c>
    </row>
    <row r="940" spans="1:24" x14ac:dyDescent="0.3">
      <c r="A940" t="s">
        <v>770</v>
      </c>
      <c r="C940" t="s">
        <v>784</v>
      </c>
      <c r="D940" s="1">
        <v>46036</v>
      </c>
      <c r="E940" t="s">
        <v>785</v>
      </c>
      <c r="F940">
        <v>9</v>
      </c>
      <c r="G940">
        <v>230</v>
      </c>
      <c r="H940" t="str">
        <f>VLOOKUP(G940,[1]OPERADORES!$A:$B,2,0)</f>
        <v>SÔNIA</v>
      </c>
      <c r="I940" t="s">
        <v>21</v>
      </c>
      <c r="J940" t="s">
        <v>397</v>
      </c>
      <c r="K940" t="s">
        <v>773</v>
      </c>
      <c r="L940">
        <v>21782</v>
      </c>
      <c r="M940" t="s">
        <v>655</v>
      </c>
      <c r="O940" t="s">
        <v>11</v>
      </c>
      <c r="P940">
        <v>5403</v>
      </c>
      <c r="Q940">
        <v>1</v>
      </c>
      <c r="R940">
        <v>35.68</v>
      </c>
      <c r="S940">
        <v>35.68</v>
      </c>
      <c r="T940">
        <v>25.44</v>
      </c>
      <c r="U940">
        <v>28.7</v>
      </c>
      <c r="V940" t="str">
        <f>VLOOKUP(L940,'[2]tabela de preços'!$A:$D,4,0)</f>
        <v>SHERWIN WILLIAMS</v>
      </c>
      <c r="W940" t="str">
        <f>VLOOKUP(L940,'[2]tabela de preços'!$A:$F,6,0)</f>
        <v>TINTAS POLIÉSTER</v>
      </c>
      <c r="X940" t="str">
        <f>VLOOKUP(L940,'[2]tabela de preços'!$A:$G,7,0)</f>
        <v>AUTOMOTIVO</v>
      </c>
    </row>
    <row r="941" spans="1:24" x14ac:dyDescent="0.3">
      <c r="A941" t="s">
        <v>770</v>
      </c>
      <c r="C941" t="s">
        <v>784</v>
      </c>
      <c r="D941" s="1">
        <v>46036</v>
      </c>
      <c r="E941" t="s">
        <v>785</v>
      </c>
      <c r="F941">
        <v>9</v>
      </c>
      <c r="G941">
        <v>230</v>
      </c>
      <c r="H941" t="str">
        <f>VLOOKUP(G941,[1]OPERADORES!$A:$B,2,0)</f>
        <v>SÔNIA</v>
      </c>
      <c r="I941" t="s">
        <v>21</v>
      </c>
      <c r="J941" t="s">
        <v>397</v>
      </c>
      <c r="K941" t="s">
        <v>773</v>
      </c>
      <c r="L941">
        <v>10298</v>
      </c>
      <c r="M941" t="s">
        <v>85</v>
      </c>
      <c r="O941" t="s">
        <v>11</v>
      </c>
      <c r="P941">
        <v>5102</v>
      </c>
      <c r="Q941">
        <v>1</v>
      </c>
      <c r="R941">
        <v>56.89</v>
      </c>
      <c r="S941">
        <v>56.89</v>
      </c>
      <c r="T941">
        <v>47.38</v>
      </c>
      <c r="U941">
        <v>16.72</v>
      </c>
      <c r="V941" t="str">
        <f>VLOOKUP(L941,'[2]tabela de preços'!$A:$D,4,0)</f>
        <v>ANJO</v>
      </c>
      <c r="W941" t="str">
        <f>VLOOKUP(L941,'[2]tabela de preços'!$A:$F,6,0)</f>
        <v>THINNER DE LIMPEZA</v>
      </c>
      <c r="X941" t="str">
        <f>VLOOKUP(L941,'[2]tabela de preços'!$A:$G,7,0)</f>
        <v>THINNER</v>
      </c>
    </row>
    <row r="942" spans="1:24" x14ac:dyDescent="0.3">
      <c r="A942" t="s">
        <v>828</v>
      </c>
      <c r="C942" t="s">
        <v>829</v>
      </c>
      <c r="D942" s="1">
        <v>46036</v>
      </c>
      <c r="E942" t="s">
        <v>830</v>
      </c>
      <c r="F942">
        <v>9</v>
      </c>
      <c r="G942">
        <v>231</v>
      </c>
      <c r="H942" t="str">
        <f>VLOOKUP(G942,[1]OPERADORES!$A:$B,2,0)</f>
        <v>EDIJANE</v>
      </c>
      <c r="I942" t="s">
        <v>21</v>
      </c>
      <c r="J942" t="s">
        <v>372</v>
      </c>
      <c r="K942" t="s">
        <v>831</v>
      </c>
      <c r="L942">
        <v>84389</v>
      </c>
      <c r="M942" t="s">
        <v>832</v>
      </c>
      <c r="O942" t="s">
        <v>11</v>
      </c>
      <c r="P942">
        <v>5403</v>
      </c>
      <c r="Q942">
        <v>6</v>
      </c>
      <c r="R942">
        <v>159.9</v>
      </c>
      <c r="S942">
        <v>959.4</v>
      </c>
      <c r="T942">
        <v>825.66</v>
      </c>
      <c r="U942">
        <v>13.94</v>
      </c>
      <c r="V942" t="str">
        <f>VLOOKUP(L942,'[2]tabela de preços'!$A:$D,4,0)</f>
        <v>BRASILUX</v>
      </c>
      <c r="W942" t="str">
        <f>VLOOKUP(L942,'[2]tabela de preços'!$A:$F,6,0)</f>
        <v>TINTA PARA PISO</v>
      </c>
      <c r="X942" t="str">
        <f>VLOOKUP(L942,'[2]tabela de preços'!$A:$G,7,0)</f>
        <v>IMOBILIÁRIO</v>
      </c>
    </row>
    <row r="943" spans="1:24" x14ac:dyDescent="0.3">
      <c r="A943" t="s">
        <v>901</v>
      </c>
      <c r="C943" t="s">
        <v>907</v>
      </c>
      <c r="D943" s="1">
        <v>46036</v>
      </c>
      <c r="E943" t="s">
        <v>908</v>
      </c>
      <c r="F943">
        <v>9</v>
      </c>
      <c r="G943">
        <v>230</v>
      </c>
      <c r="H943" t="str">
        <f>VLOOKUP(G943,[1]OPERADORES!$A:$B,2,0)</f>
        <v>SÔNIA</v>
      </c>
      <c r="I943" t="s">
        <v>21</v>
      </c>
      <c r="J943" t="s">
        <v>904</v>
      </c>
      <c r="K943" t="s">
        <v>905</v>
      </c>
      <c r="L943">
        <v>84030</v>
      </c>
      <c r="M943" t="s">
        <v>900</v>
      </c>
      <c r="O943" t="s">
        <v>11</v>
      </c>
      <c r="P943">
        <v>5102</v>
      </c>
      <c r="Q943">
        <v>1</v>
      </c>
      <c r="R943">
        <v>55.81</v>
      </c>
      <c r="S943">
        <v>55.81</v>
      </c>
      <c r="T943">
        <v>42.36</v>
      </c>
      <c r="U943">
        <v>24.1</v>
      </c>
      <c r="V943" t="str">
        <f>VLOOKUP(L943,'[2]tabela de preços'!$A:$D,4,0)</f>
        <v>BRASILUX</v>
      </c>
      <c r="W943" t="str">
        <f>VLOOKUP(L943,'[2]tabela de preços'!$A:$F,6,0)</f>
        <v>AGUARRAS</v>
      </c>
      <c r="X943" t="str">
        <f>VLOOKUP(L943,'[2]tabela de preços'!$A:$G,7,0)</f>
        <v>IMOBILIÁRIO</v>
      </c>
    </row>
    <row r="944" spans="1:24" x14ac:dyDescent="0.3">
      <c r="A944" t="s">
        <v>901</v>
      </c>
      <c r="C944" t="s">
        <v>907</v>
      </c>
      <c r="D944" s="1">
        <v>46036</v>
      </c>
      <c r="E944" t="s">
        <v>908</v>
      </c>
      <c r="F944">
        <v>9</v>
      </c>
      <c r="G944">
        <v>230</v>
      </c>
      <c r="H944" t="str">
        <f>VLOOKUP(G944,[1]OPERADORES!$A:$B,2,0)</f>
        <v>SÔNIA</v>
      </c>
      <c r="I944" t="s">
        <v>21</v>
      </c>
      <c r="J944" t="s">
        <v>904</v>
      </c>
      <c r="K944" t="s">
        <v>905</v>
      </c>
      <c r="L944">
        <v>22188</v>
      </c>
      <c r="M944" t="s">
        <v>78</v>
      </c>
      <c r="O944" t="s">
        <v>11</v>
      </c>
      <c r="P944">
        <v>5102</v>
      </c>
      <c r="Q944">
        <v>4</v>
      </c>
      <c r="R944">
        <v>14.35</v>
      </c>
      <c r="S944">
        <v>57.4</v>
      </c>
      <c r="T944">
        <v>43.56</v>
      </c>
      <c r="U944">
        <v>24.11</v>
      </c>
      <c r="V944" t="str">
        <f>VLOOKUP(L944,'[2]tabela de preços'!$A:$D,4,0)</f>
        <v>3M</v>
      </c>
      <c r="W944" t="str">
        <f>VLOOKUP(L944,'[2]tabela de preços'!$A:$F,6,0)</f>
        <v>FITA AUTOMOTIVA</v>
      </c>
      <c r="X944" t="str">
        <f>VLOOKUP(L944,'[2]tabela de preços'!$A:$G,7,0)</f>
        <v>AUTOMOTIVO</v>
      </c>
    </row>
    <row r="945" spans="1:24" x14ac:dyDescent="0.3">
      <c r="A945" t="s">
        <v>901</v>
      </c>
      <c r="C945" t="s">
        <v>907</v>
      </c>
      <c r="D945" s="1">
        <v>46036</v>
      </c>
      <c r="E945" t="s">
        <v>908</v>
      </c>
      <c r="F945">
        <v>9</v>
      </c>
      <c r="G945">
        <v>230</v>
      </c>
      <c r="H945" t="str">
        <f>VLOOKUP(G945,[1]OPERADORES!$A:$B,2,0)</f>
        <v>SÔNIA</v>
      </c>
      <c r="I945" t="s">
        <v>21</v>
      </c>
      <c r="J945" t="s">
        <v>904</v>
      </c>
      <c r="K945" t="s">
        <v>905</v>
      </c>
      <c r="L945">
        <v>85707</v>
      </c>
      <c r="M945" t="s">
        <v>906</v>
      </c>
      <c r="O945" t="s">
        <v>46</v>
      </c>
      <c r="P945">
        <v>5405</v>
      </c>
      <c r="Q945">
        <v>1</v>
      </c>
      <c r="R945">
        <v>309.81</v>
      </c>
      <c r="S945">
        <v>309.81</v>
      </c>
      <c r="T945">
        <v>235.15</v>
      </c>
      <c r="U945">
        <v>24.1</v>
      </c>
      <c r="V945" t="str">
        <f>VLOOKUP(L945,'[2]tabela de preços'!$A:$D,4,0)</f>
        <v>MULTILONA</v>
      </c>
      <c r="W945" t="str">
        <f>VLOOKUP(L945,'[2]tabela de preços'!$A:$F,6,0)</f>
        <v>LONAS</v>
      </c>
      <c r="X945" t="str">
        <f>VLOOKUP(L945,'[2]tabela de preços'!$A:$G,7,0)</f>
        <v>IMOBILIÁRIO</v>
      </c>
    </row>
    <row r="946" spans="1:24" x14ac:dyDescent="0.3">
      <c r="A946" t="s">
        <v>974</v>
      </c>
      <c r="C946" t="s">
        <v>993</v>
      </c>
      <c r="D946" s="1">
        <v>46036</v>
      </c>
      <c r="E946" t="s">
        <v>994</v>
      </c>
      <c r="F946">
        <v>9</v>
      </c>
      <c r="G946">
        <v>197</v>
      </c>
      <c r="H946" t="str">
        <f>VLOOKUP(G946,[1]OPERADORES!$A:$B,2,0)</f>
        <v xml:space="preserve">POLIANA LORRANE DE AMORIM </v>
      </c>
      <c r="I946" t="s">
        <v>21</v>
      </c>
      <c r="J946" t="s">
        <v>397</v>
      </c>
      <c r="K946" t="s">
        <v>977</v>
      </c>
      <c r="L946">
        <v>84910</v>
      </c>
      <c r="M946" t="s">
        <v>995</v>
      </c>
      <c r="O946" t="s">
        <v>11</v>
      </c>
      <c r="P946">
        <v>5403</v>
      </c>
      <c r="Q946">
        <v>1</v>
      </c>
      <c r="R946">
        <v>79.63</v>
      </c>
      <c r="S946">
        <v>79.63</v>
      </c>
      <c r="T946">
        <v>58.38</v>
      </c>
      <c r="U946">
        <v>26.69</v>
      </c>
      <c r="V946" t="str">
        <f>VLOOKUP(L946,'[2]tabela de preços'!$A:$D,4,0)</f>
        <v>BRASILUX</v>
      </c>
      <c r="W946" t="str">
        <f>VLOOKUP(L946,'[2]tabela de preços'!$A:$F,6,0)</f>
        <v>ESMALTES</v>
      </c>
      <c r="X946" t="str">
        <f>VLOOKUP(L946,'[2]tabela de preços'!$A:$G,7,0)</f>
        <v>INDUSTRIAL</v>
      </c>
    </row>
    <row r="947" spans="1:24" x14ac:dyDescent="0.3">
      <c r="A947" t="s">
        <v>974</v>
      </c>
      <c r="C947" t="s">
        <v>993</v>
      </c>
      <c r="D947" s="1">
        <v>46036</v>
      </c>
      <c r="E947" t="s">
        <v>994</v>
      </c>
      <c r="F947">
        <v>9</v>
      </c>
      <c r="G947">
        <v>197</v>
      </c>
      <c r="H947" t="str">
        <f>VLOOKUP(G947,[1]OPERADORES!$A:$B,2,0)</f>
        <v xml:space="preserve">POLIANA LORRANE DE AMORIM </v>
      </c>
      <c r="I947" t="s">
        <v>21</v>
      </c>
      <c r="J947" t="s">
        <v>397</v>
      </c>
      <c r="K947" t="s">
        <v>977</v>
      </c>
      <c r="L947">
        <v>24372</v>
      </c>
      <c r="M947" t="s">
        <v>996</v>
      </c>
      <c r="O947" t="s">
        <v>11</v>
      </c>
      <c r="P947">
        <v>5102</v>
      </c>
      <c r="Q947">
        <v>6</v>
      </c>
      <c r="R947">
        <v>15.61</v>
      </c>
      <c r="S947">
        <v>93.66</v>
      </c>
      <c r="T947">
        <v>71.099999999999994</v>
      </c>
      <c r="U947">
        <v>24.09</v>
      </c>
      <c r="V947" t="str">
        <f>VLOOKUP(L947,'[2]tabela de preços'!$A:$D,4,0)</f>
        <v>BRASILUX</v>
      </c>
      <c r="W947" t="str">
        <f>VLOOKUP(L947,'[2]tabela de preços'!$A:$F,6,0)</f>
        <v>EMBALAGEM</v>
      </c>
      <c r="X947" t="str">
        <f>VLOOKUP(L947,'[2]tabela de preços'!$A:$G,7,0)</f>
        <v>AUTOMOTIVO</v>
      </c>
    </row>
    <row r="948" spans="1:24" x14ac:dyDescent="0.3">
      <c r="A948" t="s">
        <v>974</v>
      </c>
      <c r="C948" t="s">
        <v>993</v>
      </c>
      <c r="D948" s="1">
        <v>46036</v>
      </c>
      <c r="E948" t="s">
        <v>994</v>
      </c>
      <c r="F948">
        <v>9</v>
      </c>
      <c r="G948">
        <v>197</v>
      </c>
      <c r="H948" t="str">
        <f>VLOOKUP(G948,[1]OPERADORES!$A:$B,2,0)</f>
        <v xml:space="preserve">POLIANA LORRANE DE AMORIM </v>
      </c>
      <c r="I948" t="s">
        <v>21</v>
      </c>
      <c r="J948" t="s">
        <v>397</v>
      </c>
      <c r="K948" t="s">
        <v>977</v>
      </c>
      <c r="L948">
        <v>85280</v>
      </c>
      <c r="M948" t="s">
        <v>943</v>
      </c>
      <c r="O948" t="s">
        <v>11</v>
      </c>
      <c r="P948">
        <v>5102</v>
      </c>
      <c r="Q948">
        <v>6</v>
      </c>
      <c r="R948">
        <v>55.72</v>
      </c>
      <c r="S948">
        <v>334.32</v>
      </c>
      <c r="T948">
        <v>253.74</v>
      </c>
      <c r="U948">
        <v>24.1</v>
      </c>
      <c r="V948" t="str">
        <f>VLOOKUP(L948,'[2]tabela de preços'!$A:$D,4,0)</f>
        <v>BRASILUX</v>
      </c>
      <c r="W948" t="str">
        <f>VLOOKUP(L948,'[2]tabela de preços'!$A:$F,6,0)</f>
        <v>CATALISADORES INDIVIDUAIS</v>
      </c>
      <c r="X948" t="str">
        <f>VLOOKUP(L948,'[2]tabela de preços'!$A:$G,7,0)</f>
        <v>IMOBILIÁRIO</v>
      </c>
    </row>
    <row r="949" spans="1:24" x14ac:dyDescent="0.3">
      <c r="A949" t="s">
        <v>974</v>
      </c>
      <c r="C949" t="s">
        <v>993</v>
      </c>
      <c r="D949" s="1">
        <v>46036</v>
      </c>
      <c r="E949" t="s">
        <v>994</v>
      </c>
      <c r="F949">
        <v>9</v>
      </c>
      <c r="G949">
        <v>197</v>
      </c>
      <c r="H949" t="str">
        <f>VLOOKUP(G949,[1]OPERADORES!$A:$B,2,0)</f>
        <v xml:space="preserve">POLIANA LORRANE DE AMORIM </v>
      </c>
      <c r="I949" t="s">
        <v>21</v>
      </c>
      <c r="J949" t="s">
        <v>397</v>
      </c>
      <c r="K949" t="s">
        <v>977</v>
      </c>
      <c r="L949">
        <v>84823</v>
      </c>
      <c r="M949" t="s">
        <v>331</v>
      </c>
      <c r="O949" t="s">
        <v>11</v>
      </c>
      <c r="P949">
        <v>5102</v>
      </c>
      <c r="Q949">
        <v>1</v>
      </c>
      <c r="R949">
        <v>94.64</v>
      </c>
      <c r="S949">
        <v>94.64</v>
      </c>
      <c r="T949">
        <v>71.83</v>
      </c>
      <c r="U949">
        <v>24.1</v>
      </c>
      <c r="V949" t="str">
        <f>VLOOKUP(L949,'[2]tabela de preços'!$A:$D,4,0)</f>
        <v>BRASILUX</v>
      </c>
      <c r="W949" t="str">
        <f>VLOOKUP(L949,'[2]tabela de preços'!$A:$F,6,0)</f>
        <v>DILUENTE</v>
      </c>
      <c r="X949" t="str">
        <f>VLOOKUP(L949,'[2]tabela de preços'!$A:$G,7,0)</f>
        <v>AUTOMOTIVO</v>
      </c>
    </row>
    <row r="950" spans="1:24" x14ac:dyDescent="0.3">
      <c r="A950" t="s">
        <v>1232</v>
      </c>
      <c r="C950" t="s">
        <v>1233</v>
      </c>
      <c r="D950" s="1">
        <v>46036</v>
      </c>
      <c r="E950" t="s">
        <v>1234</v>
      </c>
      <c r="F950">
        <v>9</v>
      </c>
      <c r="G950">
        <v>174</v>
      </c>
      <c r="H950" t="str">
        <f>VLOOKUP(G950,[1]OPERADORES!$A:$B,2,0)</f>
        <v>MIRIÃ LOBATO RODRIGUES</v>
      </c>
      <c r="I950" t="s">
        <v>21</v>
      </c>
      <c r="J950" t="s">
        <v>1235</v>
      </c>
      <c r="K950" t="s">
        <v>1236</v>
      </c>
      <c r="L950">
        <v>16</v>
      </c>
      <c r="M950" t="s">
        <v>122</v>
      </c>
      <c r="O950" t="s">
        <v>11</v>
      </c>
      <c r="P950">
        <v>5102</v>
      </c>
      <c r="Q950">
        <v>50</v>
      </c>
      <c r="R950">
        <v>2.9</v>
      </c>
      <c r="S950">
        <v>145</v>
      </c>
      <c r="T950">
        <v>110</v>
      </c>
      <c r="U950">
        <v>24.14</v>
      </c>
      <c r="V950" t="str">
        <f>VLOOKUP(L950,'[2]tabela de preços'!$A:$D,4,0)</f>
        <v>3M</v>
      </c>
      <c r="W950" t="str">
        <f>VLOOKUP(L950,'[2]tabela de preços'!$A:$F,6,0)</f>
        <v>LIXA DÁGUA</v>
      </c>
      <c r="X950" t="str">
        <f>VLOOKUP(L950,'[2]tabela de preços'!$A:$G,7,0)</f>
        <v>AUTOMOTIVO</v>
      </c>
    </row>
    <row r="951" spans="1:24" x14ac:dyDescent="0.3">
      <c r="A951" t="s">
        <v>1232</v>
      </c>
      <c r="C951" t="s">
        <v>1233</v>
      </c>
      <c r="D951" s="1">
        <v>46036</v>
      </c>
      <c r="E951" t="s">
        <v>1234</v>
      </c>
      <c r="F951">
        <v>9</v>
      </c>
      <c r="G951">
        <v>174</v>
      </c>
      <c r="H951" t="str">
        <f>VLOOKUP(G951,[1]OPERADORES!$A:$B,2,0)</f>
        <v>MIRIÃ LOBATO RODRIGUES</v>
      </c>
      <c r="I951" t="s">
        <v>21</v>
      </c>
      <c r="J951" t="s">
        <v>1235</v>
      </c>
      <c r="K951" t="s">
        <v>1236</v>
      </c>
      <c r="L951">
        <v>83819</v>
      </c>
      <c r="M951" t="s">
        <v>1237</v>
      </c>
      <c r="O951" t="s">
        <v>11</v>
      </c>
      <c r="P951">
        <v>5102</v>
      </c>
      <c r="Q951">
        <v>50</v>
      </c>
      <c r="R951">
        <v>3.49</v>
      </c>
      <c r="S951">
        <v>174.5</v>
      </c>
      <c r="T951">
        <v>132.5</v>
      </c>
      <c r="U951">
        <v>24.07</v>
      </c>
      <c r="V951" t="str">
        <f>VLOOKUP(L951,'[2]tabela de preços'!$A:$D,4,0)</f>
        <v>3M</v>
      </c>
      <c r="W951" t="str">
        <f>VLOOKUP(L951,'[2]tabela de preços'!$A:$F,6,0)</f>
        <v>LIXA DÁGUA</v>
      </c>
      <c r="X951" t="str">
        <f>VLOOKUP(L951,'[2]tabela de preços'!$A:$G,7,0)</f>
        <v>AUTOMOTIVO</v>
      </c>
    </row>
    <row r="952" spans="1:24" x14ac:dyDescent="0.3">
      <c r="A952" t="s">
        <v>1232</v>
      </c>
      <c r="C952" t="s">
        <v>1233</v>
      </c>
      <c r="D952" s="1">
        <v>46036</v>
      </c>
      <c r="E952" t="s">
        <v>1234</v>
      </c>
      <c r="F952">
        <v>9</v>
      </c>
      <c r="G952">
        <v>174</v>
      </c>
      <c r="H952" t="str">
        <f>VLOOKUP(G952,[1]OPERADORES!$A:$B,2,0)</f>
        <v>MIRIÃ LOBATO RODRIGUES</v>
      </c>
      <c r="I952" t="s">
        <v>21</v>
      </c>
      <c r="J952" t="s">
        <v>1235</v>
      </c>
      <c r="K952" t="s">
        <v>1236</v>
      </c>
      <c r="L952">
        <v>20090</v>
      </c>
      <c r="M952" t="s">
        <v>1238</v>
      </c>
      <c r="O952" t="s">
        <v>11</v>
      </c>
      <c r="P952">
        <v>5102</v>
      </c>
      <c r="Q952">
        <v>3</v>
      </c>
      <c r="R952">
        <v>14.49</v>
      </c>
      <c r="S952">
        <v>43.47</v>
      </c>
      <c r="T952">
        <v>33</v>
      </c>
      <c r="U952">
        <v>24.09</v>
      </c>
      <c r="V952" t="str">
        <f>VLOOKUP(L952,'[2]tabela de preços'!$A:$D,4,0)</f>
        <v>PROLAB</v>
      </c>
      <c r="W952" t="str">
        <f>VLOOKUP(L952,'[2]tabela de preços'!$A:$F,6,0)</f>
        <v>APLICADORES / ADAPTADORES / ENGATES / SUPORTES</v>
      </c>
      <c r="X952" t="str">
        <f>VLOOKUP(L952,'[2]tabela de preços'!$A:$G,7,0)</f>
        <v>AUTOMOTIVO</v>
      </c>
    </row>
    <row r="953" spans="1:24" x14ac:dyDescent="0.3">
      <c r="A953" t="s">
        <v>1232</v>
      </c>
      <c r="C953" t="s">
        <v>1233</v>
      </c>
      <c r="D953" s="1">
        <v>46036</v>
      </c>
      <c r="E953" t="s">
        <v>1234</v>
      </c>
      <c r="F953">
        <v>9</v>
      </c>
      <c r="G953">
        <v>174</v>
      </c>
      <c r="H953" t="str">
        <f>VLOOKUP(G953,[1]OPERADORES!$A:$B,2,0)</f>
        <v>MIRIÃ LOBATO RODRIGUES</v>
      </c>
      <c r="I953" t="s">
        <v>21</v>
      </c>
      <c r="J953" t="s">
        <v>1235</v>
      </c>
      <c r="K953" t="s">
        <v>1236</v>
      </c>
      <c r="L953">
        <v>10298</v>
      </c>
      <c r="M953" t="s">
        <v>85</v>
      </c>
      <c r="O953" t="s">
        <v>11</v>
      </c>
      <c r="P953">
        <v>5102</v>
      </c>
      <c r="Q953">
        <v>4</v>
      </c>
      <c r="R953">
        <v>56.89</v>
      </c>
      <c r="S953">
        <v>227.56</v>
      </c>
      <c r="T953">
        <v>189.52</v>
      </c>
      <c r="U953">
        <v>16.72</v>
      </c>
      <c r="V953" t="str">
        <f>VLOOKUP(L953,'[2]tabela de preços'!$A:$D,4,0)</f>
        <v>ANJO</v>
      </c>
      <c r="W953" t="str">
        <f>VLOOKUP(L953,'[2]tabela de preços'!$A:$F,6,0)</f>
        <v>THINNER DE LIMPEZA</v>
      </c>
      <c r="X953" t="str">
        <f>VLOOKUP(L953,'[2]tabela de preços'!$A:$G,7,0)</f>
        <v>THINNER</v>
      </c>
    </row>
    <row r="954" spans="1:24" x14ac:dyDescent="0.3">
      <c r="A954" t="s">
        <v>1232</v>
      </c>
      <c r="C954" t="s">
        <v>1233</v>
      </c>
      <c r="D954" s="1">
        <v>46036</v>
      </c>
      <c r="E954" t="s">
        <v>1234</v>
      </c>
      <c r="F954">
        <v>9</v>
      </c>
      <c r="G954">
        <v>174</v>
      </c>
      <c r="H954" t="str">
        <f>VLOOKUP(G954,[1]OPERADORES!$A:$B,2,0)</f>
        <v>MIRIÃ LOBATO RODRIGUES</v>
      </c>
      <c r="I954" t="s">
        <v>21</v>
      </c>
      <c r="J954" t="s">
        <v>1235</v>
      </c>
      <c r="K954" t="s">
        <v>1236</v>
      </c>
      <c r="L954">
        <v>10297</v>
      </c>
      <c r="M954" t="s">
        <v>41</v>
      </c>
      <c r="O954" t="s">
        <v>11</v>
      </c>
      <c r="P954">
        <v>5102</v>
      </c>
      <c r="Q954">
        <v>24</v>
      </c>
      <c r="R954">
        <v>10.89</v>
      </c>
      <c r="S954">
        <v>261.36</v>
      </c>
      <c r="T954">
        <v>220.08</v>
      </c>
      <c r="U954">
        <v>15.79</v>
      </c>
      <c r="V954" t="str">
        <f>VLOOKUP(L954,'[2]tabela de preços'!$A:$D,4,0)</f>
        <v>ANJO</v>
      </c>
      <c r="W954" t="str">
        <f>VLOOKUP(L954,'[2]tabela de preços'!$A:$F,6,0)</f>
        <v>THINNER DE LIMPEZA</v>
      </c>
      <c r="X954" t="str">
        <f>VLOOKUP(L954,'[2]tabela de preços'!$A:$G,7,0)</f>
        <v>THINNER</v>
      </c>
    </row>
    <row r="955" spans="1:24" x14ac:dyDescent="0.3">
      <c r="A955" t="s">
        <v>1232</v>
      </c>
      <c r="C955" t="s">
        <v>1233</v>
      </c>
      <c r="D955" s="1">
        <v>46036</v>
      </c>
      <c r="E955" t="s">
        <v>1234</v>
      </c>
      <c r="F955">
        <v>9</v>
      </c>
      <c r="G955">
        <v>174</v>
      </c>
      <c r="H955" t="str">
        <f>VLOOKUP(G955,[1]OPERADORES!$A:$B,2,0)</f>
        <v>MIRIÃ LOBATO RODRIGUES</v>
      </c>
      <c r="I955" t="s">
        <v>21</v>
      </c>
      <c r="J955" t="s">
        <v>1235</v>
      </c>
      <c r="K955" t="s">
        <v>1236</v>
      </c>
      <c r="L955">
        <v>21321</v>
      </c>
      <c r="M955" t="s">
        <v>272</v>
      </c>
      <c r="O955" t="s">
        <v>11</v>
      </c>
      <c r="P955">
        <v>5102</v>
      </c>
      <c r="Q955">
        <v>10</v>
      </c>
      <c r="R955">
        <v>20.239999999999998</v>
      </c>
      <c r="S955">
        <v>202.4</v>
      </c>
      <c r="T955">
        <v>153.6</v>
      </c>
      <c r="U955">
        <v>24.11</v>
      </c>
      <c r="V955" t="str">
        <f>VLOOKUP(L955,'[2]tabela de preços'!$A:$D,4,0)</f>
        <v>AUTO AMERICA</v>
      </c>
      <c r="W955" t="str">
        <f>VLOOKUP(L955,'[2]tabela de preços'!$A:$F,6,0)</f>
        <v>CERA  / LIMPEZA /  POLIMENTO VEICULAR</v>
      </c>
      <c r="X955" t="str">
        <f>VLOOKUP(L955,'[2]tabela de preços'!$A:$G,7,0)</f>
        <v>AUTOMOTIVO</v>
      </c>
    </row>
    <row r="956" spans="1:24" x14ac:dyDescent="0.3">
      <c r="A956" t="s">
        <v>1232</v>
      </c>
      <c r="C956" t="s">
        <v>1233</v>
      </c>
      <c r="D956" s="1">
        <v>46036</v>
      </c>
      <c r="E956" t="s">
        <v>1234</v>
      </c>
      <c r="F956">
        <v>9</v>
      </c>
      <c r="G956">
        <v>174</v>
      </c>
      <c r="H956" t="str">
        <f>VLOOKUP(G956,[1]OPERADORES!$A:$B,2,0)</f>
        <v>MIRIÃ LOBATO RODRIGUES</v>
      </c>
      <c r="I956" t="s">
        <v>21</v>
      </c>
      <c r="J956" t="s">
        <v>1235</v>
      </c>
      <c r="K956" t="s">
        <v>1236</v>
      </c>
      <c r="L956">
        <v>23287</v>
      </c>
      <c r="M956" t="s">
        <v>273</v>
      </c>
      <c r="O956" t="s">
        <v>11</v>
      </c>
      <c r="P956">
        <v>5102</v>
      </c>
      <c r="Q956">
        <v>6</v>
      </c>
      <c r="R956">
        <v>39.979999999999997</v>
      </c>
      <c r="S956">
        <v>239.88</v>
      </c>
      <c r="T956">
        <v>182.1</v>
      </c>
      <c r="U956">
        <v>24.09</v>
      </c>
      <c r="V956" t="str">
        <f>VLOOKUP(L956,'[2]tabela de preços'!$A:$D,4,0)</f>
        <v>AUTO AMERICA</v>
      </c>
      <c r="W956" t="str">
        <f>VLOOKUP(L956,'[2]tabela de preços'!$A:$F,6,0)</f>
        <v>CERA  / LIMPEZA /  POLIMENTO VEICULAR</v>
      </c>
      <c r="X956" t="str">
        <f>VLOOKUP(L956,'[2]tabela de preços'!$A:$G,7,0)</f>
        <v>AUTOMOTIVO</v>
      </c>
    </row>
    <row r="957" spans="1:24" x14ac:dyDescent="0.3">
      <c r="A957" t="s">
        <v>1524</v>
      </c>
      <c r="B957" t="s">
        <v>1525</v>
      </c>
      <c r="C957" t="s">
        <v>1541</v>
      </c>
      <c r="D957" s="1">
        <v>46036</v>
      </c>
      <c r="E957" t="s">
        <v>1542</v>
      </c>
      <c r="F957">
        <v>9</v>
      </c>
      <c r="G957">
        <v>236</v>
      </c>
      <c r="H957" t="str">
        <f>VLOOKUP(G957,[1]OPERADORES!$A:$B,2,0)</f>
        <v>DANIEL</v>
      </c>
      <c r="I957" t="s">
        <v>21</v>
      </c>
      <c r="J957" t="s">
        <v>762</v>
      </c>
      <c r="K957" t="s">
        <v>1528</v>
      </c>
      <c r="L957">
        <v>84134</v>
      </c>
      <c r="M957" t="s">
        <v>589</v>
      </c>
      <c r="O957" t="s">
        <v>11</v>
      </c>
      <c r="P957">
        <v>5403</v>
      </c>
      <c r="Q957">
        <v>12</v>
      </c>
      <c r="R957">
        <v>7.55</v>
      </c>
      <c r="S957">
        <v>90.6</v>
      </c>
      <c r="T957">
        <v>68.760000000000005</v>
      </c>
      <c r="U957">
        <v>24.11</v>
      </c>
      <c r="V957" t="str">
        <f>VLOOKUP(L957,'[2]tabela de preços'!$A:$D,4,0)</f>
        <v>BRASILUX</v>
      </c>
      <c r="W957" t="str">
        <f>VLOOKUP(L957,'[2]tabela de preços'!$A:$F,6,0)</f>
        <v>ESMALTES</v>
      </c>
      <c r="X957" t="str">
        <f>VLOOKUP(L957,'[2]tabela de preços'!$A:$G,7,0)</f>
        <v>INDUSTRIAL</v>
      </c>
    </row>
    <row r="958" spans="1:24" x14ac:dyDescent="0.3">
      <c r="A958" t="s">
        <v>1524</v>
      </c>
      <c r="B958" t="s">
        <v>1525</v>
      </c>
      <c r="C958" t="s">
        <v>1541</v>
      </c>
      <c r="D958" s="1">
        <v>46036</v>
      </c>
      <c r="E958" t="s">
        <v>1542</v>
      </c>
      <c r="F958">
        <v>9</v>
      </c>
      <c r="G958">
        <v>236</v>
      </c>
      <c r="H958" t="str">
        <f>VLOOKUP(G958,[1]OPERADORES!$A:$B,2,0)</f>
        <v>DANIEL</v>
      </c>
      <c r="I958" t="s">
        <v>21</v>
      </c>
      <c r="J958" t="s">
        <v>762</v>
      </c>
      <c r="K958" t="s">
        <v>1528</v>
      </c>
      <c r="L958">
        <v>84344</v>
      </c>
      <c r="M958" t="s">
        <v>1000</v>
      </c>
      <c r="O958" t="s">
        <v>11</v>
      </c>
      <c r="P958">
        <v>5403</v>
      </c>
      <c r="Q958">
        <v>2</v>
      </c>
      <c r="R958">
        <v>59.98</v>
      </c>
      <c r="S958">
        <v>119.96</v>
      </c>
      <c r="T958">
        <v>99.32</v>
      </c>
      <c r="U958">
        <v>17.21</v>
      </c>
      <c r="V958" t="str">
        <f>VLOOKUP(L958,'[2]tabela de preços'!$A:$D,4,0)</f>
        <v>BRASILUX</v>
      </c>
      <c r="W958" t="str">
        <f>VLOOKUP(L958,'[2]tabela de preços'!$A:$F,6,0)</f>
        <v>ESMALTES</v>
      </c>
      <c r="X958" t="str">
        <f>VLOOKUP(L958,'[2]tabela de preços'!$A:$G,7,0)</f>
        <v>INDUSTRIAL</v>
      </c>
    </row>
    <row r="959" spans="1:24" x14ac:dyDescent="0.3">
      <c r="A959" t="s">
        <v>1524</v>
      </c>
      <c r="B959" t="s">
        <v>1525</v>
      </c>
      <c r="C959" t="s">
        <v>1543</v>
      </c>
      <c r="D959" s="1">
        <v>46036</v>
      </c>
      <c r="E959" t="s">
        <v>1544</v>
      </c>
      <c r="F959">
        <v>9</v>
      </c>
      <c r="G959">
        <v>236</v>
      </c>
      <c r="H959" t="str">
        <f>VLOOKUP(G959,[1]OPERADORES!$A:$B,2,0)</f>
        <v>DANIEL</v>
      </c>
      <c r="I959" t="s">
        <v>21</v>
      </c>
      <c r="J959" t="s">
        <v>762</v>
      </c>
      <c r="K959" t="s">
        <v>1528</v>
      </c>
      <c r="L959">
        <v>84247</v>
      </c>
      <c r="M959" t="s">
        <v>1545</v>
      </c>
      <c r="O959" t="s">
        <v>11</v>
      </c>
      <c r="P959">
        <v>5403</v>
      </c>
      <c r="Q959">
        <v>3</v>
      </c>
      <c r="R959">
        <v>453.93</v>
      </c>
      <c r="S959" s="2">
        <v>1361.79</v>
      </c>
      <c r="T959" s="2">
        <v>1033.6199999999999</v>
      </c>
      <c r="U959">
        <v>24.1</v>
      </c>
      <c r="V959" t="str">
        <f>VLOOKUP(L959,'[2]tabela de preços'!$A:$D,4,0)</f>
        <v>BRASILUX</v>
      </c>
      <c r="W959" t="str">
        <f>VLOOKUP(L959,'[2]tabela de preços'!$A:$F,6,0)</f>
        <v>IMPERMEABILIZANTES</v>
      </c>
      <c r="X959" t="str">
        <f>VLOOKUP(L959,'[2]tabela de preços'!$A:$G,7,0)</f>
        <v>IMOBILIÁRIO</v>
      </c>
    </row>
    <row r="960" spans="1:24" x14ac:dyDescent="0.3">
      <c r="A960" t="s">
        <v>1561</v>
      </c>
      <c r="C960" t="s">
        <v>1577</v>
      </c>
      <c r="D960" s="1">
        <v>46036</v>
      </c>
      <c r="E960" t="s">
        <v>1578</v>
      </c>
      <c r="F960">
        <v>9</v>
      </c>
      <c r="G960">
        <v>174</v>
      </c>
      <c r="H960" t="str">
        <f>VLOOKUP(G960,[1]OPERADORES!$A:$B,2,0)</f>
        <v>MIRIÃ LOBATO RODRIGUES</v>
      </c>
      <c r="I960" t="s">
        <v>21</v>
      </c>
      <c r="J960" t="s">
        <v>1564</v>
      </c>
      <c r="K960" t="s">
        <v>1565</v>
      </c>
      <c r="L960">
        <v>84036</v>
      </c>
      <c r="M960" t="s">
        <v>289</v>
      </c>
      <c r="O960" t="s">
        <v>11</v>
      </c>
      <c r="P960">
        <v>5102</v>
      </c>
      <c r="Q960">
        <v>6</v>
      </c>
      <c r="R960">
        <v>47.9</v>
      </c>
      <c r="S960">
        <v>287.39999999999998</v>
      </c>
      <c r="T960">
        <v>249.78</v>
      </c>
      <c r="U960">
        <v>13.09</v>
      </c>
      <c r="V960" t="str">
        <f>VLOOKUP(L960,'[2]tabela de preços'!$A:$D,4,0)</f>
        <v>BRASILUX</v>
      </c>
      <c r="W960" t="str">
        <f>VLOOKUP(L960,'[2]tabela de preços'!$A:$F,6,0)</f>
        <v>MASSA CORRIDA / ACRÍLICA</v>
      </c>
      <c r="X960" t="str">
        <f>VLOOKUP(L960,'[2]tabela de preços'!$A:$G,7,0)</f>
        <v>IMOBILIÁRIO</v>
      </c>
    </row>
    <row r="961" spans="1:24" x14ac:dyDescent="0.3">
      <c r="A961" t="s">
        <v>1649</v>
      </c>
      <c r="B961" t="s">
        <v>1650</v>
      </c>
      <c r="C961" t="s">
        <v>1657</v>
      </c>
      <c r="D961" s="1">
        <v>46036</v>
      </c>
      <c r="E961" t="s">
        <v>1658</v>
      </c>
      <c r="F961">
        <v>9</v>
      </c>
      <c r="G961">
        <v>236</v>
      </c>
      <c r="H961" t="str">
        <f>VLOOKUP(G961,[1]OPERADORES!$A:$B,2,0)</f>
        <v>DANIEL</v>
      </c>
      <c r="I961" t="s">
        <v>21</v>
      </c>
      <c r="J961" t="s">
        <v>1653</v>
      </c>
      <c r="K961" t="s">
        <v>1654</v>
      </c>
      <c r="L961">
        <v>84925</v>
      </c>
      <c r="M961" t="s">
        <v>1659</v>
      </c>
      <c r="O961" t="s">
        <v>11</v>
      </c>
      <c r="P961">
        <v>5403</v>
      </c>
      <c r="Q961">
        <v>20</v>
      </c>
      <c r="R961">
        <v>159.41999999999999</v>
      </c>
      <c r="S961" s="2">
        <v>3188.4</v>
      </c>
      <c r="T961" s="2">
        <v>2337.6</v>
      </c>
      <c r="U961">
        <v>26.68</v>
      </c>
      <c r="V961" t="str">
        <f>VLOOKUP(L961,'[2]tabela de preços'!$A:$D,4,0)</f>
        <v>BRASILUX</v>
      </c>
      <c r="W961" t="str">
        <f>VLOOKUP(L961,'[2]tabela de preços'!$A:$F,6,0)</f>
        <v>EPOXI</v>
      </c>
      <c r="X961" t="str">
        <f>VLOOKUP(L961,'[2]tabela de preços'!$A:$G,7,0)</f>
        <v>INDUSTRIAL</v>
      </c>
    </row>
    <row r="962" spans="1:24" x14ac:dyDescent="0.3">
      <c r="A962" t="s">
        <v>1701</v>
      </c>
      <c r="C962" t="s">
        <v>1720</v>
      </c>
      <c r="D962" s="1">
        <v>46036</v>
      </c>
      <c r="E962" t="s">
        <v>1721</v>
      </c>
      <c r="F962">
        <v>9</v>
      </c>
      <c r="G962">
        <v>197</v>
      </c>
      <c r="H962" t="str">
        <f>VLOOKUP(G962,[1]OPERADORES!$A:$B,2,0)</f>
        <v xml:space="preserve">POLIANA LORRANE DE AMORIM </v>
      </c>
      <c r="I962" t="s">
        <v>21</v>
      </c>
      <c r="J962" t="s">
        <v>265</v>
      </c>
      <c r="K962" t="s">
        <v>1704</v>
      </c>
      <c r="L962">
        <v>84329</v>
      </c>
      <c r="M962" t="s">
        <v>285</v>
      </c>
      <c r="O962" t="s">
        <v>11</v>
      </c>
      <c r="P962">
        <v>5403</v>
      </c>
      <c r="Q962">
        <v>2</v>
      </c>
      <c r="R962">
        <v>59.98</v>
      </c>
      <c r="S962">
        <v>119.96</v>
      </c>
      <c r="T962">
        <v>96.54</v>
      </c>
      <c r="U962">
        <v>19.52</v>
      </c>
      <c r="V962" t="str">
        <f>VLOOKUP(L962,'[2]tabela de preços'!$A:$D,4,0)</f>
        <v>BRASILUX</v>
      </c>
      <c r="W962" t="str">
        <f>VLOOKUP(L962,'[2]tabela de preços'!$A:$F,6,0)</f>
        <v>ESMALTES</v>
      </c>
      <c r="X962" t="str">
        <f>VLOOKUP(L962,'[2]tabela de preços'!$A:$G,7,0)</f>
        <v>INDUSTRIAL</v>
      </c>
    </row>
    <row r="963" spans="1:24" x14ac:dyDescent="0.3">
      <c r="A963" t="s">
        <v>1701</v>
      </c>
      <c r="C963" t="s">
        <v>1720</v>
      </c>
      <c r="D963" s="1">
        <v>46036</v>
      </c>
      <c r="E963" t="s">
        <v>1721</v>
      </c>
      <c r="F963">
        <v>9</v>
      </c>
      <c r="G963">
        <v>197</v>
      </c>
      <c r="H963" t="str">
        <f>VLOOKUP(G963,[1]OPERADORES!$A:$B,2,0)</f>
        <v xml:space="preserve">POLIANA LORRANE DE AMORIM </v>
      </c>
      <c r="I963" t="s">
        <v>21</v>
      </c>
      <c r="J963" t="s">
        <v>265</v>
      </c>
      <c r="K963" t="s">
        <v>1704</v>
      </c>
      <c r="L963">
        <v>84333</v>
      </c>
      <c r="M963" t="s">
        <v>1025</v>
      </c>
      <c r="O963" t="s">
        <v>11</v>
      </c>
      <c r="P963">
        <v>5403</v>
      </c>
      <c r="Q963">
        <v>4</v>
      </c>
      <c r="R963">
        <v>59.98</v>
      </c>
      <c r="S963">
        <v>239.92</v>
      </c>
      <c r="T963">
        <v>188.16</v>
      </c>
      <c r="U963">
        <v>21.57</v>
      </c>
      <c r="V963" t="str">
        <f>VLOOKUP(L963,'[2]tabela de preços'!$A:$D,4,0)</f>
        <v>BRASILUX</v>
      </c>
      <c r="W963" t="str">
        <f>VLOOKUP(L963,'[2]tabela de preços'!$A:$F,6,0)</f>
        <v>ESMALTES</v>
      </c>
      <c r="X963" t="str">
        <f>VLOOKUP(L963,'[2]tabela de preços'!$A:$G,7,0)</f>
        <v>INDUSTRIAL</v>
      </c>
    </row>
    <row r="964" spans="1:24" x14ac:dyDescent="0.3">
      <c r="A964" t="s">
        <v>1701</v>
      </c>
      <c r="C964" t="s">
        <v>1720</v>
      </c>
      <c r="D964" s="1">
        <v>46036</v>
      </c>
      <c r="E964" t="s">
        <v>1721</v>
      </c>
      <c r="F964">
        <v>9</v>
      </c>
      <c r="G964">
        <v>197</v>
      </c>
      <c r="H964" t="str">
        <f>VLOOKUP(G964,[1]OPERADORES!$A:$B,2,0)</f>
        <v xml:space="preserve">POLIANA LORRANE DE AMORIM </v>
      </c>
      <c r="I964" t="s">
        <v>21</v>
      </c>
      <c r="J964" t="s">
        <v>265</v>
      </c>
      <c r="K964" t="s">
        <v>1704</v>
      </c>
      <c r="L964">
        <v>84360</v>
      </c>
      <c r="M964" t="s">
        <v>1722</v>
      </c>
      <c r="O964" t="s">
        <v>11</v>
      </c>
      <c r="P964">
        <v>5403</v>
      </c>
      <c r="Q964">
        <v>2</v>
      </c>
      <c r="R964">
        <v>19.75</v>
      </c>
      <c r="S964">
        <v>39.5</v>
      </c>
      <c r="T964">
        <v>29.98</v>
      </c>
      <c r="U964">
        <v>24.1</v>
      </c>
      <c r="V964" t="str">
        <f>VLOOKUP(L964,'[2]tabela de preços'!$A:$D,4,0)</f>
        <v>BRASILUX</v>
      </c>
      <c r="W964" t="str">
        <f>VLOOKUP(L964,'[2]tabela de preços'!$A:$F,6,0)</f>
        <v>ESMALTES</v>
      </c>
      <c r="X964" t="str">
        <f>VLOOKUP(L964,'[2]tabela de preços'!$A:$G,7,0)</f>
        <v>INDUSTRIAL</v>
      </c>
    </row>
    <row r="965" spans="1:24" x14ac:dyDescent="0.3">
      <c r="A965" t="s">
        <v>1701</v>
      </c>
      <c r="C965" t="s">
        <v>1720</v>
      </c>
      <c r="D965" s="1">
        <v>46036</v>
      </c>
      <c r="E965" t="s">
        <v>1721</v>
      </c>
      <c r="F965">
        <v>9</v>
      </c>
      <c r="G965">
        <v>197</v>
      </c>
      <c r="H965" t="str">
        <f>VLOOKUP(G965,[1]OPERADORES!$A:$B,2,0)</f>
        <v xml:space="preserve">POLIANA LORRANE DE AMORIM </v>
      </c>
      <c r="I965" t="s">
        <v>21</v>
      </c>
      <c r="J965" t="s">
        <v>265</v>
      </c>
      <c r="K965" t="s">
        <v>1704</v>
      </c>
      <c r="L965">
        <v>84145</v>
      </c>
      <c r="M965" t="s">
        <v>301</v>
      </c>
      <c r="O965" t="s">
        <v>11</v>
      </c>
      <c r="P965">
        <v>5403</v>
      </c>
      <c r="Q965">
        <v>4</v>
      </c>
      <c r="R965">
        <v>59.98</v>
      </c>
      <c r="S965">
        <v>239.92</v>
      </c>
      <c r="T965">
        <v>208.04</v>
      </c>
      <c r="U965">
        <v>13.29</v>
      </c>
      <c r="V965" t="str">
        <f>VLOOKUP(L965,'[2]tabela de preços'!$A:$D,4,0)</f>
        <v>BRASILUX</v>
      </c>
      <c r="W965" t="str">
        <f>VLOOKUP(L965,'[2]tabela de preços'!$A:$F,6,0)</f>
        <v>ESMALTES</v>
      </c>
      <c r="X965" t="str">
        <f>VLOOKUP(L965,'[2]tabela de preços'!$A:$G,7,0)</f>
        <v>INDUSTRIAL</v>
      </c>
    </row>
    <row r="966" spans="1:24" x14ac:dyDescent="0.3">
      <c r="A966" t="s">
        <v>1701</v>
      </c>
      <c r="C966" t="s">
        <v>1720</v>
      </c>
      <c r="D966" s="1">
        <v>46036</v>
      </c>
      <c r="E966" t="s">
        <v>1721</v>
      </c>
      <c r="F966">
        <v>9</v>
      </c>
      <c r="G966">
        <v>197</v>
      </c>
      <c r="H966" t="str">
        <f>VLOOKUP(G966,[1]OPERADORES!$A:$B,2,0)</f>
        <v xml:space="preserve">POLIANA LORRANE DE AMORIM </v>
      </c>
      <c r="I966" t="s">
        <v>21</v>
      </c>
      <c r="J966" t="s">
        <v>265</v>
      </c>
      <c r="K966" t="s">
        <v>1704</v>
      </c>
      <c r="L966">
        <v>10298</v>
      </c>
      <c r="M966" t="s">
        <v>85</v>
      </c>
      <c r="O966" t="s">
        <v>11</v>
      </c>
      <c r="P966">
        <v>5102</v>
      </c>
      <c r="Q966">
        <v>4</v>
      </c>
      <c r="R966">
        <v>56.89</v>
      </c>
      <c r="S966">
        <v>227.56</v>
      </c>
      <c r="T966">
        <v>189.52</v>
      </c>
      <c r="U966">
        <v>16.72</v>
      </c>
      <c r="V966" t="str">
        <f>VLOOKUP(L966,'[2]tabela de preços'!$A:$D,4,0)</f>
        <v>ANJO</v>
      </c>
      <c r="W966" t="str">
        <f>VLOOKUP(L966,'[2]tabela de preços'!$A:$F,6,0)</f>
        <v>THINNER DE LIMPEZA</v>
      </c>
      <c r="X966" t="str">
        <f>VLOOKUP(L966,'[2]tabela de preços'!$A:$G,7,0)</f>
        <v>THINNER</v>
      </c>
    </row>
    <row r="967" spans="1:24" x14ac:dyDescent="0.3">
      <c r="A967" t="s">
        <v>1739</v>
      </c>
      <c r="C967" t="s">
        <v>1743</v>
      </c>
      <c r="D967" s="1">
        <v>46036</v>
      </c>
      <c r="E967" t="s">
        <v>1744</v>
      </c>
      <c r="F967">
        <v>9</v>
      </c>
      <c r="G967">
        <v>174</v>
      </c>
      <c r="H967" t="str">
        <f>VLOOKUP(G967,[1]OPERADORES!$A:$B,2,0)</f>
        <v>MIRIÃ LOBATO RODRIGUES</v>
      </c>
      <c r="I967" t="s">
        <v>21</v>
      </c>
      <c r="J967" t="s">
        <v>66</v>
      </c>
      <c r="K967" t="s">
        <v>1742</v>
      </c>
      <c r="L967">
        <v>84557</v>
      </c>
      <c r="M967" t="s">
        <v>116</v>
      </c>
      <c r="O967" t="s">
        <v>11</v>
      </c>
      <c r="P967">
        <v>5102</v>
      </c>
      <c r="Q967">
        <v>24</v>
      </c>
      <c r="R967">
        <v>17.489999999999998</v>
      </c>
      <c r="S967">
        <v>419.76</v>
      </c>
      <c r="T967">
        <v>335.04</v>
      </c>
      <c r="U967">
        <v>20.18</v>
      </c>
      <c r="V967" t="str">
        <f>VLOOKUP(L967,'[2]tabela de preços'!$A:$D,4,0)</f>
        <v>BRASILUX</v>
      </c>
      <c r="W967" t="str">
        <f>VLOOKUP(L967,'[2]tabela de preços'!$A:$F,6,0)</f>
        <v>DILUENTE</v>
      </c>
      <c r="X967" t="str">
        <f>VLOOKUP(L967,'[2]tabela de preços'!$A:$G,7,0)</f>
        <v>AUTOMOTIVO</v>
      </c>
    </row>
    <row r="968" spans="1:24" x14ac:dyDescent="0.3">
      <c r="A968" t="s">
        <v>1739</v>
      </c>
      <c r="C968" t="s">
        <v>1743</v>
      </c>
      <c r="D968" s="1">
        <v>46036</v>
      </c>
      <c r="E968" t="s">
        <v>1744</v>
      </c>
      <c r="F968">
        <v>9</v>
      </c>
      <c r="G968">
        <v>174</v>
      </c>
      <c r="H968" t="str">
        <f>VLOOKUP(G968,[1]OPERADORES!$A:$B,2,0)</f>
        <v>MIRIÃ LOBATO RODRIGUES</v>
      </c>
      <c r="I968" t="s">
        <v>21</v>
      </c>
      <c r="J968" t="s">
        <v>66</v>
      </c>
      <c r="K968" t="s">
        <v>1742</v>
      </c>
      <c r="L968">
        <v>24248</v>
      </c>
      <c r="M968" t="s">
        <v>107</v>
      </c>
      <c r="O968" t="s">
        <v>11</v>
      </c>
      <c r="P968">
        <v>5102</v>
      </c>
      <c r="Q968">
        <v>12</v>
      </c>
      <c r="R968">
        <v>8</v>
      </c>
      <c r="S968">
        <v>96</v>
      </c>
      <c r="T968">
        <v>76.92</v>
      </c>
      <c r="U968">
        <v>19.88</v>
      </c>
      <c r="V968" t="str">
        <f>VLOOKUP(L968,'[2]tabela de preços'!$A:$D,4,0)</f>
        <v>SHERWIN WILLIAMS</v>
      </c>
      <c r="W968" t="str">
        <f>VLOOKUP(L968,'[2]tabela de preços'!$A:$F,6,0)</f>
        <v>PRIMER AUTOMOTIVO</v>
      </c>
      <c r="X968" t="str">
        <f>VLOOKUP(L968,'[2]tabela de preços'!$A:$G,7,0)</f>
        <v>AUTOMOTIVO</v>
      </c>
    </row>
    <row r="969" spans="1:24" x14ac:dyDescent="0.3">
      <c r="A969" t="s">
        <v>1739</v>
      </c>
      <c r="C969" t="s">
        <v>1743</v>
      </c>
      <c r="D969" s="1">
        <v>46036</v>
      </c>
      <c r="E969" t="s">
        <v>1744</v>
      </c>
      <c r="F969">
        <v>9</v>
      </c>
      <c r="G969">
        <v>174</v>
      </c>
      <c r="H969" t="str">
        <f>VLOOKUP(G969,[1]OPERADORES!$A:$B,2,0)</f>
        <v>MIRIÃ LOBATO RODRIGUES</v>
      </c>
      <c r="I969" t="s">
        <v>21</v>
      </c>
      <c r="J969" t="s">
        <v>66</v>
      </c>
      <c r="K969" t="s">
        <v>1742</v>
      </c>
      <c r="L969">
        <v>24247</v>
      </c>
      <c r="M969" t="s">
        <v>111</v>
      </c>
      <c r="O969" t="s">
        <v>11</v>
      </c>
      <c r="P969">
        <v>5403</v>
      </c>
      <c r="Q969">
        <v>12</v>
      </c>
      <c r="R969">
        <v>21</v>
      </c>
      <c r="S969">
        <v>252</v>
      </c>
      <c r="T969">
        <v>199.2</v>
      </c>
      <c r="U969">
        <v>20.95</v>
      </c>
      <c r="V969" t="str">
        <f>VLOOKUP(L969,'[2]tabela de preços'!$A:$D,4,0)</f>
        <v>SHERWIN WILLIAMS</v>
      </c>
      <c r="W969" t="str">
        <f>VLOOKUP(L969,'[2]tabela de preços'!$A:$F,6,0)</f>
        <v>PRIMER AUTOMOTIVO</v>
      </c>
      <c r="X969" t="str">
        <f>VLOOKUP(L969,'[2]tabela de preços'!$A:$G,7,0)</f>
        <v>AUTOMOTIVO</v>
      </c>
    </row>
    <row r="970" spans="1:24" x14ac:dyDescent="0.3">
      <c r="A970" t="s">
        <v>1739</v>
      </c>
      <c r="C970" t="s">
        <v>1743</v>
      </c>
      <c r="D970" s="1">
        <v>46036</v>
      </c>
      <c r="E970" t="s">
        <v>1744</v>
      </c>
      <c r="F970">
        <v>9</v>
      </c>
      <c r="G970">
        <v>174</v>
      </c>
      <c r="H970" t="str">
        <f>VLOOKUP(G970,[1]OPERADORES!$A:$B,2,0)</f>
        <v>MIRIÃ LOBATO RODRIGUES</v>
      </c>
      <c r="I970" t="s">
        <v>21</v>
      </c>
      <c r="J970" t="s">
        <v>66</v>
      </c>
      <c r="K970" t="s">
        <v>1742</v>
      </c>
      <c r="L970">
        <v>20414</v>
      </c>
      <c r="M970" t="s">
        <v>112</v>
      </c>
      <c r="O970" t="s">
        <v>11</v>
      </c>
      <c r="P970">
        <v>5102</v>
      </c>
      <c r="Q970">
        <v>40</v>
      </c>
      <c r="R970">
        <v>21.89</v>
      </c>
      <c r="S970">
        <v>875.6</v>
      </c>
      <c r="T970">
        <v>720</v>
      </c>
      <c r="U970">
        <v>17.77</v>
      </c>
      <c r="V970" t="str">
        <f>VLOOKUP(L970,'[2]tabela de preços'!$A:$D,4,0)</f>
        <v>SHERWIN WILLIAMS</v>
      </c>
      <c r="W970" t="str">
        <f>VLOOKUP(L970,'[2]tabela de preços'!$A:$F,6,0)</f>
        <v>DILUENTE</v>
      </c>
      <c r="X970" t="str">
        <f>VLOOKUP(L970,'[2]tabela de preços'!$A:$G,7,0)</f>
        <v>AUTOMOTIVO</v>
      </c>
    </row>
    <row r="971" spans="1:24" x14ac:dyDescent="0.3">
      <c r="A971" t="s">
        <v>1824</v>
      </c>
      <c r="B971" t="s">
        <v>1825</v>
      </c>
      <c r="C971" t="s">
        <v>1830</v>
      </c>
      <c r="D971" s="1">
        <v>46036</v>
      </c>
      <c r="E971" t="s">
        <v>1831</v>
      </c>
      <c r="F971">
        <v>9</v>
      </c>
      <c r="G971">
        <v>197</v>
      </c>
      <c r="H971" t="str">
        <f>VLOOKUP(G971,[1]OPERADORES!$A:$B,2,0)</f>
        <v xml:space="preserve">POLIANA LORRANE DE AMORIM </v>
      </c>
      <c r="I971" t="s">
        <v>21</v>
      </c>
      <c r="J971" t="s">
        <v>1788</v>
      </c>
      <c r="K971" t="s">
        <v>1828</v>
      </c>
      <c r="L971">
        <v>21437</v>
      </c>
      <c r="M971" t="s">
        <v>1832</v>
      </c>
      <c r="O971" t="s">
        <v>11</v>
      </c>
      <c r="P971">
        <v>5102</v>
      </c>
      <c r="Q971">
        <v>4</v>
      </c>
      <c r="R971">
        <v>8.41</v>
      </c>
      <c r="S971">
        <v>33.64</v>
      </c>
      <c r="T971">
        <v>25.52</v>
      </c>
      <c r="U971">
        <v>24.14</v>
      </c>
      <c r="V971" t="str">
        <f>VLOOKUP(L971,'[2]tabela de preços'!$A:$D,4,0)</f>
        <v>ROBERLO</v>
      </c>
      <c r="W971" t="str">
        <f>VLOOKUP(L971,'[2]tabela de preços'!$A:$F,6,0)</f>
        <v>PRIMER AUTOMOTIVO</v>
      </c>
      <c r="X971" t="str">
        <f>VLOOKUP(L971,'[2]tabela de preços'!$A:$G,7,0)</f>
        <v>AUTOMOTIVO</v>
      </c>
    </row>
    <row r="972" spans="1:24" x14ac:dyDescent="0.3">
      <c r="A972" t="s">
        <v>1824</v>
      </c>
      <c r="B972" t="s">
        <v>1825</v>
      </c>
      <c r="C972" t="s">
        <v>1830</v>
      </c>
      <c r="D972" s="1">
        <v>46036</v>
      </c>
      <c r="E972" t="s">
        <v>1831</v>
      </c>
      <c r="F972">
        <v>9</v>
      </c>
      <c r="G972">
        <v>197</v>
      </c>
      <c r="H972" t="str">
        <f>VLOOKUP(G972,[1]OPERADORES!$A:$B,2,0)</f>
        <v xml:space="preserve">POLIANA LORRANE DE AMORIM </v>
      </c>
      <c r="I972" t="s">
        <v>21</v>
      </c>
      <c r="J972" t="s">
        <v>1788</v>
      </c>
      <c r="K972" t="s">
        <v>1828</v>
      </c>
      <c r="L972">
        <v>23690</v>
      </c>
      <c r="M972" t="s">
        <v>98</v>
      </c>
      <c r="O972" t="s">
        <v>11</v>
      </c>
      <c r="P972">
        <v>5403</v>
      </c>
      <c r="Q972">
        <v>6</v>
      </c>
      <c r="R972">
        <v>39.89</v>
      </c>
      <c r="S972">
        <v>239.34</v>
      </c>
      <c r="T972">
        <v>189.66</v>
      </c>
      <c r="U972">
        <v>20.76</v>
      </c>
      <c r="V972" t="str">
        <f>VLOOKUP(L972,'[2]tabela de preços'!$A:$D,4,0)</f>
        <v>WANDA</v>
      </c>
      <c r="W972" t="str">
        <f>VLOOKUP(L972,'[2]tabela de preços'!$A:$F,6,0)</f>
        <v>VERNIZ AUTOMOTIVO</v>
      </c>
      <c r="X972" t="str">
        <f>VLOOKUP(L972,'[2]tabela de preços'!$A:$G,7,0)</f>
        <v>AUTOMOTIVO</v>
      </c>
    </row>
    <row r="973" spans="1:24" x14ac:dyDescent="0.3">
      <c r="A973" t="s">
        <v>1824</v>
      </c>
      <c r="B973" t="s">
        <v>1825</v>
      </c>
      <c r="C973" t="s">
        <v>1830</v>
      </c>
      <c r="D973" s="1">
        <v>46036</v>
      </c>
      <c r="E973" t="s">
        <v>1831</v>
      </c>
      <c r="F973">
        <v>9</v>
      </c>
      <c r="G973">
        <v>197</v>
      </c>
      <c r="H973" t="str">
        <f>VLOOKUP(G973,[1]OPERADORES!$A:$B,2,0)</f>
        <v xml:space="preserve">POLIANA LORRANE DE AMORIM </v>
      </c>
      <c r="I973" t="s">
        <v>21</v>
      </c>
      <c r="J973" t="s">
        <v>1788</v>
      </c>
      <c r="K973" t="s">
        <v>1828</v>
      </c>
      <c r="L973">
        <v>13</v>
      </c>
      <c r="M973" t="s">
        <v>152</v>
      </c>
      <c r="O973" t="s">
        <v>11</v>
      </c>
      <c r="P973">
        <v>5102</v>
      </c>
      <c r="Q973">
        <v>10</v>
      </c>
      <c r="R973">
        <v>5.79</v>
      </c>
      <c r="S973">
        <v>57.9</v>
      </c>
      <c r="T973">
        <v>41.6</v>
      </c>
      <c r="U973">
        <v>28.15</v>
      </c>
      <c r="V973" t="str">
        <f>VLOOKUP(L973,'[2]tabela de preços'!$A:$D,4,0)</f>
        <v>3M</v>
      </c>
      <c r="W973" t="str">
        <f>VLOOKUP(L973,'[2]tabela de preços'!$A:$F,6,0)</f>
        <v>LIXA DÁGUA</v>
      </c>
      <c r="X973" t="str">
        <f>VLOOKUP(L973,'[2]tabela de preços'!$A:$G,7,0)</f>
        <v>AUTOMOTIVO</v>
      </c>
    </row>
    <row r="974" spans="1:24" x14ac:dyDescent="0.3">
      <c r="A974" t="s">
        <v>1824</v>
      </c>
      <c r="B974" t="s">
        <v>1825</v>
      </c>
      <c r="C974" t="s">
        <v>1830</v>
      </c>
      <c r="D974" s="1">
        <v>46036</v>
      </c>
      <c r="E974" t="s">
        <v>1831</v>
      </c>
      <c r="F974">
        <v>9</v>
      </c>
      <c r="G974">
        <v>197</v>
      </c>
      <c r="H974" t="str">
        <f>VLOOKUP(G974,[1]OPERADORES!$A:$B,2,0)</f>
        <v xml:space="preserve">POLIANA LORRANE DE AMORIM </v>
      </c>
      <c r="I974" t="s">
        <v>21</v>
      </c>
      <c r="J974" t="s">
        <v>1788</v>
      </c>
      <c r="K974" t="s">
        <v>1828</v>
      </c>
      <c r="L974">
        <v>20817</v>
      </c>
      <c r="M974" t="s">
        <v>153</v>
      </c>
      <c r="O974" t="s">
        <v>11</v>
      </c>
      <c r="P974">
        <v>5102</v>
      </c>
      <c r="Q974">
        <v>2</v>
      </c>
      <c r="R974">
        <v>22.89</v>
      </c>
      <c r="S974">
        <v>45.78</v>
      </c>
      <c r="T974">
        <v>37.24</v>
      </c>
      <c r="U974">
        <v>18.649999999999999</v>
      </c>
      <c r="V974" t="str">
        <f>VLOOKUP(L974,'[2]tabela de preços'!$A:$D,4,0)</f>
        <v>AUTO AMERICA</v>
      </c>
      <c r="W974" t="str">
        <f>VLOOKUP(L974,'[2]tabela de preços'!$A:$F,6,0)</f>
        <v>MASSA DE POLIR</v>
      </c>
      <c r="X974" t="str">
        <f>VLOOKUP(L974,'[2]tabela de preços'!$A:$G,7,0)</f>
        <v>AUTOMOTIVO</v>
      </c>
    </row>
    <row r="975" spans="1:24" x14ac:dyDescent="0.3">
      <c r="A975" t="s">
        <v>1824</v>
      </c>
      <c r="B975" t="s">
        <v>1825</v>
      </c>
      <c r="C975" t="s">
        <v>1830</v>
      </c>
      <c r="D975" s="1">
        <v>46036</v>
      </c>
      <c r="E975" t="s">
        <v>1831</v>
      </c>
      <c r="F975">
        <v>9</v>
      </c>
      <c r="G975">
        <v>197</v>
      </c>
      <c r="H975" t="str">
        <f>VLOOKUP(G975,[1]OPERADORES!$A:$B,2,0)</f>
        <v xml:space="preserve">POLIANA LORRANE DE AMORIM </v>
      </c>
      <c r="I975" t="s">
        <v>21</v>
      </c>
      <c r="J975" t="s">
        <v>1788</v>
      </c>
      <c r="K975" t="s">
        <v>1828</v>
      </c>
      <c r="L975">
        <v>21436</v>
      </c>
      <c r="M975" t="s">
        <v>1833</v>
      </c>
      <c r="O975" t="s">
        <v>11</v>
      </c>
      <c r="P975">
        <v>5102</v>
      </c>
      <c r="Q975">
        <v>4</v>
      </c>
      <c r="R975">
        <v>34.659999999999997</v>
      </c>
      <c r="S975">
        <v>138.63999999999999</v>
      </c>
      <c r="T975">
        <v>105.24</v>
      </c>
      <c r="U975">
        <v>24.09</v>
      </c>
      <c r="V975" t="str">
        <f>VLOOKUP(L975,'[2]tabela de preços'!$A:$D,4,0)</f>
        <v>ROBERLO</v>
      </c>
      <c r="W975" t="str">
        <f>VLOOKUP(L975,'[2]tabela de preços'!$A:$F,6,0)</f>
        <v>PRIMER AUTOMOTIVO</v>
      </c>
      <c r="X975" t="str">
        <f>VLOOKUP(L975,'[2]tabela de preços'!$A:$G,7,0)</f>
        <v>AUTOMOTIVO</v>
      </c>
    </row>
    <row r="976" spans="1:24" x14ac:dyDescent="0.3">
      <c r="A976" t="s">
        <v>1824</v>
      </c>
      <c r="B976" t="s">
        <v>1825</v>
      </c>
      <c r="C976" t="s">
        <v>1830</v>
      </c>
      <c r="D976" s="1">
        <v>46036</v>
      </c>
      <c r="E976" t="s">
        <v>1831</v>
      </c>
      <c r="F976">
        <v>9</v>
      </c>
      <c r="G976">
        <v>197</v>
      </c>
      <c r="H976" t="str">
        <f>VLOOKUP(G976,[1]OPERADORES!$A:$B,2,0)</f>
        <v xml:space="preserve">POLIANA LORRANE DE AMORIM </v>
      </c>
      <c r="I976" t="s">
        <v>21</v>
      </c>
      <c r="J976" t="s">
        <v>1788</v>
      </c>
      <c r="K976" t="s">
        <v>1828</v>
      </c>
      <c r="L976">
        <v>10296</v>
      </c>
      <c r="M976" t="s">
        <v>334</v>
      </c>
      <c r="O976" t="s">
        <v>11</v>
      </c>
      <c r="P976">
        <v>5102</v>
      </c>
      <c r="Q976">
        <v>1</v>
      </c>
      <c r="R976">
        <v>17.02</v>
      </c>
      <c r="S976">
        <v>17.02</v>
      </c>
      <c r="T976">
        <v>12.57</v>
      </c>
      <c r="U976">
        <v>26.15</v>
      </c>
      <c r="V976" t="str">
        <f>VLOOKUP(L976,'[2]tabela de preços'!$A:$D,4,0)</f>
        <v>ANJO</v>
      </c>
      <c r="W976" t="str">
        <f>VLOOKUP(L976,'[2]tabela de preços'!$A:$F,6,0)</f>
        <v>DESENGRAXANTE</v>
      </c>
      <c r="X976" t="str">
        <f>VLOOKUP(L976,'[2]tabela de preços'!$A:$G,7,0)</f>
        <v>AUTOMOTIVO</v>
      </c>
    </row>
    <row r="977" spans="1:24" x14ac:dyDescent="0.3">
      <c r="A977" t="s">
        <v>1824</v>
      </c>
      <c r="B977" t="s">
        <v>1825</v>
      </c>
      <c r="C977" t="s">
        <v>1830</v>
      </c>
      <c r="D977" s="1">
        <v>46036</v>
      </c>
      <c r="E977" t="s">
        <v>1831</v>
      </c>
      <c r="F977">
        <v>9</v>
      </c>
      <c r="G977">
        <v>197</v>
      </c>
      <c r="H977" t="str">
        <f>VLOOKUP(G977,[1]OPERADORES!$A:$B,2,0)</f>
        <v xml:space="preserve">POLIANA LORRANE DE AMORIM </v>
      </c>
      <c r="I977" t="s">
        <v>21</v>
      </c>
      <c r="J977" t="s">
        <v>1788</v>
      </c>
      <c r="K977" t="s">
        <v>1828</v>
      </c>
      <c r="L977">
        <v>84560</v>
      </c>
      <c r="M977" t="s">
        <v>118</v>
      </c>
      <c r="O977" t="s">
        <v>11</v>
      </c>
      <c r="P977">
        <v>5102</v>
      </c>
      <c r="Q977">
        <v>1</v>
      </c>
      <c r="R977">
        <v>47.89</v>
      </c>
      <c r="S977">
        <v>47.89</v>
      </c>
      <c r="T977">
        <v>39.159999999999997</v>
      </c>
      <c r="U977">
        <v>18.23</v>
      </c>
      <c r="V977" t="str">
        <f>VLOOKUP(L977,'[2]tabela de preços'!$A:$D,4,0)</f>
        <v>BRASILUX</v>
      </c>
      <c r="W977" t="str">
        <f>VLOOKUP(L977,'[2]tabela de preços'!$A:$F,6,0)</f>
        <v>THINNER DE LIMPEZA</v>
      </c>
      <c r="X977" t="str">
        <f>VLOOKUP(L977,'[2]tabela de preços'!$A:$G,7,0)</f>
        <v>THINNER</v>
      </c>
    </row>
    <row r="978" spans="1:24" x14ac:dyDescent="0.3">
      <c r="A978" t="s">
        <v>1910</v>
      </c>
      <c r="C978" t="s">
        <v>1915</v>
      </c>
      <c r="D978" s="1">
        <v>46036</v>
      </c>
      <c r="E978" t="s">
        <v>1916</v>
      </c>
      <c r="F978">
        <v>9</v>
      </c>
      <c r="G978">
        <v>174</v>
      </c>
      <c r="H978" t="str">
        <f>VLOOKUP(G978,[1]OPERADORES!$A:$B,2,0)</f>
        <v>MIRIÃ LOBATO RODRIGUES</v>
      </c>
      <c r="I978" t="s">
        <v>21</v>
      </c>
      <c r="J978" t="s">
        <v>397</v>
      </c>
      <c r="K978" t="s">
        <v>1913</v>
      </c>
      <c r="L978">
        <v>84721</v>
      </c>
      <c r="M978" t="s">
        <v>1917</v>
      </c>
      <c r="O978" t="s">
        <v>11</v>
      </c>
      <c r="P978">
        <v>5403</v>
      </c>
      <c r="Q978">
        <v>1</v>
      </c>
      <c r="R978">
        <v>76.92</v>
      </c>
      <c r="S978">
        <v>76.92</v>
      </c>
      <c r="T978">
        <v>58.38</v>
      </c>
      <c r="U978">
        <v>24.1</v>
      </c>
      <c r="V978" t="str">
        <f>VLOOKUP(L978,'[2]tabela de preços'!$A:$D,4,0)</f>
        <v>BRASILUX</v>
      </c>
      <c r="W978" t="str">
        <f>VLOOKUP(L978,'[2]tabela de preços'!$A:$F,6,0)</f>
        <v>ESMALTES</v>
      </c>
      <c r="X978" t="str">
        <f>VLOOKUP(L978,'[2]tabela de preços'!$A:$G,7,0)</f>
        <v>INDUSTRIAL</v>
      </c>
    </row>
    <row r="979" spans="1:24" x14ac:dyDescent="0.3">
      <c r="A979" t="s">
        <v>1910</v>
      </c>
      <c r="C979" t="s">
        <v>1915</v>
      </c>
      <c r="D979" s="1">
        <v>46036</v>
      </c>
      <c r="E979" t="s">
        <v>1916</v>
      </c>
      <c r="F979">
        <v>9</v>
      </c>
      <c r="G979">
        <v>174</v>
      </c>
      <c r="H979" t="str">
        <f>VLOOKUP(G979,[1]OPERADORES!$A:$B,2,0)</f>
        <v>MIRIÃ LOBATO RODRIGUES</v>
      </c>
      <c r="I979" t="s">
        <v>21</v>
      </c>
      <c r="J979" t="s">
        <v>397</v>
      </c>
      <c r="K979" t="s">
        <v>1913</v>
      </c>
      <c r="L979">
        <v>84560</v>
      </c>
      <c r="M979" t="s">
        <v>118</v>
      </c>
      <c r="O979" t="s">
        <v>11</v>
      </c>
      <c r="P979">
        <v>5102</v>
      </c>
      <c r="Q979">
        <v>2</v>
      </c>
      <c r="R979">
        <v>47.89</v>
      </c>
      <c r="S979">
        <v>95.78</v>
      </c>
      <c r="T979">
        <v>78.319999999999993</v>
      </c>
      <c r="U979">
        <v>18.23</v>
      </c>
      <c r="V979" t="str">
        <f>VLOOKUP(L979,'[2]tabela de preços'!$A:$D,4,0)</f>
        <v>BRASILUX</v>
      </c>
      <c r="W979" t="str">
        <f>VLOOKUP(L979,'[2]tabela de preços'!$A:$F,6,0)</f>
        <v>THINNER DE LIMPEZA</v>
      </c>
      <c r="X979" t="str">
        <f>VLOOKUP(L979,'[2]tabela de preços'!$A:$G,7,0)</f>
        <v>THINNER</v>
      </c>
    </row>
    <row r="980" spans="1:24" x14ac:dyDescent="0.3">
      <c r="A980" t="s">
        <v>2056</v>
      </c>
      <c r="C980" t="s">
        <v>2057</v>
      </c>
      <c r="D980" s="1">
        <v>46036</v>
      </c>
      <c r="E980" t="s">
        <v>2058</v>
      </c>
      <c r="F980">
        <v>9</v>
      </c>
      <c r="G980">
        <v>174</v>
      </c>
      <c r="H980" t="str">
        <f>VLOOKUP(G980,[1]OPERADORES!$A:$B,2,0)</f>
        <v>MIRIÃ LOBATO RODRIGUES</v>
      </c>
      <c r="I980" t="s">
        <v>715</v>
      </c>
      <c r="J980" t="s">
        <v>2059</v>
      </c>
      <c r="K980" t="s">
        <v>2060</v>
      </c>
      <c r="L980">
        <v>23110</v>
      </c>
      <c r="M980" t="s">
        <v>409</v>
      </c>
      <c r="O980" t="s">
        <v>11</v>
      </c>
      <c r="P980">
        <v>6102</v>
      </c>
      <c r="Q980">
        <v>300</v>
      </c>
      <c r="R980">
        <v>2.35</v>
      </c>
      <c r="S980">
        <v>705</v>
      </c>
      <c r="T980">
        <v>555</v>
      </c>
      <c r="U980">
        <v>21.28</v>
      </c>
      <c r="V980" t="str">
        <f>VLOOKUP(L980,'[2]tabela de preços'!$A:$D,4,0)</f>
        <v>3M</v>
      </c>
      <c r="W980" t="str">
        <f>VLOOKUP(L980,'[2]tabela de preços'!$A:$F,6,0)</f>
        <v xml:space="preserve">DISCOS / LIXAS / ABRASIVOS </v>
      </c>
      <c r="X980" t="str">
        <f>VLOOKUP(L980,'[2]tabela de preços'!$A:$G,7,0)</f>
        <v>AUTOMOTIVO</v>
      </c>
    </row>
    <row r="981" spans="1:24" x14ac:dyDescent="0.3">
      <c r="A981" t="s">
        <v>2056</v>
      </c>
      <c r="C981" t="s">
        <v>2057</v>
      </c>
      <c r="D981" s="1">
        <v>46036</v>
      </c>
      <c r="E981" t="s">
        <v>2058</v>
      </c>
      <c r="F981">
        <v>9</v>
      </c>
      <c r="G981">
        <v>174</v>
      </c>
      <c r="H981" t="str">
        <f>VLOOKUP(G981,[1]OPERADORES!$A:$B,2,0)</f>
        <v>MIRIÃ LOBATO RODRIGUES</v>
      </c>
      <c r="I981" t="s">
        <v>715</v>
      </c>
      <c r="J981" t="s">
        <v>2059</v>
      </c>
      <c r="K981" t="s">
        <v>2060</v>
      </c>
      <c r="L981">
        <v>23105</v>
      </c>
      <c r="M981" t="s">
        <v>402</v>
      </c>
      <c r="O981" t="s">
        <v>11</v>
      </c>
      <c r="P981">
        <v>6102</v>
      </c>
      <c r="Q981">
        <v>300</v>
      </c>
      <c r="R981">
        <v>2.35</v>
      </c>
      <c r="S981">
        <v>705</v>
      </c>
      <c r="T981">
        <v>576</v>
      </c>
      <c r="U981">
        <v>18.3</v>
      </c>
      <c r="V981" t="str">
        <f>VLOOKUP(L981,'[2]tabela de preços'!$A:$D,4,0)</f>
        <v>3M</v>
      </c>
      <c r="W981" t="str">
        <f>VLOOKUP(L981,'[2]tabela de preços'!$A:$F,6,0)</f>
        <v xml:space="preserve">DISCOS / LIXAS / ABRASIVOS </v>
      </c>
      <c r="X981" t="str">
        <f>VLOOKUP(L981,'[2]tabela de preços'!$A:$G,7,0)</f>
        <v>AUTOMOTIVO</v>
      </c>
    </row>
    <row r="982" spans="1:24" x14ac:dyDescent="0.3">
      <c r="A982" t="s">
        <v>2056</v>
      </c>
      <c r="C982" t="s">
        <v>2057</v>
      </c>
      <c r="D982" s="1">
        <v>46036</v>
      </c>
      <c r="E982" t="s">
        <v>2058</v>
      </c>
      <c r="F982">
        <v>9</v>
      </c>
      <c r="G982">
        <v>174</v>
      </c>
      <c r="H982" t="str">
        <f>VLOOKUP(G982,[1]OPERADORES!$A:$B,2,0)</f>
        <v>MIRIÃ LOBATO RODRIGUES</v>
      </c>
      <c r="I982" t="s">
        <v>715</v>
      </c>
      <c r="J982" t="s">
        <v>2059</v>
      </c>
      <c r="K982" t="s">
        <v>2060</v>
      </c>
      <c r="L982">
        <v>23106</v>
      </c>
      <c r="M982" t="s">
        <v>403</v>
      </c>
      <c r="O982" t="s">
        <v>11</v>
      </c>
      <c r="P982">
        <v>6102</v>
      </c>
      <c r="Q982">
        <v>300</v>
      </c>
      <c r="R982">
        <v>2.35</v>
      </c>
      <c r="S982">
        <v>705</v>
      </c>
      <c r="T982">
        <v>576</v>
      </c>
      <c r="U982">
        <v>18.3</v>
      </c>
      <c r="V982" t="str">
        <f>VLOOKUP(L982,'[2]tabela de preços'!$A:$D,4,0)</f>
        <v>3M</v>
      </c>
      <c r="W982" t="str">
        <f>VLOOKUP(L982,'[2]tabela de preços'!$A:$F,6,0)</f>
        <v xml:space="preserve">DISCOS / LIXAS / ABRASIVOS </v>
      </c>
      <c r="X982" t="str">
        <f>VLOOKUP(L982,'[2]tabela de preços'!$A:$G,7,0)</f>
        <v>AUTOMOTIVO</v>
      </c>
    </row>
    <row r="983" spans="1:24" x14ac:dyDescent="0.3">
      <c r="A983" t="s">
        <v>2056</v>
      </c>
      <c r="C983" t="s">
        <v>2057</v>
      </c>
      <c r="D983" s="1">
        <v>46036</v>
      </c>
      <c r="E983" t="s">
        <v>2058</v>
      </c>
      <c r="F983">
        <v>9</v>
      </c>
      <c r="G983">
        <v>174</v>
      </c>
      <c r="H983" t="str">
        <f>VLOOKUP(G983,[1]OPERADORES!$A:$B,2,0)</f>
        <v>MIRIÃ LOBATO RODRIGUES</v>
      </c>
      <c r="I983" t="s">
        <v>715</v>
      </c>
      <c r="J983" t="s">
        <v>2059</v>
      </c>
      <c r="K983" t="s">
        <v>2060</v>
      </c>
      <c r="L983">
        <v>23107</v>
      </c>
      <c r="M983" t="s">
        <v>247</v>
      </c>
      <c r="O983" t="s">
        <v>11</v>
      </c>
      <c r="P983">
        <v>6102</v>
      </c>
      <c r="Q983">
        <v>300</v>
      </c>
      <c r="R983">
        <v>2.35</v>
      </c>
      <c r="S983">
        <v>705</v>
      </c>
      <c r="T983">
        <v>555</v>
      </c>
      <c r="U983">
        <v>21.28</v>
      </c>
      <c r="V983" t="str">
        <f>VLOOKUP(L983,'[2]tabela de preços'!$A:$D,4,0)</f>
        <v>3M</v>
      </c>
      <c r="W983" t="str">
        <f>VLOOKUP(L983,'[2]tabela de preços'!$A:$F,6,0)</f>
        <v xml:space="preserve">DISCOS / LIXAS / ABRASIVOS </v>
      </c>
      <c r="X983" t="str">
        <f>VLOOKUP(L983,'[2]tabela de preços'!$A:$G,7,0)</f>
        <v>AUTOMOTIVO</v>
      </c>
    </row>
    <row r="984" spans="1:24" x14ac:dyDescent="0.3">
      <c r="A984" t="s">
        <v>2056</v>
      </c>
      <c r="C984" t="s">
        <v>2057</v>
      </c>
      <c r="D984" s="1">
        <v>46036</v>
      </c>
      <c r="E984" t="s">
        <v>2058</v>
      </c>
      <c r="F984">
        <v>9</v>
      </c>
      <c r="G984">
        <v>174</v>
      </c>
      <c r="H984" t="str">
        <f>VLOOKUP(G984,[1]OPERADORES!$A:$B,2,0)</f>
        <v>MIRIÃ LOBATO RODRIGUES</v>
      </c>
      <c r="I984" t="s">
        <v>715</v>
      </c>
      <c r="J984" t="s">
        <v>2059</v>
      </c>
      <c r="K984" t="s">
        <v>2060</v>
      </c>
      <c r="L984">
        <v>214</v>
      </c>
      <c r="M984" t="s">
        <v>2061</v>
      </c>
      <c r="O984" t="s">
        <v>11</v>
      </c>
      <c r="P984">
        <v>6403</v>
      </c>
      <c r="Q984">
        <v>2</v>
      </c>
      <c r="R984">
        <v>283.49</v>
      </c>
      <c r="S984">
        <v>566.98</v>
      </c>
      <c r="T984">
        <v>406.44</v>
      </c>
      <c r="U984">
        <v>28.31</v>
      </c>
      <c r="V984" t="str">
        <f>VLOOKUP(L984,'[2]tabela de preços'!$A:$D,4,0)</f>
        <v>SKY</v>
      </c>
      <c r="W984" t="str">
        <f>VLOOKUP(L984,'[2]tabela de preços'!$A:$F,6,0)</f>
        <v>BASES PU</v>
      </c>
      <c r="X984" t="str">
        <f>VLOOKUP(L984,'[2]tabela de preços'!$A:$G,7,0)</f>
        <v>AUTOMOTIVO</v>
      </c>
    </row>
    <row r="985" spans="1:24" x14ac:dyDescent="0.3">
      <c r="A985" t="s">
        <v>2056</v>
      </c>
      <c r="C985" t="s">
        <v>2057</v>
      </c>
      <c r="D985" s="1">
        <v>46036</v>
      </c>
      <c r="E985" t="s">
        <v>2058</v>
      </c>
      <c r="F985">
        <v>9</v>
      </c>
      <c r="G985">
        <v>174</v>
      </c>
      <c r="H985" t="str">
        <f>VLOOKUP(G985,[1]OPERADORES!$A:$B,2,0)</f>
        <v>MIRIÃ LOBATO RODRIGUES</v>
      </c>
      <c r="I985" t="s">
        <v>715</v>
      </c>
      <c r="J985" t="s">
        <v>2059</v>
      </c>
      <c r="K985" t="s">
        <v>2060</v>
      </c>
      <c r="L985">
        <v>211</v>
      </c>
      <c r="M985" t="s">
        <v>2062</v>
      </c>
      <c r="O985" t="s">
        <v>11</v>
      </c>
      <c r="P985">
        <v>6403</v>
      </c>
      <c r="Q985">
        <v>2</v>
      </c>
      <c r="R985">
        <v>255.26</v>
      </c>
      <c r="S985">
        <v>510.52</v>
      </c>
      <c r="T985">
        <v>365.96</v>
      </c>
      <c r="U985">
        <v>28.32</v>
      </c>
      <c r="V985" t="str">
        <f>VLOOKUP(L985,'[2]tabela de preços'!$A:$D,4,0)</f>
        <v>SKY</v>
      </c>
      <c r="W985" t="str">
        <f>VLOOKUP(L985,'[2]tabela de preços'!$A:$F,6,0)</f>
        <v>BASES PU</v>
      </c>
      <c r="X985" t="str">
        <f>VLOOKUP(L985,'[2]tabela de preços'!$A:$G,7,0)</f>
        <v>AUTOMOTIVO</v>
      </c>
    </row>
    <row r="986" spans="1:24" x14ac:dyDescent="0.3">
      <c r="A986" t="s">
        <v>2056</v>
      </c>
      <c r="C986" t="s">
        <v>2057</v>
      </c>
      <c r="D986" s="1">
        <v>46036</v>
      </c>
      <c r="E986" t="s">
        <v>2058</v>
      </c>
      <c r="F986">
        <v>9</v>
      </c>
      <c r="G986">
        <v>174</v>
      </c>
      <c r="H986" t="str">
        <f>VLOOKUP(G986,[1]OPERADORES!$A:$B,2,0)</f>
        <v>MIRIÃ LOBATO RODRIGUES</v>
      </c>
      <c r="I986" t="s">
        <v>715</v>
      </c>
      <c r="J986" t="s">
        <v>2059</v>
      </c>
      <c r="K986" t="s">
        <v>2060</v>
      </c>
      <c r="L986">
        <v>10404</v>
      </c>
      <c r="M986" t="s">
        <v>130</v>
      </c>
      <c r="O986" t="s">
        <v>11</v>
      </c>
      <c r="P986">
        <v>6102</v>
      </c>
      <c r="Q986">
        <v>24</v>
      </c>
      <c r="R986">
        <v>16.29</v>
      </c>
      <c r="S986">
        <v>390.96</v>
      </c>
      <c r="T986">
        <v>319.68</v>
      </c>
      <c r="U986">
        <v>18.23</v>
      </c>
      <c r="V986" t="str">
        <f>VLOOKUP(L986,'[2]tabela de preços'!$A:$D,4,0)</f>
        <v>MAXI RUBBER</v>
      </c>
      <c r="W986" t="str">
        <f>VLOOKUP(L986,'[2]tabela de preços'!$A:$F,6,0)</f>
        <v>VEDADORES / SELANTES</v>
      </c>
      <c r="X986" t="str">
        <f>VLOOKUP(L986,'[2]tabela de preços'!$A:$G,7,0)</f>
        <v>AUTOMOTIVO</v>
      </c>
    </row>
    <row r="987" spans="1:24" x14ac:dyDescent="0.3">
      <c r="A987" t="s">
        <v>2259</v>
      </c>
      <c r="B987" t="s">
        <v>2260</v>
      </c>
      <c r="C987" t="s">
        <v>2267</v>
      </c>
      <c r="D987" s="1">
        <v>46036</v>
      </c>
      <c r="E987" t="s">
        <v>2268</v>
      </c>
      <c r="F987">
        <v>9</v>
      </c>
      <c r="G987">
        <v>174</v>
      </c>
      <c r="H987" t="str">
        <f>VLOOKUP(G987,[1]OPERADORES!$A:$B,2,0)</f>
        <v>MIRIÃ LOBATO RODRIGUES</v>
      </c>
      <c r="I987" t="s">
        <v>21</v>
      </c>
      <c r="J987" t="s">
        <v>762</v>
      </c>
      <c r="K987" t="s">
        <v>2263</v>
      </c>
      <c r="L987">
        <v>84399</v>
      </c>
      <c r="M987" t="s">
        <v>2269</v>
      </c>
      <c r="O987" t="s">
        <v>11</v>
      </c>
      <c r="P987">
        <v>5102</v>
      </c>
      <c r="Q987">
        <v>2</v>
      </c>
      <c r="R987">
        <v>59.91</v>
      </c>
      <c r="S987">
        <v>119.82</v>
      </c>
      <c r="T987">
        <v>87.84</v>
      </c>
      <c r="U987">
        <v>26.69</v>
      </c>
      <c r="V987" t="str">
        <f>VLOOKUP(L987,'[2]tabela de preços'!$A:$D,4,0)</f>
        <v>VONIXX</v>
      </c>
      <c r="W987" t="str">
        <f>VLOOKUP(L987,'[2]tabela de preços'!$A:$F,6,0)</f>
        <v>LINHA DE HIGENIZAÇÃO E ESTÉTICA  AUTOMOTIVA</v>
      </c>
      <c r="X987" t="str">
        <f>VLOOKUP(L987,'[2]tabela de preços'!$A:$G,7,0)</f>
        <v>AUTOMOTIVO</v>
      </c>
    </row>
    <row r="988" spans="1:24" x14ac:dyDescent="0.3">
      <c r="A988" t="s">
        <v>2327</v>
      </c>
      <c r="C988" t="s">
        <v>2328</v>
      </c>
      <c r="D988" s="1">
        <v>46036</v>
      </c>
      <c r="E988" t="s">
        <v>2329</v>
      </c>
      <c r="F988">
        <v>9</v>
      </c>
      <c r="G988">
        <v>230</v>
      </c>
      <c r="H988" t="str">
        <f>VLOOKUP(G988,[1]OPERADORES!$A:$B,2,0)</f>
        <v>SÔNIA</v>
      </c>
      <c r="I988" t="s">
        <v>21</v>
      </c>
      <c r="J988" t="s">
        <v>66</v>
      </c>
      <c r="K988" t="s">
        <v>2330</v>
      </c>
      <c r="L988">
        <v>84335</v>
      </c>
      <c r="M988" t="s">
        <v>269</v>
      </c>
      <c r="O988" t="s">
        <v>11</v>
      </c>
      <c r="P988">
        <v>5403</v>
      </c>
      <c r="Q988">
        <v>1</v>
      </c>
      <c r="R988">
        <v>59.98</v>
      </c>
      <c r="S988">
        <v>59.98</v>
      </c>
      <c r="T988">
        <v>50.65</v>
      </c>
      <c r="U988">
        <v>15.56</v>
      </c>
      <c r="V988" t="str">
        <f>VLOOKUP(L988,'[2]tabela de preços'!$A:$D,4,0)</f>
        <v>BRASILUX</v>
      </c>
      <c r="W988" t="str">
        <f>VLOOKUP(L988,'[2]tabela de preços'!$A:$F,6,0)</f>
        <v>ESMALTES</v>
      </c>
      <c r="X988" t="str">
        <f>VLOOKUP(L988,'[2]tabela de preços'!$A:$G,7,0)</f>
        <v>INDUSTRIAL</v>
      </c>
    </row>
    <row r="989" spans="1:24" x14ac:dyDescent="0.3">
      <c r="A989" t="s">
        <v>2327</v>
      </c>
      <c r="C989" t="s">
        <v>2328</v>
      </c>
      <c r="D989" s="1">
        <v>46036</v>
      </c>
      <c r="E989" t="s">
        <v>2329</v>
      </c>
      <c r="F989">
        <v>9</v>
      </c>
      <c r="G989">
        <v>230</v>
      </c>
      <c r="H989" t="str">
        <f>VLOOKUP(G989,[1]OPERADORES!$A:$B,2,0)</f>
        <v>SÔNIA</v>
      </c>
      <c r="I989" t="s">
        <v>21</v>
      </c>
      <c r="J989" t="s">
        <v>66</v>
      </c>
      <c r="K989" t="s">
        <v>2330</v>
      </c>
      <c r="L989">
        <v>23364</v>
      </c>
      <c r="M989" t="s">
        <v>55</v>
      </c>
      <c r="O989" t="s">
        <v>11</v>
      </c>
      <c r="P989">
        <v>5102</v>
      </c>
      <c r="Q989">
        <v>2</v>
      </c>
      <c r="R989">
        <v>6.19</v>
      </c>
      <c r="S989">
        <v>12.38</v>
      </c>
      <c r="T989">
        <v>9.82</v>
      </c>
      <c r="U989">
        <v>20.68</v>
      </c>
      <c r="V989" t="str">
        <f>VLOOKUP(L989,'[2]tabela de preços'!$A:$D,4,0)</f>
        <v>AUTO AMERICA</v>
      </c>
      <c r="W989" t="str">
        <f>VLOOKUP(L989,'[2]tabela de preços'!$A:$F,6,0)</f>
        <v>FLANELAS / PANOS</v>
      </c>
      <c r="X989" t="str">
        <f>VLOOKUP(L989,'[2]tabela de preços'!$A:$G,7,0)</f>
        <v>AUTOMOTIVO</v>
      </c>
    </row>
    <row r="990" spans="1:24" x14ac:dyDescent="0.3">
      <c r="A990" t="s">
        <v>2333</v>
      </c>
      <c r="B990" t="s">
        <v>2334</v>
      </c>
      <c r="C990" t="s">
        <v>2345</v>
      </c>
      <c r="D990" s="1">
        <v>46036</v>
      </c>
      <c r="F990">
        <v>9</v>
      </c>
      <c r="G990">
        <v>174</v>
      </c>
      <c r="H990" t="str">
        <f>VLOOKUP(G990,[1]OPERADORES!$A:$B,2,0)</f>
        <v>MIRIÃ LOBATO RODRIGUES</v>
      </c>
      <c r="I990" t="s">
        <v>126</v>
      </c>
      <c r="J990" t="s">
        <v>2337</v>
      </c>
      <c r="K990" t="s">
        <v>2338</v>
      </c>
      <c r="L990">
        <v>84421</v>
      </c>
      <c r="M990" t="s">
        <v>568</v>
      </c>
      <c r="N990" t="s">
        <v>2346</v>
      </c>
      <c r="O990" t="s">
        <v>11</v>
      </c>
      <c r="P990">
        <v>2202</v>
      </c>
      <c r="Q990">
        <v>-10</v>
      </c>
      <c r="R990">
        <v>6.35</v>
      </c>
      <c r="S990">
        <v>-63.5</v>
      </c>
      <c r="T990">
        <v>-48.2</v>
      </c>
      <c r="U990">
        <v>24.09</v>
      </c>
      <c r="V990" t="str">
        <f>VLOOKUP(L990,'[2]tabela de preços'!$A:$D,4,0)</f>
        <v>ATLAS</v>
      </c>
      <c r="W990" t="str">
        <f>VLOOKUP(L990,'[2]tabela de preços'!$A:$F,6,0)</f>
        <v>ROLOS / TRINCHAS / PINCÉIS / ESPÁTULAS</v>
      </c>
      <c r="X990" t="str">
        <f>VLOOKUP(L990,'[2]tabela de preços'!$A:$G,7,0)</f>
        <v>IMOBILIÁRIO</v>
      </c>
    </row>
    <row r="991" spans="1:24" x14ac:dyDescent="0.3">
      <c r="A991" t="s">
        <v>2333</v>
      </c>
      <c r="B991" t="s">
        <v>2334</v>
      </c>
      <c r="C991" t="s">
        <v>2347</v>
      </c>
      <c r="D991" s="1">
        <v>46036</v>
      </c>
      <c r="E991" t="s">
        <v>2348</v>
      </c>
      <c r="F991">
        <v>9</v>
      </c>
      <c r="G991">
        <v>174</v>
      </c>
      <c r="H991" t="str">
        <f>VLOOKUP(G991,[1]OPERADORES!$A:$B,2,0)</f>
        <v>MIRIÃ LOBATO RODRIGUES</v>
      </c>
      <c r="I991" t="s">
        <v>126</v>
      </c>
      <c r="J991" t="s">
        <v>2337</v>
      </c>
      <c r="K991" t="s">
        <v>2338</v>
      </c>
      <c r="L991">
        <v>84489</v>
      </c>
      <c r="M991" t="s">
        <v>1610</v>
      </c>
      <c r="O991" t="s">
        <v>11</v>
      </c>
      <c r="P991">
        <v>6403</v>
      </c>
      <c r="Q991">
        <v>2</v>
      </c>
      <c r="R991">
        <v>480.28</v>
      </c>
      <c r="S991">
        <v>960.56</v>
      </c>
      <c r="T991">
        <v>729.08</v>
      </c>
      <c r="U991">
        <v>24.1</v>
      </c>
      <c r="V991" t="str">
        <f>VLOOKUP(L991,'[2]tabela de preços'!$A:$D,4,0)</f>
        <v>BRASILUX</v>
      </c>
      <c r="W991" t="str">
        <f>VLOOKUP(L991,'[2]tabela de preços'!$A:$F,6,0)</f>
        <v xml:space="preserve">BASES SISTEMA NO MACHINE </v>
      </c>
      <c r="X991" t="str">
        <f>VLOOKUP(L991,'[2]tabela de preços'!$A:$G,7,0)</f>
        <v>INDUSTRIAL</v>
      </c>
    </row>
    <row r="992" spans="1:24" x14ac:dyDescent="0.3">
      <c r="A992" t="s">
        <v>2333</v>
      </c>
      <c r="B992" t="s">
        <v>2334</v>
      </c>
      <c r="C992" t="s">
        <v>2347</v>
      </c>
      <c r="D992" s="1">
        <v>46036</v>
      </c>
      <c r="E992" t="s">
        <v>2348</v>
      </c>
      <c r="F992">
        <v>9</v>
      </c>
      <c r="G992">
        <v>174</v>
      </c>
      <c r="H992" t="str">
        <f>VLOOKUP(G992,[1]OPERADORES!$A:$B,2,0)</f>
        <v>MIRIÃ LOBATO RODRIGUES</v>
      </c>
      <c r="I992" t="s">
        <v>126</v>
      </c>
      <c r="J992" t="s">
        <v>2337</v>
      </c>
      <c r="K992" t="s">
        <v>2338</v>
      </c>
      <c r="L992">
        <v>84644</v>
      </c>
      <c r="M992" t="s">
        <v>77</v>
      </c>
      <c r="O992" t="s">
        <v>11</v>
      </c>
      <c r="P992">
        <v>6403</v>
      </c>
      <c r="Q992">
        <v>6</v>
      </c>
      <c r="R992">
        <v>36.01</v>
      </c>
      <c r="S992">
        <v>216.06</v>
      </c>
      <c r="T992">
        <v>163.98</v>
      </c>
      <c r="U992">
        <v>24.1</v>
      </c>
      <c r="V992" t="str">
        <f>VLOOKUP(L992,'[2]tabela de preços'!$A:$D,4,0)</f>
        <v>BRASILUX</v>
      </c>
      <c r="W992" t="str">
        <f>VLOOKUP(L992,'[2]tabela de preços'!$A:$F,6,0)</f>
        <v xml:space="preserve">BASES SISTEMA NO MACHINE </v>
      </c>
      <c r="X992" t="str">
        <f>VLOOKUP(L992,'[2]tabela de preços'!$A:$G,7,0)</f>
        <v>INDUSTRIAL</v>
      </c>
    </row>
    <row r="993" spans="1:24" x14ac:dyDescent="0.3">
      <c r="A993" t="s">
        <v>2333</v>
      </c>
      <c r="B993" t="s">
        <v>2334</v>
      </c>
      <c r="C993" t="s">
        <v>2347</v>
      </c>
      <c r="D993" s="1">
        <v>46036</v>
      </c>
      <c r="E993" t="s">
        <v>2348</v>
      </c>
      <c r="F993">
        <v>9</v>
      </c>
      <c r="G993">
        <v>174</v>
      </c>
      <c r="H993" t="str">
        <f>VLOOKUP(G993,[1]OPERADORES!$A:$B,2,0)</f>
        <v>MIRIÃ LOBATO RODRIGUES</v>
      </c>
      <c r="I993" t="s">
        <v>126</v>
      </c>
      <c r="J993" t="s">
        <v>2337</v>
      </c>
      <c r="K993" t="s">
        <v>2338</v>
      </c>
      <c r="L993">
        <v>84494</v>
      </c>
      <c r="M993" t="s">
        <v>1539</v>
      </c>
      <c r="O993" t="s">
        <v>11</v>
      </c>
      <c r="P993">
        <v>6403</v>
      </c>
      <c r="Q993">
        <v>3</v>
      </c>
      <c r="R993">
        <v>150.94</v>
      </c>
      <c r="S993">
        <v>452.82</v>
      </c>
      <c r="T993">
        <v>343.71</v>
      </c>
      <c r="U993">
        <v>24.1</v>
      </c>
      <c r="V993" t="str">
        <f>VLOOKUP(L993,'[2]tabela de preços'!$A:$D,4,0)</f>
        <v>BRASILUX</v>
      </c>
      <c r="W993" t="str">
        <f>VLOOKUP(L993,'[2]tabela de preços'!$A:$F,6,0)</f>
        <v xml:space="preserve">BASES SISTEMA NO MACHINE </v>
      </c>
      <c r="X993" t="str">
        <f>VLOOKUP(L993,'[2]tabela de preços'!$A:$G,7,0)</f>
        <v>INDUSTRIAL</v>
      </c>
    </row>
    <row r="994" spans="1:24" x14ac:dyDescent="0.3">
      <c r="A994" t="s">
        <v>2333</v>
      </c>
      <c r="B994" t="s">
        <v>2334</v>
      </c>
      <c r="C994" t="s">
        <v>2347</v>
      </c>
      <c r="D994" s="1">
        <v>46036</v>
      </c>
      <c r="E994" t="s">
        <v>2348</v>
      </c>
      <c r="F994">
        <v>9</v>
      </c>
      <c r="G994">
        <v>174</v>
      </c>
      <c r="H994" t="str">
        <f>VLOOKUP(G994,[1]OPERADORES!$A:$B,2,0)</f>
        <v>MIRIÃ LOBATO RODRIGUES</v>
      </c>
      <c r="I994" t="s">
        <v>126</v>
      </c>
      <c r="J994" t="s">
        <v>2337</v>
      </c>
      <c r="K994" t="s">
        <v>2338</v>
      </c>
      <c r="L994">
        <v>85280</v>
      </c>
      <c r="M994" t="s">
        <v>943</v>
      </c>
      <c r="O994" t="s">
        <v>11</v>
      </c>
      <c r="P994">
        <v>6102</v>
      </c>
      <c r="Q994">
        <v>12</v>
      </c>
      <c r="R994">
        <v>55.72</v>
      </c>
      <c r="S994">
        <v>668.64</v>
      </c>
      <c r="T994">
        <v>507.48</v>
      </c>
      <c r="U994">
        <v>24.1</v>
      </c>
      <c r="V994" t="str">
        <f>VLOOKUP(L994,'[2]tabela de preços'!$A:$D,4,0)</f>
        <v>BRASILUX</v>
      </c>
      <c r="W994" t="str">
        <f>VLOOKUP(L994,'[2]tabela de preços'!$A:$F,6,0)</f>
        <v>CATALISADORES INDIVIDUAIS</v>
      </c>
      <c r="X994" t="str">
        <f>VLOOKUP(L994,'[2]tabela de preços'!$A:$G,7,0)</f>
        <v>IMOBILIÁRIO</v>
      </c>
    </row>
    <row r="995" spans="1:24" x14ac:dyDescent="0.3">
      <c r="A995" t="s">
        <v>2333</v>
      </c>
      <c r="B995" t="s">
        <v>2334</v>
      </c>
      <c r="C995" t="s">
        <v>2347</v>
      </c>
      <c r="D995" s="1">
        <v>46036</v>
      </c>
      <c r="E995" t="s">
        <v>2348</v>
      </c>
      <c r="F995">
        <v>9</v>
      </c>
      <c r="G995">
        <v>174</v>
      </c>
      <c r="H995" t="str">
        <f>VLOOKUP(G995,[1]OPERADORES!$A:$B,2,0)</f>
        <v>MIRIÃ LOBATO RODRIGUES</v>
      </c>
      <c r="I995" t="s">
        <v>126</v>
      </c>
      <c r="J995" t="s">
        <v>2337</v>
      </c>
      <c r="K995" t="s">
        <v>2338</v>
      </c>
      <c r="L995">
        <v>84824</v>
      </c>
      <c r="M995" t="s">
        <v>1242</v>
      </c>
      <c r="O995" t="s">
        <v>11</v>
      </c>
      <c r="P995">
        <v>6102</v>
      </c>
      <c r="Q995">
        <v>2</v>
      </c>
      <c r="R995">
        <v>324.32</v>
      </c>
      <c r="S995">
        <v>648.64</v>
      </c>
      <c r="T995">
        <v>492.32</v>
      </c>
      <c r="U995">
        <v>24.1</v>
      </c>
      <c r="V995" t="str">
        <f>VLOOKUP(L995,'[2]tabela de preços'!$A:$D,4,0)</f>
        <v>BRASILUX</v>
      </c>
      <c r="W995" t="str">
        <f>VLOOKUP(L995,'[2]tabela de preços'!$A:$F,6,0)</f>
        <v>DILUENTE</v>
      </c>
      <c r="X995" t="str">
        <f>VLOOKUP(L995,'[2]tabela de preços'!$A:$G,7,0)</f>
        <v>AUTOMOTIVO</v>
      </c>
    </row>
    <row r="996" spans="1:24" x14ac:dyDescent="0.3">
      <c r="A996" t="s">
        <v>2333</v>
      </c>
      <c r="B996" t="s">
        <v>2334</v>
      </c>
      <c r="C996" t="s">
        <v>2347</v>
      </c>
      <c r="D996" s="1">
        <v>46036</v>
      </c>
      <c r="E996" t="s">
        <v>2348</v>
      </c>
      <c r="F996">
        <v>9</v>
      </c>
      <c r="G996">
        <v>174</v>
      </c>
      <c r="H996" t="str">
        <f>VLOOKUP(G996,[1]OPERADORES!$A:$B,2,0)</f>
        <v>MIRIÃ LOBATO RODRIGUES</v>
      </c>
      <c r="I996" t="s">
        <v>126</v>
      </c>
      <c r="J996" t="s">
        <v>2337</v>
      </c>
      <c r="K996" t="s">
        <v>2338</v>
      </c>
      <c r="L996">
        <v>10096</v>
      </c>
      <c r="M996" t="s">
        <v>2349</v>
      </c>
      <c r="O996" t="s">
        <v>11</v>
      </c>
      <c r="P996">
        <v>6102</v>
      </c>
      <c r="Q996">
        <v>10</v>
      </c>
      <c r="R996">
        <v>8.8699999999999992</v>
      </c>
      <c r="S996">
        <v>88.7</v>
      </c>
      <c r="T996">
        <v>67.3</v>
      </c>
      <c r="U996">
        <v>24.13</v>
      </c>
      <c r="V996" t="str">
        <f>VLOOKUP(L996,'[2]tabela de preços'!$A:$D,4,0)</f>
        <v>3M</v>
      </c>
      <c r="W996" t="str">
        <f>VLOOKUP(L996,'[2]tabela de preços'!$A:$F,6,0)</f>
        <v>EPI´S</v>
      </c>
      <c r="X996" t="str">
        <f>VLOOKUP(L996,'[2]tabela de preços'!$A:$G,7,0)</f>
        <v>AUTOMOTIVO</v>
      </c>
    </row>
    <row r="997" spans="1:24" x14ac:dyDescent="0.3">
      <c r="A997" t="s">
        <v>2333</v>
      </c>
      <c r="B997" t="s">
        <v>2334</v>
      </c>
      <c r="C997" t="s">
        <v>2347</v>
      </c>
      <c r="D997" s="1">
        <v>46036</v>
      </c>
      <c r="E997" t="s">
        <v>2348</v>
      </c>
      <c r="F997">
        <v>9</v>
      </c>
      <c r="G997">
        <v>174</v>
      </c>
      <c r="H997" t="str">
        <f>VLOOKUP(G997,[1]OPERADORES!$A:$B,2,0)</f>
        <v>MIRIÃ LOBATO RODRIGUES</v>
      </c>
      <c r="I997" t="s">
        <v>126</v>
      </c>
      <c r="J997" t="s">
        <v>2337</v>
      </c>
      <c r="K997" t="s">
        <v>2338</v>
      </c>
      <c r="L997">
        <v>10298</v>
      </c>
      <c r="M997" t="s">
        <v>85</v>
      </c>
      <c r="O997" t="s">
        <v>11</v>
      </c>
      <c r="P997">
        <v>6102</v>
      </c>
      <c r="Q997">
        <v>24</v>
      </c>
      <c r="R997">
        <v>54.9</v>
      </c>
      <c r="S997" s="2">
        <v>1317.6</v>
      </c>
      <c r="T997" s="2">
        <v>1137.1199999999999</v>
      </c>
      <c r="U997">
        <v>13.7</v>
      </c>
      <c r="V997" t="str">
        <f>VLOOKUP(L997,'[2]tabela de preços'!$A:$D,4,0)</f>
        <v>ANJO</v>
      </c>
      <c r="W997" t="str">
        <f>VLOOKUP(L997,'[2]tabela de preços'!$A:$F,6,0)</f>
        <v>THINNER DE LIMPEZA</v>
      </c>
      <c r="X997" t="str">
        <f>VLOOKUP(L997,'[2]tabela de preços'!$A:$G,7,0)</f>
        <v>THINNER</v>
      </c>
    </row>
    <row r="998" spans="1:24" x14ac:dyDescent="0.3">
      <c r="A998" t="s">
        <v>18</v>
      </c>
      <c r="C998" t="s">
        <v>43</v>
      </c>
      <c r="D998" s="1">
        <v>46037</v>
      </c>
      <c r="E998" t="s">
        <v>44</v>
      </c>
      <c r="F998">
        <v>9</v>
      </c>
      <c r="G998">
        <v>236</v>
      </c>
      <c r="H998" t="str">
        <f>VLOOKUP(G998,[1]OPERADORES!$A:$B,2,0)</f>
        <v>DANIEL</v>
      </c>
      <c r="I998" t="s">
        <v>21</v>
      </c>
      <c r="J998" t="s">
        <v>22</v>
      </c>
      <c r="K998" t="s">
        <v>23</v>
      </c>
      <c r="L998">
        <v>85139</v>
      </c>
      <c r="M998" t="s">
        <v>45</v>
      </c>
      <c r="O998" t="s">
        <v>46</v>
      </c>
      <c r="P998">
        <v>5403</v>
      </c>
      <c r="Q998">
        <v>1</v>
      </c>
      <c r="R998">
        <v>103.27</v>
      </c>
      <c r="S998">
        <v>103.27</v>
      </c>
      <c r="T998">
        <v>78.38</v>
      </c>
      <c r="U998">
        <v>24.1</v>
      </c>
      <c r="V998" t="str">
        <f>VLOOKUP(L998,'[2]tabela de preços'!$A:$D,4,0)</f>
        <v>MULTILONA</v>
      </c>
      <c r="W998" t="str">
        <f>VLOOKUP(L998,'[2]tabela de preços'!$A:$F,6,0)</f>
        <v>LONAS</v>
      </c>
      <c r="X998" t="str">
        <f>VLOOKUP(L998,'[2]tabela de preços'!$A:$G,7,0)</f>
        <v>IMOBILIÁRIO</v>
      </c>
    </row>
    <row r="999" spans="1:24" x14ac:dyDescent="0.3">
      <c r="A999" t="s">
        <v>101</v>
      </c>
      <c r="C999" t="s">
        <v>102</v>
      </c>
      <c r="D999" s="1">
        <v>46037</v>
      </c>
      <c r="E999" t="s">
        <v>103</v>
      </c>
      <c r="F999">
        <v>9</v>
      </c>
      <c r="G999">
        <v>236</v>
      </c>
      <c r="H999" t="str">
        <f>VLOOKUP(G999,[1]OPERADORES!$A:$B,2,0)</f>
        <v>DANIEL</v>
      </c>
      <c r="I999" t="s">
        <v>21</v>
      </c>
      <c r="J999" t="s">
        <v>104</v>
      </c>
      <c r="K999" t="s">
        <v>105</v>
      </c>
      <c r="L999">
        <v>20217</v>
      </c>
      <c r="M999" t="s">
        <v>106</v>
      </c>
      <c r="O999" t="s">
        <v>11</v>
      </c>
      <c r="P999">
        <v>5102</v>
      </c>
      <c r="Q999">
        <v>1</v>
      </c>
      <c r="R999">
        <v>5.18</v>
      </c>
      <c r="S999">
        <v>5.18</v>
      </c>
      <c r="T999">
        <v>3.93</v>
      </c>
      <c r="U999">
        <v>24.13</v>
      </c>
      <c r="V999" t="str">
        <f>VLOOKUP(L999,'[2]tabela de preços'!$A:$D,4,0)</f>
        <v>WANDA</v>
      </c>
      <c r="W999" t="str">
        <f>VLOOKUP(L999,'[2]tabela de preços'!$A:$F,6,0)</f>
        <v>APLICADORES / ADAPTADORES / ENGATES / SUPORTES</v>
      </c>
      <c r="X999" t="str">
        <f>VLOOKUP(L999,'[2]tabela de preços'!$A:$G,7,0)</f>
        <v>AUTOMOTIVO</v>
      </c>
    </row>
    <row r="1000" spans="1:24" x14ac:dyDescent="0.3">
      <c r="A1000" t="s">
        <v>101</v>
      </c>
      <c r="C1000" t="s">
        <v>102</v>
      </c>
      <c r="D1000" s="1">
        <v>46037</v>
      </c>
      <c r="E1000" t="s">
        <v>103</v>
      </c>
      <c r="F1000">
        <v>9</v>
      </c>
      <c r="G1000">
        <v>236</v>
      </c>
      <c r="H1000" t="str">
        <f>VLOOKUP(G1000,[1]OPERADORES!$A:$B,2,0)</f>
        <v>DANIEL</v>
      </c>
      <c r="I1000" t="s">
        <v>21</v>
      </c>
      <c r="J1000" t="s">
        <v>104</v>
      </c>
      <c r="K1000" t="s">
        <v>105</v>
      </c>
      <c r="L1000">
        <v>24248</v>
      </c>
      <c r="M1000" t="s">
        <v>107</v>
      </c>
      <c r="O1000" t="s">
        <v>11</v>
      </c>
      <c r="P1000">
        <v>5102</v>
      </c>
      <c r="Q1000">
        <v>4</v>
      </c>
      <c r="R1000">
        <v>8</v>
      </c>
      <c r="S1000">
        <v>32</v>
      </c>
      <c r="T1000">
        <v>25.64</v>
      </c>
      <c r="U1000">
        <v>19.88</v>
      </c>
      <c r="V1000" t="str">
        <f>VLOOKUP(L1000,'[2]tabela de preços'!$A:$D,4,0)</f>
        <v>SHERWIN WILLIAMS</v>
      </c>
      <c r="W1000" t="str">
        <f>VLOOKUP(L1000,'[2]tabela de preços'!$A:$F,6,0)</f>
        <v>PRIMER AUTOMOTIVO</v>
      </c>
      <c r="X1000" t="str">
        <f>VLOOKUP(L1000,'[2]tabela de preços'!$A:$G,7,0)</f>
        <v>AUTOMOTIVO</v>
      </c>
    </row>
    <row r="1001" spans="1:24" x14ac:dyDescent="0.3">
      <c r="A1001" t="s">
        <v>101</v>
      </c>
      <c r="C1001" t="s">
        <v>102</v>
      </c>
      <c r="D1001" s="1">
        <v>46037</v>
      </c>
      <c r="E1001" t="s">
        <v>103</v>
      </c>
      <c r="F1001">
        <v>9</v>
      </c>
      <c r="G1001">
        <v>236</v>
      </c>
      <c r="H1001" t="str">
        <f>VLOOKUP(G1001,[1]OPERADORES!$A:$B,2,0)</f>
        <v>DANIEL</v>
      </c>
      <c r="I1001" t="s">
        <v>21</v>
      </c>
      <c r="J1001" t="s">
        <v>104</v>
      </c>
      <c r="K1001" t="s">
        <v>105</v>
      </c>
      <c r="L1001">
        <v>21037</v>
      </c>
      <c r="M1001" t="s">
        <v>108</v>
      </c>
      <c r="O1001" t="s">
        <v>11</v>
      </c>
      <c r="P1001">
        <v>5102</v>
      </c>
      <c r="Q1001">
        <v>5</v>
      </c>
      <c r="R1001">
        <v>17.03</v>
      </c>
      <c r="S1001">
        <v>85.15</v>
      </c>
      <c r="T1001">
        <v>64.599999999999994</v>
      </c>
      <c r="U1001">
        <v>24.13</v>
      </c>
      <c r="V1001" t="str">
        <f>VLOOKUP(L1001,'[2]tabela de preços'!$A:$D,4,0)</f>
        <v>SHERWIN WILLIAMS</v>
      </c>
      <c r="W1001" t="str">
        <f>VLOOKUP(L1001,'[2]tabela de preços'!$A:$F,6,0)</f>
        <v>CATALISADORES INDIVIDUAS</v>
      </c>
      <c r="X1001" t="str">
        <f>VLOOKUP(L1001,'[2]tabela de preços'!$A:$G,7,0)</f>
        <v>AUTOMOTIVO</v>
      </c>
    </row>
    <row r="1002" spans="1:24" x14ac:dyDescent="0.3">
      <c r="A1002" t="s">
        <v>101</v>
      </c>
      <c r="C1002" t="s">
        <v>102</v>
      </c>
      <c r="D1002" s="1">
        <v>46037</v>
      </c>
      <c r="E1002" t="s">
        <v>103</v>
      </c>
      <c r="F1002">
        <v>9</v>
      </c>
      <c r="G1002">
        <v>236</v>
      </c>
      <c r="H1002" t="str">
        <f>VLOOKUP(G1002,[1]OPERADORES!$A:$B,2,0)</f>
        <v>DANIEL</v>
      </c>
      <c r="I1002" t="s">
        <v>21</v>
      </c>
      <c r="J1002" t="s">
        <v>104</v>
      </c>
      <c r="K1002" t="s">
        <v>105</v>
      </c>
      <c r="L1002">
        <v>21033</v>
      </c>
      <c r="M1002" t="s">
        <v>109</v>
      </c>
      <c r="O1002" t="s">
        <v>11</v>
      </c>
      <c r="P1002">
        <v>5102</v>
      </c>
      <c r="Q1002">
        <v>5</v>
      </c>
      <c r="R1002">
        <v>27.77</v>
      </c>
      <c r="S1002">
        <v>138.85</v>
      </c>
      <c r="T1002">
        <v>105.4</v>
      </c>
      <c r="U1002">
        <v>24.09</v>
      </c>
      <c r="V1002" t="str">
        <f>VLOOKUP(L1002,'[2]tabela de preços'!$A:$D,4,0)</f>
        <v>SHERWIN WILLIAMS</v>
      </c>
      <c r="W1002" t="str">
        <f>VLOOKUP(L1002,'[2]tabela de preços'!$A:$F,6,0)</f>
        <v>TINTAS PU</v>
      </c>
      <c r="X1002" t="str">
        <f>VLOOKUP(L1002,'[2]tabela de preços'!$A:$G,7,0)</f>
        <v>AUTOMOTIVO</v>
      </c>
    </row>
    <row r="1003" spans="1:24" x14ac:dyDescent="0.3">
      <c r="A1003" t="s">
        <v>101</v>
      </c>
      <c r="C1003" t="s">
        <v>102</v>
      </c>
      <c r="D1003" s="1">
        <v>46037</v>
      </c>
      <c r="E1003" t="s">
        <v>103</v>
      </c>
      <c r="F1003">
        <v>9</v>
      </c>
      <c r="G1003">
        <v>236</v>
      </c>
      <c r="H1003" t="str">
        <f>VLOOKUP(G1003,[1]OPERADORES!$A:$B,2,0)</f>
        <v>DANIEL</v>
      </c>
      <c r="I1003" t="s">
        <v>21</v>
      </c>
      <c r="J1003" t="s">
        <v>104</v>
      </c>
      <c r="K1003" t="s">
        <v>105</v>
      </c>
      <c r="L1003">
        <v>23465</v>
      </c>
      <c r="M1003" t="s">
        <v>110</v>
      </c>
      <c r="O1003" t="s">
        <v>11</v>
      </c>
      <c r="P1003">
        <v>5102</v>
      </c>
      <c r="Q1003">
        <v>5</v>
      </c>
      <c r="R1003">
        <v>3.76</v>
      </c>
      <c r="S1003">
        <v>18.8</v>
      </c>
      <c r="T1003">
        <v>14.25</v>
      </c>
      <c r="U1003">
        <v>24.2</v>
      </c>
      <c r="V1003" t="str">
        <f>VLOOKUP(L1003,'[2]tabela de preços'!$A:$D,4,0)</f>
        <v>3M</v>
      </c>
      <c r="W1003" t="str">
        <f>VLOOKUP(L1003,'[2]tabela de preços'!$A:$F,6,0)</f>
        <v>EPI´S</v>
      </c>
      <c r="X1003" t="str">
        <f>VLOOKUP(L1003,'[2]tabela de preços'!$A:$G,7,0)</f>
        <v>AUTOMOTIVO</v>
      </c>
    </row>
    <row r="1004" spans="1:24" x14ac:dyDescent="0.3">
      <c r="A1004" t="s">
        <v>101</v>
      </c>
      <c r="C1004" t="s">
        <v>102</v>
      </c>
      <c r="D1004" s="1">
        <v>46037</v>
      </c>
      <c r="E1004" t="s">
        <v>103</v>
      </c>
      <c r="F1004">
        <v>9</v>
      </c>
      <c r="G1004">
        <v>236</v>
      </c>
      <c r="H1004" t="str">
        <f>VLOOKUP(G1004,[1]OPERADORES!$A:$B,2,0)</f>
        <v>DANIEL</v>
      </c>
      <c r="I1004" t="s">
        <v>21</v>
      </c>
      <c r="J1004" t="s">
        <v>104</v>
      </c>
      <c r="K1004" t="s">
        <v>105</v>
      </c>
      <c r="L1004">
        <v>24247</v>
      </c>
      <c r="M1004" t="s">
        <v>111</v>
      </c>
      <c r="O1004" t="s">
        <v>11</v>
      </c>
      <c r="P1004">
        <v>5403</v>
      </c>
      <c r="Q1004">
        <v>4</v>
      </c>
      <c r="R1004">
        <v>21</v>
      </c>
      <c r="S1004">
        <v>84</v>
      </c>
      <c r="T1004">
        <v>66.400000000000006</v>
      </c>
      <c r="U1004">
        <v>20.95</v>
      </c>
      <c r="V1004" t="str">
        <f>VLOOKUP(L1004,'[2]tabela de preços'!$A:$D,4,0)</f>
        <v>SHERWIN WILLIAMS</v>
      </c>
      <c r="W1004" t="str">
        <f>VLOOKUP(L1004,'[2]tabela de preços'!$A:$F,6,0)</f>
        <v>PRIMER AUTOMOTIVO</v>
      </c>
      <c r="X1004" t="str">
        <f>VLOOKUP(L1004,'[2]tabela de preços'!$A:$G,7,0)</f>
        <v>AUTOMOTIVO</v>
      </c>
    </row>
    <row r="1005" spans="1:24" x14ac:dyDescent="0.3">
      <c r="A1005" t="s">
        <v>101</v>
      </c>
      <c r="C1005" t="s">
        <v>102</v>
      </c>
      <c r="D1005" s="1">
        <v>46037</v>
      </c>
      <c r="E1005" t="s">
        <v>103</v>
      </c>
      <c r="F1005">
        <v>9</v>
      </c>
      <c r="G1005">
        <v>236</v>
      </c>
      <c r="H1005" t="str">
        <f>VLOOKUP(G1005,[1]OPERADORES!$A:$B,2,0)</f>
        <v>DANIEL</v>
      </c>
      <c r="I1005" t="s">
        <v>21</v>
      </c>
      <c r="J1005" t="s">
        <v>104</v>
      </c>
      <c r="K1005" t="s">
        <v>105</v>
      </c>
      <c r="L1005">
        <v>20414</v>
      </c>
      <c r="M1005" t="s">
        <v>112</v>
      </c>
      <c r="O1005" t="s">
        <v>11</v>
      </c>
      <c r="P1005">
        <v>5102</v>
      </c>
      <c r="Q1005">
        <v>1</v>
      </c>
      <c r="R1005">
        <v>21.89</v>
      </c>
      <c r="S1005">
        <v>21.89</v>
      </c>
      <c r="T1005">
        <v>18</v>
      </c>
      <c r="U1005">
        <v>17.77</v>
      </c>
      <c r="V1005" t="str">
        <f>VLOOKUP(L1005,'[2]tabela de preços'!$A:$D,4,0)</f>
        <v>SHERWIN WILLIAMS</v>
      </c>
      <c r="W1005" t="str">
        <f>VLOOKUP(L1005,'[2]tabela de preços'!$A:$F,6,0)</f>
        <v>DILUENTE</v>
      </c>
      <c r="X1005" t="str">
        <f>VLOOKUP(L1005,'[2]tabela de preços'!$A:$G,7,0)</f>
        <v>AUTOMOTIVO</v>
      </c>
    </row>
    <row r="1006" spans="1:24" x14ac:dyDescent="0.3">
      <c r="A1006" t="s">
        <v>208</v>
      </c>
      <c r="C1006" t="s">
        <v>209</v>
      </c>
      <c r="D1006" s="1">
        <v>46037</v>
      </c>
      <c r="E1006" t="s">
        <v>210</v>
      </c>
      <c r="F1006">
        <v>9</v>
      </c>
      <c r="G1006">
        <v>236</v>
      </c>
      <c r="H1006" t="str">
        <f>VLOOKUP(G1006,[1]OPERADORES!$A:$B,2,0)</f>
        <v>DANIEL</v>
      </c>
      <c r="I1006" t="s">
        <v>21</v>
      </c>
      <c r="J1006" t="s">
        <v>211</v>
      </c>
      <c r="K1006" t="s">
        <v>212</v>
      </c>
      <c r="L1006">
        <v>23713</v>
      </c>
      <c r="M1006" t="s">
        <v>192</v>
      </c>
      <c r="O1006" t="s">
        <v>11</v>
      </c>
      <c r="P1006">
        <v>5102</v>
      </c>
      <c r="Q1006">
        <v>1</v>
      </c>
      <c r="R1006">
        <v>42.14</v>
      </c>
      <c r="S1006">
        <v>42.14</v>
      </c>
      <c r="T1006">
        <v>30.9</v>
      </c>
      <c r="U1006">
        <v>26.67</v>
      </c>
      <c r="V1006" t="str">
        <f>VLOOKUP(L1006,'[2]tabela de preços'!$A:$D,4,0)</f>
        <v>NEW PAD</v>
      </c>
      <c r="W1006" t="str">
        <f>VLOOKUP(L1006,'[2]tabela de preços'!$A:$F,6,0)</f>
        <v>BOINAS PARA POLIMENTO</v>
      </c>
      <c r="X1006" t="str">
        <f>VLOOKUP(L1006,'[2]tabela de preços'!$A:$G,7,0)</f>
        <v>AUTOMOTIVO</v>
      </c>
    </row>
    <row r="1007" spans="1:24" x14ac:dyDescent="0.3">
      <c r="A1007" t="s">
        <v>208</v>
      </c>
      <c r="C1007" t="s">
        <v>209</v>
      </c>
      <c r="D1007" s="1">
        <v>46037</v>
      </c>
      <c r="E1007" t="s">
        <v>210</v>
      </c>
      <c r="F1007">
        <v>9</v>
      </c>
      <c r="G1007">
        <v>236</v>
      </c>
      <c r="H1007" t="str">
        <f>VLOOKUP(G1007,[1]OPERADORES!$A:$B,2,0)</f>
        <v>DANIEL</v>
      </c>
      <c r="I1007" t="s">
        <v>21</v>
      </c>
      <c r="J1007" t="s">
        <v>211</v>
      </c>
      <c r="K1007" t="s">
        <v>212</v>
      </c>
      <c r="L1007">
        <v>23714</v>
      </c>
      <c r="M1007" t="s">
        <v>213</v>
      </c>
      <c r="O1007" t="s">
        <v>11</v>
      </c>
      <c r="P1007">
        <v>5102</v>
      </c>
      <c r="Q1007">
        <v>1</v>
      </c>
      <c r="R1007">
        <v>42.14</v>
      </c>
      <c r="S1007">
        <v>42.14</v>
      </c>
      <c r="T1007">
        <v>30.9</v>
      </c>
      <c r="U1007">
        <v>26.67</v>
      </c>
      <c r="V1007" t="str">
        <f>VLOOKUP(L1007,'[2]tabela de preços'!$A:$D,4,0)</f>
        <v>NEW PAD</v>
      </c>
      <c r="W1007" t="str">
        <f>VLOOKUP(L1007,'[2]tabela de preços'!$A:$F,6,0)</f>
        <v>BOINAS PARA POLIMENTO</v>
      </c>
      <c r="X1007" t="str">
        <f>VLOOKUP(L1007,'[2]tabela de preços'!$A:$G,7,0)</f>
        <v>AUTOMOTIVO</v>
      </c>
    </row>
    <row r="1008" spans="1:24" x14ac:dyDescent="0.3">
      <c r="A1008" t="s">
        <v>208</v>
      </c>
      <c r="C1008" t="s">
        <v>209</v>
      </c>
      <c r="D1008" s="1">
        <v>46037</v>
      </c>
      <c r="E1008" t="s">
        <v>210</v>
      </c>
      <c r="F1008">
        <v>9</v>
      </c>
      <c r="G1008">
        <v>236</v>
      </c>
      <c r="H1008" t="str">
        <f>VLOOKUP(G1008,[1]OPERADORES!$A:$B,2,0)</f>
        <v>DANIEL</v>
      </c>
      <c r="I1008" t="s">
        <v>21</v>
      </c>
      <c r="J1008" t="s">
        <v>211</v>
      </c>
      <c r="K1008" t="s">
        <v>212</v>
      </c>
      <c r="L1008">
        <v>84959</v>
      </c>
      <c r="M1008" t="s">
        <v>214</v>
      </c>
      <c r="O1008" t="s">
        <v>11</v>
      </c>
      <c r="P1008">
        <v>5403</v>
      </c>
      <c r="Q1008">
        <v>1</v>
      </c>
      <c r="R1008">
        <v>19.25</v>
      </c>
      <c r="S1008">
        <v>19.25</v>
      </c>
      <c r="T1008">
        <v>14.12</v>
      </c>
      <c r="U1008">
        <v>26.65</v>
      </c>
      <c r="V1008" t="str">
        <f>VLOOKUP(L1008,'[2]tabela de preços'!$A:$D,4,0)</f>
        <v>BRASILUX</v>
      </c>
      <c r="W1008" t="str">
        <f>VLOOKUP(L1008,'[2]tabela de preços'!$A:$F,6,0)</f>
        <v>BATIDA DE PEDRA</v>
      </c>
      <c r="X1008" t="str">
        <f>VLOOKUP(L1008,'[2]tabela de preços'!$A:$G,7,0)</f>
        <v>AUTOMOTIVO</v>
      </c>
    </row>
    <row r="1009" spans="1:24" x14ac:dyDescent="0.3">
      <c r="A1009" t="s">
        <v>208</v>
      </c>
      <c r="C1009" t="s">
        <v>209</v>
      </c>
      <c r="D1009" s="1">
        <v>46037</v>
      </c>
      <c r="E1009" t="s">
        <v>210</v>
      </c>
      <c r="F1009">
        <v>9</v>
      </c>
      <c r="G1009">
        <v>236</v>
      </c>
      <c r="H1009" t="str">
        <f>VLOOKUP(G1009,[1]OPERADORES!$A:$B,2,0)</f>
        <v>DANIEL</v>
      </c>
      <c r="I1009" t="s">
        <v>21</v>
      </c>
      <c r="J1009" t="s">
        <v>211</v>
      </c>
      <c r="K1009" t="s">
        <v>212</v>
      </c>
      <c r="L1009">
        <v>84108</v>
      </c>
      <c r="M1009" t="s">
        <v>144</v>
      </c>
      <c r="O1009" t="s">
        <v>11</v>
      </c>
      <c r="P1009">
        <v>5403</v>
      </c>
      <c r="Q1009">
        <v>1</v>
      </c>
      <c r="R1009">
        <v>28.25</v>
      </c>
      <c r="S1009">
        <v>28.25</v>
      </c>
      <c r="T1009">
        <v>20.71</v>
      </c>
      <c r="U1009">
        <v>26.69</v>
      </c>
      <c r="V1009" t="str">
        <f>VLOOKUP(L1009,'[2]tabela de preços'!$A:$D,4,0)</f>
        <v>BRASILUX</v>
      </c>
      <c r="W1009" t="str">
        <f>VLOOKUP(L1009,'[2]tabela de preços'!$A:$F,6,0)</f>
        <v>TINTAS LACA</v>
      </c>
      <c r="X1009" t="str">
        <f>VLOOKUP(L1009,'[2]tabela de preços'!$A:$G,7,0)</f>
        <v>AUTOMOTIVO</v>
      </c>
    </row>
    <row r="1010" spans="1:24" x14ac:dyDescent="0.3">
      <c r="A1010" t="s">
        <v>208</v>
      </c>
      <c r="C1010" t="s">
        <v>209</v>
      </c>
      <c r="D1010" s="1">
        <v>46037</v>
      </c>
      <c r="E1010" t="s">
        <v>210</v>
      </c>
      <c r="F1010">
        <v>9</v>
      </c>
      <c r="G1010">
        <v>236</v>
      </c>
      <c r="H1010" t="str">
        <f>VLOOKUP(G1010,[1]OPERADORES!$A:$B,2,0)</f>
        <v>DANIEL</v>
      </c>
      <c r="I1010" t="s">
        <v>21</v>
      </c>
      <c r="J1010" t="s">
        <v>211</v>
      </c>
      <c r="K1010" t="s">
        <v>212</v>
      </c>
      <c r="L1010">
        <v>23580</v>
      </c>
      <c r="M1010" t="s">
        <v>115</v>
      </c>
      <c r="O1010" t="s">
        <v>11</v>
      </c>
      <c r="P1010">
        <v>5102</v>
      </c>
      <c r="Q1010">
        <v>100</v>
      </c>
      <c r="R1010">
        <v>0.56000000000000005</v>
      </c>
      <c r="S1010">
        <v>56</v>
      </c>
      <c r="T1010">
        <v>36</v>
      </c>
      <c r="U1010">
        <v>35.71</v>
      </c>
      <c r="V1010" t="str">
        <f>VLOOKUP(L1010,'[2]tabela de preços'!$A:$D,4,0)</f>
        <v>RENOVA COADORES</v>
      </c>
      <c r="W1010" t="str">
        <f>VLOOKUP(L1010,'[2]tabela de preços'!$A:$F,6,0)</f>
        <v>COADORES</v>
      </c>
      <c r="X1010" t="str">
        <f>VLOOKUP(L1010,'[2]tabela de preços'!$A:$G,7,0)</f>
        <v>AUTOMOTIVO</v>
      </c>
    </row>
    <row r="1011" spans="1:24" x14ac:dyDescent="0.3">
      <c r="A1011" t="s">
        <v>208</v>
      </c>
      <c r="C1011" t="s">
        <v>209</v>
      </c>
      <c r="D1011" s="1">
        <v>46037</v>
      </c>
      <c r="E1011" t="s">
        <v>210</v>
      </c>
      <c r="F1011">
        <v>9</v>
      </c>
      <c r="G1011">
        <v>236</v>
      </c>
      <c r="H1011" t="str">
        <f>VLOOKUP(G1011,[1]OPERADORES!$A:$B,2,0)</f>
        <v>DANIEL</v>
      </c>
      <c r="I1011" t="s">
        <v>21</v>
      </c>
      <c r="J1011" t="s">
        <v>211</v>
      </c>
      <c r="K1011" t="s">
        <v>212</v>
      </c>
      <c r="L1011">
        <v>24248</v>
      </c>
      <c r="M1011" t="s">
        <v>107</v>
      </c>
      <c r="O1011" t="s">
        <v>11</v>
      </c>
      <c r="P1011">
        <v>5102</v>
      </c>
      <c r="Q1011">
        <v>5</v>
      </c>
      <c r="R1011">
        <v>8</v>
      </c>
      <c r="S1011">
        <v>40</v>
      </c>
      <c r="T1011">
        <v>32.049999999999997</v>
      </c>
      <c r="U1011">
        <v>19.88</v>
      </c>
      <c r="V1011" t="str">
        <f>VLOOKUP(L1011,'[2]tabela de preços'!$A:$D,4,0)</f>
        <v>SHERWIN WILLIAMS</v>
      </c>
      <c r="W1011" t="str">
        <f>VLOOKUP(L1011,'[2]tabela de preços'!$A:$F,6,0)</f>
        <v>PRIMER AUTOMOTIVO</v>
      </c>
      <c r="X1011" t="str">
        <f>VLOOKUP(L1011,'[2]tabela de preços'!$A:$G,7,0)</f>
        <v>AUTOMOTIVO</v>
      </c>
    </row>
    <row r="1012" spans="1:24" x14ac:dyDescent="0.3">
      <c r="A1012" t="s">
        <v>208</v>
      </c>
      <c r="C1012" t="s">
        <v>209</v>
      </c>
      <c r="D1012" s="1">
        <v>46037</v>
      </c>
      <c r="E1012" t="s">
        <v>210</v>
      </c>
      <c r="F1012">
        <v>9</v>
      </c>
      <c r="G1012">
        <v>236</v>
      </c>
      <c r="H1012" t="str">
        <f>VLOOKUP(G1012,[1]OPERADORES!$A:$B,2,0)</f>
        <v>DANIEL</v>
      </c>
      <c r="I1012" t="s">
        <v>21</v>
      </c>
      <c r="J1012" t="s">
        <v>211</v>
      </c>
      <c r="K1012" t="s">
        <v>212</v>
      </c>
      <c r="L1012">
        <v>23602</v>
      </c>
      <c r="M1012" t="s">
        <v>215</v>
      </c>
      <c r="O1012" t="s">
        <v>11</v>
      </c>
      <c r="P1012">
        <v>5403</v>
      </c>
      <c r="Q1012">
        <v>9</v>
      </c>
      <c r="R1012">
        <v>35.89</v>
      </c>
      <c r="S1012">
        <v>323.01</v>
      </c>
      <c r="T1012">
        <v>263.25</v>
      </c>
      <c r="U1012">
        <v>18.5</v>
      </c>
      <c r="V1012" t="str">
        <f>VLOOKUP(L1012,'[2]tabela de preços'!$A:$D,4,0)</f>
        <v>SHERWIN WILLIAMS</v>
      </c>
      <c r="W1012" t="str">
        <f>VLOOKUP(L1012,'[2]tabela de preços'!$A:$F,6,0)</f>
        <v>VERNIZ AUTOMOTIVO</v>
      </c>
      <c r="X1012" t="str">
        <f>VLOOKUP(L1012,'[2]tabela de preços'!$A:$G,7,0)</f>
        <v>AUTOMOTIVO</v>
      </c>
    </row>
    <row r="1013" spans="1:24" x14ac:dyDescent="0.3">
      <c r="A1013" t="s">
        <v>208</v>
      </c>
      <c r="C1013" t="s">
        <v>209</v>
      </c>
      <c r="D1013" s="1">
        <v>46037</v>
      </c>
      <c r="E1013" t="s">
        <v>210</v>
      </c>
      <c r="F1013">
        <v>9</v>
      </c>
      <c r="G1013">
        <v>236</v>
      </c>
      <c r="H1013" t="str">
        <f>VLOOKUP(G1013,[1]OPERADORES!$A:$B,2,0)</f>
        <v>DANIEL</v>
      </c>
      <c r="I1013" t="s">
        <v>21</v>
      </c>
      <c r="J1013" t="s">
        <v>211</v>
      </c>
      <c r="K1013" t="s">
        <v>212</v>
      </c>
      <c r="L1013">
        <v>20327</v>
      </c>
      <c r="M1013" t="s">
        <v>216</v>
      </c>
      <c r="O1013" t="s">
        <v>11</v>
      </c>
      <c r="P1013">
        <v>5102</v>
      </c>
      <c r="Q1013">
        <v>3</v>
      </c>
      <c r="R1013">
        <v>34.29</v>
      </c>
      <c r="S1013">
        <v>102.87</v>
      </c>
      <c r="T1013">
        <v>70.86</v>
      </c>
      <c r="U1013">
        <v>31.12</v>
      </c>
      <c r="V1013" t="str">
        <f>VLOOKUP(L1013,'[2]tabela de preços'!$A:$D,4,0)</f>
        <v>SHERWIN WILLIAMS</v>
      </c>
      <c r="W1013" t="str">
        <f>VLOOKUP(L1013,'[2]tabela de preços'!$A:$F,6,0)</f>
        <v>TINTAS PU</v>
      </c>
      <c r="X1013" t="str">
        <f>VLOOKUP(L1013,'[2]tabela de preços'!$A:$G,7,0)</f>
        <v>AUTOMOTIVO</v>
      </c>
    </row>
    <row r="1014" spans="1:24" x14ac:dyDescent="0.3">
      <c r="A1014" t="s">
        <v>208</v>
      </c>
      <c r="C1014" t="s">
        <v>209</v>
      </c>
      <c r="D1014" s="1">
        <v>46037</v>
      </c>
      <c r="E1014" t="s">
        <v>210</v>
      </c>
      <c r="F1014">
        <v>9</v>
      </c>
      <c r="G1014">
        <v>236</v>
      </c>
      <c r="H1014" t="str">
        <f>VLOOKUP(G1014,[1]OPERADORES!$A:$B,2,0)</f>
        <v>DANIEL</v>
      </c>
      <c r="I1014" t="s">
        <v>21</v>
      </c>
      <c r="J1014" t="s">
        <v>211</v>
      </c>
      <c r="K1014" t="s">
        <v>212</v>
      </c>
      <c r="L1014">
        <v>10243</v>
      </c>
      <c r="M1014" t="s">
        <v>83</v>
      </c>
      <c r="O1014" t="s">
        <v>11</v>
      </c>
      <c r="P1014">
        <v>5102</v>
      </c>
      <c r="Q1014">
        <v>50</v>
      </c>
      <c r="R1014">
        <v>2.79</v>
      </c>
      <c r="S1014">
        <v>139.5</v>
      </c>
      <c r="T1014">
        <v>96.5</v>
      </c>
      <c r="U1014">
        <v>30.82</v>
      </c>
      <c r="V1014" t="str">
        <f>VLOOKUP(L1014,'[2]tabela de preços'!$A:$D,4,0)</f>
        <v>NORTON</v>
      </c>
      <c r="W1014" t="str">
        <f>VLOOKUP(L1014,'[2]tabela de preços'!$A:$F,6,0)</f>
        <v xml:space="preserve">DISCOS / LIXAS / ABRASIVOS </v>
      </c>
      <c r="X1014" t="str">
        <f>VLOOKUP(L1014,'[2]tabela de preços'!$A:$G,7,0)</f>
        <v>AUTOMOTIVO</v>
      </c>
    </row>
    <row r="1015" spans="1:24" x14ac:dyDescent="0.3">
      <c r="A1015" t="s">
        <v>208</v>
      </c>
      <c r="C1015" t="s">
        <v>209</v>
      </c>
      <c r="D1015" s="1">
        <v>46037</v>
      </c>
      <c r="E1015" t="s">
        <v>210</v>
      </c>
      <c r="F1015">
        <v>9</v>
      </c>
      <c r="G1015">
        <v>236</v>
      </c>
      <c r="H1015" t="str">
        <f>VLOOKUP(G1015,[1]OPERADORES!$A:$B,2,0)</f>
        <v>DANIEL</v>
      </c>
      <c r="I1015" t="s">
        <v>21</v>
      </c>
      <c r="J1015" t="s">
        <v>211</v>
      </c>
      <c r="K1015" t="s">
        <v>212</v>
      </c>
      <c r="L1015">
        <v>10246</v>
      </c>
      <c r="M1015" t="s">
        <v>206</v>
      </c>
      <c r="O1015" t="s">
        <v>11</v>
      </c>
      <c r="P1015">
        <v>5102</v>
      </c>
      <c r="Q1015">
        <v>50</v>
      </c>
      <c r="R1015">
        <v>2.79</v>
      </c>
      <c r="S1015">
        <v>139.5</v>
      </c>
      <c r="T1015">
        <v>96.5</v>
      </c>
      <c r="U1015">
        <v>30.82</v>
      </c>
      <c r="V1015" t="str">
        <f>VLOOKUP(L1015,'[2]tabela de preços'!$A:$D,4,0)</f>
        <v>NORTON</v>
      </c>
      <c r="W1015" t="str">
        <f>VLOOKUP(L1015,'[2]tabela de preços'!$A:$F,6,0)</f>
        <v xml:space="preserve">DISCOS / LIXAS / ABRASIVOS </v>
      </c>
      <c r="X1015" t="str">
        <f>VLOOKUP(L1015,'[2]tabela de preços'!$A:$G,7,0)</f>
        <v>AUTOMOTIVO</v>
      </c>
    </row>
    <row r="1016" spans="1:24" x14ac:dyDescent="0.3">
      <c r="A1016" t="s">
        <v>208</v>
      </c>
      <c r="C1016" t="s">
        <v>209</v>
      </c>
      <c r="D1016" s="1">
        <v>46037</v>
      </c>
      <c r="E1016" t="s">
        <v>210</v>
      </c>
      <c r="F1016">
        <v>9</v>
      </c>
      <c r="G1016">
        <v>236</v>
      </c>
      <c r="H1016" t="str">
        <f>VLOOKUP(G1016,[1]OPERADORES!$A:$B,2,0)</f>
        <v>DANIEL</v>
      </c>
      <c r="I1016" t="s">
        <v>21</v>
      </c>
      <c r="J1016" t="s">
        <v>211</v>
      </c>
      <c r="K1016" t="s">
        <v>212</v>
      </c>
      <c r="L1016">
        <v>87043</v>
      </c>
      <c r="M1016" t="s">
        <v>217</v>
      </c>
      <c r="O1016" t="s">
        <v>11</v>
      </c>
      <c r="P1016">
        <v>5102</v>
      </c>
      <c r="Q1016">
        <v>8</v>
      </c>
      <c r="R1016">
        <v>21.95</v>
      </c>
      <c r="S1016">
        <v>175.6</v>
      </c>
      <c r="T1016">
        <v>144.16</v>
      </c>
      <c r="U1016">
        <v>17.899999999999999</v>
      </c>
      <c r="V1016" t="str">
        <f>VLOOKUP(L1016,'[2]tabela de preços'!$A:$D,4,0)</f>
        <v>ROBERLO</v>
      </c>
      <c r="W1016" t="str">
        <f>VLOOKUP(L1016,'[2]tabela de preços'!$A:$F,6,0)</f>
        <v>MASSA POLIÉSTER</v>
      </c>
      <c r="X1016" t="str">
        <f>VLOOKUP(L1016,'[2]tabela de preços'!$A:$G,7,0)</f>
        <v>AUTOMOTIVO</v>
      </c>
    </row>
    <row r="1017" spans="1:24" x14ac:dyDescent="0.3">
      <c r="A1017" t="s">
        <v>208</v>
      </c>
      <c r="C1017" t="s">
        <v>209</v>
      </c>
      <c r="D1017" s="1">
        <v>46037</v>
      </c>
      <c r="E1017" t="s">
        <v>210</v>
      </c>
      <c r="F1017">
        <v>9</v>
      </c>
      <c r="G1017">
        <v>236</v>
      </c>
      <c r="H1017" t="str">
        <f>VLOOKUP(G1017,[1]OPERADORES!$A:$B,2,0)</f>
        <v>DANIEL</v>
      </c>
      <c r="I1017" t="s">
        <v>21</v>
      </c>
      <c r="J1017" t="s">
        <v>211</v>
      </c>
      <c r="K1017" t="s">
        <v>212</v>
      </c>
      <c r="L1017">
        <v>24247</v>
      </c>
      <c r="M1017" t="s">
        <v>111</v>
      </c>
      <c r="O1017" t="s">
        <v>11</v>
      </c>
      <c r="P1017">
        <v>5403</v>
      </c>
      <c r="Q1017">
        <v>5</v>
      </c>
      <c r="R1017">
        <v>21</v>
      </c>
      <c r="S1017">
        <v>105</v>
      </c>
      <c r="T1017">
        <v>83</v>
      </c>
      <c r="U1017">
        <v>20.95</v>
      </c>
      <c r="V1017" t="str">
        <f>VLOOKUP(L1017,'[2]tabela de preços'!$A:$D,4,0)</f>
        <v>SHERWIN WILLIAMS</v>
      </c>
      <c r="W1017" t="str">
        <f>VLOOKUP(L1017,'[2]tabela de preços'!$A:$F,6,0)</f>
        <v>PRIMER AUTOMOTIVO</v>
      </c>
      <c r="X1017" t="str">
        <f>VLOOKUP(L1017,'[2]tabela de preços'!$A:$G,7,0)</f>
        <v>AUTOMOTIVO</v>
      </c>
    </row>
    <row r="1018" spans="1:24" x14ac:dyDescent="0.3">
      <c r="A1018" t="s">
        <v>208</v>
      </c>
      <c r="C1018" t="s">
        <v>209</v>
      </c>
      <c r="D1018" s="1">
        <v>46037</v>
      </c>
      <c r="E1018" t="s">
        <v>210</v>
      </c>
      <c r="F1018">
        <v>9</v>
      </c>
      <c r="G1018">
        <v>236</v>
      </c>
      <c r="H1018" t="str">
        <f>VLOOKUP(G1018,[1]OPERADORES!$A:$B,2,0)</f>
        <v>DANIEL</v>
      </c>
      <c r="I1018" t="s">
        <v>21</v>
      </c>
      <c r="J1018" t="s">
        <v>211</v>
      </c>
      <c r="K1018" t="s">
        <v>212</v>
      </c>
      <c r="L1018">
        <v>10298</v>
      </c>
      <c r="M1018" t="s">
        <v>85</v>
      </c>
      <c r="O1018" t="s">
        <v>11</v>
      </c>
      <c r="P1018">
        <v>5102</v>
      </c>
      <c r="Q1018">
        <v>1</v>
      </c>
      <c r="R1018">
        <v>56.89</v>
      </c>
      <c r="S1018">
        <v>56.89</v>
      </c>
      <c r="T1018">
        <v>47.38</v>
      </c>
      <c r="U1018">
        <v>16.72</v>
      </c>
      <c r="V1018" t="str">
        <f>VLOOKUP(L1018,'[2]tabela de preços'!$A:$D,4,0)</f>
        <v>ANJO</v>
      </c>
      <c r="W1018" t="str">
        <f>VLOOKUP(L1018,'[2]tabela de preços'!$A:$F,6,0)</f>
        <v>THINNER DE LIMPEZA</v>
      </c>
      <c r="X1018" t="str">
        <f>VLOOKUP(L1018,'[2]tabela de preços'!$A:$G,7,0)</f>
        <v>THINNER</v>
      </c>
    </row>
    <row r="1019" spans="1:24" x14ac:dyDescent="0.3">
      <c r="A1019" t="s">
        <v>336</v>
      </c>
      <c r="C1019" t="s">
        <v>343</v>
      </c>
      <c r="D1019" s="1">
        <v>46037</v>
      </c>
      <c r="E1019" t="s">
        <v>344</v>
      </c>
      <c r="F1019">
        <v>9</v>
      </c>
      <c r="G1019">
        <v>236</v>
      </c>
      <c r="H1019" t="str">
        <f>VLOOKUP(G1019,[1]OPERADORES!$A:$B,2,0)</f>
        <v>DANIEL</v>
      </c>
      <c r="I1019" t="s">
        <v>21</v>
      </c>
      <c r="J1019" t="s">
        <v>339</v>
      </c>
      <c r="K1019" t="s">
        <v>340</v>
      </c>
      <c r="L1019">
        <v>85283</v>
      </c>
      <c r="M1019" t="s">
        <v>345</v>
      </c>
      <c r="O1019" t="s">
        <v>11</v>
      </c>
      <c r="P1019">
        <v>5403</v>
      </c>
      <c r="Q1019">
        <v>8</v>
      </c>
      <c r="R1019">
        <v>172.93</v>
      </c>
      <c r="S1019" s="2">
        <v>1383.44</v>
      </c>
      <c r="T1019" s="2">
        <v>1050.08</v>
      </c>
      <c r="U1019">
        <v>24.1</v>
      </c>
      <c r="V1019" t="str">
        <f>VLOOKUP(L1019,'[2]tabela de preços'!$A:$D,4,0)</f>
        <v>BRASILUX</v>
      </c>
      <c r="W1019" t="str">
        <f>VLOOKUP(L1019,'[2]tabela de preços'!$A:$F,6,0)</f>
        <v>TINTA PARA PISO</v>
      </c>
      <c r="X1019" t="str">
        <f>VLOOKUP(L1019,'[2]tabela de preços'!$A:$G,7,0)</f>
        <v>IMOBILIÁRIO</v>
      </c>
    </row>
    <row r="1020" spans="1:24" x14ac:dyDescent="0.3">
      <c r="A1020" t="s">
        <v>336</v>
      </c>
      <c r="C1020" t="s">
        <v>343</v>
      </c>
      <c r="D1020" s="1">
        <v>46037</v>
      </c>
      <c r="E1020" t="s">
        <v>344</v>
      </c>
      <c r="F1020">
        <v>9</v>
      </c>
      <c r="G1020">
        <v>236</v>
      </c>
      <c r="H1020" t="str">
        <f>VLOOKUP(G1020,[1]OPERADORES!$A:$B,2,0)</f>
        <v>DANIEL</v>
      </c>
      <c r="I1020" t="s">
        <v>21</v>
      </c>
      <c r="J1020" t="s">
        <v>339</v>
      </c>
      <c r="K1020" t="s">
        <v>340</v>
      </c>
      <c r="L1020">
        <v>86939</v>
      </c>
      <c r="M1020" t="s">
        <v>346</v>
      </c>
      <c r="O1020" t="s">
        <v>11</v>
      </c>
      <c r="P1020">
        <v>5102</v>
      </c>
      <c r="Q1020">
        <v>2</v>
      </c>
      <c r="R1020">
        <v>52.92</v>
      </c>
      <c r="S1020">
        <v>105.84</v>
      </c>
      <c r="T1020">
        <v>80.34</v>
      </c>
      <c r="U1020">
        <v>24.09</v>
      </c>
      <c r="V1020" t="str">
        <f>VLOOKUP(L1020,'[2]tabela de preços'!$A:$D,4,0)</f>
        <v>ATLAS</v>
      </c>
      <c r="W1020" t="str">
        <f>VLOOKUP(L1020,'[2]tabela de preços'!$A:$F,6,0)</f>
        <v>ROLOS / TRINCHAS / PINCÉIS / ESPÁTULAS</v>
      </c>
      <c r="X1020" t="str">
        <f>VLOOKUP(L1020,'[2]tabela de preços'!$A:$G,7,0)</f>
        <v>IMOBILIÁRIO</v>
      </c>
    </row>
    <row r="1021" spans="1:24" x14ac:dyDescent="0.3">
      <c r="A1021" t="s">
        <v>360</v>
      </c>
      <c r="C1021" t="s">
        <v>366</v>
      </c>
      <c r="D1021" s="1">
        <v>46037</v>
      </c>
      <c r="E1021" t="s">
        <v>367</v>
      </c>
      <c r="F1021">
        <v>9</v>
      </c>
      <c r="G1021">
        <v>231</v>
      </c>
      <c r="H1021" t="str">
        <f>VLOOKUP(G1021,[1]OPERADORES!$A:$B,2,0)</f>
        <v>EDIJANE</v>
      </c>
      <c r="I1021" t="s">
        <v>21</v>
      </c>
      <c r="J1021" t="s">
        <v>363</v>
      </c>
      <c r="K1021" t="s">
        <v>364</v>
      </c>
      <c r="L1021">
        <v>85397</v>
      </c>
      <c r="M1021" t="s">
        <v>368</v>
      </c>
      <c r="O1021" t="s">
        <v>11</v>
      </c>
      <c r="P1021">
        <v>5102</v>
      </c>
      <c r="Q1021">
        <v>1</v>
      </c>
      <c r="R1021">
        <v>590.23</v>
      </c>
      <c r="S1021">
        <v>590.23</v>
      </c>
      <c r="T1021">
        <v>420.84</v>
      </c>
      <c r="U1021">
        <v>28.7</v>
      </c>
      <c r="V1021" t="str">
        <f>VLOOKUP(L1021,'[2]tabela de preços'!$A:$D,4,0)</f>
        <v>BRASILUX</v>
      </c>
      <c r="W1021" t="str">
        <f>VLOOKUP(L1021,'[2]tabela de preços'!$A:$F,6,0)</f>
        <v>TINTA EM PÓ</v>
      </c>
      <c r="X1021" t="str">
        <f>VLOOKUP(L1021,'[2]tabela de preços'!$A:$G,7,0)</f>
        <v>INDUSTRIAL</v>
      </c>
    </row>
    <row r="1022" spans="1:24" x14ac:dyDescent="0.3">
      <c r="A1022" t="s">
        <v>528</v>
      </c>
      <c r="C1022" t="s">
        <v>537</v>
      </c>
      <c r="D1022" s="1">
        <v>46037</v>
      </c>
      <c r="E1022" t="s">
        <v>538</v>
      </c>
      <c r="F1022">
        <v>9</v>
      </c>
      <c r="G1022">
        <v>231</v>
      </c>
      <c r="H1022" t="str">
        <f>VLOOKUP(G1022,[1]OPERADORES!$A:$B,2,0)</f>
        <v>EDIJANE</v>
      </c>
      <c r="I1022" t="s">
        <v>21</v>
      </c>
      <c r="J1022" t="s">
        <v>531</v>
      </c>
      <c r="K1022" t="s">
        <v>532</v>
      </c>
      <c r="L1022">
        <v>85316</v>
      </c>
      <c r="M1022" t="s">
        <v>365</v>
      </c>
      <c r="O1022" t="s">
        <v>11</v>
      </c>
      <c r="P1022">
        <v>5102</v>
      </c>
      <c r="Q1022">
        <v>1</v>
      </c>
      <c r="R1022">
        <v>668</v>
      </c>
      <c r="S1022">
        <v>668</v>
      </c>
      <c r="T1022">
        <v>478.31</v>
      </c>
      <c r="U1022">
        <v>28.4</v>
      </c>
      <c r="V1022" t="str">
        <f>VLOOKUP(L1022,'[2]tabela de preços'!$A:$D,4,0)</f>
        <v>BRASILUX</v>
      </c>
      <c r="W1022" t="str">
        <f>VLOOKUP(L1022,'[2]tabela de preços'!$A:$F,6,0)</f>
        <v>TINTA EM PÓ</v>
      </c>
      <c r="X1022" t="str">
        <f>VLOOKUP(L1022,'[2]tabela de preços'!$A:$G,7,0)</f>
        <v>INDUSTRIAL</v>
      </c>
    </row>
    <row r="1023" spans="1:24" x14ac:dyDescent="0.3">
      <c r="A1023" t="s">
        <v>555</v>
      </c>
      <c r="C1023" t="s">
        <v>564</v>
      </c>
      <c r="D1023" s="1">
        <v>46037</v>
      </c>
      <c r="E1023" t="s">
        <v>565</v>
      </c>
      <c r="F1023">
        <v>9</v>
      </c>
      <c r="G1023">
        <v>230</v>
      </c>
      <c r="H1023" t="str">
        <f>VLOOKUP(G1023,[1]OPERADORES!$A:$B,2,0)</f>
        <v>SÔNIA</v>
      </c>
      <c r="I1023" t="s">
        <v>21</v>
      </c>
      <c r="J1023" t="s">
        <v>558</v>
      </c>
      <c r="K1023" t="s">
        <v>559</v>
      </c>
      <c r="L1023">
        <v>84330</v>
      </c>
      <c r="M1023" t="s">
        <v>566</v>
      </c>
      <c r="O1023" t="s">
        <v>11</v>
      </c>
      <c r="P1023">
        <v>5403</v>
      </c>
      <c r="Q1023">
        <v>1</v>
      </c>
      <c r="R1023">
        <v>59.98</v>
      </c>
      <c r="S1023">
        <v>59.98</v>
      </c>
      <c r="T1023">
        <v>52</v>
      </c>
      <c r="U1023">
        <v>13.3</v>
      </c>
      <c r="V1023" t="str">
        <f>VLOOKUP(L1023,'[2]tabela de preços'!$A:$D,4,0)</f>
        <v>BRASILUX</v>
      </c>
      <c r="W1023" t="str">
        <f>VLOOKUP(L1023,'[2]tabela de preços'!$A:$F,6,0)</f>
        <v>ESMALTES</v>
      </c>
      <c r="X1023" t="str">
        <f>VLOOKUP(L1023,'[2]tabela de preços'!$A:$G,7,0)</f>
        <v>INDUSTRIAL</v>
      </c>
    </row>
    <row r="1024" spans="1:24" x14ac:dyDescent="0.3">
      <c r="A1024" t="s">
        <v>555</v>
      </c>
      <c r="C1024" t="s">
        <v>564</v>
      </c>
      <c r="D1024" s="1">
        <v>46037</v>
      </c>
      <c r="E1024" t="s">
        <v>565</v>
      </c>
      <c r="F1024">
        <v>9</v>
      </c>
      <c r="G1024">
        <v>230</v>
      </c>
      <c r="H1024" t="str">
        <f>VLOOKUP(G1024,[1]OPERADORES!$A:$B,2,0)</f>
        <v>SÔNIA</v>
      </c>
      <c r="I1024" t="s">
        <v>21</v>
      </c>
      <c r="J1024" t="s">
        <v>558</v>
      </c>
      <c r="K1024" t="s">
        <v>559</v>
      </c>
      <c r="L1024">
        <v>84424</v>
      </c>
      <c r="M1024" t="s">
        <v>567</v>
      </c>
      <c r="O1024" t="s">
        <v>11</v>
      </c>
      <c r="P1024">
        <v>5102</v>
      </c>
      <c r="Q1024">
        <v>1</v>
      </c>
      <c r="R1024">
        <v>14.3</v>
      </c>
      <c r="S1024">
        <v>14.3</v>
      </c>
      <c r="T1024">
        <v>10.85</v>
      </c>
      <c r="U1024">
        <v>24.13</v>
      </c>
      <c r="V1024" t="str">
        <f>VLOOKUP(L1024,'[2]tabela de preços'!$A:$D,4,0)</f>
        <v>ATLAS</v>
      </c>
      <c r="W1024" t="str">
        <f>VLOOKUP(L1024,'[2]tabela de preços'!$A:$F,6,0)</f>
        <v>ROLOS / TRINCHAS / PINCÉIS / ESPÁTULAS</v>
      </c>
      <c r="X1024" t="str">
        <f>VLOOKUP(L1024,'[2]tabela de preços'!$A:$G,7,0)</f>
        <v>IMOBILIÁRIO</v>
      </c>
    </row>
    <row r="1025" spans="1:24" x14ac:dyDescent="0.3">
      <c r="A1025" t="s">
        <v>555</v>
      </c>
      <c r="C1025" t="s">
        <v>564</v>
      </c>
      <c r="D1025" s="1">
        <v>46037</v>
      </c>
      <c r="E1025" t="s">
        <v>565</v>
      </c>
      <c r="F1025">
        <v>9</v>
      </c>
      <c r="G1025">
        <v>230</v>
      </c>
      <c r="H1025" t="str">
        <f>VLOOKUP(G1025,[1]OPERADORES!$A:$B,2,0)</f>
        <v>SÔNIA</v>
      </c>
      <c r="I1025" t="s">
        <v>21</v>
      </c>
      <c r="J1025" t="s">
        <v>558</v>
      </c>
      <c r="K1025" t="s">
        <v>559</v>
      </c>
      <c r="L1025">
        <v>84421</v>
      </c>
      <c r="M1025" t="s">
        <v>568</v>
      </c>
      <c r="O1025" t="s">
        <v>11</v>
      </c>
      <c r="P1025">
        <v>5102</v>
      </c>
      <c r="Q1025">
        <v>1</v>
      </c>
      <c r="R1025">
        <v>6.35</v>
      </c>
      <c r="S1025">
        <v>6.35</v>
      </c>
      <c r="T1025">
        <v>4.82</v>
      </c>
      <c r="U1025">
        <v>24.09</v>
      </c>
      <c r="V1025" t="str">
        <f>VLOOKUP(L1025,'[2]tabela de preços'!$A:$D,4,0)</f>
        <v>ATLAS</v>
      </c>
      <c r="W1025" t="str">
        <f>VLOOKUP(L1025,'[2]tabela de preços'!$A:$F,6,0)</f>
        <v>ROLOS / TRINCHAS / PINCÉIS / ESPÁTULAS</v>
      </c>
      <c r="X1025" t="str">
        <f>VLOOKUP(L1025,'[2]tabela de preços'!$A:$G,7,0)</f>
        <v>IMOBILIÁRIO</v>
      </c>
    </row>
    <row r="1026" spans="1:24" x14ac:dyDescent="0.3">
      <c r="A1026" t="s">
        <v>555</v>
      </c>
      <c r="C1026" t="s">
        <v>564</v>
      </c>
      <c r="D1026" s="1">
        <v>46037</v>
      </c>
      <c r="E1026" t="s">
        <v>565</v>
      </c>
      <c r="F1026">
        <v>9</v>
      </c>
      <c r="G1026">
        <v>230</v>
      </c>
      <c r="H1026" t="str">
        <f>VLOOKUP(G1026,[1]OPERADORES!$A:$B,2,0)</f>
        <v>SÔNIA</v>
      </c>
      <c r="I1026" t="s">
        <v>21</v>
      </c>
      <c r="J1026" t="s">
        <v>558</v>
      </c>
      <c r="K1026" t="s">
        <v>559</v>
      </c>
      <c r="L1026">
        <v>84422</v>
      </c>
      <c r="M1026" t="s">
        <v>569</v>
      </c>
      <c r="O1026" t="s">
        <v>11</v>
      </c>
      <c r="P1026">
        <v>5102</v>
      </c>
      <c r="Q1026">
        <v>2</v>
      </c>
      <c r="R1026">
        <v>9.32</v>
      </c>
      <c r="S1026">
        <v>18.64</v>
      </c>
      <c r="T1026">
        <v>14.16</v>
      </c>
      <c r="U1026">
        <v>24.03</v>
      </c>
      <c r="V1026" t="str">
        <f>VLOOKUP(L1026,'[2]tabela de preços'!$A:$D,4,0)</f>
        <v>ATLAS</v>
      </c>
      <c r="W1026" t="str">
        <f>VLOOKUP(L1026,'[2]tabela de preços'!$A:$F,6,0)</f>
        <v>ROLOS / TRINCHAS / PINCÉIS / ESPÁTULAS</v>
      </c>
      <c r="X1026" t="str">
        <f>VLOOKUP(L1026,'[2]tabela de preços'!$A:$G,7,0)</f>
        <v>IMOBILIÁRIO</v>
      </c>
    </row>
    <row r="1027" spans="1:24" x14ac:dyDescent="0.3">
      <c r="A1027" t="s">
        <v>555</v>
      </c>
      <c r="C1027" t="s">
        <v>564</v>
      </c>
      <c r="D1027" s="1">
        <v>46037</v>
      </c>
      <c r="E1027" t="s">
        <v>565</v>
      </c>
      <c r="F1027">
        <v>9</v>
      </c>
      <c r="G1027">
        <v>230</v>
      </c>
      <c r="H1027" t="str">
        <f>VLOOKUP(G1027,[1]OPERADORES!$A:$B,2,0)</f>
        <v>SÔNIA</v>
      </c>
      <c r="I1027" t="s">
        <v>21</v>
      </c>
      <c r="J1027" t="s">
        <v>558</v>
      </c>
      <c r="K1027" t="s">
        <v>559</v>
      </c>
      <c r="L1027">
        <v>84237</v>
      </c>
      <c r="M1027" t="s">
        <v>570</v>
      </c>
      <c r="O1027" t="s">
        <v>11</v>
      </c>
      <c r="P1027">
        <v>5403</v>
      </c>
      <c r="Q1027">
        <v>1</v>
      </c>
      <c r="R1027">
        <v>15.21</v>
      </c>
      <c r="S1027">
        <v>15.21</v>
      </c>
      <c r="T1027">
        <v>11.54</v>
      </c>
      <c r="U1027">
        <v>24.13</v>
      </c>
      <c r="V1027" t="str">
        <f>VLOOKUP(L1027,'[2]tabela de preços'!$A:$D,4,0)</f>
        <v>BRASILUX</v>
      </c>
      <c r="W1027" t="str">
        <f>VLOOKUP(L1027,'[2]tabela de preços'!$A:$F,6,0)</f>
        <v>LINHA MOVELEIRA</v>
      </c>
      <c r="X1027" t="str">
        <f>VLOOKUP(L1027,'[2]tabela de preços'!$A:$G,7,0)</f>
        <v>MOVELEIRA</v>
      </c>
    </row>
    <row r="1028" spans="1:24" x14ac:dyDescent="0.3">
      <c r="A1028" t="s">
        <v>555</v>
      </c>
      <c r="C1028" t="s">
        <v>564</v>
      </c>
      <c r="D1028" s="1">
        <v>46037</v>
      </c>
      <c r="E1028" t="s">
        <v>565</v>
      </c>
      <c r="F1028">
        <v>9</v>
      </c>
      <c r="G1028">
        <v>230</v>
      </c>
      <c r="H1028" t="str">
        <f>VLOOKUP(G1028,[1]OPERADORES!$A:$B,2,0)</f>
        <v>SÔNIA</v>
      </c>
      <c r="I1028" t="s">
        <v>21</v>
      </c>
      <c r="J1028" t="s">
        <v>558</v>
      </c>
      <c r="K1028" t="s">
        <v>559</v>
      </c>
      <c r="L1028">
        <v>10114</v>
      </c>
      <c r="M1028" t="s">
        <v>571</v>
      </c>
      <c r="O1028" t="s">
        <v>11</v>
      </c>
      <c r="P1028">
        <v>5102</v>
      </c>
      <c r="Q1028">
        <v>1</v>
      </c>
      <c r="R1028">
        <v>3.95</v>
      </c>
      <c r="S1028">
        <v>3.95</v>
      </c>
      <c r="T1028">
        <v>3</v>
      </c>
      <c r="U1028">
        <v>24.05</v>
      </c>
      <c r="V1028" t="str">
        <f>VLOOKUP(L1028,'[2]tabela de preços'!$A:$D,4,0)</f>
        <v>ATLAS</v>
      </c>
      <c r="W1028" t="str">
        <f>VLOOKUP(L1028,'[2]tabela de preços'!$A:$F,6,0)</f>
        <v>ROLOS / TRINCHAS / PINCÉIS / ESPÁTULAS</v>
      </c>
      <c r="X1028" t="str">
        <f>VLOOKUP(L1028,'[2]tabela de preços'!$A:$G,7,0)</f>
        <v>IMOBILIÁRIO</v>
      </c>
    </row>
    <row r="1029" spans="1:24" x14ac:dyDescent="0.3">
      <c r="A1029" t="s">
        <v>555</v>
      </c>
      <c r="C1029" t="s">
        <v>564</v>
      </c>
      <c r="D1029" s="1">
        <v>46037</v>
      </c>
      <c r="E1029" t="s">
        <v>565</v>
      </c>
      <c r="F1029">
        <v>9</v>
      </c>
      <c r="G1029">
        <v>230</v>
      </c>
      <c r="H1029" t="str">
        <f>VLOOKUP(G1029,[1]OPERADORES!$A:$B,2,0)</f>
        <v>SÔNIA</v>
      </c>
      <c r="I1029" t="s">
        <v>21</v>
      </c>
      <c r="J1029" t="s">
        <v>558</v>
      </c>
      <c r="K1029" t="s">
        <v>559</v>
      </c>
      <c r="L1029">
        <v>10118</v>
      </c>
      <c r="M1029" t="s">
        <v>572</v>
      </c>
      <c r="O1029" t="s">
        <v>11</v>
      </c>
      <c r="P1029">
        <v>5102</v>
      </c>
      <c r="Q1029">
        <v>1</v>
      </c>
      <c r="R1029">
        <v>5.0199999999999996</v>
      </c>
      <c r="S1029">
        <v>5.0199999999999996</v>
      </c>
      <c r="T1029">
        <v>3.81</v>
      </c>
      <c r="U1029">
        <v>24.1</v>
      </c>
      <c r="V1029" t="str">
        <f>VLOOKUP(L1029,'[2]tabela de preços'!$A:$D,4,0)</f>
        <v>ATLAS</v>
      </c>
      <c r="W1029" t="str">
        <f>VLOOKUP(L1029,'[2]tabela de preços'!$A:$F,6,0)</f>
        <v>ROLOS / TRINCHAS / PINCÉIS / ESPÁTULAS</v>
      </c>
      <c r="X1029" t="str">
        <f>VLOOKUP(L1029,'[2]tabela de preços'!$A:$G,7,0)</f>
        <v>IMOBILIÁRIO</v>
      </c>
    </row>
    <row r="1030" spans="1:24" x14ac:dyDescent="0.3">
      <c r="A1030" t="s">
        <v>727</v>
      </c>
      <c r="C1030" t="s">
        <v>739</v>
      </c>
      <c r="D1030" s="1">
        <v>46037</v>
      </c>
      <c r="E1030" t="s">
        <v>740</v>
      </c>
      <c r="F1030">
        <v>9</v>
      </c>
      <c r="G1030">
        <v>231</v>
      </c>
      <c r="H1030" t="str">
        <f>VLOOKUP(G1030,[1]OPERADORES!$A:$B,2,0)</f>
        <v>EDIJANE</v>
      </c>
      <c r="I1030" t="s">
        <v>21</v>
      </c>
      <c r="J1030" t="s">
        <v>730</v>
      </c>
      <c r="K1030" t="s">
        <v>731</v>
      </c>
      <c r="L1030">
        <v>23267</v>
      </c>
      <c r="M1030" t="s">
        <v>164</v>
      </c>
      <c r="O1030" t="s">
        <v>11</v>
      </c>
      <c r="P1030">
        <v>5102</v>
      </c>
      <c r="Q1030">
        <v>36</v>
      </c>
      <c r="R1030">
        <v>22.89</v>
      </c>
      <c r="S1030">
        <v>824.04</v>
      </c>
      <c r="T1030">
        <v>703.44</v>
      </c>
      <c r="U1030">
        <v>14.64</v>
      </c>
      <c r="V1030" t="str">
        <f>VLOOKUP(L1030,'[2]tabela de preços'!$A:$D,4,0)</f>
        <v>ANJO</v>
      </c>
      <c r="W1030" t="str">
        <f>VLOOKUP(L1030,'[2]tabela de preços'!$A:$F,6,0)</f>
        <v>MASSA POLIÉSTER</v>
      </c>
      <c r="X1030" t="str">
        <f>VLOOKUP(L1030,'[2]tabela de preços'!$A:$G,7,0)</f>
        <v>AUTOMOTIVO</v>
      </c>
    </row>
    <row r="1031" spans="1:24" x14ac:dyDescent="0.3">
      <c r="A1031" t="s">
        <v>770</v>
      </c>
      <c r="C1031" t="s">
        <v>787</v>
      </c>
      <c r="D1031" s="1">
        <v>46037</v>
      </c>
      <c r="E1031" t="s">
        <v>788</v>
      </c>
      <c r="F1031">
        <v>9</v>
      </c>
      <c r="G1031">
        <v>230</v>
      </c>
      <c r="H1031" t="str">
        <f>VLOOKUP(G1031,[1]OPERADORES!$A:$B,2,0)</f>
        <v>SÔNIA</v>
      </c>
      <c r="I1031" t="s">
        <v>21</v>
      </c>
      <c r="J1031" t="s">
        <v>397</v>
      </c>
      <c r="K1031" t="s">
        <v>773</v>
      </c>
      <c r="L1031">
        <v>23295</v>
      </c>
      <c r="M1031" t="s">
        <v>789</v>
      </c>
      <c r="O1031" t="s">
        <v>11</v>
      </c>
      <c r="P1031">
        <v>5403</v>
      </c>
      <c r="Q1031">
        <v>1</v>
      </c>
      <c r="R1031">
        <v>255.71</v>
      </c>
      <c r="S1031">
        <v>255.71</v>
      </c>
      <c r="T1031">
        <v>194.09</v>
      </c>
      <c r="U1031">
        <v>24.1</v>
      </c>
      <c r="V1031" t="str">
        <f>VLOOKUP(L1031,'[2]tabela de preços'!$A:$D,4,0)</f>
        <v>SIKKENS</v>
      </c>
      <c r="W1031" t="str">
        <f>VLOOKUP(L1031,'[2]tabela de preços'!$A:$F,6,0)</f>
        <v>VERNIZ AUTOMOTIVO</v>
      </c>
      <c r="X1031" t="str">
        <f>VLOOKUP(L1031,'[2]tabela de preços'!$A:$G,7,0)</f>
        <v>AUTOMOTIVO</v>
      </c>
    </row>
    <row r="1032" spans="1:24" x14ac:dyDescent="0.3">
      <c r="A1032" t="s">
        <v>770</v>
      </c>
      <c r="C1032" t="s">
        <v>787</v>
      </c>
      <c r="D1032" s="1">
        <v>46037</v>
      </c>
      <c r="E1032" t="s">
        <v>788</v>
      </c>
      <c r="F1032">
        <v>9</v>
      </c>
      <c r="G1032">
        <v>230</v>
      </c>
      <c r="H1032" t="str">
        <f>VLOOKUP(G1032,[1]OPERADORES!$A:$B,2,0)</f>
        <v>SÔNIA</v>
      </c>
      <c r="I1032" t="s">
        <v>21</v>
      </c>
      <c r="J1032" t="s">
        <v>397</v>
      </c>
      <c r="K1032" t="s">
        <v>773</v>
      </c>
      <c r="L1032">
        <v>23653</v>
      </c>
      <c r="M1032" t="s">
        <v>644</v>
      </c>
      <c r="O1032" t="s">
        <v>11</v>
      </c>
      <c r="P1032">
        <v>5102</v>
      </c>
      <c r="Q1032">
        <v>2</v>
      </c>
      <c r="R1032">
        <v>67.150000000000006</v>
      </c>
      <c r="S1032">
        <v>134.30000000000001</v>
      </c>
      <c r="T1032">
        <v>101.94</v>
      </c>
      <c r="U1032">
        <v>24.1</v>
      </c>
      <c r="V1032" t="str">
        <f>VLOOKUP(L1032,'[2]tabela de preços'!$A:$D,4,0)</f>
        <v>SIKKENS</v>
      </c>
      <c r="W1032" t="str">
        <f>VLOOKUP(L1032,'[2]tabela de preços'!$A:$F,6,0)</f>
        <v>CATALISADORES INDIVIDUAS</v>
      </c>
      <c r="X1032" t="str">
        <f>VLOOKUP(L1032,'[2]tabela de preços'!$A:$G,7,0)</f>
        <v>AUTOMOTIVO</v>
      </c>
    </row>
    <row r="1033" spans="1:24" x14ac:dyDescent="0.3">
      <c r="A1033" t="s">
        <v>770</v>
      </c>
      <c r="C1033" t="s">
        <v>787</v>
      </c>
      <c r="D1033" s="1">
        <v>46037</v>
      </c>
      <c r="E1033" t="s">
        <v>788</v>
      </c>
      <c r="F1033">
        <v>9</v>
      </c>
      <c r="G1033">
        <v>230</v>
      </c>
      <c r="H1033" t="str">
        <f>VLOOKUP(G1033,[1]OPERADORES!$A:$B,2,0)</f>
        <v>SÔNIA</v>
      </c>
      <c r="I1033" t="s">
        <v>21</v>
      </c>
      <c r="J1033" t="s">
        <v>397</v>
      </c>
      <c r="K1033" t="s">
        <v>773</v>
      </c>
      <c r="L1033">
        <v>20318</v>
      </c>
      <c r="M1033" t="s">
        <v>136</v>
      </c>
      <c r="O1033" t="s">
        <v>11</v>
      </c>
      <c r="P1033">
        <v>5403</v>
      </c>
      <c r="Q1033">
        <v>1</v>
      </c>
      <c r="R1033">
        <v>33.4</v>
      </c>
      <c r="S1033">
        <v>33.4</v>
      </c>
      <c r="T1033">
        <v>23.81</v>
      </c>
      <c r="U1033">
        <v>28.71</v>
      </c>
      <c r="V1033" t="str">
        <f>VLOOKUP(L1033,'[2]tabela de preços'!$A:$D,4,0)</f>
        <v>SHERWIN WILLIAMS</v>
      </c>
      <c r="W1033" t="str">
        <f>VLOOKUP(L1033,'[2]tabela de preços'!$A:$F,6,0)</f>
        <v>TINTAS POLIÉSTER</v>
      </c>
      <c r="X1033" t="str">
        <f>VLOOKUP(L1033,'[2]tabela de preços'!$A:$G,7,0)</f>
        <v>AUTOMOTIVO</v>
      </c>
    </row>
    <row r="1034" spans="1:24" x14ac:dyDescent="0.3">
      <c r="A1034" t="s">
        <v>938</v>
      </c>
      <c r="C1034" t="s">
        <v>939</v>
      </c>
      <c r="D1034" s="1">
        <v>46037</v>
      </c>
      <c r="E1034" t="s">
        <v>940</v>
      </c>
      <c r="F1034">
        <v>9</v>
      </c>
      <c r="G1034">
        <v>197</v>
      </c>
      <c r="H1034" t="str">
        <f>VLOOKUP(G1034,[1]OPERADORES!$A:$B,2,0)</f>
        <v xml:space="preserve">POLIANA LORRANE DE AMORIM </v>
      </c>
      <c r="I1034" t="s">
        <v>21</v>
      </c>
      <c r="J1034" t="s">
        <v>424</v>
      </c>
      <c r="K1034" t="s">
        <v>941</v>
      </c>
      <c r="L1034">
        <v>85135</v>
      </c>
      <c r="M1034" t="s">
        <v>942</v>
      </c>
      <c r="O1034" t="s">
        <v>11</v>
      </c>
      <c r="P1034">
        <v>5403</v>
      </c>
      <c r="Q1034">
        <v>1</v>
      </c>
      <c r="R1034">
        <v>147.57</v>
      </c>
      <c r="S1034">
        <v>147.57</v>
      </c>
      <c r="T1034">
        <v>89.44</v>
      </c>
      <c r="U1034">
        <v>39.39</v>
      </c>
      <c r="V1034" t="str">
        <f>VLOOKUP(L1034,'[2]tabela de preços'!$A:$D,4,0)</f>
        <v>BRASILUX</v>
      </c>
      <c r="W1034" t="str">
        <f>VLOOKUP(L1034,'[2]tabela de preços'!$A:$F,6,0)</f>
        <v>TINTA DE LABORATÓRIO</v>
      </c>
      <c r="X1034" t="str">
        <f>VLOOKUP(L1034,'[2]tabela de preços'!$A:$G,7,0)</f>
        <v>AUTOMOTIVO</v>
      </c>
    </row>
    <row r="1035" spans="1:24" x14ac:dyDescent="0.3">
      <c r="A1035" t="s">
        <v>938</v>
      </c>
      <c r="C1035" t="s">
        <v>939</v>
      </c>
      <c r="D1035" s="1">
        <v>46037</v>
      </c>
      <c r="E1035" t="s">
        <v>940</v>
      </c>
      <c r="F1035">
        <v>9</v>
      </c>
      <c r="G1035">
        <v>197</v>
      </c>
      <c r="H1035" t="str">
        <f>VLOOKUP(G1035,[1]OPERADORES!$A:$B,2,0)</f>
        <v xml:space="preserve">POLIANA LORRANE DE AMORIM </v>
      </c>
      <c r="I1035" t="s">
        <v>21</v>
      </c>
      <c r="J1035" t="s">
        <v>424</v>
      </c>
      <c r="K1035" t="s">
        <v>941</v>
      </c>
      <c r="L1035">
        <v>85280</v>
      </c>
      <c r="M1035" t="s">
        <v>943</v>
      </c>
      <c r="O1035" t="s">
        <v>11</v>
      </c>
      <c r="P1035">
        <v>5102</v>
      </c>
      <c r="Q1035">
        <v>1</v>
      </c>
      <c r="R1035">
        <v>55.72</v>
      </c>
      <c r="S1035">
        <v>55.72</v>
      </c>
      <c r="T1035">
        <v>42.29</v>
      </c>
      <c r="U1035">
        <v>24.1</v>
      </c>
      <c r="V1035" t="str">
        <f>VLOOKUP(L1035,'[2]tabela de preços'!$A:$D,4,0)</f>
        <v>BRASILUX</v>
      </c>
      <c r="W1035" t="str">
        <f>VLOOKUP(L1035,'[2]tabela de preços'!$A:$F,6,0)</f>
        <v>CATALISADORES INDIVIDUAIS</v>
      </c>
      <c r="X1035" t="str">
        <f>VLOOKUP(L1035,'[2]tabela de preços'!$A:$G,7,0)</f>
        <v>IMOBILIÁRIO</v>
      </c>
    </row>
    <row r="1036" spans="1:24" x14ac:dyDescent="0.3">
      <c r="A1036" t="s">
        <v>938</v>
      </c>
      <c r="C1036" t="s">
        <v>939</v>
      </c>
      <c r="D1036" s="1">
        <v>46037</v>
      </c>
      <c r="E1036" t="s">
        <v>940</v>
      </c>
      <c r="F1036">
        <v>9</v>
      </c>
      <c r="G1036">
        <v>197</v>
      </c>
      <c r="H1036" t="str">
        <f>VLOOKUP(G1036,[1]OPERADORES!$A:$B,2,0)</f>
        <v xml:space="preserve">POLIANA LORRANE DE AMORIM </v>
      </c>
      <c r="I1036" t="s">
        <v>21</v>
      </c>
      <c r="J1036" t="s">
        <v>424</v>
      </c>
      <c r="K1036" t="s">
        <v>941</v>
      </c>
      <c r="L1036">
        <v>84785</v>
      </c>
      <c r="M1036" t="s">
        <v>944</v>
      </c>
      <c r="O1036" t="s">
        <v>11</v>
      </c>
      <c r="P1036">
        <v>5403</v>
      </c>
      <c r="Q1036">
        <v>10</v>
      </c>
      <c r="R1036">
        <v>172.23</v>
      </c>
      <c r="S1036" s="2">
        <v>1722.3</v>
      </c>
      <c r="T1036" s="2">
        <v>1307.2</v>
      </c>
      <c r="U1036">
        <v>24.1</v>
      </c>
      <c r="V1036" t="str">
        <f>VLOOKUP(L1036,'[2]tabela de preços'!$A:$D,4,0)</f>
        <v>BRASILUX</v>
      </c>
      <c r="W1036" t="str">
        <f>VLOOKUP(L1036,'[2]tabela de preços'!$A:$F,6,0)</f>
        <v>EPOXI</v>
      </c>
      <c r="X1036" t="str">
        <f>VLOOKUP(L1036,'[2]tabela de preços'!$A:$G,7,0)</f>
        <v>INDUSTRIAL</v>
      </c>
    </row>
    <row r="1037" spans="1:24" x14ac:dyDescent="0.3">
      <c r="A1037" t="s">
        <v>953</v>
      </c>
      <c r="C1037" t="s">
        <v>960</v>
      </c>
      <c r="D1037" s="1">
        <v>46037</v>
      </c>
      <c r="E1037" t="s">
        <v>961</v>
      </c>
      <c r="F1037">
        <v>9</v>
      </c>
      <c r="G1037">
        <v>231</v>
      </c>
      <c r="H1037" t="str">
        <f>VLOOKUP(G1037,[1]OPERADORES!$A:$B,2,0)</f>
        <v>EDIJANE</v>
      </c>
      <c r="I1037" t="s">
        <v>21</v>
      </c>
      <c r="J1037" t="s">
        <v>550</v>
      </c>
      <c r="K1037" t="s">
        <v>956</v>
      </c>
      <c r="L1037">
        <v>84216</v>
      </c>
      <c r="M1037" t="s">
        <v>962</v>
      </c>
      <c r="O1037" t="s">
        <v>11</v>
      </c>
      <c r="P1037">
        <v>5403</v>
      </c>
      <c r="Q1037">
        <v>3</v>
      </c>
      <c r="R1037">
        <v>216.62</v>
      </c>
      <c r="S1037">
        <v>649.86</v>
      </c>
      <c r="T1037">
        <v>493.26</v>
      </c>
      <c r="U1037">
        <v>24.1</v>
      </c>
      <c r="V1037" t="str">
        <f>VLOOKUP(L1037,'[2]tabela de preços'!$A:$D,4,0)</f>
        <v>BRASILUX</v>
      </c>
      <c r="W1037" t="str">
        <f>VLOOKUP(L1037,'[2]tabela de preços'!$A:$F,6,0)</f>
        <v>ESMALTES</v>
      </c>
      <c r="X1037" t="str">
        <f>VLOOKUP(L1037,'[2]tabela de preços'!$A:$G,7,0)</f>
        <v>INDUSTRIAL</v>
      </c>
    </row>
    <row r="1038" spans="1:24" x14ac:dyDescent="0.3">
      <c r="A1038" t="s">
        <v>953</v>
      </c>
      <c r="C1038" t="s">
        <v>960</v>
      </c>
      <c r="D1038" s="1">
        <v>46037</v>
      </c>
      <c r="E1038" t="s">
        <v>961</v>
      </c>
      <c r="F1038">
        <v>9</v>
      </c>
      <c r="G1038">
        <v>231</v>
      </c>
      <c r="H1038" t="str">
        <f>VLOOKUP(G1038,[1]OPERADORES!$A:$B,2,0)</f>
        <v>EDIJANE</v>
      </c>
      <c r="I1038" t="s">
        <v>21</v>
      </c>
      <c r="J1038" t="s">
        <v>550</v>
      </c>
      <c r="K1038" t="s">
        <v>956</v>
      </c>
      <c r="L1038">
        <v>10277</v>
      </c>
      <c r="M1038" t="s">
        <v>135</v>
      </c>
      <c r="O1038" t="s">
        <v>11</v>
      </c>
      <c r="P1038">
        <v>5102</v>
      </c>
      <c r="Q1038">
        <v>4</v>
      </c>
      <c r="R1038">
        <v>15.89</v>
      </c>
      <c r="S1038">
        <v>63.56</v>
      </c>
      <c r="T1038">
        <v>51.52</v>
      </c>
      <c r="U1038">
        <v>18.940000000000001</v>
      </c>
      <c r="V1038" t="str">
        <f>VLOOKUP(L1038,'[2]tabela de preços'!$A:$D,4,0)</f>
        <v>RETOQUE</v>
      </c>
      <c r="W1038" t="str">
        <f>VLOOKUP(L1038,'[2]tabela de preços'!$A:$F,6,0)</f>
        <v xml:space="preserve">COLA  PLÁSTICA </v>
      </c>
      <c r="X1038" t="str">
        <f>VLOOKUP(L1038,'[2]tabela de preços'!$A:$G,7,0)</f>
        <v>AUTOMOTIVO</v>
      </c>
    </row>
    <row r="1039" spans="1:24" x14ac:dyDescent="0.3">
      <c r="A1039" t="s">
        <v>953</v>
      </c>
      <c r="C1039" t="s">
        <v>960</v>
      </c>
      <c r="D1039" s="1">
        <v>46037</v>
      </c>
      <c r="E1039" t="s">
        <v>961</v>
      </c>
      <c r="F1039">
        <v>9</v>
      </c>
      <c r="G1039">
        <v>231</v>
      </c>
      <c r="H1039" t="str">
        <f>VLOOKUP(G1039,[1]OPERADORES!$A:$B,2,0)</f>
        <v>EDIJANE</v>
      </c>
      <c r="I1039" t="s">
        <v>21</v>
      </c>
      <c r="J1039" t="s">
        <v>550</v>
      </c>
      <c r="K1039" t="s">
        <v>956</v>
      </c>
      <c r="L1039">
        <v>10241</v>
      </c>
      <c r="M1039" t="s">
        <v>819</v>
      </c>
      <c r="O1039" t="s">
        <v>11</v>
      </c>
      <c r="P1039">
        <v>5102</v>
      </c>
      <c r="Q1039">
        <v>50</v>
      </c>
      <c r="R1039">
        <v>2.79</v>
      </c>
      <c r="S1039">
        <v>139.5</v>
      </c>
      <c r="T1039">
        <v>114</v>
      </c>
      <c r="U1039">
        <v>18.28</v>
      </c>
      <c r="V1039" t="str">
        <f>VLOOKUP(L1039,'[2]tabela de preços'!$A:$D,4,0)</f>
        <v>NORTON</v>
      </c>
      <c r="W1039" t="str">
        <f>VLOOKUP(L1039,'[2]tabela de preços'!$A:$F,6,0)</f>
        <v xml:space="preserve">DISCOS / LIXAS / ABRASIVOS </v>
      </c>
      <c r="X1039" t="str">
        <f>VLOOKUP(L1039,'[2]tabela de preços'!$A:$G,7,0)</f>
        <v>AUTOMOTIVO</v>
      </c>
    </row>
    <row r="1040" spans="1:24" x14ac:dyDescent="0.3">
      <c r="A1040" t="s">
        <v>1337</v>
      </c>
      <c r="C1040" t="s">
        <v>1343</v>
      </c>
      <c r="D1040" s="1">
        <v>46037</v>
      </c>
      <c r="E1040" t="s">
        <v>1344</v>
      </c>
      <c r="F1040">
        <v>9</v>
      </c>
      <c r="G1040">
        <v>174</v>
      </c>
      <c r="H1040" t="str">
        <f>VLOOKUP(G1040,[1]OPERADORES!$A:$B,2,0)</f>
        <v>MIRIÃ LOBATO RODRIGUES</v>
      </c>
      <c r="I1040" t="s">
        <v>21</v>
      </c>
      <c r="J1040" t="s">
        <v>1340</v>
      </c>
      <c r="K1040" t="s">
        <v>1341</v>
      </c>
      <c r="L1040">
        <v>10236</v>
      </c>
      <c r="M1040" t="s">
        <v>133</v>
      </c>
      <c r="O1040" t="s">
        <v>11</v>
      </c>
      <c r="P1040">
        <v>5102</v>
      </c>
      <c r="Q1040">
        <v>20</v>
      </c>
      <c r="R1040">
        <v>2.79</v>
      </c>
      <c r="S1040">
        <v>55.8</v>
      </c>
      <c r="T1040">
        <v>46.4</v>
      </c>
      <c r="U1040">
        <v>16.850000000000001</v>
      </c>
      <c r="V1040" t="str">
        <f>VLOOKUP(L1040,'[2]tabela de preços'!$A:$D,4,0)</f>
        <v>NORTON</v>
      </c>
      <c r="W1040" t="str">
        <f>VLOOKUP(L1040,'[2]tabela de preços'!$A:$F,6,0)</f>
        <v xml:space="preserve">DISCOS / LIXAS / ABRASIVOS </v>
      </c>
      <c r="X1040" t="str">
        <f>VLOOKUP(L1040,'[2]tabela de preços'!$A:$G,7,0)</f>
        <v>AUTOMOTIVO</v>
      </c>
    </row>
    <row r="1041" spans="1:24" x14ac:dyDescent="0.3">
      <c r="A1041" t="s">
        <v>1337</v>
      </c>
      <c r="C1041" t="s">
        <v>1343</v>
      </c>
      <c r="D1041" s="1">
        <v>46037</v>
      </c>
      <c r="E1041" t="s">
        <v>1344</v>
      </c>
      <c r="F1041">
        <v>9</v>
      </c>
      <c r="G1041">
        <v>174</v>
      </c>
      <c r="H1041" t="str">
        <f>VLOOKUP(G1041,[1]OPERADORES!$A:$B,2,0)</f>
        <v>MIRIÃ LOBATO RODRIGUES</v>
      </c>
      <c r="I1041" t="s">
        <v>21</v>
      </c>
      <c r="J1041" t="s">
        <v>1340</v>
      </c>
      <c r="K1041" t="s">
        <v>1341</v>
      </c>
      <c r="L1041">
        <v>10226</v>
      </c>
      <c r="M1041" t="s">
        <v>145</v>
      </c>
      <c r="O1041" t="s">
        <v>11</v>
      </c>
      <c r="P1041">
        <v>5102</v>
      </c>
      <c r="Q1041">
        <v>20</v>
      </c>
      <c r="R1041">
        <v>2.79</v>
      </c>
      <c r="S1041">
        <v>55.8</v>
      </c>
      <c r="T1041">
        <v>46.4</v>
      </c>
      <c r="U1041">
        <v>16.850000000000001</v>
      </c>
      <c r="V1041" t="str">
        <f>VLOOKUP(L1041,'[2]tabela de preços'!$A:$D,4,0)</f>
        <v>NORTON</v>
      </c>
      <c r="W1041" t="str">
        <f>VLOOKUP(L1041,'[2]tabela de preços'!$A:$F,6,0)</f>
        <v xml:space="preserve">DISCOS / LIXAS / ABRASIVOS </v>
      </c>
      <c r="X1041" t="str">
        <f>VLOOKUP(L1041,'[2]tabela de preços'!$A:$G,7,0)</f>
        <v>AUTOMOTIVO</v>
      </c>
    </row>
    <row r="1042" spans="1:24" x14ac:dyDescent="0.3">
      <c r="A1042" t="s">
        <v>1337</v>
      </c>
      <c r="C1042" t="s">
        <v>1343</v>
      </c>
      <c r="D1042" s="1">
        <v>46037</v>
      </c>
      <c r="E1042" t="s">
        <v>1344</v>
      </c>
      <c r="F1042">
        <v>9</v>
      </c>
      <c r="G1042">
        <v>174</v>
      </c>
      <c r="H1042" t="str">
        <f>VLOOKUP(G1042,[1]OPERADORES!$A:$B,2,0)</f>
        <v>MIRIÃ LOBATO RODRIGUES</v>
      </c>
      <c r="I1042" t="s">
        <v>21</v>
      </c>
      <c r="J1042" t="s">
        <v>1340</v>
      </c>
      <c r="K1042" t="s">
        <v>1341</v>
      </c>
      <c r="L1042">
        <v>10230</v>
      </c>
      <c r="M1042" t="s">
        <v>193</v>
      </c>
      <c r="O1042" t="s">
        <v>11</v>
      </c>
      <c r="P1042">
        <v>5102</v>
      </c>
      <c r="Q1042">
        <v>20</v>
      </c>
      <c r="R1042">
        <v>2.79</v>
      </c>
      <c r="S1042">
        <v>55.8</v>
      </c>
      <c r="T1042">
        <v>46.4</v>
      </c>
      <c r="U1042">
        <v>16.850000000000001</v>
      </c>
      <c r="V1042" t="str">
        <f>VLOOKUP(L1042,'[2]tabela de preços'!$A:$D,4,0)</f>
        <v>NORTON</v>
      </c>
      <c r="W1042" t="str">
        <f>VLOOKUP(L1042,'[2]tabela de preços'!$A:$F,6,0)</f>
        <v xml:space="preserve">DISCOS / LIXAS / ABRASIVOS </v>
      </c>
      <c r="X1042" t="str">
        <f>VLOOKUP(L1042,'[2]tabela de preços'!$A:$G,7,0)</f>
        <v>AUTOMOTIVO</v>
      </c>
    </row>
    <row r="1043" spans="1:24" x14ac:dyDescent="0.3">
      <c r="A1043" t="s">
        <v>1337</v>
      </c>
      <c r="C1043" t="s">
        <v>1343</v>
      </c>
      <c r="D1043" s="1">
        <v>46037</v>
      </c>
      <c r="E1043" t="s">
        <v>1344</v>
      </c>
      <c r="F1043">
        <v>9</v>
      </c>
      <c r="G1043">
        <v>174</v>
      </c>
      <c r="H1043" t="str">
        <f>VLOOKUP(G1043,[1]OPERADORES!$A:$B,2,0)</f>
        <v>MIRIÃ LOBATO RODRIGUES</v>
      </c>
      <c r="I1043" t="s">
        <v>21</v>
      </c>
      <c r="J1043" t="s">
        <v>1340</v>
      </c>
      <c r="K1043" t="s">
        <v>1341</v>
      </c>
      <c r="L1043">
        <v>10232</v>
      </c>
      <c r="M1043" t="s">
        <v>134</v>
      </c>
      <c r="O1043" t="s">
        <v>11</v>
      </c>
      <c r="P1043">
        <v>5102</v>
      </c>
      <c r="Q1043">
        <v>20</v>
      </c>
      <c r="R1043">
        <v>2.79</v>
      </c>
      <c r="S1043">
        <v>55.8</v>
      </c>
      <c r="T1043">
        <v>45</v>
      </c>
      <c r="U1043">
        <v>19.350000000000001</v>
      </c>
      <c r="V1043" t="str">
        <f>VLOOKUP(L1043,'[2]tabela de preços'!$A:$D,4,0)</f>
        <v>NORTON</v>
      </c>
      <c r="W1043" t="str">
        <f>VLOOKUP(L1043,'[2]tabela de preços'!$A:$F,6,0)</f>
        <v xml:space="preserve">DISCOS / LIXAS / ABRASIVOS </v>
      </c>
      <c r="X1043" t="str">
        <f>VLOOKUP(L1043,'[2]tabela de preços'!$A:$G,7,0)</f>
        <v>AUTOMOTIVO</v>
      </c>
    </row>
    <row r="1044" spans="1:24" x14ac:dyDescent="0.3">
      <c r="A1044" t="s">
        <v>1337</v>
      </c>
      <c r="C1044" t="s">
        <v>1343</v>
      </c>
      <c r="D1044" s="1">
        <v>46037</v>
      </c>
      <c r="E1044" t="s">
        <v>1344</v>
      </c>
      <c r="F1044">
        <v>9</v>
      </c>
      <c r="G1044">
        <v>174</v>
      </c>
      <c r="H1044" t="str">
        <f>VLOOKUP(G1044,[1]OPERADORES!$A:$B,2,0)</f>
        <v>MIRIÃ LOBATO RODRIGUES</v>
      </c>
      <c r="I1044" t="s">
        <v>21</v>
      </c>
      <c r="J1044" t="s">
        <v>1340</v>
      </c>
      <c r="K1044" t="s">
        <v>1341</v>
      </c>
      <c r="L1044">
        <v>10234</v>
      </c>
      <c r="M1044" t="s">
        <v>157</v>
      </c>
      <c r="O1044" t="s">
        <v>11</v>
      </c>
      <c r="P1044">
        <v>5102</v>
      </c>
      <c r="Q1044">
        <v>20</v>
      </c>
      <c r="R1044">
        <v>2.79</v>
      </c>
      <c r="S1044">
        <v>55.8</v>
      </c>
      <c r="T1044">
        <v>46.4</v>
      </c>
      <c r="U1044">
        <v>16.850000000000001</v>
      </c>
      <c r="V1044" t="str">
        <f>VLOOKUP(L1044,'[2]tabela de preços'!$A:$D,4,0)</f>
        <v>NORTON</v>
      </c>
      <c r="W1044" t="str">
        <f>VLOOKUP(L1044,'[2]tabela de preços'!$A:$F,6,0)</f>
        <v xml:space="preserve">DISCOS / LIXAS / ABRASIVOS </v>
      </c>
      <c r="X1044" t="str">
        <f>VLOOKUP(L1044,'[2]tabela de preços'!$A:$G,7,0)</f>
        <v>AUTOMOTIVO</v>
      </c>
    </row>
    <row r="1045" spans="1:24" x14ac:dyDescent="0.3">
      <c r="A1045" t="s">
        <v>1337</v>
      </c>
      <c r="C1045" t="s">
        <v>1343</v>
      </c>
      <c r="D1045" s="1">
        <v>46037</v>
      </c>
      <c r="E1045" t="s">
        <v>1344</v>
      </c>
      <c r="F1045">
        <v>9</v>
      </c>
      <c r="G1045">
        <v>174</v>
      </c>
      <c r="H1045" t="str">
        <f>VLOOKUP(G1045,[1]OPERADORES!$A:$B,2,0)</f>
        <v>MIRIÃ LOBATO RODRIGUES</v>
      </c>
      <c r="I1045" t="s">
        <v>21</v>
      </c>
      <c r="J1045" t="s">
        <v>1340</v>
      </c>
      <c r="K1045" t="s">
        <v>1341</v>
      </c>
      <c r="L1045">
        <v>24248</v>
      </c>
      <c r="M1045" t="s">
        <v>107</v>
      </c>
      <c r="O1045" t="s">
        <v>11</v>
      </c>
      <c r="P1045">
        <v>5102</v>
      </c>
      <c r="Q1045">
        <v>39</v>
      </c>
      <c r="R1045">
        <v>8</v>
      </c>
      <c r="S1045">
        <v>312</v>
      </c>
      <c r="T1045">
        <v>249.99</v>
      </c>
      <c r="U1045">
        <v>19.88</v>
      </c>
      <c r="V1045" t="str">
        <f>VLOOKUP(L1045,'[2]tabela de preços'!$A:$D,4,0)</f>
        <v>SHERWIN WILLIAMS</v>
      </c>
      <c r="W1045" t="str">
        <f>VLOOKUP(L1045,'[2]tabela de preços'!$A:$F,6,0)</f>
        <v>PRIMER AUTOMOTIVO</v>
      </c>
      <c r="X1045" t="str">
        <f>VLOOKUP(L1045,'[2]tabela de preços'!$A:$G,7,0)</f>
        <v>AUTOMOTIVO</v>
      </c>
    </row>
    <row r="1046" spans="1:24" x14ac:dyDescent="0.3">
      <c r="A1046" t="s">
        <v>1337</v>
      </c>
      <c r="C1046" t="s">
        <v>1343</v>
      </c>
      <c r="D1046" s="1">
        <v>46037</v>
      </c>
      <c r="E1046" t="s">
        <v>1344</v>
      </c>
      <c r="F1046">
        <v>9</v>
      </c>
      <c r="G1046">
        <v>174</v>
      </c>
      <c r="H1046" t="str">
        <f>VLOOKUP(G1046,[1]OPERADORES!$A:$B,2,0)</f>
        <v>MIRIÃ LOBATO RODRIGUES</v>
      </c>
      <c r="I1046" t="s">
        <v>21</v>
      </c>
      <c r="J1046" t="s">
        <v>1340</v>
      </c>
      <c r="K1046" t="s">
        <v>1341</v>
      </c>
      <c r="L1046">
        <v>22684</v>
      </c>
      <c r="M1046" t="s">
        <v>73</v>
      </c>
      <c r="O1046" t="s">
        <v>11</v>
      </c>
      <c r="P1046">
        <v>5102</v>
      </c>
      <c r="Q1046">
        <v>180</v>
      </c>
      <c r="R1046">
        <v>3.65</v>
      </c>
      <c r="S1046">
        <v>657</v>
      </c>
      <c r="T1046">
        <v>554.4</v>
      </c>
      <c r="U1046">
        <v>15.62</v>
      </c>
      <c r="V1046" t="str">
        <f>VLOOKUP(L1046,'[2]tabela de preços'!$A:$D,4,0)</f>
        <v>3M</v>
      </c>
      <c r="W1046" t="str">
        <f>VLOOKUP(L1046,'[2]tabela de preços'!$A:$F,6,0)</f>
        <v>FITA AUTOMOTIVA</v>
      </c>
      <c r="X1046" t="str">
        <f>VLOOKUP(L1046,'[2]tabela de preços'!$A:$G,7,0)</f>
        <v>AUTOMOTIVO</v>
      </c>
    </row>
    <row r="1047" spans="1:24" x14ac:dyDescent="0.3">
      <c r="A1047" t="s">
        <v>1337</v>
      </c>
      <c r="C1047" t="s">
        <v>1343</v>
      </c>
      <c r="D1047" s="1">
        <v>46037</v>
      </c>
      <c r="E1047" t="s">
        <v>1344</v>
      </c>
      <c r="F1047">
        <v>9</v>
      </c>
      <c r="G1047">
        <v>174</v>
      </c>
      <c r="H1047" t="str">
        <f>VLOOKUP(G1047,[1]OPERADORES!$A:$B,2,0)</f>
        <v>MIRIÃ LOBATO RODRIGUES</v>
      </c>
      <c r="I1047" t="s">
        <v>21</v>
      </c>
      <c r="J1047" t="s">
        <v>1340</v>
      </c>
      <c r="K1047" t="s">
        <v>1341</v>
      </c>
      <c r="L1047">
        <v>23076</v>
      </c>
      <c r="M1047" t="s">
        <v>97</v>
      </c>
      <c r="O1047" t="s">
        <v>11</v>
      </c>
      <c r="P1047">
        <v>5405</v>
      </c>
      <c r="Q1047">
        <v>18</v>
      </c>
      <c r="R1047">
        <v>34.89</v>
      </c>
      <c r="S1047">
        <v>628.02</v>
      </c>
      <c r="T1047">
        <v>477.54</v>
      </c>
      <c r="U1047">
        <v>23.96</v>
      </c>
      <c r="V1047" t="str">
        <f>VLOOKUP(L1047,'[2]tabela de preços'!$A:$D,4,0)</f>
        <v>WANDA</v>
      </c>
      <c r="W1047" t="str">
        <f>VLOOKUP(L1047,'[2]tabela de preços'!$A:$F,6,0)</f>
        <v>PRIMER AUTOMOTIVO</v>
      </c>
      <c r="X1047" t="str">
        <f>VLOOKUP(L1047,'[2]tabela de preços'!$A:$G,7,0)</f>
        <v>AUTOMOTIVO</v>
      </c>
    </row>
    <row r="1048" spans="1:24" x14ac:dyDescent="0.3">
      <c r="A1048" t="s">
        <v>1337</v>
      </c>
      <c r="C1048" t="s">
        <v>1343</v>
      </c>
      <c r="D1048" s="1">
        <v>46037</v>
      </c>
      <c r="E1048" t="s">
        <v>1344</v>
      </c>
      <c r="F1048">
        <v>9</v>
      </c>
      <c r="G1048">
        <v>174</v>
      </c>
      <c r="H1048" t="str">
        <f>VLOOKUP(G1048,[1]OPERADORES!$A:$B,2,0)</f>
        <v>MIRIÃ LOBATO RODRIGUES</v>
      </c>
      <c r="I1048" t="s">
        <v>21</v>
      </c>
      <c r="J1048" t="s">
        <v>1340</v>
      </c>
      <c r="K1048" t="s">
        <v>1341</v>
      </c>
      <c r="L1048">
        <v>10238</v>
      </c>
      <c r="M1048" t="s">
        <v>79</v>
      </c>
      <c r="O1048" t="s">
        <v>11</v>
      </c>
      <c r="P1048">
        <v>5102</v>
      </c>
      <c r="Q1048">
        <v>100</v>
      </c>
      <c r="R1048">
        <v>2.79</v>
      </c>
      <c r="S1048">
        <v>279</v>
      </c>
      <c r="T1048">
        <v>224</v>
      </c>
      <c r="U1048">
        <v>19.71</v>
      </c>
      <c r="V1048" t="str">
        <f>VLOOKUP(L1048,'[2]tabela de preços'!$A:$D,4,0)</f>
        <v>NORTON</v>
      </c>
      <c r="W1048" t="str">
        <f>VLOOKUP(L1048,'[2]tabela de preços'!$A:$F,6,0)</f>
        <v xml:space="preserve">DISCOS / LIXAS / ABRASIVOS </v>
      </c>
      <c r="X1048" t="str">
        <f>VLOOKUP(L1048,'[2]tabela de preços'!$A:$G,7,0)</f>
        <v>AUTOMOTIVO</v>
      </c>
    </row>
    <row r="1049" spans="1:24" x14ac:dyDescent="0.3">
      <c r="A1049" t="s">
        <v>1337</v>
      </c>
      <c r="C1049" t="s">
        <v>1343</v>
      </c>
      <c r="D1049" s="1">
        <v>46037</v>
      </c>
      <c r="E1049" t="s">
        <v>1344</v>
      </c>
      <c r="F1049">
        <v>9</v>
      </c>
      <c r="G1049">
        <v>174</v>
      </c>
      <c r="H1049" t="str">
        <f>VLOOKUP(G1049,[1]OPERADORES!$A:$B,2,0)</f>
        <v>MIRIÃ LOBATO RODRIGUES</v>
      </c>
      <c r="I1049" t="s">
        <v>21</v>
      </c>
      <c r="J1049" t="s">
        <v>1340</v>
      </c>
      <c r="K1049" t="s">
        <v>1341</v>
      </c>
      <c r="L1049">
        <v>21078</v>
      </c>
      <c r="M1049" t="s">
        <v>141</v>
      </c>
      <c r="O1049" t="s">
        <v>11</v>
      </c>
      <c r="P1049">
        <v>5102</v>
      </c>
      <c r="Q1049">
        <v>24</v>
      </c>
      <c r="R1049">
        <v>22.89</v>
      </c>
      <c r="S1049">
        <v>549.36</v>
      </c>
      <c r="T1049">
        <v>447.84</v>
      </c>
      <c r="U1049">
        <v>18.48</v>
      </c>
      <c r="V1049" t="str">
        <f>VLOOKUP(L1049,'[2]tabela de preços'!$A:$D,4,0)</f>
        <v>SHERWIN WILLIAMS</v>
      </c>
      <c r="W1049" t="str">
        <f>VLOOKUP(L1049,'[2]tabela de preços'!$A:$F,6,0)</f>
        <v>MASSA POLIÉSTER</v>
      </c>
      <c r="X1049" t="str">
        <f>VLOOKUP(L1049,'[2]tabela de preços'!$A:$G,7,0)</f>
        <v>AUTOMOTIVO</v>
      </c>
    </row>
    <row r="1050" spans="1:24" x14ac:dyDescent="0.3">
      <c r="A1050" t="s">
        <v>1337</v>
      </c>
      <c r="C1050" t="s">
        <v>1343</v>
      </c>
      <c r="D1050" s="1">
        <v>46037</v>
      </c>
      <c r="E1050" t="s">
        <v>1344</v>
      </c>
      <c r="F1050">
        <v>9</v>
      </c>
      <c r="G1050">
        <v>174</v>
      </c>
      <c r="H1050" t="str">
        <f>VLOOKUP(G1050,[1]OPERADORES!$A:$B,2,0)</f>
        <v>MIRIÃ LOBATO RODRIGUES</v>
      </c>
      <c r="I1050" t="s">
        <v>21</v>
      </c>
      <c r="J1050" t="s">
        <v>1340</v>
      </c>
      <c r="K1050" t="s">
        <v>1341</v>
      </c>
      <c r="L1050">
        <v>24247</v>
      </c>
      <c r="M1050" t="s">
        <v>111</v>
      </c>
      <c r="O1050" t="s">
        <v>11</v>
      </c>
      <c r="P1050">
        <v>5405</v>
      </c>
      <c r="Q1050">
        <v>39</v>
      </c>
      <c r="R1050">
        <v>21</v>
      </c>
      <c r="S1050">
        <v>819</v>
      </c>
      <c r="T1050">
        <v>647.4</v>
      </c>
      <c r="U1050">
        <v>20.95</v>
      </c>
      <c r="V1050" t="str">
        <f>VLOOKUP(L1050,'[2]tabela de preços'!$A:$D,4,0)</f>
        <v>SHERWIN WILLIAMS</v>
      </c>
      <c r="W1050" t="str">
        <f>VLOOKUP(L1050,'[2]tabela de preços'!$A:$F,6,0)</f>
        <v>PRIMER AUTOMOTIVO</v>
      </c>
      <c r="X1050" t="str">
        <f>VLOOKUP(L1050,'[2]tabela de preços'!$A:$G,7,0)</f>
        <v>AUTOMOTIVO</v>
      </c>
    </row>
    <row r="1051" spans="1:24" x14ac:dyDescent="0.3">
      <c r="A1051" t="s">
        <v>1337</v>
      </c>
      <c r="C1051" t="s">
        <v>1343</v>
      </c>
      <c r="D1051" s="1">
        <v>46037</v>
      </c>
      <c r="E1051" t="s">
        <v>1344</v>
      </c>
      <c r="F1051">
        <v>9</v>
      </c>
      <c r="G1051">
        <v>174</v>
      </c>
      <c r="H1051" t="str">
        <f>VLOOKUP(G1051,[1]OPERADORES!$A:$B,2,0)</f>
        <v>MIRIÃ LOBATO RODRIGUES</v>
      </c>
      <c r="I1051" t="s">
        <v>21</v>
      </c>
      <c r="J1051" t="s">
        <v>1340</v>
      </c>
      <c r="K1051" t="s">
        <v>1341</v>
      </c>
      <c r="L1051">
        <v>10298</v>
      </c>
      <c r="M1051" t="s">
        <v>85</v>
      </c>
      <c r="O1051" t="s">
        <v>11</v>
      </c>
      <c r="P1051">
        <v>5102</v>
      </c>
      <c r="Q1051">
        <v>12</v>
      </c>
      <c r="R1051">
        <v>54.9</v>
      </c>
      <c r="S1051">
        <v>658.8</v>
      </c>
      <c r="T1051">
        <v>568.55999999999995</v>
      </c>
      <c r="U1051">
        <v>13.7</v>
      </c>
      <c r="V1051" t="str">
        <f>VLOOKUP(L1051,'[2]tabela de preços'!$A:$D,4,0)</f>
        <v>ANJO</v>
      </c>
      <c r="W1051" t="str">
        <f>VLOOKUP(L1051,'[2]tabela de preços'!$A:$F,6,0)</f>
        <v>THINNER DE LIMPEZA</v>
      </c>
      <c r="X1051" t="str">
        <f>VLOOKUP(L1051,'[2]tabela de preços'!$A:$G,7,0)</f>
        <v>THINNER</v>
      </c>
    </row>
    <row r="1052" spans="1:24" x14ac:dyDescent="0.3">
      <c r="A1052" t="s">
        <v>1337</v>
      </c>
      <c r="C1052" t="s">
        <v>1343</v>
      </c>
      <c r="D1052" s="1">
        <v>46037</v>
      </c>
      <c r="E1052" t="s">
        <v>1344</v>
      </c>
      <c r="F1052">
        <v>9</v>
      </c>
      <c r="G1052">
        <v>174</v>
      </c>
      <c r="H1052" t="str">
        <f>VLOOKUP(G1052,[1]OPERADORES!$A:$B,2,0)</f>
        <v>MIRIÃ LOBATO RODRIGUES</v>
      </c>
      <c r="I1052" t="s">
        <v>21</v>
      </c>
      <c r="J1052" t="s">
        <v>1340</v>
      </c>
      <c r="K1052" t="s">
        <v>1341</v>
      </c>
      <c r="L1052">
        <v>20414</v>
      </c>
      <c r="M1052" t="s">
        <v>112</v>
      </c>
      <c r="O1052" t="s">
        <v>11</v>
      </c>
      <c r="P1052">
        <v>5102</v>
      </c>
      <c r="Q1052">
        <v>2</v>
      </c>
      <c r="R1052">
        <v>21.89</v>
      </c>
      <c r="S1052">
        <v>43.78</v>
      </c>
      <c r="T1052">
        <v>36</v>
      </c>
      <c r="U1052">
        <v>17.77</v>
      </c>
      <c r="V1052" t="str">
        <f>VLOOKUP(L1052,'[2]tabela de preços'!$A:$D,4,0)</f>
        <v>SHERWIN WILLIAMS</v>
      </c>
      <c r="W1052" t="str">
        <f>VLOOKUP(L1052,'[2]tabela de preços'!$A:$F,6,0)</f>
        <v>DILUENTE</v>
      </c>
      <c r="X1052" t="str">
        <f>VLOOKUP(L1052,'[2]tabela de preços'!$A:$G,7,0)</f>
        <v>AUTOMOTIVO</v>
      </c>
    </row>
    <row r="1053" spans="1:24" x14ac:dyDescent="0.3">
      <c r="A1053" t="s">
        <v>1370</v>
      </c>
      <c r="B1053" t="s">
        <v>1371</v>
      </c>
      <c r="C1053" t="s">
        <v>1372</v>
      </c>
      <c r="D1053" s="1">
        <v>46037</v>
      </c>
      <c r="E1053" t="s">
        <v>1373</v>
      </c>
      <c r="F1053">
        <v>9</v>
      </c>
      <c r="G1053">
        <v>236</v>
      </c>
      <c r="H1053" t="str">
        <f>VLOOKUP(G1053,[1]OPERADORES!$A:$B,2,0)</f>
        <v>DANIEL</v>
      </c>
      <c r="I1053" t="s">
        <v>21</v>
      </c>
      <c r="J1053" t="s">
        <v>1374</v>
      </c>
      <c r="K1053" t="s">
        <v>1375</v>
      </c>
      <c r="L1053">
        <v>85599</v>
      </c>
      <c r="M1053" t="s">
        <v>38</v>
      </c>
      <c r="O1053" t="s">
        <v>11</v>
      </c>
      <c r="P1053">
        <v>5102</v>
      </c>
      <c r="Q1053">
        <v>200</v>
      </c>
      <c r="R1053">
        <v>2.46</v>
      </c>
      <c r="S1053">
        <v>492</v>
      </c>
      <c r="T1053">
        <v>392</v>
      </c>
      <c r="U1053">
        <v>20.329999999999998</v>
      </c>
      <c r="V1053" t="str">
        <f>VLOOKUP(L1053,'[2]tabela de preços'!$A:$D,4,0)</f>
        <v>REJUMASSA</v>
      </c>
      <c r="W1053" t="str">
        <f>VLOOKUP(L1053,'[2]tabela de preços'!$A:$F,6,0)</f>
        <v>GESSO</v>
      </c>
      <c r="X1053" t="str">
        <f>VLOOKUP(L1053,'[2]tabela de preços'!$A:$G,7,0)</f>
        <v>IMOBILIÁRIO</v>
      </c>
    </row>
    <row r="1054" spans="1:24" x14ac:dyDescent="0.3">
      <c r="A1054" t="s">
        <v>1389</v>
      </c>
      <c r="C1054" t="s">
        <v>1396</v>
      </c>
      <c r="D1054" s="1">
        <v>46037</v>
      </c>
      <c r="E1054" t="s">
        <v>1397</v>
      </c>
      <c r="F1054">
        <v>9</v>
      </c>
      <c r="G1054">
        <v>230</v>
      </c>
      <c r="H1054" t="str">
        <f>VLOOKUP(G1054,[1]OPERADORES!$A:$B,2,0)</f>
        <v>SÔNIA</v>
      </c>
      <c r="I1054" t="s">
        <v>21</v>
      </c>
      <c r="J1054" t="s">
        <v>66</v>
      </c>
      <c r="K1054" t="s">
        <v>1392</v>
      </c>
      <c r="L1054">
        <v>84896</v>
      </c>
      <c r="M1054" t="s">
        <v>1197</v>
      </c>
      <c r="O1054" t="s">
        <v>11</v>
      </c>
      <c r="P1054">
        <v>5403</v>
      </c>
      <c r="Q1054">
        <v>1</v>
      </c>
      <c r="R1054">
        <v>155.59</v>
      </c>
      <c r="S1054">
        <v>155.59</v>
      </c>
      <c r="T1054">
        <v>118.1</v>
      </c>
      <c r="U1054">
        <v>24.1</v>
      </c>
      <c r="V1054" t="str">
        <f>VLOOKUP(L1054,'[2]tabela de preços'!$A:$D,4,0)</f>
        <v>BRASILUX</v>
      </c>
      <c r="W1054" t="str">
        <f>VLOOKUP(L1054,'[2]tabela de preços'!$A:$F,6,0)</f>
        <v>EPOXI</v>
      </c>
      <c r="X1054" t="str">
        <f>VLOOKUP(L1054,'[2]tabela de preços'!$A:$G,7,0)</f>
        <v>INDUSTRIAL</v>
      </c>
    </row>
    <row r="1055" spans="1:24" x14ac:dyDescent="0.3">
      <c r="A1055" t="s">
        <v>1389</v>
      </c>
      <c r="C1055" t="s">
        <v>1396</v>
      </c>
      <c r="D1055" s="1">
        <v>46037</v>
      </c>
      <c r="E1055" t="s">
        <v>1397</v>
      </c>
      <c r="F1055">
        <v>9</v>
      </c>
      <c r="G1055">
        <v>230</v>
      </c>
      <c r="H1055" t="str">
        <f>VLOOKUP(G1055,[1]OPERADORES!$A:$B,2,0)</f>
        <v>SÔNIA</v>
      </c>
      <c r="I1055" t="s">
        <v>21</v>
      </c>
      <c r="J1055" t="s">
        <v>66</v>
      </c>
      <c r="K1055" t="s">
        <v>1392</v>
      </c>
      <c r="L1055">
        <v>84427</v>
      </c>
      <c r="M1055" t="s">
        <v>1398</v>
      </c>
      <c r="O1055" t="s">
        <v>11</v>
      </c>
      <c r="P1055">
        <v>5102</v>
      </c>
      <c r="Q1055">
        <v>1</v>
      </c>
      <c r="R1055">
        <v>6.89</v>
      </c>
      <c r="S1055">
        <v>6.89</v>
      </c>
      <c r="T1055">
        <v>5.23</v>
      </c>
      <c r="U1055">
        <v>24.09</v>
      </c>
      <c r="V1055" t="str">
        <f>VLOOKUP(L1055,'[2]tabela de preços'!$A:$D,4,0)</f>
        <v>ATLAS</v>
      </c>
      <c r="W1055" t="str">
        <f>VLOOKUP(L1055,'[2]tabela de preços'!$A:$F,6,0)</f>
        <v>ROLOS / TRINCHAS / PINCÉIS / ESPÁTULAS</v>
      </c>
      <c r="X1055" t="str">
        <f>VLOOKUP(L1055,'[2]tabela de preços'!$A:$G,7,0)</f>
        <v>IMOBILIÁRIO</v>
      </c>
    </row>
    <row r="1056" spans="1:24" x14ac:dyDescent="0.3">
      <c r="A1056" t="s">
        <v>1389</v>
      </c>
      <c r="C1056" t="s">
        <v>1396</v>
      </c>
      <c r="D1056" s="1">
        <v>46037</v>
      </c>
      <c r="E1056" t="s">
        <v>1397</v>
      </c>
      <c r="F1056">
        <v>9</v>
      </c>
      <c r="G1056">
        <v>230</v>
      </c>
      <c r="H1056" t="str">
        <f>VLOOKUP(G1056,[1]OPERADORES!$A:$B,2,0)</f>
        <v>SÔNIA</v>
      </c>
      <c r="I1056" t="s">
        <v>21</v>
      </c>
      <c r="J1056" t="s">
        <v>66</v>
      </c>
      <c r="K1056" t="s">
        <v>1392</v>
      </c>
      <c r="L1056">
        <v>85049</v>
      </c>
      <c r="M1056" t="s">
        <v>1399</v>
      </c>
      <c r="O1056" t="s">
        <v>11</v>
      </c>
      <c r="P1056">
        <v>5102</v>
      </c>
      <c r="Q1056">
        <v>1</v>
      </c>
      <c r="R1056">
        <v>12.81</v>
      </c>
      <c r="S1056">
        <v>12.81</v>
      </c>
      <c r="T1056">
        <v>9.7200000000000006</v>
      </c>
      <c r="U1056">
        <v>24.12</v>
      </c>
      <c r="V1056" t="str">
        <f>VLOOKUP(L1056,'[2]tabela de preços'!$A:$D,4,0)</f>
        <v>ATLAS</v>
      </c>
      <c r="W1056" t="str">
        <f>VLOOKUP(L1056,'[2]tabela de preços'!$A:$F,6,0)</f>
        <v>ROLOS / TRINCHAS / PINCÉIS / ESPÁTULAS</v>
      </c>
      <c r="X1056" t="str">
        <f>VLOOKUP(L1056,'[2]tabela de preços'!$A:$G,7,0)</f>
        <v>IMOBILIÁRIO</v>
      </c>
    </row>
    <row r="1057" spans="1:24" x14ac:dyDescent="0.3">
      <c r="A1057" t="s">
        <v>1389</v>
      </c>
      <c r="C1057" t="s">
        <v>1396</v>
      </c>
      <c r="D1057" s="1">
        <v>46037</v>
      </c>
      <c r="E1057" t="s">
        <v>1397</v>
      </c>
      <c r="F1057">
        <v>9</v>
      </c>
      <c r="G1057">
        <v>230</v>
      </c>
      <c r="H1057" t="str">
        <f>VLOOKUP(G1057,[1]OPERADORES!$A:$B,2,0)</f>
        <v>SÔNIA</v>
      </c>
      <c r="I1057" t="s">
        <v>21</v>
      </c>
      <c r="J1057" t="s">
        <v>66</v>
      </c>
      <c r="K1057" t="s">
        <v>1392</v>
      </c>
      <c r="L1057">
        <v>10118</v>
      </c>
      <c r="M1057" t="s">
        <v>572</v>
      </c>
      <c r="O1057" t="s">
        <v>11</v>
      </c>
      <c r="P1057">
        <v>5102</v>
      </c>
      <c r="Q1057">
        <v>2</v>
      </c>
      <c r="R1057">
        <v>5.0199999999999996</v>
      </c>
      <c r="S1057">
        <v>10.039999999999999</v>
      </c>
      <c r="T1057">
        <v>7.62</v>
      </c>
      <c r="U1057">
        <v>24.1</v>
      </c>
      <c r="V1057" t="str">
        <f>VLOOKUP(L1057,'[2]tabela de preços'!$A:$D,4,0)</f>
        <v>ATLAS</v>
      </c>
      <c r="W1057" t="str">
        <f>VLOOKUP(L1057,'[2]tabela de preços'!$A:$F,6,0)</f>
        <v>ROLOS / TRINCHAS / PINCÉIS / ESPÁTULAS</v>
      </c>
      <c r="X1057" t="str">
        <f>VLOOKUP(L1057,'[2]tabela de preços'!$A:$G,7,0)</f>
        <v>IMOBILIÁRIO</v>
      </c>
    </row>
    <row r="1058" spans="1:24" x14ac:dyDescent="0.3">
      <c r="A1058" t="s">
        <v>1561</v>
      </c>
      <c r="C1058" t="s">
        <v>1579</v>
      </c>
      <c r="D1058" s="1">
        <v>46037</v>
      </c>
      <c r="E1058" t="s">
        <v>1580</v>
      </c>
      <c r="F1058">
        <v>9</v>
      </c>
      <c r="G1058">
        <v>174</v>
      </c>
      <c r="H1058" t="str">
        <f>VLOOKUP(G1058,[1]OPERADORES!$A:$B,2,0)</f>
        <v>MIRIÃ LOBATO RODRIGUES</v>
      </c>
      <c r="I1058" t="s">
        <v>21</v>
      </c>
      <c r="J1058" t="s">
        <v>1564</v>
      </c>
      <c r="K1058" t="s">
        <v>1565</v>
      </c>
      <c r="L1058">
        <v>84386</v>
      </c>
      <c r="M1058" t="s">
        <v>552</v>
      </c>
      <c r="O1058" t="s">
        <v>11</v>
      </c>
      <c r="P1058">
        <v>5403</v>
      </c>
      <c r="Q1058">
        <v>6</v>
      </c>
      <c r="R1058">
        <v>159.9</v>
      </c>
      <c r="S1058">
        <v>959.4</v>
      </c>
      <c r="T1058">
        <v>825.66</v>
      </c>
      <c r="U1058">
        <v>13.94</v>
      </c>
      <c r="V1058" t="str">
        <f>VLOOKUP(L1058,'[2]tabela de preços'!$A:$D,4,0)</f>
        <v>BRASILUX</v>
      </c>
      <c r="W1058" t="str">
        <f>VLOOKUP(L1058,'[2]tabela de preços'!$A:$F,6,0)</f>
        <v>TINTA PARA PISO</v>
      </c>
      <c r="X1058" t="str">
        <f>VLOOKUP(L1058,'[2]tabela de preços'!$A:$G,7,0)</f>
        <v>IMOBILIÁRIO</v>
      </c>
    </row>
    <row r="1059" spans="1:24" x14ac:dyDescent="0.3">
      <c r="A1059" t="s">
        <v>1649</v>
      </c>
      <c r="B1059" t="s">
        <v>1650</v>
      </c>
      <c r="C1059" t="s">
        <v>1660</v>
      </c>
      <c r="D1059" s="1">
        <v>46037</v>
      </c>
      <c r="E1059" t="s">
        <v>1661</v>
      </c>
      <c r="F1059">
        <v>9</v>
      </c>
      <c r="G1059">
        <v>236</v>
      </c>
      <c r="H1059" t="str">
        <f>VLOOKUP(G1059,[1]OPERADORES!$A:$B,2,0)</f>
        <v>DANIEL</v>
      </c>
      <c r="I1059" t="s">
        <v>21</v>
      </c>
      <c r="J1059" t="s">
        <v>1653</v>
      </c>
      <c r="K1059" t="s">
        <v>1654</v>
      </c>
      <c r="L1059">
        <v>84925</v>
      </c>
      <c r="M1059" t="s">
        <v>1659</v>
      </c>
      <c r="O1059" t="s">
        <v>11</v>
      </c>
      <c r="P1059">
        <v>5403</v>
      </c>
      <c r="Q1059">
        <v>16</v>
      </c>
      <c r="R1059">
        <v>159.41999999999999</v>
      </c>
      <c r="S1059" s="2">
        <v>2550.7199999999998</v>
      </c>
      <c r="T1059" s="2">
        <v>1870.08</v>
      </c>
      <c r="U1059">
        <v>26.68</v>
      </c>
      <c r="V1059" t="str">
        <f>VLOOKUP(L1059,'[2]tabela de preços'!$A:$D,4,0)</f>
        <v>BRASILUX</v>
      </c>
      <c r="W1059" t="str">
        <f>VLOOKUP(L1059,'[2]tabela de preços'!$A:$F,6,0)</f>
        <v>EPOXI</v>
      </c>
      <c r="X1059" t="str">
        <f>VLOOKUP(L1059,'[2]tabela de preços'!$A:$G,7,0)</f>
        <v>INDUSTRIAL</v>
      </c>
    </row>
    <row r="1060" spans="1:24" x14ac:dyDescent="0.3">
      <c r="A1060" t="s">
        <v>1649</v>
      </c>
      <c r="B1060" t="s">
        <v>1650</v>
      </c>
      <c r="C1060" t="s">
        <v>1660</v>
      </c>
      <c r="D1060" s="1">
        <v>46037</v>
      </c>
      <c r="E1060" t="s">
        <v>1661</v>
      </c>
      <c r="F1060">
        <v>9</v>
      </c>
      <c r="G1060">
        <v>236</v>
      </c>
      <c r="H1060" t="str">
        <f>VLOOKUP(G1060,[1]OPERADORES!$A:$B,2,0)</f>
        <v>DANIEL</v>
      </c>
      <c r="I1060" t="s">
        <v>21</v>
      </c>
      <c r="J1060" t="s">
        <v>1653</v>
      </c>
      <c r="K1060" t="s">
        <v>1654</v>
      </c>
      <c r="L1060">
        <v>85188</v>
      </c>
      <c r="M1060" t="s">
        <v>1662</v>
      </c>
      <c r="O1060" t="s">
        <v>11</v>
      </c>
      <c r="P1060">
        <v>5102</v>
      </c>
      <c r="Q1060">
        <v>1</v>
      </c>
      <c r="R1060">
        <v>169.85</v>
      </c>
      <c r="S1060">
        <v>169.85</v>
      </c>
      <c r="T1060">
        <v>124.52</v>
      </c>
      <c r="U1060">
        <v>26.69</v>
      </c>
      <c r="V1060" t="str">
        <f>VLOOKUP(L1060,'[2]tabela de preços'!$A:$D,4,0)</f>
        <v>BRASILUX</v>
      </c>
      <c r="W1060" t="str">
        <f>VLOOKUP(L1060,'[2]tabela de preços'!$A:$F,6,0)</f>
        <v>EPOXI</v>
      </c>
      <c r="X1060" t="str">
        <f>VLOOKUP(L1060,'[2]tabela de preços'!$A:$G,7,0)</f>
        <v>INDUSTRIAL</v>
      </c>
    </row>
    <row r="1061" spans="1:24" x14ac:dyDescent="0.3">
      <c r="A1061" t="s">
        <v>1790</v>
      </c>
      <c r="C1061" t="s">
        <v>1795</v>
      </c>
      <c r="D1061" s="1">
        <v>46037</v>
      </c>
      <c r="E1061" t="s">
        <v>1796</v>
      </c>
      <c r="F1061">
        <v>9</v>
      </c>
      <c r="G1061">
        <v>197</v>
      </c>
      <c r="H1061" t="str">
        <f>VLOOKUP(G1061,[1]OPERADORES!$A:$B,2,0)</f>
        <v xml:space="preserve">POLIANA LORRANE DE AMORIM </v>
      </c>
      <c r="I1061" t="s">
        <v>1761</v>
      </c>
      <c r="J1061" t="s">
        <v>1793</v>
      </c>
      <c r="K1061" t="s">
        <v>1794</v>
      </c>
      <c r="L1061">
        <v>86542</v>
      </c>
      <c r="M1061" t="s">
        <v>352</v>
      </c>
      <c r="O1061" t="s">
        <v>11</v>
      </c>
      <c r="P1061">
        <v>6102</v>
      </c>
      <c r="Q1061">
        <v>25</v>
      </c>
      <c r="R1061">
        <v>78.900000000000006</v>
      </c>
      <c r="S1061" s="2">
        <v>1972.5</v>
      </c>
      <c r="T1061" s="2">
        <v>1729</v>
      </c>
      <c r="U1061">
        <v>12.34</v>
      </c>
      <c r="V1061" t="str">
        <f>VLOOKUP(L1061,'[2]tabela de preços'!$A:$D,4,0)</f>
        <v>CORAL</v>
      </c>
      <c r="W1061" t="str">
        <f>VLOOKUP(L1061,'[2]tabela de preços'!$A:$F,6,0)</f>
        <v>MASSA CORRIDA / ACRÍLICA</v>
      </c>
      <c r="X1061" t="str">
        <f>VLOOKUP(L1061,'[2]tabela de preços'!$A:$G,7,0)</f>
        <v>IMOBILIÁRIO</v>
      </c>
    </row>
    <row r="1062" spans="1:24" x14ac:dyDescent="0.3">
      <c r="A1062" t="s">
        <v>1836</v>
      </c>
      <c r="C1062" t="s">
        <v>1837</v>
      </c>
      <c r="D1062" s="1">
        <v>46037</v>
      </c>
      <c r="E1062" t="s">
        <v>1838</v>
      </c>
      <c r="F1062">
        <v>9</v>
      </c>
      <c r="G1062">
        <v>174</v>
      </c>
      <c r="H1062" t="str">
        <f>VLOOKUP(G1062,[1]OPERADORES!$A:$B,2,0)</f>
        <v>MIRIÃ LOBATO RODRIGUES</v>
      </c>
      <c r="I1062" t="s">
        <v>21</v>
      </c>
      <c r="J1062" t="s">
        <v>363</v>
      </c>
      <c r="K1062" t="s">
        <v>1839</v>
      </c>
      <c r="L1062">
        <v>84029</v>
      </c>
      <c r="M1062" t="s">
        <v>29</v>
      </c>
      <c r="O1062" t="s">
        <v>11</v>
      </c>
      <c r="P1062">
        <v>5102</v>
      </c>
      <c r="Q1062">
        <v>2</v>
      </c>
      <c r="R1062">
        <v>11.45</v>
      </c>
      <c r="S1062">
        <v>22.9</v>
      </c>
      <c r="T1062">
        <v>17.38</v>
      </c>
      <c r="U1062">
        <v>24.1</v>
      </c>
      <c r="V1062" t="str">
        <f>VLOOKUP(L1062,'[2]tabela de preços'!$A:$D,4,0)</f>
        <v>BRASILUX</v>
      </c>
      <c r="W1062" t="str">
        <f>VLOOKUP(L1062,'[2]tabela de preços'!$A:$F,6,0)</f>
        <v>AGUARRAS</v>
      </c>
      <c r="X1062" t="str">
        <f>VLOOKUP(L1062,'[2]tabela de preços'!$A:$G,7,0)</f>
        <v>IMOBILIÁRIO</v>
      </c>
    </row>
    <row r="1063" spans="1:24" x14ac:dyDescent="0.3">
      <c r="A1063" t="s">
        <v>1836</v>
      </c>
      <c r="C1063" t="s">
        <v>1837</v>
      </c>
      <c r="D1063" s="1">
        <v>46037</v>
      </c>
      <c r="E1063" t="s">
        <v>1838</v>
      </c>
      <c r="F1063">
        <v>9</v>
      </c>
      <c r="G1063">
        <v>174</v>
      </c>
      <c r="H1063" t="str">
        <f>VLOOKUP(G1063,[1]OPERADORES!$A:$B,2,0)</f>
        <v>MIRIÃ LOBATO RODRIGUES</v>
      </c>
      <c r="I1063" t="s">
        <v>21</v>
      </c>
      <c r="J1063" t="s">
        <v>363</v>
      </c>
      <c r="K1063" t="s">
        <v>1839</v>
      </c>
      <c r="L1063">
        <v>84164</v>
      </c>
      <c r="M1063" t="s">
        <v>1840</v>
      </c>
      <c r="O1063" t="s">
        <v>11</v>
      </c>
      <c r="P1063">
        <v>5403</v>
      </c>
      <c r="Q1063">
        <v>2</v>
      </c>
      <c r="R1063">
        <v>83.48</v>
      </c>
      <c r="S1063">
        <v>166.96</v>
      </c>
      <c r="T1063">
        <v>126.72</v>
      </c>
      <c r="U1063">
        <v>24.1</v>
      </c>
      <c r="V1063" t="str">
        <f>VLOOKUP(L1063,'[2]tabela de preços'!$A:$D,4,0)</f>
        <v>BRASILUX</v>
      </c>
      <c r="W1063" t="str">
        <f>VLOOKUP(L1063,'[2]tabela de preços'!$A:$F,6,0)</f>
        <v>ESMALTES</v>
      </c>
      <c r="X1063" t="str">
        <f>VLOOKUP(L1063,'[2]tabela de preços'!$A:$G,7,0)</f>
        <v>INDUSTRIAL</v>
      </c>
    </row>
    <row r="1064" spans="1:24" x14ac:dyDescent="0.3">
      <c r="A1064" t="s">
        <v>1836</v>
      </c>
      <c r="C1064" t="s">
        <v>1837</v>
      </c>
      <c r="D1064" s="1">
        <v>46037</v>
      </c>
      <c r="E1064" t="s">
        <v>1838</v>
      </c>
      <c r="F1064">
        <v>9</v>
      </c>
      <c r="G1064">
        <v>174</v>
      </c>
      <c r="H1064" t="str">
        <f>VLOOKUP(G1064,[1]OPERADORES!$A:$B,2,0)</f>
        <v>MIRIÃ LOBATO RODRIGUES</v>
      </c>
      <c r="I1064" t="s">
        <v>21</v>
      </c>
      <c r="J1064" t="s">
        <v>363</v>
      </c>
      <c r="K1064" t="s">
        <v>1839</v>
      </c>
      <c r="L1064">
        <v>85043</v>
      </c>
      <c r="M1064" t="s">
        <v>1841</v>
      </c>
      <c r="O1064" t="s">
        <v>11</v>
      </c>
      <c r="P1064">
        <v>5102</v>
      </c>
      <c r="Q1064">
        <v>1</v>
      </c>
      <c r="R1064">
        <v>3.77</v>
      </c>
      <c r="S1064">
        <v>3.77</v>
      </c>
      <c r="T1064">
        <v>2.7</v>
      </c>
      <c r="U1064">
        <v>28.38</v>
      </c>
      <c r="V1064" t="str">
        <f>VLOOKUP(L1064,'[2]tabela de preços'!$A:$D,4,0)</f>
        <v>ATLAS</v>
      </c>
      <c r="W1064" t="str">
        <f>VLOOKUP(L1064,'[2]tabela de preços'!$A:$F,6,0)</f>
        <v>ROLOS / TRINCHAS / PINCÉIS / ESPÁTULAS</v>
      </c>
      <c r="X1064" t="str">
        <f>VLOOKUP(L1064,'[2]tabela de preços'!$A:$G,7,0)</f>
        <v>IMOBILIÁRIO</v>
      </c>
    </row>
    <row r="1065" spans="1:24" x14ac:dyDescent="0.3">
      <c r="A1065" t="s">
        <v>1836</v>
      </c>
      <c r="C1065" t="s">
        <v>1837</v>
      </c>
      <c r="D1065" s="1">
        <v>46037</v>
      </c>
      <c r="E1065" t="s">
        <v>1838</v>
      </c>
      <c r="F1065">
        <v>9</v>
      </c>
      <c r="G1065">
        <v>174</v>
      </c>
      <c r="H1065" t="str">
        <f>VLOOKUP(G1065,[1]OPERADORES!$A:$B,2,0)</f>
        <v>MIRIÃ LOBATO RODRIGUES</v>
      </c>
      <c r="I1065" t="s">
        <v>21</v>
      </c>
      <c r="J1065" t="s">
        <v>363</v>
      </c>
      <c r="K1065" t="s">
        <v>1839</v>
      </c>
      <c r="L1065">
        <v>85042</v>
      </c>
      <c r="M1065" t="s">
        <v>1842</v>
      </c>
      <c r="O1065" t="s">
        <v>11</v>
      </c>
      <c r="P1065">
        <v>5102</v>
      </c>
      <c r="Q1065">
        <v>1</v>
      </c>
      <c r="R1065">
        <v>2.98</v>
      </c>
      <c r="S1065">
        <v>2.98</v>
      </c>
      <c r="T1065">
        <v>1.92</v>
      </c>
      <c r="U1065">
        <v>35.57</v>
      </c>
      <c r="V1065" t="str">
        <f>VLOOKUP(L1065,'[2]tabela de preços'!$A:$D,4,0)</f>
        <v>ATLAS</v>
      </c>
      <c r="W1065" t="str">
        <f>VLOOKUP(L1065,'[2]tabela de preços'!$A:$F,6,0)</f>
        <v>ROLOS / TRINCHAS / PINCÉIS / ESPÁTULAS</v>
      </c>
      <c r="X1065" t="str">
        <f>VLOOKUP(L1065,'[2]tabela de preços'!$A:$G,7,0)</f>
        <v>IMOBILIÁRIO</v>
      </c>
    </row>
    <row r="1066" spans="1:24" x14ac:dyDescent="0.3">
      <c r="A1066" t="s">
        <v>1836</v>
      </c>
      <c r="C1066" t="s">
        <v>1843</v>
      </c>
      <c r="D1066" s="1">
        <v>46037</v>
      </c>
      <c r="E1066" t="s">
        <v>1844</v>
      </c>
      <c r="F1066">
        <v>9</v>
      </c>
      <c r="G1066">
        <v>174</v>
      </c>
      <c r="H1066" t="str">
        <f>VLOOKUP(G1066,[1]OPERADORES!$A:$B,2,0)</f>
        <v>MIRIÃ LOBATO RODRIGUES</v>
      </c>
      <c r="I1066" t="s">
        <v>21</v>
      </c>
      <c r="J1066" t="s">
        <v>363</v>
      </c>
      <c r="K1066" t="s">
        <v>1839</v>
      </c>
      <c r="L1066">
        <v>84497</v>
      </c>
      <c r="M1066" t="s">
        <v>1159</v>
      </c>
      <c r="O1066" t="s">
        <v>11</v>
      </c>
      <c r="P1066">
        <v>5102</v>
      </c>
      <c r="Q1066">
        <v>4</v>
      </c>
      <c r="R1066">
        <v>9.99</v>
      </c>
      <c r="S1066">
        <v>39.96</v>
      </c>
      <c r="T1066">
        <v>32.56</v>
      </c>
      <c r="U1066">
        <v>18.52</v>
      </c>
      <c r="V1066" t="str">
        <f>VLOOKUP(L1066,'[2]tabela de preços'!$A:$D,4,0)</f>
        <v>BRASILUX</v>
      </c>
      <c r="W1066" t="str">
        <f>VLOOKUP(L1066,'[2]tabela de preços'!$A:$F,6,0)</f>
        <v>THINNER DE LIMPEZA</v>
      </c>
      <c r="X1066" t="str">
        <f>VLOOKUP(L1066,'[2]tabela de preços'!$A:$G,7,0)</f>
        <v>THINNER</v>
      </c>
    </row>
    <row r="1067" spans="1:24" x14ac:dyDescent="0.3">
      <c r="A1067" t="s">
        <v>1836</v>
      </c>
      <c r="C1067" t="s">
        <v>1843</v>
      </c>
      <c r="D1067" s="1">
        <v>46037</v>
      </c>
      <c r="E1067" t="s">
        <v>1844</v>
      </c>
      <c r="F1067">
        <v>9</v>
      </c>
      <c r="G1067">
        <v>174</v>
      </c>
      <c r="H1067" t="str">
        <f>VLOOKUP(G1067,[1]OPERADORES!$A:$B,2,0)</f>
        <v>MIRIÃ LOBATO RODRIGUES</v>
      </c>
      <c r="I1067" t="s">
        <v>21</v>
      </c>
      <c r="J1067" t="s">
        <v>363</v>
      </c>
      <c r="K1067" t="s">
        <v>1839</v>
      </c>
      <c r="L1067">
        <v>85380</v>
      </c>
      <c r="M1067" t="s">
        <v>1845</v>
      </c>
      <c r="O1067" t="s">
        <v>11</v>
      </c>
      <c r="P1067">
        <v>5102</v>
      </c>
      <c r="Q1067">
        <v>1</v>
      </c>
      <c r="R1067">
        <v>578.37</v>
      </c>
      <c r="S1067">
        <v>578.37</v>
      </c>
      <c r="T1067">
        <v>412.38</v>
      </c>
      <c r="U1067">
        <v>28.7</v>
      </c>
      <c r="V1067" t="str">
        <f>VLOOKUP(L1067,'[2]tabela de preços'!$A:$D,4,0)</f>
        <v>BRASILUX</v>
      </c>
      <c r="W1067" t="str">
        <f>VLOOKUP(L1067,'[2]tabela de preços'!$A:$F,6,0)</f>
        <v>TINTA EM PÓ</v>
      </c>
      <c r="X1067" t="str">
        <f>VLOOKUP(L1067,'[2]tabela de preços'!$A:$G,7,0)</f>
        <v>INDUSTRIAL</v>
      </c>
    </row>
    <row r="1068" spans="1:24" x14ac:dyDescent="0.3">
      <c r="A1068" t="s">
        <v>1836</v>
      </c>
      <c r="C1068" t="s">
        <v>1843</v>
      </c>
      <c r="D1068" s="1">
        <v>46037</v>
      </c>
      <c r="E1068" t="s">
        <v>1844</v>
      </c>
      <c r="F1068">
        <v>9</v>
      </c>
      <c r="G1068">
        <v>174</v>
      </c>
      <c r="H1068" t="str">
        <f>VLOOKUP(G1068,[1]OPERADORES!$A:$B,2,0)</f>
        <v>MIRIÃ LOBATO RODRIGUES</v>
      </c>
      <c r="I1068" t="s">
        <v>21</v>
      </c>
      <c r="J1068" t="s">
        <v>363</v>
      </c>
      <c r="K1068" t="s">
        <v>1839</v>
      </c>
      <c r="L1068">
        <v>85324</v>
      </c>
      <c r="M1068" t="s">
        <v>1846</v>
      </c>
      <c r="O1068" t="s">
        <v>11</v>
      </c>
      <c r="P1068">
        <v>5102</v>
      </c>
      <c r="Q1068">
        <v>1</v>
      </c>
      <c r="R1068">
        <v>514.22</v>
      </c>
      <c r="S1068">
        <v>514.22</v>
      </c>
      <c r="T1068">
        <v>366.65</v>
      </c>
      <c r="U1068">
        <v>28.7</v>
      </c>
      <c r="V1068" t="str">
        <f>VLOOKUP(L1068,'[2]tabela de preços'!$A:$D,4,0)</f>
        <v>BRASILUX</v>
      </c>
      <c r="W1068" t="str">
        <f>VLOOKUP(L1068,'[2]tabela de preços'!$A:$F,6,0)</f>
        <v>TINTA EM PÓ</v>
      </c>
      <c r="X1068" t="str">
        <f>VLOOKUP(L1068,'[2]tabela de preços'!$A:$G,7,0)</f>
        <v>INDUSTRIAL</v>
      </c>
    </row>
    <row r="1069" spans="1:24" x14ac:dyDescent="0.3">
      <c r="A1069" t="s">
        <v>1880</v>
      </c>
      <c r="C1069" t="s">
        <v>1881</v>
      </c>
      <c r="D1069" s="1">
        <v>46037</v>
      </c>
      <c r="E1069" t="s">
        <v>1882</v>
      </c>
      <c r="F1069">
        <v>9</v>
      </c>
      <c r="G1069">
        <v>231</v>
      </c>
      <c r="H1069" t="str">
        <f>VLOOKUP(G1069,[1]OPERADORES!$A:$B,2,0)</f>
        <v>EDIJANE</v>
      </c>
      <c r="I1069" t="s">
        <v>21</v>
      </c>
      <c r="J1069" t="s">
        <v>211</v>
      </c>
      <c r="K1069" t="s">
        <v>1883</v>
      </c>
      <c r="L1069">
        <v>84704</v>
      </c>
      <c r="M1069" t="s">
        <v>1884</v>
      </c>
      <c r="O1069" t="s">
        <v>11</v>
      </c>
      <c r="P1069">
        <v>5102</v>
      </c>
      <c r="Q1069">
        <v>5</v>
      </c>
      <c r="R1069">
        <v>15.07</v>
      </c>
      <c r="S1069">
        <v>75.349999999999994</v>
      </c>
      <c r="T1069">
        <v>57.2</v>
      </c>
      <c r="U1069">
        <v>24.09</v>
      </c>
      <c r="V1069" t="str">
        <f>VLOOKUP(L1069,'[2]tabela de preços'!$A:$D,4,0)</f>
        <v>ATLAS</v>
      </c>
      <c r="W1069" t="str">
        <f>VLOOKUP(L1069,'[2]tabela de preços'!$A:$F,6,0)</f>
        <v>ROLOS / TRINCHAS / PINCÉIS / ESPÁTULAS</v>
      </c>
      <c r="X1069" t="str">
        <f>VLOOKUP(L1069,'[2]tabela de preços'!$A:$G,7,0)</f>
        <v>IMOBILIÁRIO</v>
      </c>
    </row>
    <row r="1070" spans="1:24" x14ac:dyDescent="0.3">
      <c r="A1070" t="s">
        <v>1880</v>
      </c>
      <c r="C1070" t="s">
        <v>1881</v>
      </c>
      <c r="D1070" s="1">
        <v>46037</v>
      </c>
      <c r="E1070" t="s">
        <v>1882</v>
      </c>
      <c r="F1070">
        <v>9</v>
      </c>
      <c r="G1070">
        <v>231</v>
      </c>
      <c r="H1070" t="str">
        <f>VLOOKUP(G1070,[1]OPERADORES!$A:$B,2,0)</f>
        <v>EDIJANE</v>
      </c>
      <c r="I1070" t="s">
        <v>21</v>
      </c>
      <c r="J1070" t="s">
        <v>211</v>
      </c>
      <c r="K1070" t="s">
        <v>1883</v>
      </c>
      <c r="L1070">
        <v>84401</v>
      </c>
      <c r="M1070" t="s">
        <v>1318</v>
      </c>
      <c r="O1070" t="s">
        <v>11</v>
      </c>
      <c r="P1070">
        <v>5102</v>
      </c>
      <c r="Q1070">
        <v>1</v>
      </c>
      <c r="R1070">
        <v>66.14</v>
      </c>
      <c r="S1070">
        <v>66.14</v>
      </c>
      <c r="T1070">
        <v>50.2</v>
      </c>
      <c r="U1070">
        <v>24.1</v>
      </c>
      <c r="V1070" t="str">
        <f>VLOOKUP(L1070,'[2]tabela de preços'!$A:$D,4,0)</f>
        <v>VONIXX</v>
      </c>
      <c r="W1070" t="str">
        <f>VLOOKUP(L1070,'[2]tabela de preços'!$A:$F,6,0)</f>
        <v>LINHA DE HIGENIZAÇÃO E ESTÉTICA  AUTOMOTIVA</v>
      </c>
      <c r="X1070" t="str">
        <f>VLOOKUP(L1070,'[2]tabela de preços'!$A:$G,7,0)</f>
        <v>AUTOMOTIVO</v>
      </c>
    </row>
    <row r="1071" spans="1:24" x14ac:dyDescent="0.3">
      <c r="A1071" t="s">
        <v>1890</v>
      </c>
      <c r="B1071" t="s">
        <v>1891</v>
      </c>
      <c r="C1071" t="s">
        <v>1892</v>
      </c>
      <c r="D1071" s="1">
        <v>46037</v>
      </c>
      <c r="E1071" t="s">
        <v>1893</v>
      </c>
      <c r="F1071">
        <v>9</v>
      </c>
      <c r="G1071">
        <v>231</v>
      </c>
      <c r="H1071" t="str">
        <f>VLOOKUP(G1071,[1]OPERADORES!$A:$B,2,0)</f>
        <v>EDIJANE</v>
      </c>
      <c r="I1071" t="s">
        <v>21</v>
      </c>
      <c r="J1071" t="s">
        <v>1894</v>
      </c>
      <c r="K1071" t="s">
        <v>1895</v>
      </c>
      <c r="L1071">
        <v>84113</v>
      </c>
      <c r="M1071" t="s">
        <v>737</v>
      </c>
      <c r="O1071" t="s">
        <v>11</v>
      </c>
      <c r="P1071">
        <v>5403</v>
      </c>
      <c r="Q1071">
        <v>5</v>
      </c>
      <c r="R1071">
        <v>153.99</v>
      </c>
      <c r="S1071">
        <v>769.95</v>
      </c>
      <c r="T1071">
        <v>584.4</v>
      </c>
      <c r="U1071">
        <v>24.1</v>
      </c>
      <c r="V1071" t="str">
        <f>VLOOKUP(L1071,'[2]tabela de preços'!$A:$D,4,0)</f>
        <v>BRASILUX</v>
      </c>
      <c r="W1071" t="str">
        <f>VLOOKUP(L1071,'[2]tabela de preços'!$A:$F,6,0)</f>
        <v>EPOXI</v>
      </c>
      <c r="X1071" t="str">
        <f>VLOOKUP(L1071,'[2]tabela de preços'!$A:$G,7,0)</f>
        <v>INDUSTRIAL</v>
      </c>
    </row>
    <row r="1072" spans="1:24" x14ac:dyDescent="0.3">
      <c r="A1072" t="s">
        <v>1890</v>
      </c>
      <c r="B1072" t="s">
        <v>1891</v>
      </c>
      <c r="C1072" t="s">
        <v>1896</v>
      </c>
      <c r="D1072" s="1">
        <v>46037</v>
      </c>
      <c r="E1072" t="s">
        <v>1897</v>
      </c>
      <c r="F1072">
        <v>9</v>
      </c>
      <c r="G1072">
        <v>231</v>
      </c>
      <c r="H1072" t="str">
        <f>VLOOKUP(G1072,[1]OPERADORES!$A:$B,2,0)</f>
        <v>EDIJANE</v>
      </c>
      <c r="I1072" t="s">
        <v>21</v>
      </c>
      <c r="J1072" t="s">
        <v>1894</v>
      </c>
      <c r="K1072" t="s">
        <v>1895</v>
      </c>
      <c r="L1072">
        <v>84240</v>
      </c>
      <c r="M1072" t="s">
        <v>1898</v>
      </c>
      <c r="O1072" t="s">
        <v>11</v>
      </c>
      <c r="P1072">
        <v>5403</v>
      </c>
      <c r="Q1072">
        <v>12</v>
      </c>
      <c r="R1072">
        <v>10.050000000000001</v>
      </c>
      <c r="S1072">
        <v>120.6</v>
      </c>
      <c r="T1072">
        <v>91.56</v>
      </c>
      <c r="U1072">
        <v>24.08</v>
      </c>
      <c r="V1072" t="str">
        <f>VLOOKUP(L1072,'[2]tabela de preços'!$A:$D,4,0)</f>
        <v>BRASILUX</v>
      </c>
      <c r="W1072" t="str">
        <f>VLOOKUP(L1072,'[2]tabela de preços'!$A:$F,6,0)</f>
        <v>IMPERMEABILIZANTES</v>
      </c>
      <c r="X1072" t="str">
        <f>VLOOKUP(L1072,'[2]tabela de preços'!$A:$G,7,0)</f>
        <v>IMOBILIÁRIO</v>
      </c>
    </row>
    <row r="1073" spans="1:24" x14ac:dyDescent="0.3">
      <c r="A1073" t="s">
        <v>1890</v>
      </c>
      <c r="B1073" t="s">
        <v>1891</v>
      </c>
      <c r="C1073" t="s">
        <v>1896</v>
      </c>
      <c r="D1073" s="1">
        <v>46037</v>
      </c>
      <c r="E1073" t="s">
        <v>1897</v>
      </c>
      <c r="F1073">
        <v>9</v>
      </c>
      <c r="G1073">
        <v>231</v>
      </c>
      <c r="H1073" t="str">
        <f>VLOOKUP(G1073,[1]OPERADORES!$A:$B,2,0)</f>
        <v>EDIJANE</v>
      </c>
      <c r="I1073" t="s">
        <v>21</v>
      </c>
      <c r="J1073" t="s">
        <v>1894</v>
      </c>
      <c r="K1073" t="s">
        <v>1895</v>
      </c>
      <c r="L1073">
        <v>84583</v>
      </c>
      <c r="M1073" t="s">
        <v>1899</v>
      </c>
      <c r="O1073" t="s">
        <v>11</v>
      </c>
      <c r="P1073">
        <v>5403</v>
      </c>
      <c r="Q1073">
        <v>10</v>
      </c>
      <c r="R1073">
        <v>99.96</v>
      </c>
      <c r="S1073">
        <v>999.6</v>
      </c>
      <c r="T1073">
        <v>758.7</v>
      </c>
      <c r="U1073">
        <v>24.1</v>
      </c>
      <c r="V1073" t="str">
        <f>VLOOKUP(L1073,'[2]tabela de preços'!$A:$D,4,0)</f>
        <v>BRASILUX</v>
      </c>
      <c r="W1073" t="str">
        <f>VLOOKUP(L1073,'[2]tabela de preços'!$A:$F,6,0)</f>
        <v>PIGMENTOS IMOBILIÁRIOS</v>
      </c>
      <c r="X1073" t="str">
        <f>VLOOKUP(L1073,'[2]tabela de preços'!$A:$G,7,0)</f>
        <v>IMOBILIÁRIO</v>
      </c>
    </row>
    <row r="1074" spans="1:24" x14ac:dyDescent="0.3">
      <c r="A1074" t="s">
        <v>1890</v>
      </c>
      <c r="B1074" t="s">
        <v>1891</v>
      </c>
      <c r="C1074" t="s">
        <v>1896</v>
      </c>
      <c r="D1074" s="1">
        <v>46037</v>
      </c>
      <c r="E1074" t="s">
        <v>1897</v>
      </c>
      <c r="F1074">
        <v>9</v>
      </c>
      <c r="G1074">
        <v>231</v>
      </c>
      <c r="H1074" t="str">
        <f>VLOOKUP(G1074,[1]OPERADORES!$A:$B,2,0)</f>
        <v>EDIJANE</v>
      </c>
      <c r="I1074" t="s">
        <v>21</v>
      </c>
      <c r="J1074" t="s">
        <v>1894</v>
      </c>
      <c r="K1074" t="s">
        <v>1895</v>
      </c>
      <c r="L1074">
        <v>84587</v>
      </c>
      <c r="M1074" t="s">
        <v>1900</v>
      </c>
      <c r="O1074" t="s">
        <v>11</v>
      </c>
      <c r="P1074">
        <v>5403</v>
      </c>
      <c r="Q1074">
        <v>1</v>
      </c>
      <c r="R1074">
        <v>142.72</v>
      </c>
      <c r="S1074">
        <v>142.72</v>
      </c>
      <c r="T1074">
        <v>108.32</v>
      </c>
      <c r="U1074">
        <v>24.1</v>
      </c>
      <c r="V1074" t="str">
        <f>VLOOKUP(L1074,'[2]tabela de preços'!$A:$D,4,0)</f>
        <v>BRASILUX</v>
      </c>
      <c r="W1074" t="str">
        <f>VLOOKUP(L1074,'[2]tabela de preços'!$A:$F,6,0)</f>
        <v>PIGMENTOS IMOBILIÁRIOS</v>
      </c>
      <c r="X1074" t="str">
        <f>VLOOKUP(L1074,'[2]tabela de preços'!$A:$G,7,0)</f>
        <v>IMOBILIÁRIO</v>
      </c>
    </row>
    <row r="1075" spans="1:24" x14ac:dyDescent="0.3">
      <c r="A1075" t="s">
        <v>1890</v>
      </c>
      <c r="B1075" t="s">
        <v>1891</v>
      </c>
      <c r="C1075" t="s">
        <v>1896</v>
      </c>
      <c r="D1075" s="1">
        <v>46037</v>
      </c>
      <c r="E1075" t="s">
        <v>1897</v>
      </c>
      <c r="F1075">
        <v>9</v>
      </c>
      <c r="G1075">
        <v>231</v>
      </c>
      <c r="H1075" t="str">
        <f>VLOOKUP(G1075,[1]OPERADORES!$A:$B,2,0)</f>
        <v>EDIJANE</v>
      </c>
      <c r="I1075" t="s">
        <v>21</v>
      </c>
      <c r="J1075" t="s">
        <v>1894</v>
      </c>
      <c r="K1075" t="s">
        <v>1895</v>
      </c>
      <c r="L1075">
        <v>84589</v>
      </c>
      <c r="M1075" t="s">
        <v>1901</v>
      </c>
      <c r="O1075" t="s">
        <v>11</v>
      </c>
      <c r="P1075">
        <v>5403</v>
      </c>
      <c r="Q1075">
        <v>8</v>
      </c>
      <c r="R1075">
        <v>81.87</v>
      </c>
      <c r="S1075">
        <v>654.96</v>
      </c>
      <c r="T1075">
        <v>497.12</v>
      </c>
      <c r="U1075">
        <v>24.1</v>
      </c>
      <c r="V1075" t="str">
        <f>VLOOKUP(L1075,'[2]tabela de preços'!$A:$D,4,0)</f>
        <v>BRASILUX</v>
      </c>
      <c r="W1075" t="str">
        <f>VLOOKUP(L1075,'[2]tabela de preços'!$A:$F,6,0)</f>
        <v>PIGMENTOS IMOBILIÁRIOS</v>
      </c>
      <c r="X1075" t="str">
        <f>VLOOKUP(L1075,'[2]tabela de preços'!$A:$G,7,0)</f>
        <v>IMOBILIÁRIO</v>
      </c>
    </row>
    <row r="1076" spans="1:24" x14ac:dyDescent="0.3">
      <c r="A1076" t="s">
        <v>1890</v>
      </c>
      <c r="B1076" t="s">
        <v>1891</v>
      </c>
      <c r="C1076" t="s">
        <v>1896</v>
      </c>
      <c r="D1076" s="1">
        <v>46037</v>
      </c>
      <c r="E1076" t="s">
        <v>1897</v>
      </c>
      <c r="F1076">
        <v>9</v>
      </c>
      <c r="G1076">
        <v>231</v>
      </c>
      <c r="H1076" t="str">
        <f>VLOOKUP(G1076,[1]OPERADORES!$A:$B,2,0)</f>
        <v>EDIJANE</v>
      </c>
      <c r="I1076" t="s">
        <v>21</v>
      </c>
      <c r="J1076" t="s">
        <v>1894</v>
      </c>
      <c r="K1076" t="s">
        <v>1895</v>
      </c>
      <c r="L1076">
        <v>84590</v>
      </c>
      <c r="M1076" t="s">
        <v>1902</v>
      </c>
      <c r="O1076" t="s">
        <v>11</v>
      </c>
      <c r="P1076">
        <v>5403</v>
      </c>
      <c r="Q1076">
        <v>1</v>
      </c>
      <c r="R1076">
        <v>108.21</v>
      </c>
      <c r="S1076">
        <v>108.21</v>
      </c>
      <c r="T1076">
        <v>82.13</v>
      </c>
      <c r="U1076">
        <v>24.1</v>
      </c>
      <c r="V1076" t="str">
        <f>VLOOKUP(L1076,'[2]tabela de preços'!$A:$D,4,0)</f>
        <v>BRASILUX</v>
      </c>
      <c r="W1076" t="str">
        <f>VLOOKUP(L1076,'[2]tabela de preços'!$A:$F,6,0)</f>
        <v>PIGMENTOS IMOBILIÁRIOS</v>
      </c>
      <c r="X1076" t="str">
        <f>VLOOKUP(L1076,'[2]tabela de preços'!$A:$G,7,0)</f>
        <v>IMOBILIÁRIO</v>
      </c>
    </row>
    <row r="1077" spans="1:24" x14ac:dyDescent="0.3">
      <c r="A1077" t="s">
        <v>1890</v>
      </c>
      <c r="B1077" t="s">
        <v>1891</v>
      </c>
      <c r="C1077" t="s">
        <v>1896</v>
      </c>
      <c r="D1077" s="1">
        <v>46037</v>
      </c>
      <c r="E1077" t="s">
        <v>1897</v>
      </c>
      <c r="F1077">
        <v>9</v>
      </c>
      <c r="G1077">
        <v>231</v>
      </c>
      <c r="H1077" t="str">
        <f>VLOOKUP(G1077,[1]OPERADORES!$A:$B,2,0)</f>
        <v>EDIJANE</v>
      </c>
      <c r="I1077" t="s">
        <v>21</v>
      </c>
      <c r="J1077" t="s">
        <v>1894</v>
      </c>
      <c r="K1077" t="s">
        <v>1895</v>
      </c>
      <c r="L1077">
        <v>84592</v>
      </c>
      <c r="M1077" t="s">
        <v>1903</v>
      </c>
      <c r="O1077" t="s">
        <v>11</v>
      </c>
      <c r="P1077">
        <v>5403</v>
      </c>
      <c r="Q1077">
        <v>1</v>
      </c>
      <c r="R1077">
        <v>95.34</v>
      </c>
      <c r="S1077">
        <v>95.34</v>
      </c>
      <c r="T1077">
        <v>72.37</v>
      </c>
      <c r="U1077">
        <v>24.09</v>
      </c>
      <c r="V1077" t="str">
        <f>VLOOKUP(L1077,'[2]tabela de preços'!$A:$D,4,0)</f>
        <v>BRASILUX</v>
      </c>
      <c r="W1077" t="str">
        <f>VLOOKUP(L1077,'[2]tabela de preços'!$A:$F,6,0)</f>
        <v>PIGMENTOS IMOBILIÁRIOS</v>
      </c>
      <c r="X1077" t="str">
        <f>VLOOKUP(L1077,'[2]tabela de preços'!$A:$G,7,0)</f>
        <v>IMOBILIÁRIO</v>
      </c>
    </row>
    <row r="1078" spans="1:24" x14ac:dyDescent="0.3">
      <c r="A1078" t="s">
        <v>1890</v>
      </c>
      <c r="B1078" t="s">
        <v>1891</v>
      </c>
      <c r="C1078" t="s">
        <v>1896</v>
      </c>
      <c r="D1078" s="1">
        <v>46037</v>
      </c>
      <c r="E1078" t="s">
        <v>1897</v>
      </c>
      <c r="F1078">
        <v>9</v>
      </c>
      <c r="G1078">
        <v>231</v>
      </c>
      <c r="H1078" t="str">
        <f>VLOOKUP(G1078,[1]OPERADORES!$A:$B,2,0)</f>
        <v>EDIJANE</v>
      </c>
      <c r="I1078" t="s">
        <v>21</v>
      </c>
      <c r="J1078" t="s">
        <v>1894</v>
      </c>
      <c r="K1078" t="s">
        <v>1895</v>
      </c>
      <c r="L1078">
        <v>84922</v>
      </c>
      <c r="M1078" t="s">
        <v>1904</v>
      </c>
      <c r="O1078" t="s">
        <v>11</v>
      </c>
      <c r="P1078">
        <v>5403</v>
      </c>
      <c r="Q1078">
        <v>2</v>
      </c>
      <c r="R1078">
        <v>224.04</v>
      </c>
      <c r="S1078">
        <v>448.08</v>
      </c>
      <c r="T1078">
        <v>340.1</v>
      </c>
      <c r="U1078">
        <v>24.1</v>
      </c>
      <c r="V1078" t="str">
        <f>VLOOKUP(L1078,'[2]tabela de preços'!$A:$D,4,0)</f>
        <v>BRASILUX</v>
      </c>
      <c r="W1078" t="str">
        <f>VLOOKUP(L1078,'[2]tabela de preços'!$A:$F,6,0)</f>
        <v>EPOXI</v>
      </c>
      <c r="X1078" t="str">
        <f>VLOOKUP(L1078,'[2]tabela de preços'!$A:$G,7,0)</f>
        <v>INDUSTRIAL</v>
      </c>
    </row>
    <row r="1079" spans="1:24" x14ac:dyDescent="0.3">
      <c r="A1079" t="s">
        <v>1922</v>
      </c>
      <c r="C1079" t="s">
        <v>1923</v>
      </c>
      <c r="D1079" s="1">
        <v>46037</v>
      </c>
      <c r="E1079" t="s">
        <v>1924</v>
      </c>
      <c r="F1079">
        <v>9</v>
      </c>
      <c r="G1079">
        <v>231</v>
      </c>
      <c r="H1079" t="str">
        <f>VLOOKUP(G1079,[1]OPERADORES!$A:$B,2,0)</f>
        <v>EDIJANE</v>
      </c>
      <c r="I1079" t="s">
        <v>21</v>
      </c>
      <c r="J1079" t="s">
        <v>66</v>
      </c>
      <c r="K1079" t="s">
        <v>1925</v>
      </c>
      <c r="L1079">
        <v>85401</v>
      </c>
      <c r="M1079" t="s">
        <v>261</v>
      </c>
      <c r="O1079" t="s">
        <v>11</v>
      </c>
      <c r="P1079">
        <v>5102</v>
      </c>
      <c r="Q1079">
        <v>1</v>
      </c>
      <c r="R1079">
        <v>633.42999999999995</v>
      </c>
      <c r="S1079">
        <v>633.42999999999995</v>
      </c>
      <c r="T1079">
        <v>451.64</v>
      </c>
      <c r="U1079">
        <v>28.7</v>
      </c>
      <c r="V1079" t="str">
        <f>VLOOKUP(L1079,'[2]tabela de preços'!$A:$D,4,0)</f>
        <v>BRASILUX</v>
      </c>
      <c r="W1079" t="str">
        <f>VLOOKUP(L1079,'[2]tabela de preços'!$A:$F,6,0)</f>
        <v>TINTA EM PÓ</v>
      </c>
      <c r="X1079" t="str">
        <f>VLOOKUP(L1079,'[2]tabela de preços'!$A:$G,7,0)</f>
        <v>INDUSTRIAL</v>
      </c>
    </row>
    <row r="1080" spans="1:24" x14ac:dyDescent="0.3">
      <c r="A1080" t="s">
        <v>1922</v>
      </c>
      <c r="C1080" t="s">
        <v>1923</v>
      </c>
      <c r="D1080" s="1">
        <v>46037</v>
      </c>
      <c r="E1080" t="s">
        <v>1924</v>
      </c>
      <c r="F1080">
        <v>9</v>
      </c>
      <c r="G1080">
        <v>231</v>
      </c>
      <c r="H1080" t="str">
        <f>VLOOKUP(G1080,[1]OPERADORES!$A:$B,2,0)</f>
        <v>EDIJANE</v>
      </c>
      <c r="I1080" t="s">
        <v>21</v>
      </c>
      <c r="J1080" t="s">
        <v>66</v>
      </c>
      <c r="K1080" t="s">
        <v>1925</v>
      </c>
      <c r="L1080">
        <v>85315</v>
      </c>
      <c r="M1080" t="s">
        <v>485</v>
      </c>
      <c r="O1080" t="s">
        <v>11</v>
      </c>
      <c r="P1080">
        <v>5102</v>
      </c>
      <c r="Q1080">
        <v>1</v>
      </c>
      <c r="R1080">
        <v>569.72</v>
      </c>
      <c r="S1080">
        <v>569.72</v>
      </c>
      <c r="T1080">
        <v>406.22</v>
      </c>
      <c r="U1080">
        <v>28.7</v>
      </c>
      <c r="V1080" t="str">
        <f>VLOOKUP(L1080,'[2]tabela de preços'!$A:$D,4,0)</f>
        <v>BRASILUX</v>
      </c>
      <c r="W1080" t="str">
        <f>VLOOKUP(L1080,'[2]tabela de preços'!$A:$F,6,0)</f>
        <v>TINTA EM PÓ</v>
      </c>
      <c r="X1080" t="str">
        <f>VLOOKUP(L1080,'[2]tabela de preços'!$A:$G,7,0)</f>
        <v>INDUSTRIAL</v>
      </c>
    </row>
    <row r="1081" spans="1:24" x14ac:dyDescent="0.3">
      <c r="A1081" t="s">
        <v>1983</v>
      </c>
      <c r="C1081" t="s">
        <v>1984</v>
      </c>
      <c r="D1081" s="1">
        <v>46037</v>
      </c>
      <c r="F1081">
        <v>9</v>
      </c>
      <c r="G1081">
        <v>236</v>
      </c>
      <c r="H1081" t="str">
        <f>VLOOKUP(G1081,[1]OPERADORES!$A:$B,2,0)</f>
        <v>DANIEL</v>
      </c>
      <c r="I1081" t="s">
        <v>21</v>
      </c>
      <c r="J1081" t="s">
        <v>1985</v>
      </c>
      <c r="K1081" t="s">
        <v>1986</v>
      </c>
      <c r="L1081">
        <v>86571</v>
      </c>
      <c r="M1081" t="s">
        <v>1987</v>
      </c>
      <c r="O1081" t="s">
        <v>11</v>
      </c>
      <c r="P1081">
        <v>5405</v>
      </c>
      <c r="Q1081">
        <v>1</v>
      </c>
      <c r="R1081">
        <v>230.03</v>
      </c>
      <c r="S1081">
        <v>230.03</v>
      </c>
      <c r="T1081">
        <v>104.56</v>
      </c>
      <c r="U1081">
        <v>54.55</v>
      </c>
      <c r="V1081" t="str">
        <f>VLOOKUP(L1081,'[2]tabela de preços'!$A:$D,4,0)</f>
        <v>CORAL</v>
      </c>
      <c r="W1081" t="str">
        <f>VLOOKUP(L1081,'[2]tabela de preços'!$A:$F,6,0)</f>
        <v>CIMENTO QUEIMADO / EFEITOS DECORATIVOS</v>
      </c>
      <c r="X1081" t="str">
        <f>VLOOKUP(L1081,'[2]tabela de preços'!$A:$G,7,0)</f>
        <v>IMOBILIÁRIO</v>
      </c>
    </row>
    <row r="1082" spans="1:24" x14ac:dyDescent="0.3">
      <c r="A1082" t="s">
        <v>1983</v>
      </c>
      <c r="C1082" t="s">
        <v>1984</v>
      </c>
      <c r="D1082" s="1">
        <v>46037</v>
      </c>
      <c r="F1082">
        <v>9</v>
      </c>
      <c r="G1082">
        <v>236</v>
      </c>
      <c r="H1082" t="str">
        <f>VLOOKUP(G1082,[1]OPERADORES!$A:$B,2,0)</f>
        <v>DANIEL</v>
      </c>
      <c r="I1082" t="s">
        <v>21</v>
      </c>
      <c r="J1082" t="s">
        <v>1985</v>
      </c>
      <c r="K1082" t="s">
        <v>1986</v>
      </c>
      <c r="L1082">
        <v>86567</v>
      </c>
      <c r="M1082" t="s">
        <v>1988</v>
      </c>
      <c r="O1082" t="s">
        <v>11</v>
      </c>
      <c r="P1082">
        <v>5405</v>
      </c>
      <c r="Q1082">
        <v>1</v>
      </c>
      <c r="R1082">
        <v>272.07</v>
      </c>
      <c r="S1082">
        <v>272.07</v>
      </c>
      <c r="T1082">
        <v>123.67</v>
      </c>
      <c r="U1082">
        <v>54.54</v>
      </c>
      <c r="V1082" t="str">
        <f>VLOOKUP(L1082,'[2]tabela de preços'!$A:$D,4,0)</f>
        <v>CORAL</v>
      </c>
      <c r="W1082" t="str">
        <f>VLOOKUP(L1082,'[2]tabela de preços'!$A:$F,6,0)</f>
        <v>CIMENTO QUEIMADO / EFEITOS DECORATIVOS</v>
      </c>
      <c r="X1082" t="str">
        <f>VLOOKUP(L1082,'[2]tabela de preços'!$A:$G,7,0)</f>
        <v>IMOBILIÁRIO</v>
      </c>
    </row>
    <row r="1083" spans="1:24" x14ac:dyDescent="0.3">
      <c r="A1083" t="s">
        <v>1983</v>
      </c>
      <c r="C1083" t="s">
        <v>1984</v>
      </c>
      <c r="D1083" s="1">
        <v>46037</v>
      </c>
      <c r="F1083">
        <v>9</v>
      </c>
      <c r="G1083">
        <v>236</v>
      </c>
      <c r="H1083" t="str">
        <f>VLOOKUP(G1083,[1]OPERADORES!$A:$B,2,0)</f>
        <v>DANIEL</v>
      </c>
      <c r="I1083" t="s">
        <v>21</v>
      </c>
      <c r="J1083" t="s">
        <v>1985</v>
      </c>
      <c r="K1083" t="s">
        <v>1986</v>
      </c>
      <c r="L1083">
        <v>86570</v>
      </c>
      <c r="M1083" t="s">
        <v>1989</v>
      </c>
      <c r="O1083" t="s">
        <v>11</v>
      </c>
      <c r="P1083">
        <v>5405</v>
      </c>
      <c r="Q1083">
        <v>1</v>
      </c>
      <c r="R1083">
        <v>569.54</v>
      </c>
      <c r="S1083">
        <v>569.54</v>
      </c>
      <c r="T1083">
        <v>258.88</v>
      </c>
      <c r="U1083">
        <v>54.55</v>
      </c>
      <c r="V1083" t="str">
        <f>VLOOKUP(L1083,'[2]tabela de preços'!$A:$D,4,0)</f>
        <v>CORAL</v>
      </c>
      <c r="W1083" t="str">
        <f>VLOOKUP(L1083,'[2]tabela de preços'!$A:$F,6,0)</f>
        <v>BASES IMOBILIÁRIAS</v>
      </c>
      <c r="X1083" t="str">
        <f>VLOOKUP(L1083,'[2]tabela de preços'!$A:$G,7,0)</f>
        <v>IMOBILIÁRIO</v>
      </c>
    </row>
    <row r="1084" spans="1:24" x14ac:dyDescent="0.3">
      <c r="A1084" t="s">
        <v>1983</v>
      </c>
      <c r="C1084" t="s">
        <v>1984</v>
      </c>
      <c r="D1084" s="1">
        <v>46037</v>
      </c>
      <c r="F1084">
        <v>9</v>
      </c>
      <c r="G1084">
        <v>236</v>
      </c>
      <c r="H1084" t="str">
        <f>VLOOKUP(G1084,[1]OPERADORES!$A:$B,2,0)</f>
        <v>DANIEL</v>
      </c>
      <c r="I1084" t="s">
        <v>21</v>
      </c>
      <c r="J1084" t="s">
        <v>1985</v>
      </c>
      <c r="K1084" t="s">
        <v>1986</v>
      </c>
      <c r="L1084">
        <v>84276</v>
      </c>
      <c r="M1084" t="s">
        <v>1990</v>
      </c>
      <c r="O1084" t="s">
        <v>11</v>
      </c>
      <c r="P1084">
        <v>5405</v>
      </c>
      <c r="Q1084">
        <v>1</v>
      </c>
      <c r="R1084">
        <v>56.05</v>
      </c>
      <c r="S1084">
        <v>56.05</v>
      </c>
      <c r="T1084">
        <v>33.97</v>
      </c>
      <c r="U1084">
        <v>39.39</v>
      </c>
      <c r="V1084" t="str">
        <f>VLOOKUP(L1084,'[2]tabela de preços'!$A:$D,4,0)</f>
        <v>BRASILUX</v>
      </c>
      <c r="W1084" t="str">
        <f>VLOOKUP(L1084,'[2]tabela de preços'!$A:$F,6,0)</f>
        <v>TINTA PAREDE</v>
      </c>
      <c r="X1084" t="str">
        <f>VLOOKUP(L1084,'[2]tabela de preços'!$A:$G,7,0)</f>
        <v>IMOBILIÁRIO</v>
      </c>
    </row>
    <row r="1085" spans="1:24" x14ac:dyDescent="0.3">
      <c r="A1085" t="s">
        <v>1983</v>
      </c>
      <c r="C1085" t="s">
        <v>1984</v>
      </c>
      <c r="D1085" s="1">
        <v>46037</v>
      </c>
      <c r="F1085">
        <v>9</v>
      </c>
      <c r="G1085">
        <v>236</v>
      </c>
      <c r="H1085" t="str">
        <f>VLOOKUP(G1085,[1]OPERADORES!$A:$B,2,0)</f>
        <v>DANIEL</v>
      </c>
      <c r="I1085" t="s">
        <v>21</v>
      </c>
      <c r="J1085" t="s">
        <v>1985</v>
      </c>
      <c r="K1085" t="s">
        <v>1986</v>
      </c>
      <c r="L1085">
        <v>84537</v>
      </c>
      <c r="M1085" t="s">
        <v>1991</v>
      </c>
      <c r="O1085" t="s">
        <v>11</v>
      </c>
      <c r="P1085">
        <v>5405</v>
      </c>
      <c r="Q1085">
        <v>1</v>
      </c>
      <c r="R1085">
        <v>71.81</v>
      </c>
      <c r="S1085">
        <v>71.81</v>
      </c>
      <c r="T1085">
        <v>43.52</v>
      </c>
      <c r="U1085">
        <v>39.4</v>
      </c>
      <c r="V1085" t="str">
        <f>VLOOKUP(L1085,'[2]tabela de preços'!$A:$D,4,0)</f>
        <v>BRASILUX</v>
      </c>
      <c r="W1085" t="str">
        <f>VLOOKUP(L1085,'[2]tabela de preços'!$A:$F,6,0)</f>
        <v>TINTA PAREDE</v>
      </c>
      <c r="X1085" t="str">
        <f>VLOOKUP(L1085,'[2]tabela de preços'!$A:$G,7,0)</f>
        <v>IMOBILIÁRIO</v>
      </c>
    </row>
    <row r="1086" spans="1:24" x14ac:dyDescent="0.3">
      <c r="A1086" t="s">
        <v>1983</v>
      </c>
      <c r="C1086" t="s">
        <v>1984</v>
      </c>
      <c r="D1086" s="1">
        <v>46037</v>
      </c>
      <c r="F1086">
        <v>9</v>
      </c>
      <c r="G1086">
        <v>236</v>
      </c>
      <c r="H1086" t="str">
        <f>VLOOKUP(G1086,[1]OPERADORES!$A:$B,2,0)</f>
        <v>DANIEL</v>
      </c>
      <c r="I1086" t="s">
        <v>21</v>
      </c>
      <c r="J1086" t="s">
        <v>1985</v>
      </c>
      <c r="K1086" t="s">
        <v>1986</v>
      </c>
      <c r="L1086">
        <v>86107</v>
      </c>
      <c r="M1086" t="s">
        <v>1992</v>
      </c>
      <c r="O1086" t="s">
        <v>11</v>
      </c>
      <c r="P1086">
        <v>5405</v>
      </c>
      <c r="Q1086">
        <v>1</v>
      </c>
      <c r="R1086">
        <v>107.45</v>
      </c>
      <c r="S1086">
        <v>107.45</v>
      </c>
      <c r="T1086">
        <v>65.12</v>
      </c>
      <c r="U1086">
        <v>39.4</v>
      </c>
      <c r="V1086" t="str">
        <f>VLOOKUP(L1086,'[2]tabela de preços'!$A:$D,4,0)</f>
        <v>SPARLACK CETOL</v>
      </c>
      <c r="W1086" t="str">
        <f>VLOOKUP(L1086,'[2]tabela de preços'!$A:$F,6,0)</f>
        <v>LINHA MOVELEIRA</v>
      </c>
      <c r="X1086" t="str">
        <f>VLOOKUP(L1086,'[2]tabela de preços'!$A:$G,7,0)</f>
        <v>MOVELEIRA</v>
      </c>
    </row>
    <row r="1087" spans="1:24" x14ac:dyDescent="0.3">
      <c r="A1087" t="s">
        <v>1983</v>
      </c>
      <c r="C1087" t="s">
        <v>1984</v>
      </c>
      <c r="D1087" s="1">
        <v>46037</v>
      </c>
      <c r="F1087">
        <v>9</v>
      </c>
      <c r="G1087">
        <v>236</v>
      </c>
      <c r="H1087" t="str">
        <f>VLOOKUP(G1087,[1]OPERADORES!$A:$B,2,0)</f>
        <v>DANIEL</v>
      </c>
      <c r="I1087" t="s">
        <v>21</v>
      </c>
      <c r="J1087" t="s">
        <v>1985</v>
      </c>
      <c r="K1087" t="s">
        <v>1986</v>
      </c>
      <c r="L1087">
        <v>85069</v>
      </c>
      <c r="M1087" t="s">
        <v>1993</v>
      </c>
      <c r="O1087" t="s">
        <v>11</v>
      </c>
      <c r="P1087">
        <v>5102</v>
      </c>
      <c r="Q1087">
        <v>1</v>
      </c>
      <c r="R1087">
        <v>41.94</v>
      </c>
      <c r="S1087">
        <v>41.94</v>
      </c>
      <c r="T1087">
        <v>27.06</v>
      </c>
      <c r="U1087">
        <v>35.479999999999997</v>
      </c>
      <c r="V1087" t="str">
        <f>VLOOKUP(L1087,'[2]tabela de preços'!$A:$D,4,0)</f>
        <v>ATLAS</v>
      </c>
      <c r="W1087" t="str">
        <f>VLOOKUP(L1087,'[2]tabela de preços'!$A:$F,6,0)</f>
        <v>ROLOS / TRINCHAS / PINCÉIS / ESPÁTULAS</v>
      </c>
      <c r="X1087" t="str">
        <f>VLOOKUP(L1087,'[2]tabela de preços'!$A:$G,7,0)</f>
        <v>IMOBILIÁRIO</v>
      </c>
    </row>
    <row r="1088" spans="1:24" x14ac:dyDescent="0.3">
      <c r="A1088" t="s">
        <v>1983</v>
      </c>
      <c r="C1088" t="s">
        <v>1984</v>
      </c>
      <c r="D1088" s="1">
        <v>46037</v>
      </c>
      <c r="F1088">
        <v>9</v>
      </c>
      <c r="G1088">
        <v>236</v>
      </c>
      <c r="H1088" t="str">
        <f>VLOOKUP(G1088,[1]OPERADORES!$A:$B,2,0)</f>
        <v>DANIEL</v>
      </c>
      <c r="I1088" t="s">
        <v>21</v>
      </c>
      <c r="J1088" t="s">
        <v>1985</v>
      </c>
      <c r="K1088" t="s">
        <v>1986</v>
      </c>
      <c r="L1088">
        <v>85059</v>
      </c>
      <c r="M1088" t="s">
        <v>1994</v>
      </c>
      <c r="O1088" t="s">
        <v>11</v>
      </c>
      <c r="P1088">
        <v>5102</v>
      </c>
      <c r="Q1088">
        <v>1</v>
      </c>
      <c r="R1088">
        <v>92.55</v>
      </c>
      <c r="S1088">
        <v>92.55</v>
      </c>
      <c r="T1088">
        <v>59.71</v>
      </c>
      <c r="U1088">
        <v>35.479999999999997</v>
      </c>
      <c r="V1088" t="str">
        <f>VLOOKUP(L1088,'[2]tabela de preços'!$A:$D,4,0)</f>
        <v>ATLAS</v>
      </c>
      <c r="W1088" t="str">
        <f>VLOOKUP(L1088,'[2]tabela de preços'!$A:$F,6,0)</f>
        <v>ROLOS / TRINCHAS / PINCÉIS / ESPÁTULAS</v>
      </c>
      <c r="X1088" t="str">
        <f>VLOOKUP(L1088,'[2]tabela de preços'!$A:$G,7,0)</f>
        <v>IMOBILIÁRIO</v>
      </c>
    </row>
    <row r="1089" spans="1:24" x14ac:dyDescent="0.3">
      <c r="A1089" t="s">
        <v>1983</v>
      </c>
      <c r="C1089" t="s">
        <v>1984</v>
      </c>
      <c r="D1089" s="1">
        <v>46037</v>
      </c>
      <c r="F1089">
        <v>9</v>
      </c>
      <c r="G1089">
        <v>236</v>
      </c>
      <c r="H1089" t="str">
        <f>VLOOKUP(G1089,[1]OPERADORES!$A:$B,2,0)</f>
        <v>DANIEL</v>
      </c>
      <c r="I1089" t="s">
        <v>21</v>
      </c>
      <c r="J1089" t="s">
        <v>1985</v>
      </c>
      <c r="K1089" t="s">
        <v>1986</v>
      </c>
      <c r="L1089">
        <v>84390</v>
      </c>
      <c r="M1089" t="s">
        <v>1995</v>
      </c>
      <c r="O1089" t="s">
        <v>11</v>
      </c>
      <c r="P1089">
        <v>5102</v>
      </c>
      <c r="Q1089">
        <v>1</v>
      </c>
      <c r="R1089">
        <v>263.13</v>
      </c>
      <c r="S1089">
        <v>263.13</v>
      </c>
      <c r="T1089">
        <v>169.76</v>
      </c>
      <c r="U1089">
        <v>35.479999999999997</v>
      </c>
      <c r="V1089" t="str">
        <f>VLOOKUP(L1089,'[2]tabela de preços'!$A:$D,4,0)</f>
        <v>START</v>
      </c>
      <c r="W1089" t="str">
        <f>VLOOKUP(L1089,'[2]tabela de preços'!$A:$F,6,0)</f>
        <v>ESCADA</v>
      </c>
      <c r="X1089" t="str">
        <f>VLOOKUP(L1089,'[2]tabela de preços'!$A:$G,7,0)</f>
        <v>IMOBILIÁRIO</v>
      </c>
    </row>
    <row r="1090" spans="1:24" x14ac:dyDescent="0.3">
      <c r="A1090" t="s">
        <v>2001</v>
      </c>
      <c r="C1090" t="s">
        <v>2002</v>
      </c>
      <c r="D1090" s="1">
        <v>46037</v>
      </c>
      <c r="E1090" t="s">
        <v>2003</v>
      </c>
      <c r="F1090">
        <v>9</v>
      </c>
      <c r="G1090">
        <v>174</v>
      </c>
      <c r="H1090" t="str">
        <f>VLOOKUP(G1090,[1]OPERADORES!$A:$B,2,0)</f>
        <v>MIRIÃ LOBATO RODRIGUES</v>
      </c>
      <c r="I1090" t="s">
        <v>21</v>
      </c>
      <c r="J1090" t="s">
        <v>1427</v>
      </c>
      <c r="K1090" t="s">
        <v>2004</v>
      </c>
      <c r="L1090">
        <v>84815</v>
      </c>
      <c r="M1090" t="s">
        <v>949</v>
      </c>
      <c r="O1090" t="s">
        <v>11</v>
      </c>
      <c r="P1090">
        <v>5403</v>
      </c>
      <c r="Q1090">
        <v>5</v>
      </c>
      <c r="R1090">
        <v>32.35</v>
      </c>
      <c r="S1090">
        <v>161.75</v>
      </c>
      <c r="T1090">
        <v>122.75</v>
      </c>
      <c r="U1090">
        <v>24.11</v>
      </c>
      <c r="V1090" t="str">
        <f>VLOOKUP(L1090,'[2]tabela de preços'!$A:$D,4,0)</f>
        <v>BRASILUX</v>
      </c>
      <c r="W1090" t="str">
        <f>VLOOKUP(L1090,'[2]tabela de preços'!$A:$F,6,0)</f>
        <v>KIT BRASCORTEN</v>
      </c>
      <c r="X1090" t="str">
        <f>VLOOKUP(L1090,'[2]tabela de preços'!$A:$G,7,0)</f>
        <v>IMOBILIÁRIO</v>
      </c>
    </row>
    <row r="1091" spans="1:24" x14ac:dyDescent="0.3">
      <c r="A1091" t="s">
        <v>2001</v>
      </c>
      <c r="C1091" t="s">
        <v>2002</v>
      </c>
      <c r="D1091" s="1">
        <v>46037</v>
      </c>
      <c r="E1091" t="s">
        <v>2003</v>
      </c>
      <c r="F1091">
        <v>9</v>
      </c>
      <c r="G1091">
        <v>174</v>
      </c>
      <c r="H1091" t="str">
        <f>VLOOKUP(G1091,[1]OPERADORES!$A:$B,2,0)</f>
        <v>MIRIÃ LOBATO RODRIGUES</v>
      </c>
      <c r="I1091" t="s">
        <v>21</v>
      </c>
      <c r="J1091" t="s">
        <v>1427</v>
      </c>
      <c r="K1091" t="s">
        <v>2004</v>
      </c>
      <c r="L1091">
        <v>84814</v>
      </c>
      <c r="M1091" t="s">
        <v>950</v>
      </c>
      <c r="O1091" t="s">
        <v>11</v>
      </c>
      <c r="P1091">
        <v>5403</v>
      </c>
      <c r="Q1091">
        <v>5</v>
      </c>
      <c r="R1091">
        <v>118.93</v>
      </c>
      <c r="S1091">
        <v>594.65</v>
      </c>
      <c r="T1091">
        <v>451.35</v>
      </c>
      <c r="U1091">
        <v>24.1</v>
      </c>
      <c r="V1091" t="str">
        <f>VLOOKUP(L1091,'[2]tabela de preços'!$A:$D,4,0)</f>
        <v>BRASILUX</v>
      </c>
      <c r="W1091" t="str">
        <f>VLOOKUP(L1091,'[2]tabela de preços'!$A:$F,6,0)</f>
        <v>KIT BRASCORTEN</v>
      </c>
      <c r="X1091" t="str">
        <f>VLOOKUP(L1091,'[2]tabela de preços'!$A:$G,7,0)</f>
        <v>IMOBILIÁRIO</v>
      </c>
    </row>
    <row r="1092" spans="1:24" x14ac:dyDescent="0.3">
      <c r="A1092" t="s">
        <v>2001</v>
      </c>
      <c r="C1092" t="s">
        <v>2002</v>
      </c>
      <c r="D1092" s="1">
        <v>46037</v>
      </c>
      <c r="E1092" t="s">
        <v>2003</v>
      </c>
      <c r="F1092">
        <v>9</v>
      </c>
      <c r="G1092">
        <v>174</v>
      </c>
      <c r="H1092" t="str">
        <f>VLOOKUP(G1092,[1]OPERADORES!$A:$B,2,0)</f>
        <v>MIRIÃ LOBATO RODRIGUES</v>
      </c>
      <c r="I1092" t="s">
        <v>21</v>
      </c>
      <c r="J1092" t="s">
        <v>1427</v>
      </c>
      <c r="K1092" t="s">
        <v>2004</v>
      </c>
      <c r="L1092">
        <v>84785</v>
      </c>
      <c r="M1092" t="s">
        <v>944</v>
      </c>
      <c r="O1092" t="s">
        <v>11</v>
      </c>
      <c r="P1092">
        <v>5403</v>
      </c>
      <c r="Q1092">
        <v>2</v>
      </c>
      <c r="R1092">
        <v>172.23</v>
      </c>
      <c r="S1092">
        <v>344.46</v>
      </c>
      <c r="T1092">
        <v>261.44</v>
      </c>
      <c r="U1092">
        <v>24.1</v>
      </c>
      <c r="V1092" t="str">
        <f>VLOOKUP(L1092,'[2]tabela de preços'!$A:$D,4,0)</f>
        <v>BRASILUX</v>
      </c>
      <c r="W1092" t="str">
        <f>VLOOKUP(L1092,'[2]tabela de preços'!$A:$F,6,0)</f>
        <v>EPOXI</v>
      </c>
      <c r="X1092" t="str">
        <f>VLOOKUP(L1092,'[2]tabela de preços'!$A:$G,7,0)</f>
        <v>INDUSTRIAL</v>
      </c>
    </row>
    <row r="1093" spans="1:24" x14ac:dyDescent="0.3">
      <c r="A1093" t="s">
        <v>2124</v>
      </c>
      <c r="B1093" t="s">
        <v>2125</v>
      </c>
      <c r="C1093" t="s">
        <v>2126</v>
      </c>
      <c r="D1093" s="1">
        <v>46037</v>
      </c>
      <c r="E1093" t="s">
        <v>2127</v>
      </c>
      <c r="F1093">
        <v>9</v>
      </c>
      <c r="G1093">
        <v>174</v>
      </c>
      <c r="H1093" t="str">
        <f>VLOOKUP(G1093,[1]OPERADORES!$A:$B,2,0)</f>
        <v>MIRIÃ LOBATO RODRIGUES</v>
      </c>
      <c r="I1093" t="s">
        <v>21</v>
      </c>
      <c r="J1093" t="s">
        <v>2128</v>
      </c>
      <c r="K1093" t="s">
        <v>2129</v>
      </c>
      <c r="L1093">
        <v>85135</v>
      </c>
      <c r="M1093" t="s">
        <v>2130</v>
      </c>
      <c r="O1093" t="s">
        <v>11</v>
      </c>
      <c r="P1093">
        <v>5403</v>
      </c>
      <c r="Q1093">
        <v>1</v>
      </c>
      <c r="R1093">
        <v>178.1</v>
      </c>
      <c r="S1093">
        <v>178.1</v>
      </c>
      <c r="T1093">
        <v>107.94</v>
      </c>
      <c r="U1093">
        <v>39.39</v>
      </c>
      <c r="V1093" t="str">
        <f>VLOOKUP(L1093,'[2]tabela de preços'!$A:$D,4,0)</f>
        <v>BRASILUX</v>
      </c>
      <c r="W1093" t="str">
        <f>VLOOKUP(L1093,'[2]tabela de preços'!$A:$F,6,0)</f>
        <v>TINTA DE LABORATÓRIO</v>
      </c>
      <c r="X1093" t="str">
        <f>VLOOKUP(L1093,'[2]tabela de preços'!$A:$G,7,0)</f>
        <v>AUTOMOTIVO</v>
      </c>
    </row>
    <row r="1094" spans="1:24" x14ac:dyDescent="0.3">
      <c r="A1094" t="s">
        <v>2155</v>
      </c>
      <c r="C1094" t="s">
        <v>2156</v>
      </c>
      <c r="D1094" s="1">
        <v>46037</v>
      </c>
      <c r="E1094" t="s">
        <v>2157</v>
      </c>
      <c r="F1094">
        <v>9</v>
      </c>
      <c r="G1094">
        <v>174</v>
      </c>
      <c r="H1094" t="str">
        <f>VLOOKUP(G1094,[1]OPERADORES!$A:$B,2,0)</f>
        <v>MIRIÃ LOBATO RODRIGUES</v>
      </c>
      <c r="I1094" t="s">
        <v>21</v>
      </c>
      <c r="J1094" t="s">
        <v>66</v>
      </c>
      <c r="K1094" t="s">
        <v>2158</v>
      </c>
      <c r="L1094">
        <v>84174</v>
      </c>
      <c r="M1094" t="s">
        <v>1532</v>
      </c>
      <c r="O1094" t="s">
        <v>11</v>
      </c>
      <c r="P1094">
        <v>5403</v>
      </c>
      <c r="Q1094">
        <v>2</v>
      </c>
      <c r="R1094">
        <v>92.33</v>
      </c>
      <c r="S1094">
        <v>184.66</v>
      </c>
      <c r="T1094">
        <v>140.16</v>
      </c>
      <c r="U1094">
        <v>24.1</v>
      </c>
      <c r="V1094" t="str">
        <f>VLOOKUP(L1094,'[2]tabela de preços'!$A:$D,4,0)</f>
        <v>BRASILUX</v>
      </c>
      <c r="W1094" t="str">
        <f>VLOOKUP(L1094,'[2]tabela de preços'!$A:$F,6,0)</f>
        <v>ESMALTES</v>
      </c>
      <c r="X1094" t="str">
        <f>VLOOKUP(L1094,'[2]tabela de preços'!$A:$G,7,0)</f>
        <v>INDUSTRIAL</v>
      </c>
    </row>
    <row r="1095" spans="1:24" x14ac:dyDescent="0.3">
      <c r="A1095" t="s">
        <v>2155</v>
      </c>
      <c r="C1095" t="s">
        <v>2156</v>
      </c>
      <c r="D1095" s="1">
        <v>46037</v>
      </c>
      <c r="E1095" t="s">
        <v>2157</v>
      </c>
      <c r="F1095">
        <v>9</v>
      </c>
      <c r="G1095">
        <v>174</v>
      </c>
      <c r="H1095" t="str">
        <f>VLOOKUP(G1095,[1]OPERADORES!$A:$B,2,0)</f>
        <v>MIRIÃ LOBATO RODRIGUES</v>
      </c>
      <c r="I1095" t="s">
        <v>21</v>
      </c>
      <c r="J1095" t="s">
        <v>66</v>
      </c>
      <c r="K1095" t="s">
        <v>2158</v>
      </c>
      <c r="L1095">
        <v>84175</v>
      </c>
      <c r="M1095" t="s">
        <v>1429</v>
      </c>
      <c r="O1095" t="s">
        <v>11</v>
      </c>
      <c r="P1095">
        <v>5403</v>
      </c>
      <c r="Q1095">
        <v>2</v>
      </c>
      <c r="R1095">
        <v>91.77</v>
      </c>
      <c r="S1095">
        <v>183.54</v>
      </c>
      <c r="T1095">
        <v>139.32</v>
      </c>
      <c r="U1095">
        <v>24.09</v>
      </c>
      <c r="V1095" t="str">
        <f>VLOOKUP(L1095,'[2]tabela de preços'!$A:$D,4,0)</f>
        <v>BRASILUX</v>
      </c>
      <c r="W1095" t="str">
        <f>VLOOKUP(L1095,'[2]tabela de preços'!$A:$F,6,0)</f>
        <v>ESMALTES</v>
      </c>
      <c r="X1095" t="str">
        <f>VLOOKUP(L1095,'[2]tabela de preços'!$A:$G,7,0)</f>
        <v>INDUSTRIAL</v>
      </c>
    </row>
    <row r="1096" spans="1:24" x14ac:dyDescent="0.3">
      <c r="A1096" t="s">
        <v>2155</v>
      </c>
      <c r="C1096" t="s">
        <v>2156</v>
      </c>
      <c r="D1096" s="1">
        <v>46037</v>
      </c>
      <c r="E1096" t="s">
        <v>2157</v>
      </c>
      <c r="F1096">
        <v>9</v>
      </c>
      <c r="G1096">
        <v>174</v>
      </c>
      <c r="H1096" t="str">
        <f>VLOOKUP(G1096,[1]OPERADORES!$A:$B,2,0)</f>
        <v>MIRIÃ LOBATO RODRIGUES</v>
      </c>
      <c r="I1096" t="s">
        <v>21</v>
      </c>
      <c r="J1096" t="s">
        <v>66</v>
      </c>
      <c r="K1096" t="s">
        <v>2158</v>
      </c>
      <c r="L1096">
        <v>23287</v>
      </c>
      <c r="M1096" t="s">
        <v>273</v>
      </c>
      <c r="O1096" t="s">
        <v>11</v>
      </c>
      <c r="P1096">
        <v>5102</v>
      </c>
      <c r="Q1096">
        <v>2</v>
      </c>
      <c r="R1096">
        <v>39.979999999999997</v>
      </c>
      <c r="S1096">
        <v>79.959999999999994</v>
      </c>
      <c r="T1096">
        <v>60.7</v>
      </c>
      <c r="U1096">
        <v>24.09</v>
      </c>
      <c r="V1096" t="str">
        <f>VLOOKUP(L1096,'[2]tabela de preços'!$A:$D,4,0)</f>
        <v>AUTO AMERICA</v>
      </c>
      <c r="W1096" t="str">
        <f>VLOOKUP(L1096,'[2]tabela de preços'!$A:$F,6,0)</f>
        <v>CERA  / LIMPEZA /  POLIMENTO VEICULAR</v>
      </c>
      <c r="X1096" t="str">
        <f>VLOOKUP(L1096,'[2]tabela de preços'!$A:$G,7,0)</f>
        <v>AUTOMOTIVO</v>
      </c>
    </row>
    <row r="1097" spans="1:24" x14ac:dyDescent="0.3">
      <c r="A1097" t="s">
        <v>2155</v>
      </c>
      <c r="C1097" t="s">
        <v>2156</v>
      </c>
      <c r="D1097" s="1">
        <v>46037</v>
      </c>
      <c r="E1097" t="s">
        <v>2157</v>
      </c>
      <c r="F1097">
        <v>9</v>
      </c>
      <c r="G1097">
        <v>174</v>
      </c>
      <c r="H1097" t="str">
        <f>VLOOKUP(G1097,[1]OPERADORES!$A:$B,2,0)</f>
        <v>MIRIÃ LOBATO RODRIGUES</v>
      </c>
      <c r="I1097" t="s">
        <v>21</v>
      </c>
      <c r="J1097" t="s">
        <v>66</v>
      </c>
      <c r="K1097" t="s">
        <v>2158</v>
      </c>
      <c r="L1097">
        <v>84460</v>
      </c>
      <c r="M1097" t="s">
        <v>322</v>
      </c>
      <c r="O1097" t="s">
        <v>11</v>
      </c>
      <c r="P1097">
        <v>5102</v>
      </c>
      <c r="Q1097">
        <v>6</v>
      </c>
      <c r="R1097">
        <v>31.07</v>
      </c>
      <c r="S1097">
        <v>186.42</v>
      </c>
      <c r="T1097">
        <v>141.47999999999999</v>
      </c>
      <c r="U1097">
        <v>24.11</v>
      </c>
      <c r="V1097" t="str">
        <f>VLOOKUP(L1097,'[2]tabela de preços'!$A:$D,4,0)</f>
        <v>BRASILUX</v>
      </c>
      <c r="W1097" t="str">
        <f>VLOOKUP(L1097,'[2]tabela de preços'!$A:$F,6,0)</f>
        <v>VEDADORES / SELANTES</v>
      </c>
      <c r="X1097" t="str">
        <f>VLOOKUP(L1097,'[2]tabela de preços'!$A:$G,7,0)</f>
        <v>AUTOMOTIVO</v>
      </c>
    </row>
    <row r="1098" spans="1:24" x14ac:dyDescent="0.3">
      <c r="A1098" t="s">
        <v>2171</v>
      </c>
      <c r="C1098" t="s">
        <v>2180</v>
      </c>
      <c r="D1098" s="1">
        <v>46037</v>
      </c>
      <c r="E1098" t="s">
        <v>2181</v>
      </c>
      <c r="F1098">
        <v>9</v>
      </c>
      <c r="G1098">
        <v>230</v>
      </c>
      <c r="H1098" t="str">
        <f>VLOOKUP(G1098,[1]OPERADORES!$A:$B,2,0)</f>
        <v>SÔNIA</v>
      </c>
      <c r="I1098" t="s">
        <v>21</v>
      </c>
      <c r="J1098" t="s">
        <v>2174</v>
      </c>
      <c r="K1098" t="s">
        <v>2175</v>
      </c>
      <c r="L1098">
        <v>22173</v>
      </c>
      <c r="M1098" t="s">
        <v>194</v>
      </c>
      <c r="O1098" t="s">
        <v>11</v>
      </c>
      <c r="P1098">
        <v>5102</v>
      </c>
      <c r="Q1098">
        <v>10</v>
      </c>
      <c r="R1098">
        <v>4.58</v>
      </c>
      <c r="S1098">
        <v>45.8</v>
      </c>
      <c r="T1098">
        <v>34.799999999999997</v>
      </c>
      <c r="U1098">
        <v>24.02</v>
      </c>
      <c r="V1098" t="str">
        <f>VLOOKUP(L1098,'[2]tabela de preços'!$A:$D,4,0)</f>
        <v>3M</v>
      </c>
      <c r="W1098" t="str">
        <f>VLOOKUP(L1098,'[2]tabela de preços'!$A:$F,6,0)</f>
        <v>FITA AUTOMOTIVA</v>
      </c>
      <c r="X1098" t="str">
        <f>VLOOKUP(L1098,'[2]tabela de preços'!$A:$G,7,0)</f>
        <v>AUTOMOTIVO</v>
      </c>
    </row>
    <row r="1099" spans="1:24" x14ac:dyDescent="0.3">
      <c r="A1099" t="s">
        <v>2171</v>
      </c>
      <c r="C1099" t="s">
        <v>2180</v>
      </c>
      <c r="D1099" s="1">
        <v>46037</v>
      </c>
      <c r="E1099" t="s">
        <v>2181</v>
      </c>
      <c r="F1099">
        <v>9</v>
      </c>
      <c r="G1099">
        <v>230</v>
      </c>
      <c r="H1099" t="str">
        <f>VLOOKUP(G1099,[1]OPERADORES!$A:$B,2,0)</f>
        <v>SÔNIA</v>
      </c>
      <c r="I1099" t="s">
        <v>21</v>
      </c>
      <c r="J1099" t="s">
        <v>2174</v>
      </c>
      <c r="K1099" t="s">
        <v>2175</v>
      </c>
      <c r="L1099">
        <v>10242</v>
      </c>
      <c r="M1099" t="s">
        <v>82</v>
      </c>
      <c r="O1099" t="s">
        <v>11</v>
      </c>
      <c r="P1099">
        <v>5102</v>
      </c>
      <c r="Q1099">
        <v>10</v>
      </c>
      <c r="R1099">
        <v>2.79</v>
      </c>
      <c r="S1099">
        <v>27.9</v>
      </c>
      <c r="T1099">
        <v>22.4</v>
      </c>
      <c r="U1099">
        <v>19.71</v>
      </c>
      <c r="V1099" t="str">
        <f>VLOOKUP(L1099,'[2]tabela de preços'!$A:$D,4,0)</f>
        <v>NORTON</v>
      </c>
      <c r="W1099" t="str">
        <f>VLOOKUP(L1099,'[2]tabela de preços'!$A:$F,6,0)</f>
        <v xml:space="preserve">DISCOS / LIXAS / ABRASIVOS </v>
      </c>
      <c r="X1099" t="str">
        <f>VLOOKUP(L1099,'[2]tabela de preços'!$A:$G,7,0)</f>
        <v>AUTOMOTIVO</v>
      </c>
    </row>
    <row r="1100" spans="1:24" x14ac:dyDescent="0.3">
      <c r="A1100" t="s">
        <v>2171</v>
      </c>
      <c r="C1100" t="s">
        <v>2180</v>
      </c>
      <c r="D1100" s="1">
        <v>46037</v>
      </c>
      <c r="E1100" t="s">
        <v>2181</v>
      </c>
      <c r="F1100">
        <v>9</v>
      </c>
      <c r="G1100">
        <v>230</v>
      </c>
      <c r="H1100" t="str">
        <f>VLOOKUP(G1100,[1]OPERADORES!$A:$B,2,0)</f>
        <v>SÔNIA</v>
      </c>
      <c r="I1100" t="s">
        <v>21</v>
      </c>
      <c r="J1100" t="s">
        <v>2174</v>
      </c>
      <c r="K1100" t="s">
        <v>2175</v>
      </c>
      <c r="L1100">
        <v>10243</v>
      </c>
      <c r="M1100" t="s">
        <v>83</v>
      </c>
      <c r="O1100" t="s">
        <v>11</v>
      </c>
      <c r="P1100">
        <v>5102</v>
      </c>
      <c r="Q1100">
        <v>20</v>
      </c>
      <c r="R1100">
        <v>2.79</v>
      </c>
      <c r="S1100">
        <v>55.8</v>
      </c>
      <c r="T1100">
        <v>38.6</v>
      </c>
      <c r="U1100">
        <v>30.82</v>
      </c>
      <c r="V1100" t="str">
        <f>VLOOKUP(L1100,'[2]tabela de preços'!$A:$D,4,0)</f>
        <v>NORTON</v>
      </c>
      <c r="W1100" t="str">
        <f>VLOOKUP(L1100,'[2]tabela de preços'!$A:$F,6,0)</f>
        <v xml:space="preserve">DISCOS / LIXAS / ABRASIVOS </v>
      </c>
      <c r="X1100" t="str">
        <f>VLOOKUP(L1100,'[2]tabela de preços'!$A:$G,7,0)</f>
        <v>AUTOMOTIVO</v>
      </c>
    </row>
    <row r="1101" spans="1:24" x14ac:dyDescent="0.3">
      <c r="A1101" t="s">
        <v>2171</v>
      </c>
      <c r="C1101" t="s">
        <v>2180</v>
      </c>
      <c r="D1101" s="1">
        <v>46037</v>
      </c>
      <c r="E1101" t="s">
        <v>2181</v>
      </c>
      <c r="F1101">
        <v>9</v>
      </c>
      <c r="G1101">
        <v>230</v>
      </c>
      <c r="H1101" t="str">
        <f>VLOOKUP(G1101,[1]OPERADORES!$A:$B,2,0)</f>
        <v>SÔNIA</v>
      </c>
      <c r="I1101" t="s">
        <v>21</v>
      </c>
      <c r="J1101" t="s">
        <v>2174</v>
      </c>
      <c r="K1101" t="s">
        <v>2175</v>
      </c>
      <c r="L1101">
        <v>10244</v>
      </c>
      <c r="M1101" t="s">
        <v>84</v>
      </c>
      <c r="O1101" t="s">
        <v>11</v>
      </c>
      <c r="P1101">
        <v>5102</v>
      </c>
      <c r="Q1101">
        <v>4</v>
      </c>
      <c r="R1101">
        <v>2.79</v>
      </c>
      <c r="S1101">
        <v>11.16</v>
      </c>
      <c r="T1101">
        <v>7.72</v>
      </c>
      <c r="U1101">
        <v>30.82</v>
      </c>
      <c r="V1101" t="str">
        <f>VLOOKUP(L1101,'[2]tabela de preços'!$A:$D,4,0)</f>
        <v>NORTON</v>
      </c>
      <c r="W1101" t="str">
        <f>VLOOKUP(L1101,'[2]tabela de preços'!$A:$F,6,0)</f>
        <v xml:space="preserve">DISCOS / LIXAS / ABRASIVOS </v>
      </c>
      <c r="X1101" t="str">
        <f>VLOOKUP(L1101,'[2]tabela de preços'!$A:$G,7,0)</f>
        <v>AUTOMOTIVO</v>
      </c>
    </row>
    <row r="1102" spans="1:24" x14ac:dyDescent="0.3">
      <c r="A1102" t="s">
        <v>2171</v>
      </c>
      <c r="C1102" t="s">
        <v>2180</v>
      </c>
      <c r="D1102" s="1">
        <v>46037</v>
      </c>
      <c r="E1102" t="s">
        <v>2181</v>
      </c>
      <c r="F1102">
        <v>9</v>
      </c>
      <c r="G1102">
        <v>230</v>
      </c>
      <c r="H1102" t="str">
        <f>VLOOKUP(G1102,[1]OPERADORES!$A:$B,2,0)</f>
        <v>SÔNIA</v>
      </c>
      <c r="I1102" t="s">
        <v>21</v>
      </c>
      <c r="J1102" t="s">
        <v>2174</v>
      </c>
      <c r="K1102" t="s">
        <v>2175</v>
      </c>
      <c r="L1102">
        <v>84658</v>
      </c>
      <c r="M1102" t="s">
        <v>100</v>
      </c>
      <c r="O1102" t="s">
        <v>11</v>
      </c>
      <c r="P1102">
        <v>5102</v>
      </c>
      <c r="Q1102">
        <v>2</v>
      </c>
      <c r="R1102">
        <v>40.840000000000003</v>
      </c>
      <c r="S1102">
        <v>81.680000000000007</v>
      </c>
      <c r="T1102">
        <v>62</v>
      </c>
      <c r="U1102">
        <v>24.09</v>
      </c>
      <c r="V1102" t="str">
        <f>VLOOKUP(L1102,'[2]tabela de preços'!$A:$D,4,0)</f>
        <v>ANJO</v>
      </c>
      <c r="W1102" t="str">
        <f>VLOOKUP(L1102,'[2]tabela de preços'!$A:$F,6,0)</f>
        <v>MASSA POLIÉSTER</v>
      </c>
      <c r="X1102" t="str">
        <f>VLOOKUP(L1102,'[2]tabela de preços'!$A:$G,7,0)</f>
        <v>AUTOMOTIVO</v>
      </c>
    </row>
    <row r="1103" spans="1:24" x14ac:dyDescent="0.3">
      <c r="A1103" t="s">
        <v>2221</v>
      </c>
      <c r="B1103" t="s">
        <v>2222</v>
      </c>
      <c r="C1103" t="s">
        <v>2229</v>
      </c>
      <c r="D1103" s="1">
        <v>46037</v>
      </c>
      <c r="F1103">
        <v>9</v>
      </c>
      <c r="G1103">
        <v>145</v>
      </c>
      <c r="H1103" t="str">
        <f>VLOOKUP(G1103,[1]OPERADORES!$A:$B,2,0)</f>
        <v xml:space="preserve">FABRICIA </v>
      </c>
      <c r="I1103" t="s">
        <v>21</v>
      </c>
      <c r="J1103" t="s">
        <v>2225</v>
      </c>
      <c r="K1103" t="s">
        <v>2226</v>
      </c>
      <c r="L1103">
        <v>85283</v>
      </c>
      <c r="M1103" t="s">
        <v>345</v>
      </c>
      <c r="N1103" t="s">
        <v>2230</v>
      </c>
      <c r="O1103" t="s">
        <v>11</v>
      </c>
      <c r="P1103">
        <v>1411</v>
      </c>
      <c r="Q1103">
        <v>-8</v>
      </c>
      <c r="R1103">
        <v>172.93</v>
      </c>
      <c r="S1103" s="2">
        <v>-1383.44</v>
      </c>
      <c r="T1103" s="2">
        <v>-1050.08</v>
      </c>
      <c r="U1103">
        <v>24.1</v>
      </c>
      <c r="V1103" t="str">
        <f>VLOOKUP(L1103,'[2]tabela de preços'!$A:$D,4,0)</f>
        <v>BRASILUX</v>
      </c>
      <c r="W1103" t="str">
        <f>VLOOKUP(L1103,'[2]tabela de preços'!$A:$F,6,0)</f>
        <v>TINTA PARA PISO</v>
      </c>
      <c r="X1103" t="str">
        <f>VLOOKUP(L1103,'[2]tabela de preços'!$A:$G,7,0)</f>
        <v>IMOBILIÁRIO</v>
      </c>
    </row>
    <row r="1104" spans="1:24" x14ac:dyDescent="0.3">
      <c r="A1104" t="s">
        <v>2221</v>
      </c>
      <c r="B1104" t="s">
        <v>2222</v>
      </c>
      <c r="C1104" t="s">
        <v>2229</v>
      </c>
      <c r="D1104" s="1">
        <v>46037</v>
      </c>
      <c r="F1104">
        <v>9</v>
      </c>
      <c r="G1104">
        <v>145</v>
      </c>
      <c r="H1104" t="str">
        <f>VLOOKUP(G1104,[1]OPERADORES!$A:$B,2,0)</f>
        <v xml:space="preserve">FABRICIA </v>
      </c>
      <c r="I1104" t="s">
        <v>21</v>
      </c>
      <c r="J1104" t="s">
        <v>2225</v>
      </c>
      <c r="K1104" t="s">
        <v>2226</v>
      </c>
      <c r="L1104">
        <v>86939</v>
      </c>
      <c r="M1104" t="s">
        <v>346</v>
      </c>
      <c r="N1104" t="s">
        <v>2230</v>
      </c>
      <c r="O1104" t="s">
        <v>11</v>
      </c>
      <c r="P1104">
        <v>1202</v>
      </c>
      <c r="Q1104">
        <v>-2</v>
      </c>
      <c r="R1104">
        <v>52.92</v>
      </c>
      <c r="S1104">
        <v>-105.84</v>
      </c>
      <c r="T1104">
        <v>-80.34</v>
      </c>
      <c r="U1104">
        <v>24.09</v>
      </c>
      <c r="V1104" t="str">
        <f>VLOOKUP(L1104,'[2]tabela de preços'!$A:$D,4,0)</f>
        <v>ATLAS</v>
      </c>
      <c r="W1104" t="str">
        <f>VLOOKUP(L1104,'[2]tabela de preços'!$A:$F,6,0)</f>
        <v>ROLOS / TRINCHAS / PINCÉIS / ESPÁTULAS</v>
      </c>
      <c r="X1104" t="str">
        <f>VLOOKUP(L1104,'[2]tabela de preços'!$A:$G,7,0)</f>
        <v>IMOBILIÁRIO</v>
      </c>
    </row>
    <row r="1105" spans="1:24" x14ac:dyDescent="0.3">
      <c r="A1105" t="s">
        <v>2319</v>
      </c>
      <c r="C1105" t="s">
        <v>2320</v>
      </c>
      <c r="D1105" s="1">
        <v>46037</v>
      </c>
      <c r="E1105" t="s">
        <v>2321</v>
      </c>
      <c r="F1105">
        <v>9</v>
      </c>
      <c r="G1105">
        <v>231</v>
      </c>
      <c r="H1105" t="str">
        <f>VLOOKUP(G1105,[1]OPERADORES!$A:$B,2,0)</f>
        <v>EDIJANE</v>
      </c>
      <c r="I1105" t="s">
        <v>21</v>
      </c>
      <c r="J1105" t="s">
        <v>843</v>
      </c>
      <c r="K1105" t="s">
        <v>2322</v>
      </c>
      <c r="L1105">
        <v>85324</v>
      </c>
      <c r="M1105" t="s">
        <v>1846</v>
      </c>
      <c r="O1105" t="s">
        <v>11</v>
      </c>
      <c r="P1105">
        <v>5102</v>
      </c>
      <c r="Q1105">
        <v>10</v>
      </c>
      <c r="R1105">
        <v>514.22</v>
      </c>
      <c r="S1105" s="2">
        <v>5142.2</v>
      </c>
      <c r="T1105" s="2">
        <v>3666.5</v>
      </c>
      <c r="U1105">
        <v>28.7</v>
      </c>
      <c r="V1105" t="str">
        <f>VLOOKUP(L1105,'[2]tabela de preços'!$A:$D,4,0)</f>
        <v>BRASILUX</v>
      </c>
      <c r="W1105" t="str">
        <f>VLOOKUP(L1105,'[2]tabela de preços'!$A:$F,6,0)</f>
        <v>TINTA EM PÓ</v>
      </c>
      <c r="X1105" t="str">
        <f>VLOOKUP(L1105,'[2]tabela de preços'!$A:$G,7,0)</f>
        <v>INDUSTRIAL</v>
      </c>
    </row>
    <row r="1106" spans="1:24" x14ac:dyDescent="0.3">
      <c r="A1106" t="s">
        <v>18</v>
      </c>
      <c r="C1106" t="s">
        <v>47</v>
      </c>
      <c r="D1106" s="1">
        <v>46038</v>
      </c>
      <c r="E1106" t="s">
        <v>48</v>
      </c>
      <c r="F1106">
        <v>9</v>
      </c>
      <c r="G1106">
        <v>236</v>
      </c>
      <c r="H1106" t="str">
        <f>VLOOKUP(G1106,[1]OPERADORES!$A:$B,2,0)</f>
        <v>DANIEL</v>
      </c>
      <c r="I1106" t="s">
        <v>21</v>
      </c>
      <c r="J1106" t="s">
        <v>22</v>
      </c>
      <c r="K1106" t="s">
        <v>23</v>
      </c>
      <c r="L1106">
        <v>86711</v>
      </c>
      <c r="M1106" t="s">
        <v>34</v>
      </c>
      <c r="O1106" t="s">
        <v>11</v>
      </c>
      <c r="P1106">
        <v>5102</v>
      </c>
      <c r="Q1106">
        <v>1</v>
      </c>
      <c r="R1106">
        <v>25.99</v>
      </c>
      <c r="S1106">
        <v>25.99</v>
      </c>
      <c r="T1106">
        <v>19.73</v>
      </c>
      <c r="U1106">
        <v>24.09</v>
      </c>
      <c r="V1106" t="str">
        <f>VLOOKUP(L1106,'[2]tabela de preços'!$A:$D,4,0)</f>
        <v>CORAL</v>
      </c>
      <c r="W1106" t="str">
        <f>VLOOKUP(L1106,'[2]tabela de preços'!$A:$F,6,0)</f>
        <v>MASSA CORRIDA / ACRÍLICA</v>
      </c>
      <c r="X1106" t="str">
        <f>VLOOKUP(L1106,'[2]tabela de preços'!$A:$G,7,0)</f>
        <v>IMOBILIÁRIO</v>
      </c>
    </row>
    <row r="1107" spans="1:24" x14ac:dyDescent="0.3">
      <c r="A1107" t="s">
        <v>18</v>
      </c>
      <c r="C1107" t="s">
        <v>49</v>
      </c>
      <c r="D1107" s="1">
        <v>46038</v>
      </c>
      <c r="E1107" t="s">
        <v>50</v>
      </c>
      <c r="F1107">
        <v>9</v>
      </c>
      <c r="G1107">
        <v>236</v>
      </c>
      <c r="H1107" t="str">
        <f>VLOOKUP(G1107,[1]OPERADORES!$A:$B,2,0)</f>
        <v>DANIEL</v>
      </c>
      <c r="I1107" t="s">
        <v>21</v>
      </c>
      <c r="J1107" t="s">
        <v>22</v>
      </c>
      <c r="K1107" t="s">
        <v>23</v>
      </c>
      <c r="L1107">
        <v>84411</v>
      </c>
      <c r="M1107" t="s">
        <v>35</v>
      </c>
      <c r="O1107" t="s">
        <v>11</v>
      </c>
      <c r="P1107">
        <v>5102</v>
      </c>
      <c r="Q1107">
        <v>1</v>
      </c>
      <c r="R1107">
        <v>4.29</v>
      </c>
      <c r="S1107">
        <v>4.29</v>
      </c>
      <c r="T1107">
        <v>3.54</v>
      </c>
      <c r="U1107">
        <v>17.48</v>
      </c>
      <c r="V1107" t="str">
        <f>VLOOKUP(L1107,'[2]tabela de preços'!$A:$D,4,0)</f>
        <v>ADERE</v>
      </c>
      <c r="W1107" t="str">
        <f>VLOOKUP(L1107,'[2]tabela de preços'!$A:$F,6,0)</f>
        <v xml:space="preserve">FITA DE USO GERAL </v>
      </c>
      <c r="X1107" t="str">
        <f>VLOOKUP(L1107,'[2]tabela de preços'!$A:$G,7,0)</f>
        <v>IMOBILIÁRIO</v>
      </c>
    </row>
    <row r="1108" spans="1:24" x14ac:dyDescent="0.3">
      <c r="A1108" t="s">
        <v>18</v>
      </c>
      <c r="C1108" t="s">
        <v>49</v>
      </c>
      <c r="D1108" s="1">
        <v>46038</v>
      </c>
      <c r="E1108" t="s">
        <v>50</v>
      </c>
      <c r="F1108">
        <v>9</v>
      </c>
      <c r="G1108">
        <v>236</v>
      </c>
      <c r="H1108" t="str">
        <f>VLOOKUP(G1108,[1]OPERADORES!$A:$B,2,0)</f>
        <v>DANIEL</v>
      </c>
      <c r="I1108" t="s">
        <v>21</v>
      </c>
      <c r="J1108" t="s">
        <v>22</v>
      </c>
      <c r="K1108" t="s">
        <v>23</v>
      </c>
      <c r="L1108">
        <v>84928</v>
      </c>
      <c r="M1108" t="s">
        <v>36</v>
      </c>
      <c r="O1108" t="s">
        <v>11</v>
      </c>
      <c r="P1108">
        <v>5102</v>
      </c>
      <c r="Q1108">
        <v>8</v>
      </c>
      <c r="R1108">
        <v>9.39</v>
      </c>
      <c r="S1108">
        <v>75.12</v>
      </c>
      <c r="T1108">
        <v>57.04</v>
      </c>
      <c r="U1108">
        <v>24.07</v>
      </c>
      <c r="V1108" t="str">
        <f>VLOOKUP(L1108,'[2]tabela de preços'!$A:$D,4,0)</f>
        <v>ADERE</v>
      </c>
      <c r="W1108" t="str">
        <f>VLOOKUP(L1108,'[2]tabela de preços'!$A:$F,6,0)</f>
        <v xml:space="preserve">FITA DE USO GERAL </v>
      </c>
      <c r="X1108" t="str">
        <f>VLOOKUP(L1108,'[2]tabela de preços'!$A:$G,7,0)</f>
        <v>IMOBILIÁRIO</v>
      </c>
    </row>
    <row r="1109" spans="1:24" x14ac:dyDescent="0.3">
      <c r="A1109" t="s">
        <v>86</v>
      </c>
      <c r="C1109" t="s">
        <v>87</v>
      </c>
      <c r="D1109" s="1">
        <v>46038</v>
      </c>
      <c r="E1109" t="s">
        <v>88</v>
      </c>
      <c r="F1109">
        <v>9</v>
      </c>
      <c r="G1109">
        <v>230</v>
      </c>
      <c r="H1109" t="str">
        <f>VLOOKUP(G1109,[1]OPERADORES!$A:$B,2,0)</f>
        <v>SÔNIA</v>
      </c>
      <c r="I1109" t="s">
        <v>21</v>
      </c>
      <c r="J1109" t="s">
        <v>89</v>
      </c>
      <c r="K1109" t="s">
        <v>90</v>
      </c>
      <c r="L1109">
        <v>84381</v>
      </c>
      <c r="M1109" t="s">
        <v>91</v>
      </c>
      <c r="O1109" t="s">
        <v>11</v>
      </c>
      <c r="P1109">
        <v>5403</v>
      </c>
      <c r="Q1109">
        <v>1</v>
      </c>
      <c r="R1109">
        <v>159.9</v>
      </c>
      <c r="S1109">
        <v>159.9</v>
      </c>
      <c r="T1109">
        <v>137.61000000000001</v>
      </c>
      <c r="U1109">
        <v>13.94</v>
      </c>
      <c r="V1109" t="str">
        <f>VLOOKUP(L1109,'[2]tabela de preços'!$A:$D,4,0)</f>
        <v>BRASILUX</v>
      </c>
      <c r="W1109" t="str">
        <f>VLOOKUP(L1109,'[2]tabela de preços'!$A:$F,6,0)</f>
        <v>TINTA PARA PISO</v>
      </c>
      <c r="X1109" t="str">
        <f>VLOOKUP(L1109,'[2]tabela de preços'!$A:$G,7,0)</f>
        <v>IMOBILIÁRIO</v>
      </c>
    </row>
    <row r="1110" spans="1:24" x14ac:dyDescent="0.3">
      <c r="A1110" t="s">
        <v>208</v>
      </c>
      <c r="C1110" t="s">
        <v>218</v>
      </c>
      <c r="D1110" s="1">
        <v>46038</v>
      </c>
      <c r="E1110" t="s">
        <v>219</v>
      </c>
      <c r="F1110">
        <v>9</v>
      </c>
      <c r="G1110">
        <v>236</v>
      </c>
      <c r="H1110" t="str">
        <f>VLOOKUP(G1110,[1]OPERADORES!$A:$B,2,0)</f>
        <v>DANIEL</v>
      </c>
      <c r="I1110" t="s">
        <v>21</v>
      </c>
      <c r="J1110" t="s">
        <v>211</v>
      </c>
      <c r="K1110" t="s">
        <v>212</v>
      </c>
      <c r="L1110">
        <v>23716</v>
      </c>
      <c r="M1110" t="s">
        <v>220</v>
      </c>
      <c r="O1110" t="s">
        <v>11</v>
      </c>
      <c r="P1110">
        <v>5102</v>
      </c>
      <c r="Q1110">
        <v>1</v>
      </c>
      <c r="R1110">
        <v>43.1</v>
      </c>
      <c r="S1110">
        <v>43.1</v>
      </c>
      <c r="T1110">
        <v>30.9</v>
      </c>
      <c r="U1110">
        <v>28.31</v>
      </c>
      <c r="V1110" t="str">
        <f>VLOOKUP(L1110,'[2]tabela de preços'!$A:$D,4,0)</f>
        <v>NEW PAD</v>
      </c>
      <c r="W1110" t="str">
        <f>VLOOKUP(L1110,'[2]tabela de preços'!$A:$F,6,0)</f>
        <v>BOINAS PARA POLIMENTO</v>
      </c>
      <c r="X1110" t="str">
        <f>VLOOKUP(L1110,'[2]tabela de preços'!$A:$G,7,0)</f>
        <v>AUTOMOTIVO</v>
      </c>
    </row>
    <row r="1111" spans="1:24" x14ac:dyDescent="0.3">
      <c r="A1111" t="s">
        <v>208</v>
      </c>
      <c r="C1111" t="s">
        <v>218</v>
      </c>
      <c r="D1111" s="1">
        <v>46038</v>
      </c>
      <c r="E1111" t="s">
        <v>219</v>
      </c>
      <c r="F1111">
        <v>9</v>
      </c>
      <c r="G1111">
        <v>236</v>
      </c>
      <c r="H1111" t="str">
        <f>VLOOKUP(G1111,[1]OPERADORES!$A:$B,2,0)</f>
        <v>DANIEL</v>
      </c>
      <c r="I1111" t="s">
        <v>21</v>
      </c>
      <c r="J1111" t="s">
        <v>211</v>
      </c>
      <c r="K1111" t="s">
        <v>212</v>
      </c>
      <c r="L1111">
        <v>24248</v>
      </c>
      <c r="M1111" t="s">
        <v>107</v>
      </c>
      <c r="O1111" t="s">
        <v>11</v>
      </c>
      <c r="P1111">
        <v>5102</v>
      </c>
      <c r="Q1111">
        <v>1</v>
      </c>
      <c r="R1111">
        <v>8</v>
      </c>
      <c r="S1111">
        <v>8</v>
      </c>
      <c r="T1111">
        <v>6.41</v>
      </c>
      <c r="U1111">
        <v>19.88</v>
      </c>
      <c r="V1111" t="str">
        <f>VLOOKUP(L1111,'[2]tabela de preços'!$A:$D,4,0)</f>
        <v>SHERWIN WILLIAMS</v>
      </c>
      <c r="W1111" t="str">
        <f>VLOOKUP(L1111,'[2]tabela de preços'!$A:$F,6,0)</f>
        <v>PRIMER AUTOMOTIVO</v>
      </c>
      <c r="X1111" t="str">
        <f>VLOOKUP(L1111,'[2]tabela de preços'!$A:$G,7,0)</f>
        <v>AUTOMOTIVO</v>
      </c>
    </row>
    <row r="1112" spans="1:24" x14ac:dyDescent="0.3">
      <c r="A1112" t="s">
        <v>208</v>
      </c>
      <c r="C1112" t="s">
        <v>218</v>
      </c>
      <c r="D1112" s="1">
        <v>46038</v>
      </c>
      <c r="E1112" t="s">
        <v>221</v>
      </c>
      <c r="F1112">
        <v>9</v>
      </c>
      <c r="G1112">
        <v>236</v>
      </c>
      <c r="H1112" t="str">
        <f>VLOOKUP(G1112,[1]OPERADORES!$A:$B,2,0)</f>
        <v>DANIEL</v>
      </c>
      <c r="I1112" t="s">
        <v>21</v>
      </c>
      <c r="J1112" t="s">
        <v>211</v>
      </c>
      <c r="K1112" t="s">
        <v>212</v>
      </c>
      <c r="L1112">
        <v>23602</v>
      </c>
      <c r="M1112" t="s">
        <v>215</v>
      </c>
      <c r="O1112" t="s">
        <v>11</v>
      </c>
      <c r="P1112">
        <v>5403</v>
      </c>
      <c r="Q1112">
        <v>1</v>
      </c>
      <c r="R1112">
        <v>35.89</v>
      </c>
      <c r="S1112">
        <v>35.89</v>
      </c>
      <c r="T1112">
        <v>29.25</v>
      </c>
      <c r="U1112">
        <v>18.5</v>
      </c>
      <c r="V1112" t="str">
        <f>VLOOKUP(L1112,'[2]tabela de preços'!$A:$D,4,0)</f>
        <v>SHERWIN WILLIAMS</v>
      </c>
      <c r="W1112" t="str">
        <f>VLOOKUP(L1112,'[2]tabela de preços'!$A:$F,6,0)</f>
        <v>VERNIZ AUTOMOTIVO</v>
      </c>
      <c r="X1112" t="str">
        <f>VLOOKUP(L1112,'[2]tabela de preços'!$A:$G,7,0)</f>
        <v>AUTOMOTIVO</v>
      </c>
    </row>
    <row r="1113" spans="1:24" x14ac:dyDescent="0.3">
      <c r="A1113" t="s">
        <v>208</v>
      </c>
      <c r="C1113" t="s">
        <v>218</v>
      </c>
      <c r="D1113" s="1">
        <v>46038</v>
      </c>
      <c r="E1113" t="s">
        <v>219</v>
      </c>
      <c r="F1113">
        <v>9</v>
      </c>
      <c r="G1113">
        <v>236</v>
      </c>
      <c r="H1113" t="str">
        <f>VLOOKUP(G1113,[1]OPERADORES!$A:$B,2,0)</f>
        <v>DANIEL</v>
      </c>
      <c r="I1113" t="s">
        <v>21</v>
      </c>
      <c r="J1113" t="s">
        <v>211</v>
      </c>
      <c r="K1113" t="s">
        <v>212</v>
      </c>
      <c r="L1113">
        <v>84047</v>
      </c>
      <c r="M1113" t="s">
        <v>222</v>
      </c>
      <c r="O1113" t="s">
        <v>11</v>
      </c>
      <c r="P1113">
        <v>5102</v>
      </c>
      <c r="Q1113">
        <v>1</v>
      </c>
      <c r="R1113">
        <v>20.86</v>
      </c>
      <c r="S1113">
        <v>20.86</v>
      </c>
      <c r="T1113">
        <v>15.3</v>
      </c>
      <c r="U1113">
        <v>26.65</v>
      </c>
      <c r="V1113" t="str">
        <f>VLOOKUP(L1113,'[2]tabela de preços'!$A:$D,4,0)</f>
        <v>BRASILUX</v>
      </c>
      <c r="W1113" t="str">
        <f>VLOOKUP(L1113,'[2]tabela de preços'!$A:$F,6,0)</f>
        <v>MASSA DE POLIR</v>
      </c>
      <c r="X1113" t="str">
        <f>VLOOKUP(L1113,'[2]tabela de preços'!$A:$G,7,0)</f>
        <v>AUTOMOTIVO</v>
      </c>
    </row>
    <row r="1114" spans="1:24" x14ac:dyDescent="0.3">
      <c r="A1114" t="s">
        <v>208</v>
      </c>
      <c r="C1114" t="s">
        <v>218</v>
      </c>
      <c r="D1114" s="1">
        <v>46038</v>
      </c>
      <c r="E1114" t="s">
        <v>219</v>
      </c>
      <c r="F1114">
        <v>9</v>
      </c>
      <c r="G1114">
        <v>236</v>
      </c>
      <c r="H1114" t="str">
        <f>VLOOKUP(G1114,[1]OPERADORES!$A:$B,2,0)</f>
        <v>DANIEL</v>
      </c>
      <c r="I1114" t="s">
        <v>21</v>
      </c>
      <c r="J1114" t="s">
        <v>211</v>
      </c>
      <c r="K1114" t="s">
        <v>212</v>
      </c>
      <c r="L1114">
        <v>24247</v>
      </c>
      <c r="M1114" t="s">
        <v>111</v>
      </c>
      <c r="O1114" t="s">
        <v>11</v>
      </c>
      <c r="P1114">
        <v>5403</v>
      </c>
      <c r="Q1114">
        <v>1</v>
      </c>
      <c r="R1114">
        <v>21</v>
      </c>
      <c r="S1114">
        <v>21</v>
      </c>
      <c r="T1114">
        <v>16.600000000000001</v>
      </c>
      <c r="U1114">
        <v>20.95</v>
      </c>
      <c r="V1114" t="str">
        <f>VLOOKUP(L1114,'[2]tabela de preços'!$A:$D,4,0)</f>
        <v>SHERWIN WILLIAMS</v>
      </c>
      <c r="W1114" t="str">
        <f>VLOOKUP(L1114,'[2]tabela de preços'!$A:$F,6,0)</f>
        <v>PRIMER AUTOMOTIVO</v>
      </c>
      <c r="X1114" t="str">
        <f>VLOOKUP(L1114,'[2]tabela de preços'!$A:$G,7,0)</f>
        <v>AUTOMOTIVO</v>
      </c>
    </row>
    <row r="1115" spans="1:24" x14ac:dyDescent="0.3">
      <c r="A1115" t="s">
        <v>547</v>
      </c>
      <c r="C1115" t="s">
        <v>548</v>
      </c>
      <c r="D1115" s="1">
        <v>46038</v>
      </c>
      <c r="E1115" t="s">
        <v>549</v>
      </c>
      <c r="F1115">
        <v>9</v>
      </c>
      <c r="G1115">
        <v>197</v>
      </c>
      <c r="H1115" t="str">
        <f>VLOOKUP(G1115,[1]OPERADORES!$A:$B,2,0)</f>
        <v xml:space="preserve">POLIANA LORRANE DE AMORIM </v>
      </c>
      <c r="I1115" t="s">
        <v>21</v>
      </c>
      <c r="J1115" t="s">
        <v>550</v>
      </c>
      <c r="K1115" t="s">
        <v>551</v>
      </c>
      <c r="L1115">
        <v>84386</v>
      </c>
      <c r="M1115" t="s">
        <v>552</v>
      </c>
      <c r="O1115" t="s">
        <v>11</v>
      </c>
      <c r="P1115">
        <v>5403</v>
      </c>
      <c r="Q1115">
        <v>7</v>
      </c>
      <c r="R1115">
        <v>159.9</v>
      </c>
      <c r="S1115" s="2">
        <v>1119.3</v>
      </c>
      <c r="T1115">
        <v>963.27</v>
      </c>
      <c r="U1115">
        <v>13.94</v>
      </c>
      <c r="V1115" t="str">
        <f>VLOOKUP(L1115,'[2]tabela de preços'!$A:$D,4,0)</f>
        <v>BRASILUX</v>
      </c>
      <c r="W1115" t="str">
        <f>VLOOKUP(L1115,'[2]tabela de preços'!$A:$F,6,0)</f>
        <v>TINTA PARA PISO</v>
      </c>
      <c r="X1115" t="str">
        <f>VLOOKUP(L1115,'[2]tabela de preços'!$A:$G,7,0)</f>
        <v>IMOBILIÁRIO</v>
      </c>
    </row>
    <row r="1116" spans="1:24" x14ac:dyDescent="0.3">
      <c r="A1116" t="s">
        <v>575</v>
      </c>
      <c r="B1116" t="s">
        <v>576</v>
      </c>
      <c r="C1116" t="s">
        <v>577</v>
      </c>
      <c r="D1116" s="1">
        <v>46038</v>
      </c>
      <c r="E1116" t="s">
        <v>578</v>
      </c>
      <c r="F1116">
        <v>9</v>
      </c>
      <c r="G1116">
        <v>231</v>
      </c>
      <c r="H1116" t="str">
        <f>VLOOKUP(G1116,[1]OPERADORES!$A:$B,2,0)</f>
        <v>EDIJANE</v>
      </c>
      <c r="I1116" t="s">
        <v>21</v>
      </c>
      <c r="J1116" t="s">
        <v>66</v>
      </c>
      <c r="K1116" t="s">
        <v>579</v>
      </c>
      <c r="L1116">
        <v>84357</v>
      </c>
      <c r="M1116" t="s">
        <v>580</v>
      </c>
      <c r="O1116" t="s">
        <v>11</v>
      </c>
      <c r="P1116">
        <v>5403</v>
      </c>
      <c r="Q1116">
        <v>6</v>
      </c>
      <c r="R1116">
        <v>21.7</v>
      </c>
      <c r="S1116">
        <v>130.19999999999999</v>
      </c>
      <c r="T1116">
        <v>98.82</v>
      </c>
      <c r="U1116">
        <v>24.1</v>
      </c>
      <c r="V1116" t="str">
        <f>VLOOKUP(L1116,'[2]tabela de preços'!$A:$D,4,0)</f>
        <v>BRASILUX</v>
      </c>
      <c r="W1116" t="str">
        <f>VLOOKUP(L1116,'[2]tabela de preços'!$A:$F,6,0)</f>
        <v>ESMALTES</v>
      </c>
      <c r="X1116" t="str">
        <f>VLOOKUP(L1116,'[2]tabela de preços'!$A:$G,7,0)</f>
        <v>INDUSTRIAL</v>
      </c>
    </row>
    <row r="1117" spans="1:24" x14ac:dyDescent="0.3">
      <c r="A1117" t="s">
        <v>575</v>
      </c>
      <c r="B1117" t="s">
        <v>576</v>
      </c>
      <c r="C1117" t="s">
        <v>577</v>
      </c>
      <c r="D1117" s="1">
        <v>46038</v>
      </c>
      <c r="E1117" t="s">
        <v>578</v>
      </c>
      <c r="F1117">
        <v>9</v>
      </c>
      <c r="G1117">
        <v>231</v>
      </c>
      <c r="H1117" t="str">
        <f>VLOOKUP(G1117,[1]OPERADORES!$A:$B,2,0)</f>
        <v>EDIJANE</v>
      </c>
      <c r="I1117" t="s">
        <v>21</v>
      </c>
      <c r="J1117" t="s">
        <v>66</v>
      </c>
      <c r="K1117" t="s">
        <v>579</v>
      </c>
      <c r="L1117">
        <v>84950</v>
      </c>
      <c r="M1117" t="s">
        <v>581</v>
      </c>
      <c r="O1117" t="s">
        <v>11</v>
      </c>
      <c r="P1117">
        <v>5102</v>
      </c>
      <c r="Q1117">
        <v>2</v>
      </c>
      <c r="R1117">
        <v>47.8</v>
      </c>
      <c r="S1117">
        <v>95.6</v>
      </c>
      <c r="T1117">
        <v>72.56</v>
      </c>
      <c r="U1117">
        <v>24.1</v>
      </c>
      <c r="V1117" t="str">
        <f>VLOOKUP(L1117,'[2]tabela de preços'!$A:$D,4,0)</f>
        <v>BRASILUX</v>
      </c>
      <c r="W1117" t="str">
        <f>VLOOKUP(L1117,'[2]tabela de preços'!$A:$F,6,0)</f>
        <v>EPOXI</v>
      </c>
      <c r="X1117" t="str">
        <f>VLOOKUP(L1117,'[2]tabela de preços'!$A:$G,7,0)</f>
        <v>INDUSTRIAL</v>
      </c>
    </row>
    <row r="1118" spans="1:24" x14ac:dyDescent="0.3">
      <c r="A1118" t="s">
        <v>575</v>
      </c>
      <c r="B1118" t="s">
        <v>576</v>
      </c>
      <c r="C1118" t="s">
        <v>577</v>
      </c>
      <c r="D1118" s="1">
        <v>46038</v>
      </c>
      <c r="E1118" t="s">
        <v>578</v>
      </c>
      <c r="F1118">
        <v>9</v>
      </c>
      <c r="G1118">
        <v>231</v>
      </c>
      <c r="H1118" t="str">
        <f>VLOOKUP(G1118,[1]OPERADORES!$A:$B,2,0)</f>
        <v>EDIJANE</v>
      </c>
      <c r="I1118" t="s">
        <v>21</v>
      </c>
      <c r="J1118" t="s">
        <v>66</v>
      </c>
      <c r="K1118" t="s">
        <v>579</v>
      </c>
      <c r="L1118">
        <v>10316</v>
      </c>
      <c r="M1118" t="s">
        <v>582</v>
      </c>
      <c r="O1118" t="s">
        <v>11</v>
      </c>
      <c r="P1118">
        <v>5102</v>
      </c>
      <c r="Q1118">
        <v>6</v>
      </c>
      <c r="R1118">
        <v>13.89</v>
      </c>
      <c r="S1118">
        <v>83.34</v>
      </c>
      <c r="T1118">
        <v>69.78</v>
      </c>
      <c r="U1118">
        <v>16.27</v>
      </c>
      <c r="V1118" t="str">
        <f>VLOOKUP(L1118,'[2]tabela de preços'!$A:$D,4,0)</f>
        <v>ANJO</v>
      </c>
      <c r="W1118" t="str">
        <f>VLOOKUP(L1118,'[2]tabela de preços'!$A:$F,6,0)</f>
        <v xml:space="preserve">COLA  PLÁSTICA </v>
      </c>
      <c r="X1118" t="str">
        <f>VLOOKUP(L1118,'[2]tabela de preços'!$A:$G,7,0)</f>
        <v>AUTOMOTIVO</v>
      </c>
    </row>
    <row r="1119" spans="1:24" x14ac:dyDescent="0.3">
      <c r="A1119" t="s">
        <v>575</v>
      </c>
      <c r="B1119" t="s">
        <v>576</v>
      </c>
      <c r="C1119" t="s">
        <v>577</v>
      </c>
      <c r="D1119" s="1">
        <v>46038</v>
      </c>
      <c r="E1119" t="s">
        <v>578</v>
      </c>
      <c r="F1119">
        <v>9</v>
      </c>
      <c r="G1119">
        <v>231</v>
      </c>
      <c r="H1119" t="str">
        <f>VLOOKUP(G1119,[1]OPERADORES!$A:$B,2,0)</f>
        <v>EDIJANE</v>
      </c>
      <c r="I1119" t="s">
        <v>21</v>
      </c>
      <c r="J1119" t="s">
        <v>66</v>
      </c>
      <c r="K1119" t="s">
        <v>579</v>
      </c>
      <c r="L1119">
        <v>84502</v>
      </c>
      <c r="M1119" t="s">
        <v>583</v>
      </c>
      <c r="O1119" t="s">
        <v>11</v>
      </c>
      <c r="P1119">
        <v>5403</v>
      </c>
      <c r="Q1119">
        <v>2</v>
      </c>
      <c r="R1119">
        <v>144.66</v>
      </c>
      <c r="S1119">
        <v>289.32</v>
      </c>
      <c r="T1119">
        <v>219.6</v>
      </c>
      <c r="U1119">
        <v>24.1</v>
      </c>
      <c r="V1119" t="str">
        <f>VLOOKUP(L1119,'[2]tabela de preços'!$A:$D,4,0)</f>
        <v>BRASILUX</v>
      </c>
      <c r="W1119" t="str">
        <f>VLOOKUP(L1119,'[2]tabela de preços'!$A:$F,6,0)</f>
        <v>EPOXI</v>
      </c>
      <c r="X1119" t="str">
        <f>VLOOKUP(L1119,'[2]tabela de preços'!$A:$G,7,0)</f>
        <v>INDUSTRIAL</v>
      </c>
    </row>
    <row r="1120" spans="1:24" x14ac:dyDescent="0.3">
      <c r="A1120" t="s">
        <v>575</v>
      </c>
      <c r="B1120" t="s">
        <v>576</v>
      </c>
      <c r="C1120" t="s">
        <v>577</v>
      </c>
      <c r="D1120" s="1">
        <v>46038</v>
      </c>
      <c r="E1120" t="s">
        <v>578</v>
      </c>
      <c r="F1120">
        <v>9</v>
      </c>
      <c r="G1120">
        <v>231</v>
      </c>
      <c r="H1120" t="str">
        <f>VLOOKUP(G1120,[1]OPERADORES!$A:$B,2,0)</f>
        <v>EDIJANE</v>
      </c>
      <c r="I1120" t="s">
        <v>21</v>
      </c>
      <c r="J1120" t="s">
        <v>66</v>
      </c>
      <c r="K1120" t="s">
        <v>579</v>
      </c>
      <c r="L1120">
        <v>23267</v>
      </c>
      <c r="M1120" t="s">
        <v>164</v>
      </c>
      <c r="O1120" t="s">
        <v>11</v>
      </c>
      <c r="P1120">
        <v>5102</v>
      </c>
      <c r="Q1120">
        <v>4</v>
      </c>
      <c r="R1120">
        <v>22.89</v>
      </c>
      <c r="S1120">
        <v>91.56</v>
      </c>
      <c r="T1120">
        <v>78.16</v>
      </c>
      <c r="U1120">
        <v>14.64</v>
      </c>
      <c r="V1120" t="str">
        <f>VLOOKUP(L1120,'[2]tabela de preços'!$A:$D,4,0)</f>
        <v>ANJO</v>
      </c>
      <c r="W1120" t="str">
        <f>VLOOKUP(L1120,'[2]tabela de preços'!$A:$F,6,0)</f>
        <v>MASSA POLIÉSTER</v>
      </c>
      <c r="X1120" t="str">
        <f>VLOOKUP(L1120,'[2]tabela de preços'!$A:$G,7,0)</f>
        <v>AUTOMOTIVO</v>
      </c>
    </row>
    <row r="1121" spans="1:24" x14ac:dyDescent="0.3">
      <c r="A1121" t="s">
        <v>626</v>
      </c>
      <c r="B1121" t="s">
        <v>627</v>
      </c>
      <c r="C1121" t="s">
        <v>660</v>
      </c>
      <c r="D1121" s="1">
        <v>46038</v>
      </c>
      <c r="E1121" t="s">
        <v>661</v>
      </c>
      <c r="F1121">
        <v>9</v>
      </c>
      <c r="G1121">
        <v>174</v>
      </c>
      <c r="H1121" t="str">
        <f>VLOOKUP(G1121,[1]OPERADORES!$A:$B,2,0)</f>
        <v>MIRIÃ LOBATO RODRIGUES</v>
      </c>
      <c r="I1121" t="s">
        <v>21</v>
      </c>
      <c r="J1121" t="s">
        <v>630</v>
      </c>
      <c r="K1121" t="s">
        <v>631</v>
      </c>
      <c r="L1121">
        <v>23716</v>
      </c>
      <c r="M1121" t="s">
        <v>220</v>
      </c>
      <c r="O1121" t="s">
        <v>11</v>
      </c>
      <c r="P1121">
        <v>5102</v>
      </c>
      <c r="Q1121">
        <v>1</v>
      </c>
      <c r="R1121">
        <v>40.71</v>
      </c>
      <c r="S1121">
        <v>40.71</v>
      </c>
      <c r="T1121">
        <v>30.9</v>
      </c>
      <c r="U1121">
        <v>24.1</v>
      </c>
      <c r="V1121" t="str">
        <f>VLOOKUP(L1121,'[2]tabela de preços'!$A:$D,4,0)</f>
        <v>NEW PAD</v>
      </c>
      <c r="W1121" t="str">
        <f>VLOOKUP(L1121,'[2]tabela de preços'!$A:$F,6,0)</f>
        <v>BOINAS PARA POLIMENTO</v>
      </c>
      <c r="X1121" t="str">
        <f>VLOOKUP(L1121,'[2]tabela de preços'!$A:$G,7,0)</f>
        <v>AUTOMOTIVO</v>
      </c>
    </row>
    <row r="1122" spans="1:24" x14ac:dyDescent="0.3">
      <c r="A1122" t="s">
        <v>626</v>
      </c>
      <c r="B1122" t="s">
        <v>627</v>
      </c>
      <c r="C1122" t="s">
        <v>660</v>
      </c>
      <c r="D1122" s="1">
        <v>46038</v>
      </c>
      <c r="E1122" t="s">
        <v>661</v>
      </c>
      <c r="F1122">
        <v>9</v>
      </c>
      <c r="G1122">
        <v>174</v>
      </c>
      <c r="H1122" t="str">
        <f>VLOOKUP(G1122,[1]OPERADORES!$A:$B,2,0)</f>
        <v>MIRIÃ LOBATO RODRIGUES</v>
      </c>
      <c r="I1122" t="s">
        <v>21</v>
      </c>
      <c r="J1122" t="s">
        <v>630</v>
      </c>
      <c r="K1122" t="s">
        <v>631</v>
      </c>
      <c r="L1122">
        <v>23076</v>
      </c>
      <c r="M1122" t="s">
        <v>97</v>
      </c>
      <c r="O1122" t="s">
        <v>11</v>
      </c>
      <c r="P1122">
        <v>5403</v>
      </c>
      <c r="Q1122">
        <v>30</v>
      </c>
      <c r="R1122">
        <v>34.89</v>
      </c>
      <c r="S1122" s="2">
        <v>1046.7</v>
      </c>
      <c r="T1122">
        <v>795.9</v>
      </c>
      <c r="U1122">
        <v>23.96</v>
      </c>
      <c r="V1122" t="str">
        <f>VLOOKUP(L1122,'[2]tabela de preços'!$A:$D,4,0)</f>
        <v>WANDA</v>
      </c>
      <c r="W1122" t="str">
        <f>VLOOKUP(L1122,'[2]tabela de preços'!$A:$F,6,0)</f>
        <v>PRIMER AUTOMOTIVO</v>
      </c>
      <c r="X1122" t="str">
        <f>VLOOKUP(L1122,'[2]tabela de preços'!$A:$G,7,0)</f>
        <v>AUTOMOTIVO</v>
      </c>
    </row>
    <row r="1123" spans="1:24" x14ac:dyDescent="0.3">
      <c r="A1123" t="s">
        <v>626</v>
      </c>
      <c r="B1123" t="s">
        <v>627</v>
      </c>
      <c r="C1123" t="s">
        <v>660</v>
      </c>
      <c r="D1123" s="1">
        <v>46038</v>
      </c>
      <c r="E1123" t="s">
        <v>661</v>
      </c>
      <c r="F1123">
        <v>9</v>
      </c>
      <c r="G1123">
        <v>174</v>
      </c>
      <c r="H1123" t="str">
        <f>VLOOKUP(G1123,[1]OPERADORES!$A:$B,2,0)</f>
        <v>MIRIÃ LOBATO RODRIGUES</v>
      </c>
      <c r="I1123" t="s">
        <v>21</v>
      </c>
      <c r="J1123" t="s">
        <v>630</v>
      </c>
      <c r="K1123" t="s">
        <v>631</v>
      </c>
      <c r="L1123">
        <v>23690</v>
      </c>
      <c r="M1123" t="s">
        <v>98</v>
      </c>
      <c r="O1123" t="s">
        <v>11</v>
      </c>
      <c r="P1123">
        <v>5403</v>
      </c>
      <c r="Q1123">
        <v>6</v>
      </c>
      <c r="R1123">
        <v>39.89</v>
      </c>
      <c r="S1123">
        <v>239.34</v>
      </c>
      <c r="T1123">
        <v>189.66</v>
      </c>
      <c r="U1123">
        <v>20.76</v>
      </c>
      <c r="V1123" t="str">
        <f>VLOOKUP(L1123,'[2]tabela de preços'!$A:$D,4,0)</f>
        <v>WANDA</v>
      </c>
      <c r="W1123" t="str">
        <f>VLOOKUP(L1123,'[2]tabela de preços'!$A:$F,6,0)</f>
        <v>VERNIZ AUTOMOTIVO</v>
      </c>
      <c r="X1123" t="str">
        <f>VLOOKUP(L1123,'[2]tabela de preços'!$A:$G,7,0)</f>
        <v>AUTOMOTIVO</v>
      </c>
    </row>
    <row r="1124" spans="1:24" x14ac:dyDescent="0.3">
      <c r="A1124" t="s">
        <v>626</v>
      </c>
      <c r="B1124" t="s">
        <v>627</v>
      </c>
      <c r="C1124" t="s">
        <v>660</v>
      </c>
      <c r="D1124" s="1">
        <v>46038</v>
      </c>
      <c r="E1124" t="s">
        <v>661</v>
      </c>
      <c r="F1124">
        <v>9</v>
      </c>
      <c r="G1124">
        <v>174</v>
      </c>
      <c r="H1124" t="str">
        <f>VLOOKUP(G1124,[1]OPERADORES!$A:$B,2,0)</f>
        <v>MIRIÃ LOBATO RODRIGUES</v>
      </c>
      <c r="I1124" t="s">
        <v>21</v>
      </c>
      <c r="J1124" t="s">
        <v>630</v>
      </c>
      <c r="K1124" t="s">
        <v>631</v>
      </c>
      <c r="L1124">
        <v>23602</v>
      </c>
      <c r="M1124" t="s">
        <v>215</v>
      </c>
      <c r="O1124" t="s">
        <v>11</v>
      </c>
      <c r="P1124">
        <v>5403</v>
      </c>
      <c r="Q1124">
        <v>9</v>
      </c>
      <c r="R1124">
        <v>35.89</v>
      </c>
      <c r="S1124">
        <v>323.01</v>
      </c>
      <c r="T1124">
        <v>263.25</v>
      </c>
      <c r="U1124">
        <v>18.5</v>
      </c>
      <c r="V1124" t="str">
        <f>VLOOKUP(L1124,'[2]tabela de preços'!$A:$D,4,0)</f>
        <v>SHERWIN WILLIAMS</v>
      </c>
      <c r="W1124" t="str">
        <f>VLOOKUP(L1124,'[2]tabela de preços'!$A:$F,6,0)</f>
        <v>VERNIZ AUTOMOTIVO</v>
      </c>
      <c r="X1124" t="str">
        <f>VLOOKUP(L1124,'[2]tabela de preços'!$A:$G,7,0)</f>
        <v>AUTOMOTIVO</v>
      </c>
    </row>
    <row r="1125" spans="1:24" x14ac:dyDescent="0.3">
      <c r="A1125" t="s">
        <v>626</v>
      </c>
      <c r="B1125" t="s">
        <v>627</v>
      </c>
      <c r="C1125" t="s">
        <v>660</v>
      </c>
      <c r="D1125" s="1">
        <v>46038</v>
      </c>
      <c r="E1125" t="s">
        <v>661</v>
      </c>
      <c r="F1125">
        <v>9</v>
      </c>
      <c r="G1125">
        <v>174</v>
      </c>
      <c r="H1125" t="str">
        <f>VLOOKUP(G1125,[1]OPERADORES!$A:$B,2,0)</f>
        <v>MIRIÃ LOBATO RODRIGUES</v>
      </c>
      <c r="I1125" t="s">
        <v>21</v>
      </c>
      <c r="J1125" t="s">
        <v>630</v>
      </c>
      <c r="K1125" t="s">
        <v>631</v>
      </c>
      <c r="L1125">
        <v>21820</v>
      </c>
      <c r="M1125" t="s">
        <v>149</v>
      </c>
      <c r="O1125" t="s">
        <v>11</v>
      </c>
      <c r="P1125">
        <v>5403</v>
      </c>
      <c r="Q1125">
        <v>1</v>
      </c>
      <c r="R1125">
        <v>38.51</v>
      </c>
      <c r="S1125">
        <v>38.51</v>
      </c>
      <c r="T1125">
        <v>27.46</v>
      </c>
      <c r="U1125">
        <v>28.69</v>
      </c>
      <c r="V1125" t="str">
        <f>VLOOKUP(L1125,'[2]tabela de preços'!$A:$D,4,0)</f>
        <v>SHERWIN WILLIAMS</v>
      </c>
      <c r="W1125" t="str">
        <f>VLOOKUP(L1125,'[2]tabela de preços'!$A:$F,6,0)</f>
        <v>TINTAS PU</v>
      </c>
      <c r="X1125" t="str">
        <f>VLOOKUP(L1125,'[2]tabela de preços'!$A:$G,7,0)</f>
        <v>AUTOMOTIVO</v>
      </c>
    </row>
    <row r="1126" spans="1:24" x14ac:dyDescent="0.3">
      <c r="A1126" t="s">
        <v>626</v>
      </c>
      <c r="B1126" t="s">
        <v>627</v>
      </c>
      <c r="C1126" t="s">
        <v>660</v>
      </c>
      <c r="D1126" s="1">
        <v>46038</v>
      </c>
      <c r="E1126" t="s">
        <v>661</v>
      </c>
      <c r="F1126">
        <v>9</v>
      </c>
      <c r="G1126">
        <v>174</v>
      </c>
      <c r="H1126" t="str">
        <f>VLOOKUP(G1126,[1]OPERADORES!$A:$B,2,0)</f>
        <v>MIRIÃ LOBATO RODRIGUES</v>
      </c>
      <c r="I1126" t="s">
        <v>21</v>
      </c>
      <c r="J1126" t="s">
        <v>630</v>
      </c>
      <c r="K1126" t="s">
        <v>631</v>
      </c>
      <c r="L1126">
        <v>20384</v>
      </c>
      <c r="M1126" t="s">
        <v>648</v>
      </c>
      <c r="O1126" t="s">
        <v>11</v>
      </c>
      <c r="P1126">
        <v>5403</v>
      </c>
      <c r="Q1126">
        <v>1</v>
      </c>
      <c r="R1126">
        <v>32.159999999999997</v>
      </c>
      <c r="S1126">
        <v>32.159999999999997</v>
      </c>
      <c r="T1126">
        <v>22.93</v>
      </c>
      <c r="U1126">
        <v>28.7</v>
      </c>
      <c r="V1126" t="str">
        <f>VLOOKUP(L1126,'[2]tabela de preços'!$A:$D,4,0)</f>
        <v>SHERWIN WILLIAMS</v>
      </c>
      <c r="W1126" t="str">
        <f>VLOOKUP(L1126,'[2]tabela de preços'!$A:$F,6,0)</f>
        <v>TINTAS PU</v>
      </c>
      <c r="X1126" t="str">
        <f>VLOOKUP(L1126,'[2]tabela de preços'!$A:$G,7,0)</f>
        <v>AUTOMOTIVO</v>
      </c>
    </row>
    <row r="1127" spans="1:24" x14ac:dyDescent="0.3">
      <c r="A1127" t="s">
        <v>626</v>
      </c>
      <c r="B1127" t="s">
        <v>627</v>
      </c>
      <c r="C1127" t="s">
        <v>660</v>
      </c>
      <c r="D1127" s="1">
        <v>46038</v>
      </c>
      <c r="E1127" t="s">
        <v>661</v>
      </c>
      <c r="F1127">
        <v>9</v>
      </c>
      <c r="G1127">
        <v>174</v>
      </c>
      <c r="H1127" t="str">
        <f>VLOOKUP(G1127,[1]OPERADORES!$A:$B,2,0)</f>
        <v>MIRIÃ LOBATO RODRIGUES</v>
      </c>
      <c r="I1127" t="s">
        <v>21</v>
      </c>
      <c r="J1127" t="s">
        <v>630</v>
      </c>
      <c r="K1127" t="s">
        <v>631</v>
      </c>
      <c r="L1127">
        <v>20327</v>
      </c>
      <c r="M1127" t="s">
        <v>216</v>
      </c>
      <c r="O1127" t="s">
        <v>11</v>
      </c>
      <c r="P1127">
        <v>5102</v>
      </c>
      <c r="Q1127">
        <v>1</v>
      </c>
      <c r="R1127">
        <v>33.119999999999997</v>
      </c>
      <c r="S1127">
        <v>33.119999999999997</v>
      </c>
      <c r="T1127">
        <v>23.62</v>
      </c>
      <c r="U1127">
        <v>28.68</v>
      </c>
      <c r="V1127" t="str">
        <f>VLOOKUP(L1127,'[2]tabela de preços'!$A:$D,4,0)</f>
        <v>SHERWIN WILLIAMS</v>
      </c>
      <c r="W1127" t="str">
        <f>VLOOKUP(L1127,'[2]tabela de preços'!$A:$F,6,0)</f>
        <v>TINTAS PU</v>
      </c>
      <c r="X1127" t="str">
        <f>VLOOKUP(L1127,'[2]tabela de preços'!$A:$G,7,0)</f>
        <v>AUTOMOTIVO</v>
      </c>
    </row>
    <row r="1128" spans="1:24" x14ac:dyDescent="0.3">
      <c r="A1128" t="s">
        <v>626</v>
      </c>
      <c r="B1128" t="s">
        <v>627</v>
      </c>
      <c r="C1128" t="s">
        <v>660</v>
      </c>
      <c r="D1128" s="1">
        <v>46038</v>
      </c>
      <c r="E1128" t="s">
        <v>661</v>
      </c>
      <c r="F1128">
        <v>9</v>
      </c>
      <c r="G1128">
        <v>174</v>
      </c>
      <c r="H1128" t="str">
        <f>VLOOKUP(G1128,[1]OPERADORES!$A:$B,2,0)</f>
        <v>MIRIÃ LOBATO RODRIGUES</v>
      </c>
      <c r="I1128" t="s">
        <v>21</v>
      </c>
      <c r="J1128" t="s">
        <v>630</v>
      </c>
      <c r="K1128" t="s">
        <v>631</v>
      </c>
      <c r="L1128">
        <v>20525</v>
      </c>
      <c r="M1128" t="s">
        <v>137</v>
      </c>
      <c r="O1128" t="s">
        <v>11</v>
      </c>
      <c r="P1128">
        <v>5102</v>
      </c>
      <c r="Q1128">
        <v>2</v>
      </c>
      <c r="R1128">
        <v>13.65</v>
      </c>
      <c r="S1128">
        <v>27.3</v>
      </c>
      <c r="T1128">
        <v>20.72</v>
      </c>
      <c r="U1128">
        <v>24.1</v>
      </c>
      <c r="V1128" t="str">
        <f>VLOOKUP(L1128,'[2]tabela de preços'!$A:$D,4,0)</f>
        <v>SHERWIN WILLIAMS</v>
      </c>
      <c r="W1128" t="str">
        <f>VLOOKUP(L1128,'[2]tabela de preços'!$A:$F,6,0)</f>
        <v>MASSA DE PEQUENOS REPAROS</v>
      </c>
      <c r="X1128" t="str">
        <f>VLOOKUP(L1128,'[2]tabela de preços'!$A:$G,7,0)</f>
        <v>AUTOMOTIVO</v>
      </c>
    </row>
    <row r="1129" spans="1:24" x14ac:dyDescent="0.3">
      <c r="A1129" t="s">
        <v>626</v>
      </c>
      <c r="B1129" t="s">
        <v>627</v>
      </c>
      <c r="C1129" t="s">
        <v>660</v>
      </c>
      <c r="D1129" s="1">
        <v>46038</v>
      </c>
      <c r="E1129" t="s">
        <v>661</v>
      </c>
      <c r="F1129">
        <v>9</v>
      </c>
      <c r="G1129">
        <v>174</v>
      </c>
      <c r="H1129" t="str">
        <f>VLOOKUP(G1129,[1]OPERADORES!$A:$B,2,0)</f>
        <v>MIRIÃ LOBATO RODRIGUES</v>
      </c>
      <c r="I1129" t="s">
        <v>21</v>
      </c>
      <c r="J1129" t="s">
        <v>630</v>
      </c>
      <c r="K1129" t="s">
        <v>631</v>
      </c>
      <c r="L1129">
        <v>21078</v>
      </c>
      <c r="M1129" t="s">
        <v>141</v>
      </c>
      <c r="O1129" t="s">
        <v>11</v>
      </c>
      <c r="P1129">
        <v>5102</v>
      </c>
      <c r="Q1129">
        <v>2</v>
      </c>
      <c r="R1129">
        <v>22.89</v>
      </c>
      <c r="S1129">
        <v>45.78</v>
      </c>
      <c r="T1129">
        <v>37.32</v>
      </c>
      <c r="U1129">
        <v>18.48</v>
      </c>
      <c r="V1129" t="str">
        <f>VLOOKUP(L1129,'[2]tabela de preços'!$A:$D,4,0)</f>
        <v>SHERWIN WILLIAMS</v>
      </c>
      <c r="W1129" t="str">
        <f>VLOOKUP(L1129,'[2]tabela de preços'!$A:$F,6,0)</f>
        <v>MASSA POLIÉSTER</v>
      </c>
      <c r="X1129" t="str">
        <f>VLOOKUP(L1129,'[2]tabela de preços'!$A:$G,7,0)</f>
        <v>AUTOMOTIVO</v>
      </c>
    </row>
    <row r="1130" spans="1:24" x14ac:dyDescent="0.3">
      <c r="A1130" t="s">
        <v>626</v>
      </c>
      <c r="B1130" t="s">
        <v>627</v>
      </c>
      <c r="C1130" t="s">
        <v>660</v>
      </c>
      <c r="D1130" s="1">
        <v>46038</v>
      </c>
      <c r="E1130" t="s">
        <v>661</v>
      </c>
      <c r="F1130">
        <v>9</v>
      </c>
      <c r="G1130">
        <v>174</v>
      </c>
      <c r="H1130" t="str">
        <f>VLOOKUP(G1130,[1]OPERADORES!$A:$B,2,0)</f>
        <v>MIRIÃ LOBATO RODRIGUES</v>
      </c>
      <c r="I1130" t="s">
        <v>21</v>
      </c>
      <c r="J1130" t="s">
        <v>630</v>
      </c>
      <c r="K1130" t="s">
        <v>631</v>
      </c>
      <c r="L1130">
        <v>23267</v>
      </c>
      <c r="M1130" t="s">
        <v>164</v>
      </c>
      <c r="O1130" t="s">
        <v>11</v>
      </c>
      <c r="P1130">
        <v>5102</v>
      </c>
      <c r="Q1130">
        <v>2</v>
      </c>
      <c r="R1130">
        <v>22.89</v>
      </c>
      <c r="S1130">
        <v>45.78</v>
      </c>
      <c r="T1130">
        <v>39.08</v>
      </c>
      <c r="U1130">
        <v>14.64</v>
      </c>
      <c r="V1130" t="str">
        <f>VLOOKUP(L1130,'[2]tabela de preços'!$A:$D,4,0)</f>
        <v>ANJO</v>
      </c>
      <c r="W1130" t="str">
        <f>VLOOKUP(L1130,'[2]tabela de preços'!$A:$F,6,0)</f>
        <v>MASSA POLIÉSTER</v>
      </c>
      <c r="X1130" t="str">
        <f>VLOOKUP(L1130,'[2]tabela de preços'!$A:$G,7,0)</f>
        <v>AUTOMOTIVO</v>
      </c>
    </row>
    <row r="1131" spans="1:24" x14ac:dyDescent="0.3">
      <c r="A1131" t="s">
        <v>626</v>
      </c>
      <c r="B1131" t="s">
        <v>627</v>
      </c>
      <c r="C1131" t="s">
        <v>660</v>
      </c>
      <c r="D1131" s="1">
        <v>46038</v>
      </c>
      <c r="E1131" t="s">
        <v>661</v>
      </c>
      <c r="F1131">
        <v>9</v>
      </c>
      <c r="G1131">
        <v>174</v>
      </c>
      <c r="H1131" t="str">
        <f>VLOOKUP(G1131,[1]OPERADORES!$A:$B,2,0)</f>
        <v>MIRIÃ LOBATO RODRIGUES</v>
      </c>
      <c r="I1131" t="s">
        <v>21</v>
      </c>
      <c r="J1131" t="s">
        <v>630</v>
      </c>
      <c r="K1131" t="s">
        <v>631</v>
      </c>
      <c r="L1131">
        <v>87043</v>
      </c>
      <c r="M1131" t="s">
        <v>217</v>
      </c>
      <c r="O1131" t="s">
        <v>11</v>
      </c>
      <c r="P1131">
        <v>5102</v>
      </c>
      <c r="Q1131">
        <v>8</v>
      </c>
      <c r="R1131">
        <v>21.95</v>
      </c>
      <c r="S1131">
        <v>175.6</v>
      </c>
      <c r="T1131">
        <v>144.16</v>
      </c>
      <c r="U1131">
        <v>17.899999999999999</v>
      </c>
      <c r="V1131" t="str">
        <f>VLOOKUP(L1131,'[2]tabela de preços'!$A:$D,4,0)</f>
        <v>ROBERLO</v>
      </c>
      <c r="W1131" t="str">
        <f>VLOOKUP(L1131,'[2]tabela de preços'!$A:$F,6,0)</f>
        <v>MASSA POLIÉSTER</v>
      </c>
      <c r="X1131" t="str">
        <f>VLOOKUP(L1131,'[2]tabela de preços'!$A:$G,7,0)</f>
        <v>AUTOMOTIVO</v>
      </c>
    </row>
    <row r="1132" spans="1:24" x14ac:dyDescent="0.3">
      <c r="A1132" t="s">
        <v>626</v>
      </c>
      <c r="B1132" t="s">
        <v>627</v>
      </c>
      <c r="C1132" t="s">
        <v>660</v>
      </c>
      <c r="D1132" s="1">
        <v>46038</v>
      </c>
      <c r="E1132" t="s">
        <v>661</v>
      </c>
      <c r="F1132">
        <v>9</v>
      </c>
      <c r="G1132">
        <v>174</v>
      </c>
      <c r="H1132" t="str">
        <f>VLOOKUP(G1132,[1]OPERADORES!$A:$B,2,0)</f>
        <v>MIRIÃ LOBATO RODRIGUES</v>
      </c>
      <c r="I1132" t="s">
        <v>21</v>
      </c>
      <c r="J1132" t="s">
        <v>630</v>
      </c>
      <c r="K1132" t="s">
        <v>631</v>
      </c>
      <c r="L1132">
        <v>20212</v>
      </c>
      <c r="M1132" t="s">
        <v>198</v>
      </c>
      <c r="O1132" t="s">
        <v>11</v>
      </c>
      <c r="P1132">
        <v>5403</v>
      </c>
      <c r="Q1132">
        <v>2</v>
      </c>
      <c r="R1132">
        <v>26.95</v>
      </c>
      <c r="S1132">
        <v>53.9</v>
      </c>
      <c r="T1132">
        <v>40.92</v>
      </c>
      <c r="U1132">
        <v>24.08</v>
      </c>
      <c r="V1132" t="str">
        <f>VLOOKUP(L1132,'[2]tabela de preços'!$A:$D,4,0)</f>
        <v>MAXI RUBBER</v>
      </c>
      <c r="W1132" t="str">
        <f>VLOOKUP(L1132,'[2]tabela de preços'!$A:$F,6,0)</f>
        <v>SELADORA P/ PLASTICO</v>
      </c>
      <c r="X1132" t="str">
        <f>VLOOKUP(L1132,'[2]tabela de preços'!$A:$G,7,0)</f>
        <v>AUTOMOTIVO</v>
      </c>
    </row>
    <row r="1133" spans="1:24" x14ac:dyDescent="0.3">
      <c r="A1133" t="s">
        <v>626</v>
      </c>
      <c r="B1133" t="s">
        <v>627</v>
      </c>
      <c r="C1133" t="s">
        <v>660</v>
      </c>
      <c r="D1133" s="1">
        <v>46038</v>
      </c>
      <c r="E1133" t="s">
        <v>661</v>
      </c>
      <c r="F1133">
        <v>9</v>
      </c>
      <c r="G1133">
        <v>174</v>
      </c>
      <c r="H1133" t="str">
        <f>VLOOKUP(G1133,[1]OPERADORES!$A:$B,2,0)</f>
        <v>MIRIÃ LOBATO RODRIGUES</v>
      </c>
      <c r="I1133" t="s">
        <v>21</v>
      </c>
      <c r="J1133" t="s">
        <v>630</v>
      </c>
      <c r="K1133" t="s">
        <v>631</v>
      </c>
      <c r="L1133">
        <v>84460</v>
      </c>
      <c r="M1133" t="s">
        <v>322</v>
      </c>
      <c r="O1133" t="s">
        <v>11</v>
      </c>
      <c r="P1133">
        <v>5102</v>
      </c>
      <c r="Q1133">
        <v>1</v>
      </c>
      <c r="R1133">
        <v>31.07</v>
      </c>
      <c r="S1133">
        <v>31.07</v>
      </c>
      <c r="T1133">
        <v>23.58</v>
      </c>
      <c r="U1133">
        <v>24.11</v>
      </c>
      <c r="V1133" t="str">
        <f>VLOOKUP(L1133,'[2]tabela de preços'!$A:$D,4,0)</f>
        <v>BRASILUX</v>
      </c>
      <c r="W1133" t="str">
        <f>VLOOKUP(L1133,'[2]tabela de preços'!$A:$F,6,0)</f>
        <v>VEDADORES / SELANTES</v>
      </c>
      <c r="X1133" t="str">
        <f>VLOOKUP(L1133,'[2]tabela de preços'!$A:$G,7,0)</f>
        <v>AUTOMOTIVO</v>
      </c>
    </row>
    <row r="1134" spans="1:24" x14ac:dyDescent="0.3">
      <c r="A1134" t="s">
        <v>626</v>
      </c>
      <c r="B1134" t="s">
        <v>627</v>
      </c>
      <c r="C1134" t="s">
        <v>662</v>
      </c>
      <c r="D1134" s="1">
        <v>46038</v>
      </c>
      <c r="E1134" t="s">
        <v>663</v>
      </c>
      <c r="F1134">
        <v>9</v>
      </c>
      <c r="G1134">
        <v>174</v>
      </c>
      <c r="H1134" t="str">
        <f>VLOOKUP(G1134,[1]OPERADORES!$A:$B,2,0)</f>
        <v>MIRIÃ LOBATO RODRIGUES</v>
      </c>
      <c r="I1134" t="s">
        <v>21</v>
      </c>
      <c r="J1134" t="s">
        <v>630</v>
      </c>
      <c r="K1134" t="s">
        <v>631</v>
      </c>
      <c r="L1134">
        <v>23653</v>
      </c>
      <c r="M1134" t="s">
        <v>644</v>
      </c>
      <c r="O1134" t="s">
        <v>11</v>
      </c>
      <c r="P1134">
        <v>5102</v>
      </c>
      <c r="Q1134">
        <v>1</v>
      </c>
      <c r="R1134">
        <v>67.150000000000006</v>
      </c>
      <c r="S1134">
        <v>67.150000000000006</v>
      </c>
      <c r="T1134">
        <v>50.97</v>
      </c>
      <c r="U1134">
        <v>24.1</v>
      </c>
      <c r="V1134" t="str">
        <f>VLOOKUP(L1134,'[2]tabela de preços'!$A:$D,4,0)</f>
        <v>SIKKENS</v>
      </c>
      <c r="W1134" t="str">
        <f>VLOOKUP(L1134,'[2]tabela de preços'!$A:$F,6,0)</f>
        <v>CATALISADORES INDIVIDUAS</v>
      </c>
      <c r="X1134" t="str">
        <f>VLOOKUP(L1134,'[2]tabela de preços'!$A:$G,7,0)</f>
        <v>AUTOMOTIVO</v>
      </c>
    </row>
    <row r="1135" spans="1:24" x14ac:dyDescent="0.3">
      <c r="A1135" t="s">
        <v>626</v>
      </c>
      <c r="B1135" t="s">
        <v>627</v>
      </c>
      <c r="C1135" t="s">
        <v>662</v>
      </c>
      <c r="D1135" s="1">
        <v>46038</v>
      </c>
      <c r="E1135" t="s">
        <v>663</v>
      </c>
      <c r="F1135">
        <v>9</v>
      </c>
      <c r="G1135">
        <v>174</v>
      </c>
      <c r="H1135" t="str">
        <f>VLOOKUP(G1135,[1]OPERADORES!$A:$B,2,0)</f>
        <v>MIRIÃ LOBATO RODRIGUES</v>
      </c>
      <c r="I1135" t="s">
        <v>21</v>
      </c>
      <c r="J1135" t="s">
        <v>630</v>
      </c>
      <c r="K1135" t="s">
        <v>631</v>
      </c>
      <c r="L1135">
        <v>23926</v>
      </c>
      <c r="M1135" t="s">
        <v>645</v>
      </c>
      <c r="O1135" t="s">
        <v>11</v>
      </c>
      <c r="P1135">
        <v>5403</v>
      </c>
      <c r="Q1135">
        <v>1</v>
      </c>
      <c r="R1135">
        <v>135.72</v>
      </c>
      <c r="S1135">
        <v>135.72</v>
      </c>
      <c r="T1135">
        <v>103.01</v>
      </c>
      <c r="U1135">
        <v>24.1</v>
      </c>
      <c r="V1135" t="str">
        <f>VLOOKUP(L1135,'[2]tabela de preços'!$A:$D,4,0)</f>
        <v>SIKKENS</v>
      </c>
      <c r="W1135" t="str">
        <f>VLOOKUP(L1135,'[2]tabela de preços'!$A:$F,6,0)</f>
        <v>PRIMER AUTOMOTIVO</v>
      </c>
      <c r="X1135" t="str">
        <f>VLOOKUP(L1135,'[2]tabela de preços'!$A:$G,7,0)</f>
        <v>AUTOMOTIVO</v>
      </c>
    </row>
    <row r="1136" spans="1:24" x14ac:dyDescent="0.3">
      <c r="A1136" t="s">
        <v>626</v>
      </c>
      <c r="B1136" t="s">
        <v>627</v>
      </c>
      <c r="C1136" t="s">
        <v>664</v>
      </c>
      <c r="D1136" s="1">
        <v>46038</v>
      </c>
      <c r="E1136" t="s">
        <v>665</v>
      </c>
      <c r="F1136">
        <v>9</v>
      </c>
      <c r="G1136">
        <v>174</v>
      </c>
      <c r="H1136" t="str">
        <f>VLOOKUP(G1136,[1]OPERADORES!$A:$B,2,0)</f>
        <v>MIRIÃ LOBATO RODRIGUES</v>
      </c>
      <c r="I1136" t="s">
        <v>21</v>
      </c>
      <c r="J1136" t="s">
        <v>630</v>
      </c>
      <c r="K1136" t="s">
        <v>631</v>
      </c>
      <c r="L1136">
        <v>85693</v>
      </c>
      <c r="M1136" t="s">
        <v>526</v>
      </c>
      <c r="O1136" t="s">
        <v>11</v>
      </c>
      <c r="P1136">
        <v>5102</v>
      </c>
      <c r="Q1136">
        <v>24</v>
      </c>
      <c r="R1136">
        <v>7.89</v>
      </c>
      <c r="S1136">
        <v>189.36</v>
      </c>
      <c r="T1136">
        <v>156.24</v>
      </c>
      <c r="U1136">
        <v>17.489999999999998</v>
      </c>
      <c r="V1136" t="str">
        <f>VLOOKUP(L1136,'[2]tabela de preços'!$A:$D,4,0)</f>
        <v>UNIPEGA</v>
      </c>
      <c r="W1136" t="str">
        <f>VLOOKUP(L1136,'[2]tabela de preços'!$A:$F,6,0)</f>
        <v>PU 40</v>
      </c>
      <c r="X1136" t="str">
        <f>VLOOKUP(L1136,'[2]tabela de preços'!$A:$G,7,0)</f>
        <v>IMOBILIÁRIO</v>
      </c>
    </row>
    <row r="1137" spans="1:24" x14ac:dyDescent="0.3">
      <c r="A1137" t="s">
        <v>626</v>
      </c>
      <c r="B1137" t="s">
        <v>627</v>
      </c>
      <c r="C1137" t="s">
        <v>664</v>
      </c>
      <c r="D1137" s="1">
        <v>46038</v>
      </c>
      <c r="E1137" t="s">
        <v>665</v>
      </c>
      <c r="F1137">
        <v>9</v>
      </c>
      <c r="G1137">
        <v>174</v>
      </c>
      <c r="H1137" t="str">
        <f>VLOOKUP(G1137,[1]OPERADORES!$A:$B,2,0)</f>
        <v>MIRIÃ LOBATO RODRIGUES</v>
      </c>
      <c r="I1137" t="s">
        <v>21</v>
      </c>
      <c r="J1137" t="s">
        <v>630</v>
      </c>
      <c r="K1137" t="s">
        <v>631</v>
      </c>
      <c r="L1137">
        <v>23716</v>
      </c>
      <c r="M1137" t="s">
        <v>220</v>
      </c>
      <c r="O1137" t="s">
        <v>11</v>
      </c>
      <c r="P1137">
        <v>5102</v>
      </c>
      <c r="Q1137">
        <v>1</v>
      </c>
      <c r="R1137">
        <v>40.71</v>
      </c>
      <c r="S1137">
        <v>40.71</v>
      </c>
      <c r="T1137">
        <v>30.9</v>
      </c>
      <c r="U1137">
        <v>24.1</v>
      </c>
      <c r="V1137" t="str">
        <f>VLOOKUP(L1137,'[2]tabela de preços'!$A:$D,4,0)</f>
        <v>NEW PAD</v>
      </c>
      <c r="W1137" t="str">
        <f>VLOOKUP(L1137,'[2]tabela de preços'!$A:$F,6,0)</f>
        <v>BOINAS PARA POLIMENTO</v>
      </c>
      <c r="X1137" t="str">
        <f>VLOOKUP(L1137,'[2]tabela de preços'!$A:$G,7,0)</f>
        <v>AUTOMOTIVO</v>
      </c>
    </row>
    <row r="1138" spans="1:24" x14ac:dyDescent="0.3">
      <c r="A1138" t="s">
        <v>626</v>
      </c>
      <c r="B1138" t="s">
        <v>627</v>
      </c>
      <c r="C1138" t="s">
        <v>664</v>
      </c>
      <c r="D1138" s="1">
        <v>46038</v>
      </c>
      <c r="E1138" t="s">
        <v>665</v>
      </c>
      <c r="F1138">
        <v>9</v>
      </c>
      <c r="G1138">
        <v>174</v>
      </c>
      <c r="H1138" t="str">
        <f>VLOOKUP(G1138,[1]OPERADORES!$A:$B,2,0)</f>
        <v>MIRIÃ LOBATO RODRIGUES</v>
      </c>
      <c r="I1138" t="s">
        <v>21</v>
      </c>
      <c r="J1138" t="s">
        <v>630</v>
      </c>
      <c r="K1138" t="s">
        <v>631</v>
      </c>
      <c r="L1138">
        <v>21820</v>
      </c>
      <c r="M1138" t="s">
        <v>149</v>
      </c>
      <c r="O1138" t="s">
        <v>11</v>
      </c>
      <c r="P1138">
        <v>5403</v>
      </c>
      <c r="Q1138">
        <v>1</v>
      </c>
      <c r="R1138">
        <v>38.51</v>
      </c>
      <c r="S1138">
        <v>38.51</v>
      </c>
      <c r="T1138">
        <v>27.46</v>
      </c>
      <c r="U1138">
        <v>28.69</v>
      </c>
      <c r="V1138" t="str">
        <f>VLOOKUP(L1138,'[2]tabela de preços'!$A:$D,4,0)</f>
        <v>SHERWIN WILLIAMS</v>
      </c>
      <c r="W1138" t="str">
        <f>VLOOKUP(L1138,'[2]tabela de preços'!$A:$F,6,0)</f>
        <v>TINTAS PU</v>
      </c>
      <c r="X1138" t="str">
        <f>VLOOKUP(L1138,'[2]tabela de preços'!$A:$G,7,0)</f>
        <v>AUTOMOTIVO</v>
      </c>
    </row>
    <row r="1139" spans="1:24" x14ac:dyDescent="0.3">
      <c r="A1139" t="s">
        <v>626</v>
      </c>
      <c r="B1139" t="s">
        <v>627</v>
      </c>
      <c r="C1139" t="s">
        <v>664</v>
      </c>
      <c r="D1139" s="1">
        <v>46038</v>
      </c>
      <c r="E1139" t="s">
        <v>665</v>
      </c>
      <c r="F1139">
        <v>9</v>
      </c>
      <c r="G1139">
        <v>174</v>
      </c>
      <c r="H1139" t="str">
        <f>VLOOKUP(G1139,[1]OPERADORES!$A:$B,2,0)</f>
        <v>MIRIÃ LOBATO RODRIGUES</v>
      </c>
      <c r="I1139" t="s">
        <v>21</v>
      </c>
      <c r="J1139" t="s">
        <v>630</v>
      </c>
      <c r="K1139" t="s">
        <v>631</v>
      </c>
      <c r="L1139">
        <v>20384</v>
      </c>
      <c r="M1139" t="s">
        <v>648</v>
      </c>
      <c r="O1139" t="s">
        <v>11</v>
      </c>
      <c r="P1139">
        <v>5403</v>
      </c>
      <c r="Q1139">
        <v>1</v>
      </c>
      <c r="R1139">
        <v>32.159999999999997</v>
      </c>
      <c r="S1139">
        <v>32.159999999999997</v>
      </c>
      <c r="T1139">
        <v>22.93</v>
      </c>
      <c r="U1139">
        <v>28.7</v>
      </c>
      <c r="V1139" t="str">
        <f>VLOOKUP(L1139,'[2]tabela de preços'!$A:$D,4,0)</f>
        <v>SHERWIN WILLIAMS</v>
      </c>
      <c r="W1139" t="str">
        <f>VLOOKUP(L1139,'[2]tabela de preços'!$A:$F,6,0)</f>
        <v>TINTAS PU</v>
      </c>
      <c r="X1139" t="str">
        <f>VLOOKUP(L1139,'[2]tabela de preços'!$A:$G,7,0)</f>
        <v>AUTOMOTIVO</v>
      </c>
    </row>
    <row r="1140" spans="1:24" x14ac:dyDescent="0.3">
      <c r="A1140" t="s">
        <v>626</v>
      </c>
      <c r="B1140" t="s">
        <v>627</v>
      </c>
      <c r="C1140" t="s">
        <v>664</v>
      </c>
      <c r="D1140" s="1">
        <v>46038</v>
      </c>
      <c r="E1140" t="s">
        <v>665</v>
      </c>
      <c r="F1140">
        <v>9</v>
      </c>
      <c r="G1140">
        <v>174</v>
      </c>
      <c r="H1140" t="str">
        <f>VLOOKUP(G1140,[1]OPERADORES!$A:$B,2,0)</f>
        <v>MIRIÃ LOBATO RODRIGUES</v>
      </c>
      <c r="I1140" t="s">
        <v>21</v>
      </c>
      <c r="J1140" t="s">
        <v>630</v>
      </c>
      <c r="K1140" t="s">
        <v>631</v>
      </c>
      <c r="L1140">
        <v>20817</v>
      </c>
      <c r="M1140" t="s">
        <v>153</v>
      </c>
      <c r="O1140" t="s">
        <v>11</v>
      </c>
      <c r="P1140">
        <v>5102</v>
      </c>
      <c r="Q1140">
        <v>2</v>
      </c>
      <c r="R1140">
        <v>22.89</v>
      </c>
      <c r="S1140">
        <v>45.78</v>
      </c>
      <c r="T1140">
        <v>37.24</v>
      </c>
      <c r="U1140">
        <v>18.649999999999999</v>
      </c>
      <c r="V1140" t="str">
        <f>VLOOKUP(L1140,'[2]tabela de preços'!$A:$D,4,0)</f>
        <v>AUTO AMERICA</v>
      </c>
      <c r="W1140" t="str">
        <f>VLOOKUP(L1140,'[2]tabela de preços'!$A:$F,6,0)</f>
        <v>MASSA DE POLIR</v>
      </c>
      <c r="X1140" t="str">
        <f>VLOOKUP(L1140,'[2]tabela de preços'!$A:$G,7,0)</f>
        <v>AUTOMOTIVO</v>
      </c>
    </row>
    <row r="1141" spans="1:24" x14ac:dyDescent="0.3">
      <c r="A1141" t="s">
        <v>626</v>
      </c>
      <c r="B1141" t="s">
        <v>627</v>
      </c>
      <c r="C1141" t="s">
        <v>664</v>
      </c>
      <c r="D1141" s="1">
        <v>46038</v>
      </c>
      <c r="E1141" t="s">
        <v>665</v>
      </c>
      <c r="F1141">
        <v>9</v>
      </c>
      <c r="G1141">
        <v>174</v>
      </c>
      <c r="H1141" t="str">
        <f>VLOOKUP(G1141,[1]OPERADORES!$A:$B,2,0)</f>
        <v>MIRIÃ LOBATO RODRIGUES</v>
      </c>
      <c r="I1141" t="s">
        <v>21</v>
      </c>
      <c r="J1141" t="s">
        <v>630</v>
      </c>
      <c r="K1141" t="s">
        <v>631</v>
      </c>
      <c r="L1141">
        <v>21067</v>
      </c>
      <c r="M1141" t="s">
        <v>640</v>
      </c>
      <c r="O1141" t="s">
        <v>11</v>
      </c>
      <c r="P1141">
        <v>5102</v>
      </c>
      <c r="Q1141">
        <v>1</v>
      </c>
      <c r="R1141">
        <v>37.58</v>
      </c>
      <c r="S1141">
        <v>37.58</v>
      </c>
      <c r="T1141">
        <v>28.52</v>
      </c>
      <c r="U1141">
        <v>24.11</v>
      </c>
      <c r="V1141" t="str">
        <f>VLOOKUP(L1141,'[2]tabela de preços'!$A:$D,4,0)</f>
        <v>SIKKENS</v>
      </c>
      <c r="W1141" t="str">
        <f>VLOOKUP(L1141,'[2]tabela de preços'!$A:$F,6,0)</f>
        <v>DILUENTE</v>
      </c>
      <c r="X1141" t="str">
        <f>VLOOKUP(L1141,'[2]tabela de preços'!$A:$G,7,0)</f>
        <v>AUTOMOTIVO</v>
      </c>
    </row>
    <row r="1142" spans="1:24" x14ac:dyDescent="0.3">
      <c r="A1142" t="s">
        <v>626</v>
      </c>
      <c r="B1142" t="s">
        <v>627</v>
      </c>
      <c r="C1142" t="s">
        <v>664</v>
      </c>
      <c r="D1142" s="1">
        <v>46038</v>
      </c>
      <c r="E1142" t="s">
        <v>665</v>
      </c>
      <c r="F1142">
        <v>9</v>
      </c>
      <c r="G1142">
        <v>174</v>
      </c>
      <c r="H1142" t="str">
        <f>VLOOKUP(G1142,[1]OPERADORES!$A:$B,2,0)</f>
        <v>MIRIÃ LOBATO RODRIGUES</v>
      </c>
      <c r="I1142" t="s">
        <v>21</v>
      </c>
      <c r="J1142" t="s">
        <v>630</v>
      </c>
      <c r="K1142" t="s">
        <v>631</v>
      </c>
      <c r="L1142">
        <v>85650</v>
      </c>
      <c r="M1142" t="s">
        <v>439</v>
      </c>
      <c r="O1142" t="s">
        <v>11</v>
      </c>
      <c r="P1142">
        <v>5403</v>
      </c>
      <c r="Q1142">
        <v>6</v>
      </c>
      <c r="R1142">
        <v>9.1199999999999992</v>
      </c>
      <c r="S1142">
        <v>54.72</v>
      </c>
      <c r="T1142">
        <v>41.52</v>
      </c>
      <c r="U1142">
        <v>24.12</v>
      </c>
      <c r="V1142" t="str">
        <f>VLOOKUP(L1142,'[2]tabela de preços'!$A:$D,4,0)</f>
        <v>UNIPEGA</v>
      </c>
      <c r="W1142" t="str">
        <f>VLOOKUP(L1142,'[2]tabela de preços'!$A:$F,6,0)</f>
        <v xml:space="preserve">SPRAYS </v>
      </c>
      <c r="X1142" t="str">
        <f>VLOOKUP(L1142,'[2]tabela de preços'!$A:$G,7,0)</f>
        <v>AUTOMOTIVO</v>
      </c>
    </row>
    <row r="1143" spans="1:24" x14ac:dyDescent="0.3">
      <c r="A1143" t="s">
        <v>770</v>
      </c>
      <c r="C1143" t="s">
        <v>790</v>
      </c>
      <c r="D1143" s="1">
        <v>46038</v>
      </c>
      <c r="E1143" t="s">
        <v>791</v>
      </c>
      <c r="F1143">
        <v>9</v>
      </c>
      <c r="G1143">
        <v>230</v>
      </c>
      <c r="H1143" t="str">
        <f>VLOOKUP(G1143,[1]OPERADORES!$A:$B,2,0)</f>
        <v>SÔNIA</v>
      </c>
      <c r="I1143" t="s">
        <v>21</v>
      </c>
      <c r="J1143" t="s">
        <v>397</v>
      </c>
      <c r="K1143" t="s">
        <v>773</v>
      </c>
      <c r="L1143">
        <v>21819</v>
      </c>
      <c r="M1143" t="s">
        <v>792</v>
      </c>
      <c r="O1143" t="s">
        <v>11</v>
      </c>
      <c r="P1143">
        <v>5403</v>
      </c>
      <c r="Q1143">
        <v>3</v>
      </c>
      <c r="R1143">
        <v>33.380000000000003</v>
      </c>
      <c r="S1143">
        <v>100.14</v>
      </c>
      <c r="T1143">
        <v>71.400000000000006</v>
      </c>
      <c r="U1143">
        <v>28.7</v>
      </c>
      <c r="V1143" t="str">
        <f>VLOOKUP(L1143,'[2]tabela de preços'!$A:$D,4,0)</f>
        <v>SHERWIN WILLIAMS</v>
      </c>
      <c r="W1143" t="str">
        <f>VLOOKUP(L1143,'[2]tabela de preços'!$A:$F,6,0)</f>
        <v>TINTAS POLIÉSTER</v>
      </c>
      <c r="X1143" t="str">
        <f>VLOOKUP(L1143,'[2]tabela de preços'!$A:$G,7,0)</f>
        <v>AUTOMOTIVO</v>
      </c>
    </row>
    <row r="1144" spans="1:24" x14ac:dyDescent="0.3">
      <c r="A1144" t="s">
        <v>868</v>
      </c>
      <c r="B1144" t="s">
        <v>869</v>
      </c>
      <c r="C1144" t="s">
        <v>880</v>
      </c>
      <c r="D1144" s="1">
        <v>46038</v>
      </c>
      <c r="E1144" t="s">
        <v>881</v>
      </c>
      <c r="F1144">
        <v>9</v>
      </c>
      <c r="G1144">
        <v>197</v>
      </c>
      <c r="H1144" t="str">
        <f>VLOOKUP(G1144,[1]OPERADORES!$A:$B,2,0)</f>
        <v xml:space="preserve">POLIANA LORRANE DE AMORIM </v>
      </c>
      <c r="I1144" t="s">
        <v>21</v>
      </c>
      <c r="J1144" t="s">
        <v>872</v>
      </c>
      <c r="K1144" t="s">
        <v>873</v>
      </c>
      <c r="L1144">
        <v>84217</v>
      </c>
      <c r="M1144" t="s">
        <v>882</v>
      </c>
      <c r="O1144" t="s">
        <v>11</v>
      </c>
      <c r="P1144">
        <v>5403</v>
      </c>
      <c r="Q1144">
        <v>2</v>
      </c>
      <c r="R1144">
        <v>51.16</v>
      </c>
      <c r="S1144">
        <v>102.32</v>
      </c>
      <c r="T1144">
        <v>77.66</v>
      </c>
      <c r="U1144">
        <v>24.1</v>
      </c>
      <c r="V1144" t="str">
        <f>VLOOKUP(L1144,'[2]tabela de preços'!$A:$D,4,0)</f>
        <v>BRASILUX</v>
      </c>
      <c r="W1144" t="str">
        <f>VLOOKUP(L1144,'[2]tabela de preços'!$A:$F,6,0)</f>
        <v>ESMALTES</v>
      </c>
      <c r="X1144" t="str">
        <f>VLOOKUP(L1144,'[2]tabela de preços'!$A:$G,7,0)</f>
        <v>INDUSTRIAL</v>
      </c>
    </row>
    <row r="1145" spans="1:24" x14ac:dyDescent="0.3">
      <c r="A1145" t="s">
        <v>868</v>
      </c>
      <c r="B1145" t="s">
        <v>869</v>
      </c>
      <c r="C1145" t="s">
        <v>880</v>
      </c>
      <c r="D1145" s="1">
        <v>46038</v>
      </c>
      <c r="E1145" t="s">
        <v>881</v>
      </c>
      <c r="F1145">
        <v>9</v>
      </c>
      <c r="G1145">
        <v>197</v>
      </c>
      <c r="H1145" t="str">
        <f>VLOOKUP(G1145,[1]OPERADORES!$A:$B,2,0)</f>
        <v xml:space="preserve">POLIANA LORRANE DE AMORIM </v>
      </c>
      <c r="I1145" t="s">
        <v>21</v>
      </c>
      <c r="J1145" t="s">
        <v>872</v>
      </c>
      <c r="K1145" t="s">
        <v>873</v>
      </c>
      <c r="L1145">
        <v>84460</v>
      </c>
      <c r="M1145" t="s">
        <v>322</v>
      </c>
      <c r="O1145" t="s">
        <v>11</v>
      </c>
      <c r="P1145">
        <v>5102</v>
      </c>
      <c r="Q1145">
        <v>5</v>
      </c>
      <c r="R1145">
        <v>31.07</v>
      </c>
      <c r="S1145">
        <v>155.35</v>
      </c>
      <c r="T1145">
        <v>117.9</v>
      </c>
      <c r="U1145">
        <v>24.11</v>
      </c>
      <c r="V1145" t="str">
        <f>VLOOKUP(L1145,'[2]tabela de preços'!$A:$D,4,0)</f>
        <v>BRASILUX</v>
      </c>
      <c r="W1145" t="str">
        <f>VLOOKUP(L1145,'[2]tabela de preços'!$A:$F,6,0)</f>
        <v>VEDADORES / SELANTES</v>
      </c>
      <c r="X1145" t="str">
        <f>VLOOKUP(L1145,'[2]tabela de preços'!$A:$G,7,0)</f>
        <v>AUTOMOTIVO</v>
      </c>
    </row>
    <row r="1146" spans="1:24" x14ac:dyDescent="0.3">
      <c r="A1146" t="s">
        <v>901</v>
      </c>
      <c r="C1146" t="s">
        <v>909</v>
      </c>
      <c r="D1146" s="1">
        <v>46038</v>
      </c>
      <c r="E1146" t="s">
        <v>910</v>
      </c>
      <c r="F1146">
        <v>9</v>
      </c>
      <c r="G1146">
        <v>230</v>
      </c>
      <c r="H1146" t="str">
        <f>VLOOKUP(G1146,[1]OPERADORES!$A:$B,2,0)</f>
        <v>SÔNIA</v>
      </c>
      <c r="I1146" t="s">
        <v>21</v>
      </c>
      <c r="J1146" t="s">
        <v>904</v>
      </c>
      <c r="K1146" t="s">
        <v>905</v>
      </c>
      <c r="L1146">
        <v>84030</v>
      </c>
      <c r="M1146" t="s">
        <v>900</v>
      </c>
      <c r="O1146" t="s">
        <v>11</v>
      </c>
      <c r="P1146">
        <v>5102</v>
      </c>
      <c r="Q1146">
        <v>1</v>
      </c>
      <c r="R1146">
        <v>55.81</v>
      </c>
      <c r="S1146">
        <v>55.81</v>
      </c>
      <c r="T1146">
        <v>42.36</v>
      </c>
      <c r="U1146">
        <v>24.1</v>
      </c>
      <c r="V1146" t="str">
        <f>VLOOKUP(L1146,'[2]tabela de preços'!$A:$D,4,0)</f>
        <v>BRASILUX</v>
      </c>
      <c r="W1146" t="str">
        <f>VLOOKUP(L1146,'[2]tabela de preços'!$A:$F,6,0)</f>
        <v>AGUARRAS</v>
      </c>
      <c r="X1146" t="str">
        <f>VLOOKUP(L1146,'[2]tabela de preços'!$A:$G,7,0)</f>
        <v>IMOBILIÁRIO</v>
      </c>
    </row>
    <row r="1147" spans="1:24" x14ac:dyDescent="0.3">
      <c r="A1147" t="s">
        <v>901</v>
      </c>
      <c r="C1147" t="s">
        <v>909</v>
      </c>
      <c r="D1147" s="1">
        <v>46038</v>
      </c>
      <c r="E1147" t="s">
        <v>910</v>
      </c>
      <c r="F1147">
        <v>9</v>
      </c>
      <c r="G1147">
        <v>230</v>
      </c>
      <c r="H1147" t="str">
        <f>VLOOKUP(G1147,[1]OPERADORES!$A:$B,2,0)</f>
        <v>SÔNIA</v>
      </c>
      <c r="I1147" t="s">
        <v>21</v>
      </c>
      <c r="J1147" t="s">
        <v>904</v>
      </c>
      <c r="K1147" t="s">
        <v>905</v>
      </c>
      <c r="L1147">
        <v>84331</v>
      </c>
      <c r="M1147" t="s">
        <v>497</v>
      </c>
      <c r="O1147" t="s">
        <v>11</v>
      </c>
      <c r="P1147">
        <v>5403</v>
      </c>
      <c r="Q1147">
        <v>10</v>
      </c>
      <c r="R1147">
        <v>59.98</v>
      </c>
      <c r="S1147">
        <v>599.79999999999995</v>
      </c>
      <c r="T1147">
        <v>520</v>
      </c>
      <c r="U1147">
        <v>13.3</v>
      </c>
      <c r="V1147" t="str">
        <f>VLOOKUP(L1147,'[2]tabela de preços'!$A:$D,4,0)</f>
        <v>BRASILUX</v>
      </c>
      <c r="W1147" t="str">
        <f>VLOOKUP(L1147,'[2]tabela de preços'!$A:$F,6,0)</f>
        <v>ESMALTES</v>
      </c>
      <c r="X1147" t="str">
        <f>VLOOKUP(L1147,'[2]tabela de preços'!$A:$G,7,0)</f>
        <v>INDUSTRIAL</v>
      </c>
    </row>
    <row r="1148" spans="1:24" x14ac:dyDescent="0.3">
      <c r="A1148" t="s">
        <v>901</v>
      </c>
      <c r="C1148" t="s">
        <v>909</v>
      </c>
      <c r="D1148" s="1">
        <v>46038</v>
      </c>
      <c r="E1148" t="s">
        <v>910</v>
      </c>
      <c r="F1148">
        <v>9</v>
      </c>
      <c r="G1148">
        <v>230</v>
      </c>
      <c r="H1148" t="str">
        <f>VLOOKUP(G1148,[1]OPERADORES!$A:$B,2,0)</f>
        <v>SÔNIA</v>
      </c>
      <c r="I1148" t="s">
        <v>21</v>
      </c>
      <c r="J1148" t="s">
        <v>904</v>
      </c>
      <c r="K1148" t="s">
        <v>905</v>
      </c>
      <c r="L1148">
        <v>85674</v>
      </c>
      <c r="M1148" t="s">
        <v>911</v>
      </c>
      <c r="O1148" t="s">
        <v>11</v>
      </c>
      <c r="P1148">
        <v>5102</v>
      </c>
      <c r="Q1148">
        <v>12</v>
      </c>
      <c r="R1148">
        <v>14.32</v>
      </c>
      <c r="S1148">
        <v>171.84</v>
      </c>
      <c r="T1148">
        <v>130.44</v>
      </c>
      <c r="U1148">
        <v>24.09</v>
      </c>
      <c r="V1148" t="str">
        <f>VLOOKUP(L1148,'[2]tabela de preços'!$A:$D,4,0)</f>
        <v>UNIPEGA</v>
      </c>
      <c r="W1148" t="str">
        <f>VLOOKUP(L1148,'[2]tabela de preços'!$A:$F,6,0)</f>
        <v>ESPUMA EXPANSIVA</v>
      </c>
      <c r="X1148" t="str">
        <f>VLOOKUP(L1148,'[2]tabela de preços'!$A:$G,7,0)</f>
        <v>IMOBILIÁRIO</v>
      </c>
    </row>
    <row r="1149" spans="1:24" x14ac:dyDescent="0.3">
      <c r="A1149" t="s">
        <v>901</v>
      </c>
      <c r="C1149" t="s">
        <v>909</v>
      </c>
      <c r="D1149" s="1">
        <v>46038</v>
      </c>
      <c r="E1149" t="s">
        <v>910</v>
      </c>
      <c r="F1149">
        <v>9</v>
      </c>
      <c r="G1149">
        <v>230</v>
      </c>
      <c r="H1149" t="str">
        <f>VLOOKUP(G1149,[1]OPERADORES!$A:$B,2,0)</f>
        <v>SÔNIA</v>
      </c>
      <c r="I1149" t="s">
        <v>21</v>
      </c>
      <c r="J1149" t="s">
        <v>904</v>
      </c>
      <c r="K1149" t="s">
        <v>905</v>
      </c>
      <c r="L1149">
        <v>10295</v>
      </c>
      <c r="M1149" t="s">
        <v>912</v>
      </c>
      <c r="O1149" t="s">
        <v>11</v>
      </c>
      <c r="P1149">
        <v>5102</v>
      </c>
      <c r="Q1149">
        <v>2</v>
      </c>
      <c r="R1149">
        <v>22.88</v>
      </c>
      <c r="S1149">
        <v>45.76</v>
      </c>
      <c r="T1149">
        <v>34.74</v>
      </c>
      <c r="U1149">
        <v>24.08</v>
      </c>
      <c r="V1149" t="str">
        <f>VLOOKUP(L1149,'[2]tabela de preços'!$A:$D,4,0)</f>
        <v>ANJO</v>
      </c>
      <c r="W1149" t="str">
        <f>VLOOKUP(L1149,'[2]tabela de preços'!$A:$F,6,0)</f>
        <v>QUEROSENE</v>
      </c>
      <c r="X1149" t="str">
        <f>VLOOKUP(L1149,'[2]tabela de preços'!$A:$G,7,0)</f>
        <v>AUTOMOTIVO</v>
      </c>
    </row>
    <row r="1150" spans="1:24" x14ac:dyDescent="0.3">
      <c r="A1150" t="s">
        <v>901</v>
      </c>
      <c r="C1150" t="s">
        <v>909</v>
      </c>
      <c r="D1150" s="1">
        <v>46038</v>
      </c>
      <c r="E1150" t="s">
        <v>910</v>
      </c>
      <c r="F1150">
        <v>9</v>
      </c>
      <c r="G1150">
        <v>230</v>
      </c>
      <c r="H1150" t="str">
        <f>VLOOKUP(G1150,[1]OPERADORES!$A:$B,2,0)</f>
        <v>SÔNIA</v>
      </c>
      <c r="I1150" t="s">
        <v>21</v>
      </c>
      <c r="J1150" t="s">
        <v>904</v>
      </c>
      <c r="K1150" t="s">
        <v>905</v>
      </c>
      <c r="L1150">
        <v>84499</v>
      </c>
      <c r="M1150" t="s">
        <v>534</v>
      </c>
      <c r="O1150" t="s">
        <v>11</v>
      </c>
      <c r="P1150">
        <v>5102</v>
      </c>
      <c r="Q1150">
        <v>1</v>
      </c>
      <c r="R1150">
        <v>176.61</v>
      </c>
      <c r="S1150">
        <v>176.61</v>
      </c>
      <c r="T1150">
        <v>134.05000000000001</v>
      </c>
      <c r="U1150">
        <v>24.1</v>
      </c>
      <c r="V1150" t="str">
        <f>VLOOKUP(L1150,'[2]tabela de preços'!$A:$D,4,0)</f>
        <v>BRASILUX</v>
      </c>
      <c r="W1150" t="str">
        <f>VLOOKUP(L1150,'[2]tabela de preços'!$A:$F,6,0)</f>
        <v>THINNER DE LIMPEZA</v>
      </c>
      <c r="X1150" t="str">
        <f>VLOOKUP(L1150,'[2]tabela de preços'!$A:$G,7,0)</f>
        <v>THINNER</v>
      </c>
    </row>
    <row r="1151" spans="1:24" x14ac:dyDescent="0.3">
      <c r="A1151" t="s">
        <v>938</v>
      </c>
      <c r="C1151" t="s">
        <v>945</v>
      </c>
      <c r="D1151" s="1">
        <v>46038</v>
      </c>
      <c r="E1151" t="s">
        <v>946</v>
      </c>
      <c r="F1151">
        <v>9</v>
      </c>
      <c r="G1151">
        <v>197</v>
      </c>
      <c r="H1151" t="str">
        <f>VLOOKUP(G1151,[1]OPERADORES!$A:$B,2,0)</f>
        <v xml:space="preserve">POLIANA LORRANE DE AMORIM </v>
      </c>
      <c r="I1151" t="s">
        <v>21</v>
      </c>
      <c r="J1151" t="s">
        <v>424</v>
      </c>
      <c r="K1151" t="s">
        <v>941</v>
      </c>
      <c r="L1151">
        <v>85135</v>
      </c>
      <c r="M1151" t="s">
        <v>942</v>
      </c>
      <c r="O1151" t="s">
        <v>11</v>
      </c>
      <c r="P1151">
        <v>5403</v>
      </c>
      <c r="Q1151">
        <v>11</v>
      </c>
      <c r="R1151">
        <v>147.57</v>
      </c>
      <c r="S1151" s="2">
        <v>1623.27</v>
      </c>
      <c r="T1151">
        <v>983.79</v>
      </c>
      <c r="U1151">
        <v>39.39</v>
      </c>
      <c r="V1151" t="str">
        <f>VLOOKUP(L1151,'[2]tabela de preços'!$A:$D,4,0)</f>
        <v>BRASILUX</v>
      </c>
      <c r="W1151" t="str">
        <f>VLOOKUP(L1151,'[2]tabela de preços'!$A:$F,6,0)</f>
        <v>TINTA DE LABORATÓRIO</v>
      </c>
      <c r="X1151" t="str">
        <f>VLOOKUP(L1151,'[2]tabela de preços'!$A:$G,7,0)</f>
        <v>AUTOMOTIVO</v>
      </c>
    </row>
    <row r="1152" spans="1:24" x14ac:dyDescent="0.3">
      <c r="A1152" t="s">
        <v>938</v>
      </c>
      <c r="C1152" t="s">
        <v>945</v>
      </c>
      <c r="D1152" s="1">
        <v>46038</v>
      </c>
      <c r="E1152" t="s">
        <v>946</v>
      </c>
      <c r="F1152">
        <v>9</v>
      </c>
      <c r="G1152">
        <v>197</v>
      </c>
      <c r="H1152" t="str">
        <f>VLOOKUP(G1152,[1]OPERADORES!$A:$B,2,0)</f>
        <v xml:space="preserve">POLIANA LORRANE DE AMORIM </v>
      </c>
      <c r="I1152" t="s">
        <v>21</v>
      </c>
      <c r="J1152" t="s">
        <v>424</v>
      </c>
      <c r="K1152" t="s">
        <v>941</v>
      </c>
      <c r="L1152">
        <v>85280</v>
      </c>
      <c r="M1152" t="s">
        <v>943</v>
      </c>
      <c r="O1152" t="s">
        <v>11</v>
      </c>
      <c r="P1152">
        <v>5102</v>
      </c>
      <c r="Q1152">
        <v>11</v>
      </c>
      <c r="R1152">
        <v>55.72</v>
      </c>
      <c r="S1152">
        <v>612.91999999999996</v>
      </c>
      <c r="T1152">
        <v>465.19</v>
      </c>
      <c r="U1152">
        <v>24.1</v>
      </c>
      <c r="V1152" t="str">
        <f>VLOOKUP(L1152,'[2]tabela de preços'!$A:$D,4,0)</f>
        <v>BRASILUX</v>
      </c>
      <c r="W1152" t="str">
        <f>VLOOKUP(L1152,'[2]tabela de preços'!$A:$F,6,0)</f>
        <v>CATALISADORES INDIVIDUAIS</v>
      </c>
      <c r="X1152" t="str">
        <f>VLOOKUP(L1152,'[2]tabela de preços'!$A:$G,7,0)</f>
        <v>IMOBILIÁRIO</v>
      </c>
    </row>
    <row r="1153" spans="1:24" x14ac:dyDescent="0.3">
      <c r="A1153" t="s">
        <v>1015</v>
      </c>
      <c r="C1153" t="s">
        <v>1016</v>
      </c>
      <c r="D1153" s="1">
        <v>46038</v>
      </c>
      <c r="E1153" t="s">
        <v>1017</v>
      </c>
      <c r="F1153">
        <v>9</v>
      </c>
      <c r="G1153">
        <v>197</v>
      </c>
      <c r="H1153" t="str">
        <f>VLOOKUP(G1153,[1]OPERADORES!$A:$B,2,0)</f>
        <v xml:space="preserve">POLIANA LORRANE DE AMORIM </v>
      </c>
      <c r="I1153" t="s">
        <v>21</v>
      </c>
      <c r="J1153" t="s">
        <v>1018</v>
      </c>
      <c r="K1153" t="s">
        <v>1019</v>
      </c>
      <c r="L1153">
        <v>23716</v>
      </c>
      <c r="M1153" t="s">
        <v>220</v>
      </c>
      <c r="O1153" t="s">
        <v>11</v>
      </c>
      <c r="P1153">
        <v>5102</v>
      </c>
      <c r="Q1153">
        <v>1</v>
      </c>
      <c r="R1153">
        <v>40.71</v>
      </c>
      <c r="S1153">
        <v>40.71</v>
      </c>
      <c r="T1153">
        <v>30.9</v>
      </c>
      <c r="U1153">
        <v>24.1</v>
      </c>
      <c r="V1153" t="str">
        <f>VLOOKUP(L1153,'[2]tabela de preços'!$A:$D,4,0)</f>
        <v>NEW PAD</v>
      </c>
      <c r="W1153" t="str">
        <f>VLOOKUP(L1153,'[2]tabela de preços'!$A:$F,6,0)</f>
        <v>BOINAS PARA POLIMENTO</v>
      </c>
      <c r="X1153" t="str">
        <f>VLOOKUP(L1153,'[2]tabela de preços'!$A:$G,7,0)</f>
        <v>AUTOMOTIVO</v>
      </c>
    </row>
    <row r="1154" spans="1:24" x14ac:dyDescent="0.3">
      <c r="A1154" t="s">
        <v>1015</v>
      </c>
      <c r="C1154" t="s">
        <v>1016</v>
      </c>
      <c r="D1154" s="1">
        <v>46038</v>
      </c>
      <c r="E1154" t="s">
        <v>1017</v>
      </c>
      <c r="F1154">
        <v>9</v>
      </c>
      <c r="G1154">
        <v>197</v>
      </c>
      <c r="H1154" t="str">
        <f>VLOOKUP(G1154,[1]OPERADORES!$A:$B,2,0)</f>
        <v xml:space="preserve">POLIANA LORRANE DE AMORIM </v>
      </c>
      <c r="I1154" t="s">
        <v>21</v>
      </c>
      <c r="J1154" t="s">
        <v>1018</v>
      </c>
      <c r="K1154" t="s">
        <v>1019</v>
      </c>
      <c r="L1154">
        <v>84959</v>
      </c>
      <c r="M1154" t="s">
        <v>214</v>
      </c>
      <c r="O1154" t="s">
        <v>11</v>
      </c>
      <c r="P1154">
        <v>5403</v>
      </c>
      <c r="Q1154">
        <v>3</v>
      </c>
      <c r="R1154">
        <v>18.600000000000001</v>
      </c>
      <c r="S1154">
        <v>55.8</v>
      </c>
      <c r="T1154">
        <v>42.36</v>
      </c>
      <c r="U1154">
        <v>24.09</v>
      </c>
      <c r="V1154" t="str">
        <f>VLOOKUP(L1154,'[2]tabela de preços'!$A:$D,4,0)</f>
        <v>BRASILUX</v>
      </c>
      <c r="W1154" t="str">
        <f>VLOOKUP(L1154,'[2]tabela de preços'!$A:$F,6,0)</f>
        <v>BATIDA DE PEDRA</v>
      </c>
      <c r="X1154" t="str">
        <f>VLOOKUP(L1154,'[2]tabela de preços'!$A:$G,7,0)</f>
        <v>AUTOMOTIVO</v>
      </c>
    </row>
    <row r="1155" spans="1:24" x14ac:dyDescent="0.3">
      <c r="A1155" t="s">
        <v>1015</v>
      </c>
      <c r="C1155" t="s">
        <v>1016</v>
      </c>
      <c r="D1155" s="1">
        <v>46038</v>
      </c>
      <c r="E1155" t="s">
        <v>1017</v>
      </c>
      <c r="F1155">
        <v>9</v>
      </c>
      <c r="G1155">
        <v>197</v>
      </c>
      <c r="H1155" t="str">
        <f>VLOOKUP(G1155,[1]OPERADORES!$A:$B,2,0)</f>
        <v xml:space="preserve">POLIANA LORRANE DE AMORIM </v>
      </c>
      <c r="I1155" t="s">
        <v>21</v>
      </c>
      <c r="J1155" t="s">
        <v>1018</v>
      </c>
      <c r="K1155" t="s">
        <v>1019</v>
      </c>
      <c r="L1155">
        <v>84108</v>
      </c>
      <c r="M1155" t="s">
        <v>144</v>
      </c>
      <c r="O1155" t="s">
        <v>11</v>
      </c>
      <c r="P1155">
        <v>5403</v>
      </c>
      <c r="Q1155">
        <v>4</v>
      </c>
      <c r="R1155">
        <v>27.29</v>
      </c>
      <c r="S1155">
        <v>109.16</v>
      </c>
      <c r="T1155">
        <v>82.84</v>
      </c>
      <c r="U1155">
        <v>24.11</v>
      </c>
      <c r="V1155" t="str">
        <f>VLOOKUP(L1155,'[2]tabela de preços'!$A:$D,4,0)</f>
        <v>BRASILUX</v>
      </c>
      <c r="W1155" t="str">
        <f>VLOOKUP(L1155,'[2]tabela de preços'!$A:$F,6,0)</f>
        <v>TINTAS LACA</v>
      </c>
      <c r="X1155" t="str">
        <f>VLOOKUP(L1155,'[2]tabela de preços'!$A:$G,7,0)</f>
        <v>AUTOMOTIVO</v>
      </c>
    </row>
    <row r="1156" spans="1:24" x14ac:dyDescent="0.3">
      <c r="A1156" t="s">
        <v>1015</v>
      </c>
      <c r="C1156" t="s">
        <v>1016</v>
      </c>
      <c r="D1156" s="1">
        <v>46038</v>
      </c>
      <c r="E1156" t="s">
        <v>1017</v>
      </c>
      <c r="F1156">
        <v>9</v>
      </c>
      <c r="G1156">
        <v>197</v>
      </c>
      <c r="H1156" t="str">
        <f>VLOOKUP(G1156,[1]OPERADORES!$A:$B,2,0)</f>
        <v xml:space="preserve">POLIANA LORRANE DE AMORIM </v>
      </c>
      <c r="I1156" t="s">
        <v>21</v>
      </c>
      <c r="J1156" t="s">
        <v>1018</v>
      </c>
      <c r="K1156" t="s">
        <v>1019</v>
      </c>
      <c r="L1156">
        <v>23580</v>
      </c>
      <c r="M1156" t="s">
        <v>115</v>
      </c>
      <c r="O1156" t="s">
        <v>11</v>
      </c>
      <c r="P1156">
        <v>5102</v>
      </c>
      <c r="Q1156">
        <v>150</v>
      </c>
      <c r="R1156">
        <v>0.56000000000000005</v>
      </c>
      <c r="S1156">
        <v>84</v>
      </c>
      <c r="T1156">
        <v>54</v>
      </c>
      <c r="U1156">
        <v>35.71</v>
      </c>
      <c r="V1156" t="str">
        <f>VLOOKUP(L1156,'[2]tabela de preços'!$A:$D,4,0)</f>
        <v>RENOVA COADORES</v>
      </c>
      <c r="W1156" t="str">
        <f>VLOOKUP(L1156,'[2]tabela de preços'!$A:$F,6,0)</f>
        <v>COADORES</v>
      </c>
      <c r="X1156" t="str">
        <f>VLOOKUP(L1156,'[2]tabela de preços'!$A:$G,7,0)</f>
        <v>AUTOMOTIVO</v>
      </c>
    </row>
    <row r="1157" spans="1:24" x14ac:dyDescent="0.3">
      <c r="A1157" t="s">
        <v>1015</v>
      </c>
      <c r="C1157" t="s">
        <v>1016</v>
      </c>
      <c r="D1157" s="1">
        <v>46038</v>
      </c>
      <c r="E1157" t="s">
        <v>1017</v>
      </c>
      <c r="F1157">
        <v>9</v>
      </c>
      <c r="G1157">
        <v>197</v>
      </c>
      <c r="H1157" t="str">
        <f>VLOOKUP(G1157,[1]OPERADORES!$A:$B,2,0)</f>
        <v xml:space="preserve">POLIANA LORRANE DE AMORIM </v>
      </c>
      <c r="I1157" t="s">
        <v>21</v>
      </c>
      <c r="J1157" t="s">
        <v>1018</v>
      </c>
      <c r="K1157" t="s">
        <v>1019</v>
      </c>
      <c r="L1157">
        <v>24248</v>
      </c>
      <c r="M1157" t="s">
        <v>107</v>
      </c>
      <c r="O1157" t="s">
        <v>11</v>
      </c>
      <c r="P1157">
        <v>5102</v>
      </c>
      <c r="Q1157">
        <v>12</v>
      </c>
      <c r="R1157">
        <v>8</v>
      </c>
      <c r="S1157">
        <v>96</v>
      </c>
      <c r="T1157">
        <v>76.92</v>
      </c>
      <c r="U1157">
        <v>19.88</v>
      </c>
      <c r="V1157" t="str">
        <f>VLOOKUP(L1157,'[2]tabela de preços'!$A:$D,4,0)</f>
        <v>SHERWIN WILLIAMS</v>
      </c>
      <c r="W1157" t="str">
        <f>VLOOKUP(L1157,'[2]tabela de preços'!$A:$F,6,0)</f>
        <v>PRIMER AUTOMOTIVO</v>
      </c>
      <c r="X1157" t="str">
        <f>VLOOKUP(L1157,'[2]tabela de preços'!$A:$G,7,0)</f>
        <v>AUTOMOTIVO</v>
      </c>
    </row>
    <row r="1158" spans="1:24" x14ac:dyDescent="0.3">
      <c r="A1158" t="s">
        <v>1015</v>
      </c>
      <c r="C1158" t="s">
        <v>1016</v>
      </c>
      <c r="D1158" s="1">
        <v>46038</v>
      </c>
      <c r="E1158" t="s">
        <v>1017</v>
      </c>
      <c r="F1158">
        <v>9</v>
      </c>
      <c r="G1158">
        <v>197</v>
      </c>
      <c r="H1158" t="str">
        <f>VLOOKUP(G1158,[1]OPERADORES!$A:$B,2,0)</f>
        <v xml:space="preserve">POLIANA LORRANE DE AMORIM </v>
      </c>
      <c r="I1158" t="s">
        <v>21</v>
      </c>
      <c r="J1158" t="s">
        <v>1018</v>
      </c>
      <c r="K1158" t="s">
        <v>1019</v>
      </c>
      <c r="L1158">
        <v>24240</v>
      </c>
      <c r="M1158" t="s">
        <v>240</v>
      </c>
      <c r="O1158" t="s">
        <v>11</v>
      </c>
      <c r="P1158">
        <v>5102</v>
      </c>
      <c r="Q1158">
        <v>64</v>
      </c>
      <c r="R1158">
        <v>3.81</v>
      </c>
      <c r="S1158">
        <v>243.84</v>
      </c>
      <c r="T1158">
        <v>209.92</v>
      </c>
      <c r="U1158">
        <v>13.91</v>
      </c>
      <c r="V1158" t="str">
        <f>VLOOKUP(L1158,'[2]tabela de preços'!$A:$D,4,0)</f>
        <v>ADERE</v>
      </c>
      <c r="W1158" t="str">
        <f>VLOOKUP(L1158,'[2]tabela de preços'!$A:$F,6,0)</f>
        <v>FITA AUTOMOTIVA</v>
      </c>
      <c r="X1158" t="str">
        <f>VLOOKUP(L1158,'[2]tabela de preços'!$A:$G,7,0)</f>
        <v>AUTOMOTIVO</v>
      </c>
    </row>
    <row r="1159" spans="1:24" x14ac:dyDescent="0.3">
      <c r="A1159" t="s">
        <v>1015</v>
      </c>
      <c r="C1159" t="s">
        <v>1016</v>
      </c>
      <c r="D1159" s="1">
        <v>46038</v>
      </c>
      <c r="E1159" t="s">
        <v>1017</v>
      </c>
      <c r="F1159">
        <v>9</v>
      </c>
      <c r="G1159">
        <v>197</v>
      </c>
      <c r="H1159" t="str">
        <f>VLOOKUP(G1159,[1]OPERADORES!$A:$B,2,0)</f>
        <v xml:space="preserve">POLIANA LORRANE DE AMORIM </v>
      </c>
      <c r="I1159" t="s">
        <v>21</v>
      </c>
      <c r="J1159" t="s">
        <v>1018</v>
      </c>
      <c r="K1159" t="s">
        <v>1019</v>
      </c>
      <c r="L1159">
        <v>23602</v>
      </c>
      <c r="M1159" t="s">
        <v>215</v>
      </c>
      <c r="O1159" t="s">
        <v>11</v>
      </c>
      <c r="P1159">
        <v>5403</v>
      </c>
      <c r="Q1159">
        <v>18</v>
      </c>
      <c r="R1159">
        <v>35.89</v>
      </c>
      <c r="S1159">
        <v>646.02</v>
      </c>
      <c r="T1159">
        <v>526.5</v>
      </c>
      <c r="U1159">
        <v>18.5</v>
      </c>
      <c r="V1159" t="str">
        <f>VLOOKUP(L1159,'[2]tabela de preços'!$A:$D,4,0)</f>
        <v>SHERWIN WILLIAMS</v>
      </c>
      <c r="W1159" t="str">
        <f>VLOOKUP(L1159,'[2]tabela de preços'!$A:$F,6,0)</f>
        <v>VERNIZ AUTOMOTIVO</v>
      </c>
      <c r="X1159" t="str">
        <f>VLOOKUP(L1159,'[2]tabela de preços'!$A:$G,7,0)</f>
        <v>AUTOMOTIVO</v>
      </c>
    </row>
    <row r="1160" spans="1:24" x14ac:dyDescent="0.3">
      <c r="A1160" t="s">
        <v>1015</v>
      </c>
      <c r="C1160" t="s">
        <v>1016</v>
      </c>
      <c r="D1160" s="1">
        <v>46038</v>
      </c>
      <c r="E1160" t="s">
        <v>1017</v>
      </c>
      <c r="F1160">
        <v>9</v>
      </c>
      <c r="G1160">
        <v>197</v>
      </c>
      <c r="H1160" t="str">
        <f>VLOOKUP(G1160,[1]OPERADORES!$A:$B,2,0)</f>
        <v xml:space="preserve">POLIANA LORRANE DE AMORIM </v>
      </c>
      <c r="I1160" t="s">
        <v>21</v>
      </c>
      <c r="J1160" t="s">
        <v>1018</v>
      </c>
      <c r="K1160" t="s">
        <v>1019</v>
      </c>
      <c r="L1160">
        <v>20431</v>
      </c>
      <c r="M1160" t="s">
        <v>202</v>
      </c>
      <c r="O1160" t="s">
        <v>11</v>
      </c>
      <c r="P1160">
        <v>5403</v>
      </c>
      <c r="Q1160">
        <v>9</v>
      </c>
      <c r="R1160">
        <v>36.89</v>
      </c>
      <c r="S1160">
        <v>332.01</v>
      </c>
      <c r="T1160">
        <v>268.02</v>
      </c>
      <c r="U1160">
        <v>19.27</v>
      </c>
      <c r="V1160" t="str">
        <f>VLOOKUP(L1160,'[2]tabela de preços'!$A:$D,4,0)</f>
        <v>SHERWIN WILLIAMS</v>
      </c>
      <c r="W1160" t="str">
        <f>VLOOKUP(L1160,'[2]tabela de preços'!$A:$F,6,0)</f>
        <v>VERNIZ AUTOMOTIVO</v>
      </c>
      <c r="X1160" t="str">
        <f>VLOOKUP(L1160,'[2]tabela de preços'!$A:$G,7,0)</f>
        <v>AUTOMOTIVO</v>
      </c>
    </row>
    <row r="1161" spans="1:24" x14ac:dyDescent="0.3">
      <c r="A1161" t="s">
        <v>1015</v>
      </c>
      <c r="C1161" t="s">
        <v>1016</v>
      </c>
      <c r="D1161" s="1">
        <v>46038</v>
      </c>
      <c r="E1161" t="s">
        <v>1017</v>
      </c>
      <c r="F1161">
        <v>9</v>
      </c>
      <c r="G1161">
        <v>197</v>
      </c>
      <c r="H1161" t="str">
        <f>VLOOKUP(G1161,[1]OPERADORES!$A:$B,2,0)</f>
        <v xml:space="preserve">POLIANA LORRANE DE AMORIM </v>
      </c>
      <c r="I1161" t="s">
        <v>21</v>
      </c>
      <c r="J1161" t="s">
        <v>1018</v>
      </c>
      <c r="K1161" t="s">
        <v>1019</v>
      </c>
      <c r="L1161">
        <v>16</v>
      </c>
      <c r="M1161" t="s">
        <v>122</v>
      </c>
      <c r="O1161" t="s">
        <v>11</v>
      </c>
      <c r="P1161">
        <v>5102</v>
      </c>
      <c r="Q1161">
        <v>10</v>
      </c>
      <c r="R1161">
        <v>2.9</v>
      </c>
      <c r="S1161">
        <v>29</v>
      </c>
      <c r="T1161">
        <v>22</v>
      </c>
      <c r="U1161">
        <v>24.14</v>
      </c>
      <c r="V1161" t="str">
        <f>VLOOKUP(L1161,'[2]tabela de preços'!$A:$D,4,0)</f>
        <v>3M</v>
      </c>
      <c r="W1161" t="str">
        <f>VLOOKUP(L1161,'[2]tabela de preços'!$A:$F,6,0)</f>
        <v>LIXA DÁGUA</v>
      </c>
      <c r="X1161" t="str">
        <f>VLOOKUP(L1161,'[2]tabela de preços'!$A:$G,7,0)</f>
        <v>AUTOMOTIVO</v>
      </c>
    </row>
    <row r="1162" spans="1:24" x14ac:dyDescent="0.3">
      <c r="A1162" t="s">
        <v>1015</v>
      </c>
      <c r="C1162" t="s">
        <v>1016</v>
      </c>
      <c r="D1162" s="1">
        <v>46038</v>
      </c>
      <c r="E1162" t="s">
        <v>1017</v>
      </c>
      <c r="F1162">
        <v>9</v>
      </c>
      <c r="G1162">
        <v>197</v>
      </c>
      <c r="H1162" t="str">
        <f>VLOOKUP(G1162,[1]OPERADORES!$A:$B,2,0)</f>
        <v xml:space="preserve">POLIANA LORRANE DE AMORIM </v>
      </c>
      <c r="I1162" t="s">
        <v>21</v>
      </c>
      <c r="J1162" t="s">
        <v>1018</v>
      </c>
      <c r="K1162" t="s">
        <v>1019</v>
      </c>
      <c r="L1162">
        <v>20817</v>
      </c>
      <c r="M1162" t="s">
        <v>153</v>
      </c>
      <c r="O1162" t="s">
        <v>11</v>
      </c>
      <c r="P1162">
        <v>5102</v>
      </c>
      <c r="Q1162">
        <v>6</v>
      </c>
      <c r="R1162">
        <v>22.89</v>
      </c>
      <c r="S1162">
        <v>137.34</v>
      </c>
      <c r="T1162">
        <v>111.72</v>
      </c>
      <c r="U1162">
        <v>18.649999999999999</v>
      </c>
      <c r="V1162" t="str">
        <f>VLOOKUP(L1162,'[2]tabela de preços'!$A:$D,4,0)</f>
        <v>AUTO AMERICA</v>
      </c>
      <c r="W1162" t="str">
        <f>VLOOKUP(L1162,'[2]tabela de preços'!$A:$F,6,0)</f>
        <v>MASSA DE POLIR</v>
      </c>
      <c r="X1162" t="str">
        <f>VLOOKUP(L1162,'[2]tabela de preços'!$A:$G,7,0)</f>
        <v>AUTOMOTIVO</v>
      </c>
    </row>
    <row r="1163" spans="1:24" x14ac:dyDescent="0.3">
      <c r="A1163" t="s">
        <v>1015</v>
      </c>
      <c r="C1163" t="s">
        <v>1016</v>
      </c>
      <c r="D1163" s="1">
        <v>46038</v>
      </c>
      <c r="E1163" t="s">
        <v>1017</v>
      </c>
      <c r="F1163">
        <v>9</v>
      </c>
      <c r="G1163">
        <v>197</v>
      </c>
      <c r="H1163" t="str">
        <f>VLOOKUP(G1163,[1]OPERADORES!$A:$B,2,0)</f>
        <v xml:space="preserve">POLIANA LORRANE DE AMORIM </v>
      </c>
      <c r="I1163" t="s">
        <v>21</v>
      </c>
      <c r="J1163" t="s">
        <v>1018</v>
      </c>
      <c r="K1163" t="s">
        <v>1019</v>
      </c>
      <c r="L1163">
        <v>20525</v>
      </c>
      <c r="M1163" t="s">
        <v>137</v>
      </c>
      <c r="O1163" t="s">
        <v>11</v>
      </c>
      <c r="P1163">
        <v>5102</v>
      </c>
      <c r="Q1163">
        <v>6</v>
      </c>
      <c r="R1163">
        <v>13.65</v>
      </c>
      <c r="S1163">
        <v>81.900000000000006</v>
      </c>
      <c r="T1163">
        <v>62.16</v>
      </c>
      <c r="U1163">
        <v>24.1</v>
      </c>
      <c r="V1163" t="str">
        <f>VLOOKUP(L1163,'[2]tabela de preços'!$A:$D,4,0)</f>
        <v>SHERWIN WILLIAMS</v>
      </c>
      <c r="W1163" t="str">
        <f>VLOOKUP(L1163,'[2]tabela de preços'!$A:$F,6,0)</f>
        <v>MASSA DE PEQUENOS REPAROS</v>
      </c>
      <c r="X1163" t="str">
        <f>VLOOKUP(L1163,'[2]tabela de preços'!$A:$G,7,0)</f>
        <v>AUTOMOTIVO</v>
      </c>
    </row>
    <row r="1164" spans="1:24" x14ac:dyDescent="0.3">
      <c r="A1164" t="s">
        <v>1015</v>
      </c>
      <c r="C1164" t="s">
        <v>1016</v>
      </c>
      <c r="D1164" s="1">
        <v>46038</v>
      </c>
      <c r="E1164" t="s">
        <v>1017</v>
      </c>
      <c r="F1164">
        <v>9</v>
      </c>
      <c r="G1164">
        <v>197</v>
      </c>
      <c r="H1164" t="str">
        <f>VLOOKUP(G1164,[1]OPERADORES!$A:$B,2,0)</f>
        <v xml:space="preserve">POLIANA LORRANE DE AMORIM </v>
      </c>
      <c r="I1164" t="s">
        <v>21</v>
      </c>
      <c r="J1164" t="s">
        <v>1018</v>
      </c>
      <c r="K1164" t="s">
        <v>1019</v>
      </c>
      <c r="L1164">
        <v>87043</v>
      </c>
      <c r="M1164" t="s">
        <v>217</v>
      </c>
      <c r="O1164" t="s">
        <v>11</v>
      </c>
      <c r="P1164">
        <v>5102</v>
      </c>
      <c r="Q1164">
        <v>8</v>
      </c>
      <c r="R1164">
        <v>21.95</v>
      </c>
      <c r="S1164">
        <v>175.6</v>
      </c>
      <c r="T1164">
        <v>144.16</v>
      </c>
      <c r="U1164">
        <v>17.899999999999999</v>
      </c>
      <c r="V1164" t="str">
        <f>VLOOKUP(L1164,'[2]tabela de preços'!$A:$D,4,0)</f>
        <v>ROBERLO</v>
      </c>
      <c r="W1164" t="str">
        <f>VLOOKUP(L1164,'[2]tabela de preços'!$A:$F,6,0)</f>
        <v>MASSA POLIÉSTER</v>
      </c>
      <c r="X1164" t="str">
        <f>VLOOKUP(L1164,'[2]tabela de preços'!$A:$G,7,0)</f>
        <v>AUTOMOTIVO</v>
      </c>
    </row>
    <row r="1165" spans="1:24" x14ac:dyDescent="0.3">
      <c r="A1165" t="s">
        <v>1015</v>
      </c>
      <c r="C1165" t="s">
        <v>1016</v>
      </c>
      <c r="D1165" s="1">
        <v>46038</v>
      </c>
      <c r="E1165" t="s">
        <v>1017</v>
      </c>
      <c r="F1165">
        <v>9</v>
      </c>
      <c r="G1165">
        <v>197</v>
      </c>
      <c r="H1165" t="str">
        <f>VLOOKUP(G1165,[1]OPERADORES!$A:$B,2,0)</f>
        <v xml:space="preserve">POLIANA LORRANE DE AMORIM </v>
      </c>
      <c r="I1165" t="s">
        <v>21</v>
      </c>
      <c r="J1165" t="s">
        <v>1018</v>
      </c>
      <c r="K1165" t="s">
        <v>1019</v>
      </c>
      <c r="L1165">
        <v>24247</v>
      </c>
      <c r="M1165" t="s">
        <v>111</v>
      </c>
      <c r="O1165" t="s">
        <v>11</v>
      </c>
      <c r="P1165">
        <v>5403</v>
      </c>
      <c r="Q1165">
        <v>12</v>
      </c>
      <c r="R1165">
        <v>21</v>
      </c>
      <c r="S1165">
        <v>252</v>
      </c>
      <c r="T1165">
        <v>199.2</v>
      </c>
      <c r="U1165">
        <v>20.95</v>
      </c>
      <c r="V1165" t="str">
        <f>VLOOKUP(L1165,'[2]tabela de preços'!$A:$D,4,0)</f>
        <v>SHERWIN WILLIAMS</v>
      </c>
      <c r="W1165" t="str">
        <f>VLOOKUP(L1165,'[2]tabela de preços'!$A:$F,6,0)</f>
        <v>PRIMER AUTOMOTIVO</v>
      </c>
      <c r="X1165" t="str">
        <f>VLOOKUP(L1165,'[2]tabela de preços'!$A:$G,7,0)</f>
        <v>AUTOMOTIVO</v>
      </c>
    </row>
    <row r="1166" spans="1:24" x14ac:dyDescent="0.3">
      <c r="A1166" t="s">
        <v>1015</v>
      </c>
      <c r="C1166" t="s">
        <v>1016</v>
      </c>
      <c r="D1166" s="1">
        <v>46038</v>
      </c>
      <c r="E1166" t="s">
        <v>1017</v>
      </c>
      <c r="F1166">
        <v>9</v>
      </c>
      <c r="G1166">
        <v>197</v>
      </c>
      <c r="H1166" t="str">
        <f>VLOOKUP(G1166,[1]OPERADORES!$A:$B,2,0)</f>
        <v xml:space="preserve">POLIANA LORRANE DE AMORIM </v>
      </c>
      <c r="I1166" t="s">
        <v>21</v>
      </c>
      <c r="J1166" t="s">
        <v>1018</v>
      </c>
      <c r="K1166" t="s">
        <v>1019</v>
      </c>
      <c r="L1166">
        <v>10298</v>
      </c>
      <c r="M1166" t="s">
        <v>85</v>
      </c>
      <c r="O1166" t="s">
        <v>11</v>
      </c>
      <c r="P1166">
        <v>5102</v>
      </c>
      <c r="Q1166">
        <v>4</v>
      </c>
      <c r="R1166">
        <v>56.89</v>
      </c>
      <c r="S1166">
        <v>227.56</v>
      </c>
      <c r="T1166">
        <v>189.52</v>
      </c>
      <c r="U1166">
        <v>16.72</v>
      </c>
      <c r="V1166" t="str">
        <f>VLOOKUP(L1166,'[2]tabela de preços'!$A:$D,4,0)</f>
        <v>ANJO</v>
      </c>
      <c r="W1166" t="str">
        <f>VLOOKUP(L1166,'[2]tabela de preços'!$A:$F,6,0)</f>
        <v>THINNER DE LIMPEZA</v>
      </c>
      <c r="X1166" t="str">
        <f>VLOOKUP(L1166,'[2]tabela de preços'!$A:$G,7,0)</f>
        <v>THINNER</v>
      </c>
    </row>
    <row r="1167" spans="1:24" x14ac:dyDescent="0.3">
      <c r="A1167" t="s">
        <v>1015</v>
      </c>
      <c r="C1167" t="s">
        <v>1016</v>
      </c>
      <c r="D1167" s="1">
        <v>46038</v>
      </c>
      <c r="E1167" t="s">
        <v>1017</v>
      </c>
      <c r="F1167">
        <v>9</v>
      </c>
      <c r="G1167">
        <v>197</v>
      </c>
      <c r="H1167" t="str">
        <f>VLOOKUP(G1167,[1]OPERADORES!$A:$B,2,0)</f>
        <v xml:space="preserve">POLIANA LORRANE DE AMORIM </v>
      </c>
      <c r="I1167" t="s">
        <v>21</v>
      </c>
      <c r="J1167" t="s">
        <v>1018</v>
      </c>
      <c r="K1167" t="s">
        <v>1019</v>
      </c>
      <c r="L1167">
        <v>10297</v>
      </c>
      <c r="M1167" t="s">
        <v>41</v>
      </c>
      <c r="O1167" t="s">
        <v>11</v>
      </c>
      <c r="P1167">
        <v>5102</v>
      </c>
      <c r="Q1167">
        <v>24</v>
      </c>
      <c r="R1167">
        <v>10.89</v>
      </c>
      <c r="S1167">
        <v>261.36</v>
      </c>
      <c r="T1167">
        <v>220.08</v>
      </c>
      <c r="U1167">
        <v>15.79</v>
      </c>
      <c r="V1167" t="str">
        <f>VLOOKUP(L1167,'[2]tabela de preços'!$A:$D,4,0)</f>
        <v>ANJO</v>
      </c>
      <c r="W1167" t="str">
        <f>VLOOKUP(L1167,'[2]tabela de preços'!$A:$F,6,0)</f>
        <v>THINNER DE LIMPEZA</v>
      </c>
      <c r="X1167" t="str">
        <f>VLOOKUP(L1167,'[2]tabela de preços'!$A:$G,7,0)</f>
        <v>THINNER</v>
      </c>
    </row>
    <row r="1168" spans="1:24" x14ac:dyDescent="0.3">
      <c r="A1168" t="s">
        <v>1015</v>
      </c>
      <c r="C1168" t="s">
        <v>1016</v>
      </c>
      <c r="D1168" s="1">
        <v>46038</v>
      </c>
      <c r="E1168" t="s">
        <v>1017</v>
      </c>
      <c r="F1168">
        <v>9</v>
      </c>
      <c r="G1168">
        <v>197</v>
      </c>
      <c r="H1168" t="str">
        <f>VLOOKUP(G1168,[1]OPERADORES!$A:$B,2,0)</f>
        <v xml:space="preserve">POLIANA LORRANE DE AMORIM </v>
      </c>
      <c r="I1168" t="s">
        <v>21</v>
      </c>
      <c r="J1168" t="s">
        <v>1018</v>
      </c>
      <c r="K1168" t="s">
        <v>1019</v>
      </c>
      <c r="L1168">
        <v>20414</v>
      </c>
      <c r="M1168" t="s">
        <v>112</v>
      </c>
      <c r="O1168" t="s">
        <v>11</v>
      </c>
      <c r="P1168">
        <v>5102</v>
      </c>
      <c r="Q1168">
        <v>20</v>
      </c>
      <c r="R1168">
        <v>21.89</v>
      </c>
      <c r="S1168">
        <v>437.8</v>
      </c>
      <c r="T1168">
        <v>360</v>
      </c>
      <c r="U1168">
        <v>17.77</v>
      </c>
      <c r="V1168" t="str">
        <f>VLOOKUP(L1168,'[2]tabela de preços'!$A:$D,4,0)</f>
        <v>SHERWIN WILLIAMS</v>
      </c>
      <c r="W1168" t="str">
        <f>VLOOKUP(L1168,'[2]tabela de preços'!$A:$F,6,0)</f>
        <v>DILUENTE</v>
      </c>
      <c r="X1168" t="str">
        <f>VLOOKUP(L1168,'[2]tabela de preços'!$A:$G,7,0)</f>
        <v>AUTOMOTIVO</v>
      </c>
    </row>
    <row r="1169" spans="1:24" x14ac:dyDescent="0.3">
      <c r="A1169" t="s">
        <v>1015</v>
      </c>
      <c r="C1169" t="s">
        <v>1016</v>
      </c>
      <c r="D1169" s="1">
        <v>46038</v>
      </c>
      <c r="E1169" t="s">
        <v>1017</v>
      </c>
      <c r="F1169">
        <v>9</v>
      </c>
      <c r="G1169">
        <v>197</v>
      </c>
      <c r="H1169" t="str">
        <f>VLOOKUP(G1169,[1]OPERADORES!$A:$B,2,0)</f>
        <v xml:space="preserve">POLIANA LORRANE DE AMORIM </v>
      </c>
      <c r="I1169" t="s">
        <v>21</v>
      </c>
      <c r="J1169" t="s">
        <v>1018</v>
      </c>
      <c r="K1169" t="s">
        <v>1019</v>
      </c>
      <c r="L1169">
        <v>21321</v>
      </c>
      <c r="M1169" t="s">
        <v>272</v>
      </c>
      <c r="O1169" t="s">
        <v>11</v>
      </c>
      <c r="P1169">
        <v>5102</v>
      </c>
      <c r="Q1169">
        <v>3</v>
      </c>
      <c r="R1169">
        <v>20.239999999999998</v>
      </c>
      <c r="S1169">
        <v>60.72</v>
      </c>
      <c r="T1169">
        <v>46.08</v>
      </c>
      <c r="U1169">
        <v>24.11</v>
      </c>
      <c r="V1169" t="str">
        <f>VLOOKUP(L1169,'[2]tabela de preços'!$A:$D,4,0)</f>
        <v>AUTO AMERICA</v>
      </c>
      <c r="W1169" t="str">
        <f>VLOOKUP(L1169,'[2]tabela de preços'!$A:$F,6,0)</f>
        <v>CERA  / LIMPEZA /  POLIMENTO VEICULAR</v>
      </c>
      <c r="X1169" t="str">
        <f>VLOOKUP(L1169,'[2]tabela de preços'!$A:$G,7,0)</f>
        <v>AUTOMOTIVO</v>
      </c>
    </row>
    <row r="1170" spans="1:24" x14ac:dyDescent="0.3">
      <c r="A1170" t="s">
        <v>1199</v>
      </c>
      <c r="C1170" t="s">
        <v>1215</v>
      </c>
      <c r="D1170" s="1">
        <v>46038</v>
      </c>
      <c r="E1170" t="s">
        <v>1216</v>
      </c>
      <c r="F1170">
        <v>9</v>
      </c>
      <c r="G1170">
        <v>174</v>
      </c>
      <c r="H1170" t="str">
        <f>VLOOKUP(G1170,[1]OPERADORES!$A:$B,2,0)</f>
        <v>MIRIÃ LOBATO RODRIGUES</v>
      </c>
      <c r="I1170" t="s">
        <v>21</v>
      </c>
      <c r="J1170" t="s">
        <v>1128</v>
      </c>
      <c r="K1170" t="s">
        <v>1202</v>
      </c>
      <c r="L1170">
        <v>23110</v>
      </c>
      <c r="M1170" t="s">
        <v>409</v>
      </c>
      <c r="O1170" t="s">
        <v>11</v>
      </c>
      <c r="P1170">
        <v>5102</v>
      </c>
      <c r="Q1170">
        <v>200</v>
      </c>
      <c r="R1170">
        <v>2.35</v>
      </c>
      <c r="S1170">
        <v>470</v>
      </c>
      <c r="T1170">
        <v>370</v>
      </c>
      <c r="U1170">
        <v>21.28</v>
      </c>
      <c r="V1170" t="str">
        <f>VLOOKUP(L1170,'[2]tabela de preços'!$A:$D,4,0)</f>
        <v>3M</v>
      </c>
      <c r="W1170" t="str">
        <f>VLOOKUP(L1170,'[2]tabela de preços'!$A:$F,6,0)</f>
        <v xml:space="preserve">DISCOS / LIXAS / ABRASIVOS </v>
      </c>
      <c r="X1170" t="str">
        <f>VLOOKUP(L1170,'[2]tabela de preços'!$A:$G,7,0)</f>
        <v>AUTOMOTIVO</v>
      </c>
    </row>
    <row r="1171" spans="1:24" x14ac:dyDescent="0.3">
      <c r="A1171" t="s">
        <v>1243</v>
      </c>
      <c r="C1171" t="s">
        <v>1244</v>
      </c>
      <c r="D1171" s="1">
        <v>46038</v>
      </c>
      <c r="E1171" t="s">
        <v>1245</v>
      </c>
      <c r="F1171">
        <v>9</v>
      </c>
      <c r="G1171">
        <v>236</v>
      </c>
      <c r="H1171" t="str">
        <f>VLOOKUP(G1171,[1]OPERADORES!$A:$B,2,0)</f>
        <v>DANIEL</v>
      </c>
      <c r="I1171" t="s">
        <v>21</v>
      </c>
      <c r="J1171" t="s">
        <v>762</v>
      </c>
      <c r="K1171" t="s">
        <v>1246</v>
      </c>
      <c r="L1171">
        <v>85413</v>
      </c>
      <c r="M1171" t="s">
        <v>1247</v>
      </c>
      <c r="O1171" t="s">
        <v>11</v>
      </c>
      <c r="P1171">
        <v>5102</v>
      </c>
      <c r="Q1171">
        <v>22</v>
      </c>
      <c r="R1171">
        <v>29.9</v>
      </c>
      <c r="S1171">
        <v>657.8</v>
      </c>
      <c r="T1171">
        <v>577.5</v>
      </c>
      <c r="U1171">
        <v>12.21</v>
      </c>
      <c r="V1171" t="str">
        <f>VLOOKUP(L1171,'[2]tabela de preços'!$A:$D,4,0)</f>
        <v>3M</v>
      </c>
      <c r="W1171" t="str">
        <f>VLOOKUP(L1171,'[2]tabela de preços'!$A:$F,6,0)</f>
        <v>OUTRAS FITAS</v>
      </c>
      <c r="X1171" t="str">
        <f>VLOOKUP(L1171,'[2]tabela de preços'!$A:$G,7,0)</f>
        <v>IMOBILIÁRIO</v>
      </c>
    </row>
    <row r="1172" spans="1:24" x14ac:dyDescent="0.3">
      <c r="A1172" t="s">
        <v>1254</v>
      </c>
      <c r="C1172" t="s">
        <v>1255</v>
      </c>
      <c r="D1172" s="1">
        <v>46038</v>
      </c>
      <c r="E1172" t="s">
        <v>1256</v>
      </c>
      <c r="F1172">
        <v>9</v>
      </c>
      <c r="G1172">
        <v>197</v>
      </c>
      <c r="H1172" t="str">
        <f>VLOOKUP(G1172,[1]OPERADORES!$A:$B,2,0)</f>
        <v xml:space="preserve">POLIANA LORRANE DE AMORIM </v>
      </c>
      <c r="I1172" t="s">
        <v>21</v>
      </c>
      <c r="J1172" t="s">
        <v>1257</v>
      </c>
      <c r="K1172" t="s">
        <v>1258</v>
      </c>
      <c r="L1172">
        <v>85448</v>
      </c>
      <c r="M1172" t="s">
        <v>1259</v>
      </c>
      <c r="O1172" t="s">
        <v>11</v>
      </c>
      <c r="P1172">
        <v>5403</v>
      </c>
      <c r="Q1172">
        <v>2</v>
      </c>
      <c r="R1172">
        <v>101.02</v>
      </c>
      <c r="S1172">
        <v>202.04</v>
      </c>
      <c r="T1172">
        <v>144.82</v>
      </c>
      <c r="U1172">
        <v>28.32</v>
      </c>
      <c r="V1172" t="str">
        <f>VLOOKUP(L1172,'[2]tabela de preços'!$A:$D,4,0)</f>
        <v>BRASILUX</v>
      </c>
      <c r="W1172" t="str">
        <f>VLOOKUP(L1172,'[2]tabela de preços'!$A:$F,6,0)</f>
        <v>TINTAS LACA</v>
      </c>
      <c r="X1172" t="str">
        <f>VLOOKUP(L1172,'[2]tabela de preços'!$A:$G,7,0)</f>
        <v>AUTOMOTIVO</v>
      </c>
    </row>
    <row r="1173" spans="1:24" x14ac:dyDescent="0.3">
      <c r="A1173" t="s">
        <v>1254</v>
      </c>
      <c r="C1173" t="s">
        <v>1255</v>
      </c>
      <c r="D1173" s="1">
        <v>46038</v>
      </c>
      <c r="E1173" t="s">
        <v>1256</v>
      </c>
      <c r="F1173">
        <v>9</v>
      </c>
      <c r="G1173">
        <v>197</v>
      </c>
      <c r="H1173" t="str">
        <f>VLOOKUP(G1173,[1]OPERADORES!$A:$B,2,0)</f>
        <v xml:space="preserve">POLIANA LORRANE DE AMORIM </v>
      </c>
      <c r="I1173" t="s">
        <v>21</v>
      </c>
      <c r="J1173" t="s">
        <v>1257</v>
      </c>
      <c r="K1173" t="s">
        <v>1258</v>
      </c>
      <c r="L1173">
        <v>84557</v>
      </c>
      <c r="M1173" t="s">
        <v>116</v>
      </c>
      <c r="O1173" t="s">
        <v>11</v>
      </c>
      <c r="P1173">
        <v>5102</v>
      </c>
      <c r="Q1173">
        <v>1</v>
      </c>
      <c r="R1173">
        <v>17.489999999999998</v>
      </c>
      <c r="S1173">
        <v>17.489999999999998</v>
      </c>
      <c r="T1173">
        <v>13.96</v>
      </c>
      <c r="U1173">
        <v>20.18</v>
      </c>
      <c r="V1173" t="str">
        <f>VLOOKUP(L1173,'[2]tabela de preços'!$A:$D,4,0)</f>
        <v>BRASILUX</v>
      </c>
      <c r="W1173" t="str">
        <f>VLOOKUP(L1173,'[2]tabela de preços'!$A:$F,6,0)</f>
        <v>DILUENTE</v>
      </c>
      <c r="X1173" t="str">
        <f>VLOOKUP(L1173,'[2]tabela de preços'!$A:$G,7,0)</f>
        <v>AUTOMOTIVO</v>
      </c>
    </row>
    <row r="1174" spans="1:24" x14ac:dyDescent="0.3">
      <c r="A1174" t="s">
        <v>1254</v>
      </c>
      <c r="C1174" t="s">
        <v>1255</v>
      </c>
      <c r="D1174" s="1">
        <v>46038</v>
      </c>
      <c r="E1174" t="s">
        <v>1256</v>
      </c>
      <c r="F1174">
        <v>9</v>
      </c>
      <c r="G1174">
        <v>197</v>
      </c>
      <c r="H1174" t="str">
        <f>VLOOKUP(G1174,[1]OPERADORES!$A:$B,2,0)</f>
        <v xml:space="preserve">POLIANA LORRANE DE AMORIM </v>
      </c>
      <c r="I1174" t="s">
        <v>21</v>
      </c>
      <c r="J1174" t="s">
        <v>1257</v>
      </c>
      <c r="K1174" t="s">
        <v>1258</v>
      </c>
      <c r="L1174">
        <v>21077</v>
      </c>
      <c r="M1174" t="s">
        <v>207</v>
      </c>
      <c r="O1174" t="s">
        <v>11</v>
      </c>
      <c r="P1174">
        <v>5102</v>
      </c>
      <c r="Q1174">
        <v>6</v>
      </c>
      <c r="R1174">
        <v>46.26</v>
      </c>
      <c r="S1174">
        <v>277.56</v>
      </c>
      <c r="T1174">
        <v>203.52</v>
      </c>
      <c r="U1174">
        <v>26.68</v>
      </c>
      <c r="V1174" t="str">
        <f>VLOOKUP(L1174,'[2]tabela de preços'!$A:$D,4,0)</f>
        <v>SHERWIN WILLIAMS</v>
      </c>
      <c r="W1174" t="str">
        <f>VLOOKUP(L1174,'[2]tabela de preços'!$A:$F,6,0)</f>
        <v>MASSA POLIÉSTER</v>
      </c>
      <c r="X1174" t="str">
        <f>VLOOKUP(L1174,'[2]tabela de preços'!$A:$G,7,0)</f>
        <v>AUTOMOTIVO</v>
      </c>
    </row>
    <row r="1175" spans="1:24" x14ac:dyDescent="0.3">
      <c r="A1175" t="s">
        <v>1254</v>
      </c>
      <c r="C1175" t="s">
        <v>1255</v>
      </c>
      <c r="D1175" s="1">
        <v>46038</v>
      </c>
      <c r="E1175" t="s">
        <v>1256</v>
      </c>
      <c r="F1175">
        <v>9</v>
      </c>
      <c r="G1175">
        <v>197</v>
      </c>
      <c r="H1175" t="str">
        <f>VLOOKUP(G1175,[1]OPERADORES!$A:$B,2,0)</f>
        <v xml:space="preserve">POLIANA LORRANE DE AMORIM </v>
      </c>
      <c r="I1175" t="s">
        <v>21</v>
      </c>
      <c r="J1175" t="s">
        <v>1257</v>
      </c>
      <c r="K1175" t="s">
        <v>1258</v>
      </c>
      <c r="L1175">
        <v>84894</v>
      </c>
      <c r="M1175" t="s">
        <v>1260</v>
      </c>
      <c r="O1175" t="s">
        <v>11</v>
      </c>
      <c r="P1175">
        <v>5102</v>
      </c>
      <c r="Q1175">
        <v>1</v>
      </c>
      <c r="R1175">
        <v>61.64</v>
      </c>
      <c r="S1175">
        <v>61.64</v>
      </c>
      <c r="T1175">
        <v>45.19</v>
      </c>
      <c r="U1175">
        <v>26.69</v>
      </c>
      <c r="V1175" t="str">
        <f>VLOOKUP(L1175,'[2]tabela de preços'!$A:$D,4,0)</f>
        <v>BRASILUX</v>
      </c>
      <c r="W1175" t="str">
        <f>VLOOKUP(L1175,'[2]tabela de preços'!$A:$F,6,0)</f>
        <v>DILUENTE</v>
      </c>
      <c r="X1175" t="str">
        <f>VLOOKUP(L1175,'[2]tabela de preços'!$A:$G,7,0)</f>
        <v>AUTOMOTIVO</v>
      </c>
    </row>
    <row r="1176" spans="1:24" x14ac:dyDescent="0.3">
      <c r="A1176" t="s">
        <v>1254</v>
      </c>
      <c r="C1176" t="s">
        <v>1255</v>
      </c>
      <c r="D1176" s="1">
        <v>46038</v>
      </c>
      <c r="E1176" t="s">
        <v>1256</v>
      </c>
      <c r="F1176">
        <v>9</v>
      </c>
      <c r="G1176">
        <v>197</v>
      </c>
      <c r="H1176" t="str">
        <f>VLOOKUP(G1176,[1]OPERADORES!$A:$B,2,0)</f>
        <v xml:space="preserve">POLIANA LORRANE DE AMORIM </v>
      </c>
      <c r="I1176" t="s">
        <v>21</v>
      </c>
      <c r="J1176" t="s">
        <v>1257</v>
      </c>
      <c r="K1176" t="s">
        <v>1258</v>
      </c>
      <c r="L1176">
        <v>84900</v>
      </c>
      <c r="M1176" t="s">
        <v>1261</v>
      </c>
      <c r="O1176" t="s">
        <v>11</v>
      </c>
      <c r="P1176">
        <v>5403</v>
      </c>
      <c r="Q1176">
        <v>1</v>
      </c>
      <c r="R1176">
        <v>199.28</v>
      </c>
      <c r="S1176">
        <v>199.28</v>
      </c>
      <c r="T1176">
        <v>128.57</v>
      </c>
      <c r="U1176">
        <v>35.479999999999997</v>
      </c>
      <c r="V1176" t="str">
        <f>VLOOKUP(L1176,'[2]tabela de preços'!$A:$D,4,0)</f>
        <v>BRASILUX</v>
      </c>
      <c r="W1176" t="str">
        <f>VLOOKUP(L1176,'[2]tabela de preços'!$A:$F,6,0)</f>
        <v>EPOXI</v>
      </c>
      <c r="X1176" t="str">
        <f>VLOOKUP(L1176,'[2]tabela de preços'!$A:$G,7,0)</f>
        <v>INDUSTRIAL</v>
      </c>
    </row>
    <row r="1177" spans="1:24" x14ac:dyDescent="0.3">
      <c r="A1177" t="s">
        <v>1275</v>
      </c>
      <c r="C1177" t="s">
        <v>1285</v>
      </c>
      <c r="D1177" s="1">
        <v>46038</v>
      </c>
      <c r="E1177" t="s">
        <v>1286</v>
      </c>
      <c r="F1177">
        <v>9</v>
      </c>
      <c r="G1177">
        <v>197</v>
      </c>
      <c r="H1177" t="str">
        <f>VLOOKUP(G1177,[1]OPERADORES!$A:$B,2,0)</f>
        <v xml:space="preserve">POLIANA LORRANE DE AMORIM </v>
      </c>
      <c r="I1177" t="s">
        <v>21</v>
      </c>
      <c r="J1177" t="s">
        <v>1278</v>
      </c>
      <c r="K1177" t="s">
        <v>1279</v>
      </c>
      <c r="L1177">
        <v>84328</v>
      </c>
      <c r="M1177" t="s">
        <v>496</v>
      </c>
      <c r="O1177" t="s">
        <v>11</v>
      </c>
      <c r="P1177">
        <v>5403</v>
      </c>
      <c r="Q1177">
        <v>4</v>
      </c>
      <c r="R1177">
        <v>59.98</v>
      </c>
      <c r="S1177">
        <v>239.92</v>
      </c>
      <c r="T1177">
        <v>184.76</v>
      </c>
      <c r="U1177">
        <v>22.99</v>
      </c>
      <c r="V1177" t="str">
        <f>VLOOKUP(L1177,'[2]tabela de preços'!$A:$D,4,0)</f>
        <v>BRASILUX</v>
      </c>
      <c r="W1177" t="str">
        <f>VLOOKUP(L1177,'[2]tabela de preços'!$A:$F,6,0)</f>
        <v>ESMALTES</v>
      </c>
      <c r="X1177" t="str">
        <f>VLOOKUP(L1177,'[2]tabela de preços'!$A:$G,7,0)</f>
        <v>INDUSTRIAL</v>
      </c>
    </row>
    <row r="1178" spans="1:24" x14ac:dyDescent="0.3">
      <c r="A1178" t="s">
        <v>1275</v>
      </c>
      <c r="C1178" t="s">
        <v>1285</v>
      </c>
      <c r="D1178" s="1">
        <v>46038</v>
      </c>
      <c r="E1178" t="s">
        <v>1286</v>
      </c>
      <c r="F1178">
        <v>9</v>
      </c>
      <c r="G1178">
        <v>197</v>
      </c>
      <c r="H1178" t="str">
        <f>VLOOKUP(G1178,[1]OPERADORES!$A:$B,2,0)</f>
        <v xml:space="preserve">POLIANA LORRANE DE AMORIM </v>
      </c>
      <c r="I1178" t="s">
        <v>21</v>
      </c>
      <c r="J1178" t="s">
        <v>1278</v>
      </c>
      <c r="K1178" t="s">
        <v>1279</v>
      </c>
      <c r="L1178">
        <v>84331</v>
      </c>
      <c r="M1178" t="s">
        <v>497</v>
      </c>
      <c r="O1178" t="s">
        <v>11</v>
      </c>
      <c r="P1178">
        <v>5403</v>
      </c>
      <c r="Q1178">
        <v>12</v>
      </c>
      <c r="R1178">
        <v>59.98</v>
      </c>
      <c r="S1178">
        <v>719.76</v>
      </c>
      <c r="T1178">
        <v>624</v>
      </c>
      <c r="U1178">
        <v>13.3</v>
      </c>
      <c r="V1178" t="str">
        <f>VLOOKUP(L1178,'[2]tabela de preços'!$A:$D,4,0)</f>
        <v>BRASILUX</v>
      </c>
      <c r="W1178" t="str">
        <f>VLOOKUP(L1178,'[2]tabela de preços'!$A:$F,6,0)</f>
        <v>ESMALTES</v>
      </c>
      <c r="X1178" t="str">
        <f>VLOOKUP(L1178,'[2]tabela de preços'!$A:$G,7,0)</f>
        <v>INDUSTRIAL</v>
      </c>
    </row>
    <row r="1179" spans="1:24" x14ac:dyDescent="0.3">
      <c r="A1179" t="s">
        <v>1275</v>
      </c>
      <c r="C1179" t="s">
        <v>1285</v>
      </c>
      <c r="D1179" s="1">
        <v>46038</v>
      </c>
      <c r="E1179" t="s">
        <v>1286</v>
      </c>
      <c r="F1179">
        <v>9</v>
      </c>
      <c r="G1179">
        <v>197</v>
      </c>
      <c r="H1179" t="str">
        <f>VLOOKUP(G1179,[1]OPERADORES!$A:$B,2,0)</f>
        <v xml:space="preserve">POLIANA LORRANE DE AMORIM </v>
      </c>
      <c r="I1179" t="s">
        <v>21</v>
      </c>
      <c r="J1179" t="s">
        <v>1278</v>
      </c>
      <c r="K1179" t="s">
        <v>1279</v>
      </c>
      <c r="L1179">
        <v>84144</v>
      </c>
      <c r="M1179" t="s">
        <v>1287</v>
      </c>
      <c r="O1179" t="s">
        <v>11</v>
      </c>
      <c r="P1179">
        <v>5403</v>
      </c>
      <c r="Q1179">
        <v>4</v>
      </c>
      <c r="R1179">
        <v>59.98</v>
      </c>
      <c r="S1179">
        <v>239.92</v>
      </c>
      <c r="T1179">
        <v>208</v>
      </c>
      <c r="U1179">
        <v>13.3</v>
      </c>
      <c r="V1179" t="str">
        <f>VLOOKUP(L1179,'[2]tabela de preços'!$A:$D,4,0)</f>
        <v>BRASILUX</v>
      </c>
      <c r="W1179" t="str">
        <f>VLOOKUP(L1179,'[2]tabela de preços'!$A:$F,6,0)</f>
        <v>ESMALTES</v>
      </c>
      <c r="X1179" t="str">
        <f>VLOOKUP(L1179,'[2]tabela de preços'!$A:$G,7,0)</f>
        <v>INDUSTRIAL</v>
      </c>
    </row>
    <row r="1180" spans="1:24" x14ac:dyDescent="0.3">
      <c r="A1180" t="s">
        <v>1275</v>
      </c>
      <c r="C1180" t="s">
        <v>1285</v>
      </c>
      <c r="D1180" s="1">
        <v>46038</v>
      </c>
      <c r="E1180" t="s">
        <v>1286</v>
      </c>
      <c r="F1180">
        <v>9</v>
      </c>
      <c r="G1180">
        <v>197</v>
      </c>
      <c r="H1180" t="str">
        <f>VLOOKUP(G1180,[1]OPERADORES!$A:$B,2,0)</f>
        <v xml:space="preserve">POLIANA LORRANE DE AMORIM </v>
      </c>
      <c r="I1180" t="s">
        <v>21</v>
      </c>
      <c r="J1180" t="s">
        <v>1278</v>
      </c>
      <c r="K1180" t="s">
        <v>1279</v>
      </c>
      <c r="L1180">
        <v>84335</v>
      </c>
      <c r="M1180" t="s">
        <v>269</v>
      </c>
      <c r="O1180" t="s">
        <v>11</v>
      </c>
      <c r="P1180">
        <v>5403</v>
      </c>
      <c r="Q1180">
        <v>4</v>
      </c>
      <c r="R1180">
        <v>59.98</v>
      </c>
      <c r="S1180">
        <v>239.92</v>
      </c>
      <c r="T1180">
        <v>202.6</v>
      </c>
      <c r="U1180">
        <v>15.56</v>
      </c>
      <c r="V1180" t="str">
        <f>VLOOKUP(L1180,'[2]tabela de preços'!$A:$D,4,0)</f>
        <v>BRASILUX</v>
      </c>
      <c r="W1180" t="str">
        <f>VLOOKUP(L1180,'[2]tabela de preços'!$A:$F,6,0)</f>
        <v>ESMALTES</v>
      </c>
      <c r="X1180" t="str">
        <f>VLOOKUP(L1180,'[2]tabela de preços'!$A:$G,7,0)</f>
        <v>INDUSTRIAL</v>
      </c>
    </row>
    <row r="1181" spans="1:24" x14ac:dyDescent="0.3">
      <c r="A1181" t="s">
        <v>1275</v>
      </c>
      <c r="C1181" t="s">
        <v>1285</v>
      </c>
      <c r="D1181" s="1">
        <v>46038</v>
      </c>
      <c r="E1181" t="s">
        <v>1286</v>
      </c>
      <c r="F1181">
        <v>9</v>
      </c>
      <c r="G1181">
        <v>197</v>
      </c>
      <c r="H1181" t="str">
        <f>VLOOKUP(G1181,[1]OPERADORES!$A:$B,2,0)</f>
        <v xml:space="preserve">POLIANA LORRANE DE AMORIM </v>
      </c>
      <c r="I1181" t="s">
        <v>21</v>
      </c>
      <c r="J1181" t="s">
        <v>1278</v>
      </c>
      <c r="K1181" t="s">
        <v>1279</v>
      </c>
      <c r="L1181">
        <v>84342</v>
      </c>
      <c r="M1181" t="s">
        <v>498</v>
      </c>
      <c r="O1181" t="s">
        <v>11</v>
      </c>
      <c r="P1181">
        <v>5403</v>
      </c>
      <c r="Q1181">
        <v>4</v>
      </c>
      <c r="R1181">
        <v>59.98</v>
      </c>
      <c r="S1181">
        <v>239.92</v>
      </c>
      <c r="T1181">
        <v>183.12</v>
      </c>
      <c r="U1181">
        <v>23.67</v>
      </c>
      <c r="V1181" t="str">
        <f>VLOOKUP(L1181,'[2]tabela de preços'!$A:$D,4,0)</f>
        <v>BRASILUX</v>
      </c>
      <c r="W1181" t="str">
        <f>VLOOKUP(L1181,'[2]tabela de preços'!$A:$F,6,0)</f>
        <v>ESMALTES</v>
      </c>
      <c r="X1181" t="str">
        <f>VLOOKUP(L1181,'[2]tabela de preços'!$A:$G,7,0)</f>
        <v>INDUSTRIAL</v>
      </c>
    </row>
    <row r="1182" spans="1:24" x14ac:dyDescent="0.3">
      <c r="A1182" t="s">
        <v>1275</v>
      </c>
      <c r="C1182" t="s">
        <v>1285</v>
      </c>
      <c r="D1182" s="1">
        <v>46038</v>
      </c>
      <c r="E1182" t="s">
        <v>1286</v>
      </c>
      <c r="F1182">
        <v>9</v>
      </c>
      <c r="G1182">
        <v>197</v>
      </c>
      <c r="H1182" t="str">
        <f>VLOOKUP(G1182,[1]OPERADORES!$A:$B,2,0)</f>
        <v xml:space="preserve">POLIANA LORRANE DE AMORIM </v>
      </c>
      <c r="I1182" t="s">
        <v>21</v>
      </c>
      <c r="J1182" t="s">
        <v>1278</v>
      </c>
      <c r="K1182" t="s">
        <v>1279</v>
      </c>
      <c r="L1182">
        <v>84145</v>
      </c>
      <c r="M1182" t="s">
        <v>301</v>
      </c>
      <c r="O1182" t="s">
        <v>11</v>
      </c>
      <c r="P1182">
        <v>5403</v>
      </c>
      <c r="Q1182">
        <v>12</v>
      </c>
      <c r="R1182">
        <v>59.98</v>
      </c>
      <c r="S1182">
        <v>719.76</v>
      </c>
      <c r="T1182">
        <v>624.12</v>
      </c>
      <c r="U1182">
        <v>13.29</v>
      </c>
      <c r="V1182" t="str">
        <f>VLOOKUP(L1182,'[2]tabela de preços'!$A:$D,4,0)</f>
        <v>BRASILUX</v>
      </c>
      <c r="W1182" t="str">
        <f>VLOOKUP(L1182,'[2]tabela de preços'!$A:$F,6,0)</f>
        <v>ESMALTES</v>
      </c>
      <c r="X1182" t="str">
        <f>VLOOKUP(L1182,'[2]tabela de preços'!$A:$G,7,0)</f>
        <v>INDUSTRIAL</v>
      </c>
    </row>
    <row r="1183" spans="1:24" x14ac:dyDescent="0.3">
      <c r="A1183" t="s">
        <v>1275</v>
      </c>
      <c r="C1183" t="s">
        <v>1285</v>
      </c>
      <c r="D1183" s="1">
        <v>46038</v>
      </c>
      <c r="E1183" t="s">
        <v>1286</v>
      </c>
      <c r="F1183">
        <v>9</v>
      </c>
      <c r="G1183">
        <v>197</v>
      </c>
      <c r="H1183" t="str">
        <f>VLOOKUP(G1183,[1]OPERADORES!$A:$B,2,0)</f>
        <v xml:space="preserve">POLIANA LORRANE DE AMORIM </v>
      </c>
      <c r="I1183" t="s">
        <v>21</v>
      </c>
      <c r="J1183" t="s">
        <v>1278</v>
      </c>
      <c r="K1183" t="s">
        <v>1279</v>
      </c>
      <c r="L1183">
        <v>84344</v>
      </c>
      <c r="M1183" t="s">
        <v>1000</v>
      </c>
      <c r="O1183" t="s">
        <v>11</v>
      </c>
      <c r="P1183">
        <v>5403</v>
      </c>
      <c r="Q1183">
        <v>4</v>
      </c>
      <c r="R1183">
        <v>59.98</v>
      </c>
      <c r="S1183">
        <v>239.92</v>
      </c>
      <c r="T1183">
        <v>198.64</v>
      </c>
      <c r="U1183">
        <v>17.21</v>
      </c>
      <c r="V1183" t="str">
        <f>VLOOKUP(L1183,'[2]tabela de preços'!$A:$D,4,0)</f>
        <v>BRASILUX</v>
      </c>
      <c r="W1183" t="str">
        <f>VLOOKUP(L1183,'[2]tabela de preços'!$A:$F,6,0)</f>
        <v>ESMALTES</v>
      </c>
      <c r="X1183" t="str">
        <f>VLOOKUP(L1183,'[2]tabela de preços'!$A:$G,7,0)</f>
        <v>INDUSTRIAL</v>
      </c>
    </row>
    <row r="1184" spans="1:24" x14ac:dyDescent="0.3">
      <c r="A1184" t="s">
        <v>1275</v>
      </c>
      <c r="C1184" t="s">
        <v>1285</v>
      </c>
      <c r="D1184" s="1">
        <v>46038</v>
      </c>
      <c r="E1184" t="s">
        <v>1286</v>
      </c>
      <c r="F1184">
        <v>9</v>
      </c>
      <c r="G1184">
        <v>197</v>
      </c>
      <c r="H1184" t="str">
        <f>VLOOKUP(G1184,[1]OPERADORES!$A:$B,2,0)</f>
        <v xml:space="preserve">POLIANA LORRANE DE AMORIM </v>
      </c>
      <c r="I1184" t="s">
        <v>21</v>
      </c>
      <c r="J1184" t="s">
        <v>1278</v>
      </c>
      <c r="K1184" t="s">
        <v>1279</v>
      </c>
      <c r="L1184">
        <v>85292</v>
      </c>
      <c r="M1184" t="s">
        <v>1288</v>
      </c>
      <c r="O1184" t="s">
        <v>11</v>
      </c>
      <c r="P1184">
        <v>5403</v>
      </c>
      <c r="Q1184">
        <v>2</v>
      </c>
      <c r="R1184">
        <v>169.39</v>
      </c>
      <c r="S1184">
        <v>338.78</v>
      </c>
      <c r="T1184">
        <v>257.14</v>
      </c>
      <c r="U1184">
        <v>24.1</v>
      </c>
      <c r="V1184" t="str">
        <f>VLOOKUP(L1184,'[2]tabela de preços'!$A:$D,4,0)</f>
        <v>BRASILUX</v>
      </c>
      <c r="W1184" t="str">
        <f>VLOOKUP(L1184,'[2]tabela de preços'!$A:$F,6,0)</f>
        <v>EPOXI</v>
      </c>
      <c r="X1184" t="str">
        <f>VLOOKUP(L1184,'[2]tabela de preços'!$A:$G,7,0)</f>
        <v>INDUSTRIAL</v>
      </c>
    </row>
    <row r="1185" spans="1:24" x14ac:dyDescent="0.3">
      <c r="A1185" t="s">
        <v>1347</v>
      </c>
      <c r="C1185" t="s">
        <v>1348</v>
      </c>
      <c r="D1185" s="1">
        <v>46038</v>
      </c>
      <c r="E1185" t="s">
        <v>1349</v>
      </c>
      <c r="F1185">
        <v>9</v>
      </c>
      <c r="G1185">
        <v>236</v>
      </c>
      <c r="H1185" t="str">
        <f>VLOOKUP(G1185,[1]OPERADORES!$A:$B,2,0)</f>
        <v>DANIEL</v>
      </c>
      <c r="I1185" t="s">
        <v>21</v>
      </c>
      <c r="J1185" t="s">
        <v>1350</v>
      </c>
      <c r="K1185" t="s">
        <v>1351</v>
      </c>
      <c r="L1185">
        <v>86885</v>
      </c>
      <c r="M1185" t="s">
        <v>1352</v>
      </c>
      <c r="O1185" t="s">
        <v>11</v>
      </c>
      <c r="P1185">
        <v>5102</v>
      </c>
      <c r="Q1185">
        <v>1</v>
      </c>
      <c r="R1185">
        <v>94.9</v>
      </c>
      <c r="S1185">
        <v>94.9</v>
      </c>
      <c r="T1185">
        <v>77.599999999999994</v>
      </c>
      <c r="U1185">
        <v>18.23</v>
      </c>
      <c r="V1185" t="str">
        <f>VLOOKUP(L1185,'[2]tabela de preços'!$A:$D,4,0)</f>
        <v>VEDACIT</v>
      </c>
      <c r="W1185" t="str">
        <f>VLOOKUP(L1185,'[2]tabela de preços'!$A:$F,6,0)</f>
        <v>IMPERMEABILIZANTES</v>
      </c>
      <c r="X1185" t="str">
        <f>VLOOKUP(L1185,'[2]tabela de preços'!$A:$G,7,0)</f>
        <v>IMOBILIÁRIO</v>
      </c>
    </row>
    <row r="1186" spans="1:24" x14ac:dyDescent="0.3">
      <c r="A1186" t="s">
        <v>1381</v>
      </c>
      <c r="C1186" t="s">
        <v>1382</v>
      </c>
      <c r="D1186" s="1">
        <v>46038</v>
      </c>
      <c r="E1186" t="s">
        <v>1383</v>
      </c>
      <c r="F1186">
        <v>9</v>
      </c>
      <c r="G1186">
        <v>231</v>
      </c>
      <c r="H1186" t="str">
        <f>VLOOKUP(G1186,[1]OPERADORES!$A:$B,2,0)</f>
        <v>EDIJANE</v>
      </c>
      <c r="I1186" t="s">
        <v>168</v>
      </c>
      <c r="J1186" t="s">
        <v>1384</v>
      </c>
      <c r="K1186" t="s">
        <v>1385</v>
      </c>
      <c r="L1186">
        <v>85318</v>
      </c>
      <c r="M1186" t="s">
        <v>258</v>
      </c>
      <c r="O1186" t="s">
        <v>11</v>
      </c>
      <c r="P1186">
        <v>6102</v>
      </c>
      <c r="Q1186">
        <v>1</v>
      </c>
      <c r="R1186">
        <v>775.32</v>
      </c>
      <c r="S1186">
        <v>775.32</v>
      </c>
      <c r="T1186">
        <v>552.80999999999995</v>
      </c>
      <c r="U1186">
        <v>28.7</v>
      </c>
      <c r="V1186" t="str">
        <f>VLOOKUP(L1186,'[2]tabela de preços'!$A:$D,4,0)</f>
        <v>BRASILUX</v>
      </c>
      <c r="W1186" t="str">
        <f>VLOOKUP(L1186,'[2]tabela de preços'!$A:$F,6,0)</f>
        <v>TINTA EM PÓ</v>
      </c>
      <c r="X1186" t="str">
        <f>VLOOKUP(L1186,'[2]tabela de preços'!$A:$G,7,0)</f>
        <v>INDUSTRIAL</v>
      </c>
    </row>
    <row r="1187" spans="1:24" x14ac:dyDescent="0.3">
      <c r="A1187" t="s">
        <v>1381</v>
      </c>
      <c r="C1187" t="s">
        <v>1382</v>
      </c>
      <c r="D1187" s="1">
        <v>46038</v>
      </c>
      <c r="E1187" t="s">
        <v>1383</v>
      </c>
      <c r="F1187">
        <v>9</v>
      </c>
      <c r="G1187">
        <v>231</v>
      </c>
      <c r="H1187" t="str">
        <f>VLOOKUP(G1187,[1]OPERADORES!$A:$B,2,0)</f>
        <v>EDIJANE</v>
      </c>
      <c r="I1187" t="s">
        <v>168</v>
      </c>
      <c r="J1187" t="s">
        <v>1384</v>
      </c>
      <c r="K1187" t="s">
        <v>1385</v>
      </c>
      <c r="L1187">
        <v>85649</v>
      </c>
      <c r="M1187" t="s">
        <v>478</v>
      </c>
      <c r="O1187" t="s">
        <v>11</v>
      </c>
      <c r="P1187">
        <v>6403</v>
      </c>
      <c r="Q1187">
        <v>6</v>
      </c>
      <c r="R1187">
        <v>9.1199999999999992</v>
      </c>
      <c r="S1187">
        <v>54.72</v>
      </c>
      <c r="T1187">
        <v>41.52</v>
      </c>
      <c r="U1187">
        <v>24.12</v>
      </c>
      <c r="V1187" t="str">
        <f>VLOOKUP(L1187,'[2]tabela de preços'!$A:$D,4,0)</f>
        <v>UNIPEGA</v>
      </c>
      <c r="W1187" t="str">
        <f>VLOOKUP(L1187,'[2]tabela de preços'!$A:$F,6,0)</f>
        <v xml:space="preserve">SPRAYS </v>
      </c>
      <c r="X1187" t="str">
        <f>VLOOKUP(L1187,'[2]tabela de preços'!$A:$G,7,0)</f>
        <v>AUTOMOTIVO</v>
      </c>
    </row>
    <row r="1188" spans="1:24" x14ac:dyDescent="0.3">
      <c r="A1188" t="s">
        <v>1389</v>
      </c>
      <c r="C1188" t="s">
        <v>1400</v>
      </c>
      <c r="D1188" s="1">
        <v>46038</v>
      </c>
      <c r="E1188" t="s">
        <v>1401</v>
      </c>
      <c r="F1188">
        <v>9</v>
      </c>
      <c r="G1188">
        <v>230</v>
      </c>
      <c r="H1188" t="str">
        <f>VLOOKUP(G1188,[1]OPERADORES!$A:$B,2,0)</f>
        <v>SÔNIA</v>
      </c>
      <c r="I1188" t="s">
        <v>21</v>
      </c>
      <c r="J1188" t="s">
        <v>66</v>
      </c>
      <c r="K1188" t="s">
        <v>1392</v>
      </c>
      <c r="L1188">
        <v>84896</v>
      </c>
      <c r="M1188" t="s">
        <v>1197</v>
      </c>
      <c r="O1188" t="s">
        <v>11</v>
      </c>
      <c r="P1188">
        <v>5403</v>
      </c>
      <c r="Q1188">
        <v>1</v>
      </c>
      <c r="R1188">
        <v>155.59</v>
      </c>
      <c r="S1188">
        <v>155.59</v>
      </c>
      <c r="T1188">
        <v>118.1</v>
      </c>
      <c r="U1188">
        <v>24.1</v>
      </c>
      <c r="V1188" t="str">
        <f>VLOOKUP(L1188,'[2]tabela de preços'!$A:$D,4,0)</f>
        <v>BRASILUX</v>
      </c>
      <c r="W1188" t="str">
        <f>VLOOKUP(L1188,'[2]tabela de preços'!$A:$F,6,0)</f>
        <v>EPOXI</v>
      </c>
      <c r="X1188" t="str">
        <f>VLOOKUP(L1188,'[2]tabela de preços'!$A:$G,7,0)</f>
        <v>INDUSTRIAL</v>
      </c>
    </row>
    <row r="1189" spans="1:24" x14ac:dyDescent="0.3">
      <c r="A1189" t="s">
        <v>1468</v>
      </c>
      <c r="C1189" t="s">
        <v>1472</v>
      </c>
      <c r="D1189" s="1">
        <v>46038</v>
      </c>
      <c r="E1189" t="s">
        <v>1473</v>
      </c>
      <c r="F1189">
        <v>9</v>
      </c>
      <c r="G1189">
        <v>174</v>
      </c>
      <c r="H1189" t="str">
        <f>VLOOKUP(G1189,[1]OPERADORES!$A:$B,2,0)</f>
        <v>MIRIÃ LOBATO RODRIGUES</v>
      </c>
      <c r="I1189" t="s">
        <v>21</v>
      </c>
      <c r="J1189" t="s">
        <v>494</v>
      </c>
      <c r="K1189" t="s">
        <v>1471</v>
      </c>
      <c r="L1189">
        <v>10226</v>
      </c>
      <c r="M1189" t="s">
        <v>145</v>
      </c>
      <c r="O1189" t="s">
        <v>11</v>
      </c>
      <c r="P1189">
        <v>5102</v>
      </c>
      <c r="Q1189">
        <v>102</v>
      </c>
      <c r="R1189">
        <v>2.79</v>
      </c>
      <c r="S1189">
        <v>284.58</v>
      </c>
      <c r="T1189">
        <v>236.64</v>
      </c>
      <c r="U1189">
        <v>16.850000000000001</v>
      </c>
      <c r="V1189" t="str">
        <f>VLOOKUP(L1189,'[2]tabela de preços'!$A:$D,4,0)</f>
        <v>NORTON</v>
      </c>
      <c r="W1189" t="str">
        <f>VLOOKUP(L1189,'[2]tabela de preços'!$A:$F,6,0)</f>
        <v xml:space="preserve">DISCOS / LIXAS / ABRASIVOS </v>
      </c>
      <c r="X1189" t="str">
        <f>VLOOKUP(L1189,'[2]tabela de preços'!$A:$G,7,0)</f>
        <v>AUTOMOTIVO</v>
      </c>
    </row>
    <row r="1190" spans="1:24" x14ac:dyDescent="0.3">
      <c r="A1190" t="s">
        <v>1468</v>
      </c>
      <c r="C1190" t="s">
        <v>1472</v>
      </c>
      <c r="D1190" s="1">
        <v>46038</v>
      </c>
      <c r="E1190" t="s">
        <v>1473</v>
      </c>
      <c r="F1190">
        <v>9</v>
      </c>
      <c r="G1190">
        <v>174</v>
      </c>
      <c r="H1190" t="str">
        <f>VLOOKUP(G1190,[1]OPERADORES!$A:$B,2,0)</f>
        <v>MIRIÃ LOBATO RODRIGUES</v>
      </c>
      <c r="I1190" t="s">
        <v>21</v>
      </c>
      <c r="J1190" t="s">
        <v>494</v>
      </c>
      <c r="K1190" t="s">
        <v>1471</v>
      </c>
      <c r="L1190">
        <v>85498</v>
      </c>
      <c r="M1190" t="s">
        <v>1474</v>
      </c>
      <c r="O1190" t="s">
        <v>411</v>
      </c>
      <c r="P1190">
        <v>5403</v>
      </c>
      <c r="Q1190">
        <v>5</v>
      </c>
      <c r="R1190">
        <v>42.12</v>
      </c>
      <c r="S1190">
        <v>210.6</v>
      </c>
      <c r="T1190">
        <v>150.15</v>
      </c>
      <c r="U1190">
        <v>28.7</v>
      </c>
      <c r="V1190" t="str">
        <f>VLOOKUP(L1190,'[2]tabela de preços'!$A:$D,4,0)</f>
        <v>SHERWIN WILLIAMS</v>
      </c>
      <c r="W1190" t="str">
        <f>VLOOKUP(L1190,'[2]tabela de preços'!$A:$F,6,0)</f>
        <v>TINTAS POLIÉSTER</v>
      </c>
      <c r="X1190" t="str">
        <f>VLOOKUP(L1190,'[2]tabela de preços'!$A:$G,7,0)</f>
        <v>AUTOMOTIVO</v>
      </c>
    </row>
    <row r="1191" spans="1:24" x14ac:dyDescent="0.3">
      <c r="A1191" t="s">
        <v>1468</v>
      </c>
      <c r="C1191" t="s">
        <v>1472</v>
      </c>
      <c r="D1191" s="1">
        <v>46038</v>
      </c>
      <c r="E1191" t="s">
        <v>1473</v>
      </c>
      <c r="F1191">
        <v>9</v>
      </c>
      <c r="G1191">
        <v>174</v>
      </c>
      <c r="H1191" t="str">
        <f>VLOOKUP(G1191,[1]OPERADORES!$A:$B,2,0)</f>
        <v>MIRIÃ LOBATO RODRIGUES</v>
      </c>
      <c r="I1191" t="s">
        <v>21</v>
      </c>
      <c r="J1191" t="s">
        <v>494</v>
      </c>
      <c r="K1191" t="s">
        <v>1471</v>
      </c>
      <c r="L1191">
        <v>15</v>
      </c>
      <c r="M1191" t="s">
        <v>205</v>
      </c>
      <c r="O1191" t="s">
        <v>11</v>
      </c>
      <c r="P1191">
        <v>5102</v>
      </c>
      <c r="Q1191">
        <v>50</v>
      </c>
      <c r="R1191">
        <v>5.79</v>
      </c>
      <c r="S1191">
        <v>289.5</v>
      </c>
      <c r="T1191">
        <v>208</v>
      </c>
      <c r="U1191">
        <v>28.15</v>
      </c>
      <c r="V1191" t="str">
        <f>VLOOKUP(L1191,'[2]tabela de preços'!$A:$D,4,0)</f>
        <v>3M</v>
      </c>
      <c r="W1191" t="str">
        <f>VLOOKUP(L1191,'[2]tabela de preços'!$A:$F,6,0)</f>
        <v>LIXA DÁGUA</v>
      </c>
      <c r="X1191" t="str">
        <f>VLOOKUP(L1191,'[2]tabela de preços'!$A:$G,7,0)</f>
        <v>AUTOMOTIVO</v>
      </c>
    </row>
    <row r="1192" spans="1:24" x14ac:dyDescent="0.3">
      <c r="A1192" t="s">
        <v>1468</v>
      </c>
      <c r="C1192" t="s">
        <v>1472</v>
      </c>
      <c r="D1192" s="1">
        <v>46038</v>
      </c>
      <c r="E1192" t="s">
        <v>1473</v>
      </c>
      <c r="F1192">
        <v>9</v>
      </c>
      <c r="G1192">
        <v>174</v>
      </c>
      <c r="H1192" t="str">
        <f>VLOOKUP(G1192,[1]OPERADORES!$A:$B,2,0)</f>
        <v>MIRIÃ LOBATO RODRIGUES</v>
      </c>
      <c r="I1192" t="s">
        <v>21</v>
      </c>
      <c r="J1192" t="s">
        <v>494</v>
      </c>
      <c r="K1192" t="s">
        <v>1471</v>
      </c>
      <c r="L1192">
        <v>10238</v>
      </c>
      <c r="M1192" t="s">
        <v>79</v>
      </c>
      <c r="O1192" t="s">
        <v>11</v>
      </c>
      <c r="P1192">
        <v>5102</v>
      </c>
      <c r="Q1192">
        <v>200</v>
      </c>
      <c r="R1192">
        <v>2.79</v>
      </c>
      <c r="S1192">
        <v>558</v>
      </c>
      <c r="T1192">
        <v>448</v>
      </c>
      <c r="U1192">
        <v>19.71</v>
      </c>
      <c r="V1192" t="str">
        <f>VLOOKUP(L1192,'[2]tabela de preços'!$A:$D,4,0)</f>
        <v>NORTON</v>
      </c>
      <c r="W1192" t="str">
        <f>VLOOKUP(L1192,'[2]tabela de preços'!$A:$F,6,0)</f>
        <v xml:space="preserve">DISCOS / LIXAS / ABRASIVOS </v>
      </c>
      <c r="X1192" t="str">
        <f>VLOOKUP(L1192,'[2]tabela de preços'!$A:$G,7,0)</f>
        <v>AUTOMOTIVO</v>
      </c>
    </row>
    <row r="1193" spans="1:24" x14ac:dyDescent="0.3">
      <c r="A1193" t="s">
        <v>1468</v>
      </c>
      <c r="C1193" t="s">
        <v>1472</v>
      </c>
      <c r="D1193" s="1">
        <v>46038</v>
      </c>
      <c r="E1193" t="s">
        <v>1473</v>
      </c>
      <c r="F1193">
        <v>9</v>
      </c>
      <c r="G1193">
        <v>174</v>
      </c>
      <c r="H1193" t="str">
        <f>VLOOKUP(G1193,[1]OPERADORES!$A:$B,2,0)</f>
        <v>MIRIÃ LOBATO RODRIGUES</v>
      </c>
      <c r="I1193" t="s">
        <v>21</v>
      </c>
      <c r="J1193" t="s">
        <v>494</v>
      </c>
      <c r="K1193" t="s">
        <v>1471</v>
      </c>
      <c r="L1193">
        <v>10242</v>
      </c>
      <c r="M1193" t="s">
        <v>82</v>
      </c>
      <c r="O1193" t="s">
        <v>11</v>
      </c>
      <c r="P1193">
        <v>5102</v>
      </c>
      <c r="Q1193">
        <v>150</v>
      </c>
      <c r="R1193">
        <v>2.79</v>
      </c>
      <c r="S1193">
        <v>418.5</v>
      </c>
      <c r="T1193">
        <v>336</v>
      </c>
      <c r="U1193">
        <v>19.71</v>
      </c>
      <c r="V1193" t="str">
        <f>VLOOKUP(L1193,'[2]tabela de preços'!$A:$D,4,0)</f>
        <v>NORTON</v>
      </c>
      <c r="W1193" t="str">
        <f>VLOOKUP(L1193,'[2]tabela de preços'!$A:$F,6,0)</f>
        <v xml:space="preserve">DISCOS / LIXAS / ABRASIVOS </v>
      </c>
      <c r="X1193" t="str">
        <f>VLOOKUP(L1193,'[2]tabela de preços'!$A:$G,7,0)</f>
        <v>AUTOMOTIVO</v>
      </c>
    </row>
    <row r="1194" spans="1:24" x14ac:dyDescent="0.3">
      <c r="A1194" t="s">
        <v>1468</v>
      </c>
      <c r="C1194" t="s">
        <v>1472</v>
      </c>
      <c r="D1194" s="1">
        <v>46038</v>
      </c>
      <c r="E1194" t="s">
        <v>1473</v>
      </c>
      <c r="F1194">
        <v>9</v>
      </c>
      <c r="G1194">
        <v>174</v>
      </c>
      <c r="H1194" t="str">
        <f>VLOOKUP(G1194,[1]OPERADORES!$A:$B,2,0)</f>
        <v>MIRIÃ LOBATO RODRIGUES</v>
      </c>
      <c r="I1194" t="s">
        <v>21</v>
      </c>
      <c r="J1194" t="s">
        <v>494</v>
      </c>
      <c r="K1194" t="s">
        <v>1471</v>
      </c>
      <c r="L1194">
        <v>10243</v>
      </c>
      <c r="M1194" t="s">
        <v>83</v>
      </c>
      <c r="O1194" t="s">
        <v>11</v>
      </c>
      <c r="P1194">
        <v>5102</v>
      </c>
      <c r="Q1194">
        <v>200</v>
      </c>
      <c r="R1194">
        <v>2.79</v>
      </c>
      <c r="S1194">
        <v>558</v>
      </c>
      <c r="T1194">
        <v>386</v>
      </c>
      <c r="U1194">
        <v>30.82</v>
      </c>
      <c r="V1194" t="str">
        <f>VLOOKUP(L1194,'[2]tabela de preços'!$A:$D,4,0)</f>
        <v>NORTON</v>
      </c>
      <c r="W1194" t="str">
        <f>VLOOKUP(L1194,'[2]tabela de preços'!$A:$F,6,0)</f>
        <v xml:space="preserve">DISCOS / LIXAS / ABRASIVOS </v>
      </c>
      <c r="X1194" t="str">
        <f>VLOOKUP(L1194,'[2]tabela de preços'!$A:$G,7,0)</f>
        <v>AUTOMOTIVO</v>
      </c>
    </row>
    <row r="1195" spans="1:24" x14ac:dyDescent="0.3">
      <c r="A1195" t="s">
        <v>1468</v>
      </c>
      <c r="C1195" t="s">
        <v>1472</v>
      </c>
      <c r="D1195" s="1">
        <v>46038</v>
      </c>
      <c r="E1195" t="s">
        <v>1473</v>
      </c>
      <c r="F1195">
        <v>9</v>
      </c>
      <c r="G1195">
        <v>174</v>
      </c>
      <c r="H1195" t="str">
        <f>VLOOKUP(G1195,[1]OPERADORES!$A:$B,2,0)</f>
        <v>MIRIÃ LOBATO RODRIGUES</v>
      </c>
      <c r="I1195" t="s">
        <v>21</v>
      </c>
      <c r="J1195" t="s">
        <v>494</v>
      </c>
      <c r="K1195" t="s">
        <v>1471</v>
      </c>
      <c r="L1195">
        <v>10244</v>
      </c>
      <c r="M1195" t="s">
        <v>84</v>
      </c>
      <c r="O1195" t="s">
        <v>11</v>
      </c>
      <c r="P1195">
        <v>5102</v>
      </c>
      <c r="Q1195">
        <v>50</v>
      </c>
      <c r="R1195">
        <v>2.79</v>
      </c>
      <c r="S1195">
        <v>139.5</v>
      </c>
      <c r="T1195">
        <v>96.5</v>
      </c>
      <c r="U1195">
        <v>30.82</v>
      </c>
      <c r="V1195" t="str">
        <f>VLOOKUP(L1195,'[2]tabela de preços'!$A:$D,4,0)</f>
        <v>NORTON</v>
      </c>
      <c r="W1195" t="str">
        <f>VLOOKUP(L1195,'[2]tabela de preços'!$A:$F,6,0)</f>
        <v xml:space="preserve">DISCOS / LIXAS / ABRASIVOS </v>
      </c>
      <c r="X1195" t="str">
        <f>VLOOKUP(L1195,'[2]tabela de preços'!$A:$G,7,0)</f>
        <v>AUTOMOTIVO</v>
      </c>
    </row>
    <row r="1196" spans="1:24" x14ac:dyDescent="0.3">
      <c r="A1196" t="s">
        <v>1468</v>
      </c>
      <c r="C1196" t="s">
        <v>1472</v>
      </c>
      <c r="D1196" s="1">
        <v>46038</v>
      </c>
      <c r="E1196" t="s">
        <v>1473</v>
      </c>
      <c r="F1196">
        <v>9</v>
      </c>
      <c r="G1196">
        <v>174</v>
      </c>
      <c r="H1196" t="str">
        <f>VLOOKUP(G1196,[1]OPERADORES!$A:$B,2,0)</f>
        <v>MIRIÃ LOBATO RODRIGUES</v>
      </c>
      <c r="I1196" t="s">
        <v>21</v>
      </c>
      <c r="J1196" t="s">
        <v>494</v>
      </c>
      <c r="K1196" t="s">
        <v>1471</v>
      </c>
      <c r="L1196">
        <v>10245</v>
      </c>
      <c r="M1196" t="s">
        <v>195</v>
      </c>
      <c r="O1196" t="s">
        <v>11</v>
      </c>
      <c r="P1196">
        <v>5102</v>
      </c>
      <c r="Q1196">
        <v>100</v>
      </c>
      <c r="R1196">
        <v>2.79</v>
      </c>
      <c r="S1196">
        <v>279</v>
      </c>
      <c r="T1196">
        <v>193</v>
      </c>
      <c r="U1196">
        <v>30.82</v>
      </c>
      <c r="V1196" t="str">
        <f>VLOOKUP(L1196,'[2]tabela de preços'!$A:$D,4,0)</f>
        <v>NORTON</v>
      </c>
      <c r="W1196" t="str">
        <f>VLOOKUP(L1196,'[2]tabela de preços'!$A:$F,6,0)</f>
        <v xml:space="preserve">DISCOS / LIXAS / ABRASIVOS </v>
      </c>
      <c r="X1196" t="str">
        <f>VLOOKUP(L1196,'[2]tabela de preços'!$A:$G,7,0)</f>
        <v>AUTOMOTIVO</v>
      </c>
    </row>
    <row r="1197" spans="1:24" x14ac:dyDescent="0.3">
      <c r="A1197" t="s">
        <v>1468</v>
      </c>
      <c r="C1197" t="s">
        <v>1472</v>
      </c>
      <c r="D1197" s="1">
        <v>46038</v>
      </c>
      <c r="E1197" t="s">
        <v>1473</v>
      </c>
      <c r="F1197">
        <v>9</v>
      </c>
      <c r="G1197">
        <v>174</v>
      </c>
      <c r="H1197" t="str">
        <f>VLOOKUP(G1197,[1]OPERADORES!$A:$B,2,0)</f>
        <v>MIRIÃ LOBATO RODRIGUES</v>
      </c>
      <c r="I1197" t="s">
        <v>21</v>
      </c>
      <c r="J1197" t="s">
        <v>494</v>
      </c>
      <c r="K1197" t="s">
        <v>1471</v>
      </c>
      <c r="L1197">
        <v>10246</v>
      </c>
      <c r="M1197" t="s">
        <v>206</v>
      </c>
      <c r="O1197" t="s">
        <v>11</v>
      </c>
      <c r="P1197">
        <v>5102</v>
      </c>
      <c r="Q1197">
        <v>100</v>
      </c>
      <c r="R1197">
        <v>2.79</v>
      </c>
      <c r="S1197">
        <v>279</v>
      </c>
      <c r="T1197">
        <v>193</v>
      </c>
      <c r="U1197">
        <v>30.82</v>
      </c>
      <c r="V1197" t="str">
        <f>VLOOKUP(L1197,'[2]tabela de preços'!$A:$D,4,0)</f>
        <v>NORTON</v>
      </c>
      <c r="W1197" t="str">
        <f>VLOOKUP(L1197,'[2]tabela de preços'!$A:$F,6,0)</f>
        <v xml:space="preserve">DISCOS / LIXAS / ABRASIVOS </v>
      </c>
      <c r="X1197" t="str">
        <f>VLOOKUP(L1197,'[2]tabela de preços'!$A:$G,7,0)</f>
        <v>AUTOMOTIVO</v>
      </c>
    </row>
    <row r="1198" spans="1:24" x14ac:dyDescent="0.3">
      <c r="A1198" t="s">
        <v>1468</v>
      </c>
      <c r="C1198" t="s">
        <v>1472</v>
      </c>
      <c r="D1198" s="1">
        <v>46038</v>
      </c>
      <c r="E1198" t="s">
        <v>1473</v>
      </c>
      <c r="F1198">
        <v>9</v>
      </c>
      <c r="G1198">
        <v>174</v>
      </c>
      <c r="H1198" t="str">
        <f>VLOOKUP(G1198,[1]OPERADORES!$A:$B,2,0)</f>
        <v>MIRIÃ LOBATO RODRIGUES</v>
      </c>
      <c r="I1198" t="s">
        <v>21</v>
      </c>
      <c r="J1198" t="s">
        <v>494</v>
      </c>
      <c r="K1198" t="s">
        <v>1471</v>
      </c>
      <c r="L1198">
        <v>21321</v>
      </c>
      <c r="M1198" t="s">
        <v>272</v>
      </c>
      <c r="O1198" t="s">
        <v>11</v>
      </c>
      <c r="P1198">
        <v>5102</v>
      </c>
      <c r="Q1198">
        <v>8</v>
      </c>
      <c r="R1198">
        <v>20.239999999999998</v>
      </c>
      <c r="S1198">
        <v>161.91999999999999</v>
      </c>
      <c r="T1198">
        <v>122.88</v>
      </c>
      <c r="U1198">
        <v>24.11</v>
      </c>
      <c r="V1198" t="str">
        <f>VLOOKUP(L1198,'[2]tabela de preços'!$A:$D,4,0)</f>
        <v>AUTO AMERICA</v>
      </c>
      <c r="W1198" t="str">
        <f>VLOOKUP(L1198,'[2]tabela de preços'!$A:$F,6,0)</f>
        <v>CERA  / LIMPEZA /  POLIMENTO VEICULAR</v>
      </c>
      <c r="X1198" t="str">
        <f>VLOOKUP(L1198,'[2]tabela de preços'!$A:$G,7,0)</f>
        <v>AUTOMOTIVO</v>
      </c>
    </row>
    <row r="1199" spans="1:24" x14ac:dyDescent="0.3">
      <c r="A1199" t="s">
        <v>1468</v>
      </c>
      <c r="C1199" t="s">
        <v>1472</v>
      </c>
      <c r="D1199" s="1">
        <v>46038</v>
      </c>
      <c r="E1199" t="s">
        <v>1473</v>
      </c>
      <c r="F1199">
        <v>9</v>
      </c>
      <c r="G1199">
        <v>174</v>
      </c>
      <c r="H1199" t="str">
        <f>VLOOKUP(G1199,[1]OPERADORES!$A:$B,2,0)</f>
        <v>MIRIÃ LOBATO RODRIGUES</v>
      </c>
      <c r="I1199" t="s">
        <v>21</v>
      </c>
      <c r="J1199" t="s">
        <v>494</v>
      </c>
      <c r="K1199" t="s">
        <v>1471</v>
      </c>
      <c r="L1199">
        <v>23287</v>
      </c>
      <c r="M1199" t="s">
        <v>273</v>
      </c>
      <c r="O1199" t="s">
        <v>11</v>
      </c>
      <c r="P1199">
        <v>5102</v>
      </c>
      <c r="Q1199">
        <v>4</v>
      </c>
      <c r="R1199">
        <v>39.979999999999997</v>
      </c>
      <c r="S1199">
        <v>159.91999999999999</v>
      </c>
      <c r="T1199">
        <v>121.4</v>
      </c>
      <c r="U1199">
        <v>24.09</v>
      </c>
      <c r="V1199" t="str">
        <f>VLOOKUP(L1199,'[2]tabela de preços'!$A:$D,4,0)</f>
        <v>AUTO AMERICA</v>
      </c>
      <c r="W1199" t="str">
        <f>VLOOKUP(L1199,'[2]tabela de preços'!$A:$F,6,0)</f>
        <v>CERA  / LIMPEZA /  POLIMENTO VEICULAR</v>
      </c>
      <c r="X1199" t="str">
        <f>VLOOKUP(L1199,'[2]tabela de preços'!$A:$G,7,0)</f>
        <v>AUTOMOTIVO</v>
      </c>
    </row>
    <row r="1200" spans="1:24" x14ac:dyDescent="0.3">
      <c r="A1200" t="s">
        <v>1486</v>
      </c>
      <c r="C1200" t="s">
        <v>1496</v>
      </c>
      <c r="D1200" s="1">
        <v>46038</v>
      </c>
      <c r="E1200" t="s">
        <v>1497</v>
      </c>
      <c r="F1200">
        <v>9</v>
      </c>
      <c r="G1200">
        <v>236</v>
      </c>
      <c r="H1200" t="str">
        <f>VLOOKUP(G1200,[1]OPERADORES!$A:$B,2,0)</f>
        <v>DANIEL</v>
      </c>
      <c r="I1200" t="s">
        <v>1489</v>
      </c>
      <c r="J1200" t="s">
        <v>1490</v>
      </c>
      <c r="K1200" t="s">
        <v>1491</v>
      </c>
      <c r="L1200">
        <v>22653</v>
      </c>
      <c r="M1200" t="s">
        <v>1498</v>
      </c>
      <c r="O1200" t="s">
        <v>11</v>
      </c>
      <c r="P1200">
        <v>6102</v>
      </c>
      <c r="Q1200">
        <v>50</v>
      </c>
      <c r="R1200">
        <v>17.79</v>
      </c>
      <c r="S1200">
        <v>889.5</v>
      </c>
      <c r="T1200">
        <v>675</v>
      </c>
      <c r="U1200">
        <v>24.11</v>
      </c>
      <c r="V1200" t="str">
        <f>VLOOKUP(L1200,'[2]tabela de preços'!$A:$D,4,0)</f>
        <v>WANDA</v>
      </c>
      <c r="W1200" t="str">
        <f>VLOOKUP(L1200,'[2]tabela de preços'!$A:$F,6,0)</f>
        <v>EMBALAGEM</v>
      </c>
      <c r="X1200" t="str">
        <f>VLOOKUP(L1200,'[2]tabela de preços'!$A:$G,7,0)</f>
        <v>AUTOMOTIVO</v>
      </c>
    </row>
    <row r="1201" spans="1:24" x14ac:dyDescent="0.3">
      <c r="A1201" t="s">
        <v>1486</v>
      </c>
      <c r="C1201" t="s">
        <v>1496</v>
      </c>
      <c r="D1201" s="1">
        <v>46038</v>
      </c>
      <c r="E1201" t="s">
        <v>1497</v>
      </c>
      <c r="F1201">
        <v>9</v>
      </c>
      <c r="G1201">
        <v>236</v>
      </c>
      <c r="H1201" t="str">
        <f>VLOOKUP(G1201,[1]OPERADORES!$A:$B,2,0)</f>
        <v>DANIEL</v>
      </c>
      <c r="I1201" t="s">
        <v>1489</v>
      </c>
      <c r="J1201" t="s">
        <v>1490</v>
      </c>
      <c r="K1201" t="s">
        <v>1491</v>
      </c>
      <c r="L1201">
        <v>9873</v>
      </c>
      <c r="M1201" t="s">
        <v>1499</v>
      </c>
      <c r="O1201" t="s">
        <v>11</v>
      </c>
      <c r="P1201">
        <v>6403</v>
      </c>
      <c r="Q1201">
        <v>1</v>
      </c>
      <c r="R1201">
        <v>663.32</v>
      </c>
      <c r="S1201">
        <v>663.32</v>
      </c>
      <c r="T1201">
        <v>472.96</v>
      </c>
      <c r="U1201">
        <v>28.7</v>
      </c>
      <c r="V1201" t="str">
        <f>VLOOKUP(L1201,'[2]tabela de preços'!$A:$D,4,0)</f>
        <v>WANDA</v>
      </c>
      <c r="W1201" t="str">
        <f>VLOOKUP(L1201,'[2]tabela de preços'!$A:$F,6,0)</f>
        <v>BASES POLIÉSTER</v>
      </c>
      <c r="X1201" t="str">
        <f>VLOOKUP(L1201,'[2]tabela de preços'!$A:$G,7,0)</f>
        <v>AUTOMOTIVO</v>
      </c>
    </row>
    <row r="1202" spans="1:24" x14ac:dyDescent="0.3">
      <c r="A1202" t="s">
        <v>1486</v>
      </c>
      <c r="C1202" t="s">
        <v>1496</v>
      </c>
      <c r="D1202" s="1">
        <v>46038</v>
      </c>
      <c r="E1202" t="s">
        <v>1497</v>
      </c>
      <c r="F1202">
        <v>9</v>
      </c>
      <c r="G1202">
        <v>236</v>
      </c>
      <c r="H1202" t="str">
        <f>VLOOKUP(G1202,[1]OPERADORES!$A:$B,2,0)</f>
        <v>DANIEL</v>
      </c>
      <c r="I1202" t="s">
        <v>1489</v>
      </c>
      <c r="J1202" t="s">
        <v>1490</v>
      </c>
      <c r="K1202" t="s">
        <v>1491</v>
      </c>
      <c r="L1202">
        <v>9884</v>
      </c>
      <c r="M1202" t="s">
        <v>1500</v>
      </c>
      <c r="O1202" t="s">
        <v>11</v>
      </c>
      <c r="P1202">
        <v>6403</v>
      </c>
      <c r="Q1202">
        <v>1</v>
      </c>
      <c r="R1202">
        <v>91.83</v>
      </c>
      <c r="S1202">
        <v>91.83</v>
      </c>
      <c r="T1202">
        <v>65.47</v>
      </c>
      <c r="U1202">
        <v>28.71</v>
      </c>
      <c r="V1202" t="str">
        <f>VLOOKUP(L1202,'[2]tabela de preços'!$A:$D,4,0)</f>
        <v>WANDA</v>
      </c>
      <c r="W1202" t="str">
        <f>VLOOKUP(L1202,'[2]tabela de preços'!$A:$F,6,0)</f>
        <v>BASES POLIÉSTER</v>
      </c>
      <c r="X1202" t="str">
        <f>VLOOKUP(L1202,'[2]tabela de preços'!$A:$G,7,0)</f>
        <v>AUTOMOTIVO</v>
      </c>
    </row>
    <row r="1203" spans="1:24" x14ac:dyDescent="0.3">
      <c r="A1203" t="s">
        <v>1486</v>
      </c>
      <c r="C1203" t="s">
        <v>1496</v>
      </c>
      <c r="D1203" s="1">
        <v>46038</v>
      </c>
      <c r="E1203" t="s">
        <v>1497</v>
      </c>
      <c r="F1203">
        <v>9</v>
      </c>
      <c r="G1203">
        <v>236</v>
      </c>
      <c r="H1203" t="str">
        <f>VLOOKUP(G1203,[1]OPERADORES!$A:$B,2,0)</f>
        <v>DANIEL</v>
      </c>
      <c r="I1203" t="s">
        <v>1489</v>
      </c>
      <c r="J1203" t="s">
        <v>1490</v>
      </c>
      <c r="K1203" t="s">
        <v>1491</v>
      </c>
      <c r="L1203">
        <v>9885</v>
      </c>
      <c r="M1203" t="s">
        <v>1501</v>
      </c>
      <c r="O1203" t="s">
        <v>11</v>
      </c>
      <c r="P1203">
        <v>6403</v>
      </c>
      <c r="Q1203">
        <v>1</v>
      </c>
      <c r="R1203">
        <v>118.92</v>
      </c>
      <c r="S1203">
        <v>118.92</v>
      </c>
      <c r="T1203">
        <v>84.79</v>
      </c>
      <c r="U1203">
        <v>28.7</v>
      </c>
      <c r="V1203" t="str">
        <f>VLOOKUP(L1203,'[2]tabela de preços'!$A:$D,4,0)</f>
        <v>WANDA</v>
      </c>
      <c r="W1203" t="str">
        <f>VLOOKUP(L1203,'[2]tabela de preços'!$A:$F,6,0)</f>
        <v>BASES POLIÉSTER</v>
      </c>
      <c r="X1203" t="str">
        <f>VLOOKUP(L1203,'[2]tabela de preços'!$A:$G,7,0)</f>
        <v>AUTOMOTIVO</v>
      </c>
    </row>
    <row r="1204" spans="1:24" x14ac:dyDescent="0.3">
      <c r="A1204" t="s">
        <v>1486</v>
      </c>
      <c r="C1204" t="s">
        <v>1496</v>
      </c>
      <c r="D1204" s="1">
        <v>46038</v>
      </c>
      <c r="E1204" t="s">
        <v>1497</v>
      </c>
      <c r="F1204">
        <v>9</v>
      </c>
      <c r="G1204">
        <v>236</v>
      </c>
      <c r="H1204" t="str">
        <f>VLOOKUP(G1204,[1]OPERADORES!$A:$B,2,0)</f>
        <v>DANIEL</v>
      </c>
      <c r="I1204" t="s">
        <v>1489</v>
      </c>
      <c r="J1204" t="s">
        <v>1490</v>
      </c>
      <c r="K1204" t="s">
        <v>1491</v>
      </c>
      <c r="L1204">
        <v>9893</v>
      </c>
      <c r="M1204" t="s">
        <v>1502</v>
      </c>
      <c r="O1204" t="s">
        <v>11</v>
      </c>
      <c r="P1204">
        <v>6403</v>
      </c>
      <c r="Q1204">
        <v>1</v>
      </c>
      <c r="R1204">
        <v>100.03</v>
      </c>
      <c r="S1204">
        <v>100.03</v>
      </c>
      <c r="T1204">
        <v>71.319999999999993</v>
      </c>
      <c r="U1204">
        <v>28.7</v>
      </c>
      <c r="V1204" t="str">
        <f>VLOOKUP(L1204,'[2]tabela de preços'!$A:$D,4,0)</f>
        <v>WANDA</v>
      </c>
      <c r="W1204" t="str">
        <f>VLOOKUP(L1204,'[2]tabela de preços'!$A:$F,6,0)</f>
        <v>BASES POLIÉSTER</v>
      </c>
      <c r="X1204" t="str">
        <f>VLOOKUP(L1204,'[2]tabela de preços'!$A:$G,7,0)</f>
        <v>AUTOMOTIVO</v>
      </c>
    </row>
    <row r="1205" spans="1:24" x14ac:dyDescent="0.3">
      <c r="A1205" t="s">
        <v>1486</v>
      </c>
      <c r="C1205" t="s">
        <v>1496</v>
      </c>
      <c r="D1205" s="1">
        <v>46038</v>
      </c>
      <c r="E1205" t="s">
        <v>1497</v>
      </c>
      <c r="F1205">
        <v>9</v>
      </c>
      <c r="G1205">
        <v>236</v>
      </c>
      <c r="H1205" t="str">
        <f>VLOOKUP(G1205,[1]OPERADORES!$A:$B,2,0)</f>
        <v>DANIEL</v>
      </c>
      <c r="I1205" t="s">
        <v>1489</v>
      </c>
      <c r="J1205" t="s">
        <v>1490</v>
      </c>
      <c r="K1205" t="s">
        <v>1491</v>
      </c>
      <c r="L1205">
        <v>9895</v>
      </c>
      <c r="M1205" t="s">
        <v>383</v>
      </c>
      <c r="O1205" t="s">
        <v>11</v>
      </c>
      <c r="P1205">
        <v>6403</v>
      </c>
      <c r="Q1205">
        <v>1</v>
      </c>
      <c r="R1205">
        <v>116.02</v>
      </c>
      <c r="S1205">
        <v>116.02</v>
      </c>
      <c r="T1205">
        <v>82.72</v>
      </c>
      <c r="U1205">
        <v>28.7</v>
      </c>
      <c r="V1205" t="str">
        <f>VLOOKUP(L1205,'[2]tabela de preços'!$A:$D,4,0)</f>
        <v>WANDA</v>
      </c>
      <c r="W1205" t="str">
        <f>VLOOKUP(L1205,'[2]tabela de preços'!$A:$F,6,0)</f>
        <v>BASES POLIÉSTER</v>
      </c>
      <c r="X1205" t="str">
        <f>VLOOKUP(L1205,'[2]tabela de preços'!$A:$G,7,0)</f>
        <v>AUTOMOTIVO</v>
      </c>
    </row>
    <row r="1206" spans="1:24" x14ac:dyDescent="0.3">
      <c r="A1206" t="s">
        <v>1486</v>
      </c>
      <c r="C1206" t="s">
        <v>1496</v>
      </c>
      <c r="D1206" s="1">
        <v>46038</v>
      </c>
      <c r="E1206" t="s">
        <v>1497</v>
      </c>
      <c r="F1206">
        <v>9</v>
      </c>
      <c r="G1206">
        <v>236</v>
      </c>
      <c r="H1206" t="str">
        <f>VLOOKUP(G1206,[1]OPERADORES!$A:$B,2,0)</f>
        <v>DANIEL</v>
      </c>
      <c r="I1206" t="s">
        <v>1489</v>
      </c>
      <c r="J1206" t="s">
        <v>1490</v>
      </c>
      <c r="K1206" t="s">
        <v>1491</v>
      </c>
      <c r="L1206">
        <v>9897</v>
      </c>
      <c r="M1206" t="s">
        <v>1503</v>
      </c>
      <c r="O1206" t="s">
        <v>11</v>
      </c>
      <c r="P1206">
        <v>6403</v>
      </c>
      <c r="Q1206">
        <v>1</v>
      </c>
      <c r="R1206">
        <v>345.75</v>
      </c>
      <c r="S1206">
        <v>345.75</v>
      </c>
      <c r="T1206">
        <v>246.52</v>
      </c>
      <c r="U1206">
        <v>28.7</v>
      </c>
      <c r="V1206" t="str">
        <f>VLOOKUP(L1206,'[2]tabela de preços'!$A:$D,4,0)</f>
        <v>WANDA</v>
      </c>
      <c r="W1206" t="str">
        <f>VLOOKUP(L1206,'[2]tabela de preços'!$A:$F,6,0)</f>
        <v>BASES POLIÉSTER</v>
      </c>
      <c r="X1206" t="str">
        <f>VLOOKUP(L1206,'[2]tabela de preços'!$A:$G,7,0)</f>
        <v>AUTOMOTIVO</v>
      </c>
    </row>
    <row r="1207" spans="1:24" x14ac:dyDescent="0.3">
      <c r="A1207" t="s">
        <v>1486</v>
      </c>
      <c r="C1207" t="s">
        <v>1496</v>
      </c>
      <c r="D1207" s="1">
        <v>46038</v>
      </c>
      <c r="E1207" t="s">
        <v>1497</v>
      </c>
      <c r="F1207">
        <v>9</v>
      </c>
      <c r="G1207">
        <v>236</v>
      </c>
      <c r="H1207" t="str">
        <f>VLOOKUP(G1207,[1]OPERADORES!$A:$B,2,0)</f>
        <v>DANIEL</v>
      </c>
      <c r="I1207" t="s">
        <v>1489</v>
      </c>
      <c r="J1207" t="s">
        <v>1490</v>
      </c>
      <c r="K1207" t="s">
        <v>1491</v>
      </c>
      <c r="L1207">
        <v>9909</v>
      </c>
      <c r="M1207" t="s">
        <v>1504</v>
      </c>
      <c r="O1207" t="s">
        <v>11</v>
      </c>
      <c r="P1207">
        <v>6403</v>
      </c>
      <c r="Q1207">
        <v>1</v>
      </c>
      <c r="R1207">
        <v>206.28</v>
      </c>
      <c r="S1207">
        <v>206.28</v>
      </c>
      <c r="T1207">
        <v>147.08000000000001</v>
      </c>
      <c r="U1207">
        <v>28.7</v>
      </c>
      <c r="V1207" t="str">
        <f>VLOOKUP(L1207,'[2]tabela de preços'!$A:$D,4,0)</f>
        <v>WANDA</v>
      </c>
      <c r="W1207" t="str">
        <f>VLOOKUP(L1207,'[2]tabela de preços'!$A:$F,6,0)</f>
        <v>BASES POLIÉSTER</v>
      </c>
      <c r="X1207" t="str">
        <f>VLOOKUP(L1207,'[2]tabela de preços'!$A:$G,7,0)</f>
        <v>AUTOMOTIVO</v>
      </c>
    </row>
    <row r="1208" spans="1:24" x14ac:dyDescent="0.3">
      <c r="A1208" t="s">
        <v>1561</v>
      </c>
      <c r="C1208" t="s">
        <v>1581</v>
      </c>
      <c r="D1208" s="1">
        <v>46038</v>
      </c>
      <c r="E1208" t="s">
        <v>1582</v>
      </c>
      <c r="F1208">
        <v>9</v>
      </c>
      <c r="G1208">
        <v>174</v>
      </c>
      <c r="H1208" t="str">
        <f>VLOOKUP(G1208,[1]OPERADORES!$A:$B,2,0)</f>
        <v>MIRIÃ LOBATO RODRIGUES</v>
      </c>
      <c r="I1208" t="s">
        <v>21</v>
      </c>
      <c r="J1208" t="s">
        <v>1564</v>
      </c>
      <c r="K1208" t="s">
        <v>1565</v>
      </c>
      <c r="L1208">
        <v>84268</v>
      </c>
      <c r="M1208" t="s">
        <v>1566</v>
      </c>
      <c r="O1208" t="s">
        <v>11</v>
      </c>
      <c r="P1208">
        <v>5403</v>
      </c>
      <c r="Q1208">
        <v>1</v>
      </c>
      <c r="R1208">
        <v>193.92</v>
      </c>
      <c r="S1208">
        <v>193.92</v>
      </c>
      <c r="T1208">
        <v>147.19</v>
      </c>
      <c r="U1208">
        <v>24.1</v>
      </c>
      <c r="V1208" t="str">
        <f>VLOOKUP(L1208,'[2]tabela de preços'!$A:$D,4,0)</f>
        <v>BRASILUX</v>
      </c>
      <c r="W1208" t="str">
        <f>VLOOKUP(L1208,'[2]tabela de preços'!$A:$F,6,0)</f>
        <v>TINTA PAREDE</v>
      </c>
      <c r="X1208" t="str">
        <f>VLOOKUP(L1208,'[2]tabela de preços'!$A:$G,7,0)</f>
        <v>IMOBILIÁRIO</v>
      </c>
    </row>
    <row r="1209" spans="1:24" x14ac:dyDescent="0.3">
      <c r="A1209" t="s">
        <v>1561</v>
      </c>
      <c r="C1209" t="s">
        <v>1581</v>
      </c>
      <c r="D1209" s="1">
        <v>46038</v>
      </c>
      <c r="E1209" t="s">
        <v>1582</v>
      </c>
      <c r="F1209">
        <v>9</v>
      </c>
      <c r="G1209">
        <v>174</v>
      </c>
      <c r="H1209" t="str">
        <f>VLOOKUP(G1209,[1]OPERADORES!$A:$B,2,0)</f>
        <v>MIRIÃ LOBATO RODRIGUES</v>
      </c>
      <c r="I1209" t="s">
        <v>21</v>
      </c>
      <c r="J1209" t="s">
        <v>1564</v>
      </c>
      <c r="K1209" t="s">
        <v>1565</v>
      </c>
      <c r="L1209">
        <v>86846</v>
      </c>
      <c r="M1209" t="s">
        <v>1576</v>
      </c>
      <c r="O1209" t="s">
        <v>11</v>
      </c>
      <c r="P1209">
        <v>5403</v>
      </c>
      <c r="Q1209">
        <v>1</v>
      </c>
      <c r="R1209">
        <v>290.88</v>
      </c>
      <c r="S1209">
        <v>290.88</v>
      </c>
      <c r="T1209">
        <v>220.78</v>
      </c>
      <c r="U1209">
        <v>24.1</v>
      </c>
      <c r="V1209" t="str">
        <f>VLOOKUP(L1209,'[2]tabela de preços'!$A:$D,4,0)</f>
        <v>CORAL</v>
      </c>
      <c r="W1209" t="str">
        <f>VLOOKUP(L1209,'[2]tabela de preços'!$A:$F,6,0)</f>
        <v>TINTA PAREDE</v>
      </c>
      <c r="X1209" t="str">
        <f>VLOOKUP(L1209,'[2]tabela de preços'!$A:$G,7,0)</f>
        <v>IMOBILIÁRIO</v>
      </c>
    </row>
    <row r="1210" spans="1:24" x14ac:dyDescent="0.3">
      <c r="A1210" t="s">
        <v>1561</v>
      </c>
      <c r="C1210" t="s">
        <v>1581</v>
      </c>
      <c r="D1210" s="1">
        <v>46038</v>
      </c>
      <c r="E1210" t="s">
        <v>1582</v>
      </c>
      <c r="F1210">
        <v>9</v>
      </c>
      <c r="G1210">
        <v>174</v>
      </c>
      <c r="H1210" t="str">
        <f>VLOOKUP(G1210,[1]OPERADORES!$A:$B,2,0)</f>
        <v>MIRIÃ LOBATO RODRIGUES</v>
      </c>
      <c r="I1210" t="s">
        <v>21</v>
      </c>
      <c r="J1210" t="s">
        <v>1564</v>
      </c>
      <c r="K1210" t="s">
        <v>1565</v>
      </c>
      <c r="L1210">
        <v>84032</v>
      </c>
      <c r="M1210" t="s">
        <v>1573</v>
      </c>
      <c r="O1210" t="s">
        <v>11</v>
      </c>
      <c r="P1210">
        <v>5102</v>
      </c>
      <c r="Q1210">
        <v>5</v>
      </c>
      <c r="R1210">
        <v>96.39</v>
      </c>
      <c r="S1210">
        <v>481.95</v>
      </c>
      <c r="T1210">
        <v>365.8</v>
      </c>
      <c r="U1210">
        <v>24.1</v>
      </c>
      <c r="V1210" t="str">
        <f>VLOOKUP(L1210,'[2]tabela de preços'!$A:$D,4,0)</f>
        <v>BRASILUX</v>
      </c>
      <c r="W1210" t="str">
        <f>VLOOKUP(L1210,'[2]tabela de preços'!$A:$F,6,0)</f>
        <v>MASSA CORRIDA / ACRÍLICA</v>
      </c>
      <c r="X1210" t="str">
        <f>VLOOKUP(L1210,'[2]tabela de preços'!$A:$G,7,0)</f>
        <v>IMOBILIÁRIO</v>
      </c>
    </row>
    <row r="1211" spans="1:24" x14ac:dyDescent="0.3">
      <c r="A1211" t="s">
        <v>1561</v>
      </c>
      <c r="C1211" t="s">
        <v>1583</v>
      </c>
      <c r="D1211" s="1">
        <v>46038</v>
      </c>
      <c r="F1211">
        <v>9</v>
      </c>
      <c r="G1211">
        <v>174</v>
      </c>
      <c r="H1211" t="str">
        <f>VLOOKUP(G1211,[1]OPERADORES!$A:$B,2,0)</f>
        <v>MIRIÃ LOBATO RODRIGUES</v>
      </c>
      <c r="I1211" t="s">
        <v>21</v>
      </c>
      <c r="J1211" t="s">
        <v>1564</v>
      </c>
      <c r="K1211" t="s">
        <v>1565</v>
      </c>
      <c r="L1211">
        <v>84386</v>
      </c>
      <c r="M1211" t="s">
        <v>552</v>
      </c>
      <c r="N1211" t="s">
        <v>1584</v>
      </c>
      <c r="O1211" t="s">
        <v>11</v>
      </c>
      <c r="P1211">
        <v>1411</v>
      </c>
      <c r="Q1211">
        <v>-6</v>
      </c>
      <c r="R1211">
        <v>159.9</v>
      </c>
      <c r="S1211">
        <v>-959.4</v>
      </c>
      <c r="T1211">
        <v>-825.66</v>
      </c>
      <c r="U1211">
        <v>13.94</v>
      </c>
      <c r="V1211" t="str">
        <f>VLOOKUP(L1211,'[2]tabela de preços'!$A:$D,4,0)</f>
        <v>BRASILUX</v>
      </c>
      <c r="W1211" t="str">
        <f>VLOOKUP(L1211,'[2]tabela de preços'!$A:$F,6,0)</f>
        <v>TINTA PARA PISO</v>
      </c>
      <c r="X1211" t="str">
        <f>VLOOKUP(L1211,'[2]tabela de preços'!$A:$G,7,0)</f>
        <v>IMOBILIÁRIO</v>
      </c>
    </row>
    <row r="1212" spans="1:24" x14ac:dyDescent="0.3">
      <c r="A1212" t="s">
        <v>1751</v>
      </c>
      <c r="C1212" t="s">
        <v>1755</v>
      </c>
      <c r="D1212" s="1">
        <v>46038</v>
      </c>
      <c r="E1212" t="s">
        <v>1756</v>
      </c>
      <c r="F1212">
        <v>9</v>
      </c>
      <c r="G1212">
        <v>231</v>
      </c>
      <c r="H1212" t="str">
        <f>VLOOKUP(G1212,[1]OPERADORES!$A:$B,2,0)</f>
        <v>EDIJANE</v>
      </c>
      <c r="I1212" t="s">
        <v>21</v>
      </c>
      <c r="J1212" t="s">
        <v>211</v>
      </c>
      <c r="K1212" t="s">
        <v>1754</v>
      </c>
      <c r="L1212">
        <v>84200</v>
      </c>
      <c r="M1212" t="s">
        <v>1552</v>
      </c>
      <c r="O1212" t="s">
        <v>11</v>
      </c>
      <c r="P1212">
        <v>5403</v>
      </c>
      <c r="Q1212">
        <v>5</v>
      </c>
      <c r="R1212">
        <v>224.04</v>
      </c>
      <c r="S1212" s="2">
        <v>1120.2</v>
      </c>
      <c r="T1212">
        <v>850.25</v>
      </c>
      <c r="U1212">
        <v>24.1</v>
      </c>
      <c r="V1212" t="str">
        <f>VLOOKUP(L1212,'[2]tabela de preços'!$A:$D,4,0)</f>
        <v>BRASILUX</v>
      </c>
      <c r="W1212" t="str">
        <f>VLOOKUP(L1212,'[2]tabela de preços'!$A:$F,6,0)</f>
        <v>EPOXI</v>
      </c>
      <c r="X1212" t="str">
        <f>VLOOKUP(L1212,'[2]tabela de preços'!$A:$G,7,0)</f>
        <v>INDUSTRIAL</v>
      </c>
    </row>
    <row r="1213" spans="1:24" x14ac:dyDescent="0.3">
      <c r="A1213" t="s">
        <v>1774</v>
      </c>
      <c r="C1213" t="s">
        <v>1775</v>
      </c>
      <c r="D1213" s="1">
        <v>46038</v>
      </c>
      <c r="E1213" t="s">
        <v>1776</v>
      </c>
      <c r="F1213">
        <v>9</v>
      </c>
      <c r="G1213">
        <v>236</v>
      </c>
      <c r="H1213" t="str">
        <f>VLOOKUP(G1213,[1]OPERADORES!$A:$B,2,0)</f>
        <v>DANIEL</v>
      </c>
      <c r="I1213" t="s">
        <v>21</v>
      </c>
      <c r="J1213" t="s">
        <v>1564</v>
      </c>
      <c r="K1213" t="s">
        <v>1777</v>
      </c>
      <c r="L1213">
        <v>84010</v>
      </c>
      <c r="M1213" t="s">
        <v>1778</v>
      </c>
      <c r="O1213" t="s">
        <v>11</v>
      </c>
      <c r="P1213">
        <v>5102</v>
      </c>
      <c r="Q1213">
        <v>6</v>
      </c>
      <c r="R1213">
        <v>2.6</v>
      </c>
      <c r="S1213">
        <v>15.6</v>
      </c>
      <c r="T1213">
        <v>10.08</v>
      </c>
      <c r="U1213">
        <v>35.380000000000003</v>
      </c>
      <c r="V1213" t="str">
        <f>VLOOKUP(L1213,'[2]tabela de preços'!$A:$D,4,0)</f>
        <v>3M</v>
      </c>
      <c r="W1213" t="str">
        <f>VLOOKUP(L1213,'[2]tabela de preços'!$A:$F,6,0)</f>
        <v>LIXA FERRO</v>
      </c>
      <c r="X1213" t="str">
        <f>VLOOKUP(L1213,'[2]tabela de preços'!$A:$G,7,0)</f>
        <v>IMOBILIÁRIO</v>
      </c>
    </row>
    <row r="1214" spans="1:24" x14ac:dyDescent="0.3">
      <c r="A1214" t="s">
        <v>1774</v>
      </c>
      <c r="C1214" t="s">
        <v>1775</v>
      </c>
      <c r="D1214" s="1">
        <v>46038</v>
      </c>
      <c r="E1214" t="s">
        <v>1776</v>
      </c>
      <c r="F1214">
        <v>9</v>
      </c>
      <c r="G1214">
        <v>236</v>
      </c>
      <c r="H1214" t="str">
        <f>VLOOKUP(G1214,[1]OPERADORES!$A:$B,2,0)</f>
        <v>DANIEL</v>
      </c>
      <c r="I1214" t="s">
        <v>21</v>
      </c>
      <c r="J1214" t="s">
        <v>1564</v>
      </c>
      <c r="K1214" t="s">
        <v>1777</v>
      </c>
      <c r="L1214">
        <v>85583</v>
      </c>
      <c r="M1214" t="s">
        <v>970</v>
      </c>
      <c r="O1214" t="s">
        <v>11</v>
      </c>
      <c r="P1214">
        <v>5102</v>
      </c>
      <c r="Q1214">
        <v>3</v>
      </c>
      <c r="R1214">
        <v>39.950000000000003</v>
      </c>
      <c r="S1214">
        <v>119.85</v>
      </c>
      <c r="T1214">
        <v>81.39</v>
      </c>
      <c r="U1214">
        <v>32.090000000000003</v>
      </c>
      <c r="V1214" t="str">
        <f>VLOOKUP(L1214,'[2]tabela de preços'!$A:$D,4,0)</f>
        <v>DÁVILA  INOVE</v>
      </c>
      <c r="W1214" t="str">
        <f>VLOOKUP(L1214,'[2]tabela de preços'!$A:$F,6,0)</f>
        <v>MASSA CORRIDA / ACRÍLICA</v>
      </c>
      <c r="X1214" t="str">
        <f>VLOOKUP(L1214,'[2]tabela de preços'!$A:$G,7,0)</f>
        <v>IMOBILIÁRIO</v>
      </c>
    </row>
    <row r="1215" spans="1:24" x14ac:dyDescent="0.3">
      <c r="A1215" t="s">
        <v>1774</v>
      </c>
      <c r="C1215" t="s">
        <v>1775</v>
      </c>
      <c r="D1215" s="1">
        <v>46038</v>
      </c>
      <c r="E1215" t="s">
        <v>1776</v>
      </c>
      <c r="F1215">
        <v>9</v>
      </c>
      <c r="G1215">
        <v>236</v>
      </c>
      <c r="H1215" t="str">
        <f>VLOOKUP(G1215,[1]OPERADORES!$A:$B,2,0)</f>
        <v>DANIEL</v>
      </c>
      <c r="I1215" t="s">
        <v>21</v>
      </c>
      <c r="J1215" t="s">
        <v>1564</v>
      </c>
      <c r="K1215" t="s">
        <v>1777</v>
      </c>
      <c r="L1215">
        <v>84954</v>
      </c>
      <c r="M1215" t="s">
        <v>1779</v>
      </c>
      <c r="O1215" t="s">
        <v>11</v>
      </c>
      <c r="P1215">
        <v>5403</v>
      </c>
      <c r="Q1215">
        <v>1</v>
      </c>
      <c r="R1215">
        <v>85.91</v>
      </c>
      <c r="S1215">
        <v>85.91</v>
      </c>
      <c r="T1215">
        <v>61.58</v>
      </c>
      <c r="U1215">
        <v>28.32</v>
      </c>
      <c r="V1215" t="str">
        <f>VLOOKUP(L1215,'[2]tabela de preços'!$A:$D,4,0)</f>
        <v>BRASILUX</v>
      </c>
      <c r="W1215" t="str">
        <f>VLOOKUP(L1215,'[2]tabela de preços'!$A:$F,6,0)</f>
        <v>ESMALTES</v>
      </c>
      <c r="X1215" t="str">
        <f>VLOOKUP(L1215,'[2]tabela de preços'!$A:$G,7,0)</f>
        <v>INDUSTRIAL</v>
      </c>
    </row>
    <row r="1216" spans="1:24" x14ac:dyDescent="0.3">
      <c r="A1216" t="s">
        <v>1774</v>
      </c>
      <c r="C1216" t="s">
        <v>1775</v>
      </c>
      <c r="D1216" s="1">
        <v>46038</v>
      </c>
      <c r="E1216" t="s">
        <v>1776</v>
      </c>
      <c r="F1216">
        <v>9</v>
      </c>
      <c r="G1216">
        <v>236</v>
      </c>
      <c r="H1216" t="str">
        <f>VLOOKUP(G1216,[1]OPERADORES!$A:$B,2,0)</f>
        <v>DANIEL</v>
      </c>
      <c r="I1216" t="s">
        <v>21</v>
      </c>
      <c r="J1216" t="s">
        <v>1564</v>
      </c>
      <c r="K1216" t="s">
        <v>1777</v>
      </c>
      <c r="L1216">
        <v>85228</v>
      </c>
      <c r="M1216" t="s">
        <v>1041</v>
      </c>
      <c r="O1216" t="s">
        <v>11</v>
      </c>
      <c r="P1216">
        <v>5102</v>
      </c>
      <c r="Q1216">
        <v>1</v>
      </c>
      <c r="R1216">
        <v>9.2200000000000006</v>
      </c>
      <c r="S1216">
        <v>9.2200000000000006</v>
      </c>
      <c r="T1216">
        <v>5.95</v>
      </c>
      <c r="U1216">
        <v>35.47</v>
      </c>
      <c r="V1216" t="str">
        <f>VLOOKUP(L1216,'[2]tabela de preços'!$A:$D,4,0)</f>
        <v>ATLAS</v>
      </c>
      <c r="W1216" t="str">
        <f>VLOOKUP(L1216,'[2]tabela de preços'!$A:$F,6,0)</f>
        <v>ROLOS / TRINCHAS / PINCÉIS / ESPÁTULAS</v>
      </c>
      <c r="X1216" t="str">
        <f>VLOOKUP(L1216,'[2]tabela de preços'!$A:$G,7,0)</f>
        <v>IMOBILIÁRIO</v>
      </c>
    </row>
    <row r="1217" spans="1:24" x14ac:dyDescent="0.3">
      <c r="A1217" t="s">
        <v>1774</v>
      </c>
      <c r="C1217" t="s">
        <v>1775</v>
      </c>
      <c r="D1217" s="1">
        <v>46038</v>
      </c>
      <c r="E1217" t="s">
        <v>1776</v>
      </c>
      <c r="F1217">
        <v>9</v>
      </c>
      <c r="G1217">
        <v>236</v>
      </c>
      <c r="H1217" t="str">
        <f>VLOOKUP(G1217,[1]OPERADORES!$A:$B,2,0)</f>
        <v>DANIEL</v>
      </c>
      <c r="I1217" t="s">
        <v>21</v>
      </c>
      <c r="J1217" t="s">
        <v>1564</v>
      </c>
      <c r="K1217" t="s">
        <v>1777</v>
      </c>
      <c r="L1217">
        <v>85227</v>
      </c>
      <c r="M1217" t="s">
        <v>1042</v>
      </c>
      <c r="O1217" t="s">
        <v>11</v>
      </c>
      <c r="P1217">
        <v>5102</v>
      </c>
      <c r="Q1217">
        <v>1</v>
      </c>
      <c r="R1217">
        <v>7.13</v>
      </c>
      <c r="S1217">
        <v>7.13</v>
      </c>
      <c r="T1217">
        <v>4.5999999999999996</v>
      </c>
      <c r="U1217">
        <v>35.479999999999997</v>
      </c>
      <c r="V1217" t="str">
        <f>VLOOKUP(L1217,'[2]tabela de preços'!$A:$D,4,0)</f>
        <v>ATLAS</v>
      </c>
      <c r="W1217" t="str">
        <f>VLOOKUP(L1217,'[2]tabela de preços'!$A:$F,6,0)</f>
        <v>ROLOS / TRINCHAS / PINCÉIS / ESPÁTULAS</v>
      </c>
      <c r="X1217" t="str">
        <f>VLOOKUP(L1217,'[2]tabela de preços'!$A:$G,7,0)</f>
        <v>IMOBILIÁRIO</v>
      </c>
    </row>
    <row r="1218" spans="1:24" x14ac:dyDescent="0.3">
      <c r="A1218" t="s">
        <v>1774</v>
      </c>
      <c r="C1218" t="s">
        <v>1775</v>
      </c>
      <c r="D1218" s="1">
        <v>46038</v>
      </c>
      <c r="E1218" t="s">
        <v>1776</v>
      </c>
      <c r="F1218">
        <v>9</v>
      </c>
      <c r="G1218">
        <v>236</v>
      </c>
      <c r="H1218" t="str">
        <f>VLOOKUP(G1218,[1]OPERADORES!$A:$B,2,0)</f>
        <v>DANIEL</v>
      </c>
      <c r="I1218" t="s">
        <v>21</v>
      </c>
      <c r="J1218" t="s">
        <v>1564</v>
      </c>
      <c r="K1218" t="s">
        <v>1777</v>
      </c>
      <c r="L1218">
        <v>10298</v>
      </c>
      <c r="M1218" t="s">
        <v>85</v>
      </c>
      <c r="O1218" t="s">
        <v>11</v>
      </c>
      <c r="P1218">
        <v>5102</v>
      </c>
      <c r="Q1218">
        <v>1</v>
      </c>
      <c r="R1218">
        <v>56.89</v>
      </c>
      <c r="S1218">
        <v>56.89</v>
      </c>
      <c r="T1218">
        <v>47.38</v>
      </c>
      <c r="U1218">
        <v>16.72</v>
      </c>
      <c r="V1218" t="str">
        <f>VLOOKUP(L1218,'[2]tabela de preços'!$A:$D,4,0)</f>
        <v>ANJO</v>
      </c>
      <c r="W1218" t="str">
        <f>VLOOKUP(L1218,'[2]tabela de preços'!$A:$F,6,0)</f>
        <v>THINNER DE LIMPEZA</v>
      </c>
      <c r="X1218" t="str">
        <f>VLOOKUP(L1218,'[2]tabela de preços'!$A:$G,7,0)</f>
        <v>THINNER</v>
      </c>
    </row>
    <row r="1219" spans="1:24" x14ac:dyDescent="0.3">
      <c r="A1219" t="s">
        <v>1819</v>
      </c>
      <c r="C1219" t="s">
        <v>1820</v>
      </c>
      <c r="D1219" s="1">
        <v>46038</v>
      </c>
      <c r="E1219" t="s">
        <v>1821</v>
      </c>
      <c r="F1219">
        <v>9</v>
      </c>
      <c r="G1219">
        <v>174</v>
      </c>
      <c r="H1219" t="str">
        <f>VLOOKUP(G1219,[1]OPERADORES!$A:$B,2,0)</f>
        <v>MIRIÃ LOBATO RODRIGUES</v>
      </c>
      <c r="I1219" t="s">
        <v>21</v>
      </c>
      <c r="J1219" t="s">
        <v>1816</v>
      </c>
      <c r="K1219" t="s">
        <v>1822</v>
      </c>
      <c r="L1219">
        <v>85462</v>
      </c>
      <c r="M1219" t="s">
        <v>1823</v>
      </c>
      <c r="O1219" t="s">
        <v>11</v>
      </c>
      <c r="P1219">
        <v>5102</v>
      </c>
      <c r="Q1219">
        <v>21</v>
      </c>
      <c r="R1219">
        <v>7.54</v>
      </c>
      <c r="S1219">
        <v>158.34</v>
      </c>
      <c r="T1219">
        <v>120.12</v>
      </c>
      <c r="U1219">
        <v>24.14</v>
      </c>
      <c r="V1219" t="str">
        <f>VLOOKUP(L1219,'[2]tabela de preços'!$A:$D,4,0)</f>
        <v>TEK BOND</v>
      </c>
      <c r="W1219" t="str">
        <f>VLOOKUP(L1219,'[2]tabela de preços'!$A:$F,6,0)</f>
        <v>COLA INST./ ADESIVOS COLANTES</v>
      </c>
      <c r="X1219" t="str">
        <f>VLOOKUP(L1219,'[2]tabela de preços'!$A:$G,7,0)</f>
        <v>AUTOMOTIVO</v>
      </c>
    </row>
    <row r="1220" spans="1:24" x14ac:dyDescent="0.3">
      <c r="A1220" t="s">
        <v>1819</v>
      </c>
      <c r="C1220" t="s">
        <v>1820</v>
      </c>
      <c r="D1220" s="1">
        <v>46038</v>
      </c>
      <c r="E1220" t="s">
        <v>1821</v>
      </c>
      <c r="F1220">
        <v>9</v>
      </c>
      <c r="G1220">
        <v>174</v>
      </c>
      <c r="H1220" t="str">
        <f>VLOOKUP(G1220,[1]OPERADORES!$A:$B,2,0)</f>
        <v>MIRIÃ LOBATO RODRIGUES</v>
      </c>
      <c r="I1220" t="s">
        <v>21</v>
      </c>
      <c r="J1220" t="s">
        <v>1816</v>
      </c>
      <c r="K1220" t="s">
        <v>1822</v>
      </c>
      <c r="L1220">
        <v>10224</v>
      </c>
      <c r="M1220" t="s">
        <v>270</v>
      </c>
      <c r="O1220" t="s">
        <v>11</v>
      </c>
      <c r="P1220">
        <v>5102</v>
      </c>
      <c r="Q1220">
        <v>20</v>
      </c>
      <c r="R1220">
        <v>2.79</v>
      </c>
      <c r="S1220">
        <v>55.8</v>
      </c>
      <c r="T1220">
        <v>46.4</v>
      </c>
      <c r="U1220">
        <v>16.850000000000001</v>
      </c>
      <c r="V1220" t="str">
        <f>VLOOKUP(L1220,'[2]tabela de preços'!$A:$D,4,0)</f>
        <v>NORTON</v>
      </c>
      <c r="W1220" t="str">
        <f>VLOOKUP(L1220,'[2]tabela de preços'!$A:$F,6,0)</f>
        <v xml:space="preserve">DISCOS / LIXAS / ABRASIVOS </v>
      </c>
      <c r="X1220" t="str">
        <f>VLOOKUP(L1220,'[2]tabela de preços'!$A:$G,7,0)</f>
        <v>AUTOMOTIVO</v>
      </c>
    </row>
    <row r="1221" spans="1:24" x14ac:dyDescent="0.3">
      <c r="A1221" t="s">
        <v>1819</v>
      </c>
      <c r="C1221" t="s">
        <v>1820</v>
      </c>
      <c r="D1221" s="1">
        <v>46038</v>
      </c>
      <c r="E1221" t="s">
        <v>1821</v>
      </c>
      <c r="F1221">
        <v>9</v>
      </c>
      <c r="G1221">
        <v>174</v>
      </c>
      <c r="H1221" t="str">
        <f>VLOOKUP(G1221,[1]OPERADORES!$A:$B,2,0)</f>
        <v>MIRIÃ LOBATO RODRIGUES</v>
      </c>
      <c r="I1221" t="s">
        <v>21</v>
      </c>
      <c r="J1221" t="s">
        <v>1816</v>
      </c>
      <c r="K1221" t="s">
        <v>1822</v>
      </c>
      <c r="L1221">
        <v>10226</v>
      </c>
      <c r="M1221" t="s">
        <v>145</v>
      </c>
      <c r="O1221" t="s">
        <v>11</v>
      </c>
      <c r="P1221">
        <v>5102</v>
      </c>
      <c r="Q1221">
        <v>20</v>
      </c>
      <c r="R1221">
        <v>2.79</v>
      </c>
      <c r="S1221">
        <v>55.8</v>
      </c>
      <c r="T1221">
        <v>46.4</v>
      </c>
      <c r="U1221">
        <v>16.850000000000001</v>
      </c>
      <c r="V1221" t="str">
        <f>VLOOKUP(L1221,'[2]tabela de preços'!$A:$D,4,0)</f>
        <v>NORTON</v>
      </c>
      <c r="W1221" t="str">
        <f>VLOOKUP(L1221,'[2]tabela de preços'!$A:$F,6,0)</f>
        <v xml:space="preserve">DISCOS / LIXAS / ABRASIVOS </v>
      </c>
      <c r="X1221" t="str">
        <f>VLOOKUP(L1221,'[2]tabela de preços'!$A:$G,7,0)</f>
        <v>AUTOMOTIVO</v>
      </c>
    </row>
    <row r="1222" spans="1:24" x14ac:dyDescent="0.3">
      <c r="A1222" t="s">
        <v>1819</v>
      </c>
      <c r="C1222" t="s">
        <v>1820</v>
      </c>
      <c r="D1222" s="1">
        <v>46038</v>
      </c>
      <c r="E1222" t="s">
        <v>1821</v>
      </c>
      <c r="F1222">
        <v>9</v>
      </c>
      <c r="G1222">
        <v>174</v>
      </c>
      <c r="H1222" t="str">
        <f>VLOOKUP(G1222,[1]OPERADORES!$A:$B,2,0)</f>
        <v>MIRIÃ LOBATO RODRIGUES</v>
      </c>
      <c r="I1222" t="s">
        <v>21</v>
      </c>
      <c r="J1222" t="s">
        <v>1816</v>
      </c>
      <c r="K1222" t="s">
        <v>1822</v>
      </c>
      <c r="L1222">
        <v>20245</v>
      </c>
      <c r="M1222" t="s">
        <v>146</v>
      </c>
      <c r="O1222" t="s">
        <v>11</v>
      </c>
      <c r="P1222">
        <v>5102</v>
      </c>
      <c r="Q1222">
        <v>10</v>
      </c>
      <c r="R1222">
        <v>1.88</v>
      </c>
      <c r="S1222">
        <v>18.8</v>
      </c>
      <c r="T1222">
        <v>13.5</v>
      </c>
      <c r="U1222">
        <v>28.19</v>
      </c>
      <c r="V1222" t="str">
        <f>VLOOKUP(L1222,'[2]tabela de preços'!$A:$D,4,0)</f>
        <v>ATLAS</v>
      </c>
      <c r="W1222" t="str">
        <f>VLOOKUP(L1222,'[2]tabela de preços'!$A:$F,6,0)</f>
        <v>APLICADORES / ADAPTADORES / ENGATES / SUPORTES</v>
      </c>
      <c r="X1222" t="str">
        <f>VLOOKUP(L1222,'[2]tabela de preços'!$A:$G,7,0)</f>
        <v>AUTOMOTIVO</v>
      </c>
    </row>
    <row r="1223" spans="1:24" x14ac:dyDescent="0.3">
      <c r="A1223" t="s">
        <v>1819</v>
      </c>
      <c r="C1223" t="s">
        <v>1820</v>
      </c>
      <c r="D1223" s="1">
        <v>46038</v>
      </c>
      <c r="E1223" t="s">
        <v>1821</v>
      </c>
      <c r="F1223">
        <v>9</v>
      </c>
      <c r="G1223">
        <v>174</v>
      </c>
      <c r="H1223" t="str">
        <f>VLOOKUP(G1223,[1]OPERADORES!$A:$B,2,0)</f>
        <v>MIRIÃ LOBATO RODRIGUES</v>
      </c>
      <c r="I1223" t="s">
        <v>21</v>
      </c>
      <c r="J1223" t="s">
        <v>1816</v>
      </c>
      <c r="K1223" t="s">
        <v>1822</v>
      </c>
      <c r="L1223">
        <v>24241</v>
      </c>
      <c r="M1223" t="s">
        <v>233</v>
      </c>
      <c r="O1223" t="s">
        <v>11</v>
      </c>
      <c r="P1223">
        <v>5102</v>
      </c>
      <c r="Q1223">
        <v>12</v>
      </c>
      <c r="R1223">
        <v>12.2</v>
      </c>
      <c r="S1223">
        <v>146.4</v>
      </c>
      <c r="T1223">
        <v>111.12</v>
      </c>
      <c r="U1223">
        <v>24.1</v>
      </c>
      <c r="V1223" t="str">
        <f>VLOOKUP(L1223,'[2]tabela de preços'!$A:$D,4,0)</f>
        <v>ADERE</v>
      </c>
      <c r="W1223" t="str">
        <f>VLOOKUP(L1223,'[2]tabela de preços'!$A:$F,6,0)</f>
        <v>FITA AUTOMOTIVA</v>
      </c>
      <c r="X1223" t="str">
        <f>VLOOKUP(L1223,'[2]tabela de preços'!$A:$G,7,0)</f>
        <v>AUTOMOTIVO</v>
      </c>
    </row>
    <row r="1224" spans="1:24" x14ac:dyDescent="0.3">
      <c r="A1224" t="s">
        <v>1819</v>
      </c>
      <c r="C1224" t="s">
        <v>1820</v>
      </c>
      <c r="D1224" s="1">
        <v>46038</v>
      </c>
      <c r="E1224" t="s">
        <v>1821</v>
      </c>
      <c r="F1224">
        <v>9</v>
      </c>
      <c r="G1224">
        <v>174</v>
      </c>
      <c r="H1224" t="str">
        <f>VLOOKUP(G1224,[1]OPERADORES!$A:$B,2,0)</f>
        <v>MIRIÃ LOBATO RODRIGUES</v>
      </c>
      <c r="I1224" t="s">
        <v>21</v>
      </c>
      <c r="J1224" t="s">
        <v>1816</v>
      </c>
      <c r="K1224" t="s">
        <v>1822</v>
      </c>
      <c r="L1224">
        <v>20318</v>
      </c>
      <c r="M1224" t="s">
        <v>136</v>
      </c>
      <c r="O1224" t="s">
        <v>11</v>
      </c>
      <c r="P1224">
        <v>5403</v>
      </c>
      <c r="Q1224">
        <v>1</v>
      </c>
      <c r="R1224">
        <v>33.4</v>
      </c>
      <c r="S1224">
        <v>33.4</v>
      </c>
      <c r="T1224">
        <v>23.81</v>
      </c>
      <c r="U1224">
        <v>28.71</v>
      </c>
      <c r="V1224" t="str">
        <f>VLOOKUP(L1224,'[2]tabela de preços'!$A:$D,4,0)</f>
        <v>SHERWIN WILLIAMS</v>
      </c>
      <c r="W1224" t="str">
        <f>VLOOKUP(L1224,'[2]tabela de preços'!$A:$F,6,0)</f>
        <v>TINTAS POLIÉSTER</v>
      </c>
      <c r="X1224" t="str">
        <f>VLOOKUP(L1224,'[2]tabela de preços'!$A:$G,7,0)</f>
        <v>AUTOMOTIVO</v>
      </c>
    </row>
    <row r="1225" spans="1:24" x14ac:dyDescent="0.3">
      <c r="A1225" t="s">
        <v>1819</v>
      </c>
      <c r="C1225" t="s">
        <v>1820</v>
      </c>
      <c r="D1225" s="1">
        <v>46038</v>
      </c>
      <c r="E1225" t="s">
        <v>1821</v>
      </c>
      <c r="F1225">
        <v>9</v>
      </c>
      <c r="G1225">
        <v>174</v>
      </c>
      <c r="H1225" t="str">
        <f>VLOOKUP(G1225,[1]OPERADORES!$A:$B,2,0)</f>
        <v>MIRIÃ LOBATO RODRIGUES</v>
      </c>
      <c r="I1225" t="s">
        <v>21</v>
      </c>
      <c r="J1225" t="s">
        <v>1816</v>
      </c>
      <c r="K1225" t="s">
        <v>1822</v>
      </c>
      <c r="L1225">
        <v>56</v>
      </c>
      <c r="M1225" t="s">
        <v>1639</v>
      </c>
      <c r="O1225" t="s">
        <v>11</v>
      </c>
      <c r="P1225">
        <v>5102</v>
      </c>
      <c r="Q1225">
        <v>20</v>
      </c>
      <c r="R1225">
        <v>1.53</v>
      </c>
      <c r="S1225">
        <v>30.6</v>
      </c>
      <c r="T1225">
        <v>19.8</v>
      </c>
      <c r="U1225">
        <v>35.29</v>
      </c>
      <c r="V1225" t="str">
        <f>VLOOKUP(L1225,'[2]tabela de preços'!$A:$D,4,0)</f>
        <v>3M</v>
      </c>
      <c r="W1225" t="str">
        <f>VLOOKUP(L1225,'[2]tabela de preços'!$A:$F,6,0)</f>
        <v>LIXA DÁGUA</v>
      </c>
      <c r="X1225" t="str">
        <f>VLOOKUP(L1225,'[2]tabela de preços'!$A:$G,7,0)</f>
        <v>AUTOMOTIVO</v>
      </c>
    </row>
    <row r="1226" spans="1:24" x14ac:dyDescent="0.3">
      <c r="A1226" t="s">
        <v>1930</v>
      </c>
      <c r="B1226" t="s">
        <v>1931</v>
      </c>
      <c r="C1226" t="s">
        <v>1932</v>
      </c>
      <c r="D1226" s="1">
        <v>46038</v>
      </c>
      <c r="E1226" t="s">
        <v>1933</v>
      </c>
      <c r="F1226">
        <v>9</v>
      </c>
      <c r="G1226">
        <v>231</v>
      </c>
      <c r="H1226" t="str">
        <f>VLOOKUP(G1226,[1]OPERADORES!$A:$B,2,0)</f>
        <v>EDIJANE</v>
      </c>
      <c r="I1226" t="s">
        <v>21</v>
      </c>
      <c r="J1226" t="s">
        <v>104</v>
      </c>
      <c r="K1226" t="s">
        <v>1934</v>
      </c>
      <c r="L1226">
        <v>84815</v>
      </c>
      <c r="M1226" t="s">
        <v>949</v>
      </c>
      <c r="O1226" t="s">
        <v>11</v>
      </c>
      <c r="P1226">
        <v>5403</v>
      </c>
      <c r="Q1226">
        <v>6</v>
      </c>
      <c r="R1226">
        <v>32.35</v>
      </c>
      <c r="S1226">
        <v>194.1</v>
      </c>
      <c r="T1226">
        <v>147.30000000000001</v>
      </c>
      <c r="U1226">
        <v>24.11</v>
      </c>
      <c r="V1226" t="str">
        <f>VLOOKUP(L1226,'[2]tabela de preços'!$A:$D,4,0)</f>
        <v>BRASILUX</v>
      </c>
      <c r="W1226" t="str">
        <f>VLOOKUP(L1226,'[2]tabela de preços'!$A:$F,6,0)</f>
        <v>KIT BRASCORTEN</v>
      </c>
      <c r="X1226" t="str">
        <f>VLOOKUP(L1226,'[2]tabela de preços'!$A:$G,7,0)</f>
        <v>IMOBILIÁRIO</v>
      </c>
    </row>
    <row r="1227" spans="1:24" x14ac:dyDescent="0.3">
      <c r="A1227" t="s">
        <v>1930</v>
      </c>
      <c r="B1227" t="s">
        <v>1931</v>
      </c>
      <c r="C1227" t="s">
        <v>1932</v>
      </c>
      <c r="D1227" s="1">
        <v>46038</v>
      </c>
      <c r="E1227" t="s">
        <v>1933</v>
      </c>
      <c r="F1227">
        <v>9</v>
      </c>
      <c r="G1227">
        <v>231</v>
      </c>
      <c r="H1227" t="str">
        <f>VLOOKUP(G1227,[1]OPERADORES!$A:$B,2,0)</f>
        <v>EDIJANE</v>
      </c>
      <c r="I1227" t="s">
        <v>21</v>
      </c>
      <c r="J1227" t="s">
        <v>104</v>
      </c>
      <c r="K1227" t="s">
        <v>1934</v>
      </c>
      <c r="L1227">
        <v>84814</v>
      </c>
      <c r="M1227" t="s">
        <v>950</v>
      </c>
      <c r="O1227" t="s">
        <v>11</v>
      </c>
      <c r="P1227">
        <v>5403</v>
      </c>
      <c r="Q1227">
        <v>4</v>
      </c>
      <c r="R1227">
        <v>118.93</v>
      </c>
      <c r="S1227">
        <v>475.72</v>
      </c>
      <c r="T1227">
        <v>361.08</v>
      </c>
      <c r="U1227">
        <v>24.1</v>
      </c>
      <c r="V1227" t="str">
        <f>VLOOKUP(L1227,'[2]tabela de preços'!$A:$D,4,0)</f>
        <v>BRASILUX</v>
      </c>
      <c r="W1227" t="str">
        <f>VLOOKUP(L1227,'[2]tabela de preços'!$A:$F,6,0)</f>
        <v>KIT BRASCORTEN</v>
      </c>
      <c r="X1227" t="str">
        <f>VLOOKUP(L1227,'[2]tabela de preços'!$A:$G,7,0)</f>
        <v>IMOBILIÁRIO</v>
      </c>
    </row>
    <row r="1228" spans="1:24" x14ac:dyDescent="0.3">
      <c r="A1228" t="s">
        <v>2001</v>
      </c>
      <c r="C1228" t="s">
        <v>2005</v>
      </c>
      <c r="D1228" s="1">
        <v>46038</v>
      </c>
      <c r="E1228" t="s">
        <v>2006</v>
      </c>
      <c r="F1228">
        <v>9</v>
      </c>
      <c r="G1228">
        <v>174</v>
      </c>
      <c r="H1228" t="str">
        <f>VLOOKUP(G1228,[1]OPERADORES!$A:$B,2,0)</f>
        <v>MIRIÃ LOBATO RODRIGUES</v>
      </c>
      <c r="I1228" t="s">
        <v>21</v>
      </c>
      <c r="J1228" t="s">
        <v>1427</v>
      </c>
      <c r="K1228" t="s">
        <v>2004</v>
      </c>
      <c r="L1228">
        <v>84922</v>
      </c>
      <c r="M1228" t="s">
        <v>1904</v>
      </c>
      <c r="O1228" t="s">
        <v>11</v>
      </c>
      <c r="P1228">
        <v>5403</v>
      </c>
      <c r="Q1228">
        <v>2</v>
      </c>
      <c r="R1228">
        <v>224.04</v>
      </c>
      <c r="S1228">
        <v>448.08</v>
      </c>
      <c r="T1228">
        <v>340.1</v>
      </c>
      <c r="U1228">
        <v>24.1</v>
      </c>
      <c r="V1228" t="str">
        <f>VLOOKUP(L1228,'[2]tabela de preços'!$A:$D,4,0)</f>
        <v>BRASILUX</v>
      </c>
      <c r="W1228" t="str">
        <f>VLOOKUP(L1228,'[2]tabela de preços'!$A:$F,6,0)</f>
        <v>EPOXI</v>
      </c>
      <c r="X1228" t="str">
        <f>VLOOKUP(L1228,'[2]tabela de preços'!$A:$G,7,0)</f>
        <v>INDUSTRIAL</v>
      </c>
    </row>
    <row r="1229" spans="1:24" x14ac:dyDescent="0.3">
      <c r="A1229" t="s">
        <v>2171</v>
      </c>
      <c r="C1229" t="s">
        <v>2182</v>
      </c>
      <c r="D1229" s="1">
        <v>46038</v>
      </c>
      <c r="E1229" t="s">
        <v>2183</v>
      </c>
      <c r="F1229">
        <v>9</v>
      </c>
      <c r="G1229">
        <v>230</v>
      </c>
      <c r="H1229" t="str">
        <f>VLOOKUP(G1229,[1]OPERADORES!$A:$B,2,0)</f>
        <v>SÔNIA</v>
      </c>
      <c r="I1229" t="s">
        <v>21</v>
      </c>
      <c r="J1229" t="s">
        <v>2174</v>
      </c>
      <c r="K1229" t="s">
        <v>2175</v>
      </c>
      <c r="L1229">
        <v>84564</v>
      </c>
      <c r="M1229" t="s">
        <v>2176</v>
      </c>
      <c r="O1229" t="s">
        <v>11</v>
      </c>
      <c r="P1229">
        <v>5403</v>
      </c>
      <c r="Q1229">
        <v>1</v>
      </c>
      <c r="R1229">
        <v>24.07</v>
      </c>
      <c r="S1229">
        <v>24.07</v>
      </c>
      <c r="T1229">
        <v>18.27</v>
      </c>
      <c r="U1229">
        <v>24.1</v>
      </c>
      <c r="V1229" t="str">
        <f>VLOOKUP(L1229,'[2]tabela de preços'!$A:$D,4,0)</f>
        <v>BRASILUX</v>
      </c>
      <c r="W1229" t="str">
        <f>VLOOKUP(L1229,'[2]tabela de preços'!$A:$F,6,0)</f>
        <v>PRETO FOSCO VINÍLICO</v>
      </c>
      <c r="X1229" t="str">
        <f>VLOOKUP(L1229,'[2]tabela de preços'!$A:$G,7,0)</f>
        <v>AUTOMOTIVO</v>
      </c>
    </row>
    <row r="1230" spans="1:24" x14ac:dyDescent="0.3">
      <c r="A1230" t="s">
        <v>2171</v>
      </c>
      <c r="C1230" t="s">
        <v>2182</v>
      </c>
      <c r="D1230" s="1">
        <v>46038</v>
      </c>
      <c r="E1230" t="s">
        <v>2183</v>
      </c>
      <c r="F1230">
        <v>9</v>
      </c>
      <c r="G1230">
        <v>230</v>
      </c>
      <c r="H1230" t="str">
        <f>VLOOKUP(G1230,[1]OPERADORES!$A:$B,2,0)</f>
        <v>SÔNIA</v>
      </c>
      <c r="I1230" t="s">
        <v>21</v>
      </c>
      <c r="J1230" t="s">
        <v>2174</v>
      </c>
      <c r="K1230" t="s">
        <v>2175</v>
      </c>
      <c r="L1230">
        <v>84565</v>
      </c>
      <c r="M1230" t="s">
        <v>236</v>
      </c>
      <c r="O1230" t="s">
        <v>11</v>
      </c>
      <c r="P1230">
        <v>5102</v>
      </c>
      <c r="Q1230">
        <v>1</v>
      </c>
      <c r="R1230">
        <v>9.24</v>
      </c>
      <c r="S1230">
        <v>9.24</v>
      </c>
      <c r="T1230">
        <v>7.01</v>
      </c>
      <c r="U1230">
        <v>24.13</v>
      </c>
      <c r="V1230" t="str">
        <f>VLOOKUP(L1230,'[2]tabela de preços'!$A:$D,4,0)</f>
        <v>BRASILUX</v>
      </c>
      <c r="W1230" t="str">
        <f>VLOOKUP(L1230,'[2]tabela de preços'!$A:$F,6,0)</f>
        <v>PRETO FOSCO VINÍLICO</v>
      </c>
      <c r="X1230" t="str">
        <f>VLOOKUP(L1230,'[2]tabela de preços'!$A:$G,7,0)</f>
        <v>AUTOMOTIVO</v>
      </c>
    </row>
    <row r="1231" spans="1:24" x14ac:dyDescent="0.3">
      <c r="A1231" t="s">
        <v>2171</v>
      </c>
      <c r="C1231" t="s">
        <v>2182</v>
      </c>
      <c r="D1231" s="1">
        <v>46038</v>
      </c>
      <c r="E1231" t="s">
        <v>2183</v>
      </c>
      <c r="F1231">
        <v>9</v>
      </c>
      <c r="G1231">
        <v>230</v>
      </c>
      <c r="H1231" t="str">
        <f>VLOOKUP(G1231,[1]OPERADORES!$A:$B,2,0)</f>
        <v>SÔNIA</v>
      </c>
      <c r="I1231" t="s">
        <v>21</v>
      </c>
      <c r="J1231" t="s">
        <v>2174</v>
      </c>
      <c r="K1231" t="s">
        <v>2175</v>
      </c>
      <c r="L1231">
        <v>10266</v>
      </c>
      <c r="M1231" t="s">
        <v>117</v>
      </c>
      <c r="O1231" t="s">
        <v>11</v>
      </c>
      <c r="P1231">
        <v>5102</v>
      </c>
      <c r="Q1231">
        <v>2</v>
      </c>
      <c r="R1231">
        <v>11.41</v>
      </c>
      <c r="S1231">
        <v>22.82</v>
      </c>
      <c r="T1231">
        <v>17.32</v>
      </c>
      <c r="U1231">
        <v>24.1</v>
      </c>
      <c r="V1231" t="str">
        <f>VLOOKUP(L1231,'[2]tabela de preços'!$A:$D,4,0)</f>
        <v>NORTON</v>
      </c>
      <c r="W1231" t="str">
        <f>VLOOKUP(L1231,'[2]tabela de preços'!$A:$F,6,0)</f>
        <v xml:space="preserve">DISCOS / LIXAS / ABRASIVOS </v>
      </c>
      <c r="X1231" t="str">
        <f>VLOOKUP(L1231,'[2]tabela de preços'!$A:$G,7,0)</f>
        <v>AUTOMOTIVO</v>
      </c>
    </row>
    <row r="1232" spans="1:24" x14ac:dyDescent="0.3">
      <c r="A1232" t="s">
        <v>2171</v>
      </c>
      <c r="C1232" t="s">
        <v>2182</v>
      </c>
      <c r="D1232" s="1">
        <v>46038</v>
      </c>
      <c r="E1232" t="s">
        <v>2183</v>
      </c>
      <c r="F1232">
        <v>9</v>
      </c>
      <c r="G1232">
        <v>230</v>
      </c>
      <c r="H1232" t="str">
        <f>VLOOKUP(G1232,[1]OPERADORES!$A:$B,2,0)</f>
        <v>SÔNIA</v>
      </c>
      <c r="I1232" t="s">
        <v>21</v>
      </c>
      <c r="J1232" t="s">
        <v>2174</v>
      </c>
      <c r="K1232" t="s">
        <v>2175</v>
      </c>
      <c r="L1232">
        <v>84658</v>
      </c>
      <c r="M1232" t="s">
        <v>100</v>
      </c>
      <c r="O1232" t="s">
        <v>11</v>
      </c>
      <c r="P1232">
        <v>5102</v>
      </c>
      <c r="Q1232">
        <v>1</v>
      </c>
      <c r="R1232">
        <v>40.840000000000003</v>
      </c>
      <c r="S1232">
        <v>40.840000000000003</v>
      </c>
      <c r="T1232">
        <v>31</v>
      </c>
      <c r="U1232">
        <v>24.09</v>
      </c>
      <c r="V1232" t="str">
        <f>VLOOKUP(L1232,'[2]tabela de preços'!$A:$D,4,0)</f>
        <v>ANJO</v>
      </c>
      <c r="W1232" t="str">
        <f>VLOOKUP(L1232,'[2]tabela de preços'!$A:$F,6,0)</f>
        <v>MASSA POLIÉSTER</v>
      </c>
      <c r="X1232" t="str">
        <f>VLOOKUP(L1232,'[2]tabela de preços'!$A:$G,7,0)</f>
        <v>AUTOMOTIVO</v>
      </c>
    </row>
    <row r="1233" spans="1:24" x14ac:dyDescent="0.3">
      <c r="A1233" t="s">
        <v>2171</v>
      </c>
      <c r="C1233" t="s">
        <v>2182</v>
      </c>
      <c r="D1233" s="1">
        <v>46038</v>
      </c>
      <c r="E1233" t="s">
        <v>2183</v>
      </c>
      <c r="F1233">
        <v>9</v>
      </c>
      <c r="G1233">
        <v>230</v>
      </c>
      <c r="H1233" t="str">
        <f>VLOOKUP(G1233,[1]OPERADORES!$A:$B,2,0)</f>
        <v>SÔNIA</v>
      </c>
      <c r="I1233" t="s">
        <v>21</v>
      </c>
      <c r="J1233" t="s">
        <v>2174</v>
      </c>
      <c r="K1233" t="s">
        <v>2175</v>
      </c>
      <c r="L1233">
        <v>20592</v>
      </c>
      <c r="M1233" t="s">
        <v>2112</v>
      </c>
      <c r="O1233" t="s">
        <v>11</v>
      </c>
      <c r="P1233">
        <v>5102</v>
      </c>
      <c r="Q1233">
        <v>1</v>
      </c>
      <c r="R1233">
        <v>6.43</v>
      </c>
      <c r="S1233">
        <v>6.43</v>
      </c>
      <c r="T1233">
        <v>4.88</v>
      </c>
      <c r="U1233">
        <v>24.11</v>
      </c>
      <c r="V1233" t="str">
        <f>VLOOKUP(L1233,'[2]tabela de preços'!$A:$D,4,0)</f>
        <v>.</v>
      </c>
      <c r="W1233" t="str">
        <f>VLOOKUP(L1233,'[2]tabela de preços'!$A:$F,6,0)</f>
        <v>FLANELAS / PANOS</v>
      </c>
      <c r="X1233" t="str">
        <f>VLOOKUP(L1233,'[2]tabela de preços'!$A:$G,7,0)</f>
        <v>AUTOMOTIVO</v>
      </c>
    </row>
    <row r="1234" spans="1:24" x14ac:dyDescent="0.3">
      <c r="A1234" t="s">
        <v>2171</v>
      </c>
      <c r="C1234" t="s">
        <v>2182</v>
      </c>
      <c r="D1234" s="1">
        <v>46038</v>
      </c>
      <c r="E1234" t="s">
        <v>2183</v>
      </c>
      <c r="F1234">
        <v>9</v>
      </c>
      <c r="G1234">
        <v>230</v>
      </c>
      <c r="H1234" t="str">
        <f>VLOOKUP(G1234,[1]OPERADORES!$A:$B,2,0)</f>
        <v>SÔNIA</v>
      </c>
      <c r="I1234" t="s">
        <v>21</v>
      </c>
      <c r="J1234" t="s">
        <v>2174</v>
      </c>
      <c r="K1234" t="s">
        <v>2175</v>
      </c>
      <c r="L1234">
        <v>23926</v>
      </c>
      <c r="M1234" t="s">
        <v>645</v>
      </c>
      <c r="O1234" t="s">
        <v>11</v>
      </c>
      <c r="P1234">
        <v>5403</v>
      </c>
      <c r="Q1234">
        <v>1</v>
      </c>
      <c r="R1234">
        <v>153.22999999999999</v>
      </c>
      <c r="S1234">
        <v>153.22999999999999</v>
      </c>
      <c r="T1234">
        <v>103.01</v>
      </c>
      <c r="U1234">
        <v>32.770000000000003</v>
      </c>
      <c r="V1234" t="str">
        <f>VLOOKUP(L1234,'[2]tabela de preços'!$A:$D,4,0)</f>
        <v>SIKKENS</v>
      </c>
      <c r="W1234" t="str">
        <f>VLOOKUP(L1234,'[2]tabela de preços'!$A:$F,6,0)</f>
        <v>PRIMER AUTOMOTIVO</v>
      </c>
      <c r="X1234" t="str">
        <f>VLOOKUP(L1234,'[2]tabela de preços'!$A:$G,7,0)</f>
        <v>AUTOMOTIVO</v>
      </c>
    </row>
    <row r="1235" spans="1:24" x14ac:dyDescent="0.3">
      <c r="A1235" t="s">
        <v>2171</v>
      </c>
      <c r="C1235" t="s">
        <v>2182</v>
      </c>
      <c r="D1235" s="1">
        <v>46038</v>
      </c>
      <c r="E1235" t="s">
        <v>2183</v>
      </c>
      <c r="F1235">
        <v>9</v>
      </c>
      <c r="G1235">
        <v>230</v>
      </c>
      <c r="H1235" t="str">
        <f>VLOOKUP(G1235,[1]OPERADORES!$A:$B,2,0)</f>
        <v>SÔNIA</v>
      </c>
      <c r="I1235" t="s">
        <v>21</v>
      </c>
      <c r="J1235" t="s">
        <v>2174</v>
      </c>
      <c r="K1235" t="s">
        <v>2175</v>
      </c>
      <c r="L1235">
        <v>10296</v>
      </c>
      <c r="M1235" t="s">
        <v>334</v>
      </c>
      <c r="O1235" t="s">
        <v>11</v>
      </c>
      <c r="P1235">
        <v>5102</v>
      </c>
      <c r="Q1235">
        <v>1</v>
      </c>
      <c r="R1235">
        <v>17.02</v>
      </c>
      <c r="S1235">
        <v>17.02</v>
      </c>
      <c r="T1235">
        <v>12.57</v>
      </c>
      <c r="U1235">
        <v>26.15</v>
      </c>
      <c r="V1235" t="str">
        <f>VLOOKUP(L1235,'[2]tabela de preços'!$A:$D,4,0)</f>
        <v>ANJO</v>
      </c>
      <c r="W1235" t="str">
        <f>VLOOKUP(L1235,'[2]tabela de preços'!$A:$F,6,0)</f>
        <v>DESENGRAXANTE</v>
      </c>
      <c r="X1235" t="str">
        <f>VLOOKUP(L1235,'[2]tabela de preços'!$A:$G,7,0)</f>
        <v>AUTOMOTIVO</v>
      </c>
    </row>
    <row r="1236" spans="1:24" x14ac:dyDescent="0.3">
      <c r="A1236" t="s">
        <v>2171</v>
      </c>
      <c r="C1236" t="s">
        <v>2182</v>
      </c>
      <c r="D1236" s="1">
        <v>46038</v>
      </c>
      <c r="E1236" t="s">
        <v>2183</v>
      </c>
      <c r="F1236">
        <v>9</v>
      </c>
      <c r="G1236">
        <v>230</v>
      </c>
      <c r="H1236" t="str">
        <f>VLOOKUP(G1236,[1]OPERADORES!$A:$B,2,0)</f>
        <v>SÔNIA</v>
      </c>
      <c r="I1236" t="s">
        <v>21</v>
      </c>
      <c r="J1236" t="s">
        <v>2174</v>
      </c>
      <c r="K1236" t="s">
        <v>2175</v>
      </c>
      <c r="L1236">
        <v>20414</v>
      </c>
      <c r="M1236" t="s">
        <v>112</v>
      </c>
      <c r="O1236" t="s">
        <v>11</v>
      </c>
      <c r="P1236">
        <v>5102</v>
      </c>
      <c r="Q1236">
        <v>1</v>
      </c>
      <c r="R1236">
        <v>21.89</v>
      </c>
      <c r="S1236">
        <v>21.89</v>
      </c>
      <c r="T1236">
        <v>18</v>
      </c>
      <c r="U1236">
        <v>17.77</v>
      </c>
      <c r="V1236" t="str">
        <f>VLOOKUP(L1236,'[2]tabela de preços'!$A:$D,4,0)</f>
        <v>SHERWIN WILLIAMS</v>
      </c>
      <c r="W1236" t="str">
        <f>VLOOKUP(L1236,'[2]tabela de preços'!$A:$F,6,0)</f>
        <v>DILUENTE</v>
      </c>
      <c r="X1236" t="str">
        <f>VLOOKUP(L1236,'[2]tabela de preços'!$A:$G,7,0)</f>
        <v>AUTOMOTIVO</v>
      </c>
    </row>
    <row r="1237" spans="1:24" x14ac:dyDescent="0.3">
      <c r="A1237" t="s">
        <v>2171</v>
      </c>
      <c r="C1237" t="s">
        <v>2184</v>
      </c>
      <c r="D1237" s="1">
        <v>46038</v>
      </c>
      <c r="E1237" t="s">
        <v>2185</v>
      </c>
      <c r="F1237">
        <v>9</v>
      </c>
      <c r="G1237">
        <v>230</v>
      </c>
      <c r="H1237" t="str">
        <f>VLOOKUP(G1237,[1]OPERADORES!$A:$B,2,0)</f>
        <v>SÔNIA</v>
      </c>
      <c r="I1237" t="s">
        <v>21</v>
      </c>
      <c r="J1237" t="s">
        <v>2174</v>
      </c>
      <c r="K1237" t="s">
        <v>2175</v>
      </c>
      <c r="L1237">
        <v>10298</v>
      </c>
      <c r="M1237" t="s">
        <v>85</v>
      </c>
      <c r="O1237" t="s">
        <v>11</v>
      </c>
      <c r="P1237">
        <v>5102</v>
      </c>
      <c r="Q1237">
        <v>1</v>
      </c>
      <c r="R1237">
        <v>56.89</v>
      </c>
      <c r="S1237">
        <v>56.89</v>
      </c>
      <c r="T1237">
        <v>47.38</v>
      </c>
      <c r="U1237">
        <v>16.72</v>
      </c>
      <c r="V1237" t="str">
        <f>VLOOKUP(L1237,'[2]tabela de preços'!$A:$D,4,0)</f>
        <v>ANJO</v>
      </c>
      <c r="W1237" t="str">
        <f>VLOOKUP(L1237,'[2]tabela de preços'!$A:$F,6,0)</f>
        <v>THINNER DE LIMPEZA</v>
      </c>
      <c r="X1237" t="str">
        <f>VLOOKUP(L1237,'[2]tabela de preços'!$A:$G,7,0)</f>
        <v>THINNER</v>
      </c>
    </row>
    <row r="1238" spans="1:24" x14ac:dyDescent="0.3">
      <c r="A1238" t="s">
        <v>2236</v>
      </c>
      <c r="B1238" t="s">
        <v>2237</v>
      </c>
      <c r="C1238" t="s">
        <v>2238</v>
      </c>
      <c r="D1238" s="1">
        <v>46038</v>
      </c>
      <c r="E1238" t="s">
        <v>2239</v>
      </c>
      <c r="F1238">
        <v>9</v>
      </c>
      <c r="G1238">
        <v>236</v>
      </c>
      <c r="H1238" t="str">
        <f>VLOOKUP(G1238,[1]OPERADORES!$A:$B,2,0)</f>
        <v>DANIEL</v>
      </c>
      <c r="I1238" t="s">
        <v>21</v>
      </c>
      <c r="J1238" t="s">
        <v>2240</v>
      </c>
      <c r="K1238" t="s">
        <v>2241</v>
      </c>
      <c r="L1238">
        <v>21437</v>
      </c>
      <c r="M1238" t="s">
        <v>1832</v>
      </c>
      <c r="O1238" t="s">
        <v>11</v>
      </c>
      <c r="P1238">
        <v>5102</v>
      </c>
      <c r="Q1238">
        <v>3</v>
      </c>
      <c r="R1238">
        <v>8.41</v>
      </c>
      <c r="S1238">
        <v>25.23</v>
      </c>
      <c r="T1238">
        <v>19.14</v>
      </c>
      <c r="U1238">
        <v>24.14</v>
      </c>
      <c r="V1238" t="str">
        <f>VLOOKUP(L1238,'[2]tabela de preços'!$A:$D,4,0)</f>
        <v>ROBERLO</v>
      </c>
      <c r="W1238" t="str">
        <f>VLOOKUP(L1238,'[2]tabela de preços'!$A:$F,6,0)</f>
        <v>PRIMER AUTOMOTIVO</v>
      </c>
      <c r="X1238" t="str">
        <f>VLOOKUP(L1238,'[2]tabela de preços'!$A:$G,7,0)</f>
        <v>AUTOMOTIVO</v>
      </c>
    </row>
    <row r="1239" spans="1:24" x14ac:dyDescent="0.3">
      <c r="A1239" t="s">
        <v>2236</v>
      </c>
      <c r="B1239" t="s">
        <v>2237</v>
      </c>
      <c r="C1239" t="s">
        <v>2238</v>
      </c>
      <c r="D1239" s="1">
        <v>46038</v>
      </c>
      <c r="E1239" t="s">
        <v>2239</v>
      </c>
      <c r="F1239">
        <v>9</v>
      </c>
      <c r="G1239">
        <v>236</v>
      </c>
      <c r="H1239" t="str">
        <f>VLOOKUP(G1239,[1]OPERADORES!$A:$B,2,0)</f>
        <v>DANIEL</v>
      </c>
      <c r="I1239" t="s">
        <v>21</v>
      </c>
      <c r="J1239" t="s">
        <v>2240</v>
      </c>
      <c r="K1239" t="s">
        <v>2241</v>
      </c>
      <c r="L1239">
        <v>86995</v>
      </c>
      <c r="M1239" t="s">
        <v>37</v>
      </c>
      <c r="O1239" t="s">
        <v>11</v>
      </c>
      <c r="P1239">
        <v>5102</v>
      </c>
      <c r="Q1239">
        <v>5</v>
      </c>
      <c r="R1239">
        <v>7.29</v>
      </c>
      <c r="S1239">
        <v>36.450000000000003</v>
      </c>
      <c r="T1239">
        <v>29.15</v>
      </c>
      <c r="U1239">
        <v>20.03</v>
      </c>
      <c r="V1239" t="str">
        <f>VLOOKUP(L1239,'[2]tabela de preços'!$A:$D,4,0)</f>
        <v>AUTOAMERICA</v>
      </c>
      <c r="W1239" t="str">
        <f>VLOOKUP(L1239,'[2]tabela de preços'!$A:$F,6,0)</f>
        <v>FLANELAS / PANOS</v>
      </c>
      <c r="X1239" t="str">
        <f>VLOOKUP(L1239,'[2]tabela de preços'!$A:$G,7,0)</f>
        <v>AUTOMOTIVO</v>
      </c>
    </row>
    <row r="1240" spans="1:24" x14ac:dyDescent="0.3">
      <c r="A1240" t="s">
        <v>2236</v>
      </c>
      <c r="B1240" t="s">
        <v>2237</v>
      </c>
      <c r="C1240" t="s">
        <v>2238</v>
      </c>
      <c r="D1240" s="1">
        <v>46038</v>
      </c>
      <c r="E1240" t="s">
        <v>2239</v>
      </c>
      <c r="F1240">
        <v>9</v>
      </c>
      <c r="G1240">
        <v>236</v>
      </c>
      <c r="H1240" t="str">
        <f>VLOOKUP(G1240,[1]OPERADORES!$A:$B,2,0)</f>
        <v>DANIEL</v>
      </c>
      <c r="I1240" t="s">
        <v>21</v>
      </c>
      <c r="J1240" t="s">
        <v>2240</v>
      </c>
      <c r="K1240" t="s">
        <v>2241</v>
      </c>
      <c r="L1240">
        <v>21125</v>
      </c>
      <c r="M1240" t="s">
        <v>2242</v>
      </c>
      <c r="O1240" t="s">
        <v>11</v>
      </c>
      <c r="P1240">
        <v>5102</v>
      </c>
      <c r="Q1240">
        <v>1</v>
      </c>
      <c r="R1240">
        <v>47.86</v>
      </c>
      <c r="S1240">
        <v>47.86</v>
      </c>
      <c r="T1240">
        <v>36.32</v>
      </c>
      <c r="U1240">
        <v>24.11</v>
      </c>
      <c r="V1240" t="str">
        <f>VLOOKUP(L1240,'[2]tabela de preços'!$A:$D,4,0)</f>
        <v>PURPLEX</v>
      </c>
      <c r="W1240" t="str">
        <f>VLOOKUP(L1240,'[2]tabela de preços'!$A:$F,6,0)</f>
        <v>TACO LIXADOR</v>
      </c>
      <c r="X1240" t="str">
        <f>VLOOKUP(L1240,'[2]tabela de preços'!$A:$G,7,0)</f>
        <v>AUTOMOTIVO</v>
      </c>
    </row>
    <row r="1241" spans="1:24" x14ac:dyDescent="0.3">
      <c r="A1241" t="s">
        <v>2236</v>
      </c>
      <c r="B1241" t="s">
        <v>2237</v>
      </c>
      <c r="C1241" t="s">
        <v>2238</v>
      </c>
      <c r="D1241" s="1">
        <v>46038</v>
      </c>
      <c r="E1241" t="s">
        <v>2239</v>
      </c>
      <c r="F1241">
        <v>9</v>
      </c>
      <c r="G1241">
        <v>236</v>
      </c>
      <c r="H1241" t="str">
        <f>VLOOKUP(G1241,[1]OPERADORES!$A:$B,2,0)</f>
        <v>DANIEL</v>
      </c>
      <c r="I1241" t="s">
        <v>21</v>
      </c>
      <c r="J1241" t="s">
        <v>2240</v>
      </c>
      <c r="K1241" t="s">
        <v>2241</v>
      </c>
      <c r="L1241">
        <v>21436</v>
      </c>
      <c r="M1241" t="s">
        <v>1833</v>
      </c>
      <c r="O1241" t="s">
        <v>11</v>
      </c>
      <c r="P1241">
        <v>5102</v>
      </c>
      <c r="Q1241">
        <v>3</v>
      </c>
      <c r="R1241">
        <v>34.659999999999997</v>
      </c>
      <c r="S1241">
        <v>103.98</v>
      </c>
      <c r="T1241">
        <v>78.930000000000007</v>
      </c>
      <c r="U1241">
        <v>24.09</v>
      </c>
      <c r="V1241" t="str">
        <f>VLOOKUP(L1241,'[2]tabela de preços'!$A:$D,4,0)</f>
        <v>ROBERLO</v>
      </c>
      <c r="W1241" t="str">
        <f>VLOOKUP(L1241,'[2]tabela de preços'!$A:$F,6,0)</f>
        <v>PRIMER AUTOMOTIVO</v>
      </c>
      <c r="X1241" t="str">
        <f>VLOOKUP(L1241,'[2]tabela de preços'!$A:$G,7,0)</f>
        <v>AUTOMOTIVO</v>
      </c>
    </row>
    <row r="1242" spans="1:24" x14ac:dyDescent="0.3">
      <c r="A1242" t="s">
        <v>2236</v>
      </c>
      <c r="B1242" t="s">
        <v>2237</v>
      </c>
      <c r="C1242" t="s">
        <v>2238</v>
      </c>
      <c r="D1242" s="1">
        <v>46038</v>
      </c>
      <c r="E1242" t="s">
        <v>2239</v>
      </c>
      <c r="F1242">
        <v>9</v>
      </c>
      <c r="G1242">
        <v>236</v>
      </c>
      <c r="H1242" t="str">
        <f>VLOOKUP(G1242,[1]OPERADORES!$A:$B,2,0)</f>
        <v>DANIEL</v>
      </c>
      <c r="I1242" t="s">
        <v>21</v>
      </c>
      <c r="J1242" t="s">
        <v>2240</v>
      </c>
      <c r="K1242" t="s">
        <v>2241</v>
      </c>
      <c r="L1242">
        <v>10298</v>
      </c>
      <c r="M1242" t="s">
        <v>85</v>
      </c>
      <c r="O1242" t="s">
        <v>11</v>
      </c>
      <c r="P1242">
        <v>5102</v>
      </c>
      <c r="Q1242">
        <v>4</v>
      </c>
      <c r="R1242">
        <v>56.89</v>
      </c>
      <c r="S1242">
        <v>227.56</v>
      </c>
      <c r="T1242">
        <v>189.52</v>
      </c>
      <c r="U1242">
        <v>16.72</v>
      </c>
      <c r="V1242" t="str">
        <f>VLOOKUP(L1242,'[2]tabela de preços'!$A:$D,4,0)</f>
        <v>ANJO</v>
      </c>
      <c r="W1242" t="str">
        <f>VLOOKUP(L1242,'[2]tabela de preços'!$A:$F,6,0)</f>
        <v>THINNER DE LIMPEZA</v>
      </c>
      <c r="X1242" t="str">
        <f>VLOOKUP(L1242,'[2]tabela de preços'!$A:$G,7,0)</f>
        <v>THINNER</v>
      </c>
    </row>
    <row r="1243" spans="1:24" x14ac:dyDescent="0.3">
      <c r="A1243" t="s">
        <v>2236</v>
      </c>
      <c r="B1243" t="s">
        <v>2237</v>
      </c>
      <c r="C1243" t="s">
        <v>2238</v>
      </c>
      <c r="D1243" s="1">
        <v>46038</v>
      </c>
      <c r="E1243" t="s">
        <v>2239</v>
      </c>
      <c r="F1243">
        <v>9</v>
      </c>
      <c r="G1243">
        <v>236</v>
      </c>
      <c r="H1243" t="str">
        <f>VLOOKUP(G1243,[1]OPERADORES!$A:$B,2,0)</f>
        <v>DANIEL</v>
      </c>
      <c r="I1243" t="s">
        <v>21</v>
      </c>
      <c r="J1243" t="s">
        <v>2240</v>
      </c>
      <c r="K1243" t="s">
        <v>2241</v>
      </c>
      <c r="L1243">
        <v>20414</v>
      </c>
      <c r="M1243" t="s">
        <v>112</v>
      </c>
      <c r="O1243" t="s">
        <v>11</v>
      </c>
      <c r="P1243">
        <v>5102</v>
      </c>
      <c r="Q1243">
        <v>6</v>
      </c>
      <c r="R1243">
        <v>21.89</v>
      </c>
      <c r="S1243">
        <v>131.34</v>
      </c>
      <c r="T1243">
        <v>108</v>
      </c>
      <c r="U1243">
        <v>17.77</v>
      </c>
      <c r="V1243" t="str">
        <f>VLOOKUP(L1243,'[2]tabela de preços'!$A:$D,4,0)</f>
        <v>SHERWIN WILLIAMS</v>
      </c>
      <c r="W1243" t="str">
        <f>VLOOKUP(L1243,'[2]tabela de preços'!$A:$F,6,0)</f>
        <v>DILUENTE</v>
      </c>
      <c r="X1243" t="str">
        <f>VLOOKUP(L1243,'[2]tabela de preços'!$A:$G,7,0)</f>
        <v>AUTOMOTIVO</v>
      </c>
    </row>
    <row r="1244" spans="1:24" x14ac:dyDescent="0.3">
      <c r="A1244" t="s">
        <v>2293</v>
      </c>
      <c r="C1244" t="s">
        <v>2302</v>
      </c>
      <c r="D1244" s="1">
        <v>46038</v>
      </c>
      <c r="E1244" t="s">
        <v>2303</v>
      </c>
      <c r="F1244">
        <v>9</v>
      </c>
      <c r="G1244">
        <v>197</v>
      </c>
      <c r="H1244" t="str">
        <f>VLOOKUP(G1244,[1]OPERADORES!$A:$B,2,0)</f>
        <v xml:space="preserve">POLIANA LORRANE DE AMORIM </v>
      </c>
      <c r="I1244" t="s">
        <v>21</v>
      </c>
      <c r="J1244" t="s">
        <v>2296</v>
      </c>
      <c r="K1244" t="s">
        <v>2297</v>
      </c>
      <c r="L1244">
        <v>84616</v>
      </c>
      <c r="M1244" t="s">
        <v>2298</v>
      </c>
      <c r="O1244" t="s">
        <v>11</v>
      </c>
      <c r="P1244">
        <v>5403</v>
      </c>
      <c r="Q1244">
        <v>2</v>
      </c>
      <c r="R1244">
        <v>62.66</v>
      </c>
      <c r="S1244">
        <v>125.32</v>
      </c>
      <c r="T1244">
        <v>95.12</v>
      </c>
      <c r="U1244">
        <v>24.1</v>
      </c>
      <c r="V1244" t="str">
        <f>VLOOKUP(L1244,'[2]tabela de preços'!$A:$D,4,0)</f>
        <v>BRASILUX</v>
      </c>
      <c r="W1244" t="str">
        <f>VLOOKUP(L1244,'[2]tabela de preços'!$A:$F,6,0)</f>
        <v>BASES IMOBILIÁRIAS</v>
      </c>
      <c r="X1244" t="str">
        <f>VLOOKUP(L1244,'[2]tabela de preços'!$A:$G,7,0)</f>
        <v>IMOBILIÁRIO</v>
      </c>
    </row>
    <row r="1245" spans="1:24" x14ac:dyDescent="0.3">
      <c r="A1245" t="s">
        <v>2293</v>
      </c>
      <c r="C1245" t="s">
        <v>2302</v>
      </c>
      <c r="D1245" s="1">
        <v>46038</v>
      </c>
      <c r="E1245" t="s">
        <v>2303</v>
      </c>
      <c r="F1245">
        <v>9</v>
      </c>
      <c r="G1245">
        <v>197</v>
      </c>
      <c r="H1245" t="str">
        <f>VLOOKUP(G1245,[1]OPERADORES!$A:$B,2,0)</f>
        <v xml:space="preserve">POLIANA LORRANE DE AMORIM </v>
      </c>
      <c r="I1245" t="s">
        <v>21</v>
      </c>
      <c r="J1245" t="s">
        <v>2296</v>
      </c>
      <c r="K1245" t="s">
        <v>2297</v>
      </c>
      <c r="L1245">
        <v>84615</v>
      </c>
      <c r="M1245" t="s">
        <v>2304</v>
      </c>
      <c r="O1245" t="s">
        <v>11</v>
      </c>
      <c r="P1245">
        <v>5403</v>
      </c>
      <c r="Q1245">
        <v>2</v>
      </c>
      <c r="R1245">
        <v>17.91</v>
      </c>
      <c r="S1245">
        <v>35.82</v>
      </c>
      <c r="T1245">
        <v>27.18</v>
      </c>
      <c r="U1245">
        <v>24.12</v>
      </c>
      <c r="V1245" t="str">
        <f>VLOOKUP(L1245,'[2]tabela de preços'!$A:$D,4,0)</f>
        <v>BRASILUX</v>
      </c>
      <c r="W1245" t="str">
        <f>VLOOKUP(L1245,'[2]tabela de preços'!$A:$F,6,0)</f>
        <v>BASES IMOBILIÁRIAS</v>
      </c>
      <c r="X1245" t="str">
        <f>VLOOKUP(L1245,'[2]tabela de preços'!$A:$G,7,0)</f>
        <v>IMOBILIÁRIO</v>
      </c>
    </row>
    <row r="1246" spans="1:24" x14ac:dyDescent="0.3">
      <c r="A1246" t="s">
        <v>2293</v>
      </c>
      <c r="C1246" t="s">
        <v>2302</v>
      </c>
      <c r="D1246" s="1">
        <v>46038</v>
      </c>
      <c r="E1246" t="s">
        <v>2303</v>
      </c>
      <c r="F1246">
        <v>9</v>
      </c>
      <c r="G1246">
        <v>197</v>
      </c>
      <c r="H1246" t="str">
        <f>VLOOKUP(G1246,[1]OPERADORES!$A:$B,2,0)</f>
        <v xml:space="preserve">POLIANA LORRANE DE AMORIM </v>
      </c>
      <c r="I1246" t="s">
        <v>21</v>
      </c>
      <c r="J1246" t="s">
        <v>2296</v>
      </c>
      <c r="K1246" t="s">
        <v>2297</v>
      </c>
      <c r="L1246">
        <v>84293</v>
      </c>
      <c r="M1246" t="s">
        <v>2077</v>
      </c>
      <c r="O1246" t="s">
        <v>11</v>
      </c>
      <c r="P1246">
        <v>5403</v>
      </c>
      <c r="Q1246">
        <v>2</v>
      </c>
      <c r="R1246">
        <v>83.95</v>
      </c>
      <c r="S1246">
        <v>167.9</v>
      </c>
      <c r="T1246">
        <v>127.42</v>
      </c>
      <c r="U1246">
        <v>24.11</v>
      </c>
      <c r="V1246" t="str">
        <f>VLOOKUP(L1246,'[2]tabela de preços'!$A:$D,4,0)</f>
        <v>BRASILUX</v>
      </c>
      <c r="W1246" t="str">
        <f>VLOOKUP(L1246,'[2]tabela de preços'!$A:$F,6,0)</f>
        <v>TINTA PAREDE</v>
      </c>
      <c r="X1246" t="str">
        <f>VLOOKUP(L1246,'[2]tabela de preços'!$A:$G,7,0)</f>
        <v>IMOBILIÁRIO</v>
      </c>
    </row>
    <row r="1247" spans="1:24" x14ac:dyDescent="0.3">
      <c r="A1247" t="s">
        <v>2293</v>
      </c>
      <c r="C1247" t="s">
        <v>2302</v>
      </c>
      <c r="D1247" s="1">
        <v>46038</v>
      </c>
      <c r="E1247" t="s">
        <v>2303</v>
      </c>
      <c r="F1247">
        <v>9</v>
      </c>
      <c r="G1247">
        <v>197</v>
      </c>
      <c r="H1247" t="str">
        <f>VLOOKUP(G1247,[1]OPERADORES!$A:$B,2,0)</f>
        <v xml:space="preserve">POLIANA LORRANE DE AMORIM </v>
      </c>
      <c r="I1247" t="s">
        <v>21</v>
      </c>
      <c r="J1247" t="s">
        <v>2296</v>
      </c>
      <c r="K1247" t="s">
        <v>2297</v>
      </c>
      <c r="L1247">
        <v>85053</v>
      </c>
      <c r="M1247" t="s">
        <v>2305</v>
      </c>
      <c r="O1247" t="s">
        <v>11</v>
      </c>
      <c r="P1247">
        <v>5102</v>
      </c>
      <c r="Q1247">
        <v>3</v>
      </c>
      <c r="R1247">
        <v>4.96</v>
      </c>
      <c r="S1247">
        <v>14.88</v>
      </c>
      <c r="T1247">
        <v>11.28</v>
      </c>
      <c r="U1247">
        <v>24.19</v>
      </c>
      <c r="V1247" t="str">
        <f>VLOOKUP(L1247,'[2]tabela de preços'!$A:$D,4,0)</f>
        <v>ATLAS</v>
      </c>
      <c r="W1247" t="str">
        <f>VLOOKUP(L1247,'[2]tabela de preços'!$A:$F,6,0)</f>
        <v>ROLOS / TRINCHAS / PINCÉIS / ESPÁTULAS</v>
      </c>
      <c r="X1247" t="str">
        <f>VLOOKUP(L1247,'[2]tabela de preços'!$A:$G,7,0)</f>
        <v>IMOBILIÁRIO</v>
      </c>
    </row>
    <row r="1248" spans="1:24" x14ac:dyDescent="0.3">
      <c r="A1248" t="s">
        <v>2293</v>
      </c>
      <c r="C1248" t="s">
        <v>2302</v>
      </c>
      <c r="D1248" s="1">
        <v>46038</v>
      </c>
      <c r="E1248" t="s">
        <v>2303</v>
      </c>
      <c r="F1248">
        <v>9</v>
      </c>
      <c r="G1248">
        <v>197</v>
      </c>
      <c r="H1248" t="str">
        <f>VLOOKUP(G1248,[1]OPERADORES!$A:$B,2,0)</f>
        <v xml:space="preserve">POLIANA LORRANE DE AMORIM </v>
      </c>
      <c r="I1248" t="s">
        <v>21</v>
      </c>
      <c r="J1248" t="s">
        <v>2296</v>
      </c>
      <c r="K1248" t="s">
        <v>2297</v>
      </c>
      <c r="L1248">
        <v>84142</v>
      </c>
      <c r="M1248" t="s">
        <v>1594</v>
      </c>
      <c r="O1248" t="s">
        <v>11</v>
      </c>
      <c r="P1248">
        <v>5403</v>
      </c>
      <c r="Q1248">
        <v>4</v>
      </c>
      <c r="R1248">
        <v>74.94</v>
      </c>
      <c r="S1248">
        <v>299.76</v>
      </c>
      <c r="T1248">
        <v>227.52</v>
      </c>
      <c r="U1248">
        <v>24.1</v>
      </c>
      <c r="V1248" t="str">
        <f>VLOOKUP(L1248,'[2]tabela de preços'!$A:$D,4,0)</f>
        <v>BRASILUX</v>
      </c>
      <c r="W1248" t="str">
        <f>VLOOKUP(L1248,'[2]tabela de preços'!$A:$F,6,0)</f>
        <v>ESMALTES</v>
      </c>
      <c r="X1248" t="str">
        <f>VLOOKUP(L1248,'[2]tabela de preços'!$A:$G,7,0)</f>
        <v>INDUSTRIAL</v>
      </c>
    </row>
    <row r="1249" spans="1:24" x14ac:dyDescent="0.3">
      <c r="A1249" t="s">
        <v>2293</v>
      </c>
      <c r="C1249" t="s">
        <v>2302</v>
      </c>
      <c r="D1249" s="1">
        <v>46038</v>
      </c>
      <c r="E1249" t="s">
        <v>2303</v>
      </c>
      <c r="F1249">
        <v>9</v>
      </c>
      <c r="G1249">
        <v>197</v>
      </c>
      <c r="H1249" t="str">
        <f>VLOOKUP(G1249,[1]OPERADORES!$A:$B,2,0)</f>
        <v xml:space="preserve">POLIANA LORRANE DE AMORIM </v>
      </c>
      <c r="I1249" t="s">
        <v>21</v>
      </c>
      <c r="J1249" t="s">
        <v>2296</v>
      </c>
      <c r="K1249" t="s">
        <v>2297</v>
      </c>
      <c r="L1249">
        <v>84331</v>
      </c>
      <c r="M1249" t="s">
        <v>497</v>
      </c>
      <c r="O1249" t="s">
        <v>11</v>
      </c>
      <c r="P1249">
        <v>5403</v>
      </c>
      <c r="Q1249">
        <v>2</v>
      </c>
      <c r="R1249">
        <v>59.98</v>
      </c>
      <c r="S1249">
        <v>119.96</v>
      </c>
      <c r="T1249">
        <v>104</v>
      </c>
      <c r="U1249">
        <v>13.3</v>
      </c>
      <c r="V1249" t="str">
        <f>VLOOKUP(L1249,'[2]tabela de preços'!$A:$D,4,0)</f>
        <v>BRASILUX</v>
      </c>
      <c r="W1249" t="str">
        <f>VLOOKUP(L1249,'[2]tabela de preços'!$A:$F,6,0)</f>
        <v>ESMALTES</v>
      </c>
      <c r="X1249" t="str">
        <f>VLOOKUP(L1249,'[2]tabela de preços'!$A:$G,7,0)</f>
        <v>INDUSTRIAL</v>
      </c>
    </row>
    <row r="1250" spans="1:24" x14ac:dyDescent="0.3">
      <c r="A1250" t="s">
        <v>2293</v>
      </c>
      <c r="C1250" t="s">
        <v>2302</v>
      </c>
      <c r="D1250" s="1">
        <v>46038</v>
      </c>
      <c r="E1250" t="s">
        <v>2303</v>
      </c>
      <c r="F1250">
        <v>9</v>
      </c>
      <c r="G1250">
        <v>197</v>
      </c>
      <c r="H1250" t="str">
        <f>VLOOKUP(G1250,[1]OPERADORES!$A:$B,2,0)</f>
        <v xml:space="preserve">POLIANA LORRANE DE AMORIM </v>
      </c>
      <c r="I1250" t="s">
        <v>21</v>
      </c>
      <c r="J1250" t="s">
        <v>2296</v>
      </c>
      <c r="K1250" t="s">
        <v>2297</v>
      </c>
      <c r="L1250">
        <v>84144</v>
      </c>
      <c r="M1250" t="s">
        <v>1287</v>
      </c>
      <c r="O1250" t="s">
        <v>11</v>
      </c>
      <c r="P1250">
        <v>5403</v>
      </c>
      <c r="Q1250">
        <v>2</v>
      </c>
      <c r="R1250">
        <v>59.98</v>
      </c>
      <c r="S1250">
        <v>119.96</v>
      </c>
      <c r="T1250">
        <v>104</v>
      </c>
      <c r="U1250">
        <v>13.3</v>
      </c>
      <c r="V1250" t="str">
        <f>VLOOKUP(L1250,'[2]tabela de preços'!$A:$D,4,0)</f>
        <v>BRASILUX</v>
      </c>
      <c r="W1250" t="str">
        <f>VLOOKUP(L1250,'[2]tabela de preços'!$A:$F,6,0)</f>
        <v>ESMALTES</v>
      </c>
      <c r="X1250" t="str">
        <f>VLOOKUP(L1250,'[2]tabela de preços'!$A:$G,7,0)</f>
        <v>INDUSTRIAL</v>
      </c>
    </row>
    <row r="1251" spans="1:24" x14ac:dyDescent="0.3">
      <c r="A1251" t="s">
        <v>2293</v>
      </c>
      <c r="C1251" t="s">
        <v>2302</v>
      </c>
      <c r="D1251" s="1">
        <v>46038</v>
      </c>
      <c r="E1251" t="s">
        <v>2303</v>
      </c>
      <c r="F1251">
        <v>9</v>
      </c>
      <c r="G1251">
        <v>197</v>
      </c>
      <c r="H1251" t="str">
        <f>VLOOKUP(G1251,[1]OPERADORES!$A:$B,2,0)</f>
        <v xml:space="preserve">POLIANA LORRANE DE AMORIM </v>
      </c>
      <c r="I1251" t="s">
        <v>21</v>
      </c>
      <c r="J1251" t="s">
        <v>2296</v>
      </c>
      <c r="K1251" t="s">
        <v>2297</v>
      </c>
      <c r="L1251">
        <v>10297</v>
      </c>
      <c r="M1251" t="s">
        <v>41</v>
      </c>
      <c r="O1251" t="s">
        <v>11</v>
      </c>
      <c r="P1251">
        <v>5102</v>
      </c>
      <c r="Q1251">
        <v>12</v>
      </c>
      <c r="R1251">
        <v>10.89</v>
      </c>
      <c r="S1251">
        <v>130.68</v>
      </c>
      <c r="T1251">
        <v>110.04</v>
      </c>
      <c r="U1251">
        <v>15.79</v>
      </c>
      <c r="V1251" t="str">
        <f>VLOOKUP(L1251,'[2]tabela de preços'!$A:$D,4,0)</f>
        <v>ANJO</v>
      </c>
      <c r="W1251" t="str">
        <f>VLOOKUP(L1251,'[2]tabela de preços'!$A:$F,6,0)</f>
        <v>THINNER DE LIMPEZA</v>
      </c>
      <c r="X1251" t="str">
        <f>VLOOKUP(L1251,'[2]tabela de preços'!$A:$G,7,0)</f>
        <v>THINNER</v>
      </c>
    </row>
    <row r="1252" spans="1:24" x14ac:dyDescent="0.3">
      <c r="A1252" t="s">
        <v>123</v>
      </c>
      <c r="C1252" t="s">
        <v>142</v>
      </c>
      <c r="D1252" s="1">
        <v>46041</v>
      </c>
      <c r="E1252" t="s">
        <v>143</v>
      </c>
      <c r="F1252">
        <v>9</v>
      </c>
      <c r="G1252">
        <v>174</v>
      </c>
      <c r="H1252" t="str">
        <f>VLOOKUP(G1252,[1]OPERADORES!$A:$B,2,0)</f>
        <v>MIRIÃ LOBATO RODRIGUES</v>
      </c>
      <c r="I1252" t="s">
        <v>126</v>
      </c>
      <c r="J1252" t="s">
        <v>127</v>
      </c>
      <c r="K1252" t="s">
        <v>128</v>
      </c>
      <c r="L1252">
        <v>84108</v>
      </c>
      <c r="M1252" t="s">
        <v>144</v>
      </c>
      <c r="O1252" t="s">
        <v>11</v>
      </c>
      <c r="P1252">
        <v>6403</v>
      </c>
      <c r="Q1252">
        <v>5</v>
      </c>
      <c r="R1252">
        <v>27.29</v>
      </c>
      <c r="S1252">
        <v>136.44999999999999</v>
      </c>
      <c r="T1252">
        <v>103.55</v>
      </c>
      <c r="U1252">
        <v>24.11</v>
      </c>
      <c r="V1252" t="str">
        <f>VLOOKUP(L1252,'[2]tabela de preços'!$A:$D,4,0)</f>
        <v>BRASILUX</v>
      </c>
      <c r="W1252" t="str">
        <f>VLOOKUP(L1252,'[2]tabela de preços'!$A:$F,6,0)</f>
        <v>TINTAS LACA</v>
      </c>
      <c r="X1252" t="str">
        <f>VLOOKUP(L1252,'[2]tabela de preços'!$A:$G,7,0)</f>
        <v>AUTOMOTIVO</v>
      </c>
    </row>
    <row r="1253" spans="1:24" x14ac:dyDescent="0.3">
      <c r="A1253" t="s">
        <v>123</v>
      </c>
      <c r="C1253" t="s">
        <v>142</v>
      </c>
      <c r="D1253" s="1">
        <v>46041</v>
      </c>
      <c r="E1253" t="s">
        <v>143</v>
      </c>
      <c r="F1253">
        <v>9</v>
      </c>
      <c r="G1253">
        <v>174</v>
      </c>
      <c r="H1253" t="str">
        <f>VLOOKUP(G1253,[1]OPERADORES!$A:$B,2,0)</f>
        <v>MIRIÃ LOBATO RODRIGUES</v>
      </c>
      <c r="I1253" t="s">
        <v>126</v>
      </c>
      <c r="J1253" t="s">
        <v>127</v>
      </c>
      <c r="K1253" t="s">
        <v>128</v>
      </c>
      <c r="L1253">
        <v>10236</v>
      </c>
      <c r="M1253" t="s">
        <v>133</v>
      </c>
      <c r="O1253" t="s">
        <v>11</v>
      </c>
      <c r="P1253">
        <v>6102</v>
      </c>
      <c r="Q1253">
        <v>30</v>
      </c>
      <c r="R1253">
        <v>2.79</v>
      </c>
      <c r="S1253">
        <v>83.7</v>
      </c>
      <c r="T1253">
        <v>69.599999999999994</v>
      </c>
      <c r="U1253">
        <v>16.850000000000001</v>
      </c>
      <c r="V1253" t="str">
        <f>VLOOKUP(L1253,'[2]tabela de preços'!$A:$D,4,0)</f>
        <v>NORTON</v>
      </c>
      <c r="W1253" t="str">
        <f>VLOOKUP(L1253,'[2]tabela de preços'!$A:$F,6,0)</f>
        <v xml:space="preserve">DISCOS / LIXAS / ABRASIVOS </v>
      </c>
      <c r="X1253" t="str">
        <f>VLOOKUP(L1253,'[2]tabela de preços'!$A:$G,7,0)</f>
        <v>AUTOMOTIVO</v>
      </c>
    </row>
    <row r="1254" spans="1:24" x14ac:dyDescent="0.3">
      <c r="A1254" t="s">
        <v>123</v>
      </c>
      <c r="C1254" t="s">
        <v>142</v>
      </c>
      <c r="D1254" s="1">
        <v>46041</v>
      </c>
      <c r="E1254" t="s">
        <v>143</v>
      </c>
      <c r="F1254">
        <v>9</v>
      </c>
      <c r="G1254">
        <v>174</v>
      </c>
      <c r="H1254" t="str">
        <f>VLOOKUP(G1254,[1]OPERADORES!$A:$B,2,0)</f>
        <v>MIRIÃ LOBATO RODRIGUES</v>
      </c>
      <c r="I1254" t="s">
        <v>126</v>
      </c>
      <c r="J1254" t="s">
        <v>127</v>
      </c>
      <c r="K1254" t="s">
        <v>128</v>
      </c>
      <c r="L1254">
        <v>10226</v>
      </c>
      <c r="M1254" t="s">
        <v>145</v>
      </c>
      <c r="O1254" t="s">
        <v>11</v>
      </c>
      <c r="P1254">
        <v>6102</v>
      </c>
      <c r="Q1254">
        <v>20</v>
      </c>
      <c r="R1254">
        <v>2.79</v>
      </c>
      <c r="S1254">
        <v>55.8</v>
      </c>
      <c r="T1254">
        <v>46.4</v>
      </c>
      <c r="U1254">
        <v>16.850000000000001</v>
      </c>
      <c r="V1254" t="str">
        <f>VLOOKUP(L1254,'[2]tabela de preços'!$A:$D,4,0)</f>
        <v>NORTON</v>
      </c>
      <c r="W1254" t="str">
        <f>VLOOKUP(L1254,'[2]tabela de preços'!$A:$F,6,0)</f>
        <v xml:space="preserve">DISCOS / LIXAS / ABRASIVOS </v>
      </c>
      <c r="X1254" t="str">
        <f>VLOOKUP(L1254,'[2]tabela de preços'!$A:$G,7,0)</f>
        <v>AUTOMOTIVO</v>
      </c>
    </row>
    <row r="1255" spans="1:24" x14ac:dyDescent="0.3">
      <c r="A1255" t="s">
        <v>123</v>
      </c>
      <c r="C1255" t="s">
        <v>142</v>
      </c>
      <c r="D1255" s="1">
        <v>46041</v>
      </c>
      <c r="E1255" t="s">
        <v>143</v>
      </c>
      <c r="F1255">
        <v>9</v>
      </c>
      <c r="G1255">
        <v>174</v>
      </c>
      <c r="H1255" t="str">
        <f>VLOOKUP(G1255,[1]OPERADORES!$A:$B,2,0)</f>
        <v>MIRIÃ LOBATO RODRIGUES</v>
      </c>
      <c r="I1255" t="s">
        <v>126</v>
      </c>
      <c r="J1255" t="s">
        <v>127</v>
      </c>
      <c r="K1255" t="s">
        <v>128</v>
      </c>
      <c r="L1255">
        <v>24248</v>
      </c>
      <c r="M1255" t="s">
        <v>107</v>
      </c>
      <c r="O1255" t="s">
        <v>11</v>
      </c>
      <c r="P1255">
        <v>6102</v>
      </c>
      <c r="Q1255">
        <v>12</v>
      </c>
      <c r="R1255">
        <v>8</v>
      </c>
      <c r="S1255">
        <v>96</v>
      </c>
      <c r="T1255">
        <v>78</v>
      </c>
      <c r="U1255">
        <v>18.75</v>
      </c>
      <c r="V1255" t="str">
        <f>VLOOKUP(L1255,'[2]tabela de preços'!$A:$D,4,0)</f>
        <v>SHERWIN WILLIAMS</v>
      </c>
      <c r="W1255" t="str">
        <f>VLOOKUP(L1255,'[2]tabela de preços'!$A:$F,6,0)</f>
        <v>PRIMER AUTOMOTIVO</v>
      </c>
      <c r="X1255" t="str">
        <f>VLOOKUP(L1255,'[2]tabela de preços'!$A:$G,7,0)</f>
        <v>AUTOMOTIVO</v>
      </c>
    </row>
    <row r="1256" spans="1:24" x14ac:dyDescent="0.3">
      <c r="A1256" t="s">
        <v>123</v>
      </c>
      <c r="C1256" t="s">
        <v>142</v>
      </c>
      <c r="D1256" s="1">
        <v>46041</v>
      </c>
      <c r="E1256" t="s">
        <v>143</v>
      </c>
      <c r="F1256">
        <v>9</v>
      </c>
      <c r="G1256">
        <v>174</v>
      </c>
      <c r="H1256" t="str">
        <f>VLOOKUP(G1256,[1]OPERADORES!$A:$B,2,0)</f>
        <v>MIRIÃ LOBATO RODRIGUES</v>
      </c>
      <c r="I1256" t="s">
        <v>126</v>
      </c>
      <c r="J1256" t="s">
        <v>127</v>
      </c>
      <c r="K1256" t="s">
        <v>128</v>
      </c>
      <c r="L1256">
        <v>20245</v>
      </c>
      <c r="M1256" t="s">
        <v>146</v>
      </c>
      <c r="O1256" t="s">
        <v>11</v>
      </c>
      <c r="P1256">
        <v>6102</v>
      </c>
      <c r="Q1256">
        <v>10</v>
      </c>
      <c r="R1256">
        <v>1.78</v>
      </c>
      <c r="S1256">
        <v>17.8</v>
      </c>
      <c r="T1256">
        <v>13.5</v>
      </c>
      <c r="U1256">
        <v>24.16</v>
      </c>
      <c r="V1256" t="str">
        <f>VLOOKUP(L1256,'[2]tabela de preços'!$A:$D,4,0)</f>
        <v>ATLAS</v>
      </c>
      <c r="W1256" t="str">
        <f>VLOOKUP(L1256,'[2]tabela de preços'!$A:$F,6,0)</f>
        <v>APLICADORES / ADAPTADORES / ENGATES / SUPORTES</v>
      </c>
      <c r="X1256" t="str">
        <f>VLOOKUP(L1256,'[2]tabela de preços'!$A:$G,7,0)</f>
        <v>AUTOMOTIVO</v>
      </c>
    </row>
    <row r="1257" spans="1:24" x14ac:dyDescent="0.3">
      <c r="A1257" t="s">
        <v>123</v>
      </c>
      <c r="C1257" t="s">
        <v>142</v>
      </c>
      <c r="D1257" s="1">
        <v>46041</v>
      </c>
      <c r="E1257" t="s">
        <v>143</v>
      </c>
      <c r="F1257">
        <v>9</v>
      </c>
      <c r="G1257">
        <v>174</v>
      </c>
      <c r="H1257" t="str">
        <f>VLOOKUP(G1257,[1]OPERADORES!$A:$B,2,0)</f>
        <v>MIRIÃ LOBATO RODRIGUES</v>
      </c>
      <c r="I1257" t="s">
        <v>126</v>
      </c>
      <c r="J1257" t="s">
        <v>127</v>
      </c>
      <c r="K1257" t="s">
        <v>128</v>
      </c>
      <c r="L1257">
        <v>5</v>
      </c>
      <c r="M1257" t="s">
        <v>147</v>
      </c>
      <c r="O1257" t="s">
        <v>11</v>
      </c>
      <c r="P1257">
        <v>6102</v>
      </c>
      <c r="Q1257">
        <v>5</v>
      </c>
      <c r="R1257">
        <v>5.15</v>
      </c>
      <c r="S1257">
        <v>25.75</v>
      </c>
      <c r="T1257">
        <v>19.55</v>
      </c>
      <c r="U1257">
        <v>24.08</v>
      </c>
      <c r="V1257" t="str">
        <f>VLOOKUP(L1257,'[2]tabela de preços'!$A:$D,4,0)</f>
        <v>BRILHO ESTOPA</v>
      </c>
      <c r="W1257" t="str">
        <f>VLOOKUP(L1257,'[2]tabela de preços'!$A:$F,6,0)</f>
        <v>ESTOPAS</v>
      </c>
      <c r="X1257" t="str">
        <f>VLOOKUP(L1257,'[2]tabela de preços'!$A:$G,7,0)</f>
        <v>AUTOMOTIVO</v>
      </c>
    </row>
    <row r="1258" spans="1:24" x14ac:dyDescent="0.3">
      <c r="A1258" t="s">
        <v>123</v>
      </c>
      <c r="C1258" t="s">
        <v>142</v>
      </c>
      <c r="D1258" s="1">
        <v>46041</v>
      </c>
      <c r="E1258" t="s">
        <v>143</v>
      </c>
      <c r="F1258">
        <v>9</v>
      </c>
      <c r="G1258">
        <v>174</v>
      </c>
      <c r="H1258" t="str">
        <f>VLOOKUP(G1258,[1]OPERADORES!$A:$B,2,0)</f>
        <v>MIRIÃ LOBATO RODRIGUES</v>
      </c>
      <c r="I1258" t="s">
        <v>126</v>
      </c>
      <c r="J1258" t="s">
        <v>127</v>
      </c>
      <c r="K1258" t="s">
        <v>128</v>
      </c>
      <c r="L1258">
        <v>20318</v>
      </c>
      <c r="M1258" t="s">
        <v>136</v>
      </c>
      <c r="O1258" t="s">
        <v>11</v>
      </c>
      <c r="P1258">
        <v>6403</v>
      </c>
      <c r="Q1258">
        <v>2</v>
      </c>
      <c r="R1258">
        <v>33.4</v>
      </c>
      <c r="S1258">
        <v>66.8</v>
      </c>
      <c r="T1258">
        <v>47.62</v>
      </c>
      <c r="U1258">
        <v>28.71</v>
      </c>
      <c r="V1258" t="str">
        <f>VLOOKUP(L1258,'[2]tabela de preços'!$A:$D,4,0)</f>
        <v>SHERWIN WILLIAMS</v>
      </c>
      <c r="W1258" t="str">
        <f>VLOOKUP(L1258,'[2]tabela de preços'!$A:$F,6,0)</f>
        <v>TINTAS POLIÉSTER</v>
      </c>
      <c r="X1258" t="str">
        <f>VLOOKUP(L1258,'[2]tabela de preços'!$A:$G,7,0)</f>
        <v>AUTOMOTIVO</v>
      </c>
    </row>
    <row r="1259" spans="1:24" x14ac:dyDescent="0.3">
      <c r="A1259" t="s">
        <v>123</v>
      </c>
      <c r="C1259" t="s">
        <v>142</v>
      </c>
      <c r="D1259" s="1">
        <v>46041</v>
      </c>
      <c r="E1259" t="s">
        <v>143</v>
      </c>
      <c r="F1259">
        <v>9</v>
      </c>
      <c r="G1259">
        <v>174</v>
      </c>
      <c r="H1259" t="str">
        <f>VLOOKUP(G1259,[1]OPERADORES!$A:$B,2,0)</f>
        <v>MIRIÃ LOBATO RODRIGUES</v>
      </c>
      <c r="I1259" t="s">
        <v>126</v>
      </c>
      <c r="J1259" t="s">
        <v>127</v>
      </c>
      <c r="K1259" t="s">
        <v>128</v>
      </c>
      <c r="L1259">
        <v>20375</v>
      </c>
      <c r="M1259" t="s">
        <v>148</v>
      </c>
      <c r="O1259" t="s">
        <v>11</v>
      </c>
      <c r="P1259">
        <v>6403</v>
      </c>
      <c r="Q1259">
        <v>1</v>
      </c>
      <c r="R1259">
        <v>35.49</v>
      </c>
      <c r="S1259">
        <v>35.49</v>
      </c>
      <c r="T1259">
        <v>25.45</v>
      </c>
      <c r="U1259">
        <v>28.29</v>
      </c>
      <c r="V1259" t="str">
        <f>VLOOKUP(L1259,'[2]tabela de preços'!$A:$D,4,0)</f>
        <v>SHERWIN WILLIAMS</v>
      </c>
      <c r="W1259" t="str">
        <f>VLOOKUP(L1259,'[2]tabela de preços'!$A:$F,6,0)</f>
        <v>TINTAS POLIÉSTER</v>
      </c>
      <c r="X1259" t="str">
        <f>VLOOKUP(L1259,'[2]tabela de preços'!$A:$G,7,0)</f>
        <v>AUTOMOTIVO</v>
      </c>
    </row>
    <row r="1260" spans="1:24" x14ac:dyDescent="0.3">
      <c r="A1260" t="s">
        <v>123</v>
      </c>
      <c r="C1260" t="s">
        <v>142</v>
      </c>
      <c r="D1260" s="1">
        <v>46041</v>
      </c>
      <c r="E1260" t="s">
        <v>143</v>
      </c>
      <c r="F1260">
        <v>9</v>
      </c>
      <c r="G1260">
        <v>174</v>
      </c>
      <c r="H1260" t="str">
        <f>VLOOKUP(G1260,[1]OPERADORES!$A:$B,2,0)</f>
        <v>MIRIÃ LOBATO RODRIGUES</v>
      </c>
      <c r="I1260" t="s">
        <v>126</v>
      </c>
      <c r="J1260" t="s">
        <v>127</v>
      </c>
      <c r="K1260" t="s">
        <v>128</v>
      </c>
      <c r="L1260">
        <v>21820</v>
      </c>
      <c r="M1260" t="s">
        <v>149</v>
      </c>
      <c r="O1260" t="s">
        <v>11</v>
      </c>
      <c r="P1260">
        <v>6403</v>
      </c>
      <c r="Q1260">
        <v>1</v>
      </c>
      <c r="R1260">
        <v>38.51</v>
      </c>
      <c r="S1260">
        <v>38.51</v>
      </c>
      <c r="T1260">
        <v>27.53</v>
      </c>
      <c r="U1260">
        <v>28.51</v>
      </c>
      <c r="V1260" t="str">
        <f>VLOOKUP(L1260,'[2]tabela de preços'!$A:$D,4,0)</f>
        <v>SHERWIN WILLIAMS</v>
      </c>
      <c r="W1260" t="str">
        <f>VLOOKUP(L1260,'[2]tabela de preços'!$A:$F,6,0)</f>
        <v>TINTAS PU</v>
      </c>
      <c r="X1260" t="str">
        <f>VLOOKUP(L1260,'[2]tabela de preços'!$A:$G,7,0)</f>
        <v>AUTOMOTIVO</v>
      </c>
    </row>
    <row r="1261" spans="1:24" x14ac:dyDescent="0.3">
      <c r="A1261" t="s">
        <v>123</v>
      </c>
      <c r="C1261" t="s">
        <v>142</v>
      </c>
      <c r="D1261" s="1">
        <v>46041</v>
      </c>
      <c r="E1261" t="s">
        <v>143</v>
      </c>
      <c r="F1261">
        <v>9</v>
      </c>
      <c r="G1261">
        <v>174</v>
      </c>
      <c r="H1261" t="str">
        <f>VLOOKUP(G1261,[1]OPERADORES!$A:$B,2,0)</f>
        <v>MIRIÃ LOBATO RODRIGUES</v>
      </c>
      <c r="I1261" t="s">
        <v>126</v>
      </c>
      <c r="J1261" t="s">
        <v>127</v>
      </c>
      <c r="K1261" t="s">
        <v>128</v>
      </c>
      <c r="L1261">
        <v>20325</v>
      </c>
      <c r="M1261" t="s">
        <v>150</v>
      </c>
      <c r="O1261" t="s">
        <v>11</v>
      </c>
      <c r="P1261">
        <v>6403</v>
      </c>
      <c r="Q1261">
        <v>1</v>
      </c>
      <c r="R1261">
        <v>32.299999999999997</v>
      </c>
      <c r="S1261">
        <v>32.299999999999997</v>
      </c>
      <c r="T1261">
        <v>23.03</v>
      </c>
      <c r="U1261">
        <v>28.7</v>
      </c>
      <c r="V1261" t="str">
        <f>VLOOKUP(L1261,'[2]tabela de preços'!$A:$D,4,0)</f>
        <v>SHERWIN WILLIAMS</v>
      </c>
      <c r="W1261" t="str">
        <f>VLOOKUP(L1261,'[2]tabela de preços'!$A:$F,6,0)</f>
        <v>TINTAS POLIÉSTER</v>
      </c>
      <c r="X1261" t="str">
        <f>VLOOKUP(L1261,'[2]tabela de preços'!$A:$G,7,0)</f>
        <v>AUTOMOTIVO</v>
      </c>
    </row>
    <row r="1262" spans="1:24" x14ac:dyDescent="0.3">
      <c r="A1262" t="s">
        <v>123</v>
      </c>
      <c r="C1262" t="s">
        <v>142</v>
      </c>
      <c r="D1262" s="1">
        <v>46041</v>
      </c>
      <c r="E1262" t="s">
        <v>143</v>
      </c>
      <c r="F1262">
        <v>9</v>
      </c>
      <c r="G1262">
        <v>174</v>
      </c>
      <c r="H1262" t="str">
        <f>VLOOKUP(G1262,[1]OPERADORES!$A:$B,2,0)</f>
        <v>MIRIÃ LOBATO RODRIGUES</v>
      </c>
      <c r="I1262" t="s">
        <v>126</v>
      </c>
      <c r="J1262" t="s">
        <v>127</v>
      </c>
      <c r="K1262" t="s">
        <v>128</v>
      </c>
      <c r="L1262">
        <v>20936</v>
      </c>
      <c r="M1262" t="s">
        <v>151</v>
      </c>
      <c r="O1262" t="s">
        <v>11</v>
      </c>
      <c r="P1262">
        <v>6403</v>
      </c>
      <c r="Q1262">
        <v>1</v>
      </c>
      <c r="R1262">
        <v>32.340000000000003</v>
      </c>
      <c r="S1262">
        <v>32.340000000000003</v>
      </c>
      <c r="T1262">
        <v>23.06</v>
      </c>
      <c r="U1262">
        <v>28.7</v>
      </c>
      <c r="V1262" t="str">
        <f>VLOOKUP(L1262,'[2]tabela de preços'!$A:$D,4,0)</f>
        <v>SHERWIN WILLIAMS</v>
      </c>
      <c r="W1262" t="str">
        <f>VLOOKUP(L1262,'[2]tabela de preços'!$A:$F,6,0)</f>
        <v>TINTAS POLIÉSTER</v>
      </c>
      <c r="X1262" t="str">
        <f>VLOOKUP(L1262,'[2]tabela de preços'!$A:$G,7,0)</f>
        <v>AUTOMOTIVO</v>
      </c>
    </row>
    <row r="1263" spans="1:24" x14ac:dyDescent="0.3">
      <c r="A1263" t="s">
        <v>123</v>
      </c>
      <c r="C1263" t="s">
        <v>142</v>
      </c>
      <c r="D1263" s="1">
        <v>46041</v>
      </c>
      <c r="E1263" t="s">
        <v>143</v>
      </c>
      <c r="F1263">
        <v>9</v>
      </c>
      <c r="G1263">
        <v>174</v>
      </c>
      <c r="H1263" t="str">
        <f>VLOOKUP(G1263,[1]OPERADORES!$A:$B,2,0)</f>
        <v>MIRIÃ LOBATO RODRIGUES</v>
      </c>
      <c r="I1263" t="s">
        <v>126</v>
      </c>
      <c r="J1263" t="s">
        <v>127</v>
      </c>
      <c r="K1263" t="s">
        <v>128</v>
      </c>
      <c r="L1263">
        <v>13</v>
      </c>
      <c r="M1263" t="s">
        <v>152</v>
      </c>
      <c r="O1263" t="s">
        <v>11</v>
      </c>
      <c r="P1263">
        <v>6102</v>
      </c>
      <c r="Q1263">
        <v>25</v>
      </c>
      <c r="R1263">
        <v>5.79</v>
      </c>
      <c r="S1263">
        <v>144.75</v>
      </c>
      <c r="T1263">
        <v>104</v>
      </c>
      <c r="U1263">
        <v>28.15</v>
      </c>
      <c r="V1263" t="str">
        <f>VLOOKUP(L1263,'[2]tabela de preços'!$A:$D,4,0)</f>
        <v>3M</v>
      </c>
      <c r="W1263" t="str">
        <f>VLOOKUP(L1263,'[2]tabela de preços'!$A:$F,6,0)</f>
        <v>LIXA DÁGUA</v>
      </c>
      <c r="X1263" t="str">
        <f>VLOOKUP(L1263,'[2]tabela de preços'!$A:$G,7,0)</f>
        <v>AUTOMOTIVO</v>
      </c>
    </row>
    <row r="1264" spans="1:24" x14ac:dyDescent="0.3">
      <c r="A1264" t="s">
        <v>123</v>
      </c>
      <c r="C1264" t="s">
        <v>142</v>
      </c>
      <c r="D1264" s="1">
        <v>46041</v>
      </c>
      <c r="E1264" t="s">
        <v>143</v>
      </c>
      <c r="F1264">
        <v>9</v>
      </c>
      <c r="G1264">
        <v>174</v>
      </c>
      <c r="H1264" t="str">
        <f>VLOOKUP(G1264,[1]OPERADORES!$A:$B,2,0)</f>
        <v>MIRIÃ LOBATO RODRIGUES</v>
      </c>
      <c r="I1264" t="s">
        <v>126</v>
      </c>
      <c r="J1264" t="s">
        <v>127</v>
      </c>
      <c r="K1264" t="s">
        <v>128</v>
      </c>
      <c r="L1264">
        <v>20817</v>
      </c>
      <c r="M1264" t="s">
        <v>153</v>
      </c>
      <c r="O1264" t="s">
        <v>11</v>
      </c>
      <c r="P1264">
        <v>6102</v>
      </c>
      <c r="Q1264">
        <v>3</v>
      </c>
      <c r="R1264">
        <v>22.89</v>
      </c>
      <c r="S1264">
        <v>68.67</v>
      </c>
      <c r="T1264">
        <v>55.86</v>
      </c>
      <c r="U1264">
        <v>18.649999999999999</v>
      </c>
      <c r="V1264" t="str">
        <f>VLOOKUP(L1264,'[2]tabela de preços'!$A:$D,4,0)</f>
        <v>AUTO AMERICA</v>
      </c>
      <c r="W1264" t="str">
        <f>VLOOKUP(L1264,'[2]tabela de preços'!$A:$F,6,0)</f>
        <v>MASSA DE POLIR</v>
      </c>
      <c r="X1264" t="str">
        <f>VLOOKUP(L1264,'[2]tabela de preços'!$A:$G,7,0)</f>
        <v>AUTOMOTIVO</v>
      </c>
    </row>
    <row r="1265" spans="1:24" x14ac:dyDescent="0.3">
      <c r="A1265" t="s">
        <v>123</v>
      </c>
      <c r="C1265" t="s">
        <v>142</v>
      </c>
      <c r="D1265" s="1">
        <v>46041</v>
      </c>
      <c r="E1265" t="s">
        <v>143</v>
      </c>
      <c r="F1265">
        <v>9</v>
      </c>
      <c r="G1265">
        <v>174</v>
      </c>
      <c r="H1265" t="str">
        <f>VLOOKUP(G1265,[1]OPERADORES!$A:$B,2,0)</f>
        <v>MIRIÃ LOBATO RODRIGUES</v>
      </c>
      <c r="I1265" t="s">
        <v>126</v>
      </c>
      <c r="J1265" t="s">
        <v>127</v>
      </c>
      <c r="K1265" t="s">
        <v>128</v>
      </c>
      <c r="L1265">
        <v>20525</v>
      </c>
      <c r="M1265" t="s">
        <v>137</v>
      </c>
      <c r="O1265" t="s">
        <v>11</v>
      </c>
      <c r="P1265">
        <v>6102</v>
      </c>
      <c r="Q1265">
        <v>2</v>
      </c>
      <c r="R1265">
        <v>13.65</v>
      </c>
      <c r="S1265">
        <v>27.3</v>
      </c>
      <c r="T1265">
        <v>20.72</v>
      </c>
      <c r="U1265">
        <v>24.1</v>
      </c>
      <c r="V1265" t="str">
        <f>VLOOKUP(L1265,'[2]tabela de preços'!$A:$D,4,0)</f>
        <v>SHERWIN WILLIAMS</v>
      </c>
      <c r="W1265" t="str">
        <f>VLOOKUP(L1265,'[2]tabela de preços'!$A:$F,6,0)</f>
        <v>MASSA DE PEQUENOS REPAROS</v>
      </c>
      <c r="X1265" t="str">
        <f>VLOOKUP(L1265,'[2]tabela de preços'!$A:$G,7,0)</f>
        <v>AUTOMOTIVO</v>
      </c>
    </row>
    <row r="1266" spans="1:24" x14ac:dyDescent="0.3">
      <c r="A1266" t="s">
        <v>123</v>
      </c>
      <c r="C1266" t="s">
        <v>142</v>
      </c>
      <c r="D1266" s="1">
        <v>46041</v>
      </c>
      <c r="E1266" t="s">
        <v>143</v>
      </c>
      <c r="F1266">
        <v>9</v>
      </c>
      <c r="G1266">
        <v>174</v>
      </c>
      <c r="H1266" t="str">
        <f>VLOOKUP(G1266,[1]OPERADORES!$A:$B,2,0)</f>
        <v>MIRIÃ LOBATO RODRIGUES</v>
      </c>
      <c r="I1266" t="s">
        <v>126</v>
      </c>
      <c r="J1266" t="s">
        <v>127</v>
      </c>
      <c r="K1266" t="s">
        <v>128</v>
      </c>
      <c r="L1266">
        <v>21078</v>
      </c>
      <c r="M1266" t="s">
        <v>141</v>
      </c>
      <c r="O1266" t="s">
        <v>11</v>
      </c>
      <c r="P1266">
        <v>6102</v>
      </c>
      <c r="Q1266">
        <v>6</v>
      </c>
      <c r="R1266">
        <v>22.89</v>
      </c>
      <c r="S1266">
        <v>137.34</v>
      </c>
      <c r="T1266">
        <v>111.96</v>
      </c>
      <c r="U1266">
        <v>18.48</v>
      </c>
      <c r="V1266" t="str">
        <f>VLOOKUP(L1266,'[2]tabela de preços'!$A:$D,4,0)</f>
        <v>SHERWIN WILLIAMS</v>
      </c>
      <c r="W1266" t="str">
        <f>VLOOKUP(L1266,'[2]tabela de preços'!$A:$F,6,0)</f>
        <v>MASSA POLIÉSTER</v>
      </c>
      <c r="X1266" t="str">
        <f>VLOOKUP(L1266,'[2]tabela de preços'!$A:$G,7,0)</f>
        <v>AUTOMOTIVO</v>
      </c>
    </row>
    <row r="1267" spans="1:24" x14ac:dyDescent="0.3">
      <c r="A1267" t="s">
        <v>123</v>
      </c>
      <c r="C1267" t="s">
        <v>142</v>
      </c>
      <c r="D1267" s="1">
        <v>46041</v>
      </c>
      <c r="E1267" t="s">
        <v>143</v>
      </c>
      <c r="F1267">
        <v>9</v>
      </c>
      <c r="G1267">
        <v>174</v>
      </c>
      <c r="H1267" t="str">
        <f>VLOOKUP(G1267,[1]OPERADORES!$A:$B,2,0)</f>
        <v>MIRIÃ LOBATO RODRIGUES</v>
      </c>
      <c r="I1267" t="s">
        <v>126</v>
      </c>
      <c r="J1267" t="s">
        <v>127</v>
      </c>
      <c r="K1267" t="s">
        <v>128</v>
      </c>
      <c r="L1267">
        <v>24247</v>
      </c>
      <c r="M1267" t="s">
        <v>111</v>
      </c>
      <c r="O1267" t="s">
        <v>11</v>
      </c>
      <c r="P1267">
        <v>6403</v>
      </c>
      <c r="Q1267">
        <v>12</v>
      </c>
      <c r="R1267">
        <v>21</v>
      </c>
      <c r="S1267">
        <v>252</v>
      </c>
      <c r="T1267">
        <v>202.44</v>
      </c>
      <c r="U1267">
        <v>19.670000000000002</v>
      </c>
      <c r="V1267" t="str">
        <f>VLOOKUP(L1267,'[2]tabela de preços'!$A:$D,4,0)</f>
        <v>SHERWIN WILLIAMS</v>
      </c>
      <c r="W1267" t="str">
        <f>VLOOKUP(L1267,'[2]tabela de preços'!$A:$F,6,0)</f>
        <v>PRIMER AUTOMOTIVO</v>
      </c>
      <c r="X1267" t="str">
        <f>VLOOKUP(L1267,'[2]tabela de preços'!$A:$G,7,0)</f>
        <v>AUTOMOTIVO</v>
      </c>
    </row>
    <row r="1268" spans="1:24" x14ac:dyDescent="0.3">
      <c r="A1268" t="s">
        <v>123</v>
      </c>
      <c r="C1268" t="s">
        <v>142</v>
      </c>
      <c r="D1268" s="1">
        <v>46041</v>
      </c>
      <c r="E1268" t="s">
        <v>143</v>
      </c>
      <c r="F1268">
        <v>9</v>
      </c>
      <c r="G1268">
        <v>174</v>
      </c>
      <c r="H1268" t="str">
        <f>VLOOKUP(G1268,[1]OPERADORES!$A:$B,2,0)</f>
        <v>MIRIÃ LOBATO RODRIGUES</v>
      </c>
      <c r="I1268" t="s">
        <v>126</v>
      </c>
      <c r="J1268" t="s">
        <v>127</v>
      </c>
      <c r="K1268" t="s">
        <v>128</v>
      </c>
      <c r="L1268">
        <v>10401</v>
      </c>
      <c r="M1268" t="s">
        <v>154</v>
      </c>
      <c r="O1268" t="s">
        <v>11</v>
      </c>
      <c r="P1268">
        <v>6403</v>
      </c>
      <c r="Q1268">
        <v>2</v>
      </c>
      <c r="R1268">
        <v>33.22</v>
      </c>
      <c r="S1268">
        <v>66.44</v>
      </c>
      <c r="T1268">
        <v>50.42</v>
      </c>
      <c r="U1268">
        <v>24.11</v>
      </c>
      <c r="V1268" t="str">
        <f>VLOOKUP(L1268,'[2]tabela de preços'!$A:$D,4,0)</f>
        <v>MAXI RUBBER</v>
      </c>
      <c r="W1268" t="str">
        <f>VLOOKUP(L1268,'[2]tabela de preços'!$A:$F,6,0)</f>
        <v>PRIMER AUTOMOTIVO</v>
      </c>
      <c r="X1268" t="str">
        <f>VLOOKUP(L1268,'[2]tabela de preços'!$A:$G,7,0)</f>
        <v>AUTOMOTIVO</v>
      </c>
    </row>
    <row r="1269" spans="1:24" x14ac:dyDescent="0.3">
      <c r="A1269" t="s">
        <v>123</v>
      </c>
      <c r="C1269" t="s">
        <v>155</v>
      </c>
      <c r="D1269" s="1">
        <v>46041</v>
      </c>
      <c r="E1269" t="s">
        <v>156</v>
      </c>
      <c r="F1269">
        <v>9</v>
      </c>
      <c r="G1269">
        <v>174</v>
      </c>
      <c r="H1269" t="str">
        <f>VLOOKUP(G1269,[1]OPERADORES!$A:$B,2,0)</f>
        <v>MIRIÃ LOBATO RODRIGUES</v>
      </c>
      <c r="I1269" t="s">
        <v>126</v>
      </c>
      <c r="J1269" t="s">
        <v>127</v>
      </c>
      <c r="K1269" t="s">
        <v>128</v>
      </c>
      <c r="L1269">
        <v>10234</v>
      </c>
      <c r="M1269" t="s">
        <v>157</v>
      </c>
      <c r="O1269" t="s">
        <v>11</v>
      </c>
      <c r="P1269">
        <v>6102</v>
      </c>
      <c r="Q1269">
        <v>10</v>
      </c>
      <c r="R1269">
        <v>2.79</v>
      </c>
      <c r="S1269">
        <v>27.9</v>
      </c>
      <c r="T1269">
        <v>23.2</v>
      </c>
      <c r="U1269">
        <v>16.850000000000001</v>
      </c>
      <c r="V1269" t="str">
        <f>VLOOKUP(L1269,'[2]tabela de preços'!$A:$D,4,0)</f>
        <v>NORTON</v>
      </c>
      <c r="W1269" t="str">
        <f>VLOOKUP(L1269,'[2]tabela de preços'!$A:$F,6,0)</f>
        <v xml:space="preserve">DISCOS / LIXAS / ABRASIVOS </v>
      </c>
      <c r="X1269" t="str">
        <f>VLOOKUP(L1269,'[2]tabela de preços'!$A:$G,7,0)</f>
        <v>AUTOMOTIVO</v>
      </c>
    </row>
    <row r="1270" spans="1:24" x14ac:dyDescent="0.3">
      <c r="A1270" t="s">
        <v>279</v>
      </c>
      <c r="C1270" t="s">
        <v>293</v>
      </c>
      <c r="D1270" s="1">
        <v>46041</v>
      </c>
      <c r="E1270" t="s">
        <v>294</v>
      </c>
      <c r="F1270">
        <v>9</v>
      </c>
      <c r="G1270">
        <v>197</v>
      </c>
      <c r="H1270" t="str">
        <f>VLOOKUP(G1270,[1]OPERADORES!$A:$B,2,0)</f>
        <v xml:space="preserve">POLIANA LORRANE DE AMORIM </v>
      </c>
      <c r="I1270" t="s">
        <v>282</v>
      </c>
      <c r="J1270" t="s">
        <v>283</v>
      </c>
      <c r="K1270" t="s">
        <v>284</v>
      </c>
      <c r="L1270">
        <v>84277</v>
      </c>
      <c r="M1270" t="s">
        <v>295</v>
      </c>
      <c r="O1270" t="s">
        <v>11</v>
      </c>
      <c r="P1270">
        <v>6403</v>
      </c>
      <c r="Q1270">
        <v>4</v>
      </c>
      <c r="R1270">
        <v>50.32</v>
      </c>
      <c r="S1270">
        <v>201.28</v>
      </c>
      <c r="T1270">
        <v>147.56</v>
      </c>
      <c r="U1270">
        <v>26.69</v>
      </c>
      <c r="V1270" t="str">
        <f>VLOOKUP(L1270,'[2]tabela de preços'!$A:$D,4,0)</f>
        <v>BRASILUX</v>
      </c>
      <c r="W1270" t="str">
        <f>VLOOKUP(L1270,'[2]tabela de preços'!$A:$F,6,0)</f>
        <v>TINTA PAREDE</v>
      </c>
      <c r="X1270" t="str">
        <f>VLOOKUP(L1270,'[2]tabela de preços'!$A:$G,7,0)</f>
        <v>IMOBILIÁRIO</v>
      </c>
    </row>
    <row r="1271" spans="1:24" x14ac:dyDescent="0.3">
      <c r="A1271" t="s">
        <v>279</v>
      </c>
      <c r="C1271" t="s">
        <v>293</v>
      </c>
      <c r="D1271" s="1">
        <v>46041</v>
      </c>
      <c r="E1271" t="s">
        <v>294</v>
      </c>
      <c r="F1271">
        <v>9</v>
      </c>
      <c r="G1271">
        <v>197</v>
      </c>
      <c r="H1271" t="str">
        <f>VLOOKUP(G1271,[1]OPERADORES!$A:$B,2,0)</f>
        <v xml:space="preserve">POLIANA LORRANE DE AMORIM </v>
      </c>
      <c r="I1271" t="s">
        <v>282</v>
      </c>
      <c r="J1271" t="s">
        <v>283</v>
      </c>
      <c r="K1271" t="s">
        <v>284</v>
      </c>
      <c r="L1271">
        <v>84076</v>
      </c>
      <c r="M1271" t="s">
        <v>30</v>
      </c>
      <c r="O1271" t="s">
        <v>11</v>
      </c>
      <c r="P1271">
        <v>6403</v>
      </c>
      <c r="Q1271">
        <v>6</v>
      </c>
      <c r="R1271">
        <v>22.11</v>
      </c>
      <c r="S1271">
        <v>132.66</v>
      </c>
      <c r="T1271">
        <v>97.26</v>
      </c>
      <c r="U1271">
        <v>26.68</v>
      </c>
      <c r="V1271" t="str">
        <f>VLOOKUP(L1271,'[2]tabela de preços'!$A:$D,4,0)</f>
        <v>BRASILUX</v>
      </c>
      <c r="W1271" t="str">
        <f>VLOOKUP(L1271,'[2]tabela de preços'!$A:$F,6,0)</f>
        <v>LINHA MOVELEIRA</v>
      </c>
      <c r="X1271" t="str">
        <f>VLOOKUP(L1271,'[2]tabela de preços'!$A:$G,7,0)</f>
        <v>MOVELEIRA</v>
      </c>
    </row>
    <row r="1272" spans="1:24" x14ac:dyDescent="0.3">
      <c r="A1272" t="s">
        <v>279</v>
      </c>
      <c r="C1272" t="s">
        <v>293</v>
      </c>
      <c r="D1272" s="1">
        <v>46041</v>
      </c>
      <c r="E1272" t="s">
        <v>294</v>
      </c>
      <c r="F1272">
        <v>9</v>
      </c>
      <c r="G1272">
        <v>197</v>
      </c>
      <c r="H1272" t="str">
        <f>VLOOKUP(G1272,[1]OPERADORES!$A:$B,2,0)</f>
        <v xml:space="preserve">POLIANA LORRANE DE AMORIM </v>
      </c>
      <c r="I1272" t="s">
        <v>282</v>
      </c>
      <c r="J1272" t="s">
        <v>283</v>
      </c>
      <c r="K1272" t="s">
        <v>284</v>
      </c>
      <c r="L1272">
        <v>84123</v>
      </c>
      <c r="M1272" t="s">
        <v>296</v>
      </c>
      <c r="O1272" t="s">
        <v>11</v>
      </c>
      <c r="P1272">
        <v>6403</v>
      </c>
      <c r="Q1272">
        <v>6</v>
      </c>
      <c r="R1272">
        <v>19.100000000000001</v>
      </c>
      <c r="S1272">
        <v>114.6</v>
      </c>
      <c r="T1272">
        <v>87</v>
      </c>
      <c r="U1272">
        <v>24.08</v>
      </c>
      <c r="V1272" t="str">
        <f>VLOOKUP(L1272,'[2]tabela de preços'!$A:$D,4,0)</f>
        <v>BRASILUX</v>
      </c>
      <c r="W1272" t="str">
        <f>VLOOKUP(L1272,'[2]tabela de preços'!$A:$F,6,0)</f>
        <v>ESMALTES</v>
      </c>
      <c r="X1272" t="str">
        <f>VLOOKUP(L1272,'[2]tabela de preços'!$A:$G,7,0)</f>
        <v>INDUSTRIAL</v>
      </c>
    </row>
    <row r="1273" spans="1:24" x14ac:dyDescent="0.3">
      <c r="A1273" t="s">
        <v>279</v>
      </c>
      <c r="C1273" t="s">
        <v>293</v>
      </c>
      <c r="D1273" s="1">
        <v>46041</v>
      </c>
      <c r="E1273" t="s">
        <v>294</v>
      </c>
      <c r="F1273">
        <v>9</v>
      </c>
      <c r="G1273">
        <v>197</v>
      </c>
      <c r="H1273" t="str">
        <f>VLOOKUP(G1273,[1]OPERADORES!$A:$B,2,0)</f>
        <v xml:space="preserve">POLIANA LORRANE DE AMORIM </v>
      </c>
      <c r="I1273" t="s">
        <v>282</v>
      </c>
      <c r="J1273" t="s">
        <v>283</v>
      </c>
      <c r="K1273" t="s">
        <v>284</v>
      </c>
      <c r="L1273">
        <v>84297</v>
      </c>
      <c r="M1273" t="s">
        <v>297</v>
      </c>
      <c r="O1273" t="s">
        <v>11</v>
      </c>
      <c r="P1273">
        <v>6403</v>
      </c>
      <c r="Q1273">
        <v>2</v>
      </c>
      <c r="R1273">
        <v>81.569999999999993</v>
      </c>
      <c r="S1273">
        <v>163.13999999999999</v>
      </c>
      <c r="T1273">
        <v>119.6</v>
      </c>
      <c r="U1273">
        <v>26.69</v>
      </c>
      <c r="V1273" t="str">
        <f>VLOOKUP(L1273,'[2]tabela de preços'!$A:$D,4,0)</f>
        <v>BRASILUX</v>
      </c>
      <c r="W1273" t="str">
        <f>VLOOKUP(L1273,'[2]tabela de preços'!$A:$F,6,0)</f>
        <v>TINTA EMBORRACHADA</v>
      </c>
      <c r="X1273" t="str">
        <f>VLOOKUP(L1273,'[2]tabela de preços'!$A:$G,7,0)</f>
        <v>IMOBILIÁRIO</v>
      </c>
    </row>
    <row r="1274" spans="1:24" x14ac:dyDescent="0.3">
      <c r="A1274" t="s">
        <v>279</v>
      </c>
      <c r="C1274" t="s">
        <v>293</v>
      </c>
      <c r="D1274" s="1">
        <v>46041</v>
      </c>
      <c r="E1274" t="s">
        <v>294</v>
      </c>
      <c r="F1274">
        <v>9</v>
      </c>
      <c r="G1274">
        <v>197</v>
      </c>
      <c r="H1274" t="str">
        <f>VLOOKUP(G1274,[1]OPERADORES!$A:$B,2,0)</f>
        <v xml:space="preserve">POLIANA LORRANE DE AMORIM </v>
      </c>
      <c r="I1274" t="s">
        <v>282</v>
      </c>
      <c r="J1274" t="s">
        <v>283</v>
      </c>
      <c r="K1274" t="s">
        <v>284</v>
      </c>
      <c r="L1274">
        <v>84172</v>
      </c>
      <c r="M1274" t="s">
        <v>298</v>
      </c>
      <c r="O1274" t="s">
        <v>11</v>
      </c>
      <c r="P1274">
        <v>6403</v>
      </c>
      <c r="Q1274">
        <v>4</v>
      </c>
      <c r="R1274">
        <v>27.33</v>
      </c>
      <c r="S1274">
        <v>109.32</v>
      </c>
      <c r="T1274">
        <v>80.16</v>
      </c>
      <c r="U1274">
        <v>26.67</v>
      </c>
      <c r="V1274" t="str">
        <f>VLOOKUP(L1274,'[2]tabela de preços'!$A:$D,4,0)</f>
        <v>BRASILUX</v>
      </c>
      <c r="W1274" t="str">
        <f>VLOOKUP(L1274,'[2]tabela de preços'!$A:$F,6,0)</f>
        <v>ESMALTES</v>
      </c>
      <c r="X1274" t="str">
        <f>VLOOKUP(L1274,'[2]tabela de preços'!$A:$G,7,0)</f>
        <v>INDUSTRIAL</v>
      </c>
    </row>
    <row r="1275" spans="1:24" x14ac:dyDescent="0.3">
      <c r="A1275" t="s">
        <v>486</v>
      </c>
      <c r="C1275" t="s">
        <v>487</v>
      </c>
      <c r="D1275" s="1">
        <v>46041</v>
      </c>
      <c r="E1275" t="s">
        <v>488</v>
      </c>
      <c r="F1275">
        <v>9</v>
      </c>
      <c r="G1275">
        <v>197</v>
      </c>
      <c r="H1275" t="str">
        <f>VLOOKUP(G1275,[1]OPERADORES!$A:$B,2,0)</f>
        <v xml:space="preserve">POLIANA LORRANE DE AMORIM </v>
      </c>
      <c r="I1275" t="s">
        <v>21</v>
      </c>
      <c r="J1275" t="s">
        <v>265</v>
      </c>
      <c r="K1275" t="s">
        <v>489</v>
      </c>
      <c r="L1275">
        <v>84496</v>
      </c>
      <c r="M1275" t="s">
        <v>490</v>
      </c>
      <c r="O1275" t="s">
        <v>11</v>
      </c>
      <c r="P1275">
        <v>5403</v>
      </c>
      <c r="Q1275">
        <v>13</v>
      </c>
      <c r="R1275">
        <v>114.86</v>
      </c>
      <c r="S1275" s="2">
        <v>1493.18</v>
      </c>
      <c r="T1275" s="2">
        <v>1094.73</v>
      </c>
      <c r="U1275">
        <v>26.68</v>
      </c>
      <c r="V1275" t="str">
        <f>VLOOKUP(L1275,'[2]tabela de preços'!$A:$D,4,0)</f>
        <v>BRASILUX</v>
      </c>
      <c r="W1275" t="str">
        <f>VLOOKUP(L1275,'[2]tabela de preços'!$A:$F,6,0)</f>
        <v>TINTAS LACA</v>
      </c>
      <c r="X1275" t="str">
        <f>VLOOKUP(L1275,'[2]tabela de preços'!$A:$G,7,0)</f>
        <v>AUTOMOTIVO</v>
      </c>
    </row>
    <row r="1276" spans="1:24" x14ac:dyDescent="0.3">
      <c r="A1276" t="s">
        <v>599</v>
      </c>
      <c r="C1276" t="s">
        <v>606</v>
      </c>
      <c r="D1276" s="1">
        <v>46041</v>
      </c>
      <c r="E1276" t="s">
        <v>607</v>
      </c>
      <c r="F1276">
        <v>9</v>
      </c>
      <c r="G1276">
        <v>230</v>
      </c>
      <c r="H1276" t="str">
        <f>VLOOKUP(G1276,[1]OPERADORES!$A:$B,2,0)</f>
        <v>SÔNIA</v>
      </c>
      <c r="I1276" t="s">
        <v>602</v>
      </c>
      <c r="J1276" t="s">
        <v>603</v>
      </c>
      <c r="K1276" t="s">
        <v>604</v>
      </c>
      <c r="L1276">
        <v>85328</v>
      </c>
      <c r="M1276" t="s">
        <v>605</v>
      </c>
      <c r="O1276" t="s">
        <v>11</v>
      </c>
      <c r="P1276">
        <v>6102</v>
      </c>
      <c r="Q1276">
        <v>1</v>
      </c>
      <c r="R1276">
        <v>565.80999999999995</v>
      </c>
      <c r="S1276">
        <v>565.80999999999995</v>
      </c>
      <c r="T1276">
        <v>403.43</v>
      </c>
      <c r="U1276">
        <v>28.7</v>
      </c>
      <c r="V1276" t="str">
        <f>VLOOKUP(L1276,'[2]tabela de preços'!$A:$D,4,0)</f>
        <v>BRASILUX</v>
      </c>
      <c r="W1276" t="str">
        <f>VLOOKUP(L1276,'[2]tabela de preços'!$A:$F,6,0)</f>
        <v>TINTA EM PÓ</v>
      </c>
      <c r="X1276" t="str">
        <f>VLOOKUP(L1276,'[2]tabela de preços'!$A:$G,7,0)</f>
        <v>INDUSTRIAL</v>
      </c>
    </row>
    <row r="1277" spans="1:24" x14ac:dyDescent="0.3">
      <c r="A1277" t="s">
        <v>712</v>
      </c>
      <c r="C1277" t="s">
        <v>718</v>
      </c>
      <c r="D1277" s="1">
        <v>46041</v>
      </c>
      <c r="E1277" t="s">
        <v>719</v>
      </c>
      <c r="F1277">
        <v>9</v>
      </c>
      <c r="G1277">
        <v>174</v>
      </c>
      <c r="H1277" t="str">
        <f>VLOOKUP(G1277,[1]OPERADORES!$A:$B,2,0)</f>
        <v>MIRIÃ LOBATO RODRIGUES</v>
      </c>
      <c r="I1277" t="s">
        <v>715</v>
      </c>
      <c r="J1277" t="s">
        <v>716</v>
      </c>
      <c r="K1277" t="s">
        <v>717</v>
      </c>
      <c r="L1277">
        <v>20433</v>
      </c>
      <c r="M1277" t="s">
        <v>460</v>
      </c>
      <c r="O1277" t="s">
        <v>11</v>
      </c>
      <c r="P1277">
        <v>6102</v>
      </c>
      <c r="Q1277">
        <v>12</v>
      </c>
      <c r="R1277">
        <v>32.19</v>
      </c>
      <c r="S1277">
        <v>386.28</v>
      </c>
      <c r="T1277">
        <v>293.16000000000003</v>
      </c>
      <c r="U1277">
        <v>24.11</v>
      </c>
      <c r="V1277" t="str">
        <f>VLOOKUP(L1277,'[2]tabela de preços'!$A:$D,4,0)</f>
        <v>SHERWIN WILLIAMS</v>
      </c>
      <c r="W1277" t="str">
        <f>VLOOKUP(L1277,'[2]tabela de preços'!$A:$F,6,0)</f>
        <v>VERNIZ AUTOMOTIVO</v>
      </c>
      <c r="X1277" t="str">
        <f>VLOOKUP(L1277,'[2]tabela de preços'!$A:$G,7,0)</f>
        <v>AUTOMOTIVO</v>
      </c>
    </row>
    <row r="1278" spans="1:24" x14ac:dyDescent="0.3">
      <c r="A1278" t="s">
        <v>712</v>
      </c>
      <c r="C1278" t="s">
        <v>718</v>
      </c>
      <c r="D1278" s="1">
        <v>46041</v>
      </c>
      <c r="E1278" t="s">
        <v>719</v>
      </c>
      <c r="F1278">
        <v>9</v>
      </c>
      <c r="G1278">
        <v>174</v>
      </c>
      <c r="H1278" t="str">
        <f>VLOOKUP(G1278,[1]OPERADORES!$A:$B,2,0)</f>
        <v>MIRIÃ LOBATO RODRIGUES</v>
      </c>
      <c r="I1278" t="s">
        <v>715</v>
      </c>
      <c r="J1278" t="s">
        <v>716</v>
      </c>
      <c r="K1278" t="s">
        <v>717</v>
      </c>
      <c r="L1278">
        <v>22684</v>
      </c>
      <c r="M1278" t="s">
        <v>73</v>
      </c>
      <c r="O1278" t="s">
        <v>11</v>
      </c>
      <c r="P1278">
        <v>6102</v>
      </c>
      <c r="Q1278">
        <v>480</v>
      </c>
      <c r="R1278">
        <v>3.65</v>
      </c>
      <c r="S1278" s="2">
        <v>1752</v>
      </c>
      <c r="T1278" s="2">
        <v>1478.4</v>
      </c>
      <c r="U1278">
        <v>15.62</v>
      </c>
      <c r="V1278" t="str">
        <f>VLOOKUP(L1278,'[2]tabela de preços'!$A:$D,4,0)</f>
        <v>3M</v>
      </c>
      <c r="W1278" t="str">
        <f>VLOOKUP(L1278,'[2]tabela de preços'!$A:$F,6,0)</f>
        <v>FITA AUTOMOTIVA</v>
      </c>
      <c r="X1278" t="str">
        <f>VLOOKUP(L1278,'[2]tabela de preços'!$A:$G,7,0)</f>
        <v>AUTOMOTIVO</v>
      </c>
    </row>
    <row r="1279" spans="1:24" x14ac:dyDescent="0.3">
      <c r="A1279" t="s">
        <v>712</v>
      </c>
      <c r="C1279" t="s">
        <v>718</v>
      </c>
      <c r="D1279" s="1">
        <v>46041</v>
      </c>
      <c r="E1279" t="s">
        <v>719</v>
      </c>
      <c r="F1279">
        <v>9</v>
      </c>
      <c r="G1279">
        <v>174</v>
      </c>
      <c r="H1279" t="str">
        <f>VLOOKUP(G1279,[1]OPERADORES!$A:$B,2,0)</f>
        <v>MIRIÃ LOBATO RODRIGUES</v>
      </c>
      <c r="I1279" t="s">
        <v>715</v>
      </c>
      <c r="J1279" t="s">
        <v>716</v>
      </c>
      <c r="K1279" t="s">
        <v>717</v>
      </c>
      <c r="L1279">
        <v>21077</v>
      </c>
      <c r="M1279" t="s">
        <v>207</v>
      </c>
      <c r="O1279" t="s">
        <v>11</v>
      </c>
      <c r="P1279">
        <v>6102</v>
      </c>
      <c r="Q1279">
        <v>18</v>
      </c>
      <c r="R1279">
        <v>44.68</v>
      </c>
      <c r="S1279">
        <v>804.24</v>
      </c>
      <c r="T1279">
        <v>610.55999999999995</v>
      </c>
      <c r="U1279">
        <v>24.08</v>
      </c>
      <c r="V1279" t="str">
        <f>VLOOKUP(L1279,'[2]tabela de preços'!$A:$D,4,0)</f>
        <v>SHERWIN WILLIAMS</v>
      </c>
      <c r="W1279" t="str">
        <f>VLOOKUP(L1279,'[2]tabela de preços'!$A:$F,6,0)</f>
        <v>MASSA POLIÉSTER</v>
      </c>
      <c r="X1279" t="str">
        <f>VLOOKUP(L1279,'[2]tabela de preços'!$A:$G,7,0)</f>
        <v>AUTOMOTIVO</v>
      </c>
    </row>
    <row r="1280" spans="1:24" x14ac:dyDescent="0.3">
      <c r="A1280" t="s">
        <v>712</v>
      </c>
      <c r="C1280" t="s">
        <v>718</v>
      </c>
      <c r="D1280" s="1">
        <v>46041</v>
      </c>
      <c r="E1280" t="s">
        <v>719</v>
      </c>
      <c r="F1280">
        <v>9</v>
      </c>
      <c r="G1280">
        <v>174</v>
      </c>
      <c r="H1280" t="str">
        <f>VLOOKUP(G1280,[1]OPERADORES!$A:$B,2,0)</f>
        <v>MIRIÃ LOBATO RODRIGUES</v>
      </c>
      <c r="I1280" t="s">
        <v>715</v>
      </c>
      <c r="J1280" t="s">
        <v>716</v>
      </c>
      <c r="K1280" t="s">
        <v>717</v>
      </c>
      <c r="L1280">
        <v>21078</v>
      </c>
      <c r="M1280" t="s">
        <v>141</v>
      </c>
      <c r="O1280" t="s">
        <v>11</v>
      </c>
      <c r="P1280">
        <v>6102</v>
      </c>
      <c r="Q1280">
        <v>12</v>
      </c>
      <c r="R1280">
        <v>22.89</v>
      </c>
      <c r="S1280">
        <v>274.68</v>
      </c>
      <c r="T1280">
        <v>223.92</v>
      </c>
      <c r="U1280">
        <v>18.48</v>
      </c>
      <c r="V1280" t="str">
        <f>VLOOKUP(L1280,'[2]tabela de preços'!$A:$D,4,0)</f>
        <v>SHERWIN WILLIAMS</v>
      </c>
      <c r="W1280" t="str">
        <f>VLOOKUP(L1280,'[2]tabela de preços'!$A:$F,6,0)</f>
        <v>MASSA POLIÉSTER</v>
      </c>
      <c r="X1280" t="str">
        <f>VLOOKUP(L1280,'[2]tabela de preços'!$A:$G,7,0)</f>
        <v>AUTOMOTIVO</v>
      </c>
    </row>
    <row r="1281" spans="1:24" x14ac:dyDescent="0.3">
      <c r="A1281" t="s">
        <v>712</v>
      </c>
      <c r="C1281" t="s">
        <v>718</v>
      </c>
      <c r="D1281" s="1">
        <v>46041</v>
      </c>
      <c r="E1281" t="s">
        <v>719</v>
      </c>
      <c r="F1281">
        <v>9</v>
      </c>
      <c r="G1281">
        <v>174</v>
      </c>
      <c r="H1281" t="str">
        <f>VLOOKUP(G1281,[1]OPERADORES!$A:$B,2,0)</f>
        <v>MIRIÃ LOBATO RODRIGUES</v>
      </c>
      <c r="I1281" t="s">
        <v>715</v>
      </c>
      <c r="J1281" t="s">
        <v>716</v>
      </c>
      <c r="K1281" t="s">
        <v>717</v>
      </c>
      <c r="L1281">
        <v>86984</v>
      </c>
      <c r="M1281" t="s">
        <v>720</v>
      </c>
      <c r="O1281" t="s">
        <v>11</v>
      </c>
      <c r="P1281">
        <v>6102</v>
      </c>
      <c r="Q1281">
        <v>5</v>
      </c>
      <c r="R1281">
        <v>44.9</v>
      </c>
      <c r="S1281">
        <v>224.5</v>
      </c>
      <c r="T1281">
        <v>186.05</v>
      </c>
      <c r="U1281">
        <v>17.13</v>
      </c>
      <c r="V1281" t="str">
        <f>VLOOKUP(L1281,'[2]tabela de preços'!$A:$D,4,0)</f>
        <v>ARPREX</v>
      </c>
      <c r="W1281" t="str">
        <f>VLOOKUP(L1281,'[2]tabela de preços'!$A:$F,6,0)</f>
        <v>PISTOLAS</v>
      </c>
      <c r="X1281" t="str">
        <f>VLOOKUP(L1281,'[2]tabela de preços'!$A:$G,7,0)</f>
        <v>IMOBILIÁRIO</v>
      </c>
    </row>
    <row r="1282" spans="1:24" x14ac:dyDescent="0.3">
      <c r="A1282" t="s">
        <v>712</v>
      </c>
      <c r="C1282" t="s">
        <v>718</v>
      </c>
      <c r="D1282" s="1">
        <v>46041</v>
      </c>
      <c r="E1282" t="s">
        <v>719</v>
      </c>
      <c r="F1282">
        <v>9</v>
      </c>
      <c r="G1282">
        <v>174</v>
      </c>
      <c r="H1282" t="str">
        <f>VLOOKUP(G1282,[1]OPERADORES!$A:$B,2,0)</f>
        <v>MIRIÃ LOBATO RODRIGUES</v>
      </c>
      <c r="I1282" t="s">
        <v>715</v>
      </c>
      <c r="J1282" t="s">
        <v>716</v>
      </c>
      <c r="K1282" t="s">
        <v>717</v>
      </c>
      <c r="L1282">
        <v>20399</v>
      </c>
      <c r="M1282" t="s">
        <v>465</v>
      </c>
      <c r="O1282" t="s">
        <v>11</v>
      </c>
      <c r="P1282">
        <v>6403</v>
      </c>
      <c r="Q1282">
        <v>12</v>
      </c>
      <c r="R1282">
        <v>35.26</v>
      </c>
      <c r="S1282">
        <v>423.12</v>
      </c>
      <c r="T1282">
        <v>321.36</v>
      </c>
      <c r="U1282">
        <v>24.05</v>
      </c>
      <c r="V1282" t="str">
        <f>VLOOKUP(L1282,'[2]tabela de preços'!$A:$D,4,0)</f>
        <v>SHERWIN WILLIAMS</v>
      </c>
      <c r="W1282" t="str">
        <f>VLOOKUP(L1282,'[2]tabela de preços'!$A:$F,6,0)</f>
        <v>VERNIZ AUTOMOTIVO</v>
      </c>
      <c r="X1282" t="str">
        <f>VLOOKUP(L1282,'[2]tabela de preços'!$A:$G,7,0)</f>
        <v>AUTOMOTIVO</v>
      </c>
    </row>
    <row r="1283" spans="1:24" x14ac:dyDescent="0.3">
      <c r="A1283" t="s">
        <v>727</v>
      </c>
      <c r="C1283" t="s">
        <v>741</v>
      </c>
      <c r="D1283" s="1">
        <v>46041</v>
      </c>
      <c r="E1283" t="s">
        <v>742</v>
      </c>
      <c r="F1283">
        <v>9</v>
      </c>
      <c r="G1283">
        <v>231</v>
      </c>
      <c r="H1283" t="str">
        <f>VLOOKUP(G1283,[1]OPERADORES!$A:$B,2,0)</f>
        <v>EDIJANE</v>
      </c>
      <c r="I1283" t="s">
        <v>21</v>
      </c>
      <c r="J1283" t="s">
        <v>730</v>
      </c>
      <c r="K1283" t="s">
        <v>731</v>
      </c>
      <c r="L1283">
        <v>84324</v>
      </c>
      <c r="M1283" t="s">
        <v>359</v>
      </c>
      <c r="O1283" t="s">
        <v>11</v>
      </c>
      <c r="P1283">
        <v>5403</v>
      </c>
      <c r="Q1283">
        <v>4</v>
      </c>
      <c r="R1283">
        <v>91.84</v>
      </c>
      <c r="S1283">
        <v>367.36</v>
      </c>
      <c r="T1283">
        <v>278.83999999999997</v>
      </c>
      <c r="U1283">
        <v>24.1</v>
      </c>
      <c r="V1283" t="str">
        <f>VLOOKUP(L1283,'[2]tabela de preços'!$A:$D,4,0)</f>
        <v>BRASILUX</v>
      </c>
      <c r="W1283" t="str">
        <f>VLOOKUP(L1283,'[2]tabela de preços'!$A:$F,6,0)</f>
        <v>ESMALTES</v>
      </c>
      <c r="X1283" t="str">
        <f>VLOOKUP(L1283,'[2]tabela de preços'!$A:$G,7,0)</f>
        <v>INDUSTRIAL</v>
      </c>
    </row>
    <row r="1284" spans="1:24" x14ac:dyDescent="0.3">
      <c r="A1284" t="s">
        <v>727</v>
      </c>
      <c r="C1284" t="s">
        <v>741</v>
      </c>
      <c r="D1284" s="1">
        <v>46041</v>
      </c>
      <c r="E1284" t="s">
        <v>742</v>
      </c>
      <c r="F1284">
        <v>9</v>
      </c>
      <c r="G1284">
        <v>231</v>
      </c>
      <c r="H1284" t="str">
        <f>VLOOKUP(G1284,[1]OPERADORES!$A:$B,2,0)</f>
        <v>EDIJANE</v>
      </c>
      <c r="I1284" t="s">
        <v>21</v>
      </c>
      <c r="J1284" t="s">
        <v>730</v>
      </c>
      <c r="K1284" t="s">
        <v>731</v>
      </c>
      <c r="L1284">
        <v>84560</v>
      </c>
      <c r="M1284" t="s">
        <v>118</v>
      </c>
      <c r="O1284" t="s">
        <v>11</v>
      </c>
      <c r="P1284">
        <v>5102</v>
      </c>
      <c r="Q1284">
        <v>24</v>
      </c>
      <c r="R1284">
        <v>47.89</v>
      </c>
      <c r="S1284" s="2">
        <v>1149.3599999999999</v>
      </c>
      <c r="T1284">
        <v>939.84</v>
      </c>
      <c r="U1284">
        <v>18.23</v>
      </c>
      <c r="V1284" t="str">
        <f>VLOOKUP(L1284,'[2]tabela de preços'!$A:$D,4,0)</f>
        <v>BRASILUX</v>
      </c>
      <c r="W1284" t="str">
        <f>VLOOKUP(L1284,'[2]tabela de preços'!$A:$F,6,0)</f>
        <v>THINNER DE LIMPEZA</v>
      </c>
      <c r="X1284" t="str">
        <f>VLOOKUP(L1284,'[2]tabela de preços'!$A:$G,7,0)</f>
        <v>THINNER</v>
      </c>
    </row>
    <row r="1285" spans="1:24" x14ac:dyDescent="0.3">
      <c r="A1285" t="s">
        <v>747</v>
      </c>
      <c r="C1285" t="s">
        <v>748</v>
      </c>
      <c r="D1285" s="1">
        <v>46041</v>
      </c>
      <c r="E1285" t="s">
        <v>749</v>
      </c>
      <c r="F1285">
        <v>9</v>
      </c>
      <c r="G1285">
        <v>197</v>
      </c>
      <c r="H1285" t="str">
        <f>VLOOKUP(G1285,[1]OPERADORES!$A:$B,2,0)</f>
        <v xml:space="preserve">POLIANA LORRANE DE AMORIM </v>
      </c>
      <c r="I1285" t="s">
        <v>21</v>
      </c>
      <c r="J1285" t="s">
        <v>750</v>
      </c>
      <c r="K1285" t="s">
        <v>751</v>
      </c>
      <c r="L1285">
        <v>84338</v>
      </c>
      <c r="M1285" t="s">
        <v>752</v>
      </c>
      <c r="O1285" t="s">
        <v>11</v>
      </c>
      <c r="P1285">
        <v>5403</v>
      </c>
      <c r="Q1285">
        <v>4</v>
      </c>
      <c r="R1285">
        <v>59.98</v>
      </c>
      <c r="S1285">
        <v>239.92</v>
      </c>
      <c r="T1285">
        <v>208</v>
      </c>
      <c r="U1285">
        <v>13.3</v>
      </c>
      <c r="V1285" t="str">
        <f>VLOOKUP(L1285,'[2]tabela de preços'!$A:$D,4,0)</f>
        <v>BRASILUX</v>
      </c>
      <c r="W1285" t="str">
        <f>VLOOKUP(L1285,'[2]tabela de preços'!$A:$F,6,0)</f>
        <v>ESMALTES</v>
      </c>
      <c r="X1285" t="str">
        <f>VLOOKUP(L1285,'[2]tabela de preços'!$A:$G,7,0)</f>
        <v>INDUSTRIAL</v>
      </c>
    </row>
    <row r="1286" spans="1:24" x14ac:dyDescent="0.3">
      <c r="A1286" t="s">
        <v>747</v>
      </c>
      <c r="C1286" t="s">
        <v>748</v>
      </c>
      <c r="D1286" s="1">
        <v>46041</v>
      </c>
      <c r="E1286" t="s">
        <v>749</v>
      </c>
      <c r="F1286">
        <v>9</v>
      </c>
      <c r="G1286">
        <v>197</v>
      </c>
      <c r="H1286" t="str">
        <f>VLOOKUP(G1286,[1]OPERADORES!$A:$B,2,0)</f>
        <v xml:space="preserve">POLIANA LORRANE DE AMORIM </v>
      </c>
      <c r="I1286" t="s">
        <v>21</v>
      </c>
      <c r="J1286" t="s">
        <v>750</v>
      </c>
      <c r="K1286" t="s">
        <v>751</v>
      </c>
      <c r="L1286">
        <v>86842</v>
      </c>
      <c r="M1286" t="s">
        <v>753</v>
      </c>
      <c r="O1286" t="s">
        <v>11</v>
      </c>
      <c r="P1286">
        <v>5102</v>
      </c>
      <c r="Q1286">
        <v>5</v>
      </c>
      <c r="R1286">
        <v>149.9</v>
      </c>
      <c r="S1286">
        <v>749.5</v>
      </c>
      <c r="T1286">
        <v>628.4</v>
      </c>
      <c r="U1286">
        <v>16.16</v>
      </c>
      <c r="V1286" t="str">
        <f>VLOOKUP(L1286,'[2]tabela de preços'!$A:$D,4,0)</f>
        <v>MACTRA</v>
      </c>
      <c r="W1286" t="str">
        <f>VLOOKUP(L1286,'[2]tabela de preços'!$A:$F,6,0)</f>
        <v>IMPERMEABILIZANTES</v>
      </c>
      <c r="X1286" t="str">
        <f>VLOOKUP(L1286,'[2]tabela de preços'!$A:$G,7,0)</f>
        <v>IMOBILIÁRIO</v>
      </c>
    </row>
    <row r="1287" spans="1:24" x14ac:dyDescent="0.3">
      <c r="A1287" t="s">
        <v>747</v>
      </c>
      <c r="C1287" t="s">
        <v>748</v>
      </c>
      <c r="D1287" s="1">
        <v>46041</v>
      </c>
      <c r="E1287" t="s">
        <v>749</v>
      </c>
      <c r="F1287">
        <v>9</v>
      </c>
      <c r="G1287">
        <v>197</v>
      </c>
      <c r="H1287" t="str">
        <f>VLOOKUP(G1287,[1]OPERADORES!$A:$B,2,0)</f>
        <v xml:space="preserve">POLIANA LORRANE DE AMORIM </v>
      </c>
      <c r="I1287" t="s">
        <v>21</v>
      </c>
      <c r="J1287" t="s">
        <v>750</v>
      </c>
      <c r="K1287" t="s">
        <v>751</v>
      </c>
      <c r="L1287">
        <v>84046</v>
      </c>
      <c r="M1287" t="s">
        <v>754</v>
      </c>
      <c r="O1287" t="s">
        <v>11</v>
      </c>
      <c r="P1287">
        <v>5102</v>
      </c>
      <c r="Q1287">
        <v>1</v>
      </c>
      <c r="R1287">
        <v>11.84</v>
      </c>
      <c r="S1287">
        <v>11.84</v>
      </c>
      <c r="T1287">
        <v>8.99</v>
      </c>
      <c r="U1287">
        <v>24.07</v>
      </c>
      <c r="V1287" t="str">
        <f>VLOOKUP(L1287,'[2]tabela de preços'!$A:$D,4,0)</f>
        <v>BRASILUX</v>
      </c>
      <c r="W1287" t="str">
        <f>VLOOKUP(L1287,'[2]tabela de preços'!$A:$F,6,0)</f>
        <v>MASSA DE POLIR</v>
      </c>
      <c r="X1287" t="str">
        <f>VLOOKUP(L1287,'[2]tabela de preços'!$A:$G,7,0)</f>
        <v>AUTOMOTIVO</v>
      </c>
    </row>
    <row r="1288" spans="1:24" x14ac:dyDescent="0.3">
      <c r="A1288" t="s">
        <v>747</v>
      </c>
      <c r="C1288" t="s">
        <v>748</v>
      </c>
      <c r="D1288" s="1">
        <v>46041</v>
      </c>
      <c r="E1288" t="s">
        <v>749</v>
      </c>
      <c r="F1288">
        <v>9</v>
      </c>
      <c r="G1288">
        <v>197</v>
      </c>
      <c r="H1288" t="str">
        <f>VLOOKUP(G1288,[1]OPERADORES!$A:$B,2,0)</f>
        <v xml:space="preserve">POLIANA LORRANE DE AMORIM </v>
      </c>
      <c r="I1288" t="s">
        <v>21</v>
      </c>
      <c r="J1288" t="s">
        <v>750</v>
      </c>
      <c r="K1288" t="s">
        <v>751</v>
      </c>
      <c r="L1288">
        <v>85415</v>
      </c>
      <c r="M1288" t="s">
        <v>755</v>
      </c>
      <c r="O1288" t="s">
        <v>11</v>
      </c>
      <c r="P1288">
        <v>5102</v>
      </c>
      <c r="Q1288">
        <v>6</v>
      </c>
      <c r="R1288">
        <v>8.9</v>
      </c>
      <c r="S1288">
        <v>53.4</v>
      </c>
      <c r="T1288">
        <v>43.92</v>
      </c>
      <c r="U1288">
        <v>17.75</v>
      </c>
      <c r="V1288" t="str">
        <f>VLOOKUP(L1288,'[2]tabela de preços'!$A:$D,4,0)</f>
        <v>IBERÊ</v>
      </c>
      <c r="W1288" t="str">
        <f>VLOOKUP(L1288,'[2]tabela de preços'!$A:$F,6,0)</f>
        <v xml:space="preserve">COLA  PLÁSTICA </v>
      </c>
      <c r="X1288" t="str">
        <f>VLOOKUP(L1288,'[2]tabela de preços'!$A:$G,7,0)</f>
        <v>AUTOMOTIVO</v>
      </c>
    </row>
    <row r="1289" spans="1:24" x14ac:dyDescent="0.3">
      <c r="A1289" t="s">
        <v>747</v>
      </c>
      <c r="C1289" t="s">
        <v>748</v>
      </c>
      <c r="D1289" s="1">
        <v>46041</v>
      </c>
      <c r="E1289" t="s">
        <v>749</v>
      </c>
      <c r="F1289">
        <v>9</v>
      </c>
      <c r="G1289">
        <v>197</v>
      </c>
      <c r="H1289" t="str">
        <f>VLOOKUP(G1289,[1]OPERADORES!$A:$B,2,0)</f>
        <v xml:space="preserve">POLIANA LORRANE DE AMORIM </v>
      </c>
      <c r="I1289" t="s">
        <v>21</v>
      </c>
      <c r="J1289" t="s">
        <v>750</v>
      </c>
      <c r="K1289" t="s">
        <v>751</v>
      </c>
      <c r="L1289">
        <v>85416</v>
      </c>
      <c r="M1289" t="s">
        <v>756</v>
      </c>
      <c r="O1289" t="s">
        <v>11</v>
      </c>
      <c r="P1289">
        <v>5102</v>
      </c>
      <c r="Q1289">
        <v>6</v>
      </c>
      <c r="R1289">
        <v>8.9</v>
      </c>
      <c r="S1289">
        <v>53.4</v>
      </c>
      <c r="T1289">
        <v>43.92</v>
      </c>
      <c r="U1289">
        <v>17.75</v>
      </c>
      <c r="V1289" t="str">
        <f>VLOOKUP(L1289,'[2]tabela de preços'!$A:$D,4,0)</f>
        <v>IBERÊ</v>
      </c>
      <c r="W1289" t="str">
        <f>VLOOKUP(L1289,'[2]tabela de preços'!$A:$F,6,0)</f>
        <v xml:space="preserve">COLA  PLÁSTICA </v>
      </c>
      <c r="X1289" t="str">
        <f>VLOOKUP(L1289,'[2]tabela de preços'!$A:$G,7,0)</f>
        <v>AUTOMOTIVO</v>
      </c>
    </row>
    <row r="1290" spans="1:24" x14ac:dyDescent="0.3">
      <c r="A1290" t="s">
        <v>846</v>
      </c>
      <c r="C1290" t="s">
        <v>847</v>
      </c>
      <c r="D1290" s="1">
        <v>46041</v>
      </c>
      <c r="E1290" t="s">
        <v>848</v>
      </c>
      <c r="F1290">
        <v>9</v>
      </c>
      <c r="G1290">
        <v>174</v>
      </c>
      <c r="H1290" t="str">
        <f>VLOOKUP(G1290,[1]OPERADORES!$A:$B,2,0)</f>
        <v>MIRIÃ LOBATO RODRIGUES</v>
      </c>
      <c r="I1290" t="s">
        <v>21</v>
      </c>
      <c r="J1290" t="s">
        <v>339</v>
      </c>
      <c r="K1290" t="s">
        <v>849</v>
      </c>
      <c r="L1290">
        <v>85271</v>
      </c>
      <c r="M1290" t="s">
        <v>850</v>
      </c>
      <c r="O1290" t="s">
        <v>11</v>
      </c>
      <c r="P1290">
        <v>5403</v>
      </c>
      <c r="Q1290">
        <v>5</v>
      </c>
      <c r="R1290">
        <v>148.80000000000001</v>
      </c>
      <c r="S1290">
        <v>744</v>
      </c>
      <c r="T1290">
        <v>564.70000000000005</v>
      </c>
      <c r="U1290">
        <v>24.1</v>
      </c>
      <c r="V1290" t="str">
        <f>VLOOKUP(L1290,'[2]tabela de preços'!$A:$D,4,0)</f>
        <v>BRASILUX</v>
      </c>
      <c r="W1290" t="str">
        <f>VLOOKUP(L1290,'[2]tabela de preços'!$A:$F,6,0)</f>
        <v>TINTA PARA PISO</v>
      </c>
      <c r="X1290" t="str">
        <f>VLOOKUP(L1290,'[2]tabela de preços'!$A:$G,7,0)</f>
        <v>IMOBILIÁRIO</v>
      </c>
    </row>
    <row r="1291" spans="1:24" x14ac:dyDescent="0.3">
      <c r="A1291" t="s">
        <v>846</v>
      </c>
      <c r="C1291" t="s">
        <v>847</v>
      </c>
      <c r="D1291" s="1">
        <v>46041</v>
      </c>
      <c r="E1291" t="s">
        <v>848</v>
      </c>
      <c r="F1291">
        <v>9</v>
      </c>
      <c r="G1291">
        <v>174</v>
      </c>
      <c r="H1291" t="str">
        <f>VLOOKUP(G1291,[1]OPERADORES!$A:$B,2,0)</f>
        <v>MIRIÃ LOBATO RODRIGUES</v>
      </c>
      <c r="I1291" t="s">
        <v>21</v>
      </c>
      <c r="J1291" t="s">
        <v>339</v>
      </c>
      <c r="K1291" t="s">
        <v>849</v>
      </c>
      <c r="L1291">
        <v>24241</v>
      </c>
      <c r="M1291" t="s">
        <v>233</v>
      </c>
      <c r="O1291" t="s">
        <v>11</v>
      </c>
      <c r="P1291">
        <v>5102</v>
      </c>
      <c r="Q1291">
        <v>20</v>
      </c>
      <c r="R1291">
        <v>12.2</v>
      </c>
      <c r="S1291">
        <v>244</v>
      </c>
      <c r="T1291">
        <v>185.2</v>
      </c>
      <c r="U1291">
        <v>24.1</v>
      </c>
      <c r="V1291" t="str">
        <f>VLOOKUP(L1291,'[2]tabela de preços'!$A:$D,4,0)</f>
        <v>ADERE</v>
      </c>
      <c r="W1291" t="str">
        <f>VLOOKUP(L1291,'[2]tabela de preços'!$A:$F,6,0)</f>
        <v>FITA AUTOMOTIVA</v>
      </c>
      <c r="X1291" t="str">
        <f>VLOOKUP(L1291,'[2]tabela de preços'!$A:$G,7,0)</f>
        <v>AUTOMOTIVO</v>
      </c>
    </row>
    <row r="1292" spans="1:24" x14ac:dyDescent="0.3">
      <c r="A1292" t="s">
        <v>846</v>
      </c>
      <c r="C1292" t="s">
        <v>847</v>
      </c>
      <c r="D1292" s="1">
        <v>46041</v>
      </c>
      <c r="E1292" t="s">
        <v>848</v>
      </c>
      <c r="F1292">
        <v>9</v>
      </c>
      <c r="G1292">
        <v>174</v>
      </c>
      <c r="H1292" t="str">
        <f>VLOOKUP(G1292,[1]OPERADORES!$A:$B,2,0)</f>
        <v>MIRIÃ LOBATO RODRIGUES</v>
      </c>
      <c r="I1292" t="s">
        <v>21</v>
      </c>
      <c r="J1292" t="s">
        <v>339</v>
      </c>
      <c r="K1292" t="s">
        <v>849</v>
      </c>
      <c r="L1292">
        <v>86995</v>
      </c>
      <c r="M1292" t="s">
        <v>37</v>
      </c>
      <c r="O1292" t="s">
        <v>11</v>
      </c>
      <c r="P1292">
        <v>5102</v>
      </c>
      <c r="Q1292">
        <v>20</v>
      </c>
      <c r="R1292">
        <v>7.29</v>
      </c>
      <c r="S1292">
        <v>145.80000000000001</v>
      </c>
      <c r="T1292">
        <v>116.6</v>
      </c>
      <c r="U1292">
        <v>20.03</v>
      </c>
      <c r="V1292" t="str">
        <f>VLOOKUP(L1292,'[2]tabela de preços'!$A:$D,4,0)</f>
        <v>AUTOAMERICA</v>
      </c>
      <c r="W1292" t="str">
        <f>VLOOKUP(L1292,'[2]tabela de preços'!$A:$F,6,0)</f>
        <v>FLANELAS / PANOS</v>
      </c>
      <c r="X1292" t="str">
        <f>VLOOKUP(L1292,'[2]tabela de preços'!$A:$G,7,0)</f>
        <v>AUTOMOTIVO</v>
      </c>
    </row>
    <row r="1293" spans="1:24" x14ac:dyDescent="0.3">
      <c r="A1293" t="s">
        <v>846</v>
      </c>
      <c r="C1293" t="s">
        <v>847</v>
      </c>
      <c r="D1293" s="1">
        <v>46041</v>
      </c>
      <c r="E1293" t="s">
        <v>848</v>
      </c>
      <c r="F1293">
        <v>9</v>
      </c>
      <c r="G1293">
        <v>174</v>
      </c>
      <c r="H1293" t="str">
        <f>VLOOKUP(G1293,[1]OPERADORES!$A:$B,2,0)</f>
        <v>MIRIÃ LOBATO RODRIGUES</v>
      </c>
      <c r="I1293" t="s">
        <v>21</v>
      </c>
      <c r="J1293" t="s">
        <v>339</v>
      </c>
      <c r="K1293" t="s">
        <v>849</v>
      </c>
      <c r="L1293">
        <v>23878</v>
      </c>
      <c r="M1293" t="s">
        <v>851</v>
      </c>
      <c r="O1293" t="s">
        <v>11</v>
      </c>
      <c r="P1293">
        <v>5102</v>
      </c>
      <c r="Q1293">
        <v>10</v>
      </c>
      <c r="R1293">
        <v>8.41</v>
      </c>
      <c r="S1293">
        <v>84.1</v>
      </c>
      <c r="T1293">
        <v>63.8</v>
      </c>
      <c r="U1293">
        <v>24.14</v>
      </c>
      <c r="V1293" t="str">
        <f>VLOOKUP(L1293,'[2]tabela de preços'!$A:$D,4,0)</f>
        <v>ATLAS</v>
      </c>
      <c r="W1293" t="str">
        <f>VLOOKUP(L1293,'[2]tabela de preços'!$A:$F,6,0)</f>
        <v>ROLOS / TRINCHAS / PINCÉIS / ESPÁTULAS</v>
      </c>
      <c r="X1293" t="str">
        <f>VLOOKUP(L1293,'[2]tabela de preços'!$A:$G,7,0)</f>
        <v>IMOBILIÁRIO</v>
      </c>
    </row>
    <row r="1294" spans="1:24" x14ac:dyDescent="0.3">
      <c r="A1294" t="s">
        <v>846</v>
      </c>
      <c r="C1294" t="s">
        <v>847</v>
      </c>
      <c r="D1294" s="1">
        <v>46041</v>
      </c>
      <c r="E1294" t="s">
        <v>848</v>
      </c>
      <c r="F1294">
        <v>9</v>
      </c>
      <c r="G1294">
        <v>174</v>
      </c>
      <c r="H1294" t="str">
        <f>VLOOKUP(G1294,[1]OPERADORES!$A:$B,2,0)</f>
        <v>MIRIÃ LOBATO RODRIGUES</v>
      </c>
      <c r="I1294" t="s">
        <v>21</v>
      </c>
      <c r="J1294" t="s">
        <v>339</v>
      </c>
      <c r="K1294" t="s">
        <v>849</v>
      </c>
      <c r="L1294">
        <v>84499</v>
      </c>
      <c r="M1294" t="s">
        <v>534</v>
      </c>
      <c r="O1294" t="s">
        <v>11</v>
      </c>
      <c r="P1294">
        <v>5102</v>
      </c>
      <c r="Q1294">
        <v>6</v>
      </c>
      <c r="R1294">
        <v>176.61</v>
      </c>
      <c r="S1294" s="2">
        <v>1059.6600000000001</v>
      </c>
      <c r="T1294">
        <v>804.3</v>
      </c>
      <c r="U1294">
        <v>24.1</v>
      </c>
      <c r="V1294" t="str">
        <f>VLOOKUP(L1294,'[2]tabela de preços'!$A:$D,4,0)</f>
        <v>BRASILUX</v>
      </c>
      <c r="W1294" t="str">
        <f>VLOOKUP(L1294,'[2]tabela de preços'!$A:$F,6,0)</f>
        <v>THINNER DE LIMPEZA</v>
      </c>
      <c r="X1294" t="str">
        <f>VLOOKUP(L1294,'[2]tabela de preços'!$A:$G,7,0)</f>
        <v>THINNER</v>
      </c>
    </row>
    <row r="1295" spans="1:24" x14ac:dyDescent="0.3">
      <c r="A1295" t="s">
        <v>846</v>
      </c>
      <c r="C1295" t="s">
        <v>847</v>
      </c>
      <c r="D1295" s="1">
        <v>46041</v>
      </c>
      <c r="E1295" t="s">
        <v>848</v>
      </c>
      <c r="F1295">
        <v>9</v>
      </c>
      <c r="G1295">
        <v>174</v>
      </c>
      <c r="H1295" t="str">
        <f>VLOOKUP(G1295,[1]OPERADORES!$A:$B,2,0)</f>
        <v>MIRIÃ LOBATO RODRIGUES</v>
      </c>
      <c r="I1295" t="s">
        <v>21</v>
      </c>
      <c r="J1295" t="s">
        <v>339</v>
      </c>
      <c r="K1295" t="s">
        <v>849</v>
      </c>
      <c r="L1295">
        <v>84897</v>
      </c>
      <c r="M1295" t="s">
        <v>852</v>
      </c>
      <c r="O1295" t="s">
        <v>11</v>
      </c>
      <c r="P1295">
        <v>5403</v>
      </c>
      <c r="Q1295">
        <v>5</v>
      </c>
      <c r="R1295">
        <v>230.87</v>
      </c>
      <c r="S1295" s="2">
        <v>1154.3499999999999</v>
      </c>
      <c r="T1295">
        <v>876.15</v>
      </c>
      <c r="U1295">
        <v>24.1</v>
      </c>
      <c r="V1295" t="str">
        <f>VLOOKUP(L1295,'[2]tabela de preços'!$A:$D,4,0)</f>
        <v>BRASILUX</v>
      </c>
      <c r="W1295" t="str">
        <f>VLOOKUP(L1295,'[2]tabela de preços'!$A:$F,6,0)</f>
        <v>EPOXI</v>
      </c>
      <c r="X1295" t="str">
        <f>VLOOKUP(L1295,'[2]tabela de preços'!$A:$G,7,0)</f>
        <v>INDUSTRIAL</v>
      </c>
    </row>
    <row r="1296" spans="1:24" x14ac:dyDescent="0.3">
      <c r="A1296" t="s">
        <v>846</v>
      </c>
      <c r="C1296" t="s">
        <v>847</v>
      </c>
      <c r="D1296" s="1">
        <v>46041</v>
      </c>
      <c r="E1296" t="s">
        <v>848</v>
      </c>
      <c r="F1296">
        <v>9</v>
      </c>
      <c r="G1296">
        <v>174</v>
      </c>
      <c r="H1296" t="str">
        <f>VLOOKUP(G1296,[1]OPERADORES!$A:$B,2,0)</f>
        <v>MIRIÃ LOBATO RODRIGUES</v>
      </c>
      <c r="I1296" t="s">
        <v>21</v>
      </c>
      <c r="J1296" t="s">
        <v>339</v>
      </c>
      <c r="K1296" t="s">
        <v>849</v>
      </c>
      <c r="L1296">
        <v>84898</v>
      </c>
      <c r="M1296" t="s">
        <v>853</v>
      </c>
      <c r="O1296" t="s">
        <v>11</v>
      </c>
      <c r="P1296">
        <v>5403</v>
      </c>
      <c r="Q1296">
        <v>12</v>
      </c>
      <c r="R1296">
        <v>209.03</v>
      </c>
      <c r="S1296" s="2">
        <v>2508.36</v>
      </c>
      <c r="T1296" s="2">
        <v>1903.92</v>
      </c>
      <c r="U1296">
        <v>24.1</v>
      </c>
      <c r="V1296" t="str">
        <f>VLOOKUP(L1296,'[2]tabela de preços'!$A:$D,4,0)</f>
        <v>BRASILUX</v>
      </c>
      <c r="W1296" t="str">
        <f>VLOOKUP(L1296,'[2]tabela de preços'!$A:$F,6,0)</f>
        <v>EPOXI</v>
      </c>
      <c r="X1296" t="str">
        <f>VLOOKUP(L1296,'[2]tabela de preços'!$A:$G,7,0)</f>
        <v>INDUSTRIAL</v>
      </c>
    </row>
    <row r="1297" spans="1:24" x14ac:dyDescent="0.3">
      <c r="A1297" t="s">
        <v>846</v>
      </c>
      <c r="C1297" t="s">
        <v>847</v>
      </c>
      <c r="D1297" s="1">
        <v>46041</v>
      </c>
      <c r="E1297" t="s">
        <v>848</v>
      </c>
      <c r="F1297">
        <v>9</v>
      </c>
      <c r="G1297">
        <v>174</v>
      </c>
      <c r="H1297" t="str">
        <f>VLOOKUP(G1297,[1]OPERADORES!$A:$B,2,0)</f>
        <v>MIRIÃ LOBATO RODRIGUES</v>
      </c>
      <c r="I1297" t="s">
        <v>21</v>
      </c>
      <c r="J1297" t="s">
        <v>339</v>
      </c>
      <c r="K1297" t="s">
        <v>849</v>
      </c>
      <c r="L1297">
        <v>84899</v>
      </c>
      <c r="M1297" t="s">
        <v>854</v>
      </c>
      <c r="O1297" t="s">
        <v>11</v>
      </c>
      <c r="P1297">
        <v>5403</v>
      </c>
      <c r="Q1297">
        <v>1</v>
      </c>
      <c r="R1297">
        <v>169.39</v>
      </c>
      <c r="S1297">
        <v>169.39</v>
      </c>
      <c r="T1297">
        <v>128.57</v>
      </c>
      <c r="U1297">
        <v>24.1</v>
      </c>
      <c r="V1297" t="str">
        <f>VLOOKUP(L1297,'[2]tabela de preços'!$A:$D,4,0)</f>
        <v>BRASILUX</v>
      </c>
      <c r="W1297" t="str">
        <f>VLOOKUP(L1297,'[2]tabela de preços'!$A:$F,6,0)</f>
        <v>EPOXI</v>
      </c>
      <c r="X1297" t="str">
        <f>VLOOKUP(L1297,'[2]tabela de preços'!$A:$G,7,0)</f>
        <v>INDUSTRIAL</v>
      </c>
    </row>
    <row r="1298" spans="1:24" x14ac:dyDescent="0.3">
      <c r="A1298" t="s">
        <v>846</v>
      </c>
      <c r="C1298" t="s">
        <v>847</v>
      </c>
      <c r="D1298" s="1">
        <v>46041</v>
      </c>
      <c r="E1298" t="s">
        <v>848</v>
      </c>
      <c r="F1298">
        <v>9</v>
      </c>
      <c r="G1298">
        <v>174</v>
      </c>
      <c r="H1298" t="str">
        <f>VLOOKUP(G1298,[1]OPERADORES!$A:$B,2,0)</f>
        <v>MIRIÃ LOBATO RODRIGUES</v>
      </c>
      <c r="I1298" t="s">
        <v>21</v>
      </c>
      <c r="J1298" t="s">
        <v>339</v>
      </c>
      <c r="K1298" t="s">
        <v>849</v>
      </c>
      <c r="L1298">
        <v>84902</v>
      </c>
      <c r="M1298" t="s">
        <v>855</v>
      </c>
      <c r="O1298" t="s">
        <v>11</v>
      </c>
      <c r="P1298">
        <v>5403</v>
      </c>
      <c r="Q1298">
        <v>11</v>
      </c>
      <c r="R1298">
        <v>264.45</v>
      </c>
      <c r="S1298" s="2">
        <v>2908.95</v>
      </c>
      <c r="T1298" s="2">
        <v>2207.92</v>
      </c>
      <c r="U1298">
        <v>24.1</v>
      </c>
      <c r="V1298" t="str">
        <f>VLOOKUP(L1298,'[2]tabela de preços'!$A:$D,4,0)</f>
        <v>BRASILUX</v>
      </c>
      <c r="W1298" t="str">
        <f>VLOOKUP(L1298,'[2]tabela de preços'!$A:$F,6,0)</f>
        <v>EPOXI</v>
      </c>
      <c r="X1298" t="str">
        <f>VLOOKUP(L1298,'[2]tabela de preços'!$A:$G,7,0)</f>
        <v>INDUSTRIAL</v>
      </c>
    </row>
    <row r="1299" spans="1:24" x14ac:dyDescent="0.3">
      <c r="A1299" t="s">
        <v>868</v>
      </c>
      <c r="B1299" t="s">
        <v>869</v>
      </c>
      <c r="C1299" t="s">
        <v>883</v>
      </c>
      <c r="D1299" s="1">
        <v>46041</v>
      </c>
      <c r="E1299" t="s">
        <v>884</v>
      </c>
      <c r="F1299">
        <v>9</v>
      </c>
      <c r="G1299">
        <v>197</v>
      </c>
      <c r="H1299" t="str">
        <f>VLOOKUP(G1299,[1]OPERADORES!$A:$B,2,0)</f>
        <v xml:space="preserve">POLIANA LORRANE DE AMORIM </v>
      </c>
      <c r="I1299" t="s">
        <v>21</v>
      </c>
      <c r="J1299" t="s">
        <v>872</v>
      </c>
      <c r="K1299" t="s">
        <v>873</v>
      </c>
      <c r="L1299">
        <v>84112</v>
      </c>
      <c r="M1299" t="s">
        <v>885</v>
      </c>
      <c r="O1299" t="s">
        <v>11</v>
      </c>
      <c r="P1299">
        <v>5403</v>
      </c>
      <c r="Q1299">
        <v>2</v>
      </c>
      <c r="R1299">
        <v>163.04</v>
      </c>
      <c r="S1299">
        <v>326.08</v>
      </c>
      <c r="T1299">
        <v>233.76</v>
      </c>
      <c r="U1299">
        <v>28.31</v>
      </c>
      <c r="V1299" t="str">
        <f>VLOOKUP(L1299,'[2]tabela de preços'!$A:$D,4,0)</f>
        <v>BRASILUX</v>
      </c>
      <c r="W1299" t="str">
        <f>VLOOKUP(L1299,'[2]tabela de preços'!$A:$F,6,0)</f>
        <v>EPOXI</v>
      </c>
      <c r="X1299" t="str">
        <f>VLOOKUP(L1299,'[2]tabela de preços'!$A:$G,7,0)</f>
        <v>INDUSTRIAL</v>
      </c>
    </row>
    <row r="1300" spans="1:24" x14ac:dyDescent="0.3">
      <c r="A1300" t="s">
        <v>868</v>
      </c>
      <c r="B1300" t="s">
        <v>869</v>
      </c>
      <c r="C1300" t="s">
        <v>883</v>
      </c>
      <c r="D1300" s="1">
        <v>46041</v>
      </c>
      <c r="E1300" t="s">
        <v>884</v>
      </c>
      <c r="F1300">
        <v>9</v>
      </c>
      <c r="G1300">
        <v>197</v>
      </c>
      <c r="H1300" t="str">
        <f>VLOOKUP(G1300,[1]OPERADORES!$A:$B,2,0)</f>
        <v xml:space="preserve">POLIANA LORRANE DE AMORIM </v>
      </c>
      <c r="I1300" t="s">
        <v>21</v>
      </c>
      <c r="J1300" t="s">
        <v>872</v>
      </c>
      <c r="K1300" t="s">
        <v>873</v>
      </c>
      <c r="L1300">
        <v>84115</v>
      </c>
      <c r="M1300" t="s">
        <v>886</v>
      </c>
      <c r="O1300" t="s">
        <v>11</v>
      </c>
      <c r="P1300">
        <v>5403</v>
      </c>
      <c r="Q1300">
        <v>1</v>
      </c>
      <c r="R1300">
        <v>163.04</v>
      </c>
      <c r="S1300">
        <v>163.04</v>
      </c>
      <c r="T1300">
        <v>116.88</v>
      </c>
      <c r="U1300">
        <v>28.31</v>
      </c>
      <c r="V1300" t="str">
        <f>VLOOKUP(L1300,'[2]tabela de preços'!$A:$D,4,0)</f>
        <v>BRASILUX</v>
      </c>
      <c r="W1300" t="str">
        <f>VLOOKUP(L1300,'[2]tabela de preços'!$A:$F,6,0)</f>
        <v>EPOXI</v>
      </c>
      <c r="X1300" t="str">
        <f>VLOOKUP(L1300,'[2]tabela de preços'!$A:$G,7,0)</f>
        <v>INDUSTRIAL</v>
      </c>
    </row>
    <row r="1301" spans="1:24" x14ac:dyDescent="0.3">
      <c r="A1301" t="s">
        <v>923</v>
      </c>
      <c r="C1301" t="s">
        <v>928</v>
      </c>
      <c r="D1301" s="1">
        <v>46041</v>
      </c>
      <c r="E1301" t="s">
        <v>929</v>
      </c>
      <c r="F1301">
        <v>9</v>
      </c>
      <c r="G1301">
        <v>236</v>
      </c>
      <c r="H1301" t="str">
        <f>VLOOKUP(G1301,[1]OPERADORES!$A:$B,2,0)</f>
        <v>DANIEL</v>
      </c>
      <c r="I1301" t="s">
        <v>21</v>
      </c>
      <c r="J1301" t="s">
        <v>211</v>
      </c>
      <c r="K1301" t="s">
        <v>926</v>
      </c>
      <c r="L1301">
        <v>24248</v>
      </c>
      <c r="M1301" t="s">
        <v>107</v>
      </c>
      <c r="O1301" t="s">
        <v>11</v>
      </c>
      <c r="P1301">
        <v>5102</v>
      </c>
      <c r="Q1301">
        <v>12</v>
      </c>
      <c r="R1301">
        <v>8</v>
      </c>
      <c r="S1301">
        <v>96</v>
      </c>
      <c r="T1301">
        <v>78</v>
      </c>
      <c r="U1301">
        <v>18.75</v>
      </c>
      <c r="V1301" t="str">
        <f>VLOOKUP(L1301,'[2]tabela de preços'!$A:$D,4,0)</f>
        <v>SHERWIN WILLIAMS</v>
      </c>
      <c r="W1301" t="str">
        <f>VLOOKUP(L1301,'[2]tabela de preços'!$A:$F,6,0)</f>
        <v>PRIMER AUTOMOTIVO</v>
      </c>
      <c r="X1301" t="str">
        <f>VLOOKUP(L1301,'[2]tabela de preços'!$A:$G,7,0)</f>
        <v>AUTOMOTIVO</v>
      </c>
    </row>
    <row r="1302" spans="1:24" x14ac:dyDescent="0.3">
      <c r="A1302" t="s">
        <v>923</v>
      </c>
      <c r="C1302" t="s">
        <v>928</v>
      </c>
      <c r="D1302" s="1">
        <v>46041</v>
      </c>
      <c r="E1302" t="s">
        <v>929</v>
      </c>
      <c r="F1302">
        <v>9</v>
      </c>
      <c r="G1302">
        <v>236</v>
      </c>
      <c r="H1302" t="str">
        <f>VLOOKUP(G1302,[1]OPERADORES!$A:$B,2,0)</f>
        <v>DANIEL</v>
      </c>
      <c r="I1302" t="s">
        <v>21</v>
      </c>
      <c r="J1302" t="s">
        <v>211</v>
      </c>
      <c r="K1302" t="s">
        <v>926</v>
      </c>
      <c r="L1302">
        <v>24247</v>
      </c>
      <c r="M1302" t="s">
        <v>111</v>
      </c>
      <c r="O1302" t="s">
        <v>11</v>
      </c>
      <c r="P1302">
        <v>5403</v>
      </c>
      <c r="Q1302">
        <v>12</v>
      </c>
      <c r="R1302">
        <v>21</v>
      </c>
      <c r="S1302">
        <v>252</v>
      </c>
      <c r="T1302">
        <v>202.44</v>
      </c>
      <c r="U1302">
        <v>19.670000000000002</v>
      </c>
      <c r="V1302" t="str">
        <f>VLOOKUP(L1302,'[2]tabela de preços'!$A:$D,4,0)</f>
        <v>SHERWIN WILLIAMS</v>
      </c>
      <c r="W1302" t="str">
        <f>VLOOKUP(L1302,'[2]tabela de preços'!$A:$F,6,0)</f>
        <v>PRIMER AUTOMOTIVO</v>
      </c>
      <c r="X1302" t="str">
        <f>VLOOKUP(L1302,'[2]tabela de preços'!$A:$G,7,0)</f>
        <v>AUTOMOTIVO</v>
      </c>
    </row>
    <row r="1303" spans="1:24" x14ac:dyDescent="0.3">
      <c r="A1303" t="s">
        <v>923</v>
      </c>
      <c r="C1303" t="s">
        <v>928</v>
      </c>
      <c r="D1303" s="1">
        <v>46041</v>
      </c>
      <c r="E1303" t="s">
        <v>929</v>
      </c>
      <c r="F1303">
        <v>9</v>
      </c>
      <c r="G1303">
        <v>236</v>
      </c>
      <c r="H1303" t="str">
        <f>VLOOKUP(G1303,[1]OPERADORES!$A:$B,2,0)</f>
        <v>DANIEL</v>
      </c>
      <c r="I1303" t="s">
        <v>21</v>
      </c>
      <c r="J1303" t="s">
        <v>211</v>
      </c>
      <c r="K1303" t="s">
        <v>926</v>
      </c>
      <c r="L1303">
        <v>20414</v>
      </c>
      <c r="M1303" t="s">
        <v>112</v>
      </c>
      <c r="O1303" t="s">
        <v>11</v>
      </c>
      <c r="P1303">
        <v>5102</v>
      </c>
      <c r="Q1303">
        <v>6</v>
      </c>
      <c r="R1303">
        <v>21.89</v>
      </c>
      <c r="S1303">
        <v>131.34</v>
      </c>
      <c r="T1303">
        <v>108</v>
      </c>
      <c r="U1303">
        <v>17.77</v>
      </c>
      <c r="V1303" t="str">
        <f>VLOOKUP(L1303,'[2]tabela de preços'!$A:$D,4,0)</f>
        <v>SHERWIN WILLIAMS</v>
      </c>
      <c r="W1303" t="str">
        <f>VLOOKUP(L1303,'[2]tabela de preços'!$A:$F,6,0)</f>
        <v>DILUENTE</v>
      </c>
      <c r="X1303" t="str">
        <f>VLOOKUP(L1303,'[2]tabela de preços'!$A:$G,7,0)</f>
        <v>AUTOMOTIVO</v>
      </c>
    </row>
    <row r="1304" spans="1:24" x14ac:dyDescent="0.3">
      <c r="A1304" t="s">
        <v>938</v>
      </c>
      <c r="C1304" t="s">
        <v>947</v>
      </c>
      <c r="D1304" s="1">
        <v>46041</v>
      </c>
      <c r="E1304" t="s">
        <v>948</v>
      </c>
      <c r="F1304">
        <v>9</v>
      </c>
      <c r="G1304">
        <v>197</v>
      </c>
      <c r="H1304" t="str">
        <f>VLOOKUP(G1304,[1]OPERADORES!$A:$B,2,0)</f>
        <v xml:space="preserve">POLIANA LORRANE DE AMORIM </v>
      </c>
      <c r="I1304" t="s">
        <v>21</v>
      </c>
      <c r="J1304" t="s">
        <v>424</v>
      </c>
      <c r="K1304" t="s">
        <v>941</v>
      </c>
      <c r="L1304">
        <v>84815</v>
      </c>
      <c r="M1304" t="s">
        <v>949</v>
      </c>
      <c r="O1304" t="s">
        <v>11</v>
      </c>
      <c r="P1304">
        <v>5403</v>
      </c>
      <c r="Q1304">
        <v>20</v>
      </c>
      <c r="R1304">
        <v>33.49</v>
      </c>
      <c r="S1304">
        <v>669.8</v>
      </c>
      <c r="T1304">
        <v>491</v>
      </c>
      <c r="U1304">
        <v>26.69</v>
      </c>
      <c r="V1304" t="str">
        <f>VLOOKUP(L1304,'[2]tabela de preços'!$A:$D,4,0)</f>
        <v>BRASILUX</v>
      </c>
      <c r="W1304" t="str">
        <f>VLOOKUP(L1304,'[2]tabela de preços'!$A:$F,6,0)</f>
        <v>KIT BRASCORTEN</v>
      </c>
      <c r="X1304" t="str">
        <f>VLOOKUP(L1304,'[2]tabela de preços'!$A:$G,7,0)</f>
        <v>IMOBILIÁRIO</v>
      </c>
    </row>
    <row r="1305" spans="1:24" x14ac:dyDescent="0.3">
      <c r="A1305" t="s">
        <v>938</v>
      </c>
      <c r="C1305" t="s">
        <v>947</v>
      </c>
      <c r="D1305" s="1">
        <v>46041</v>
      </c>
      <c r="E1305" t="s">
        <v>948</v>
      </c>
      <c r="F1305">
        <v>9</v>
      </c>
      <c r="G1305">
        <v>197</v>
      </c>
      <c r="H1305" t="str">
        <f>VLOOKUP(G1305,[1]OPERADORES!$A:$B,2,0)</f>
        <v xml:space="preserve">POLIANA LORRANE DE AMORIM </v>
      </c>
      <c r="I1305" t="s">
        <v>21</v>
      </c>
      <c r="J1305" t="s">
        <v>424</v>
      </c>
      <c r="K1305" t="s">
        <v>941</v>
      </c>
      <c r="L1305">
        <v>84814</v>
      </c>
      <c r="M1305" t="s">
        <v>950</v>
      </c>
      <c r="O1305" t="s">
        <v>11</v>
      </c>
      <c r="P1305">
        <v>5403</v>
      </c>
      <c r="Q1305">
        <v>20</v>
      </c>
      <c r="R1305">
        <v>123.13</v>
      </c>
      <c r="S1305" s="2">
        <v>2462.6</v>
      </c>
      <c r="T1305" s="2">
        <v>1805.4</v>
      </c>
      <c r="U1305">
        <v>26.69</v>
      </c>
      <c r="V1305" t="str">
        <f>VLOOKUP(L1305,'[2]tabela de preços'!$A:$D,4,0)</f>
        <v>BRASILUX</v>
      </c>
      <c r="W1305" t="str">
        <f>VLOOKUP(L1305,'[2]tabela de preços'!$A:$F,6,0)</f>
        <v>KIT BRASCORTEN</v>
      </c>
      <c r="X1305" t="str">
        <f>VLOOKUP(L1305,'[2]tabela de preços'!$A:$G,7,0)</f>
        <v>IMOBILIÁRIO</v>
      </c>
    </row>
    <row r="1306" spans="1:24" x14ac:dyDescent="0.3">
      <c r="A1306" t="s">
        <v>974</v>
      </c>
      <c r="C1306" t="s">
        <v>997</v>
      </c>
      <c r="D1306" s="1">
        <v>46041</v>
      </c>
      <c r="E1306" t="s">
        <v>998</v>
      </c>
      <c r="F1306">
        <v>9</v>
      </c>
      <c r="G1306">
        <v>197</v>
      </c>
      <c r="H1306" t="str">
        <f>VLOOKUP(G1306,[1]OPERADORES!$A:$B,2,0)</f>
        <v xml:space="preserve">POLIANA LORRANE DE AMORIM </v>
      </c>
      <c r="I1306" t="s">
        <v>21</v>
      </c>
      <c r="J1306" t="s">
        <v>397</v>
      </c>
      <c r="K1306" t="s">
        <v>977</v>
      </c>
      <c r="L1306">
        <v>23716</v>
      </c>
      <c r="M1306" t="s">
        <v>220</v>
      </c>
      <c r="O1306" t="s">
        <v>11</v>
      </c>
      <c r="P1306">
        <v>5102</v>
      </c>
      <c r="Q1306">
        <v>2</v>
      </c>
      <c r="R1306">
        <v>40.71</v>
      </c>
      <c r="S1306">
        <v>81.42</v>
      </c>
      <c r="T1306">
        <v>61.8</v>
      </c>
      <c r="U1306">
        <v>24.1</v>
      </c>
      <c r="V1306" t="str">
        <f>VLOOKUP(L1306,'[2]tabela de preços'!$A:$D,4,0)</f>
        <v>NEW PAD</v>
      </c>
      <c r="W1306" t="str">
        <f>VLOOKUP(L1306,'[2]tabela de preços'!$A:$F,6,0)</f>
        <v>BOINAS PARA POLIMENTO</v>
      </c>
      <c r="X1306" t="str">
        <f>VLOOKUP(L1306,'[2]tabela de preços'!$A:$G,7,0)</f>
        <v>AUTOMOTIVO</v>
      </c>
    </row>
    <row r="1307" spans="1:24" x14ac:dyDescent="0.3">
      <c r="A1307" t="s">
        <v>974</v>
      </c>
      <c r="C1307" t="s">
        <v>997</v>
      </c>
      <c r="D1307" s="1">
        <v>46041</v>
      </c>
      <c r="E1307" t="s">
        <v>998</v>
      </c>
      <c r="F1307">
        <v>9</v>
      </c>
      <c r="G1307">
        <v>197</v>
      </c>
      <c r="H1307" t="str">
        <f>VLOOKUP(G1307,[1]OPERADORES!$A:$B,2,0)</f>
        <v xml:space="preserve">POLIANA LORRANE DE AMORIM </v>
      </c>
      <c r="I1307" t="s">
        <v>21</v>
      </c>
      <c r="J1307" t="s">
        <v>397</v>
      </c>
      <c r="K1307" t="s">
        <v>977</v>
      </c>
      <c r="L1307">
        <v>84239</v>
      </c>
      <c r="M1307" t="s">
        <v>999</v>
      </c>
      <c r="O1307" t="s">
        <v>11</v>
      </c>
      <c r="P1307">
        <v>5403</v>
      </c>
      <c r="Q1307">
        <v>2</v>
      </c>
      <c r="R1307">
        <v>33.659999999999997</v>
      </c>
      <c r="S1307">
        <v>67.319999999999993</v>
      </c>
      <c r="T1307">
        <v>51.1</v>
      </c>
      <c r="U1307">
        <v>24.09</v>
      </c>
      <c r="V1307" t="str">
        <f>VLOOKUP(L1307,'[2]tabela de preços'!$A:$D,4,0)</f>
        <v>BRASILUX</v>
      </c>
      <c r="W1307" t="str">
        <f>VLOOKUP(L1307,'[2]tabela de preços'!$A:$F,6,0)</f>
        <v>IMPERMEABILIZANTES</v>
      </c>
      <c r="X1307" t="str">
        <f>VLOOKUP(L1307,'[2]tabela de preços'!$A:$G,7,0)</f>
        <v>IMOBILIÁRIO</v>
      </c>
    </row>
    <row r="1308" spans="1:24" x14ac:dyDescent="0.3">
      <c r="A1308" t="s">
        <v>974</v>
      </c>
      <c r="C1308" t="s">
        <v>997</v>
      </c>
      <c r="D1308" s="1">
        <v>46041</v>
      </c>
      <c r="E1308" t="s">
        <v>998</v>
      </c>
      <c r="F1308">
        <v>9</v>
      </c>
      <c r="G1308">
        <v>197</v>
      </c>
      <c r="H1308" t="str">
        <f>VLOOKUP(G1308,[1]OPERADORES!$A:$B,2,0)</f>
        <v xml:space="preserve">POLIANA LORRANE DE AMORIM </v>
      </c>
      <c r="I1308" t="s">
        <v>21</v>
      </c>
      <c r="J1308" t="s">
        <v>397</v>
      </c>
      <c r="K1308" t="s">
        <v>977</v>
      </c>
      <c r="L1308">
        <v>84344</v>
      </c>
      <c r="M1308" t="s">
        <v>1000</v>
      </c>
      <c r="O1308" t="s">
        <v>11</v>
      </c>
      <c r="P1308">
        <v>5403</v>
      </c>
      <c r="Q1308">
        <v>1</v>
      </c>
      <c r="R1308">
        <v>59.98</v>
      </c>
      <c r="S1308">
        <v>59.98</v>
      </c>
      <c r="T1308">
        <v>49.66</v>
      </c>
      <c r="U1308">
        <v>17.21</v>
      </c>
      <c r="V1308" t="str">
        <f>VLOOKUP(L1308,'[2]tabela de preços'!$A:$D,4,0)</f>
        <v>BRASILUX</v>
      </c>
      <c r="W1308" t="str">
        <f>VLOOKUP(L1308,'[2]tabela de preços'!$A:$F,6,0)</f>
        <v>ESMALTES</v>
      </c>
      <c r="X1308" t="str">
        <f>VLOOKUP(L1308,'[2]tabela de preços'!$A:$G,7,0)</f>
        <v>INDUSTRIAL</v>
      </c>
    </row>
    <row r="1309" spans="1:24" x14ac:dyDescent="0.3">
      <c r="A1309" t="s">
        <v>974</v>
      </c>
      <c r="C1309" t="s">
        <v>997</v>
      </c>
      <c r="D1309" s="1">
        <v>46041</v>
      </c>
      <c r="E1309" t="s">
        <v>998</v>
      </c>
      <c r="F1309">
        <v>9</v>
      </c>
      <c r="G1309">
        <v>197</v>
      </c>
      <c r="H1309" t="str">
        <f>VLOOKUP(G1309,[1]OPERADORES!$A:$B,2,0)</f>
        <v xml:space="preserve">POLIANA LORRANE DE AMORIM </v>
      </c>
      <c r="I1309" t="s">
        <v>21</v>
      </c>
      <c r="J1309" t="s">
        <v>397</v>
      </c>
      <c r="K1309" t="s">
        <v>977</v>
      </c>
      <c r="L1309">
        <v>85416</v>
      </c>
      <c r="M1309" t="s">
        <v>756</v>
      </c>
      <c r="O1309" t="s">
        <v>11</v>
      </c>
      <c r="P1309">
        <v>5102</v>
      </c>
      <c r="Q1309">
        <v>4</v>
      </c>
      <c r="R1309">
        <v>8.9</v>
      </c>
      <c r="S1309">
        <v>35.6</v>
      </c>
      <c r="T1309">
        <v>29.28</v>
      </c>
      <c r="U1309">
        <v>17.75</v>
      </c>
      <c r="V1309" t="str">
        <f>VLOOKUP(L1309,'[2]tabela de preços'!$A:$D,4,0)</f>
        <v>IBERÊ</v>
      </c>
      <c r="W1309" t="str">
        <f>VLOOKUP(L1309,'[2]tabela de preços'!$A:$F,6,0)</f>
        <v xml:space="preserve">COLA  PLÁSTICA </v>
      </c>
      <c r="X1309" t="str">
        <f>VLOOKUP(L1309,'[2]tabela de preços'!$A:$G,7,0)</f>
        <v>AUTOMOTIVO</v>
      </c>
    </row>
    <row r="1310" spans="1:24" x14ac:dyDescent="0.3">
      <c r="A1310" t="s">
        <v>974</v>
      </c>
      <c r="C1310" t="s">
        <v>997</v>
      </c>
      <c r="D1310" s="1">
        <v>46041</v>
      </c>
      <c r="E1310" t="s">
        <v>998</v>
      </c>
      <c r="F1310">
        <v>9</v>
      </c>
      <c r="G1310">
        <v>197</v>
      </c>
      <c r="H1310" t="str">
        <f>VLOOKUP(G1310,[1]OPERADORES!$A:$B,2,0)</f>
        <v xml:space="preserve">POLIANA LORRANE DE AMORIM </v>
      </c>
      <c r="I1310" t="s">
        <v>21</v>
      </c>
      <c r="J1310" t="s">
        <v>397</v>
      </c>
      <c r="K1310" t="s">
        <v>977</v>
      </c>
      <c r="L1310">
        <v>84202</v>
      </c>
      <c r="M1310" t="s">
        <v>1001</v>
      </c>
      <c r="O1310" t="s">
        <v>11</v>
      </c>
      <c r="P1310">
        <v>5403</v>
      </c>
      <c r="Q1310">
        <v>4</v>
      </c>
      <c r="R1310">
        <v>21.13</v>
      </c>
      <c r="S1310">
        <v>84.52</v>
      </c>
      <c r="T1310">
        <v>64.16</v>
      </c>
      <c r="U1310">
        <v>24.09</v>
      </c>
      <c r="V1310" t="str">
        <f>VLOOKUP(L1310,'[2]tabela de preços'!$A:$D,4,0)</f>
        <v>BRASILUX</v>
      </c>
      <c r="W1310" t="str">
        <f>VLOOKUP(L1310,'[2]tabela de preços'!$A:$F,6,0)</f>
        <v>SELADOR ACRÍLICO</v>
      </c>
      <c r="X1310" t="str">
        <f>VLOOKUP(L1310,'[2]tabela de preços'!$A:$G,7,0)</f>
        <v>IMOBILIÁRIO</v>
      </c>
    </row>
    <row r="1311" spans="1:24" x14ac:dyDescent="0.3">
      <c r="A1311" t="s">
        <v>974</v>
      </c>
      <c r="C1311" t="s">
        <v>997</v>
      </c>
      <c r="D1311" s="1">
        <v>46041</v>
      </c>
      <c r="E1311" t="s">
        <v>998</v>
      </c>
      <c r="F1311">
        <v>9</v>
      </c>
      <c r="G1311">
        <v>197</v>
      </c>
      <c r="H1311" t="str">
        <f>VLOOKUP(G1311,[1]OPERADORES!$A:$B,2,0)</f>
        <v xml:space="preserve">POLIANA LORRANE DE AMORIM </v>
      </c>
      <c r="I1311" t="s">
        <v>21</v>
      </c>
      <c r="J1311" t="s">
        <v>397</v>
      </c>
      <c r="K1311" t="s">
        <v>977</v>
      </c>
      <c r="L1311">
        <v>10298</v>
      </c>
      <c r="M1311" t="s">
        <v>85</v>
      </c>
      <c r="O1311" t="s">
        <v>11</v>
      </c>
      <c r="P1311">
        <v>5102</v>
      </c>
      <c r="Q1311">
        <v>16</v>
      </c>
      <c r="R1311">
        <v>56.89</v>
      </c>
      <c r="S1311">
        <v>910.24</v>
      </c>
      <c r="T1311">
        <v>758.08</v>
      </c>
      <c r="U1311">
        <v>16.72</v>
      </c>
      <c r="V1311" t="str">
        <f>VLOOKUP(L1311,'[2]tabela de preços'!$A:$D,4,0)</f>
        <v>ANJO</v>
      </c>
      <c r="W1311" t="str">
        <f>VLOOKUP(L1311,'[2]tabela de preços'!$A:$F,6,0)</f>
        <v>THINNER DE LIMPEZA</v>
      </c>
      <c r="X1311" t="str">
        <f>VLOOKUP(L1311,'[2]tabela de preços'!$A:$G,7,0)</f>
        <v>THINNER</v>
      </c>
    </row>
    <row r="1312" spans="1:24" x14ac:dyDescent="0.3">
      <c r="A1312" t="s">
        <v>1031</v>
      </c>
      <c r="C1312" t="s">
        <v>1032</v>
      </c>
      <c r="D1312" s="1">
        <v>46041</v>
      </c>
      <c r="E1312" t="s">
        <v>1033</v>
      </c>
      <c r="F1312">
        <v>9</v>
      </c>
      <c r="G1312">
        <v>230</v>
      </c>
      <c r="H1312" t="str">
        <f>VLOOKUP(G1312,[1]OPERADORES!$A:$B,2,0)</f>
        <v>SÔNIA</v>
      </c>
      <c r="I1312" t="s">
        <v>168</v>
      </c>
      <c r="J1312" t="s">
        <v>1034</v>
      </c>
      <c r="K1312" t="s">
        <v>1035</v>
      </c>
      <c r="L1312">
        <v>84030</v>
      </c>
      <c r="M1312" t="s">
        <v>900</v>
      </c>
      <c r="O1312" t="s">
        <v>11</v>
      </c>
      <c r="P1312">
        <v>6108</v>
      </c>
      <c r="Q1312">
        <v>2</v>
      </c>
      <c r="R1312">
        <v>65.66</v>
      </c>
      <c r="S1312">
        <v>131.32</v>
      </c>
      <c r="T1312">
        <v>84.72</v>
      </c>
      <c r="U1312">
        <v>35.49</v>
      </c>
      <c r="V1312" t="str">
        <f>VLOOKUP(L1312,'[2]tabela de preços'!$A:$D,4,0)</f>
        <v>BRASILUX</v>
      </c>
      <c r="W1312" t="str">
        <f>VLOOKUP(L1312,'[2]tabela de preços'!$A:$F,6,0)</f>
        <v>AGUARRAS</v>
      </c>
      <c r="X1312" t="str">
        <f>VLOOKUP(L1312,'[2]tabela de preços'!$A:$G,7,0)</f>
        <v>IMOBILIÁRIO</v>
      </c>
    </row>
    <row r="1313" spans="1:24" x14ac:dyDescent="0.3">
      <c r="A1313" t="s">
        <v>1031</v>
      </c>
      <c r="C1313" t="s">
        <v>1032</v>
      </c>
      <c r="D1313" s="1">
        <v>46041</v>
      </c>
      <c r="E1313" t="s">
        <v>1033</v>
      </c>
      <c r="F1313">
        <v>9</v>
      </c>
      <c r="G1313">
        <v>230</v>
      </c>
      <c r="H1313" t="str">
        <f>VLOOKUP(G1313,[1]OPERADORES!$A:$B,2,0)</f>
        <v>SÔNIA</v>
      </c>
      <c r="I1313" t="s">
        <v>168</v>
      </c>
      <c r="J1313" t="s">
        <v>1034</v>
      </c>
      <c r="K1313" t="s">
        <v>1035</v>
      </c>
      <c r="L1313">
        <v>85246</v>
      </c>
      <c r="M1313" t="s">
        <v>1036</v>
      </c>
      <c r="O1313" t="s">
        <v>11</v>
      </c>
      <c r="P1313">
        <v>6108</v>
      </c>
      <c r="Q1313">
        <v>1</v>
      </c>
      <c r="R1313">
        <v>121.98</v>
      </c>
      <c r="S1313">
        <v>121.98</v>
      </c>
      <c r="T1313">
        <v>92.59</v>
      </c>
      <c r="U1313">
        <v>24.09</v>
      </c>
      <c r="V1313" t="str">
        <f>VLOOKUP(L1313,'[2]tabela de preços'!$A:$D,4,0)</f>
        <v>BRASILUX</v>
      </c>
      <c r="W1313" t="str">
        <f>VLOOKUP(L1313,'[2]tabela de preços'!$A:$F,6,0)</f>
        <v>TINTAS LACA</v>
      </c>
      <c r="X1313" t="str">
        <f>VLOOKUP(L1313,'[2]tabela de preços'!$A:$G,7,0)</f>
        <v>AUTOMOTIVO</v>
      </c>
    </row>
    <row r="1314" spans="1:24" x14ac:dyDescent="0.3">
      <c r="A1314" t="s">
        <v>1031</v>
      </c>
      <c r="C1314" t="s">
        <v>1032</v>
      </c>
      <c r="D1314" s="1">
        <v>46041</v>
      </c>
      <c r="E1314" t="s">
        <v>1033</v>
      </c>
      <c r="F1314">
        <v>9</v>
      </c>
      <c r="G1314">
        <v>230</v>
      </c>
      <c r="H1314" t="str">
        <f>VLOOKUP(G1314,[1]OPERADORES!$A:$B,2,0)</f>
        <v>SÔNIA</v>
      </c>
      <c r="I1314" t="s">
        <v>168</v>
      </c>
      <c r="J1314" t="s">
        <v>1034</v>
      </c>
      <c r="K1314" t="s">
        <v>1035</v>
      </c>
      <c r="L1314">
        <v>84329</v>
      </c>
      <c r="M1314" t="s">
        <v>285</v>
      </c>
      <c r="O1314" t="s">
        <v>11</v>
      </c>
      <c r="P1314">
        <v>6108</v>
      </c>
      <c r="Q1314">
        <v>1</v>
      </c>
      <c r="R1314">
        <v>59.98</v>
      </c>
      <c r="S1314">
        <v>59.98</v>
      </c>
      <c r="T1314">
        <v>48.27</v>
      </c>
      <c r="U1314">
        <v>19.52</v>
      </c>
      <c r="V1314" t="str">
        <f>VLOOKUP(L1314,'[2]tabela de preços'!$A:$D,4,0)</f>
        <v>BRASILUX</v>
      </c>
      <c r="W1314" t="str">
        <f>VLOOKUP(L1314,'[2]tabela de preços'!$A:$F,6,0)</f>
        <v>ESMALTES</v>
      </c>
      <c r="X1314" t="str">
        <f>VLOOKUP(L1314,'[2]tabela de preços'!$A:$G,7,0)</f>
        <v>INDUSTRIAL</v>
      </c>
    </row>
    <row r="1315" spans="1:24" x14ac:dyDescent="0.3">
      <c r="A1315" t="s">
        <v>1031</v>
      </c>
      <c r="C1315" t="s">
        <v>1032</v>
      </c>
      <c r="D1315" s="1">
        <v>46041</v>
      </c>
      <c r="E1315" t="s">
        <v>1033</v>
      </c>
      <c r="F1315">
        <v>9</v>
      </c>
      <c r="G1315">
        <v>230</v>
      </c>
      <c r="H1315" t="str">
        <f>VLOOKUP(G1315,[1]OPERADORES!$A:$B,2,0)</f>
        <v>SÔNIA</v>
      </c>
      <c r="I1315" t="s">
        <v>168</v>
      </c>
      <c r="J1315" t="s">
        <v>1034</v>
      </c>
      <c r="K1315" t="s">
        <v>1035</v>
      </c>
      <c r="L1315">
        <v>84331</v>
      </c>
      <c r="M1315" t="s">
        <v>497</v>
      </c>
      <c r="O1315" t="s">
        <v>11</v>
      </c>
      <c r="P1315">
        <v>6108</v>
      </c>
      <c r="Q1315">
        <v>2</v>
      </c>
      <c r="R1315">
        <v>59.98</v>
      </c>
      <c r="S1315">
        <v>119.96</v>
      </c>
      <c r="T1315">
        <v>104</v>
      </c>
      <c r="U1315">
        <v>13.3</v>
      </c>
      <c r="V1315" t="str">
        <f>VLOOKUP(L1315,'[2]tabela de preços'!$A:$D,4,0)</f>
        <v>BRASILUX</v>
      </c>
      <c r="W1315" t="str">
        <f>VLOOKUP(L1315,'[2]tabela de preços'!$A:$F,6,0)</f>
        <v>ESMALTES</v>
      </c>
      <c r="X1315" t="str">
        <f>VLOOKUP(L1315,'[2]tabela de preços'!$A:$G,7,0)</f>
        <v>INDUSTRIAL</v>
      </c>
    </row>
    <row r="1316" spans="1:24" x14ac:dyDescent="0.3">
      <c r="A1316" t="s">
        <v>1031</v>
      </c>
      <c r="C1316" t="s">
        <v>1032</v>
      </c>
      <c r="D1316" s="1">
        <v>46041</v>
      </c>
      <c r="E1316" t="s">
        <v>1033</v>
      </c>
      <c r="F1316">
        <v>9</v>
      </c>
      <c r="G1316">
        <v>230</v>
      </c>
      <c r="H1316" t="str">
        <f>VLOOKUP(G1316,[1]OPERADORES!$A:$B,2,0)</f>
        <v>SÔNIA</v>
      </c>
      <c r="I1316" t="s">
        <v>168</v>
      </c>
      <c r="J1316" t="s">
        <v>1034</v>
      </c>
      <c r="K1316" t="s">
        <v>1035</v>
      </c>
      <c r="L1316">
        <v>10236</v>
      </c>
      <c r="M1316" t="s">
        <v>133</v>
      </c>
      <c r="O1316" t="s">
        <v>11</v>
      </c>
      <c r="P1316">
        <v>6108</v>
      </c>
      <c r="Q1316">
        <v>40</v>
      </c>
      <c r="R1316">
        <v>2.79</v>
      </c>
      <c r="S1316">
        <v>111.6</v>
      </c>
      <c r="T1316">
        <v>92.8</v>
      </c>
      <c r="U1316">
        <v>16.850000000000001</v>
      </c>
      <c r="V1316" t="str">
        <f>VLOOKUP(L1316,'[2]tabela de preços'!$A:$D,4,0)</f>
        <v>NORTON</v>
      </c>
      <c r="W1316" t="str">
        <f>VLOOKUP(L1316,'[2]tabela de preços'!$A:$F,6,0)</f>
        <v xml:space="preserve">DISCOS / LIXAS / ABRASIVOS </v>
      </c>
      <c r="X1316" t="str">
        <f>VLOOKUP(L1316,'[2]tabela de preços'!$A:$G,7,0)</f>
        <v>AUTOMOTIVO</v>
      </c>
    </row>
    <row r="1317" spans="1:24" x14ac:dyDescent="0.3">
      <c r="A1317" t="s">
        <v>1031</v>
      </c>
      <c r="C1317" t="s">
        <v>1032</v>
      </c>
      <c r="D1317" s="1">
        <v>46041</v>
      </c>
      <c r="E1317" t="s">
        <v>1033</v>
      </c>
      <c r="F1317">
        <v>9</v>
      </c>
      <c r="G1317">
        <v>230</v>
      </c>
      <c r="H1317" t="str">
        <f>VLOOKUP(G1317,[1]OPERADORES!$A:$B,2,0)</f>
        <v>SÔNIA</v>
      </c>
      <c r="I1317" t="s">
        <v>168</v>
      </c>
      <c r="J1317" t="s">
        <v>1034</v>
      </c>
      <c r="K1317" t="s">
        <v>1035</v>
      </c>
      <c r="L1317">
        <v>84928</v>
      </c>
      <c r="M1317" t="s">
        <v>36</v>
      </c>
      <c r="O1317" t="s">
        <v>11</v>
      </c>
      <c r="P1317">
        <v>6108</v>
      </c>
      <c r="Q1317">
        <v>2</v>
      </c>
      <c r="R1317">
        <v>9.39</v>
      </c>
      <c r="S1317">
        <v>18.78</v>
      </c>
      <c r="T1317">
        <v>14.26</v>
      </c>
      <c r="U1317">
        <v>24.07</v>
      </c>
      <c r="V1317" t="str">
        <f>VLOOKUP(L1317,'[2]tabela de preços'!$A:$D,4,0)</f>
        <v>ADERE</v>
      </c>
      <c r="W1317" t="str">
        <f>VLOOKUP(L1317,'[2]tabela de preços'!$A:$F,6,0)</f>
        <v xml:space="preserve">FITA DE USO GERAL </v>
      </c>
      <c r="X1317" t="str">
        <f>VLOOKUP(L1317,'[2]tabela de preços'!$A:$G,7,0)</f>
        <v>IMOBILIÁRIO</v>
      </c>
    </row>
    <row r="1318" spans="1:24" x14ac:dyDescent="0.3">
      <c r="A1318" t="s">
        <v>1031</v>
      </c>
      <c r="C1318" t="s">
        <v>1032</v>
      </c>
      <c r="D1318" s="1">
        <v>46041</v>
      </c>
      <c r="E1318" t="s">
        <v>1033</v>
      </c>
      <c r="F1318">
        <v>9</v>
      </c>
      <c r="G1318">
        <v>230</v>
      </c>
      <c r="H1318" t="str">
        <f>VLOOKUP(G1318,[1]OPERADORES!$A:$B,2,0)</f>
        <v>SÔNIA</v>
      </c>
      <c r="I1318" t="s">
        <v>168</v>
      </c>
      <c r="J1318" t="s">
        <v>1034</v>
      </c>
      <c r="K1318" t="s">
        <v>1035</v>
      </c>
      <c r="L1318">
        <v>84209</v>
      </c>
      <c r="M1318" t="s">
        <v>1037</v>
      </c>
      <c r="O1318" t="s">
        <v>11</v>
      </c>
      <c r="P1318">
        <v>6108</v>
      </c>
      <c r="Q1318">
        <v>2</v>
      </c>
      <c r="R1318">
        <v>95.85</v>
      </c>
      <c r="S1318">
        <v>191.7</v>
      </c>
      <c r="T1318">
        <v>145.52000000000001</v>
      </c>
      <c r="U1318">
        <v>24.09</v>
      </c>
      <c r="V1318" t="str">
        <f>VLOOKUP(L1318,'[2]tabela de preços'!$A:$D,4,0)</f>
        <v>BRASILUX</v>
      </c>
      <c r="W1318" t="str">
        <f>VLOOKUP(L1318,'[2]tabela de preços'!$A:$F,6,0)</f>
        <v>ESMALTES</v>
      </c>
      <c r="X1318" t="str">
        <f>VLOOKUP(L1318,'[2]tabela de preços'!$A:$G,7,0)</f>
        <v>INDUSTRIAL</v>
      </c>
    </row>
    <row r="1319" spans="1:24" x14ac:dyDescent="0.3">
      <c r="A1319" t="s">
        <v>1031</v>
      </c>
      <c r="C1319" t="s">
        <v>1032</v>
      </c>
      <c r="D1319" s="1">
        <v>46041</v>
      </c>
      <c r="E1319" t="s">
        <v>1033</v>
      </c>
      <c r="F1319">
        <v>9</v>
      </c>
      <c r="G1319">
        <v>230</v>
      </c>
      <c r="H1319" t="str">
        <f>VLOOKUP(G1319,[1]OPERADORES!$A:$B,2,0)</f>
        <v>SÔNIA</v>
      </c>
      <c r="I1319" t="s">
        <v>168</v>
      </c>
      <c r="J1319" t="s">
        <v>1034</v>
      </c>
      <c r="K1319" t="s">
        <v>1035</v>
      </c>
      <c r="L1319">
        <v>83992</v>
      </c>
      <c r="M1319" t="s">
        <v>1038</v>
      </c>
      <c r="O1319" t="s">
        <v>11</v>
      </c>
      <c r="P1319">
        <v>6108</v>
      </c>
      <c r="Q1319">
        <v>8</v>
      </c>
      <c r="R1319">
        <v>2.84</v>
      </c>
      <c r="S1319">
        <v>22.72</v>
      </c>
      <c r="T1319">
        <v>14.64</v>
      </c>
      <c r="U1319">
        <v>35.56</v>
      </c>
      <c r="V1319" t="str">
        <f>VLOOKUP(L1319,'[2]tabela de preços'!$A:$D,4,0)</f>
        <v>3M</v>
      </c>
      <c r="W1319" t="str">
        <f>VLOOKUP(L1319,'[2]tabela de preços'!$A:$F,6,0)</f>
        <v>LIXA FERRO</v>
      </c>
      <c r="X1319" t="str">
        <f>VLOOKUP(L1319,'[2]tabela de preços'!$A:$G,7,0)</f>
        <v>IMOBILIÁRIO</v>
      </c>
    </row>
    <row r="1320" spans="1:24" x14ac:dyDescent="0.3">
      <c r="A1320" t="s">
        <v>1031</v>
      </c>
      <c r="C1320" t="s">
        <v>1032</v>
      </c>
      <c r="D1320" s="1">
        <v>46041</v>
      </c>
      <c r="E1320" t="s">
        <v>1039</v>
      </c>
      <c r="F1320">
        <v>9</v>
      </c>
      <c r="G1320">
        <v>230</v>
      </c>
      <c r="H1320" t="str">
        <f>VLOOKUP(G1320,[1]OPERADORES!$A:$B,2,0)</f>
        <v>SÔNIA</v>
      </c>
      <c r="I1320" t="s">
        <v>168</v>
      </c>
      <c r="J1320" t="s">
        <v>1034</v>
      </c>
      <c r="K1320" t="s">
        <v>1035</v>
      </c>
      <c r="L1320">
        <v>85626</v>
      </c>
      <c r="M1320" t="s">
        <v>1040</v>
      </c>
      <c r="O1320" t="s">
        <v>11</v>
      </c>
      <c r="P1320">
        <v>6108</v>
      </c>
      <c r="Q1320">
        <v>1</v>
      </c>
      <c r="R1320">
        <v>34.9</v>
      </c>
      <c r="S1320">
        <v>34.9</v>
      </c>
      <c r="T1320">
        <v>28.68</v>
      </c>
      <c r="U1320">
        <v>17.82</v>
      </c>
      <c r="V1320" t="str">
        <f>VLOOKUP(L1320,'[2]tabela de preços'!$A:$D,4,0)</f>
        <v>WD-40</v>
      </c>
      <c r="W1320" t="str">
        <f>VLOOKUP(L1320,'[2]tabela de preços'!$A:$F,6,0)</f>
        <v>DESENGRIPANTE</v>
      </c>
      <c r="X1320" t="str">
        <f>VLOOKUP(L1320,'[2]tabela de preços'!$A:$G,7,0)</f>
        <v>AUTOMOTIVO</v>
      </c>
    </row>
    <row r="1321" spans="1:24" x14ac:dyDescent="0.3">
      <c r="A1321" t="s">
        <v>1031</v>
      </c>
      <c r="C1321" t="s">
        <v>1032</v>
      </c>
      <c r="D1321" s="1">
        <v>46041</v>
      </c>
      <c r="E1321" t="s">
        <v>1033</v>
      </c>
      <c r="F1321">
        <v>9</v>
      </c>
      <c r="G1321">
        <v>230</v>
      </c>
      <c r="H1321" t="str">
        <f>VLOOKUP(G1321,[1]OPERADORES!$A:$B,2,0)</f>
        <v>SÔNIA</v>
      </c>
      <c r="I1321" t="s">
        <v>168</v>
      </c>
      <c r="J1321" t="s">
        <v>1034</v>
      </c>
      <c r="K1321" t="s">
        <v>1035</v>
      </c>
      <c r="L1321">
        <v>85228</v>
      </c>
      <c r="M1321" t="s">
        <v>1041</v>
      </c>
      <c r="O1321" t="s">
        <v>11</v>
      </c>
      <c r="P1321">
        <v>6108</v>
      </c>
      <c r="Q1321">
        <v>2</v>
      </c>
      <c r="R1321">
        <v>7.84</v>
      </c>
      <c r="S1321">
        <v>15.68</v>
      </c>
      <c r="T1321">
        <v>11.9</v>
      </c>
      <c r="U1321">
        <v>24.11</v>
      </c>
      <c r="V1321" t="str">
        <f>VLOOKUP(L1321,'[2]tabela de preços'!$A:$D,4,0)</f>
        <v>ATLAS</v>
      </c>
      <c r="W1321" t="str">
        <f>VLOOKUP(L1321,'[2]tabela de preços'!$A:$F,6,0)</f>
        <v>ROLOS / TRINCHAS / PINCÉIS / ESPÁTULAS</v>
      </c>
      <c r="X1321" t="str">
        <f>VLOOKUP(L1321,'[2]tabela de preços'!$A:$G,7,0)</f>
        <v>IMOBILIÁRIO</v>
      </c>
    </row>
    <row r="1322" spans="1:24" x14ac:dyDescent="0.3">
      <c r="A1322" t="s">
        <v>1031</v>
      </c>
      <c r="C1322" t="s">
        <v>1032</v>
      </c>
      <c r="D1322" s="1">
        <v>46041</v>
      </c>
      <c r="E1322" t="s">
        <v>1033</v>
      </c>
      <c r="F1322">
        <v>9</v>
      </c>
      <c r="G1322">
        <v>230</v>
      </c>
      <c r="H1322" t="str">
        <f>VLOOKUP(G1322,[1]OPERADORES!$A:$B,2,0)</f>
        <v>SÔNIA</v>
      </c>
      <c r="I1322" t="s">
        <v>168</v>
      </c>
      <c r="J1322" t="s">
        <v>1034</v>
      </c>
      <c r="K1322" t="s">
        <v>1035</v>
      </c>
      <c r="L1322">
        <v>85227</v>
      </c>
      <c r="M1322" t="s">
        <v>1042</v>
      </c>
      <c r="O1322" t="s">
        <v>11</v>
      </c>
      <c r="P1322">
        <v>6108</v>
      </c>
      <c r="Q1322">
        <v>2</v>
      </c>
      <c r="R1322">
        <v>6.06</v>
      </c>
      <c r="S1322">
        <v>12.12</v>
      </c>
      <c r="T1322">
        <v>9.1999999999999993</v>
      </c>
      <c r="U1322">
        <v>24.09</v>
      </c>
      <c r="V1322" t="str">
        <f>VLOOKUP(L1322,'[2]tabela de preços'!$A:$D,4,0)</f>
        <v>ATLAS</v>
      </c>
      <c r="W1322" t="str">
        <f>VLOOKUP(L1322,'[2]tabela de preços'!$A:$F,6,0)</f>
        <v>ROLOS / TRINCHAS / PINCÉIS / ESPÁTULAS</v>
      </c>
      <c r="X1322" t="str">
        <f>VLOOKUP(L1322,'[2]tabela de preços'!$A:$G,7,0)</f>
        <v>IMOBILIÁRIO</v>
      </c>
    </row>
    <row r="1323" spans="1:24" x14ac:dyDescent="0.3">
      <c r="A1323" t="s">
        <v>1031</v>
      </c>
      <c r="C1323" t="s">
        <v>1032</v>
      </c>
      <c r="D1323" s="1">
        <v>46041</v>
      </c>
      <c r="E1323" t="s">
        <v>1033</v>
      </c>
      <c r="F1323">
        <v>9</v>
      </c>
      <c r="G1323">
        <v>230</v>
      </c>
      <c r="H1323" t="str">
        <f>VLOOKUP(G1323,[1]OPERADORES!$A:$B,2,0)</f>
        <v>SÔNIA</v>
      </c>
      <c r="I1323" t="s">
        <v>168</v>
      </c>
      <c r="J1323" t="s">
        <v>1034</v>
      </c>
      <c r="K1323" t="s">
        <v>1035</v>
      </c>
      <c r="L1323">
        <v>84560</v>
      </c>
      <c r="M1323" t="s">
        <v>118</v>
      </c>
      <c r="O1323" t="s">
        <v>11</v>
      </c>
      <c r="P1323">
        <v>6108</v>
      </c>
      <c r="Q1323">
        <v>1</v>
      </c>
      <c r="R1323">
        <v>47.89</v>
      </c>
      <c r="S1323">
        <v>47.89</v>
      </c>
      <c r="T1323">
        <v>39.159999999999997</v>
      </c>
      <c r="U1323">
        <v>18.23</v>
      </c>
      <c r="V1323" t="str">
        <f>VLOOKUP(L1323,'[2]tabela de preços'!$A:$D,4,0)</f>
        <v>BRASILUX</v>
      </c>
      <c r="W1323" t="str">
        <f>VLOOKUP(L1323,'[2]tabela de preços'!$A:$F,6,0)</f>
        <v>THINNER DE LIMPEZA</v>
      </c>
      <c r="X1323" t="str">
        <f>VLOOKUP(L1323,'[2]tabela de preços'!$A:$G,7,0)</f>
        <v>THINNER</v>
      </c>
    </row>
    <row r="1324" spans="1:24" x14ac:dyDescent="0.3">
      <c r="A1324" t="s">
        <v>1031</v>
      </c>
      <c r="C1324" t="s">
        <v>1032</v>
      </c>
      <c r="D1324" s="1">
        <v>46041</v>
      </c>
      <c r="E1324" t="s">
        <v>1033</v>
      </c>
      <c r="F1324">
        <v>9</v>
      </c>
      <c r="G1324">
        <v>230</v>
      </c>
      <c r="H1324" t="str">
        <f>VLOOKUP(G1324,[1]OPERADORES!$A:$B,2,0)</f>
        <v>SÔNIA</v>
      </c>
      <c r="I1324" t="s">
        <v>168</v>
      </c>
      <c r="J1324" t="s">
        <v>1034</v>
      </c>
      <c r="K1324" t="s">
        <v>1035</v>
      </c>
      <c r="L1324">
        <v>10117</v>
      </c>
      <c r="M1324" t="s">
        <v>1043</v>
      </c>
      <c r="O1324" t="s">
        <v>11</v>
      </c>
      <c r="P1324">
        <v>6108</v>
      </c>
      <c r="Q1324">
        <v>2</v>
      </c>
      <c r="R1324">
        <v>6.52</v>
      </c>
      <c r="S1324">
        <v>13.04</v>
      </c>
      <c r="T1324">
        <v>9.9</v>
      </c>
      <c r="U1324">
        <v>24.08</v>
      </c>
      <c r="V1324" t="str">
        <f>VLOOKUP(L1324,'[2]tabela de preços'!$A:$D,4,0)</f>
        <v>ATLAS</v>
      </c>
      <c r="W1324" t="str">
        <f>VLOOKUP(L1324,'[2]tabela de preços'!$A:$F,6,0)</f>
        <v>ROLOS / TRINCHAS / PINCÉIS / ESPÁTULAS</v>
      </c>
      <c r="X1324" t="str">
        <f>VLOOKUP(L1324,'[2]tabela de preços'!$A:$G,7,0)</f>
        <v>IMOBILIÁRIO</v>
      </c>
    </row>
    <row r="1325" spans="1:24" x14ac:dyDescent="0.3">
      <c r="A1325" t="s">
        <v>1031</v>
      </c>
      <c r="C1325" t="s">
        <v>1044</v>
      </c>
      <c r="D1325" s="1">
        <v>46041</v>
      </c>
      <c r="E1325" t="s">
        <v>1045</v>
      </c>
      <c r="F1325">
        <v>9</v>
      </c>
      <c r="G1325">
        <v>230</v>
      </c>
      <c r="H1325" t="str">
        <f>VLOOKUP(G1325,[1]OPERADORES!$A:$B,2,0)</f>
        <v>SÔNIA</v>
      </c>
      <c r="I1325" t="s">
        <v>168</v>
      </c>
      <c r="J1325" t="s">
        <v>1034</v>
      </c>
      <c r="K1325" t="s">
        <v>1035</v>
      </c>
      <c r="L1325">
        <v>84560</v>
      </c>
      <c r="M1325" t="s">
        <v>118</v>
      </c>
      <c r="O1325" t="s">
        <v>11</v>
      </c>
      <c r="P1325">
        <v>6108</v>
      </c>
      <c r="Q1325">
        <v>1</v>
      </c>
      <c r="R1325">
        <v>47.89</v>
      </c>
      <c r="S1325">
        <v>47.89</v>
      </c>
      <c r="T1325">
        <v>39.159999999999997</v>
      </c>
      <c r="U1325">
        <v>18.23</v>
      </c>
      <c r="V1325" t="str">
        <f>VLOOKUP(L1325,'[2]tabela de preços'!$A:$D,4,0)</f>
        <v>BRASILUX</v>
      </c>
      <c r="W1325" t="str">
        <f>VLOOKUP(L1325,'[2]tabela de preços'!$A:$F,6,0)</f>
        <v>THINNER DE LIMPEZA</v>
      </c>
      <c r="X1325" t="str">
        <f>VLOOKUP(L1325,'[2]tabela de preços'!$A:$G,7,0)</f>
        <v>THINNER</v>
      </c>
    </row>
    <row r="1326" spans="1:24" x14ac:dyDescent="0.3">
      <c r="A1326" t="s">
        <v>1058</v>
      </c>
      <c r="C1326" t="s">
        <v>1059</v>
      </c>
      <c r="D1326" s="1">
        <v>46041</v>
      </c>
      <c r="E1326" t="s">
        <v>1060</v>
      </c>
      <c r="F1326">
        <v>9</v>
      </c>
      <c r="G1326">
        <v>231</v>
      </c>
      <c r="H1326" t="str">
        <f>VLOOKUP(G1326,[1]OPERADORES!$A:$B,2,0)</f>
        <v>EDIJANE</v>
      </c>
      <c r="I1326" t="s">
        <v>244</v>
      </c>
      <c r="J1326" t="s">
        <v>1061</v>
      </c>
      <c r="K1326" t="s">
        <v>1062</v>
      </c>
      <c r="L1326">
        <v>85321</v>
      </c>
      <c r="M1326" t="s">
        <v>1063</v>
      </c>
      <c r="O1326" t="s">
        <v>11</v>
      </c>
      <c r="P1326">
        <v>6102</v>
      </c>
      <c r="Q1326">
        <v>4</v>
      </c>
      <c r="R1326">
        <v>614.41</v>
      </c>
      <c r="S1326" s="2">
        <v>2457.64</v>
      </c>
      <c r="T1326" s="2">
        <v>1752.32</v>
      </c>
      <c r="U1326">
        <v>28.7</v>
      </c>
      <c r="V1326" t="str">
        <f>VLOOKUP(L1326,'[2]tabela de preços'!$A:$D,4,0)</f>
        <v>BRASILUX</v>
      </c>
      <c r="W1326" t="str">
        <f>VLOOKUP(L1326,'[2]tabela de preços'!$A:$F,6,0)</f>
        <v>TINTA EM PÓ</v>
      </c>
      <c r="X1326" t="str">
        <f>VLOOKUP(L1326,'[2]tabela de preços'!$A:$G,7,0)</f>
        <v>INDUSTRIAL</v>
      </c>
    </row>
    <row r="1327" spans="1:24" x14ac:dyDescent="0.3">
      <c r="A1327" t="s">
        <v>1112</v>
      </c>
      <c r="C1327" t="s">
        <v>1120</v>
      </c>
      <c r="D1327" s="1">
        <v>46041</v>
      </c>
      <c r="E1327" t="s">
        <v>1121</v>
      </c>
      <c r="F1327">
        <v>9</v>
      </c>
      <c r="G1327">
        <v>236</v>
      </c>
      <c r="H1327" t="str">
        <f>VLOOKUP(G1327,[1]OPERADORES!$A:$B,2,0)</f>
        <v>DANIEL</v>
      </c>
      <c r="I1327" t="s">
        <v>21</v>
      </c>
      <c r="J1327" t="s">
        <v>211</v>
      </c>
      <c r="K1327" t="s">
        <v>1115</v>
      </c>
      <c r="L1327">
        <v>10298</v>
      </c>
      <c r="M1327" t="s">
        <v>85</v>
      </c>
      <c r="O1327" t="s">
        <v>11</v>
      </c>
      <c r="P1327">
        <v>5102</v>
      </c>
      <c r="Q1327">
        <v>4</v>
      </c>
      <c r="R1327">
        <v>56.89</v>
      </c>
      <c r="S1327">
        <v>227.56</v>
      </c>
      <c r="T1327">
        <v>189.52</v>
      </c>
      <c r="U1327">
        <v>16.72</v>
      </c>
      <c r="V1327" t="str">
        <f>VLOOKUP(L1327,'[2]tabela de preços'!$A:$D,4,0)</f>
        <v>ANJO</v>
      </c>
      <c r="W1327" t="str">
        <f>VLOOKUP(L1327,'[2]tabela de preços'!$A:$F,6,0)</f>
        <v>THINNER DE LIMPEZA</v>
      </c>
      <c r="X1327" t="str">
        <f>VLOOKUP(L1327,'[2]tabela de preços'!$A:$G,7,0)</f>
        <v>THINNER</v>
      </c>
    </row>
    <row r="1328" spans="1:24" x14ac:dyDescent="0.3">
      <c r="A1328" t="s">
        <v>1222</v>
      </c>
      <c r="C1328" t="s">
        <v>1223</v>
      </c>
      <c r="D1328" s="1">
        <v>46041</v>
      </c>
      <c r="E1328" t="s">
        <v>1224</v>
      </c>
      <c r="F1328">
        <v>9</v>
      </c>
      <c r="G1328">
        <v>174</v>
      </c>
      <c r="H1328" t="str">
        <f>VLOOKUP(G1328,[1]OPERADORES!$A:$B,2,0)</f>
        <v>MIRIÃ LOBATO RODRIGUES</v>
      </c>
      <c r="I1328" t="s">
        <v>21</v>
      </c>
      <c r="J1328" t="s">
        <v>1225</v>
      </c>
      <c r="K1328" t="s">
        <v>1226</v>
      </c>
      <c r="L1328">
        <v>23076</v>
      </c>
      <c r="M1328" t="s">
        <v>97</v>
      </c>
      <c r="O1328" t="s">
        <v>11</v>
      </c>
      <c r="P1328">
        <v>5405</v>
      </c>
      <c r="Q1328">
        <v>18</v>
      </c>
      <c r="R1328">
        <v>34.89</v>
      </c>
      <c r="S1328">
        <v>628.02</v>
      </c>
      <c r="T1328">
        <v>477.54</v>
      </c>
      <c r="U1328">
        <v>23.96</v>
      </c>
      <c r="V1328" t="str">
        <f>VLOOKUP(L1328,'[2]tabela de preços'!$A:$D,4,0)</f>
        <v>WANDA</v>
      </c>
      <c r="W1328" t="str">
        <f>VLOOKUP(L1328,'[2]tabela de preços'!$A:$F,6,0)</f>
        <v>PRIMER AUTOMOTIVO</v>
      </c>
      <c r="X1328" t="str">
        <f>VLOOKUP(L1328,'[2]tabela de preços'!$A:$G,7,0)</f>
        <v>AUTOMOTIVO</v>
      </c>
    </row>
    <row r="1329" spans="1:24" x14ac:dyDescent="0.3">
      <c r="A1329" t="s">
        <v>1222</v>
      </c>
      <c r="C1329" t="s">
        <v>1223</v>
      </c>
      <c r="D1329" s="1">
        <v>46041</v>
      </c>
      <c r="E1329" t="s">
        <v>1224</v>
      </c>
      <c r="F1329">
        <v>9</v>
      </c>
      <c r="G1329">
        <v>174</v>
      </c>
      <c r="H1329" t="str">
        <f>VLOOKUP(G1329,[1]OPERADORES!$A:$B,2,0)</f>
        <v>MIRIÃ LOBATO RODRIGUES</v>
      </c>
      <c r="I1329" t="s">
        <v>21</v>
      </c>
      <c r="J1329" t="s">
        <v>1225</v>
      </c>
      <c r="K1329" t="s">
        <v>1226</v>
      </c>
      <c r="L1329">
        <v>23690</v>
      </c>
      <c r="M1329" t="s">
        <v>98</v>
      </c>
      <c r="O1329" t="s">
        <v>11</v>
      </c>
      <c r="P1329">
        <v>5405</v>
      </c>
      <c r="Q1329">
        <v>6</v>
      </c>
      <c r="R1329">
        <v>39.89</v>
      </c>
      <c r="S1329">
        <v>239.34</v>
      </c>
      <c r="T1329">
        <v>189.66</v>
      </c>
      <c r="U1329">
        <v>20.76</v>
      </c>
      <c r="V1329" t="str">
        <f>VLOOKUP(L1329,'[2]tabela de preços'!$A:$D,4,0)</f>
        <v>WANDA</v>
      </c>
      <c r="W1329" t="str">
        <f>VLOOKUP(L1329,'[2]tabela de preços'!$A:$F,6,0)</f>
        <v>VERNIZ AUTOMOTIVO</v>
      </c>
      <c r="X1329" t="str">
        <f>VLOOKUP(L1329,'[2]tabela de preços'!$A:$G,7,0)</f>
        <v>AUTOMOTIVO</v>
      </c>
    </row>
    <row r="1330" spans="1:24" x14ac:dyDescent="0.3">
      <c r="A1330" t="s">
        <v>1267</v>
      </c>
      <c r="C1330" t="s">
        <v>1273</v>
      </c>
      <c r="D1330" s="1">
        <v>46041</v>
      </c>
      <c r="E1330" t="s">
        <v>1274</v>
      </c>
      <c r="F1330">
        <v>9</v>
      </c>
      <c r="G1330">
        <v>174</v>
      </c>
      <c r="H1330" t="str">
        <f>VLOOKUP(G1330,[1]OPERADORES!$A:$B,2,0)</f>
        <v>MIRIÃ LOBATO RODRIGUES</v>
      </c>
      <c r="I1330" t="s">
        <v>21</v>
      </c>
      <c r="J1330" t="s">
        <v>372</v>
      </c>
      <c r="K1330" t="s">
        <v>1270</v>
      </c>
      <c r="L1330">
        <v>23690</v>
      </c>
      <c r="M1330" t="s">
        <v>98</v>
      </c>
      <c r="O1330" t="s">
        <v>11</v>
      </c>
      <c r="P1330">
        <v>5403</v>
      </c>
      <c r="Q1330">
        <v>6</v>
      </c>
      <c r="R1330">
        <v>45.66</v>
      </c>
      <c r="S1330">
        <v>273.95999999999998</v>
      </c>
      <c r="T1330">
        <v>189.66</v>
      </c>
      <c r="U1330">
        <v>30.77</v>
      </c>
      <c r="V1330" t="str">
        <f>VLOOKUP(L1330,'[2]tabela de preços'!$A:$D,4,0)</f>
        <v>WANDA</v>
      </c>
      <c r="W1330" t="str">
        <f>VLOOKUP(L1330,'[2]tabela de preços'!$A:$F,6,0)</f>
        <v>VERNIZ AUTOMOTIVO</v>
      </c>
      <c r="X1330" t="str">
        <f>VLOOKUP(L1330,'[2]tabela de preços'!$A:$G,7,0)</f>
        <v>AUTOMOTIVO</v>
      </c>
    </row>
    <row r="1331" spans="1:24" x14ac:dyDescent="0.3">
      <c r="A1331" t="s">
        <v>1389</v>
      </c>
      <c r="C1331" t="s">
        <v>1402</v>
      </c>
      <c r="D1331" s="1">
        <v>46041</v>
      </c>
      <c r="E1331" t="s">
        <v>1403</v>
      </c>
      <c r="F1331">
        <v>9</v>
      </c>
      <c r="G1331">
        <v>230</v>
      </c>
      <c r="H1331" t="str">
        <f>VLOOKUP(G1331,[1]OPERADORES!$A:$B,2,0)</f>
        <v>SÔNIA</v>
      </c>
      <c r="I1331" t="s">
        <v>21</v>
      </c>
      <c r="J1331" t="s">
        <v>66</v>
      </c>
      <c r="K1331" t="s">
        <v>1392</v>
      </c>
      <c r="L1331">
        <v>84896</v>
      </c>
      <c r="M1331" t="s">
        <v>1197</v>
      </c>
      <c r="O1331" t="s">
        <v>11</v>
      </c>
      <c r="P1331">
        <v>5403</v>
      </c>
      <c r="Q1331">
        <v>2</v>
      </c>
      <c r="R1331">
        <v>155.59</v>
      </c>
      <c r="S1331">
        <v>311.18</v>
      </c>
      <c r="T1331">
        <v>236.2</v>
      </c>
      <c r="U1331">
        <v>24.1</v>
      </c>
      <c r="V1331" t="str">
        <f>VLOOKUP(L1331,'[2]tabela de preços'!$A:$D,4,0)</f>
        <v>BRASILUX</v>
      </c>
      <c r="W1331" t="str">
        <f>VLOOKUP(L1331,'[2]tabela de preços'!$A:$F,6,0)</f>
        <v>EPOXI</v>
      </c>
      <c r="X1331" t="str">
        <f>VLOOKUP(L1331,'[2]tabela de preços'!$A:$G,7,0)</f>
        <v>INDUSTRIAL</v>
      </c>
    </row>
    <row r="1332" spans="1:24" x14ac:dyDescent="0.3">
      <c r="A1332" t="s">
        <v>1389</v>
      </c>
      <c r="C1332" t="s">
        <v>1402</v>
      </c>
      <c r="D1332" s="1">
        <v>46041</v>
      </c>
      <c r="E1332" t="s">
        <v>1403</v>
      </c>
      <c r="F1332">
        <v>9</v>
      </c>
      <c r="G1332">
        <v>230</v>
      </c>
      <c r="H1332" t="str">
        <f>VLOOKUP(G1332,[1]OPERADORES!$A:$B,2,0)</f>
        <v>SÔNIA</v>
      </c>
      <c r="I1332" t="s">
        <v>21</v>
      </c>
      <c r="J1332" t="s">
        <v>66</v>
      </c>
      <c r="K1332" t="s">
        <v>1392</v>
      </c>
      <c r="L1332">
        <v>84427</v>
      </c>
      <c r="M1332" t="s">
        <v>1398</v>
      </c>
      <c r="O1332" t="s">
        <v>11</v>
      </c>
      <c r="P1332">
        <v>5102</v>
      </c>
      <c r="Q1332">
        <v>1</v>
      </c>
      <c r="R1332">
        <v>6.89</v>
      </c>
      <c r="S1332">
        <v>6.89</v>
      </c>
      <c r="T1332">
        <v>5.23</v>
      </c>
      <c r="U1332">
        <v>24.09</v>
      </c>
      <c r="V1332" t="str">
        <f>VLOOKUP(L1332,'[2]tabela de preços'!$A:$D,4,0)</f>
        <v>ATLAS</v>
      </c>
      <c r="W1332" t="str">
        <f>VLOOKUP(L1332,'[2]tabela de preços'!$A:$F,6,0)</f>
        <v>ROLOS / TRINCHAS / PINCÉIS / ESPÁTULAS</v>
      </c>
      <c r="X1332" t="str">
        <f>VLOOKUP(L1332,'[2]tabela de preços'!$A:$G,7,0)</f>
        <v>IMOBILIÁRIO</v>
      </c>
    </row>
    <row r="1333" spans="1:24" x14ac:dyDescent="0.3">
      <c r="A1333" t="s">
        <v>1389</v>
      </c>
      <c r="C1333" t="s">
        <v>1402</v>
      </c>
      <c r="D1333" s="1">
        <v>46041</v>
      </c>
      <c r="E1333" t="s">
        <v>1403</v>
      </c>
      <c r="F1333">
        <v>9</v>
      </c>
      <c r="G1333">
        <v>230</v>
      </c>
      <c r="H1333" t="str">
        <f>VLOOKUP(G1333,[1]OPERADORES!$A:$B,2,0)</f>
        <v>SÔNIA</v>
      </c>
      <c r="I1333" t="s">
        <v>21</v>
      </c>
      <c r="J1333" t="s">
        <v>66</v>
      </c>
      <c r="K1333" t="s">
        <v>1392</v>
      </c>
      <c r="L1333">
        <v>84423</v>
      </c>
      <c r="M1333" t="s">
        <v>1198</v>
      </c>
      <c r="O1333" t="s">
        <v>11</v>
      </c>
      <c r="P1333">
        <v>5102</v>
      </c>
      <c r="Q1333">
        <v>1</v>
      </c>
      <c r="R1333">
        <v>17.82</v>
      </c>
      <c r="S1333">
        <v>17.82</v>
      </c>
      <c r="T1333">
        <v>13.52</v>
      </c>
      <c r="U1333">
        <v>24.13</v>
      </c>
      <c r="V1333" t="str">
        <f>VLOOKUP(L1333,'[2]tabela de preços'!$A:$D,4,0)</f>
        <v>ATLAS</v>
      </c>
      <c r="W1333" t="str">
        <f>VLOOKUP(L1333,'[2]tabela de preços'!$A:$F,6,0)</f>
        <v>ROLOS / TRINCHAS / PINCÉIS / ESPÁTULAS</v>
      </c>
      <c r="X1333" t="str">
        <f>VLOOKUP(L1333,'[2]tabela de preços'!$A:$G,7,0)</f>
        <v>IMOBILIÁRIO</v>
      </c>
    </row>
    <row r="1334" spans="1:24" x14ac:dyDescent="0.3">
      <c r="A1334" t="s">
        <v>1389</v>
      </c>
      <c r="C1334" t="s">
        <v>1402</v>
      </c>
      <c r="D1334" s="1">
        <v>46041</v>
      </c>
      <c r="E1334" t="s">
        <v>1403</v>
      </c>
      <c r="F1334">
        <v>9</v>
      </c>
      <c r="G1334">
        <v>230</v>
      </c>
      <c r="H1334" t="str">
        <f>VLOOKUP(G1334,[1]OPERADORES!$A:$B,2,0)</f>
        <v>SÔNIA</v>
      </c>
      <c r="I1334" t="s">
        <v>21</v>
      </c>
      <c r="J1334" t="s">
        <v>66</v>
      </c>
      <c r="K1334" t="s">
        <v>1392</v>
      </c>
      <c r="L1334">
        <v>10118</v>
      </c>
      <c r="M1334" t="s">
        <v>572</v>
      </c>
      <c r="O1334" t="s">
        <v>11</v>
      </c>
      <c r="P1334">
        <v>5102</v>
      </c>
      <c r="Q1334">
        <v>2</v>
      </c>
      <c r="R1334">
        <v>5.0199999999999996</v>
      </c>
      <c r="S1334">
        <v>10.039999999999999</v>
      </c>
      <c r="T1334">
        <v>7.62</v>
      </c>
      <c r="U1334">
        <v>24.1</v>
      </c>
      <c r="V1334" t="str">
        <f>VLOOKUP(L1334,'[2]tabela de preços'!$A:$D,4,0)</f>
        <v>ATLAS</v>
      </c>
      <c r="W1334" t="str">
        <f>VLOOKUP(L1334,'[2]tabela de preços'!$A:$F,6,0)</f>
        <v>ROLOS / TRINCHAS / PINCÉIS / ESPÁTULAS</v>
      </c>
      <c r="X1334" t="str">
        <f>VLOOKUP(L1334,'[2]tabela de preços'!$A:$G,7,0)</f>
        <v>IMOBILIÁRIO</v>
      </c>
    </row>
    <row r="1335" spans="1:24" x14ac:dyDescent="0.3">
      <c r="A1335" t="s">
        <v>1486</v>
      </c>
      <c r="C1335" t="s">
        <v>1505</v>
      </c>
      <c r="D1335" s="1">
        <v>46041</v>
      </c>
      <c r="E1335" t="s">
        <v>1506</v>
      </c>
      <c r="F1335">
        <v>9</v>
      </c>
      <c r="G1335">
        <v>236</v>
      </c>
      <c r="H1335" t="str">
        <f>VLOOKUP(G1335,[1]OPERADORES!$A:$B,2,0)</f>
        <v>DANIEL</v>
      </c>
      <c r="I1335" t="s">
        <v>1489</v>
      </c>
      <c r="J1335" t="s">
        <v>1490</v>
      </c>
      <c r="K1335" t="s">
        <v>1491</v>
      </c>
      <c r="L1335">
        <v>10298</v>
      </c>
      <c r="M1335" t="s">
        <v>85</v>
      </c>
      <c r="O1335" t="s">
        <v>11</v>
      </c>
      <c r="P1335">
        <v>6102</v>
      </c>
      <c r="Q1335">
        <v>16</v>
      </c>
      <c r="R1335">
        <v>56.89</v>
      </c>
      <c r="S1335">
        <v>910.24</v>
      </c>
      <c r="T1335">
        <v>758.08</v>
      </c>
      <c r="U1335">
        <v>16.72</v>
      </c>
      <c r="V1335" t="str">
        <f>VLOOKUP(L1335,'[2]tabela de preços'!$A:$D,4,0)</f>
        <v>ANJO</v>
      </c>
      <c r="W1335" t="str">
        <f>VLOOKUP(L1335,'[2]tabela de preços'!$A:$F,6,0)</f>
        <v>THINNER DE LIMPEZA</v>
      </c>
      <c r="X1335" t="str">
        <f>VLOOKUP(L1335,'[2]tabela de preços'!$A:$G,7,0)</f>
        <v>THINNER</v>
      </c>
    </row>
    <row r="1336" spans="1:24" x14ac:dyDescent="0.3">
      <c r="A1336" t="s">
        <v>1486</v>
      </c>
      <c r="C1336" t="s">
        <v>1505</v>
      </c>
      <c r="D1336" s="1">
        <v>46041</v>
      </c>
      <c r="E1336" t="s">
        <v>1506</v>
      </c>
      <c r="F1336">
        <v>9</v>
      </c>
      <c r="G1336">
        <v>236</v>
      </c>
      <c r="H1336" t="str">
        <f>VLOOKUP(G1336,[1]OPERADORES!$A:$B,2,0)</f>
        <v>DANIEL</v>
      </c>
      <c r="I1336" t="s">
        <v>1489</v>
      </c>
      <c r="J1336" t="s">
        <v>1490</v>
      </c>
      <c r="K1336" t="s">
        <v>1491</v>
      </c>
      <c r="L1336">
        <v>10297</v>
      </c>
      <c r="M1336" t="s">
        <v>41</v>
      </c>
      <c r="O1336" t="s">
        <v>11</v>
      </c>
      <c r="P1336">
        <v>6102</v>
      </c>
      <c r="Q1336">
        <v>120</v>
      </c>
      <c r="R1336">
        <v>10.49</v>
      </c>
      <c r="S1336" s="2">
        <v>1258.8</v>
      </c>
      <c r="T1336" s="2">
        <v>1100.4000000000001</v>
      </c>
      <c r="U1336">
        <v>12.58</v>
      </c>
      <c r="V1336" t="str">
        <f>VLOOKUP(L1336,'[2]tabela de preços'!$A:$D,4,0)</f>
        <v>ANJO</v>
      </c>
      <c r="W1336" t="str">
        <f>VLOOKUP(L1336,'[2]tabela de preços'!$A:$F,6,0)</f>
        <v>THINNER DE LIMPEZA</v>
      </c>
      <c r="X1336" t="str">
        <f>VLOOKUP(L1336,'[2]tabela de preços'!$A:$G,7,0)</f>
        <v>THINNER</v>
      </c>
    </row>
    <row r="1337" spans="1:24" x14ac:dyDescent="0.3">
      <c r="A1337" t="s">
        <v>1486</v>
      </c>
      <c r="C1337" t="s">
        <v>1507</v>
      </c>
      <c r="D1337" s="1">
        <v>46041</v>
      </c>
      <c r="E1337" t="s">
        <v>1508</v>
      </c>
      <c r="F1337">
        <v>9</v>
      </c>
      <c r="G1337">
        <v>236</v>
      </c>
      <c r="H1337" t="str">
        <f>VLOOKUP(G1337,[1]OPERADORES!$A:$B,2,0)</f>
        <v>DANIEL</v>
      </c>
      <c r="I1337" t="s">
        <v>1489</v>
      </c>
      <c r="J1337" t="s">
        <v>1490</v>
      </c>
      <c r="K1337" t="s">
        <v>1491</v>
      </c>
      <c r="L1337">
        <v>21741</v>
      </c>
      <c r="M1337" t="s">
        <v>1509</v>
      </c>
      <c r="O1337" t="s">
        <v>11</v>
      </c>
      <c r="P1337">
        <v>6102</v>
      </c>
      <c r="Q1337">
        <v>24</v>
      </c>
      <c r="R1337">
        <v>20.89</v>
      </c>
      <c r="S1337">
        <v>501.36</v>
      </c>
      <c r="T1337">
        <v>380.64</v>
      </c>
      <c r="U1337">
        <v>24.08</v>
      </c>
      <c r="V1337" t="str">
        <f>VLOOKUP(L1337,'[2]tabela de preços'!$A:$D,4,0)</f>
        <v>SOLUFIX</v>
      </c>
      <c r="W1337" t="str">
        <f>VLOOKUP(L1337,'[2]tabela de preços'!$A:$F,6,0)</f>
        <v>COLA INST./ ADESIVOS COLANTES</v>
      </c>
      <c r="X1337" t="str">
        <f>VLOOKUP(L1337,'[2]tabela de preços'!$A:$G,7,0)</f>
        <v>AUTOMOTIVO</v>
      </c>
    </row>
    <row r="1338" spans="1:24" x14ac:dyDescent="0.3">
      <c r="A1338" t="s">
        <v>1486</v>
      </c>
      <c r="C1338" t="s">
        <v>1507</v>
      </c>
      <c r="D1338" s="1">
        <v>46041</v>
      </c>
      <c r="E1338" t="s">
        <v>1508</v>
      </c>
      <c r="F1338">
        <v>9</v>
      </c>
      <c r="G1338">
        <v>236</v>
      </c>
      <c r="H1338" t="str">
        <f>VLOOKUP(G1338,[1]OPERADORES!$A:$B,2,0)</f>
        <v>DANIEL</v>
      </c>
      <c r="I1338" t="s">
        <v>1489</v>
      </c>
      <c r="J1338" t="s">
        <v>1490</v>
      </c>
      <c r="K1338" t="s">
        <v>1491</v>
      </c>
      <c r="L1338">
        <v>9913</v>
      </c>
      <c r="M1338" t="s">
        <v>1510</v>
      </c>
      <c r="O1338" t="s">
        <v>11</v>
      </c>
      <c r="P1338">
        <v>6102</v>
      </c>
      <c r="Q1338">
        <v>50</v>
      </c>
      <c r="R1338">
        <v>5.31</v>
      </c>
      <c r="S1338">
        <v>265.5</v>
      </c>
      <c r="T1338">
        <v>201.5</v>
      </c>
      <c r="U1338">
        <v>24.11</v>
      </c>
      <c r="V1338" t="str">
        <f>VLOOKUP(L1338,'[2]tabela de preços'!$A:$D,4,0)</f>
        <v>WANDA</v>
      </c>
      <c r="W1338" t="str">
        <f>VLOOKUP(L1338,'[2]tabela de preços'!$A:$F,6,0)</f>
        <v>EMBALAGEM</v>
      </c>
      <c r="X1338" t="str">
        <f>VLOOKUP(L1338,'[2]tabela de preços'!$A:$G,7,0)</f>
        <v>AUTOMOTIVO</v>
      </c>
    </row>
    <row r="1339" spans="1:24" x14ac:dyDescent="0.3">
      <c r="A1339" t="s">
        <v>1524</v>
      </c>
      <c r="B1339" t="s">
        <v>1525</v>
      </c>
      <c r="C1339" t="s">
        <v>1546</v>
      </c>
      <c r="D1339" s="1">
        <v>46041</v>
      </c>
      <c r="E1339" t="s">
        <v>1547</v>
      </c>
      <c r="F1339">
        <v>9</v>
      </c>
      <c r="G1339">
        <v>236</v>
      </c>
      <c r="H1339" t="str">
        <f>VLOOKUP(G1339,[1]OPERADORES!$A:$B,2,0)</f>
        <v>DANIEL</v>
      </c>
      <c r="I1339" t="s">
        <v>21</v>
      </c>
      <c r="J1339" t="s">
        <v>762</v>
      </c>
      <c r="K1339" t="s">
        <v>1528</v>
      </c>
      <c r="L1339">
        <v>84222</v>
      </c>
      <c r="M1339" t="s">
        <v>1548</v>
      </c>
      <c r="O1339" t="s">
        <v>11</v>
      </c>
      <c r="P1339">
        <v>5403</v>
      </c>
      <c r="Q1339">
        <v>6</v>
      </c>
      <c r="R1339">
        <v>16.8</v>
      </c>
      <c r="S1339">
        <v>100.8</v>
      </c>
      <c r="T1339">
        <v>76.5</v>
      </c>
      <c r="U1339">
        <v>24.11</v>
      </c>
      <c r="V1339" t="str">
        <f>VLOOKUP(L1339,'[2]tabela de preços'!$A:$D,4,0)</f>
        <v>BRASILUX</v>
      </c>
      <c r="W1339" t="str">
        <f>VLOOKUP(L1339,'[2]tabela de preços'!$A:$F,6,0)</f>
        <v>ESMALTES</v>
      </c>
      <c r="X1339" t="str">
        <f>VLOOKUP(L1339,'[2]tabela de preços'!$A:$G,7,0)</f>
        <v>INDUSTRIAL</v>
      </c>
    </row>
    <row r="1340" spans="1:24" x14ac:dyDescent="0.3">
      <c r="A1340" t="s">
        <v>1524</v>
      </c>
      <c r="B1340" t="s">
        <v>1525</v>
      </c>
      <c r="C1340" t="s">
        <v>1546</v>
      </c>
      <c r="D1340" s="1">
        <v>46041</v>
      </c>
      <c r="E1340" t="s">
        <v>1547</v>
      </c>
      <c r="F1340">
        <v>9</v>
      </c>
      <c r="G1340">
        <v>236</v>
      </c>
      <c r="H1340" t="str">
        <f>VLOOKUP(G1340,[1]OPERADORES!$A:$B,2,0)</f>
        <v>DANIEL</v>
      </c>
      <c r="I1340" t="s">
        <v>21</v>
      </c>
      <c r="J1340" t="s">
        <v>762</v>
      </c>
      <c r="K1340" t="s">
        <v>1528</v>
      </c>
      <c r="L1340">
        <v>85269</v>
      </c>
      <c r="M1340" t="s">
        <v>1549</v>
      </c>
      <c r="O1340" t="s">
        <v>11</v>
      </c>
      <c r="P1340">
        <v>5403</v>
      </c>
      <c r="Q1340">
        <v>6</v>
      </c>
      <c r="R1340">
        <v>27.11</v>
      </c>
      <c r="S1340">
        <v>162.66</v>
      </c>
      <c r="T1340">
        <v>123.42</v>
      </c>
      <c r="U1340">
        <v>24.12</v>
      </c>
      <c r="V1340" t="str">
        <f>VLOOKUP(L1340,'[2]tabela de preços'!$A:$D,4,0)</f>
        <v>BRASILUX</v>
      </c>
      <c r="W1340" t="str">
        <f>VLOOKUP(L1340,'[2]tabela de preços'!$A:$F,6,0)</f>
        <v>ESMALTES</v>
      </c>
      <c r="X1340" t="str">
        <f>VLOOKUP(L1340,'[2]tabela de preços'!$A:$G,7,0)</f>
        <v>INDUSTRIAL</v>
      </c>
    </row>
    <row r="1341" spans="1:24" x14ac:dyDescent="0.3">
      <c r="A1341" t="s">
        <v>1524</v>
      </c>
      <c r="B1341" t="s">
        <v>1525</v>
      </c>
      <c r="C1341" t="s">
        <v>1546</v>
      </c>
      <c r="D1341" s="1">
        <v>46041</v>
      </c>
      <c r="E1341" t="s">
        <v>1547</v>
      </c>
      <c r="F1341">
        <v>9</v>
      </c>
      <c r="G1341">
        <v>236</v>
      </c>
      <c r="H1341" t="str">
        <f>VLOOKUP(G1341,[1]OPERADORES!$A:$B,2,0)</f>
        <v>DANIEL</v>
      </c>
      <c r="I1341" t="s">
        <v>21</v>
      </c>
      <c r="J1341" t="s">
        <v>762</v>
      </c>
      <c r="K1341" t="s">
        <v>1528</v>
      </c>
      <c r="L1341">
        <v>84176</v>
      </c>
      <c r="M1341" t="s">
        <v>1550</v>
      </c>
      <c r="O1341" t="s">
        <v>11</v>
      </c>
      <c r="P1341">
        <v>5403</v>
      </c>
      <c r="Q1341">
        <v>4</v>
      </c>
      <c r="R1341">
        <v>92.33</v>
      </c>
      <c r="S1341">
        <v>369.32</v>
      </c>
      <c r="T1341">
        <v>280.32</v>
      </c>
      <c r="U1341">
        <v>24.1</v>
      </c>
      <c r="V1341" t="str">
        <f>VLOOKUP(L1341,'[2]tabela de preços'!$A:$D,4,0)</f>
        <v>BRASILUX</v>
      </c>
      <c r="W1341" t="str">
        <f>VLOOKUP(L1341,'[2]tabela de preços'!$A:$F,6,0)</f>
        <v>ESMALTES</v>
      </c>
      <c r="X1341" t="str">
        <f>VLOOKUP(L1341,'[2]tabela de preços'!$A:$G,7,0)</f>
        <v>INDUSTRIAL</v>
      </c>
    </row>
    <row r="1342" spans="1:24" x14ac:dyDescent="0.3">
      <c r="A1342" t="s">
        <v>1524</v>
      </c>
      <c r="B1342" t="s">
        <v>1525</v>
      </c>
      <c r="C1342" t="s">
        <v>1546</v>
      </c>
      <c r="D1342" s="1">
        <v>46041</v>
      </c>
      <c r="E1342" t="s">
        <v>1547</v>
      </c>
      <c r="F1342">
        <v>9</v>
      </c>
      <c r="G1342">
        <v>236</v>
      </c>
      <c r="H1342" t="str">
        <f>VLOOKUP(G1342,[1]OPERADORES!$A:$B,2,0)</f>
        <v>DANIEL</v>
      </c>
      <c r="I1342" t="s">
        <v>21</v>
      </c>
      <c r="J1342" t="s">
        <v>762</v>
      </c>
      <c r="K1342" t="s">
        <v>1528</v>
      </c>
      <c r="L1342">
        <v>84179</v>
      </c>
      <c r="M1342" t="s">
        <v>1551</v>
      </c>
      <c r="O1342" t="s">
        <v>11</v>
      </c>
      <c r="P1342">
        <v>5403</v>
      </c>
      <c r="Q1342">
        <v>5</v>
      </c>
      <c r="R1342">
        <v>26.56</v>
      </c>
      <c r="S1342">
        <v>132.80000000000001</v>
      </c>
      <c r="T1342">
        <v>100.8</v>
      </c>
      <c r="U1342">
        <v>24.1</v>
      </c>
      <c r="V1342" t="str">
        <f>VLOOKUP(L1342,'[2]tabela de preços'!$A:$D,4,0)</f>
        <v>BRASILUX</v>
      </c>
      <c r="W1342" t="str">
        <f>VLOOKUP(L1342,'[2]tabela de preços'!$A:$F,6,0)</f>
        <v>ESMALTES</v>
      </c>
      <c r="X1342" t="str">
        <f>VLOOKUP(L1342,'[2]tabela de preços'!$A:$G,7,0)</f>
        <v>INDUSTRIAL</v>
      </c>
    </row>
    <row r="1343" spans="1:24" x14ac:dyDescent="0.3">
      <c r="A1343" t="s">
        <v>1524</v>
      </c>
      <c r="B1343" t="s">
        <v>1525</v>
      </c>
      <c r="C1343" t="s">
        <v>1546</v>
      </c>
      <c r="D1343" s="1">
        <v>46041</v>
      </c>
      <c r="E1343" t="s">
        <v>1547</v>
      </c>
      <c r="F1343">
        <v>9</v>
      </c>
      <c r="G1343">
        <v>236</v>
      </c>
      <c r="H1343" t="str">
        <f>VLOOKUP(G1343,[1]OPERADORES!$A:$B,2,0)</f>
        <v>DANIEL</v>
      </c>
      <c r="I1343" t="s">
        <v>21</v>
      </c>
      <c r="J1343" t="s">
        <v>762</v>
      </c>
      <c r="K1343" t="s">
        <v>1528</v>
      </c>
      <c r="L1343">
        <v>84111</v>
      </c>
      <c r="M1343" t="s">
        <v>1393</v>
      </c>
      <c r="O1343" t="s">
        <v>11</v>
      </c>
      <c r="P1343">
        <v>5403</v>
      </c>
      <c r="Q1343">
        <v>2</v>
      </c>
      <c r="R1343">
        <v>153.99</v>
      </c>
      <c r="S1343">
        <v>307.98</v>
      </c>
      <c r="T1343">
        <v>233.76</v>
      </c>
      <c r="U1343">
        <v>24.1</v>
      </c>
      <c r="V1343" t="str">
        <f>VLOOKUP(L1343,'[2]tabela de preços'!$A:$D,4,0)</f>
        <v>BRASILUX</v>
      </c>
      <c r="W1343" t="str">
        <f>VLOOKUP(L1343,'[2]tabela de preços'!$A:$F,6,0)</f>
        <v>EPOXI</v>
      </c>
      <c r="X1343" t="str">
        <f>VLOOKUP(L1343,'[2]tabela de preços'!$A:$G,7,0)</f>
        <v>INDUSTRIAL</v>
      </c>
    </row>
    <row r="1344" spans="1:24" x14ac:dyDescent="0.3">
      <c r="A1344" t="s">
        <v>1524</v>
      </c>
      <c r="B1344" t="s">
        <v>1525</v>
      </c>
      <c r="C1344" t="s">
        <v>1546</v>
      </c>
      <c r="D1344" s="1">
        <v>46041</v>
      </c>
      <c r="E1344" t="s">
        <v>1547</v>
      </c>
      <c r="F1344">
        <v>9</v>
      </c>
      <c r="G1344">
        <v>236</v>
      </c>
      <c r="H1344" t="str">
        <f>VLOOKUP(G1344,[1]OPERADORES!$A:$B,2,0)</f>
        <v>DANIEL</v>
      </c>
      <c r="I1344" t="s">
        <v>21</v>
      </c>
      <c r="J1344" t="s">
        <v>762</v>
      </c>
      <c r="K1344" t="s">
        <v>1528</v>
      </c>
      <c r="L1344">
        <v>84200</v>
      </c>
      <c r="M1344" t="s">
        <v>1552</v>
      </c>
      <c r="O1344" t="s">
        <v>11</v>
      </c>
      <c r="P1344">
        <v>5403</v>
      </c>
      <c r="Q1344">
        <v>2</v>
      </c>
      <c r="R1344">
        <v>224.04</v>
      </c>
      <c r="S1344">
        <v>448.08</v>
      </c>
      <c r="T1344">
        <v>340.1</v>
      </c>
      <c r="U1344">
        <v>24.1</v>
      </c>
      <c r="V1344" t="str">
        <f>VLOOKUP(L1344,'[2]tabela de preços'!$A:$D,4,0)</f>
        <v>BRASILUX</v>
      </c>
      <c r="W1344" t="str">
        <f>VLOOKUP(L1344,'[2]tabela de preços'!$A:$F,6,0)</f>
        <v>EPOXI</v>
      </c>
      <c r="X1344" t="str">
        <f>VLOOKUP(L1344,'[2]tabela de preços'!$A:$G,7,0)</f>
        <v>INDUSTRIAL</v>
      </c>
    </row>
    <row r="1345" spans="1:24" x14ac:dyDescent="0.3">
      <c r="A1345" t="s">
        <v>1561</v>
      </c>
      <c r="C1345" t="s">
        <v>1585</v>
      </c>
      <c r="D1345" s="1">
        <v>46041</v>
      </c>
      <c r="E1345" t="s">
        <v>1586</v>
      </c>
      <c r="F1345">
        <v>9</v>
      </c>
      <c r="G1345">
        <v>174</v>
      </c>
      <c r="H1345" t="str">
        <f>VLOOKUP(G1345,[1]OPERADORES!$A:$B,2,0)</f>
        <v>MIRIÃ LOBATO RODRIGUES</v>
      </c>
      <c r="I1345" t="s">
        <v>21</v>
      </c>
      <c r="J1345" t="s">
        <v>1564</v>
      </c>
      <c r="K1345" t="s">
        <v>1565</v>
      </c>
      <c r="L1345">
        <v>84268</v>
      </c>
      <c r="M1345" t="s">
        <v>1566</v>
      </c>
      <c r="O1345" t="s">
        <v>11</v>
      </c>
      <c r="P1345">
        <v>5403</v>
      </c>
      <c r="Q1345">
        <v>2</v>
      </c>
      <c r="R1345">
        <v>193.92</v>
      </c>
      <c r="S1345">
        <v>387.84</v>
      </c>
      <c r="T1345">
        <v>294.38</v>
      </c>
      <c r="U1345">
        <v>24.1</v>
      </c>
      <c r="V1345" t="str">
        <f>VLOOKUP(L1345,'[2]tabela de preços'!$A:$D,4,0)</f>
        <v>BRASILUX</v>
      </c>
      <c r="W1345" t="str">
        <f>VLOOKUP(L1345,'[2]tabela de preços'!$A:$F,6,0)</f>
        <v>TINTA PAREDE</v>
      </c>
      <c r="X1345" t="str">
        <f>VLOOKUP(L1345,'[2]tabela de preços'!$A:$G,7,0)</f>
        <v>IMOBILIÁRIO</v>
      </c>
    </row>
    <row r="1346" spans="1:24" x14ac:dyDescent="0.3">
      <c r="A1346" t="s">
        <v>1602</v>
      </c>
      <c r="C1346" t="s">
        <v>1603</v>
      </c>
      <c r="D1346" s="1">
        <v>46041</v>
      </c>
      <c r="E1346" t="s">
        <v>1604</v>
      </c>
      <c r="F1346">
        <v>9</v>
      </c>
      <c r="G1346">
        <v>236</v>
      </c>
      <c r="H1346" t="str">
        <f>VLOOKUP(G1346,[1]OPERADORES!$A:$B,2,0)</f>
        <v>DANIEL</v>
      </c>
      <c r="I1346" t="s">
        <v>21</v>
      </c>
      <c r="J1346" t="s">
        <v>1188</v>
      </c>
      <c r="K1346" t="s">
        <v>1605</v>
      </c>
      <c r="L1346">
        <v>84347</v>
      </c>
      <c r="M1346" t="s">
        <v>1150</v>
      </c>
      <c r="O1346" t="s">
        <v>11</v>
      </c>
      <c r="P1346">
        <v>5403</v>
      </c>
      <c r="Q1346">
        <v>8</v>
      </c>
      <c r="R1346">
        <v>59.98</v>
      </c>
      <c r="S1346">
        <v>479.84</v>
      </c>
      <c r="T1346">
        <v>416</v>
      </c>
      <c r="U1346">
        <v>13.3</v>
      </c>
      <c r="V1346" t="str">
        <f>VLOOKUP(L1346,'[2]tabela de preços'!$A:$D,4,0)</f>
        <v>BRASILUX</v>
      </c>
      <c r="W1346" t="str">
        <f>VLOOKUP(L1346,'[2]tabela de preços'!$A:$F,6,0)</f>
        <v>ESMALTES</v>
      </c>
      <c r="X1346" t="str">
        <f>VLOOKUP(L1346,'[2]tabela de preços'!$A:$G,7,0)</f>
        <v>INDUSTRIAL</v>
      </c>
    </row>
    <row r="1347" spans="1:24" x14ac:dyDescent="0.3">
      <c r="A1347" t="s">
        <v>1649</v>
      </c>
      <c r="B1347" t="s">
        <v>1650</v>
      </c>
      <c r="C1347" t="s">
        <v>1663</v>
      </c>
      <c r="D1347" s="1">
        <v>46041</v>
      </c>
      <c r="E1347" t="s">
        <v>1664</v>
      </c>
      <c r="F1347">
        <v>9</v>
      </c>
      <c r="G1347">
        <v>236</v>
      </c>
      <c r="H1347" t="str">
        <f>VLOOKUP(G1347,[1]OPERADORES!$A:$B,2,0)</f>
        <v>DANIEL</v>
      </c>
      <c r="I1347" t="s">
        <v>21</v>
      </c>
      <c r="J1347" t="s">
        <v>1653</v>
      </c>
      <c r="K1347" t="s">
        <v>1654</v>
      </c>
      <c r="L1347">
        <v>87043</v>
      </c>
      <c r="M1347" t="s">
        <v>217</v>
      </c>
      <c r="O1347" t="s">
        <v>11</v>
      </c>
      <c r="P1347">
        <v>5102</v>
      </c>
      <c r="Q1347">
        <v>40</v>
      </c>
      <c r="R1347">
        <v>21.95</v>
      </c>
      <c r="S1347">
        <v>878</v>
      </c>
      <c r="T1347">
        <v>720.8</v>
      </c>
      <c r="U1347">
        <v>17.899999999999999</v>
      </c>
      <c r="V1347" t="str">
        <f>VLOOKUP(L1347,'[2]tabela de preços'!$A:$D,4,0)</f>
        <v>ROBERLO</v>
      </c>
      <c r="W1347" t="str">
        <f>VLOOKUP(L1347,'[2]tabela de preços'!$A:$F,6,0)</f>
        <v>MASSA POLIÉSTER</v>
      </c>
      <c r="X1347" t="str">
        <f>VLOOKUP(L1347,'[2]tabela de preços'!$A:$G,7,0)</f>
        <v>AUTOMOTIVO</v>
      </c>
    </row>
    <row r="1348" spans="1:24" x14ac:dyDescent="0.3">
      <c r="A1348" t="s">
        <v>1790</v>
      </c>
      <c r="C1348" t="s">
        <v>1797</v>
      </c>
      <c r="D1348" s="1">
        <v>46041</v>
      </c>
      <c r="F1348">
        <v>9</v>
      </c>
      <c r="G1348">
        <v>197</v>
      </c>
      <c r="H1348" t="str">
        <f>VLOOKUP(G1348,[1]OPERADORES!$A:$B,2,0)</f>
        <v xml:space="preserve">POLIANA LORRANE DE AMORIM </v>
      </c>
      <c r="I1348" t="s">
        <v>1761</v>
      </c>
      <c r="J1348" t="s">
        <v>1793</v>
      </c>
      <c r="K1348" t="s">
        <v>1794</v>
      </c>
      <c r="L1348">
        <v>86542</v>
      </c>
      <c r="M1348" t="s">
        <v>352</v>
      </c>
      <c r="N1348" t="s">
        <v>1798</v>
      </c>
      <c r="O1348" t="s">
        <v>11</v>
      </c>
      <c r="P1348">
        <v>2202</v>
      </c>
      <c r="Q1348">
        <v>-25</v>
      </c>
      <c r="R1348">
        <v>78.900000000000006</v>
      </c>
      <c r="S1348" s="2">
        <v>-1972.5</v>
      </c>
      <c r="T1348" s="2">
        <v>-1729</v>
      </c>
      <c r="U1348">
        <v>12.34</v>
      </c>
      <c r="V1348" t="str">
        <f>VLOOKUP(L1348,'[2]tabela de preços'!$A:$D,4,0)</f>
        <v>CORAL</v>
      </c>
      <c r="W1348" t="str">
        <f>VLOOKUP(L1348,'[2]tabela de preços'!$A:$F,6,0)</f>
        <v>MASSA CORRIDA / ACRÍLICA</v>
      </c>
      <c r="X1348" t="str">
        <f>VLOOKUP(L1348,'[2]tabela de preços'!$A:$G,7,0)</f>
        <v>IMOBILIÁRIO</v>
      </c>
    </row>
    <row r="1349" spans="1:24" x14ac:dyDescent="0.3">
      <c r="A1349" t="s">
        <v>1935</v>
      </c>
      <c r="B1349" t="s">
        <v>1936</v>
      </c>
      <c r="C1349" t="s">
        <v>1937</v>
      </c>
      <c r="D1349" s="1">
        <v>46041</v>
      </c>
      <c r="E1349" t="s">
        <v>1938</v>
      </c>
      <c r="F1349">
        <v>9</v>
      </c>
      <c r="G1349">
        <v>236</v>
      </c>
      <c r="H1349" t="str">
        <f>VLOOKUP(G1349,[1]OPERADORES!$A:$B,2,0)</f>
        <v>DANIEL</v>
      </c>
      <c r="I1349" t="s">
        <v>21</v>
      </c>
      <c r="J1349" t="s">
        <v>1939</v>
      </c>
      <c r="K1349" t="s">
        <v>1940</v>
      </c>
      <c r="L1349">
        <v>86995</v>
      </c>
      <c r="M1349" t="s">
        <v>37</v>
      </c>
      <c r="O1349" t="s">
        <v>11</v>
      </c>
      <c r="P1349">
        <v>5102</v>
      </c>
      <c r="Q1349">
        <v>50</v>
      </c>
      <c r="R1349">
        <v>7.29</v>
      </c>
      <c r="S1349">
        <v>364.5</v>
      </c>
      <c r="T1349">
        <v>291.5</v>
      </c>
      <c r="U1349">
        <v>20.03</v>
      </c>
      <c r="V1349" t="str">
        <f>VLOOKUP(L1349,'[2]tabela de preços'!$A:$D,4,0)</f>
        <v>AUTOAMERICA</v>
      </c>
      <c r="W1349" t="str">
        <f>VLOOKUP(L1349,'[2]tabela de preços'!$A:$F,6,0)</f>
        <v>FLANELAS / PANOS</v>
      </c>
      <c r="X1349" t="str">
        <f>VLOOKUP(L1349,'[2]tabela de preços'!$A:$G,7,0)</f>
        <v>AUTOMOTIVO</v>
      </c>
    </row>
    <row r="1350" spans="1:24" x14ac:dyDescent="0.3">
      <c r="A1350" t="s">
        <v>2025</v>
      </c>
      <c r="C1350" t="s">
        <v>2034</v>
      </c>
      <c r="D1350" s="1">
        <v>46041</v>
      </c>
      <c r="E1350" t="s">
        <v>2035</v>
      </c>
      <c r="F1350">
        <v>9</v>
      </c>
      <c r="G1350">
        <v>174</v>
      </c>
      <c r="H1350" t="str">
        <f>VLOOKUP(G1350,[1]OPERADORES!$A:$B,2,0)</f>
        <v>MIRIÃ LOBATO RODRIGUES</v>
      </c>
      <c r="I1350" t="s">
        <v>21</v>
      </c>
      <c r="J1350" t="s">
        <v>762</v>
      </c>
      <c r="K1350" t="s">
        <v>2028</v>
      </c>
      <c r="L1350">
        <v>10232</v>
      </c>
      <c r="M1350" t="s">
        <v>134</v>
      </c>
      <c r="O1350" t="s">
        <v>11</v>
      </c>
      <c r="P1350">
        <v>5102</v>
      </c>
      <c r="Q1350">
        <v>20</v>
      </c>
      <c r="R1350">
        <v>2.79</v>
      </c>
      <c r="S1350">
        <v>55.8</v>
      </c>
      <c r="T1350">
        <v>45</v>
      </c>
      <c r="U1350">
        <v>19.350000000000001</v>
      </c>
      <c r="V1350" t="str">
        <f>VLOOKUP(L1350,'[2]tabela de preços'!$A:$D,4,0)</f>
        <v>NORTON</v>
      </c>
      <c r="W1350" t="str">
        <f>VLOOKUP(L1350,'[2]tabela de preços'!$A:$F,6,0)</f>
        <v xml:space="preserve">DISCOS / LIXAS / ABRASIVOS </v>
      </c>
      <c r="X1350" t="str">
        <f>VLOOKUP(L1350,'[2]tabela de preços'!$A:$G,7,0)</f>
        <v>AUTOMOTIVO</v>
      </c>
    </row>
    <row r="1351" spans="1:24" x14ac:dyDescent="0.3">
      <c r="A1351" t="s">
        <v>2025</v>
      </c>
      <c r="C1351" t="s">
        <v>2034</v>
      </c>
      <c r="D1351" s="1">
        <v>46041</v>
      </c>
      <c r="E1351" t="s">
        <v>2035</v>
      </c>
      <c r="F1351">
        <v>9</v>
      </c>
      <c r="G1351">
        <v>174</v>
      </c>
      <c r="H1351" t="str">
        <f>VLOOKUP(G1351,[1]OPERADORES!$A:$B,2,0)</f>
        <v>MIRIÃ LOBATO RODRIGUES</v>
      </c>
      <c r="I1351" t="s">
        <v>21</v>
      </c>
      <c r="J1351" t="s">
        <v>762</v>
      </c>
      <c r="K1351" t="s">
        <v>2028</v>
      </c>
      <c r="L1351">
        <v>10234</v>
      </c>
      <c r="M1351" t="s">
        <v>157</v>
      </c>
      <c r="O1351" t="s">
        <v>11</v>
      </c>
      <c r="P1351">
        <v>5102</v>
      </c>
      <c r="Q1351">
        <v>10</v>
      </c>
      <c r="R1351">
        <v>2.79</v>
      </c>
      <c r="S1351">
        <v>27.9</v>
      </c>
      <c r="T1351">
        <v>23.2</v>
      </c>
      <c r="U1351">
        <v>16.850000000000001</v>
      </c>
      <c r="V1351" t="str">
        <f>VLOOKUP(L1351,'[2]tabela de preços'!$A:$D,4,0)</f>
        <v>NORTON</v>
      </c>
      <c r="W1351" t="str">
        <f>VLOOKUP(L1351,'[2]tabela de preços'!$A:$F,6,0)</f>
        <v xml:space="preserve">DISCOS / LIXAS / ABRASIVOS </v>
      </c>
      <c r="X1351" t="str">
        <f>VLOOKUP(L1351,'[2]tabela de preços'!$A:$G,7,0)</f>
        <v>AUTOMOTIVO</v>
      </c>
    </row>
    <row r="1352" spans="1:24" x14ac:dyDescent="0.3">
      <c r="A1352" t="s">
        <v>2025</v>
      </c>
      <c r="C1352" t="s">
        <v>2034</v>
      </c>
      <c r="D1352" s="1">
        <v>46041</v>
      </c>
      <c r="E1352" t="s">
        <v>2035</v>
      </c>
      <c r="F1352">
        <v>9</v>
      </c>
      <c r="G1352">
        <v>174</v>
      </c>
      <c r="H1352" t="str">
        <f>VLOOKUP(G1352,[1]OPERADORES!$A:$B,2,0)</f>
        <v>MIRIÃ LOBATO RODRIGUES</v>
      </c>
      <c r="I1352" t="s">
        <v>21</v>
      </c>
      <c r="J1352" t="s">
        <v>762</v>
      </c>
      <c r="K1352" t="s">
        <v>2028</v>
      </c>
      <c r="L1352">
        <v>22188</v>
      </c>
      <c r="M1352" t="s">
        <v>78</v>
      </c>
      <c r="O1352" t="s">
        <v>11</v>
      </c>
      <c r="P1352">
        <v>5102</v>
      </c>
      <c r="Q1352">
        <v>3</v>
      </c>
      <c r="R1352">
        <v>14.35</v>
      </c>
      <c r="S1352">
        <v>43.05</v>
      </c>
      <c r="T1352">
        <v>32.67</v>
      </c>
      <c r="U1352">
        <v>24.11</v>
      </c>
      <c r="V1352" t="str">
        <f>VLOOKUP(L1352,'[2]tabela de preços'!$A:$D,4,0)</f>
        <v>3M</v>
      </c>
      <c r="W1352" t="str">
        <f>VLOOKUP(L1352,'[2]tabela de preços'!$A:$F,6,0)</f>
        <v>FITA AUTOMOTIVA</v>
      </c>
      <c r="X1352" t="str">
        <f>VLOOKUP(L1352,'[2]tabela de preços'!$A:$G,7,0)</f>
        <v>AUTOMOTIVO</v>
      </c>
    </row>
    <row r="1353" spans="1:24" x14ac:dyDescent="0.3">
      <c r="A1353" t="s">
        <v>2025</v>
      </c>
      <c r="C1353" t="s">
        <v>2034</v>
      </c>
      <c r="D1353" s="1">
        <v>46041</v>
      </c>
      <c r="E1353" t="s">
        <v>2035</v>
      </c>
      <c r="F1353">
        <v>9</v>
      </c>
      <c r="G1353">
        <v>174</v>
      </c>
      <c r="H1353" t="str">
        <f>VLOOKUP(G1353,[1]OPERADORES!$A:$B,2,0)</f>
        <v>MIRIÃ LOBATO RODRIGUES</v>
      </c>
      <c r="I1353" t="s">
        <v>21</v>
      </c>
      <c r="J1353" t="s">
        <v>762</v>
      </c>
      <c r="K1353" t="s">
        <v>2028</v>
      </c>
      <c r="L1353">
        <v>23653</v>
      </c>
      <c r="M1353" t="s">
        <v>644</v>
      </c>
      <c r="O1353" t="s">
        <v>11</v>
      </c>
      <c r="P1353">
        <v>5102</v>
      </c>
      <c r="Q1353">
        <v>1</v>
      </c>
      <c r="R1353">
        <v>67.150000000000006</v>
      </c>
      <c r="S1353">
        <v>67.150000000000006</v>
      </c>
      <c r="T1353">
        <v>50.97</v>
      </c>
      <c r="U1353">
        <v>24.1</v>
      </c>
      <c r="V1353" t="str">
        <f>VLOOKUP(L1353,'[2]tabela de preços'!$A:$D,4,0)</f>
        <v>SIKKENS</v>
      </c>
      <c r="W1353" t="str">
        <f>VLOOKUP(L1353,'[2]tabela de preços'!$A:$F,6,0)</f>
        <v>CATALISADORES INDIVIDUAS</v>
      </c>
      <c r="X1353" t="str">
        <f>VLOOKUP(L1353,'[2]tabela de preços'!$A:$G,7,0)</f>
        <v>AUTOMOTIVO</v>
      </c>
    </row>
    <row r="1354" spans="1:24" x14ac:dyDescent="0.3">
      <c r="A1354" t="s">
        <v>2025</v>
      </c>
      <c r="C1354" t="s">
        <v>2034</v>
      </c>
      <c r="D1354" s="1">
        <v>46041</v>
      </c>
      <c r="E1354" t="s">
        <v>2035</v>
      </c>
      <c r="F1354">
        <v>9</v>
      </c>
      <c r="G1354">
        <v>174</v>
      </c>
      <c r="H1354" t="str">
        <f>VLOOKUP(G1354,[1]OPERADORES!$A:$B,2,0)</f>
        <v>MIRIÃ LOBATO RODRIGUES</v>
      </c>
      <c r="I1354" t="s">
        <v>21</v>
      </c>
      <c r="J1354" t="s">
        <v>762</v>
      </c>
      <c r="K1354" t="s">
        <v>2028</v>
      </c>
      <c r="L1354">
        <v>10238</v>
      </c>
      <c r="M1354" t="s">
        <v>79</v>
      </c>
      <c r="O1354" t="s">
        <v>11</v>
      </c>
      <c r="P1354">
        <v>5102</v>
      </c>
      <c r="Q1354">
        <v>10</v>
      </c>
      <c r="R1354">
        <v>2.79</v>
      </c>
      <c r="S1354">
        <v>27.9</v>
      </c>
      <c r="T1354">
        <v>22.4</v>
      </c>
      <c r="U1354">
        <v>19.71</v>
      </c>
      <c r="V1354" t="str">
        <f>VLOOKUP(L1354,'[2]tabela de preços'!$A:$D,4,0)</f>
        <v>NORTON</v>
      </c>
      <c r="W1354" t="str">
        <f>VLOOKUP(L1354,'[2]tabela de preços'!$A:$F,6,0)</f>
        <v xml:space="preserve">DISCOS / LIXAS / ABRASIVOS </v>
      </c>
      <c r="X1354" t="str">
        <f>VLOOKUP(L1354,'[2]tabela de preços'!$A:$G,7,0)</f>
        <v>AUTOMOTIVO</v>
      </c>
    </row>
    <row r="1355" spans="1:24" x14ac:dyDescent="0.3">
      <c r="A1355" t="s">
        <v>2025</v>
      </c>
      <c r="C1355" t="s">
        <v>2034</v>
      </c>
      <c r="D1355" s="1">
        <v>46041</v>
      </c>
      <c r="E1355" t="s">
        <v>2035</v>
      </c>
      <c r="F1355">
        <v>9</v>
      </c>
      <c r="G1355">
        <v>174</v>
      </c>
      <c r="H1355" t="str">
        <f>VLOOKUP(G1355,[1]OPERADORES!$A:$B,2,0)</f>
        <v>MIRIÃ LOBATO RODRIGUES</v>
      </c>
      <c r="I1355" t="s">
        <v>21</v>
      </c>
      <c r="J1355" t="s">
        <v>762</v>
      </c>
      <c r="K1355" t="s">
        <v>2028</v>
      </c>
      <c r="L1355">
        <v>10240</v>
      </c>
      <c r="M1355" t="s">
        <v>81</v>
      </c>
      <c r="O1355" t="s">
        <v>11</v>
      </c>
      <c r="P1355">
        <v>5102</v>
      </c>
      <c r="Q1355">
        <v>10</v>
      </c>
      <c r="R1355">
        <v>2.79</v>
      </c>
      <c r="S1355">
        <v>27.9</v>
      </c>
      <c r="T1355">
        <v>22.4</v>
      </c>
      <c r="U1355">
        <v>19.71</v>
      </c>
      <c r="V1355" t="str">
        <f>VLOOKUP(L1355,'[2]tabela de preços'!$A:$D,4,0)</f>
        <v>NORTON</v>
      </c>
      <c r="W1355" t="str">
        <f>VLOOKUP(L1355,'[2]tabela de preços'!$A:$F,6,0)</f>
        <v xml:space="preserve">DISCOS / LIXAS / ABRASIVOS </v>
      </c>
      <c r="X1355" t="str">
        <f>VLOOKUP(L1355,'[2]tabela de preços'!$A:$G,7,0)</f>
        <v>AUTOMOTIVO</v>
      </c>
    </row>
    <row r="1356" spans="1:24" x14ac:dyDescent="0.3">
      <c r="A1356" t="s">
        <v>2025</v>
      </c>
      <c r="C1356" t="s">
        <v>2034</v>
      </c>
      <c r="D1356" s="1">
        <v>46041</v>
      </c>
      <c r="E1356" t="s">
        <v>2035</v>
      </c>
      <c r="F1356">
        <v>9</v>
      </c>
      <c r="G1356">
        <v>174</v>
      </c>
      <c r="H1356" t="str">
        <f>VLOOKUP(G1356,[1]OPERADORES!$A:$B,2,0)</f>
        <v>MIRIÃ LOBATO RODRIGUES</v>
      </c>
      <c r="I1356" t="s">
        <v>21</v>
      </c>
      <c r="J1356" t="s">
        <v>762</v>
      </c>
      <c r="K1356" t="s">
        <v>2028</v>
      </c>
      <c r="L1356">
        <v>10243</v>
      </c>
      <c r="M1356" t="s">
        <v>83</v>
      </c>
      <c r="O1356" t="s">
        <v>11</v>
      </c>
      <c r="P1356">
        <v>5102</v>
      </c>
      <c r="Q1356">
        <v>10</v>
      </c>
      <c r="R1356">
        <v>2.79</v>
      </c>
      <c r="S1356">
        <v>27.9</v>
      </c>
      <c r="T1356">
        <v>19.3</v>
      </c>
      <c r="U1356">
        <v>30.82</v>
      </c>
      <c r="V1356" t="str">
        <f>VLOOKUP(L1356,'[2]tabela de preços'!$A:$D,4,0)</f>
        <v>NORTON</v>
      </c>
      <c r="W1356" t="str">
        <f>VLOOKUP(L1356,'[2]tabela de preços'!$A:$F,6,0)</f>
        <v xml:space="preserve">DISCOS / LIXAS / ABRASIVOS </v>
      </c>
      <c r="X1356" t="str">
        <f>VLOOKUP(L1356,'[2]tabela de preços'!$A:$G,7,0)</f>
        <v>AUTOMOTIVO</v>
      </c>
    </row>
    <row r="1357" spans="1:24" x14ac:dyDescent="0.3">
      <c r="A1357" t="s">
        <v>2025</v>
      </c>
      <c r="C1357" t="s">
        <v>2034</v>
      </c>
      <c r="D1357" s="1">
        <v>46041</v>
      </c>
      <c r="E1357" t="s">
        <v>2035</v>
      </c>
      <c r="F1357">
        <v>9</v>
      </c>
      <c r="G1357">
        <v>174</v>
      </c>
      <c r="H1357" t="str">
        <f>VLOOKUP(G1357,[1]OPERADORES!$A:$B,2,0)</f>
        <v>MIRIÃ LOBATO RODRIGUES</v>
      </c>
      <c r="I1357" t="s">
        <v>21</v>
      </c>
      <c r="J1357" t="s">
        <v>762</v>
      </c>
      <c r="K1357" t="s">
        <v>2028</v>
      </c>
      <c r="L1357">
        <v>10244</v>
      </c>
      <c r="M1357" t="s">
        <v>84</v>
      </c>
      <c r="O1357" t="s">
        <v>11</v>
      </c>
      <c r="P1357">
        <v>5102</v>
      </c>
      <c r="Q1357">
        <v>10</v>
      </c>
      <c r="R1357">
        <v>2.79</v>
      </c>
      <c r="S1357">
        <v>27.9</v>
      </c>
      <c r="T1357">
        <v>19.3</v>
      </c>
      <c r="U1357">
        <v>30.82</v>
      </c>
      <c r="V1357" t="str">
        <f>VLOOKUP(L1357,'[2]tabela de preços'!$A:$D,4,0)</f>
        <v>NORTON</v>
      </c>
      <c r="W1357" t="str">
        <f>VLOOKUP(L1357,'[2]tabela de preços'!$A:$F,6,0)</f>
        <v xml:space="preserve">DISCOS / LIXAS / ABRASIVOS </v>
      </c>
      <c r="X1357" t="str">
        <f>VLOOKUP(L1357,'[2]tabela de preços'!$A:$G,7,0)</f>
        <v>AUTOMOTIVO</v>
      </c>
    </row>
    <row r="1358" spans="1:24" x14ac:dyDescent="0.3">
      <c r="A1358" t="s">
        <v>2025</v>
      </c>
      <c r="C1358" t="s">
        <v>2034</v>
      </c>
      <c r="D1358" s="1">
        <v>46041</v>
      </c>
      <c r="E1358" t="s">
        <v>2035</v>
      </c>
      <c r="F1358">
        <v>9</v>
      </c>
      <c r="G1358">
        <v>174</v>
      </c>
      <c r="H1358" t="str">
        <f>VLOOKUP(G1358,[1]OPERADORES!$A:$B,2,0)</f>
        <v>MIRIÃ LOBATO RODRIGUES</v>
      </c>
      <c r="I1358" t="s">
        <v>21</v>
      </c>
      <c r="J1358" t="s">
        <v>762</v>
      </c>
      <c r="K1358" t="s">
        <v>2028</v>
      </c>
      <c r="L1358">
        <v>10245</v>
      </c>
      <c r="M1358" t="s">
        <v>195</v>
      </c>
      <c r="O1358" t="s">
        <v>11</v>
      </c>
      <c r="P1358">
        <v>5102</v>
      </c>
      <c r="Q1358">
        <v>10</v>
      </c>
      <c r="R1358">
        <v>2.79</v>
      </c>
      <c r="S1358">
        <v>27.9</v>
      </c>
      <c r="T1358">
        <v>19.3</v>
      </c>
      <c r="U1358">
        <v>30.82</v>
      </c>
      <c r="V1358" t="str">
        <f>VLOOKUP(L1358,'[2]tabela de preços'!$A:$D,4,0)</f>
        <v>NORTON</v>
      </c>
      <c r="W1358" t="str">
        <f>VLOOKUP(L1358,'[2]tabela de preços'!$A:$F,6,0)</f>
        <v xml:space="preserve">DISCOS / LIXAS / ABRASIVOS </v>
      </c>
      <c r="X1358" t="str">
        <f>VLOOKUP(L1358,'[2]tabela de preços'!$A:$G,7,0)</f>
        <v>AUTOMOTIVO</v>
      </c>
    </row>
    <row r="1359" spans="1:24" x14ac:dyDescent="0.3">
      <c r="A1359" t="s">
        <v>2025</v>
      </c>
      <c r="C1359" t="s">
        <v>2034</v>
      </c>
      <c r="D1359" s="1">
        <v>46041</v>
      </c>
      <c r="E1359" t="s">
        <v>2035</v>
      </c>
      <c r="F1359">
        <v>9</v>
      </c>
      <c r="G1359">
        <v>174</v>
      </c>
      <c r="H1359" t="str">
        <f>VLOOKUP(G1359,[1]OPERADORES!$A:$B,2,0)</f>
        <v>MIRIÃ LOBATO RODRIGUES</v>
      </c>
      <c r="I1359" t="s">
        <v>21</v>
      </c>
      <c r="J1359" t="s">
        <v>762</v>
      </c>
      <c r="K1359" t="s">
        <v>2028</v>
      </c>
      <c r="L1359">
        <v>10246</v>
      </c>
      <c r="M1359" t="s">
        <v>206</v>
      </c>
      <c r="O1359" t="s">
        <v>11</v>
      </c>
      <c r="P1359">
        <v>5102</v>
      </c>
      <c r="Q1359">
        <v>10</v>
      </c>
      <c r="R1359">
        <v>2.79</v>
      </c>
      <c r="S1359">
        <v>27.9</v>
      </c>
      <c r="T1359">
        <v>19.3</v>
      </c>
      <c r="U1359">
        <v>30.82</v>
      </c>
      <c r="V1359" t="str">
        <f>VLOOKUP(L1359,'[2]tabela de preços'!$A:$D,4,0)</f>
        <v>NORTON</v>
      </c>
      <c r="W1359" t="str">
        <f>VLOOKUP(L1359,'[2]tabela de preços'!$A:$F,6,0)</f>
        <v xml:space="preserve">DISCOS / LIXAS / ABRASIVOS </v>
      </c>
      <c r="X1359" t="str">
        <f>VLOOKUP(L1359,'[2]tabela de preços'!$A:$G,7,0)</f>
        <v>AUTOMOTIVO</v>
      </c>
    </row>
    <row r="1360" spans="1:24" x14ac:dyDescent="0.3">
      <c r="A1360" t="s">
        <v>2025</v>
      </c>
      <c r="C1360" t="s">
        <v>2034</v>
      </c>
      <c r="D1360" s="1">
        <v>46041</v>
      </c>
      <c r="E1360" t="s">
        <v>2035</v>
      </c>
      <c r="F1360">
        <v>9</v>
      </c>
      <c r="G1360">
        <v>174</v>
      </c>
      <c r="H1360" t="str">
        <f>VLOOKUP(G1360,[1]OPERADORES!$A:$B,2,0)</f>
        <v>MIRIÃ LOBATO RODRIGUES</v>
      </c>
      <c r="I1360" t="s">
        <v>21</v>
      </c>
      <c r="J1360" t="s">
        <v>762</v>
      </c>
      <c r="K1360" t="s">
        <v>2028</v>
      </c>
      <c r="L1360">
        <v>23623</v>
      </c>
      <c r="M1360" t="s">
        <v>2033</v>
      </c>
      <c r="O1360" t="s">
        <v>11</v>
      </c>
      <c r="P1360">
        <v>5102</v>
      </c>
      <c r="Q1360">
        <v>1</v>
      </c>
      <c r="R1360">
        <v>118.74</v>
      </c>
      <c r="S1360">
        <v>118.74</v>
      </c>
      <c r="T1360">
        <v>90.12</v>
      </c>
      <c r="U1360">
        <v>24.1</v>
      </c>
      <c r="V1360" t="str">
        <f>VLOOKUP(L1360,'[2]tabela de preços'!$A:$D,4,0)</f>
        <v>SIKKENS</v>
      </c>
      <c r="W1360" t="str">
        <f>VLOOKUP(L1360,'[2]tabela de preços'!$A:$F,6,0)</f>
        <v>MASSA POLIÉSTER</v>
      </c>
      <c r="X1360" t="str">
        <f>VLOOKUP(L1360,'[2]tabela de preços'!$A:$G,7,0)</f>
        <v>AUTOMOTIVO</v>
      </c>
    </row>
    <row r="1361" spans="1:24" x14ac:dyDescent="0.3">
      <c r="A1361" t="s">
        <v>2025</v>
      </c>
      <c r="C1361" t="s">
        <v>2034</v>
      </c>
      <c r="D1361" s="1">
        <v>46041</v>
      </c>
      <c r="E1361" t="s">
        <v>2035</v>
      </c>
      <c r="F1361">
        <v>9</v>
      </c>
      <c r="G1361">
        <v>174</v>
      </c>
      <c r="H1361" t="str">
        <f>VLOOKUP(G1361,[1]OPERADORES!$A:$B,2,0)</f>
        <v>MIRIÃ LOBATO RODRIGUES</v>
      </c>
      <c r="I1361" t="s">
        <v>21</v>
      </c>
      <c r="J1361" t="s">
        <v>762</v>
      </c>
      <c r="K1361" t="s">
        <v>2028</v>
      </c>
      <c r="L1361">
        <v>23926</v>
      </c>
      <c r="M1361" t="s">
        <v>645</v>
      </c>
      <c r="O1361" t="s">
        <v>11</v>
      </c>
      <c r="P1361">
        <v>5403</v>
      </c>
      <c r="Q1361">
        <v>1</v>
      </c>
      <c r="R1361">
        <v>153.22999999999999</v>
      </c>
      <c r="S1361">
        <v>153.22999999999999</v>
      </c>
      <c r="T1361">
        <v>103.01</v>
      </c>
      <c r="U1361">
        <v>32.770000000000003</v>
      </c>
      <c r="V1361" t="str">
        <f>VLOOKUP(L1361,'[2]tabela de preços'!$A:$D,4,0)</f>
        <v>SIKKENS</v>
      </c>
      <c r="W1361" t="str">
        <f>VLOOKUP(L1361,'[2]tabela de preços'!$A:$F,6,0)</f>
        <v>PRIMER AUTOMOTIVO</v>
      </c>
      <c r="X1361" t="str">
        <f>VLOOKUP(L1361,'[2]tabela de preços'!$A:$G,7,0)</f>
        <v>AUTOMOTIVO</v>
      </c>
    </row>
    <row r="1362" spans="1:24" x14ac:dyDescent="0.3">
      <c r="A1362" t="s">
        <v>2025</v>
      </c>
      <c r="C1362" t="s">
        <v>2034</v>
      </c>
      <c r="D1362" s="1">
        <v>46041</v>
      </c>
      <c r="E1362" t="s">
        <v>2035</v>
      </c>
      <c r="F1362">
        <v>9</v>
      </c>
      <c r="G1362">
        <v>174</v>
      </c>
      <c r="H1362" t="str">
        <f>VLOOKUP(G1362,[1]OPERADORES!$A:$B,2,0)</f>
        <v>MIRIÃ LOBATO RODRIGUES</v>
      </c>
      <c r="I1362" t="s">
        <v>21</v>
      </c>
      <c r="J1362" t="s">
        <v>762</v>
      </c>
      <c r="K1362" t="s">
        <v>2028</v>
      </c>
      <c r="L1362">
        <v>9995</v>
      </c>
      <c r="M1362" t="s">
        <v>704</v>
      </c>
      <c r="O1362" t="s">
        <v>11</v>
      </c>
      <c r="P1362">
        <v>5102</v>
      </c>
      <c r="Q1362">
        <v>1</v>
      </c>
      <c r="R1362">
        <v>193.83</v>
      </c>
      <c r="S1362">
        <v>193.83</v>
      </c>
      <c r="T1362">
        <v>147.12</v>
      </c>
      <c r="U1362">
        <v>24.1</v>
      </c>
      <c r="V1362" t="str">
        <f>VLOOKUP(L1362,'[2]tabela de preços'!$A:$D,4,0)</f>
        <v>SIKKENS</v>
      </c>
      <c r="W1362" t="str">
        <f>VLOOKUP(L1362,'[2]tabela de preços'!$A:$F,6,0)</f>
        <v>DILUENTE</v>
      </c>
      <c r="X1362" t="str">
        <f>VLOOKUP(L1362,'[2]tabela de preços'!$A:$G,7,0)</f>
        <v>AUTOMOTIVO</v>
      </c>
    </row>
    <row r="1363" spans="1:24" x14ac:dyDescent="0.3">
      <c r="A1363" t="s">
        <v>2025</v>
      </c>
      <c r="C1363" t="s">
        <v>2034</v>
      </c>
      <c r="D1363" s="1">
        <v>46041</v>
      </c>
      <c r="E1363" t="s">
        <v>2035</v>
      </c>
      <c r="F1363">
        <v>9</v>
      </c>
      <c r="G1363">
        <v>174</v>
      </c>
      <c r="H1363" t="str">
        <f>VLOOKUP(G1363,[1]OPERADORES!$A:$B,2,0)</f>
        <v>MIRIÃ LOBATO RODRIGUES</v>
      </c>
      <c r="I1363" t="s">
        <v>21</v>
      </c>
      <c r="J1363" t="s">
        <v>762</v>
      </c>
      <c r="K1363" t="s">
        <v>2028</v>
      </c>
      <c r="L1363">
        <v>10298</v>
      </c>
      <c r="M1363" t="s">
        <v>85</v>
      </c>
      <c r="O1363" t="s">
        <v>11</v>
      </c>
      <c r="P1363">
        <v>5102</v>
      </c>
      <c r="Q1363">
        <v>2</v>
      </c>
      <c r="R1363">
        <v>56.89</v>
      </c>
      <c r="S1363">
        <v>113.78</v>
      </c>
      <c r="T1363">
        <v>94.76</v>
      </c>
      <c r="U1363">
        <v>16.72</v>
      </c>
      <c r="V1363" t="str">
        <f>VLOOKUP(L1363,'[2]tabela de preços'!$A:$D,4,0)</f>
        <v>ANJO</v>
      </c>
      <c r="W1363" t="str">
        <f>VLOOKUP(L1363,'[2]tabela de preços'!$A:$F,6,0)</f>
        <v>THINNER DE LIMPEZA</v>
      </c>
      <c r="X1363" t="str">
        <f>VLOOKUP(L1363,'[2]tabela de preços'!$A:$G,7,0)</f>
        <v>THINNER</v>
      </c>
    </row>
    <row r="1364" spans="1:24" x14ac:dyDescent="0.3">
      <c r="A1364" t="s">
        <v>2025</v>
      </c>
      <c r="C1364" t="s">
        <v>2034</v>
      </c>
      <c r="D1364" s="1">
        <v>46041</v>
      </c>
      <c r="E1364" t="s">
        <v>2035</v>
      </c>
      <c r="F1364">
        <v>9</v>
      </c>
      <c r="G1364">
        <v>174</v>
      </c>
      <c r="H1364" t="str">
        <f>VLOOKUP(G1364,[1]OPERADORES!$A:$B,2,0)</f>
        <v>MIRIÃ LOBATO RODRIGUES</v>
      </c>
      <c r="I1364" t="s">
        <v>21</v>
      </c>
      <c r="J1364" t="s">
        <v>762</v>
      </c>
      <c r="K1364" t="s">
        <v>2028</v>
      </c>
      <c r="L1364">
        <v>84460</v>
      </c>
      <c r="M1364" t="s">
        <v>322</v>
      </c>
      <c r="O1364" t="s">
        <v>11</v>
      </c>
      <c r="P1364">
        <v>5102</v>
      </c>
      <c r="Q1364">
        <v>2</v>
      </c>
      <c r="R1364">
        <v>31.07</v>
      </c>
      <c r="S1364">
        <v>62.14</v>
      </c>
      <c r="T1364">
        <v>47.16</v>
      </c>
      <c r="U1364">
        <v>24.11</v>
      </c>
      <c r="V1364" t="str">
        <f>VLOOKUP(L1364,'[2]tabela de preços'!$A:$D,4,0)</f>
        <v>BRASILUX</v>
      </c>
      <c r="W1364" t="str">
        <f>VLOOKUP(L1364,'[2]tabela de preços'!$A:$F,6,0)</f>
        <v>VEDADORES / SELANTES</v>
      </c>
      <c r="X1364" t="str">
        <f>VLOOKUP(L1364,'[2]tabela de preços'!$A:$G,7,0)</f>
        <v>AUTOMOTIVO</v>
      </c>
    </row>
    <row r="1365" spans="1:24" x14ac:dyDescent="0.3">
      <c r="A1365" t="s">
        <v>2259</v>
      </c>
      <c r="B1365" t="s">
        <v>2260</v>
      </c>
      <c r="C1365" t="s">
        <v>2270</v>
      </c>
      <c r="D1365" s="1">
        <v>46041</v>
      </c>
      <c r="E1365" t="s">
        <v>2271</v>
      </c>
      <c r="F1365">
        <v>9</v>
      </c>
      <c r="G1365">
        <v>174</v>
      </c>
      <c r="H1365" t="str">
        <f>VLOOKUP(G1365,[1]OPERADORES!$A:$B,2,0)</f>
        <v>MIRIÃ LOBATO RODRIGUES</v>
      </c>
      <c r="I1365" t="s">
        <v>21</v>
      </c>
      <c r="J1365" t="s">
        <v>762</v>
      </c>
      <c r="K1365" t="s">
        <v>2263</v>
      </c>
      <c r="L1365">
        <v>20135</v>
      </c>
      <c r="M1365" t="s">
        <v>459</v>
      </c>
      <c r="O1365" t="s">
        <v>11</v>
      </c>
      <c r="P1365">
        <v>5102</v>
      </c>
      <c r="Q1365">
        <v>2</v>
      </c>
      <c r="R1365">
        <v>26.87</v>
      </c>
      <c r="S1365">
        <v>53.74</v>
      </c>
      <c r="T1365">
        <v>38.520000000000003</v>
      </c>
      <c r="U1365">
        <v>28.32</v>
      </c>
      <c r="V1365" t="str">
        <f>VLOOKUP(L1365,'[2]tabela de preços'!$A:$D,4,0)</f>
        <v>3M</v>
      </c>
      <c r="W1365" t="str">
        <f>VLOOKUP(L1365,'[2]tabela de preços'!$A:$F,6,0)</f>
        <v>DISCO TRIZACT</v>
      </c>
      <c r="X1365" t="str">
        <f>VLOOKUP(L1365,'[2]tabela de preços'!$A:$G,7,0)</f>
        <v>AUTOMOTIVO</v>
      </c>
    </row>
    <row r="1366" spans="1:24" x14ac:dyDescent="0.3">
      <c r="A1366" t="s">
        <v>2274</v>
      </c>
      <c r="C1366" t="s">
        <v>2284</v>
      </c>
      <c r="D1366" s="1">
        <v>46041</v>
      </c>
      <c r="E1366" t="s">
        <v>2285</v>
      </c>
      <c r="F1366">
        <v>9</v>
      </c>
      <c r="G1366">
        <v>236</v>
      </c>
      <c r="H1366" t="str">
        <f>VLOOKUP(G1366,[1]OPERADORES!$A:$B,2,0)</f>
        <v>DANIEL</v>
      </c>
      <c r="I1366" t="s">
        <v>21</v>
      </c>
      <c r="J1366" t="s">
        <v>750</v>
      </c>
      <c r="K1366" t="s">
        <v>2277</v>
      </c>
      <c r="L1366">
        <v>85616</v>
      </c>
      <c r="M1366" t="s">
        <v>471</v>
      </c>
      <c r="O1366" t="s">
        <v>11</v>
      </c>
      <c r="P1366">
        <v>5102</v>
      </c>
      <c r="Q1366">
        <v>432</v>
      </c>
      <c r="R1366">
        <v>2.79</v>
      </c>
      <c r="S1366" s="2">
        <v>1205.28</v>
      </c>
      <c r="T1366">
        <v>984.96</v>
      </c>
      <c r="U1366">
        <v>18.28</v>
      </c>
      <c r="V1366" t="str">
        <f>VLOOKUP(L1366,'[2]tabela de preços'!$A:$D,4,0)</f>
        <v>ADERE</v>
      </c>
      <c r="W1366" t="str">
        <f>VLOOKUP(L1366,'[2]tabela de preços'!$A:$F,6,0)</f>
        <v xml:space="preserve">FITA DE USO GERAL </v>
      </c>
      <c r="X1366" t="str">
        <f>VLOOKUP(L1366,'[2]tabela de preços'!$A:$G,7,0)</f>
        <v>IMOBILIÁRIO</v>
      </c>
    </row>
    <row r="1367" spans="1:24" x14ac:dyDescent="0.3">
      <c r="A1367" t="s">
        <v>2333</v>
      </c>
      <c r="B1367" t="s">
        <v>2334</v>
      </c>
      <c r="C1367" t="s">
        <v>2350</v>
      </c>
      <c r="D1367" s="1">
        <v>46041</v>
      </c>
      <c r="F1367">
        <v>9</v>
      </c>
      <c r="G1367">
        <v>174</v>
      </c>
      <c r="H1367" t="str">
        <f>VLOOKUP(G1367,[1]OPERADORES!$A:$B,2,0)</f>
        <v>MIRIÃ LOBATO RODRIGUES</v>
      </c>
      <c r="I1367" t="s">
        <v>126</v>
      </c>
      <c r="J1367" t="s">
        <v>2337</v>
      </c>
      <c r="K1367" t="s">
        <v>2338</v>
      </c>
      <c r="L1367">
        <v>10096</v>
      </c>
      <c r="M1367" t="s">
        <v>2349</v>
      </c>
      <c r="N1367" t="s">
        <v>2351</v>
      </c>
      <c r="O1367" t="s">
        <v>11</v>
      </c>
      <c r="P1367">
        <v>2202</v>
      </c>
      <c r="Q1367">
        <v>-10</v>
      </c>
      <c r="R1367">
        <v>8.8699999999999992</v>
      </c>
      <c r="S1367">
        <v>-88.7</v>
      </c>
      <c r="T1367">
        <v>-67.3</v>
      </c>
      <c r="U1367">
        <v>24.13</v>
      </c>
      <c r="V1367" t="str">
        <f>VLOOKUP(L1367,'[2]tabela de preços'!$A:$D,4,0)</f>
        <v>3M</v>
      </c>
      <c r="W1367" t="str">
        <f>VLOOKUP(L1367,'[2]tabela de preços'!$A:$F,6,0)</f>
        <v>EPI´S</v>
      </c>
      <c r="X1367" t="str">
        <f>VLOOKUP(L1367,'[2]tabela de preços'!$A:$G,7,0)</f>
        <v>AUTOMOTIVO</v>
      </c>
    </row>
    <row r="1368" spans="1:24" x14ac:dyDescent="0.3">
      <c r="A1368" t="s">
        <v>208</v>
      </c>
      <c r="C1368" t="s">
        <v>223</v>
      </c>
      <c r="D1368" s="1">
        <v>46042</v>
      </c>
      <c r="E1368" t="s">
        <v>224</v>
      </c>
      <c r="F1368">
        <v>9</v>
      </c>
      <c r="G1368">
        <v>236</v>
      </c>
      <c r="H1368" t="str">
        <f>VLOOKUP(G1368,[1]OPERADORES!$A:$B,2,0)</f>
        <v>DANIEL</v>
      </c>
      <c r="I1368" t="s">
        <v>21</v>
      </c>
      <c r="J1368" t="s">
        <v>211</v>
      </c>
      <c r="K1368" t="s">
        <v>212</v>
      </c>
      <c r="L1368">
        <v>24248</v>
      </c>
      <c r="M1368" t="s">
        <v>107</v>
      </c>
      <c r="O1368" t="s">
        <v>11</v>
      </c>
      <c r="P1368">
        <v>5102</v>
      </c>
      <c r="Q1368">
        <v>2</v>
      </c>
      <c r="R1368">
        <v>8</v>
      </c>
      <c r="S1368">
        <v>16</v>
      </c>
      <c r="T1368">
        <v>13</v>
      </c>
      <c r="U1368">
        <v>18.75</v>
      </c>
      <c r="V1368" t="str">
        <f>VLOOKUP(L1368,'[2]tabela de preços'!$A:$D,4,0)</f>
        <v>SHERWIN WILLIAMS</v>
      </c>
      <c r="W1368" t="str">
        <f>VLOOKUP(L1368,'[2]tabela de preços'!$A:$F,6,0)</f>
        <v>PRIMER AUTOMOTIVO</v>
      </c>
      <c r="X1368" t="str">
        <f>VLOOKUP(L1368,'[2]tabela de preços'!$A:$G,7,0)</f>
        <v>AUTOMOTIVO</v>
      </c>
    </row>
    <row r="1369" spans="1:24" x14ac:dyDescent="0.3">
      <c r="A1369" t="s">
        <v>208</v>
      </c>
      <c r="C1369" t="s">
        <v>223</v>
      </c>
      <c r="D1369" s="1">
        <v>46042</v>
      </c>
      <c r="E1369" t="s">
        <v>225</v>
      </c>
      <c r="F1369">
        <v>9</v>
      </c>
      <c r="G1369">
        <v>236</v>
      </c>
      <c r="H1369" t="str">
        <f>VLOOKUP(G1369,[1]OPERADORES!$A:$B,2,0)</f>
        <v>DANIEL</v>
      </c>
      <c r="I1369" t="s">
        <v>21</v>
      </c>
      <c r="J1369" t="s">
        <v>211</v>
      </c>
      <c r="K1369" t="s">
        <v>212</v>
      </c>
      <c r="L1369">
        <v>22684</v>
      </c>
      <c r="M1369" t="s">
        <v>73</v>
      </c>
      <c r="O1369" t="s">
        <v>11</v>
      </c>
      <c r="P1369">
        <v>5102</v>
      </c>
      <c r="Q1369">
        <v>6</v>
      </c>
      <c r="R1369">
        <v>3.65</v>
      </c>
      <c r="S1369">
        <v>21.9</v>
      </c>
      <c r="T1369">
        <v>18.48</v>
      </c>
      <c r="U1369">
        <v>15.62</v>
      </c>
      <c r="V1369" t="str">
        <f>VLOOKUP(L1369,'[2]tabela de preços'!$A:$D,4,0)</f>
        <v>3M</v>
      </c>
      <c r="W1369" t="str">
        <f>VLOOKUP(L1369,'[2]tabela de preços'!$A:$F,6,0)</f>
        <v>FITA AUTOMOTIVA</v>
      </c>
      <c r="X1369" t="str">
        <f>VLOOKUP(L1369,'[2]tabela de preços'!$A:$G,7,0)</f>
        <v>AUTOMOTIVO</v>
      </c>
    </row>
    <row r="1370" spans="1:24" x14ac:dyDescent="0.3">
      <c r="A1370" t="s">
        <v>208</v>
      </c>
      <c r="C1370" t="s">
        <v>223</v>
      </c>
      <c r="D1370" s="1">
        <v>46042</v>
      </c>
      <c r="E1370" t="s">
        <v>225</v>
      </c>
      <c r="F1370">
        <v>9</v>
      </c>
      <c r="G1370">
        <v>236</v>
      </c>
      <c r="H1370" t="str">
        <f>VLOOKUP(G1370,[1]OPERADORES!$A:$B,2,0)</f>
        <v>DANIEL</v>
      </c>
      <c r="I1370" t="s">
        <v>21</v>
      </c>
      <c r="J1370" t="s">
        <v>211</v>
      </c>
      <c r="K1370" t="s">
        <v>212</v>
      </c>
      <c r="L1370">
        <v>22188</v>
      </c>
      <c r="M1370" t="s">
        <v>78</v>
      </c>
      <c r="O1370" t="s">
        <v>11</v>
      </c>
      <c r="P1370">
        <v>5102</v>
      </c>
      <c r="Q1370">
        <v>1</v>
      </c>
      <c r="R1370">
        <v>14.35</v>
      </c>
      <c r="S1370">
        <v>14.35</v>
      </c>
      <c r="T1370">
        <v>10.89</v>
      </c>
      <c r="U1370">
        <v>24.11</v>
      </c>
      <c r="V1370" t="str">
        <f>VLOOKUP(L1370,'[2]tabela de preços'!$A:$D,4,0)</f>
        <v>3M</v>
      </c>
      <c r="W1370" t="str">
        <f>VLOOKUP(L1370,'[2]tabela de preços'!$A:$F,6,0)</f>
        <v>FITA AUTOMOTIVA</v>
      </c>
      <c r="X1370" t="str">
        <f>VLOOKUP(L1370,'[2]tabela de preços'!$A:$G,7,0)</f>
        <v>AUTOMOTIVO</v>
      </c>
    </row>
    <row r="1371" spans="1:24" x14ac:dyDescent="0.3">
      <c r="A1371" t="s">
        <v>208</v>
      </c>
      <c r="C1371" t="s">
        <v>223</v>
      </c>
      <c r="D1371" s="1">
        <v>46042</v>
      </c>
      <c r="E1371" t="s">
        <v>224</v>
      </c>
      <c r="F1371">
        <v>9</v>
      </c>
      <c r="G1371">
        <v>236</v>
      </c>
      <c r="H1371" t="str">
        <f>VLOOKUP(G1371,[1]OPERADORES!$A:$B,2,0)</f>
        <v>DANIEL</v>
      </c>
      <c r="I1371" t="s">
        <v>21</v>
      </c>
      <c r="J1371" t="s">
        <v>211</v>
      </c>
      <c r="K1371" t="s">
        <v>212</v>
      </c>
      <c r="L1371">
        <v>10277</v>
      </c>
      <c r="M1371" t="s">
        <v>135</v>
      </c>
      <c r="O1371" t="s">
        <v>11</v>
      </c>
      <c r="P1371">
        <v>5102</v>
      </c>
      <c r="Q1371">
        <v>4</v>
      </c>
      <c r="R1371">
        <v>15.89</v>
      </c>
      <c r="S1371">
        <v>63.56</v>
      </c>
      <c r="T1371">
        <v>51.52</v>
      </c>
      <c r="U1371">
        <v>18.940000000000001</v>
      </c>
      <c r="V1371" t="str">
        <f>VLOOKUP(L1371,'[2]tabela de preços'!$A:$D,4,0)</f>
        <v>RETOQUE</v>
      </c>
      <c r="W1371" t="str">
        <f>VLOOKUP(L1371,'[2]tabela de preços'!$A:$F,6,0)</f>
        <v xml:space="preserve">COLA  PLÁSTICA </v>
      </c>
      <c r="X1371" t="str">
        <f>VLOOKUP(L1371,'[2]tabela de preços'!$A:$G,7,0)</f>
        <v>AUTOMOTIVO</v>
      </c>
    </row>
    <row r="1372" spans="1:24" x14ac:dyDescent="0.3">
      <c r="A1372" t="s">
        <v>208</v>
      </c>
      <c r="C1372" t="s">
        <v>223</v>
      </c>
      <c r="D1372" s="1">
        <v>46042</v>
      </c>
      <c r="E1372" t="s">
        <v>224</v>
      </c>
      <c r="F1372">
        <v>9</v>
      </c>
      <c r="G1372">
        <v>236</v>
      </c>
      <c r="H1372" t="str">
        <f>VLOOKUP(G1372,[1]OPERADORES!$A:$B,2,0)</f>
        <v>DANIEL</v>
      </c>
      <c r="I1372" t="s">
        <v>21</v>
      </c>
      <c r="J1372" t="s">
        <v>211</v>
      </c>
      <c r="K1372" t="s">
        <v>212</v>
      </c>
      <c r="L1372">
        <v>23602</v>
      </c>
      <c r="M1372" t="s">
        <v>215</v>
      </c>
      <c r="O1372" t="s">
        <v>11</v>
      </c>
      <c r="P1372">
        <v>5403</v>
      </c>
      <c r="Q1372">
        <v>3</v>
      </c>
      <c r="R1372">
        <v>35.89</v>
      </c>
      <c r="S1372">
        <v>107.67</v>
      </c>
      <c r="T1372">
        <v>87.75</v>
      </c>
      <c r="U1372">
        <v>18.5</v>
      </c>
      <c r="V1372" t="str">
        <f>VLOOKUP(L1372,'[2]tabela de preços'!$A:$D,4,0)</f>
        <v>SHERWIN WILLIAMS</v>
      </c>
      <c r="W1372" t="str">
        <f>VLOOKUP(L1372,'[2]tabela de preços'!$A:$F,6,0)</f>
        <v>VERNIZ AUTOMOTIVO</v>
      </c>
      <c r="X1372" t="str">
        <f>VLOOKUP(L1372,'[2]tabela de preços'!$A:$G,7,0)</f>
        <v>AUTOMOTIVO</v>
      </c>
    </row>
    <row r="1373" spans="1:24" x14ac:dyDescent="0.3">
      <c r="A1373" t="s">
        <v>208</v>
      </c>
      <c r="C1373" t="s">
        <v>223</v>
      </c>
      <c r="D1373" s="1">
        <v>46042</v>
      </c>
      <c r="E1373" t="s">
        <v>224</v>
      </c>
      <c r="F1373">
        <v>9</v>
      </c>
      <c r="G1373">
        <v>236</v>
      </c>
      <c r="H1373" t="str">
        <f>VLOOKUP(G1373,[1]OPERADORES!$A:$B,2,0)</f>
        <v>DANIEL</v>
      </c>
      <c r="I1373" t="s">
        <v>21</v>
      </c>
      <c r="J1373" t="s">
        <v>211</v>
      </c>
      <c r="K1373" t="s">
        <v>212</v>
      </c>
      <c r="L1373">
        <v>13</v>
      </c>
      <c r="M1373" t="s">
        <v>152</v>
      </c>
      <c r="O1373" t="s">
        <v>11</v>
      </c>
      <c r="P1373">
        <v>5102</v>
      </c>
      <c r="Q1373">
        <v>3</v>
      </c>
      <c r="R1373">
        <v>5.79</v>
      </c>
      <c r="S1373">
        <v>17.37</v>
      </c>
      <c r="T1373">
        <v>12.48</v>
      </c>
      <c r="U1373">
        <v>28.15</v>
      </c>
      <c r="V1373" t="str">
        <f>VLOOKUP(L1373,'[2]tabela de preços'!$A:$D,4,0)</f>
        <v>3M</v>
      </c>
      <c r="W1373" t="str">
        <f>VLOOKUP(L1373,'[2]tabela de preços'!$A:$F,6,0)</f>
        <v>LIXA DÁGUA</v>
      </c>
      <c r="X1373" t="str">
        <f>VLOOKUP(L1373,'[2]tabela de preços'!$A:$G,7,0)</f>
        <v>AUTOMOTIVO</v>
      </c>
    </row>
    <row r="1374" spans="1:24" x14ac:dyDescent="0.3">
      <c r="A1374" t="s">
        <v>208</v>
      </c>
      <c r="C1374" t="s">
        <v>223</v>
      </c>
      <c r="D1374" s="1">
        <v>46042</v>
      </c>
      <c r="E1374" t="s">
        <v>224</v>
      </c>
      <c r="F1374">
        <v>9</v>
      </c>
      <c r="G1374">
        <v>236</v>
      </c>
      <c r="H1374" t="str">
        <f>VLOOKUP(G1374,[1]OPERADORES!$A:$B,2,0)</f>
        <v>DANIEL</v>
      </c>
      <c r="I1374" t="s">
        <v>21</v>
      </c>
      <c r="J1374" t="s">
        <v>211</v>
      </c>
      <c r="K1374" t="s">
        <v>212</v>
      </c>
      <c r="L1374">
        <v>10238</v>
      </c>
      <c r="M1374" t="s">
        <v>79</v>
      </c>
      <c r="O1374" t="s">
        <v>11</v>
      </c>
      <c r="P1374">
        <v>5102</v>
      </c>
      <c r="Q1374">
        <v>5</v>
      </c>
      <c r="R1374">
        <v>2.79</v>
      </c>
      <c r="S1374">
        <v>13.95</v>
      </c>
      <c r="T1374">
        <v>11.2</v>
      </c>
      <c r="U1374">
        <v>19.71</v>
      </c>
      <c r="V1374" t="str">
        <f>VLOOKUP(L1374,'[2]tabela de preços'!$A:$D,4,0)</f>
        <v>NORTON</v>
      </c>
      <c r="W1374" t="str">
        <f>VLOOKUP(L1374,'[2]tabela de preços'!$A:$F,6,0)</f>
        <v xml:space="preserve">DISCOS / LIXAS / ABRASIVOS </v>
      </c>
      <c r="X1374" t="str">
        <f>VLOOKUP(L1374,'[2]tabela de preços'!$A:$G,7,0)</f>
        <v>AUTOMOTIVO</v>
      </c>
    </row>
    <row r="1375" spans="1:24" x14ac:dyDescent="0.3">
      <c r="A1375" t="s">
        <v>208</v>
      </c>
      <c r="C1375" t="s">
        <v>223</v>
      </c>
      <c r="D1375" s="1">
        <v>46042</v>
      </c>
      <c r="E1375" t="s">
        <v>224</v>
      </c>
      <c r="F1375">
        <v>9</v>
      </c>
      <c r="G1375">
        <v>236</v>
      </c>
      <c r="H1375" t="str">
        <f>VLOOKUP(G1375,[1]OPERADORES!$A:$B,2,0)</f>
        <v>DANIEL</v>
      </c>
      <c r="I1375" t="s">
        <v>21</v>
      </c>
      <c r="J1375" t="s">
        <v>211</v>
      </c>
      <c r="K1375" t="s">
        <v>212</v>
      </c>
      <c r="L1375">
        <v>10246</v>
      </c>
      <c r="M1375" t="s">
        <v>206</v>
      </c>
      <c r="O1375" t="s">
        <v>11</v>
      </c>
      <c r="P1375">
        <v>5102</v>
      </c>
      <c r="Q1375">
        <v>3</v>
      </c>
      <c r="R1375">
        <v>2.79</v>
      </c>
      <c r="S1375">
        <v>8.3699999999999992</v>
      </c>
      <c r="T1375">
        <v>5.79</v>
      </c>
      <c r="U1375">
        <v>30.82</v>
      </c>
      <c r="V1375" t="str">
        <f>VLOOKUP(L1375,'[2]tabela de preços'!$A:$D,4,0)</f>
        <v>NORTON</v>
      </c>
      <c r="W1375" t="str">
        <f>VLOOKUP(L1375,'[2]tabela de preços'!$A:$F,6,0)</f>
        <v xml:space="preserve">DISCOS / LIXAS / ABRASIVOS </v>
      </c>
      <c r="X1375" t="str">
        <f>VLOOKUP(L1375,'[2]tabela de preços'!$A:$G,7,0)</f>
        <v>AUTOMOTIVO</v>
      </c>
    </row>
    <row r="1376" spans="1:24" x14ac:dyDescent="0.3">
      <c r="A1376" t="s">
        <v>208</v>
      </c>
      <c r="C1376" t="s">
        <v>223</v>
      </c>
      <c r="D1376" s="1">
        <v>46042</v>
      </c>
      <c r="E1376" t="s">
        <v>224</v>
      </c>
      <c r="F1376">
        <v>9</v>
      </c>
      <c r="G1376">
        <v>236</v>
      </c>
      <c r="H1376" t="str">
        <f>VLOOKUP(G1376,[1]OPERADORES!$A:$B,2,0)</f>
        <v>DANIEL</v>
      </c>
      <c r="I1376" t="s">
        <v>21</v>
      </c>
      <c r="J1376" t="s">
        <v>211</v>
      </c>
      <c r="K1376" t="s">
        <v>212</v>
      </c>
      <c r="L1376">
        <v>24247</v>
      </c>
      <c r="M1376" t="s">
        <v>160</v>
      </c>
      <c r="O1376" t="s">
        <v>11</v>
      </c>
      <c r="P1376">
        <v>5403</v>
      </c>
      <c r="Q1376">
        <v>2</v>
      </c>
      <c r="R1376">
        <v>21</v>
      </c>
      <c r="S1376">
        <v>42</v>
      </c>
      <c r="T1376">
        <v>33.74</v>
      </c>
      <c r="U1376">
        <v>19.670000000000002</v>
      </c>
      <c r="V1376" t="str">
        <f>VLOOKUP(L1376,'[2]tabela de preços'!$A:$D,4,0)</f>
        <v>SHERWIN WILLIAMS</v>
      </c>
      <c r="W1376" t="str">
        <f>VLOOKUP(L1376,'[2]tabela de preços'!$A:$F,6,0)</f>
        <v>PRIMER AUTOMOTIVO</v>
      </c>
      <c r="X1376" t="str">
        <f>VLOOKUP(L1376,'[2]tabela de preços'!$A:$G,7,0)</f>
        <v>AUTOMOTIVO</v>
      </c>
    </row>
    <row r="1377" spans="1:24" x14ac:dyDescent="0.3">
      <c r="A1377" t="s">
        <v>208</v>
      </c>
      <c r="C1377" t="s">
        <v>223</v>
      </c>
      <c r="D1377" s="1">
        <v>46042</v>
      </c>
      <c r="E1377" t="s">
        <v>226</v>
      </c>
      <c r="F1377">
        <v>9</v>
      </c>
      <c r="G1377">
        <v>236</v>
      </c>
      <c r="H1377" t="str">
        <f>VLOOKUP(G1377,[1]OPERADORES!$A:$B,2,0)</f>
        <v>DANIEL</v>
      </c>
      <c r="I1377" t="s">
        <v>21</v>
      </c>
      <c r="J1377" t="s">
        <v>211</v>
      </c>
      <c r="K1377" t="s">
        <v>212</v>
      </c>
      <c r="L1377">
        <v>10298</v>
      </c>
      <c r="M1377" t="s">
        <v>85</v>
      </c>
      <c r="O1377" t="s">
        <v>11</v>
      </c>
      <c r="P1377">
        <v>5102</v>
      </c>
      <c r="Q1377">
        <v>1</v>
      </c>
      <c r="R1377">
        <v>56.89</v>
      </c>
      <c r="S1377">
        <v>56.89</v>
      </c>
      <c r="T1377">
        <v>47.38</v>
      </c>
      <c r="U1377">
        <v>16.72</v>
      </c>
      <c r="V1377" t="str">
        <f>VLOOKUP(L1377,'[2]tabela de preços'!$A:$D,4,0)</f>
        <v>ANJO</v>
      </c>
      <c r="W1377" t="str">
        <f>VLOOKUP(L1377,'[2]tabela de preços'!$A:$F,6,0)</f>
        <v>THINNER DE LIMPEZA</v>
      </c>
      <c r="X1377" t="str">
        <f>VLOOKUP(L1377,'[2]tabela de preços'!$A:$G,7,0)</f>
        <v>THINNER</v>
      </c>
    </row>
    <row r="1378" spans="1:24" x14ac:dyDescent="0.3">
      <c r="A1378" t="s">
        <v>369</v>
      </c>
      <c r="C1378" t="s">
        <v>370</v>
      </c>
      <c r="D1378" s="1">
        <v>46042</v>
      </c>
      <c r="E1378" t="s">
        <v>371</v>
      </c>
      <c r="F1378">
        <v>9</v>
      </c>
      <c r="G1378">
        <v>236</v>
      </c>
      <c r="H1378" t="str">
        <f>VLOOKUP(G1378,[1]OPERADORES!$A:$B,2,0)</f>
        <v>DANIEL</v>
      </c>
      <c r="I1378" t="s">
        <v>21</v>
      </c>
      <c r="J1378" t="s">
        <v>372</v>
      </c>
      <c r="K1378" t="s">
        <v>373</v>
      </c>
      <c r="L1378">
        <v>85936</v>
      </c>
      <c r="M1378" t="s">
        <v>374</v>
      </c>
      <c r="O1378" t="s">
        <v>11</v>
      </c>
      <c r="P1378">
        <v>5403</v>
      </c>
      <c r="Q1378">
        <v>1</v>
      </c>
      <c r="R1378">
        <v>129.36000000000001</v>
      </c>
      <c r="S1378">
        <v>129.36000000000001</v>
      </c>
      <c r="T1378">
        <v>98.19</v>
      </c>
      <c r="U1378">
        <v>24.1</v>
      </c>
      <c r="V1378" t="str">
        <f>VLOOKUP(L1378,'[2]tabela de preços'!$A:$D,4,0)</f>
        <v>CORAL</v>
      </c>
      <c r="W1378" t="str">
        <f>VLOOKUP(L1378,'[2]tabela de preços'!$A:$F,6,0)</f>
        <v>ESMALTES</v>
      </c>
      <c r="X1378" t="str">
        <f>VLOOKUP(L1378,'[2]tabela de preços'!$A:$G,7,0)</f>
        <v>INDUSTRIAL</v>
      </c>
    </row>
    <row r="1379" spans="1:24" x14ac:dyDescent="0.3">
      <c r="A1379" t="s">
        <v>369</v>
      </c>
      <c r="C1379" t="s">
        <v>370</v>
      </c>
      <c r="D1379" s="1">
        <v>46042</v>
      </c>
      <c r="E1379" t="s">
        <v>371</v>
      </c>
      <c r="F1379">
        <v>9</v>
      </c>
      <c r="G1379">
        <v>236</v>
      </c>
      <c r="H1379" t="str">
        <f>VLOOKUP(G1379,[1]OPERADORES!$A:$B,2,0)</f>
        <v>DANIEL</v>
      </c>
      <c r="I1379" t="s">
        <v>21</v>
      </c>
      <c r="J1379" t="s">
        <v>372</v>
      </c>
      <c r="K1379" t="s">
        <v>373</v>
      </c>
      <c r="L1379">
        <v>86230</v>
      </c>
      <c r="M1379" t="s">
        <v>375</v>
      </c>
      <c r="O1379" t="s">
        <v>11</v>
      </c>
      <c r="P1379">
        <v>5403</v>
      </c>
      <c r="Q1379">
        <v>1</v>
      </c>
      <c r="R1379">
        <v>290.88</v>
      </c>
      <c r="S1379">
        <v>290.88</v>
      </c>
      <c r="T1379">
        <v>220.78</v>
      </c>
      <c r="U1379">
        <v>24.1</v>
      </c>
      <c r="V1379" t="str">
        <f>VLOOKUP(L1379,'[2]tabela de preços'!$A:$D,4,0)</f>
        <v>CORAL</v>
      </c>
      <c r="W1379" t="str">
        <f>VLOOKUP(L1379,'[2]tabela de preços'!$A:$F,6,0)</f>
        <v>TINTA PAREDE</v>
      </c>
      <c r="X1379" t="str">
        <f>VLOOKUP(L1379,'[2]tabela de preços'!$A:$G,7,0)</f>
        <v>IMOBILIÁRIO</v>
      </c>
    </row>
    <row r="1380" spans="1:24" x14ac:dyDescent="0.3">
      <c r="A1380" t="s">
        <v>369</v>
      </c>
      <c r="C1380" t="s">
        <v>370</v>
      </c>
      <c r="D1380" s="1">
        <v>46042</v>
      </c>
      <c r="E1380" t="s">
        <v>371</v>
      </c>
      <c r="F1380">
        <v>9</v>
      </c>
      <c r="G1380">
        <v>236</v>
      </c>
      <c r="H1380" t="str">
        <f>VLOOKUP(G1380,[1]OPERADORES!$A:$B,2,0)</f>
        <v>DANIEL</v>
      </c>
      <c r="I1380" t="s">
        <v>21</v>
      </c>
      <c r="J1380" t="s">
        <v>372</v>
      </c>
      <c r="K1380" t="s">
        <v>373</v>
      </c>
      <c r="L1380">
        <v>84928</v>
      </c>
      <c r="M1380" t="s">
        <v>36</v>
      </c>
      <c r="O1380" t="s">
        <v>11</v>
      </c>
      <c r="P1380">
        <v>5102</v>
      </c>
      <c r="Q1380">
        <v>5</v>
      </c>
      <c r="R1380">
        <v>9.39</v>
      </c>
      <c r="S1380">
        <v>46.95</v>
      </c>
      <c r="T1380">
        <v>35.65</v>
      </c>
      <c r="U1380">
        <v>24.07</v>
      </c>
      <c r="V1380" t="str">
        <f>VLOOKUP(L1380,'[2]tabela de preços'!$A:$D,4,0)</f>
        <v>ADERE</v>
      </c>
      <c r="W1380" t="str">
        <f>VLOOKUP(L1380,'[2]tabela de preços'!$A:$F,6,0)</f>
        <v xml:space="preserve">FITA DE USO GERAL </v>
      </c>
      <c r="X1380" t="str">
        <f>VLOOKUP(L1380,'[2]tabela de preços'!$A:$G,7,0)</f>
        <v>IMOBILIÁRIO</v>
      </c>
    </row>
    <row r="1381" spans="1:24" x14ac:dyDescent="0.3">
      <c r="A1381" t="s">
        <v>369</v>
      </c>
      <c r="C1381" t="s">
        <v>370</v>
      </c>
      <c r="D1381" s="1">
        <v>46042</v>
      </c>
      <c r="E1381" t="s">
        <v>371</v>
      </c>
      <c r="F1381">
        <v>9</v>
      </c>
      <c r="G1381">
        <v>236</v>
      </c>
      <c r="H1381" t="str">
        <f>VLOOKUP(G1381,[1]OPERADORES!$A:$B,2,0)</f>
        <v>DANIEL</v>
      </c>
      <c r="I1381" t="s">
        <v>21</v>
      </c>
      <c r="J1381" t="s">
        <v>372</v>
      </c>
      <c r="K1381" t="s">
        <v>373</v>
      </c>
      <c r="L1381">
        <v>84560</v>
      </c>
      <c r="M1381" t="s">
        <v>118</v>
      </c>
      <c r="O1381" t="s">
        <v>11</v>
      </c>
      <c r="P1381">
        <v>5102</v>
      </c>
      <c r="Q1381">
        <v>1</v>
      </c>
      <c r="R1381">
        <v>47.89</v>
      </c>
      <c r="S1381">
        <v>47.89</v>
      </c>
      <c r="T1381">
        <v>39.159999999999997</v>
      </c>
      <c r="U1381">
        <v>18.23</v>
      </c>
      <c r="V1381" t="str">
        <f>VLOOKUP(L1381,'[2]tabela de preços'!$A:$D,4,0)</f>
        <v>BRASILUX</v>
      </c>
      <c r="W1381" t="str">
        <f>VLOOKUP(L1381,'[2]tabela de preços'!$A:$F,6,0)</f>
        <v>THINNER DE LIMPEZA</v>
      </c>
      <c r="X1381" t="str">
        <f>VLOOKUP(L1381,'[2]tabela de preços'!$A:$G,7,0)</f>
        <v>THINNER</v>
      </c>
    </row>
    <row r="1382" spans="1:24" x14ac:dyDescent="0.3">
      <c r="A1382" t="s">
        <v>393</v>
      </c>
      <c r="B1382" t="s">
        <v>394</v>
      </c>
      <c r="C1382" t="s">
        <v>415</v>
      </c>
      <c r="D1382" s="1">
        <v>46042</v>
      </c>
      <c r="E1382" t="s">
        <v>416</v>
      </c>
      <c r="F1382">
        <v>9</v>
      </c>
      <c r="G1382">
        <v>174</v>
      </c>
      <c r="H1382" t="str">
        <f>VLOOKUP(G1382,[1]OPERADORES!$A:$B,2,0)</f>
        <v>MIRIÃ LOBATO RODRIGUES</v>
      </c>
      <c r="I1382" t="s">
        <v>21</v>
      </c>
      <c r="J1382" t="s">
        <v>397</v>
      </c>
      <c r="K1382" t="s">
        <v>398</v>
      </c>
      <c r="L1382">
        <v>23373</v>
      </c>
      <c r="M1382" t="s">
        <v>417</v>
      </c>
      <c r="O1382" t="s">
        <v>11</v>
      </c>
      <c r="P1382">
        <v>5403</v>
      </c>
      <c r="Q1382">
        <v>2</v>
      </c>
      <c r="R1382">
        <v>34.1</v>
      </c>
      <c r="S1382">
        <v>68.2</v>
      </c>
      <c r="T1382">
        <v>51.76</v>
      </c>
      <c r="U1382">
        <v>24.11</v>
      </c>
      <c r="V1382" t="str">
        <f>VLOOKUP(L1382,'[2]tabela de preços'!$A:$D,4,0)</f>
        <v>WANDA</v>
      </c>
      <c r="W1382" t="str">
        <f>VLOOKUP(L1382,'[2]tabela de preços'!$A:$F,6,0)</f>
        <v>TINTAS POLIÉSTER</v>
      </c>
      <c r="X1382" t="str">
        <f>VLOOKUP(L1382,'[2]tabela de preços'!$A:$G,7,0)</f>
        <v>AUTOMOTIVO</v>
      </c>
    </row>
    <row r="1383" spans="1:24" x14ac:dyDescent="0.3">
      <c r="A1383" t="s">
        <v>393</v>
      </c>
      <c r="B1383" t="s">
        <v>394</v>
      </c>
      <c r="C1383" t="s">
        <v>415</v>
      </c>
      <c r="D1383" s="1">
        <v>46042</v>
      </c>
      <c r="E1383" t="s">
        <v>416</v>
      </c>
      <c r="F1383">
        <v>9</v>
      </c>
      <c r="G1383">
        <v>174</v>
      </c>
      <c r="H1383" t="str">
        <f>VLOOKUP(G1383,[1]OPERADORES!$A:$B,2,0)</f>
        <v>MIRIÃ LOBATO RODRIGUES</v>
      </c>
      <c r="I1383" t="s">
        <v>21</v>
      </c>
      <c r="J1383" t="s">
        <v>397</v>
      </c>
      <c r="K1383" t="s">
        <v>398</v>
      </c>
      <c r="L1383">
        <v>23105</v>
      </c>
      <c r="M1383" t="s">
        <v>402</v>
      </c>
      <c r="O1383" t="s">
        <v>11</v>
      </c>
      <c r="P1383">
        <v>5102</v>
      </c>
      <c r="Q1383">
        <v>10</v>
      </c>
      <c r="R1383">
        <v>2.35</v>
      </c>
      <c r="S1383">
        <v>23.5</v>
      </c>
      <c r="T1383">
        <v>19.2</v>
      </c>
      <c r="U1383">
        <v>18.3</v>
      </c>
      <c r="V1383" t="str">
        <f>VLOOKUP(L1383,'[2]tabela de preços'!$A:$D,4,0)</f>
        <v>3M</v>
      </c>
      <c r="W1383" t="str">
        <f>VLOOKUP(L1383,'[2]tabela de preços'!$A:$F,6,0)</f>
        <v xml:space="preserve">DISCOS / LIXAS / ABRASIVOS </v>
      </c>
      <c r="X1383" t="str">
        <f>VLOOKUP(L1383,'[2]tabela de preços'!$A:$G,7,0)</f>
        <v>AUTOMOTIVO</v>
      </c>
    </row>
    <row r="1384" spans="1:24" x14ac:dyDescent="0.3">
      <c r="A1384" t="s">
        <v>393</v>
      </c>
      <c r="B1384" t="s">
        <v>394</v>
      </c>
      <c r="C1384" t="s">
        <v>415</v>
      </c>
      <c r="D1384" s="1">
        <v>46042</v>
      </c>
      <c r="E1384" t="s">
        <v>416</v>
      </c>
      <c r="F1384">
        <v>9</v>
      </c>
      <c r="G1384">
        <v>174</v>
      </c>
      <c r="H1384" t="str">
        <f>VLOOKUP(G1384,[1]OPERADORES!$A:$B,2,0)</f>
        <v>MIRIÃ LOBATO RODRIGUES</v>
      </c>
      <c r="I1384" t="s">
        <v>21</v>
      </c>
      <c r="J1384" t="s">
        <v>397</v>
      </c>
      <c r="K1384" t="s">
        <v>398</v>
      </c>
      <c r="L1384">
        <v>23106</v>
      </c>
      <c r="M1384" t="s">
        <v>403</v>
      </c>
      <c r="O1384" t="s">
        <v>11</v>
      </c>
      <c r="P1384">
        <v>5102</v>
      </c>
      <c r="Q1384">
        <v>10</v>
      </c>
      <c r="R1384">
        <v>2.35</v>
      </c>
      <c r="S1384">
        <v>23.5</v>
      </c>
      <c r="T1384">
        <v>19.2</v>
      </c>
      <c r="U1384">
        <v>18.3</v>
      </c>
      <c r="V1384" t="str">
        <f>VLOOKUP(L1384,'[2]tabela de preços'!$A:$D,4,0)</f>
        <v>3M</v>
      </c>
      <c r="W1384" t="str">
        <f>VLOOKUP(L1384,'[2]tabela de preços'!$A:$F,6,0)</f>
        <v xml:space="preserve">DISCOS / LIXAS / ABRASIVOS </v>
      </c>
      <c r="X1384" t="str">
        <f>VLOOKUP(L1384,'[2]tabela de preços'!$A:$G,7,0)</f>
        <v>AUTOMOTIVO</v>
      </c>
    </row>
    <row r="1385" spans="1:24" x14ac:dyDescent="0.3">
      <c r="A1385" t="s">
        <v>393</v>
      </c>
      <c r="B1385" t="s">
        <v>394</v>
      </c>
      <c r="C1385" t="s">
        <v>415</v>
      </c>
      <c r="D1385" s="1">
        <v>46042</v>
      </c>
      <c r="E1385" t="s">
        <v>416</v>
      </c>
      <c r="F1385">
        <v>9</v>
      </c>
      <c r="G1385">
        <v>174</v>
      </c>
      <c r="H1385" t="str">
        <f>VLOOKUP(G1385,[1]OPERADORES!$A:$B,2,0)</f>
        <v>MIRIÃ LOBATO RODRIGUES</v>
      </c>
      <c r="I1385" t="s">
        <v>21</v>
      </c>
      <c r="J1385" t="s">
        <v>397</v>
      </c>
      <c r="K1385" t="s">
        <v>398</v>
      </c>
      <c r="L1385">
        <v>23109</v>
      </c>
      <c r="M1385" t="s">
        <v>418</v>
      </c>
      <c r="O1385" t="s">
        <v>11</v>
      </c>
      <c r="P1385">
        <v>5102</v>
      </c>
      <c r="Q1385">
        <v>5</v>
      </c>
      <c r="R1385">
        <v>2.35</v>
      </c>
      <c r="S1385">
        <v>11.75</v>
      </c>
      <c r="T1385">
        <v>9.25</v>
      </c>
      <c r="U1385">
        <v>21.28</v>
      </c>
      <c r="V1385" t="str">
        <f>VLOOKUP(L1385,'[2]tabela de preços'!$A:$D,4,0)</f>
        <v>3M</v>
      </c>
      <c r="W1385" t="str">
        <f>VLOOKUP(L1385,'[2]tabela de preços'!$A:$F,6,0)</f>
        <v xml:space="preserve">DISCOS / LIXAS / ABRASIVOS </v>
      </c>
      <c r="X1385" t="str">
        <f>VLOOKUP(L1385,'[2]tabela de preços'!$A:$G,7,0)</f>
        <v>AUTOMOTIVO</v>
      </c>
    </row>
    <row r="1386" spans="1:24" x14ac:dyDescent="0.3">
      <c r="A1386" t="s">
        <v>393</v>
      </c>
      <c r="B1386" t="s">
        <v>394</v>
      </c>
      <c r="C1386" t="s">
        <v>415</v>
      </c>
      <c r="D1386" s="1">
        <v>46042</v>
      </c>
      <c r="E1386" t="s">
        <v>416</v>
      </c>
      <c r="F1386">
        <v>9</v>
      </c>
      <c r="G1386">
        <v>174</v>
      </c>
      <c r="H1386" t="str">
        <f>VLOOKUP(G1386,[1]OPERADORES!$A:$B,2,0)</f>
        <v>MIRIÃ LOBATO RODRIGUES</v>
      </c>
      <c r="I1386" t="s">
        <v>21</v>
      </c>
      <c r="J1386" t="s">
        <v>397</v>
      </c>
      <c r="K1386" t="s">
        <v>398</v>
      </c>
      <c r="L1386">
        <v>24240</v>
      </c>
      <c r="M1386" t="s">
        <v>240</v>
      </c>
      <c r="O1386" t="s">
        <v>11</v>
      </c>
      <c r="P1386">
        <v>5102</v>
      </c>
      <c r="Q1386">
        <v>32</v>
      </c>
      <c r="R1386">
        <v>3.81</v>
      </c>
      <c r="S1386">
        <v>121.92</v>
      </c>
      <c r="T1386">
        <v>104.96</v>
      </c>
      <c r="U1386">
        <v>13.91</v>
      </c>
      <c r="V1386" t="str">
        <f>VLOOKUP(L1386,'[2]tabela de preços'!$A:$D,4,0)</f>
        <v>ADERE</v>
      </c>
      <c r="W1386" t="str">
        <f>VLOOKUP(L1386,'[2]tabela de preços'!$A:$F,6,0)</f>
        <v>FITA AUTOMOTIVA</v>
      </c>
      <c r="X1386" t="str">
        <f>VLOOKUP(L1386,'[2]tabela de preços'!$A:$G,7,0)</f>
        <v>AUTOMOTIVO</v>
      </c>
    </row>
    <row r="1387" spans="1:24" x14ac:dyDescent="0.3">
      <c r="A1387" t="s">
        <v>393</v>
      </c>
      <c r="B1387" t="s">
        <v>394</v>
      </c>
      <c r="C1387" t="s">
        <v>415</v>
      </c>
      <c r="D1387" s="1">
        <v>46042</v>
      </c>
      <c r="E1387" t="s">
        <v>416</v>
      </c>
      <c r="F1387">
        <v>9</v>
      </c>
      <c r="G1387">
        <v>174</v>
      </c>
      <c r="H1387" t="str">
        <f>VLOOKUP(G1387,[1]OPERADORES!$A:$B,2,0)</f>
        <v>MIRIÃ LOBATO RODRIGUES</v>
      </c>
      <c r="I1387" t="s">
        <v>21</v>
      </c>
      <c r="J1387" t="s">
        <v>397</v>
      </c>
      <c r="K1387" t="s">
        <v>398</v>
      </c>
      <c r="L1387">
        <v>23383</v>
      </c>
      <c r="M1387" t="s">
        <v>419</v>
      </c>
      <c r="O1387" t="s">
        <v>11</v>
      </c>
      <c r="P1387">
        <v>5403</v>
      </c>
      <c r="Q1387">
        <v>3</v>
      </c>
      <c r="R1387">
        <v>51.6</v>
      </c>
      <c r="S1387">
        <v>154.80000000000001</v>
      </c>
      <c r="T1387">
        <v>117.48</v>
      </c>
      <c r="U1387">
        <v>24.11</v>
      </c>
      <c r="V1387" t="str">
        <f>VLOOKUP(L1387,'[2]tabela de preços'!$A:$D,4,0)</f>
        <v>WANDA</v>
      </c>
      <c r="W1387" t="str">
        <f>VLOOKUP(L1387,'[2]tabela de preços'!$A:$F,6,0)</f>
        <v>TINTAS PU</v>
      </c>
      <c r="X1387" t="str">
        <f>VLOOKUP(L1387,'[2]tabela de preços'!$A:$G,7,0)</f>
        <v>AUTOMOTIVO</v>
      </c>
    </row>
    <row r="1388" spans="1:24" x14ac:dyDescent="0.3">
      <c r="A1388" t="s">
        <v>393</v>
      </c>
      <c r="B1388" t="s">
        <v>394</v>
      </c>
      <c r="C1388" t="s">
        <v>415</v>
      </c>
      <c r="D1388" s="1">
        <v>46042</v>
      </c>
      <c r="E1388" t="s">
        <v>416</v>
      </c>
      <c r="F1388">
        <v>9</v>
      </c>
      <c r="G1388">
        <v>174</v>
      </c>
      <c r="H1388" t="str">
        <f>VLOOKUP(G1388,[1]OPERADORES!$A:$B,2,0)</f>
        <v>MIRIÃ LOBATO RODRIGUES</v>
      </c>
      <c r="I1388" t="s">
        <v>21</v>
      </c>
      <c r="J1388" t="s">
        <v>397</v>
      </c>
      <c r="K1388" t="s">
        <v>398</v>
      </c>
      <c r="L1388">
        <v>20325</v>
      </c>
      <c r="M1388" t="s">
        <v>150</v>
      </c>
      <c r="O1388" t="s">
        <v>11</v>
      </c>
      <c r="P1388">
        <v>5403</v>
      </c>
      <c r="Q1388">
        <v>1</v>
      </c>
      <c r="R1388">
        <v>32.299999999999997</v>
      </c>
      <c r="S1388">
        <v>32.299999999999997</v>
      </c>
      <c r="T1388">
        <v>23.03</v>
      </c>
      <c r="U1388">
        <v>28.7</v>
      </c>
      <c r="V1388" t="str">
        <f>VLOOKUP(L1388,'[2]tabela de preços'!$A:$D,4,0)</f>
        <v>SHERWIN WILLIAMS</v>
      </c>
      <c r="W1388" t="str">
        <f>VLOOKUP(L1388,'[2]tabela de preços'!$A:$F,6,0)</f>
        <v>TINTAS POLIÉSTER</v>
      </c>
      <c r="X1388" t="str">
        <f>VLOOKUP(L1388,'[2]tabela de preços'!$A:$G,7,0)</f>
        <v>AUTOMOTIVO</v>
      </c>
    </row>
    <row r="1389" spans="1:24" x14ac:dyDescent="0.3">
      <c r="A1389" t="s">
        <v>393</v>
      </c>
      <c r="B1389" t="s">
        <v>394</v>
      </c>
      <c r="C1389" t="s">
        <v>415</v>
      </c>
      <c r="D1389" s="1">
        <v>46042</v>
      </c>
      <c r="E1389" t="s">
        <v>416</v>
      </c>
      <c r="F1389">
        <v>9</v>
      </c>
      <c r="G1389">
        <v>174</v>
      </c>
      <c r="H1389" t="str">
        <f>VLOOKUP(G1389,[1]OPERADORES!$A:$B,2,0)</f>
        <v>MIRIÃ LOBATO RODRIGUES</v>
      </c>
      <c r="I1389" t="s">
        <v>21</v>
      </c>
      <c r="J1389" t="s">
        <v>397</v>
      </c>
      <c r="K1389" t="s">
        <v>398</v>
      </c>
      <c r="L1389">
        <v>23099</v>
      </c>
      <c r="M1389" t="s">
        <v>420</v>
      </c>
      <c r="O1389" t="s">
        <v>411</v>
      </c>
      <c r="P1389">
        <v>5102</v>
      </c>
      <c r="Q1389">
        <v>10</v>
      </c>
      <c r="R1389">
        <v>2.35</v>
      </c>
      <c r="S1389">
        <v>23.5</v>
      </c>
      <c r="T1389">
        <v>16.899999999999999</v>
      </c>
      <c r="U1389">
        <v>28.09</v>
      </c>
      <c r="V1389" t="str">
        <f>VLOOKUP(L1389,'[2]tabela de preços'!$A:$D,4,0)</f>
        <v>3M</v>
      </c>
      <c r="W1389" t="str">
        <f>VLOOKUP(L1389,'[2]tabela de preços'!$A:$F,6,0)</f>
        <v xml:space="preserve">DISCOS / LIXAS / ABRASIVOS </v>
      </c>
      <c r="X1389" t="str">
        <f>VLOOKUP(L1389,'[2]tabela de preços'!$A:$G,7,0)</f>
        <v>AUTOMOTIVO</v>
      </c>
    </row>
    <row r="1390" spans="1:24" x14ac:dyDescent="0.3">
      <c r="A1390" t="s">
        <v>393</v>
      </c>
      <c r="B1390" t="s">
        <v>394</v>
      </c>
      <c r="C1390" t="s">
        <v>415</v>
      </c>
      <c r="D1390" s="1">
        <v>46042</v>
      </c>
      <c r="E1390" t="s">
        <v>416</v>
      </c>
      <c r="F1390">
        <v>9</v>
      </c>
      <c r="G1390">
        <v>174</v>
      </c>
      <c r="H1390" t="str">
        <f>VLOOKUP(G1390,[1]OPERADORES!$A:$B,2,0)</f>
        <v>MIRIÃ LOBATO RODRIGUES</v>
      </c>
      <c r="I1390" t="s">
        <v>21</v>
      </c>
      <c r="J1390" t="s">
        <v>397</v>
      </c>
      <c r="K1390" t="s">
        <v>398</v>
      </c>
      <c r="L1390">
        <v>23097</v>
      </c>
      <c r="M1390" t="s">
        <v>412</v>
      </c>
      <c r="O1390" t="s">
        <v>411</v>
      </c>
      <c r="P1390">
        <v>5102</v>
      </c>
      <c r="Q1390">
        <v>10</v>
      </c>
      <c r="R1390">
        <v>2.35</v>
      </c>
      <c r="S1390">
        <v>23.5</v>
      </c>
      <c r="T1390">
        <v>13.6</v>
      </c>
      <c r="U1390">
        <v>42.13</v>
      </c>
      <c r="V1390" t="str">
        <f>VLOOKUP(L1390,'[2]tabela de preços'!$A:$D,4,0)</f>
        <v>3M</v>
      </c>
      <c r="W1390" t="str">
        <f>VLOOKUP(L1390,'[2]tabela de preços'!$A:$F,6,0)</f>
        <v xml:space="preserve">DISCOS / LIXAS / ABRASIVOS </v>
      </c>
      <c r="X1390" t="str">
        <f>VLOOKUP(L1390,'[2]tabela de preços'!$A:$G,7,0)</f>
        <v>AUTOMOTIVO</v>
      </c>
    </row>
    <row r="1391" spans="1:24" x14ac:dyDescent="0.3">
      <c r="A1391" t="s">
        <v>393</v>
      </c>
      <c r="B1391" t="s">
        <v>394</v>
      </c>
      <c r="C1391" t="s">
        <v>415</v>
      </c>
      <c r="D1391" s="1">
        <v>46042</v>
      </c>
      <c r="E1391" t="s">
        <v>416</v>
      </c>
      <c r="F1391">
        <v>9</v>
      </c>
      <c r="G1391">
        <v>174</v>
      </c>
      <c r="H1391" t="str">
        <f>VLOOKUP(G1391,[1]OPERADORES!$A:$B,2,0)</f>
        <v>MIRIÃ LOBATO RODRIGUES</v>
      </c>
      <c r="I1391" t="s">
        <v>21</v>
      </c>
      <c r="J1391" t="s">
        <v>397</v>
      </c>
      <c r="K1391" t="s">
        <v>398</v>
      </c>
      <c r="L1391">
        <v>23102</v>
      </c>
      <c r="M1391" t="s">
        <v>413</v>
      </c>
      <c r="O1391" t="s">
        <v>11</v>
      </c>
      <c r="P1391">
        <v>5102</v>
      </c>
      <c r="Q1391">
        <v>10</v>
      </c>
      <c r="R1391">
        <v>2.35</v>
      </c>
      <c r="S1391">
        <v>23.5</v>
      </c>
      <c r="T1391">
        <v>12.9</v>
      </c>
      <c r="U1391">
        <v>45.11</v>
      </c>
      <c r="V1391" t="str">
        <f>VLOOKUP(L1391,'[2]tabela de preços'!$A:$D,4,0)</f>
        <v>3M</v>
      </c>
      <c r="W1391" t="str">
        <f>VLOOKUP(L1391,'[2]tabela de preços'!$A:$F,6,0)</f>
        <v xml:space="preserve">DISCOS / LIXAS / ABRASIVOS </v>
      </c>
      <c r="X1391" t="str">
        <f>VLOOKUP(L1391,'[2]tabela de preços'!$A:$G,7,0)</f>
        <v>AUTOMOTIVO</v>
      </c>
    </row>
    <row r="1392" spans="1:24" x14ac:dyDescent="0.3">
      <c r="A1392" t="s">
        <v>508</v>
      </c>
      <c r="C1392" t="s">
        <v>524</v>
      </c>
      <c r="D1392" s="1">
        <v>46042</v>
      </c>
      <c r="E1392" t="s">
        <v>525</v>
      </c>
      <c r="F1392">
        <v>9</v>
      </c>
      <c r="G1392">
        <v>231</v>
      </c>
      <c r="H1392" t="str">
        <f>VLOOKUP(G1392,[1]OPERADORES!$A:$B,2,0)</f>
        <v>EDIJANE</v>
      </c>
      <c r="I1392" t="s">
        <v>21</v>
      </c>
      <c r="J1392" t="s">
        <v>66</v>
      </c>
      <c r="K1392" t="s">
        <v>511</v>
      </c>
      <c r="L1392">
        <v>85693</v>
      </c>
      <c r="M1392" t="s">
        <v>526</v>
      </c>
      <c r="O1392" t="s">
        <v>11</v>
      </c>
      <c r="P1392">
        <v>5102</v>
      </c>
      <c r="Q1392">
        <v>12</v>
      </c>
      <c r="R1392">
        <v>7.89</v>
      </c>
      <c r="S1392">
        <v>94.68</v>
      </c>
      <c r="T1392">
        <v>78.12</v>
      </c>
      <c r="U1392">
        <v>17.489999999999998</v>
      </c>
      <c r="V1392" t="str">
        <f>VLOOKUP(L1392,'[2]tabela de preços'!$A:$D,4,0)</f>
        <v>UNIPEGA</v>
      </c>
      <c r="W1392" t="str">
        <f>VLOOKUP(L1392,'[2]tabela de preços'!$A:$F,6,0)</f>
        <v>PU 40</v>
      </c>
      <c r="X1392" t="str">
        <f>VLOOKUP(L1392,'[2]tabela de preços'!$A:$G,7,0)</f>
        <v>IMOBILIÁRIO</v>
      </c>
    </row>
    <row r="1393" spans="1:24" x14ac:dyDescent="0.3">
      <c r="A1393" t="s">
        <v>508</v>
      </c>
      <c r="C1393" t="s">
        <v>524</v>
      </c>
      <c r="D1393" s="1">
        <v>46042</v>
      </c>
      <c r="E1393" t="s">
        <v>525</v>
      </c>
      <c r="F1393">
        <v>9</v>
      </c>
      <c r="G1393">
        <v>231</v>
      </c>
      <c r="H1393" t="str">
        <f>VLOOKUP(G1393,[1]OPERADORES!$A:$B,2,0)</f>
        <v>EDIJANE</v>
      </c>
      <c r="I1393" t="s">
        <v>21</v>
      </c>
      <c r="J1393" t="s">
        <v>66</v>
      </c>
      <c r="K1393" t="s">
        <v>511</v>
      </c>
      <c r="L1393">
        <v>84045</v>
      </c>
      <c r="M1393" t="s">
        <v>527</v>
      </c>
      <c r="O1393" t="s">
        <v>11</v>
      </c>
      <c r="P1393">
        <v>5102</v>
      </c>
      <c r="Q1393">
        <v>2</v>
      </c>
      <c r="R1393">
        <v>19.48</v>
      </c>
      <c r="S1393">
        <v>38.96</v>
      </c>
      <c r="T1393">
        <v>29.58</v>
      </c>
      <c r="U1393">
        <v>24.08</v>
      </c>
      <c r="V1393" t="str">
        <f>VLOOKUP(L1393,'[2]tabela de preços'!$A:$D,4,0)</f>
        <v>BRASILUX</v>
      </c>
      <c r="W1393" t="str">
        <f>VLOOKUP(L1393,'[2]tabela de preços'!$A:$F,6,0)</f>
        <v>REMOVEDOR PASTOSO</v>
      </c>
      <c r="X1393" t="str">
        <f>VLOOKUP(L1393,'[2]tabela de preços'!$A:$G,7,0)</f>
        <v>AUTOMOTIVO</v>
      </c>
    </row>
    <row r="1394" spans="1:24" x14ac:dyDescent="0.3">
      <c r="A1394" t="s">
        <v>508</v>
      </c>
      <c r="C1394" t="s">
        <v>524</v>
      </c>
      <c r="D1394" s="1">
        <v>46042</v>
      </c>
      <c r="E1394" t="s">
        <v>525</v>
      </c>
      <c r="F1394">
        <v>9</v>
      </c>
      <c r="G1394">
        <v>231</v>
      </c>
      <c r="H1394" t="str">
        <f>VLOOKUP(G1394,[1]OPERADORES!$A:$B,2,0)</f>
        <v>EDIJANE</v>
      </c>
      <c r="I1394" t="s">
        <v>21</v>
      </c>
      <c r="J1394" t="s">
        <v>66</v>
      </c>
      <c r="K1394" t="s">
        <v>511</v>
      </c>
      <c r="L1394">
        <v>10297</v>
      </c>
      <c r="M1394" t="s">
        <v>41</v>
      </c>
      <c r="O1394" t="s">
        <v>11</v>
      </c>
      <c r="P1394">
        <v>5102</v>
      </c>
      <c r="Q1394">
        <v>12</v>
      </c>
      <c r="R1394">
        <v>9.26</v>
      </c>
      <c r="S1394">
        <v>111.12</v>
      </c>
      <c r="T1394">
        <v>110.04</v>
      </c>
      <c r="U1394">
        <v>0.97</v>
      </c>
      <c r="V1394" t="str">
        <f>VLOOKUP(L1394,'[2]tabela de preços'!$A:$D,4,0)</f>
        <v>ANJO</v>
      </c>
      <c r="W1394" t="str">
        <f>VLOOKUP(L1394,'[2]tabela de preços'!$A:$F,6,0)</f>
        <v>THINNER DE LIMPEZA</v>
      </c>
      <c r="X1394" t="str">
        <f>VLOOKUP(L1394,'[2]tabela de preços'!$A:$G,7,0)</f>
        <v>THINNER</v>
      </c>
    </row>
    <row r="1395" spans="1:24" x14ac:dyDescent="0.3">
      <c r="A1395" t="s">
        <v>508</v>
      </c>
      <c r="C1395" t="s">
        <v>524</v>
      </c>
      <c r="D1395" s="1">
        <v>46042</v>
      </c>
      <c r="E1395" t="s">
        <v>525</v>
      </c>
      <c r="F1395">
        <v>9</v>
      </c>
      <c r="G1395">
        <v>231</v>
      </c>
      <c r="H1395" t="str">
        <f>VLOOKUP(G1395,[1]OPERADORES!$A:$B,2,0)</f>
        <v>EDIJANE</v>
      </c>
      <c r="I1395" t="s">
        <v>21</v>
      </c>
      <c r="J1395" t="s">
        <v>66</v>
      </c>
      <c r="K1395" t="s">
        <v>511</v>
      </c>
      <c r="L1395">
        <v>85649</v>
      </c>
      <c r="M1395" t="s">
        <v>478</v>
      </c>
      <c r="O1395" t="s">
        <v>11</v>
      </c>
      <c r="P1395">
        <v>5403</v>
      </c>
      <c r="Q1395">
        <v>48</v>
      </c>
      <c r="R1395">
        <v>9.1199999999999992</v>
      </c>
      <c r="S1395">
        <v>437.76</v>
      </c>
      <c r="T1395">
        <v>332.16</v>
      </c>
      <c r="U1395">
        <v>24.12</v>
      </c>
      <c r="V1395" t="str">
        <f>VLOOKUP(L1395,'[2]tabela de preços'!$A:$D,4,0)</f>
        <v>UNIPEGA</v>
      </c>
      <c r="W1395" t="str">
        <f>VLOOKUP(L1395,'[2]tabela de preços'!$A:$F,6,0)</f>
        <v xml:space="preserve">SPRAYS </v>
      </c>
      <c r="X1395" t="str">
        <f>VLOOKUP(L1395,'[2]tabela de preços'!$A:$G,7,0)</f>
        <v>AUTOMOTIVO</v>
      </c>
    </row>
    <row r="1396" spans="1:24" x14ac:dyDescent="0.3">
      <c r="A1396" t="s">
        <v>508</v>
      </c>
      <c r="C1396" t="s">
        <v>524</v>
      </c>
      <c r="D1396" s="1">
        <v>46042</v>
      </c>
      <c r="E1396" t="s">
        <v>525</v>
      </c>
      <c r="F1396">
        <v>9</v>
      </c>
      <c r="G1396">
        <v>231</v>
      </c>
      <c r="H1396" t="str">
        <f>VLOOKUP(G1396,[1]OPERADORES!$A:$B,2,0)</f>
        <v>EDIJANE</v>
      </c>
      <c r="I1396" t="s">
        <v>21</v>
      </c>
      <c r="J1396" t="s">
        <v>66</v>
      </c>
      <c r="K1396" t="s">
        <v>511</v>
      </c>
      <c r="L1396">
        <v>85650</v>
      </c>
      <c r="M1396" t="s">
        <v>439</v>
      </c>
      <c r="O1396" t="s">
        <v>11</v>
      </c>
      <c r="P1396">
        <v>5403</v>
      </c>
      <c r="Q1396">
        <v>36</v>
      </c>
      <c r="R1396">
        <v>9.1199999999999992</v>
      </c>
      <c r="S1396">
        <v>328.32</v>
      </c>
      <c r="T1396">
        <v>249.12</v>
      </c>
      <c r="U1396">
        <v>24.12</v>
      </c>
      <c r="V1396" t="str">
        <f>VLOOKUP(L1396,'[2]tabela de preços'!$A:$D,4,0)</f>
        <v>UNIPEGA</v>
      </c>
      <c r="W1396" t="str">
        <f>VLOOKUP(L1396,'[2]tabela de preços'!$A:$F,6,0)</f>
        <v xml:space="preserve">SPRAYS </v>
      </c>
      <c r="X1396" t="str">
        <f>VLOOKUP(L1396,'[2]tabela de preços'!$A:$G,7,0)</f>
        <v>AUTOMOTIVO</v>
      </c>
    </row>
    <row r="1397" spans="1:24" x14ac:dyDescent="0.3">
      <c r="A1397" t="s">
        <v>626</v>
      </c>
      <c r="B1397" t="s">
        <v>627</v>
      </c>
      <c r="C1397" t="s">
        <v>666</v>
      </c>
      <c r="D1397" s="1">
        <v>46042</v>
      </c>
      <c r="E1397" t="s">
        <v>667</v>
      </c>
      <c r="F1397">
        <v>9</v>
      </c>
      <c r="G1397">
        <v>174</v>
      </c>
      <c r="H1397" t="str">
        <f>VLOOKUP(G1397,[1]OPERADORES!$A:$B,2,0)</f>
        <v>MIRIÃ LOBATO RODRIGUES</v>
      </c>
      <c r="I1397" t="s">
        <v>21</v>
      </c>
      <c r="J1397" t="s">
        <v>630</v>
      </c>
      <c r="K1397" t="s">
        <v>631</v>
      </c>
      <c r="L1397">
        <v>10067</v>
      </c>
      <c r="M1397" t="s">
        <v>177</v>
      </c>
      <c r="O1397" t="s">
        <v>11</v>
      </c>
      <c r="P1397">
        <v>5102</v>
      </c>
      <c r="Q1397">
        <v>1</v>
      </c>
      <c r="R1397">
        <v>96.94</v>
      </c>
      <c r="S1397">
        <v>96.94</v>
      </c>
      <c r="T1397">
        <v>73.58</v>
      </c>
      <c r="U1397">
        <v>24.1</v>
      </c>
      <c r="V1397" t="str">
        <f>VLOOKUP(L1397,'[2]tabela de preços'!$A:$D,4,0)</f>
        <v>3M</v>
      </c>
      <c r="W1397" t="str">
        <f>VLOOKUP(L1397,'[2]tabela de preços'!$A:$F,6,0)</f>
        <v>BOINAS PARA POLIMENTO</v>
      </c>
      <c r="X1397" t="str">
        <f>VLOOKUP(L1397,'[2]tabela de preços'!$A:$G,7,0)</f>
        <v>AUTOMOTIVO</v>
      </c>
    </row>
    <row r="1398" spans="1:24" x14ac:dyDescent="0.3">
      <c r="A1398" t="s">
        <v>626</v>
      </c>
      <c r="B1398" t="s">
        <v>627</v>
      </c>
      <c r="C1398" t="s">
        <v>666</v>
      </c>
      <c r="D1398" s="1">
        <v>46042</v>
      </c>
      <c r="E1398" t="s">
        <v>667</v>
      </c>
      <c r="F1398">
        <v>9</v>
      </c>
      <c r="G1398">
        <v>174</v>
      </c>
      <c r="H1398" t="str">
        <f>VLOOKUP(G1398,[1]OPERADORES!$A:$B,2,0)</f>
        <v>MIRIÃ LOBATO RODRIGUES</v>
      </c>
      <c r="I1398" t="s">
        <v>21</v>
      </c>
      <c r="J1398" t="s">
        <v>630</v>
      </c>
      <c r="K1398" t="s">
        <v>631</v>
      </c>
      <c r="L1398">
        <v>84105</v>
      </c>
      <c r="M1398" t="s">
        <v>668</v>
      </c>
      <c r="O1398" t="s">
        <v>11</v>
      </c>
      <c r="P1398">
        <v>5403</v>
      </c>
      <c r="Q1398">
        <v>5</v>
      </c>
      <c r="R1398">
        <v>27.77</v>
      </c>
      <c r="S1398">
        <v>138.85</v>
      </c>
      <c r="T1398">
        <v>105.4</v>
      </c>
      <c r="U1398">
        <v>24.09</v>
      </c>
      <c r="V1398" t="str">
        <f>VLOOKUP(L1398,'[2]tabela de preços'!$A:$D,4,0)</f>
        <v>BRASILUX</v>
      </c>
      <c r="W1398" t="str">
        <f>VLOOKUP(L1398,'[2]tabela de preços'!$A:$F,6,0)</f>
        <v>PRIMER AUTOMOTIVO</v>
      </c>
      <c r="X1398" t="str">
        <f>VLOOKUP(L1398,'[2]tabela de preços'!$A:$G,7,0)</f>
        <v>AUTOMOTIVO</v>
      </c>
    </row>
    <row r="1399" spans="1:24" x14ac:dyDescent="0.3">
      <c r="A1399" t="s">
        <v>626</v>
      </c>
      <c r="B1399" t="s">
        <v>627</v>
      </c>
      <c r="C1399" t="s">
        <v>666</v>
      </c>
      <c r="D1399" s="1">
        <v>46042</v>
      </c>
      <c r="E1399" t="s">
        <v>667</v>
      </c>
      <c r="F1399">
        <v>9</v>
      </c>
      <c r="G1399">
        <v>174</v>
      </c>
      <c r="H1399" t="str">
        <f>VLOOKUP(G1399,[1]OPERADORES!$A:$B,2,0)</f>
        <v>MIRIÃ LOBATO RODRIGUES</v>
      </c>
      <c r="I1399" t="s">
        <v>21</v>
      </c>
      <c r="J1399" t="s">
        <v>630</v>
      </c>
      <c r="K1399" t="s">
        <v>631</v>
      </c>
      <c r="L1399">
        <v>24248</v>
      </c>
      <c r="M1399" t="s">
        <v>107</v>
      </c>
      <c r="O1399" t="s">
        <v>11</v>
      </c>
      <c r="P1399">
        <v>5102</v>
      </c>
      <c r="Q1399">
        <v>12</v>
      </c>
      <c r="R1399">
        <v>8</v>
      </c>
      <c r="S1399">
        <v>96</v>
      </c>
      <c r="T1399">
        <v>78</v>
      </c>
      <c r="U1399">
        <v>18.75</v>
      </c>
      <c r="V1399" t="str">
        <f>VLOOKUP(L1399,'[2]tabela de preços'!$A:$D,4,0)</f>
        <v>SHERWIN WILLIAMS</v>
      </c>
      <c r="W1399" t="str">
        <f>VLOOKUP(L1399,'[2]tabela de preços'!$A:$F,6,0)</f>
        <v>PRIMER AUTOMOTIVO</v>
      </c>
      <c r="X1399" t="str">
        <f>VLOOKUP(L1399,'[2]tabela de preços'!$A:$G,7,0)</f>
        <v>AUTOMOTIVO</v>
      </c>
    </row>
    <row r="1400" spans="1:24" x14ac:dyDescent="0.3">
      <c r="A1400" t="s">
        <v>626</v>
      </c>
      <c r="B1400" t="s">
        <v>627</v>
      </c>
      <c r="C1400" t="s">
        <v>666</v>
      </c>
      <c r="D1400" s="1">
        <v>46042</v>
      </c>
      <c r="E1400" t="s">
        <v>667</v>
      </c>
      <c r="F1400">
        <v>9</v>
      </c>
      <c r="G1400">
        <v>174</v>
      </c>
      <c r="H1400" t="str">
        <f>VLOOKUP(G1400,[1]OPERADORES!$A:$B,2,0)</f>
        <v>MIRIÃ LOBATO RODRIGUES</v>
      </c>
      <c r="I1400" t="s">
        <v>21</v>
      </c>
      <c r="J1400" t="s">
        <v>630</v>
      </c>
      <c r="K1400" t="s">
        <v>631</v>
      </c>
      <c r="L1400">
        <v>5</v>
      </c>
      <c r="M1400" t="s">
        <v>147</v>
      </c>
      <c r="O1400" t="s">
        <v>11</v>
      </c>
      <c r="P1400">
        <v>5102</v>
      </c>
      <c r="Q1400">
        <v>2</v>
      </c>
      <c r="R1400">
        <v>5.15</v>
      </c>
      <c r="S1400">
        <v>10.3</v>
      </c>
      <c r="T1400">
        <v>7.82</v>
      </c>
      <c r="U1400">
        <v>24.08</v>
      </c>
      <c r="V1400" t="str">
        <f>VLOOKUP(L1400,'[2]tabela de preços'!$A:$D,4,0)</f>
        <v>BRILHO ESTOPA</v>
      </c>
      <c r="W1400" t="str">
        <f>VLOOKUP(L1400,'[2]tabela de preços'!$A:$F,6,0)</f>
        <v>ESTOPAS</v>
      </c>
      <c r="X1400" t="str">
        <f>VLOOKUP(L1400,'[2]tabela de preços'!$A:$G,7,0)</f>
        <v>AUTOMOTIVO</v>
      </c>
    </row>
    <row r="1401" spans="1:24" x14ac:dyDescent="0.3">
      <c r="A1401" t="s">
        <v>626</v>
      </c>
      <c r="B1401" t="s">
        <v>627</v>
      </c>
      <c r="C1401" t="s">
        <v>666</v>
      </c>
      <c r="D1401" s="1">
        <v>46042</v>
      </c>
      <c r="E1401" t="s">
        <v>667</v>
      </c>
      <c r="F1401">
        <v>9</v>
      </c>
      <c r="G1401">
        <v>174</v>
      </c>
      <c r="H1401" t="str">
        <f>VLOOKUP(G1401,[1]OPERADORES!$A:$B,2,0)</f>
        <v>MIRIÃ LOBATO RODRIGUES</v>
      </c>
      <c r="I1401" t="s">
        <v>21</v>
      </c>
      <c r="J1401" t="s">
        <v>630</v>
      </c>
      <c r="K1401" t="s">
        <v>631</v>
      </c>
      <c r="L1401">
        <v>85680</v>
      </c>
      <c r="M1401" t="s">
        <v>669</v>
      </c>
      <c r="O1401" t="s">
        <v>11</v>
      </c>
      <c r="P1401">
        <v>5102</v>
      </c>
      <c r="Q1401">
        <v>10</v>
      </c>
      <c r="R1401">
        <v>3.69</v>
      </c>
      <c r="S1401">
        <v>36.9</v>
      </c>
      <c r="T1401">
        <v>29.3</v>
      </c>
      <c r="U1401">
        <v>20.6</v>
      </c>
      <c r="V1401" t="str">
        <f>VLOOKUP(L1401,'[2]tabela de preços'!$A:$D,4,0)</f>
        <v>UNIPEGA</v>
      </c>
      <c r="W1401" t="str">
        <f>VLOOKUP(L1401,'[2]tabela de preços'!$A:$F,6,0)</f>
        <v>FITA ISOLANTE</v>
      </c>
      <c r="X1401" t="str">
        <f>VLOOKUP(L1401,'[2]tabela de preços'!$A:$G,7,0)</f>
        <v>IMOBILIÁRIO</v>
      </c>
    </row>
    <row r="1402" spans="1:24" x14ac:dyDescent="0.3">
      <c r="A1402" t="s">
        <v>626</v>
      </c>
      <c r="B1402" t="s">
        <v>627</v>
      </c>
      <c r="C1402" t="s">
        <v>666</v>
      </c>
      <c r="D1402" s="1">
        <v>46042</v>
      </c>
      <c r="E1402" t="s">
        <v>667</v>
      </c>
      <c r="F1402">
        <v>9</v>
      </c>
      <c r="G1402">
        <v>174</v>
      </c>
      <c r="H1402" t="str">
        <f>VLOOKUP(G1402,[1]OPERADORES!$A:$B,2,0)</f>
        <v>MIRIÃ LOBATO RODRIGUES</v>
      </c>
      <c r="I1402" t="s">
        <v>21</v>
      </c>
      <c r="J1402" t="s">
        <v>630</v>
      </c>
      <c r="K1402" t="s">
        <v>631</v>
      </c>
      <c r="L1402">
        <v>20431</v>
      </c>
      <c r="M1402" t="s">
        <v>202</v>
      </c>
      <c r="O1402" t="s">
        <v>11</v>
      </c>
      <c r="P1402">
        <v>5403</v>
      </c>
      <c r="Q1402">
        <v>9</v>
      </c>
      <c r="R1402">
        <v>36.89</v>
      </c>
      <c r="S1402">
        <v>332.01</v>
      </c>
      <c r="T1402">
        <v>272.33999999999997</v>
      </c>
      <c r="U1402">
        <v>17.97</v>
      </c>
      <c r="V1402" t="str">
        <f>VLOOKUP(L1402,'[2]tabela de preços'!$A:$D,4,0)</f>
        <v>SHERWIN WILLIAMS</v>
      </c>
      <c r="W1402" t="str">
        <f>VLOOKUP(L1402,'[2]tabela de preços'!$A:$F,6,0)</f>
        <v>VERNIZ AUTOMOTIVO</v>
      </c>
      <c r="X1402" t="str">
        <f>VLOOKUP(L1402,'[2]tabela de preços'!$A:$G,7,0)</f>
        <v>AUTOMOTIVO</v>
      </c>
    </row>
    <row r="1403" spans="1:24" x14ac:dyDescent="0.3">
      <c r="A1403" t="s">
        <v>626</v>
      </c>
      <c r="B1403" t="s">
        <v>627</v>
      </c>
      <c r="C1403" t="s">
        <v>666</v>
      </c>
      <c r="D1403" s="1">
        <v>46042</v>
      </c>
      <c r="E1403" t="s">
        <v>667</v>
      </c>
      <c r="F1403">
        <v>9</v>
      </c>
      <c r="G1403">
        <v>174</v>
      </c>
      <c r="H1403" t="str">
        <f>VLOOKUP(G1403,[1]OPERADORES!$A:$B,2,0)</f>
        <v>MIRIÃ LOBATO RODRIGUES</v>
      </c>
      <c r="I1403" t="s">
        <v>21</v>
      </c>
      <c r="J1403" t="s">
        <v>630</v>
      </c>
      <c r="K1403" t="s">
        <v>631</v>
      </c>
      <c r="L1403">
        <v>21820</v>
      </c>
      <c r="M1403" t="s">
        <v>149</v>
      </c>
      <c r="O1403" t="s">
        <v>11</v>
      </c>
      <c r="P1403">
        <v>5403</v>
      </c>
      <c r="Q1403">
        <v>1</v>
      </c>
      <c r="R1403">
        <v>38.61</v>
      </c>
      <c r="S1403">
        <v>38.61</v>
      </c>
      <c r="T1403">
        <v>27.53</v>
      </c>
      <c r="U1403">
        <v>28.7</v>
      </c>
      <c r="V1403" t="str">
        <f>VLOOKUP(L1403,'[2]tabela de preços'!$A:$D,4,0)</f>
        <v>SHERWIN WILLIAMS</v>
      </c>
      <c r="W1403" t="str">
        <f>VLOOKUP(L1403,'[2]tabela de preços'!$A:$F,6,0)</f>
        <v>TINTAS PU</v>
      </c>
      <c r="X1403" t="str">
        <f>VLOOKUP(L1403,'[2]tabela de preços'!$A:$G,7,0)</f>
        <v>AUTOMOTIVO</v>
      </c>
    </row>
    <row r="1404" spans="1:24" x14ac:dyDescent="0.3">
      <c r="A1404" t="s">
        <v>626</v>
      </c>
      <c r="B1404" t="s">
        <v>627</v>
      </c>
      <c r="C1404" t="s">
        <v>666</v>
      </c>
      <c r="D1404" s="1">
        <v>46042</v>
      </c>
      <c r="E1404" t="s">
        <v>667</v>
      </c>
      <c r="F1404">
        <v>9</v>
      </c>
      <c r="G1404">
        <v>174</v>
      </c>
      <c r="H1404" t="str">
        <f>VLOOKUP(G1404,[1]OPERADORES!$A:$B,2,0)</f>
        <v>MIRIÃ LOBATO RODRIGUES</v>
      </c>
      <c r="I1404" t="s">
        <v>21</v>
      </c>
      <c r="J1404" t="s">
        <v>630</v>
      </c>
      <c r="K1404" t="s">
        <v>631</v>
      </c>
      <c r="L1404">
        <v>23354</v>
      </c>
      <c r="M1404" t="s">
        <v>670</v>
      </c>
      <c r="O1404" t="s">
        <v>11</v>
      </c>
      <c r="P1404">
        <v>5403</v>
      </c>
      <c r="Q1404">
        <v>2</v>
      </c>
      <c r="R1404">
        <v>48.84</v>
      </c>
      <c r="S1404">
        <v>97.68</v>
      </c>
      <c r="T1404">
        <v>74.14</v>
      </c>
      <c r="U1404">
        <v>24.1</v>
      </c>
      <c r="V1404" t="str">
        <f>VLOOKUP(L1404,'[2]tabela de preços'!$A:$D,4,0)</f>
        <v>SHERWIN WILLIAMS</v>
      </c>
      <c r="W1404" t="str">
        <f>VLOOKUP(L1404,'[2]tabela de preços'!$A:$F,6,0)</f>
        <v>TINTAS PU</v>
      </c>
      <c r="X1404" t="str">
        <f>VLOOKUP(L1404,'[2]tabela de preços'!$A:$G,7,0)</f>
        <v>AUTOMOTIVO</v>
      </c>
    </row>
    <row r="1405" spans="1:24" x14ac:dyDescent="0.3">
      <c r="A1405" t="s">
        <v>626</v>
      </c>
      <c r="B1405" t="s">
        <v>627</v>
      </c>
      <c r="C1405" t="s">
        <v>666</v>
      </c>
      <c r="D1405" s="1">
        <v>46042</v>
      </c>
      <c r="E1405" t="s">
        <v>667</v>
      </c>
      <c r="F1405">
        <v>9</v>
      </c>
      <c r="G1405">
        <v>174</v>
      </c>
      <c r="H1405" t="str">
        <f>VLOOKUP(G1405,[1]OPERADORES!$A:$B,2,0)</f>
        <v>MIRIÃ LOBATO RODRIGUES</v>
      </c>
      <c r="I1405" t="s">
        <v>21</v>
      </c>
      <c r="J1405" t="s">
        <v>630</v>
      </c>
      <c r="K1405" t="s">
        <v>631</v>
      </c>
      <c r="L1405">
        <v>20817</v>
      </c>
      <c r="M1405" t="s">
        <v>153</v>
      </c>
      <c r="O1405" t="s">
        <v>11</v>
      </c>
      <c r="P1405">
        <v>5102</v>
      </c>
      <c r="Q1405">
        <v>6</v>
      </c>
      <c r="R1405">
        <v>22.89</v>
      </c>
      <c r="S1405">
        <v>137.34</v>
      </c>
      <c r="T1405">
        <v>111.72</v>
      </c>
      <c r="U1405">
        <v>18.649999999999999</v>
      </c>
      <c r="V1405" t="str">
        <f>VLOOKUP(L1405,'[2]tabela de preços'!$A:$D,4,0)</f>
        <v>AUTO AMERICA</v>
      </c>
      <c r="W1405" t="str">
        <f>VLOOKUP(L1405,'[2]tabela de preços'!$A:$F,6,0)</f>
        <v>MASSA DE POLIR</v>
      </c>
      <c r="X1405" t="str">
        <f>VLOOKUP(L1405,'[2]tabela de preços'!$A:$G,7,0)</f>
        <v>AUTOMOTIVO</v>
      </c>
    </row>
    <row r="1406" spans="1:24" x14ac:dyDescent="0.3">
      <c r="A1406" t="s">
        <v>626</v>
      </c>
      <c r="B1406" t="s">
        <v>627</v>
      </c>
      <c r="C1406" t="s">
        <v>666</v>
      </c>
      <c r="D1406" s="1">
        <v>46042</v>
      </c>
      <c r="E1406" t="s">
        <v>667</v>
      </c>
      <c r="F1406">
        <v>9</v>
      </c>
      <c r="G1406">
        <v>174</v>
      </c>
      <c r="H1406" t="str">
        <f>VLOOKUP(G1406,[1]OPERADORES!$A:$B,2,0)</f>
        <v>MIRIÃ LOBATO RODRIGUES</v>
      </c>
      <c r="I1406" t="s">
        <v>21</v>
      </c>
      <c r="J1406" t="s">
        <v>630</v>
      </c>
      <c r="K1406" t="s">
        <v>631</v>
      </c>
      <c r="L1406">
        <v>20525</v>
      </c>
      <c r="M1406" t="s">
        <v>137</v>
      </c>
      <c r="O1406" t="s">
        <v>11</v>
      </c>
      <c r="P1406">
        <v>5102</v>
      </c>
      <c r="Q1406">
        <v>6</v>
      </c>
      <c r="R1406">
        <v>13.65</v>
      </c>
      <c r="S1406">
        <v>81.900000000000006</v>
      </c>
      <c r="T1406">
        <v>62.16</v>
      </c>
      <c r="U1406">
        <v>24.1</v>
      </c>
      <c r="V1406" t="str">
        <f>VLOOKUP(L1406,'[2]tabela de preços'!$A:$D,4,0)</f>
        <v>SHERWIN WILLIAMS</v>
      </c>
      <c r="W1406" t="str">
        <f>VLOOKUP(L1406,'[2]tabela de preços'!$A:$F,6,0)</f>
        <v>MASSA DE PEQUENOS REPAROS</v>
      </c>
      <c r="X1406" t="str">
        <f>VLOOKUP(L1406,'[2]tabela de preços'!$A:$G,7,0)</f>
        <v>AUTOMOTIVO</v>
      </c>
    </row>
    <row r="1407" spans="1:24" x14ac:dyDescent="0.3">
      <c r="A1407" t="s">
        <v>626</v>
      </c>
      <c r="B1407" t="s">
        <v>627</v>
      </c>
      <c r="C1407" t="s">
        <v>666</v>
      </c>
      <c r="D1407" s="1">
        <v>46042</v>
      </c>
      <c r="E1407" t="s">
        <v>667</v>
      </c>
      <c r="F1407">
        <v>9</v>
      </c>
      <c r="G1407">
        <v>174</v>
      </c>
      <c r="H1407" t="str">
        <f>VLOOKUP(G1407,[1]OPERADORES!$A:$B,2,0)</f>
        <v>MIRIÃ LOBATO RODRIGUES</v>
      </c>
      <c r="I1407" t="s">
        <v>21</v>
      </c>
      <c r="J1407" t="s">
        <v>630</v>
      </c>
      <c r="K1407" t="s">
        <v>631</v>
      </c>
      <c r="L1407">
        <v>84658</v>
      </c>
      <c r="M1407" t="s">
        <v>100</v>
      </c>
      <c r="O1407" t="s">
        <v>11</v>
      </c>
      <c r="P1407">
        <v>5102</v>
      </c>
      <c r="Q1407">
        <v>6</v>
      </c>
      <c r="R1407">
        <v>40.840000000000003</v>
      </c>
      <c r="S1407">
        <v>245.04</v>
      </c>
      <c r="T1407">
        <v>186</v>
      </c>
      <c r="U1407">
        <v>24.09</v>
      </c>
      <c r="V1407" t="str">
        <f>VLOOKUP(L1407,'[2]tabela de preços'!$A:$D,4,0)</f>
        <v>ANJO</v>
      </c>
      <c r="W1407" t="str">
        <f>VLOOKUP(L1407,'[2]tabela de preços'!$A:$F,6,0)</f>
        <v>MASSA POLIÉSTER</v>
      </c>
      <c r="X1407" t="str">
        <f>VLOOKUP(L1407,'[2]tabela de preços'!$A:$G,7,0)</f>
        <v>AUTOMOTIVO</v>
      </c>
    </row>
    <row r="1408" spans="1:24" x14ac:dyDescent="0.3">
      <c r="A1408" t="s">
        <v>626</v>
      </c>
      <c r="B1408" t="s">
        <v>627</v>
      </c>
      <c r="C1408" t="s">
        <v>666</v>
      </c>
      <c r="D1408" s="1">
        <v>46042</v>
      </c>
      <c r="E1408" t="s">
        <v>667</v>
      </c>
      <c r="F1408">
        <v>9</v>
      </c>
      <c r="G1408">
        <v>174</v>
      </c>
      <c r="H1408" t="str">
        <f>VLOOKUP(G1408,[1]OPERADORES!$A:$B,2,0)</f>
        <v>MIRIÃ LOBATO RODRIGUES</v>
      </c>
      <c r="I1408" t="s">
        <v>21</v>
      </c>
      <c r="J1408" t="s">
        <v>630</v>
      </c>
      <c r="K1408" t="s">
        <v>631</v>
      </c>
      <c r="L1408">
        <v>23926</v>
      </c>
      <c r="M1408" t="s">
        <v>645</v>
      </c>
      <c r="O1408" t="s">
        <v>11</v>
      </c>
      <c r="P1408">
        <v>5403</v>
      </c>
      <c r="Q1408">
        <v>1</v>
      </c>
      <c r="R1408">
        <v>147.1</v>
      </c>
      <c r="S1408">
        <v>147.1</v>
      </c>
      <c r="T1408">
        <v>98.89</v>
      </c>
      <c r="U1408">
        <v>32.770000000000003</v>
      </c>
      <c r="V1408" t="str">
        <f>VLOOKUP(L1408,'[2]tabela de preços'!$A:$D,4,0)</f>
        <v>SIKKENS</v>
      </c>
      <c r="W1408" t="str">
        <f>VLOOKUP(L1408,'[2]tabela de preços'!$A:$F,6,0)</f>
        <v>PRIMER AUTOMOTIVO</v>
      </c>
      <c r="X1408" t="str">
        <f>VLOOKUP(L1408,'[2]tabela de preços'!$A:$G,7,0)</f>
        <v>AUTOMOTIVO</v>
      </c>
    </row>
    <row r="1409" spans="1:24" x14ac:dyDescent="0.3">
      <c r="A1409" t="s">
        <v>626</v>
      </c>
      <c r="B1409" t="s">
        <v>627</v>
      </c>
      <c r="C1409" t="s">
        <v>666</v>
      </c>
      <c r="D1409" s="1">
        <v>46042</v>
      </c>
      <c r="E1409" t="s">
        <v>667</v>
      </c>
      <c r="F1409">
        <v>9</v>
      </c>
      <c r="G1409">
        <v>174</v>
      </c>
      <c r="H1409" t="str">
        <f>VLOOKUP(G1409,[1]OPERADORES!$A:$B,2,0)</f>
        <v>MIRIÃ LOBATO RODRIGUES</v>
      </c>
      <c r="I1409" t="s">
        <v>21</v>
      </c>
      <c r="J1409" t="s">
        <v>630</v>
      </c>
      <c r="K1409" t="s">
        <v>631</v>
      </c>
      <c r="L1409">
        <v>24247</v>
      </c>
      <c r="M1409" t="s">
        <v>160</v>
      </c>
      <c r="O1409" t="s">
        <v>11</v>
      </c>
      <c r="P1409">
        <v>5403</v>
      </c>
      <c r="Q1409">
        <v>12</v>
      </c>
      <c r="R1409">
        <v>21</v>
      </c>
      <c r="S1409">
        <v>252</v>
      </c>
      <c r="T1409">
        <v>202.44</v>
      </c>
      <c r="U1409">
        <v>19.670000000000002</v>
      </c>
      <c r="V1409" t="str">
        <f>VLOOKUP(L1409,'[2]tabela de preços'!$A:$D,4,0)</f>
        <v>SHERWIN WILLIAMS</v>
      </c>
      <c r="W1409" t="str">
        <f>VLOOKUP(L1409,'[2]tabela de preços'!$A:$F,6,0)</f>
        <v>PRIMER AUTOMOTIVO</v>
      </c>
      <c r="X1409" t="str">
        <f>VLOOKUP(L1409,'[2]tabela de preços'!$A:$G,7,0)</f>
        <v>AUTOMOTIVO</v>
      </c>
    </row>
    <row r="1410" spans="1:24" x14ac:dyDescent="0.3">
      <c r="A1410" t="s">
        <v>626</v>
      </c>
      <c r="B1410" t="s">
        <v>627</v>
      </c>
      <c r="C1410" t="s">
        <v>666</v>
      </c>
      <c r="D1410" s="1">
        <v>46042</v>
      </c>
      <c r="E1410" t="s">
        <v>667</v>
      </c>
      <c r="F1410">
        <v>9</v>
      </c>
      <c r="G1410">
        <v>174</v>
      </c>
      <c r="H1410" t="str">
        <f>VLOOKUP(G1410,[1]OPERADORES!$A:$B,2,0)</f>
        <v>MIRIÃ LOBATO RODRIGUES</v>
      </c>
      <c r="I1410" t="s">
        <v>21</v>
      </c>
      <c r="J1410" t="s">
        <v>630</v>
      </c>
      <c r="K1410" t="s">
        <v>631</v>
      </c>
      <c r="L1410">
        <v>21067</v>
      </c>
      <c r="M1410" t="s">
        <v>640</v>
      </c>
      <c r="O1410" t="s">
        <v>11</v>
      </c>
      <c r="P1410">
        <v>5102</v>
      </c>
      <c r="Q1410">
        <v>3</v>
      </c>
      <c r="R1410">
        <v>36.07</v>
      </c>
      <c r="S1410">
        <v>108.21</v>
      </c>
      <c r="T1410">
        <v>82.14</v>
      </c>
      <c r="U1410">
        <v>24.09</v>
      </c>
      <c r="V1410" t="str">
        <f>VLOOKUP(L1410,'[2]tabela de preços'!$A:$D,4,0)</f>
        <v>SIKKENS</v>
      </c>
      <c r="W1410" t="str">
        <f>VLOOKUP(L1410,'[2]tabela de preços'!$A:$F,6,0)</f>
        <v>DILUENTE</v>
      </c>
      <c r="X1410" t="str">
        <f>VLOOKUP(L1410,'[2]tabela de preços'!$A:$G,7,0)</f>
        <v>AUTOMOTIVO</v>
      </c>
    </row>
    <row r="1411" spans="1:24" x14ac:dyDescent="0.3">
      <c r="A1411" t="s">
        <v>626</v>
      </c>
      <c r="B1411" t="s">
        <v>627</v>
      </c>
      <c r="C1411" t="s">
        <v>666</v>
      </c>
      <c r="D1411" s="1">
        <v>46042</v>
      </c>
      <c r="E1411" t="s">
        <v>667</v>
      </c>
      <c r="F1411">
        <v>9</v>
      </c>
      <c r="G1411">
        <v>174</v>
      </c>
      <c r="H1411" t="str">
        <f>VLOOKUP(G1411,[1]OPERADORES!$A:$B,2,0)</f>
        <v>MIRIÃ LOBATO RODRIGUES</v>
      </c>
      <c r="I1411" t="s">
        <v>21</v>
      </c>
      <c r="J1411" t="s">
        <v>630</v>
      </c>
      <c r="K1411" t="s">
        <v>631</v>
      </c>
      <c r="L1411">
        <v>20212</v>
      </c>
      <c r="M1411" t="s">
        <v>198</v>
      </c>
      <c r="O1411" t="s">
        <v>11</v>
      </c>
      <c r="P1411">
        <v>5403</v>
      </c>
      <c r="Q1411">
        <v>6</v>
      </c>
      <c r="R1411">
        <v>26.95</v>
      </c>
      <c r="S1411">
        <v>161.69999999999999</v>
      </c>
      <c r="T1411">
        <v>122.76</v>
      </c>
      <c r="U1411">
        <v>24.08</v>
      </c>
      <c r="V1411" t="str">
        <f>VLOOKUP(L1411,'[2]tabela de preços'!$A:$D,4,0)</f>
        <v>MAXI RUBBER</v>
      </c>
      <c r="W1411" t="str">
        <f>VLOOKUP(L1411,'[2]tabela de preços'!$A:$F,6,0)</f>
        <v>SELADORA P/ PLASTICO</v>
      </c>
      <c r="X1411" t="str">
        <f>VLOOKUP(L1411,'[2]tabela de preços'!$A:$G,7,0)</f>
        <v>AUTOMOTIVO</v>
      </c>
    </row>
    <row r="1412" spans="1:24" x14ac:dyDescent="0.3">
      <c r="A1412" t="s">
        <v>626</v>
      </c>
      <c r="B1412" t="s">
        <v>627</v>
      </c>
      <c r="C1412" t="s">
        <v>666</v>
      </c>
      <c r="D1412" s="1">
        <v>46042</v>
      </c>
      <c r="E1412" t="s">
        <v>667</v>
      </c>
      <c r="F1412">
        <v>9</v>
      </c>
      <c r="G1412">
        <v>174</v>
      </c>
      <c r="H1412" t="str">
        <f>VLOOKUP(G1412,[1]OPERADORES!$A:$B,2,0)</f>
        <v>MIRIÃ LOBATO RODRIGUES</v>
      </c>
      <c r="I1412" t="s">
        <v>21</v>
      </c>
      <c r="J1412" t="s">
        <v>630</v>
      </c>
      <c r="K1412" t="s">
        <v>631</v>
      </c>
      <c r="L1412">
        <v>20414</v>
      </c>
      <c r="M1412" t="s">
        <v>112</v>
      </c>
      <c r="O1412" t="s">
        <v>11</v>
      </c>
      <c r="P1412">
        <v>5102</v>
      </c>
      <c r="Q1412">
        <v>20</v>
      </c>
      <c r="R1412">
        <v>21.89</v>
      </c>
      <c r="S1412">
        <v>437.8</v>
      </c>
      <c r="T1412">
        <v>360</v>
      </c>
      <c r="U1412">
        <v>17.77</v>
      </c>
      <c r="V1412" t="str">
        <f>VLOOKUP(L1412,'[2]tabela de preços'!$A:$D,4,0)</f>
        <v>SHERWIN WILLIAMS</v>
      </c>
      <c r="W1412" t="str">
        <f>VLOOKUP(L1412,'[2]tabela de preços'!$A:$F,6,0)</f>
        <v>DILUENTE</v>
      </c>
      <c r="X1412" t="str">
        <f>VLOOKUP(L1412,'[2]tabela de preços'!$A:$G,7,0)</f>
        <v>AUTOMOTIVO</v>
      </c>
    </row>
    <row r="1413" spans="1:24" x14ac:dyDescent="0.3">
      <c r="A1413" t="s">
        <v>626</v>
      </c>
      <c r="B1413" t="s">
        <v>627</v>
      </c>
      <c r="C1413" t="s">
        <v>666</v>
      </c>
      <c r="D1413" s="1">
        <v>46042</v>
      </c>
      <c r="E1413" t="s">
        <v>667</v>
      </c>
      <c r="F1413">
        <v>9</v>
      </c>
      <c r="G1413">
        <v>174</v>
      </c>
      <c r="H1413" t="str">
        <f>VLOOKUP(G1413,[1]OPERADORES!$A:$B,2,0)</f>
        <v>MIRIÃ LOBATO RODRIGUES</v>
      </c>
      <c r="I1413" t="s">
        <v>21</v>
      </c>
      <c r="J1413" t="s">
        <v>630</v>
      </c>
      <c r="K1413" t="s">
        <v>631</v>
      </c>
      <c r="L1413">
        <v>85649</v>
      </c>
      <c r="M1413" t="s">
        <v>478</v>
      </c>
      <c r="O1413" t="s">
        <v>11</v>
      </c>
      <c r="P1413">
        <v>5403</v>
      </c>
      <c r="Q1413">
        <v>6</v>
      </c>
      <c r="R1413">
        <v>9.1199999999999992</v>
      </c>
      <c r="S1413">
        <v>54.72</v>
      </c>
      <c r="T1413">
        <v>41.52</v>
      </c>
      <c r="U1413">
        <v>24.12</v>
      </c>
      <c r="V1413" t="str">
        <f>VLOOKUP(L1413,'[2]tabela de preços'!$A:$D,4,0)</f>
        <v>UNIPEGA</v>
      </c>
      <c r="W1413" t="str">
        <f>VLOOKUP(L1413,'[2]tabela de preços'!$A:$F,6,0)</f>
        <v xml:space="preserve">SPRAYS </v>
      </c>
      <c r="X1413" t="str">
        <f>VLOOKUP(L1413,'[2]tabela de preços'!$A:$G,7,0)</f>
        <v>AUTOMOTIVO</v>
      </c>
    </row>
    <row r="1414" spans="1:24" x14ac:dyDescent="0.3">
      <c r="A1414" t="s">
        <v>626</v>
      </c>
      <c r="B1414" t="s">
        <v>627</v>
      </c>
      <c r="C1414" t="s">
        <v>666</v>
      </c>
      <c r="D1414" s="1">
        <v>46042</v>
      </c>
      <c r="E1414" t="s">
        <v>667</v>
      </c>
      <c r="F1414">
        <v>9</v>
      </c>
      <c r="G1414">
        <v>174</v>
      </c>
      <c r="H1414" t="str">
        <f>VLOOKUP(G1414,[1]OPERADORES!$A:$B,2,0)</f>
        <v>MIRIÃ LOBATO RODRIGUES</v>
      </c>
      <c r="I1414" t="s">
        <v>21</v>
      </c>
      <c r="J1414" t="s">
        <v>630</v>
      </c>
      <c r="K1414" t="s">
        <v>631</v>
      </c>
      <c r="L1414">
        <v>85650</v>
      </c>
      <c r="M1414" t="s">
        <v>439</v>
      </c>
      <c r="O1414" t="s">
        <v>11</v>
      </c>
      <c r="P1414">
        <v>5403</v>
      </c>
      <c r="Q1414">
        <v>6</v>
      </c>
      <c r="R1414">
        <v>9.1199999999999992</v>
      </c>
      <c r="S1414">
        <v>54.72</v>
      </c>
      <c r="T1414">
        <v>41.52</v>
      </c>
      <c r="U1414">
        <v>24.12</v>
      </c>
      <c r="V1414" t="str">
        <f>VLOOKUP(L1414,'[2]tabela de preços'!$A:$D,4,0)</f>
        <v>UNIPEGA</v>
      </c>
      <c r="W1414" t="str">
        <f>VLOOKUP(L1414,'[2]tabela de preços'!$A:$F,6,0)</f>
        <v xml:space="preserve">SPRAYS </v>
      </c>
      <c r="X1414" t="str">
        <f>VLOOKUP(L1414,'[2]tabela de preços'!$A:$G,7,0)</f>
        <v>AUTOMOTIVO</v>
      </c>
    </row>
    <row r="1415" spans="1:24" x14ac:dyDescent="0.3">
      <c r="A1415" t="s">
        <v>747</v>
      </c>
      <c r="C1415" t="s">
        <v>757</v>
      </c>
      <c r="D1415" s="1">
        <v>46042</v>
      </c>
      <c r="F1415">
        <v>9</v>
      </c>
      <c r="G1415">
        <v>197</v>
      </c>
      <c r="H1415" t="str">
        <f>VLOOKUP(G1415,[1]OPERADORES!$A:$B,2,0)</f>
        <v xml:space="preserve">POLIANA LORRANE DE AMORIM </v>
      </c>
      <c r="I1415" t="s">
        <v>21</v>
      </c>
      <c r="J1415" t="s">
        <v>750</v>
      </c>
      <c r="K1415" t="s">
        <v>751</v>
      </c>
      <c r="L1415">
        <v>86842</v>
      </c>
      <c r="M1415" t="s">
        <v>753</v>
      </c>
      <c r="N1415" t="s">
        <v>758</v>
      </c>
      <c r="O1415" t="s">
        <v>11</v>
      </c>
      <c r="P1415">
        <v>1202</v>
      </c>
      <c r="Q1415">
        <v>-5</v>
      </c>
      <c r="R1415">
        <v>149.9</v>
      </c>
      <c r="S1415">
        <v>-749.5</v>
      </c>
      <c r="T1415">
        <v>-628.4</v>
      </c>
      <c r="U1415">
        <v>16.16</v>
      </c>
      <c r="V1415" t="str">
        <f>VLOOKUP(L1415,'[2]tabela de preços'!$A:$D,4,0)</f>
        <v>MACTRA</v>
      </c>
      <c r="W1415" t="str">
        <f>VLOOKUP(L1415,'[2]tabela de preços'!$A:$F,6,0)</f>
        <v>IMPERMEABILIZANTES</v>
      </c>
      <c r="X1415" t="str">
        <f>VLOOKUP(L1415,'[2]tabela de preços'!$A:$G,7,0)</f>
        <v>IMOBILIÁRIO</v>
      </c>
    </row>
    <row r="1416" spans="1:24" x14ac:dyDescent="0.3">
      <c r="A1416" t="s">
        <v>764</v>
      </c>
      <c r="C1416" t="s">
        <v>765</v>
      </c>
      <c r="D1416" s="1">
        <v>46042</v>
      </c>
      <c r="E1416" t="s">
        <v>766</v>
      </c>
      <c r="F1416">
        <v>9</v>
      </c>
      <c r="G1416">
        <v>236</v>
      </c>
      <c r="H1416" t="str">
        <f>VLOOKUP(G1416,[1]OPERADORES!$A:$B,2,0)</f>
        <v>DANIEL</v>
      </c>
      <c r="I1416" t="s">
        <v>21</v>
      </c>
      <c r="J1416" t="s">
        <v>767</v>
      </c>
      <c r="K1416" t="s">
        <v>768</v>
      </c>
      <c r="L1416">
        <v>23709</v>
      </c>
      <c r="M1416" t="s">
        <v>769</v>
      </c>
      <c r="O1416" t="s">
        <v>11</v>
      </c>
      <c r="P1416">
        <v>5102</v>
      </c>
      <c r="Q1416">
        <v>20</v>
      </c>
      <c r="R1416">
        <v>15.34</v>
      </c>
      <c r="S1416">
        <v>306.8</v>
      </c>
      <c r="T1416">
        <v>195.8</v>
      </c>
      <c r="U1416">
        <v>36.18</v>
      </c>
      <c r="V1416" t="str">
        <f>VLOOKUP(L1416,'[2]tabela de preços'!$A:$D,4,0)</f>
        <v>NEW PAD</v>
      </c>
      <c r="W1416" t="str">
        <f>VLOOKUP(L1416,'[2]tabela de preços'!$A:$F,6,0)</f>
        <v>APLICADORES / ADAPTADORES / ENGATES / SUPORTES</v>
      </c>
      <c r="X1416" t="str">
        <f>VLOOKUP(L1416,'[2]tabela de preços'!$A:$G,7,0)</f>
        <v>AUTOMOTIVO</v>
      </c>
    </row>
    <row r="1417" spans="1:24" x14ac:dyDescent="0.3">
      <c r="A1417" t="s">
        <v>764</v>
      </c>
      <c r="C1417" t="s">
        <v>765</v>
      </c>
      <c r="D1417" s="1">
        <v>46042</v>
      </c>
      <c r="E1417" t="s">
        <v>766</v>
      </c>
      <c r="F1417">
        <v>9</v>
      </c>
      <c r="G1417">
        <v>236</v>
      </c>
      <c r="H1417" t="str">
        <f>VLOOKUP(G1417,[1]OPERADORES!$A:$B,2,0)</f>
        <v>DANIEL</v>
      </c>
      <c r="I1417" t="s">
        <v>21</v>
      </c>
      <c r="J1417" t="s">
        <v>767</v>
      </c>
      <c r="K1417" t="s">
        <v>768</v>
      </c>
      <c r="L1417">
        <v>20135</v>
      </c>
      <c r="M1417" t="s">
        <v>459</v>
      </c>
      <c r="O1417" t="s">
        <v>11</v>
      </c>
      <c r="P1417">
        <v>5102</v>
      </c>
      <c r="Q1417">
        <v>15</v>
      </c>
      <c r="R1417">
        <v>26.27</v>
      </c>
      <c r="S1417">
        <v>394.05</v>
      </c>
      <c r="T1417">
        <v>288.89999999999998</v>
      </c>
      <c r="U1417">
        <v>26.68</v>
      </c>
      <c r="V1417" t="str">
        <f>VLOOKUP(L1417,'[2]tabela de preços'!$A:$D,4,0)</f>
        <v>3M</v>
      </c>
      <c r="W1417" t="str">
        <f>VLOOKUP(L1417,'[2]tabela de preços'!$A:$F,6,0)</f>
        <v>DISCO TRIZACT</v>
      </c>
      <c r="X1417" t="str">
        <f>VLOOKUP(L1417,'[2]tabela de preços'!$A:$G,7,0)</f>
        <v>AUTOMOTIVO</v>
      </c>
    </row>
    <row r="1418" spans="1:24" x14ac:dyDescent="0.3">
      <c r="A1418" t="s">
        <v>811</v>
      </c>
      <c r="C1418" t="s">
        <v>820</v>
      </c>
      <c r="D1418" s="1">
        <v>46042</v>
      </c>
      <c r="E1418" t="s">
        <v>821</v>
      </c>
      <c r="F1418">
        <v>9</v>
      </c>
      <c r="G1418">
        <v>236</v>
      </c>
      <c r="H1418" t="str">
        <f>VLOOKUP(G1418,[1]OPERADORES!$A:$B,2,0)</f>
        <v>DANIEL</v>
      </c>
      <c r="I1418" t="s">
        <v>282</v>
      </c>
      <c r="J1418" t="s">
        <v>814</v>
      </c>
      <c r="K1418" t="s">
        <v>815</v>
      </c>
      <c r="L1418">
        <v>84215</v>
      </c>
      <c r="M1418" t="s">
        <v>822</v>
      </c>
      <c r="O1418" t="s">
        <v>11</v>
      </c>
      <c r="P1418">
        <v>6403</v>
      </c>
      <c r="Q1418">
        <v>4</v>
      </c>
      <c r="R1418">
        <v>260.36</v>
      </c>
      <c r="S1418" s="2">
        <v>1041.44</v>
      </c>
      <c r="T1418">
        <v>772.28</v>
      </c>
      <c r="U1418">
        <v>25.84</v>
      </c>
      <c r="V1418" t="str">
        <f>VLOOKUP(L1418,'[2]tabela de preços'!$A:$D,4,0)</f>
        <v>BRASILUX</v>
      </c>
      <c r="W1418" t="str">
        <f>VLOOKUP(L1418,'[2]tabela de preços'!$A:$F,6,0)</f>
        <v>ESMALTES</v>
      </c>
      <c r="X1418" t="str">
        <f>VLOOKUP(L1418,'[2]tabela de preços'!$A:$G,7,0)</f>
        <v>INDUSTRIAL</v>
      </c>
    </row>
    <row r="1419" spans="1:24" x14ac:dyDescent="0.3">
      <c r="A1419" t="s">
        <v>823</v>
      </c>
      <c r="B1419" t="s">
        <v>824</v>
      </c>
      <c r="C1419" t="s">
        <v>825</v>
      </c>
      <c r="D1419" s="1">
        <v>46042</v>
      </c>
      <c r="E1419" t="s">
        <v>826</v>
      </c>
      <c r="F1419">
        <v>9</v>
      </c>
      <c r="G1419">
        <v>230</v>
      </c>
      <c r="H1419" t="str">
        <f>VLOOKUP(G1419,[1]OPERADORES!$A:$B,2,0)</f>
        <v>SÔNIA</v>
      </c>
      <c r="I1419" t="s">
        <v>21</v>
      </c>
      <c r="J1419" t="s">
        <v>450</v>
      </c>
      <c r="K1419" t="s">
        <v>827</v>
      </c>
      <c r="L1419">
        <v>10297</v>
      </c>
      <c r="M1419" t="s">
        <v>41</v>
      </c>
      <c r="O1419" t="s">
        <v>11</v>
      </c>
      <c r="P1419">
        <v>5102</v>
      </c>
      <c r="Q1419">
        <v>72</v>
      </c>
      <c r="R1419">
        <v>10.89</v>
      </c>
      <c r="S1419">
        <v>784.08</v>
      </c>
      <c r="T1419">
        <v>660.24</v>
      </c>
      <c r="U1419">
        <v>15.79</v>
      </c>
      <c r="V1419" t="str">
        <f>VLOOKUP(L1419,'[2]tabela de preços'!$A:$D,4,0)</f>
        <v>ANJO</v>
      </c>
      <c r="W1419" t="str">
        <f>VLOOKUP(L1419,'[2]tabela de preços'!$A:$F,6,0)</f>
        <v>THINNER DE LIMPEZA</v>
      </c>
      <c r="X1419" t="str">
        <f>VLOOKUP(L1419,'[2]tabela de preços'!$A:$G,7,0)</f>
        <v>THINNER</v>
      </c>
    </row>
    <row r="1420" spans="1:24" x14ac:dyDescent="0.3">
      <c r="A1420" t="s">
        <v>1291</v>
      </c>
      <c r="C1420" t="s">
        <v>1292</v>
      </c>
      <c r="D1420" s="1">
        <v>46042</v>
      </c>
      <c r="E1420" t="s">
        <v>1293</v>
      </c>
      <c r="F1420">
        <v>9</v>
      </c>
      <c r="G1420">
        <v>197</v>
      </c>
      <c r="H1420" t="str">
        <f>VLOOKUP(G1420,[1]OPERADORES!$A:$B,2,0)</f>
        <v xml:space="preserve">POLIANA LORRANE DE AMORIM </v>
      </c>
      <c r="I1420" t="s">
        <v>282</v>
      </c>
      <c r="J1420" t="s">
        <v>1294</v>
      </c>
      <c r="K1420" t="s">
        <v>1295</v>
      </c>
      <c r="L1420">
        <v>84114</v>
      </c>
      <c r="M1420" t="s">
        <v>292</v>
      </c>
      <c r="O1420" t="s">
        <v>11</v>
      </c>
      <c r="P1420">
        <v>6403</v>
      </c>
      <c r="Q1420">
        <v>6</v>
      </c>
      <c r="R1420">
        <v>153.99</v>
      </c>
      <c r="S1420">
        <v>923.94</v>
      </c>
      <c r="T1420">
        <v>701.28</v>
      </c>
      <c r="U1420">
        <v>24.1</v>
      </c>
      <c r="V1420" t="str">
        <f>VLOOKUP(L1420,'[2]tabela de preços'!$A:$D,4,0)</f>
        <v>BRASILUX</v>
      </c>
      <c r="W1420" t="str">
        <f>VLOOKUP(L1420,'[2]tabela de preços'!$A:$F,6,0)</f>
        <v>EPOXI</v>
      </c>
      <c r="X1420" t="str">
        <f>VLOOKUP(L1420,'[2]tabela de preços'!$A:$G,7,0)</f>
        <v>INDUSTRIAL</v>
      </c>
    </row>
    <row r="1421" spans="1:24" x14ac:dyDescent="0.3">
      <c r="A1421" t="s">
        <v>1291</v>
      </c>
      <c r="C1421" t="s">
        <v>1292</v>
      </c>
      <c r="D1421" s="1">
        <v>46042</v>
      </c>
      <c r="E1421" t="s">
        <v>1293</v>
      </c>
      <c r="F1421">
        <v>9</v>
      </c>
      <c r="G1421">
        <v>197</v>
      </c>
      <c r="H1421" t="str">
        <f>VLOOKUP(G1421,[1]OPERADORES!$A:$B,2,0)</f>
        <v xml:space="preserve">POLIANA LORRANE DE AMORIM </v>
      </c>
      <c r="I1421" t="s">
        <v>282</v>
      </c>
      <c r="J1421" t="s">
        <v>1294</v>
      </c>
      <c r="K1421" t="s">
        <v>1295</v>
      </c>
      <c r="L1421">
        <v>86754</v>
      </c>
      <c r="M1421" t="s">
        <v>1296</v>
      </c>
      <c r="O1421" t="s">
        <v>11</v>
      </c>
      <c r="P1421">
        <v>6102</v>
      </c>
      <c r="Q1421">
        <v>8</v>
      </c>
      <c r="R1421">
        <v>34.9</v>
      </c>
      <c r="S1421">
        <v>279.2</v>
      </c>
      <c r="T1421">
        <v>233.12</v>
      </c>
      <c r="U1421">
        <v>16.5</v>
      </c>
      <c r="V1421" t="str">
        <f>VLOOKUP(L1421,'[2]tabela de preços'!$A:$D,4,0)</f>
        <v>MACTRA</v>
      </c>
      <c r="W1421" t="str">
        <f>VLOOKUP(L1421,'[2]tabela de preços'!$A:$F,6,0)</f>
        <v>IMPERMEABILIZANTES</v>
      </c>
      <c r="X1421" t="str">
        <f>VLOOKUP(L1421,'[2]tabela de preços'!$A:$G,7,0)</f>
        <v>IMOBILIÁRIO</v>
      </c>
    </row>
    <row r="1422" spans="1:24" x14ac:dyDescent="0.3">
      <c r="A1422" t="s">
        <v>1291</v>
      </c>
      <c r="C1422" t="s">
        <v>1292</v>
      </c>
      <c r="D1422" s="1">
        <v>46042</v>
      </c>
      <c r="E1422" t="s">
        <v>1293</v>
      </c>
      <c r="F1422">
        <v>9</v>
      </c>
      <c r="G1422">
        <v>197</v>
      </c>
      <c r="H1422" t="str">
        <f>VLOOKUP(G1422,[1]OPERADORES!$A:$B,2,0)</f>
        <v xml:space="preserve">POLIANA LORRANE DE AMORIM </v>
      </c>
      <c r="I1422" t="s">
        <v>282</v>
      </c>
      <c r="J1422" t="s">
        <v>1294</v>
      </c>
      <c r="K1422" t="s">
        <v>1295</v>
      </c>
      <c r="L1422">
        <v>86842</v>
      </c>
      <c r="M1422" t="s">
        <v>753</v>
      </c>
      <c r="O1422" t="s">
        <v>11</v>
      </c>
      <c r="P1422">
        <v>6102</v>
      </c>
      <c r="Q1422">
        <v>12</v>
      </c>
      <c r="R1422">
        <v>149.9</v>
      </c>
      <c r="S1422" s="2">
        <v>1798.8</v>
      </c>
      <c r="T1422" s="2">
        <v>1508.16</v>
      </c>
      <c r="U1422">
        <v>16.16</v>
      </c>
      <c r="V1422" t="str">
        <f>VLOOKUP(L1422,'[2]tabela de preços'!$A:$D,4,0)</f>
        <v>MACTRA</v>
      </c>
      <c r="W1422" t="str">
        <f>VLOOKUP(L1422,'[2]tabela de preços'!$A:$F,6,0)</f>
        <v>IMPERMEABILIZANTES</v>
      </c>
      <c r="X1422" t="str">
        <f>VLOOKUP(L1422,'[2]tabela de preços'!$A:$G,7,0)</f>
        <v>IMOBILIÁRIO</v>
      </c>
    </row>
    <row r="1423" spans="1:24" x14ac:dyDescent="0.3">
      <c r="A1423" t="s">
        <v>1291</v>
      </c>
      <c r="C1423" t="s">
        <v>1292</v>
      </c>
      <c r="D1423" s="1">
        <v>46042</v>
      </c>
      <c r="E1423" t="s">
        <v>1293</v>
      </c>
      <c r="F1423">
        <v>9</v>
      </c>
      <c r="G1423">
        <v>197</v>
      </c>
      <c r="H1423" t="str">
        <f>VLOOKUP(G1423,[1]OPERADORES!$A:$B,2,0)</f>
        <v xml:space="preserve">POLIANA LORRANE DE AMORIM </v>
      </c>
      <c r="I1423" t="s">
        <v>282</v>
      </c>
      <c r="J1423" t="s">
        <v>1294</v>
      </c>
      <c r="K1423" t="s">
        <v>1295</v>
      </c>
      <c r="L1423">
        <v>10298</v>
      </c>
      <c r="M1423" t="s">
        <v>85</v>
      </c>
      <c r="O1423" t="s">
        <v>11</v>
      </c>
      <c r="P1423">
        <v>6102</v>
      </c>
      <c r="Q1423">
        <v>50</v>
      </c>
      <c r="R1423">
        <v>54.9</v>
      </c>
      <c r="S1423" s="2">
        <v>2745</v>
      </c>
      <c r="T1423" s="2">
        <v>2369</v>
      </c>
      <c r="U1423">
        <v>13.7</v>
      </c>
      <c r="V1423" t="str">
        <f>VLOOKUP(L1423,'[2]tabela de preços'!$A:$D,4,0)</f>
        <v>ANJO</v>
      </c>
      <c r="W1423" t="str">
        <f>VLOOKUP(L1423,'[2]tabela de preços'!$A:$F,6,0)</f>
        <v>THINNER DE LIMPEZA</v>
      </c>
      <c r="X1423" t="str">
        <f>VLOOKUP(L1423,'[2]tabela de preços'!$A:$G,7,0)</f>
        <v>THINNER</v>
      </c>
    </row>
    <row r="1424" spans="1:24" x14ac:dyDescent="0.3">
      <c r="A1424" t="s">
        <v>1291</v>
      </c>
      <c r="C1424" t="s">
        <v>1292</v>
      </c>
      <c r="D1424" s="1">
        <v>46042</v>
      </c>
      <c r="E1424" t="s">
        <v>1293</v>
      </c>
      <c r="F1424">
        <v>9</v>
      </c>
      <c r="G1424">
        <v>197</v>
      </c>
      <c r="H1424" t="str">
        <f>VLOOKUP(G1424,[1]OPERADORES!$A:$B,2,0)</f>
        <v xml:space="preserve">POLIANA LORRANE DE AMORIM </v>
      </c>
      <c r="I1424" t="s">
        <v>282</v>
      </c>
      <c r="J1424" t="s">
        <v>1294</v>
      </c>
      <c r="K1424" t="s">
        <v>1295</v>
      </c>
      <c r="L1424">
        <v>10297</v>
      </c>
      <c r="M1424" t="s">
        <v>41</v>
      </c>
      <c r="O1424" t="s">
        <v>11</v>
      </c>
      <c r="P1424">
        <v>6102</v>
      </c>
      <c r="Q1424">
        <v>30</v>
      </c>
      <c r="R1424">
        <v>10.49</v>
      </c>
      <c r="S1424">
        <v>314.7</v>
      </c>
      <c r="T1424">
        <v>275.10000000000002</v>
      </c>
      <c r="U1424">
        <v>12.58</v>
      </c>
      <c r="V1424" t="str">
        <f>VLOOKUP(L1424,'[2]tabela de preços'!$A:$D,4,0)</f>
        <v>ANJO</v>
      </c>
      <c r="W1424" t="str">
        <f>VLOOKUP(L1424,'[2]tabela de preços'!$A:$F,6,0)</f>
        <v>THINNER DE LIMPEZA</v>
      </c>
      <c r="X1424" t="str">
        <f>VLOOKUP(L1424,'[2]tabela de preços'!$A:$G,7,0)</f>
        <v>THINNER</v>
      </c>
    </row>
    <row r="1425" spans="1:24" x14ac:dyDescent="0.3">
      <c r="A1425" t="s">
        <v>1486</v>
      </c>
      <c r="C1425" t="s">
        <v>1511</v>
      </c>
      <c r="D1425" s="1">
        <v>46042</v>
      </c>
      <c r="F1425">
        <v>9</v>
      </c>
      <c r="G1425">
        <v>236</v>
      </c>
      <c r="H1425" t="str">
        <f>VLOOKUP(G1425,[1]OPERADORES!$A:$B,2,0)</f>
        <v>DANIEL</v>
      </c>
      <c r="I1425" t="s">
        <v>1489</v>
      </c>
      <c r="J1425" t="s">
        <v>1490</v>
      </c>
      <c r="K1425" t="s">
        <v>1491</v>
      </c>
      <c r="L1425">
        <v>85691</v>
      </c>
      <c r="M1425" t="s">
        <v>1231</v>
      </c>
      <c r="N1425" t="s">
        <v>1512</v>
      </c>
      <c r="O1425" t="s">
        <v>11</v>
      </c>
      <c r="P1425">
        <v>2202</v>
      </c>
      <c r="Q1425">
        <v>-24</v>
      </c>
      <c r="R1425">
        <v>14.81</v>
      </c>
      <c r="S1425">
        <v>-355.44</v>
      </c>
      <c r="T1425">
        <v>-269.76</v>
      </c>
      <c r="U1425">
        <v>24.11</v>
      </c>
      <c r="V1425" t="str">
        <f>VLOOKUP(L1425,'[2]tabela de preços'!$A:$D,4,0)</f>
        <v>UNIPEGA</v>
      </c>
      <c r="W1425" t="str">
        <f>VLOOKUP(L1425,'[2]tabela de preços'!$A:$F,6,0)</f>
        <v>COLA INST./ ADESIVOS COLANTES</v>
      </c>
      <c r="X1425" t="str">
        <f>VLOOKUP(L1425,'[2]tabela de preços'!$A:$G,7,0)</f>
        <v>AUTOMOTIVO</v>
      </c>
    </row>
    <row r="1426" spans="1:24" x14ac:dyDescent="0.3">
      <c r="A1426" t="s">
        <v>1561</v>
      </c>
      <c r="C1426" t="s">
        <v>1587</v>
      </c>
      <c r="D1426" s="1">
        <v>46042</v>
      </c>
      <c r="E1426" t="s">
        <v>1588</v>
      </c>
      <c r="F1426">
        <v>9</v>
      </c>
      <c r="G1426">
        <v>174</v>
      </c>
      <c r="H1426" t="str">
        <f>VLOOKUP(G1426,[1]OPERADORES!$A:$B,2,0)</f>
        <v>MIRIÃ LOBATO RODRIGUES</v>
      </c>
      <c r="I1426" t="s">
        <v>21</v>
      </c>
      <c r="J1426" t="s">
        <v>1564</v>
      </c>
      <c r="K1426" t="s">
        <v>1565</v>
      </c>
      <c r="L1426">
        <v>84036</v>
      </c>
      <c r="M1426" t="s">
        <v>289</v>
      </c>
      <c r="O1426" t="s">
        <v>11</v>
      </c>
      <c r="P1426">
        <v>5102</v>
      </c>
      <c r="Q1426">
        <v>3</v>
      </c>
      <c r="R1426">
        <v>47.9</v>
      </c>
      <c r="S1426">
        <v>143.69999999999999</v>
      </c>
      <c r="T1426">
        <v>124.89</v>
      </c>
      <c r="U1426">
        <v>13.09</v>
      </c>
      <c r="V1426" t="str">
        <f>VLOOKUP(L1426,'[2]tabela de preços'!$A:$D,4,0)</f>
        <v>BRASILUX</v>
      </c>
      <c r="W1426" t="str">
        <f>VLOOKUP(L1426,'[2]tabela de preços'!$A:$F,6,0)</f>
        <v>MASSA CORRIDA / ACRÍLICA</v>
      </c>
      <c r="X1426" t="str">
        <f>VLOOKUP(L1426,'[2]tabela de preços'!$A:$G,7,0)</f>
        <v>IMOBILIÁRIO</v>
      </c>
    </row>
    <row r="1427" spans="1:24" x14ac:dyDescent="0.3">
      <c r="A1427" t="s">
        <v>1630</v>
      </c>
      <c r="C1427" t="s">
        <v>1637</v>
      </c>
      <c r="D1427" s="1">
        <v>46042</v>
      </c>
      <c r="E1427" t="s">
        <v>1638</v>
      </c>
      <c r="F1427">
        <v>9</v>
      </c>
      <c r="G1427">
        <v>174</v>
      </c>
      <c r="H1427" t="str">
        <f>VLOOKUP(G1427,[1]OPERADORES!$A:$B,2,0)</f>
        <v>MIRIÃ LOBATO RODRIGUES</v>
      </c>
      <c r="I1427" t="s">
        <v>21</v>
      </c>
      <c r="J1427" t="s">
        <v>762</v>
      </c>
      <c r="K1427" t="s">
        <v>1633</v>
      </c>
      <c r="L1427">
        <v>56</v>
      </c>
      <c r="M1427" t="s">
        <v>1639</v>
      </c>
      <c r="O1427" t="s">
        <v>11</v>
      </c>
      <c r="P1427">
        <v>5102</v>
      </c>
      <c r="Q1427">
        <v>100</v>
      </c>
      <c r="R1427">
        <v>1.53</v>
      </c>
      <c r="S1427">
        <v>153</v>
      </c>
      <c r="T1427">
        <v>99</v>
      </c>
      <c r="U1427">
        <v>35.29</v>
      </c>
      <c r="V1427" t="str">
        <f>VLOOKUP(L1427,'[2]tabela de preços'!$A:$D,4,0)</f>
        <v>3M</v>
      </c>
      <c r="W1427" t="str">
        <f>VLOOKUP(L1427,'[2]tabela de preços'!$A:$F,6,0)</f>
        <v>LIXA DÁGUA</v>
      </c>
      <c r="X1427" t="str">
        <f>VLOOKUP(L1427,'[2]tabela de preços'!$A:$G,7,0)</f>
        <v>AUTOMOTIVO</v>
      </c>
    </row>
    <row r="1428" spans="1:24" x14ac:dyDescent="0.3">
      <c r="A1428" t="s">
        <v>1630</v>
      </c>
      <c r="C1428" t="s">
        <v>1637</v>
      </c>
      <c r="D1428" s="1">
        <v>46042</v>
      </c>
      <c r="E1428" t="s">
        <v>1638</v>
      </c>
      <c r="F1428">
        <v>9</v>
      </c>
      <c r="G1428">
        <v>174</v>
      </c>
      <c r="H1428" t="str">
        <f>VLOOKUP(G1428,[1]OPERADORES!$A:$B,2,0)</f>
        <v>MIRIÃ LOBATO RODRIGUES</v>
      </c>
      <c r="I1428" t="s">
        <v>21</v>
      </c>
      <c r="J1428" t="s">
        <v>762</v>
      </c>
      <c r="K1428" t="s">
        <v>1633</v>
      </c>
      <c r="L1428">
        <v>55</v>
      </c>
      <c r="M1428" t="s">
        <v>1640</v>
      </c>
      <c r="O1428" t="s">
        <v>11</v>
      </c>
      <c r="P1428">
        <v>5102</v>
      </c>
      <c r="Q1428">
        <v>50</v>
      </c>
      <c r="R1428">
        <v>1.1299999999999999</v>
      </c>
      <c r="S1428">
        <v>56.5</v>
      </c>
      <c r="T1428">
        <v>36.5</v>
      </c>
      <c r="U1428">
        <v>35.4</v>
      </c>
      <c r="V1428" t="str">
        <f>VLOOKUP(L1428,'[2]tabela de preços'!$A:$D,4,0)</f>
        <v>3M</v>
      </c>
      <c r="W1428" t="str">
        <f>VLOOKUP(L1428,'[2]tabela de preços'!$A:$F,6,0)</f>
        <v>LIXA DÁGUA</v>
      </c>
      <c r="X1428" t="str">
        <f>VLOOKUP(L1428,'[2]tabela de preços'!$A:$G,7,0)</f>
        <v>AUTOMOTIVO</v>
      </c>
    </row>
    <row r="1429" spans="1:24" x14ac:dyDescent="0.3">
      <c r="A1429" t="s">
        <v>1630</v>
      </c>
      <c r="C1429" t="s">
        <v>1637</v>
      </c>
      <c r="D1429" s="1">
        <v>46042</v>
      </c>
      <c r="E1429" t="s">
        <v>1638</v>
      </c>
      <c r="F1429">
        <v>9</v>
      </c>
      <c r="G1429">
        <v>174</v>
      </c>
      <c r="H1429" t="str">
        <f>VLOOKUP(G1429,[1]OPERADORES!$A:$B,2,0)</f>
        <v>MIRIÃ LOBATO RODRIGUES</v>
      </c>
      <c r="I1429" t="s">
        <v>21</v>
      </c>
      <c r="J1429" t="s">
        <v>762</v>
      </c>
      <c r="K1429" t="s">
        <v>1633</v>
      </c>
      <c r="L1429">
        <v>57</v>
      </c>
      <c r="M1429" t="s">
        <v>1089</v>
      </c>
      <c r="O1429" t="s">
        <v>11</v>
      </c>
      <c r="P1429">
        <v>5102</v>
      </c>
      <c r="Q1429">
        <v>50</v>
      </c>
      <c r="R1429">
        <v>1.1299999999999999</v>
      </c>
      <c r="S1429">
        <v>56.5</v>
      </c>
      <c r="T1429">
        <v>36.5</v>
      </c>
      <c r="U1429">
        <v>35.4</v>
      </c>
      <c r="V1429" t="str">
        <f>VLOOKUP(L1429,'[2]tabela de preços'!$A:$D,4,0)</f>
        <v>3M</v>
      </c>
      <c r="W1429" t="str">
        <f>VLOOKUP(L1429,'[2]tabela de preços'!$A:$F,6,0)</f>
        <v>LIXA DÁGUA</v>
      </c>
      <c r="X1429" t="str">
        <f>VLOOKUP(L1429,'[2]tabela de preços'!$A:$G,7,0)</f>
        <v>AUTOMOTIVO</v>
      </c>
    </row>
    <row r="1430" spans="1:24" x14ac:dyDescent="0.3">
      <c r="A1430" t="s">
        <v>1630</v>
      </c>
      <c r="C1430" t="s">
        <v>1641</v>
      </c>
      <c r="D1430" s="1">
        <v>46042</v>
      </c>
      <c r="E1430" t="s">
        <v>1642</v>
      </c>
      <c r="F1430">
        <v>9</v>
      </c>
      <c r="G1430">
        <v>174</v>
      </c>
      <c r="H1430" t="str">
        <f>VLOOKUP(G1430,[1]OPERADORES!$A:$B,2,0)</f>
        <v>MIRIÃ LOBATO RODRIGUES</v>
      </c>
      <c r="I1430" t="s">
        <v>21</v>
      </c>
      <c r="J1430" t="s">
        <v>762</v>
      </c>
      <c r="K1430" t="s">
        <v>1633</v>
      </c>
      <c r="L1430">
        <v>9799</v>
      </c>
      <c r="M1430" t="s">
        <v>1636</v>
      </c>
      <c r="O1430" t="s">
        <v>11</v>
      </c>
      <c r="P1430">
        <v>5102</v>
      </c>
      <c r="Q1430">
        <v>24</v>
      </c>
      <c r="R1430">
        <v>34.729999999999997</v>
      </c>
      <c r="S1430">
        <v>833.52</v>
      </c>
      <c r="T1430">
        <v>632.64</v>
      </c>
      <c r="U1430">
        <v>24.1</v>
      </c>
      <c r="V1430" t="str">
        <f>VLOOKUP(L1430,'[2]tabela de preços'!$A:$D,4,0)</f>
        <v>WANDA</v>
      </c>
      <c r="W1430" t="str">
        <f>VLOOKUP(L1430,'[2]tabela de preços'!$A:$F,6,0)</f>
        <v>FERRUGEM</v>
      </c>
      <c r="X1430" t="str">
        <f>VLOOKUP(L1430,'[2]tabela de preços'!$A:$G,7,0)</f>
        <v>AUTOMOTIVO</v>
      </c>
    </row>
    <row r="1431" spans="1:24" x14ac:dyDescent="0.3">
      <c r="A1431" t="s">
        <v>1630</v>
      </c>
      <c r="C1431" t="s">
        <v>1641</v>
      </c>
      <c r="D1431" s="1">
        <v>46042</v>
      </c>
      <c r="E1431" t="s">
        <v>1642</v>
      </c>
      <c r="F1431">
        <v>9</v>
      </c>
      <c r="G1431">
        <v>174</v>
      </c>
      <c r="H1431" t="str">
        <f>VLOOKUP(G1431,[1]OPERADORES!$A:$B,2,0)</f>
        <v>MIRIÃ LOBATO RODRIGUES</v>
      </c>
      <c r="I1431" t="s">
        <v>21</v>
      </c>
      <c r="J1431" t="s">
        <v>762</v>
      </c>
      <c r="K1431" t="s">
        <v>1633</v>
      </c>
      <c r="L1431">
        <v>21067</v>
      </c>
      <c r="M1431" t="s">
        <v>640</v>
      </c>
      <c r="O1431" t="s">
        <v>11</v>
      </c>
      <c r="P1431">
        <v>5102</v>
      </c>
      <c r="Q1431">
        <v>6</v>
      </c>
      <c r="R1431">
        <v>36.07</v>
      </c>
      <c r="S1431">
        <v>216.42</v>
      </c>
      <c r="T1431">
        <v>164.28</v>
      </c>
      <c r="U1431">
        <v>24.09</v>
      </c>
      <c r="V1431" t="str">
        <f>VLOOKUP(L1431,'[2]tabela de preços'!$A:$D,4,0)</f>
        <v>SIKKENS</v>
      </c>
      <c r="W1431" t="str">
        <f>VLOOKUP(L1431,'[2]tabela de preços'!$A:$F,6,0)</f>
        <v>DILUENTE</v>
      </c>
      <c r="X1431" t="str">
        <f>VLOOKUP(L1431,'[2]tabela de preços'!$A:$G,7,0)</f>
        <v>AUTOMOTIVO</v>
      </c>
    </row>
    <row r="1432" spans="1:24" x14ac:dyDescent="0.3">
      <c r="A1432" t="s">
        <v>1630</v>
      </c>
      <c r="C1432" t="s">
        <v>1641</v>
      </c>
      <c r="D1432" s="1">
        <v>46042</v>
      </c>
      <c r="E1432" t="s">
        <v>1642</v>
      </c>
      <c r="F1432">
        <v>9</v>
      </c>
      <c r="G1432">
        <v>174</v>
      </c>
      <c r="H1432" t="str">
        <f>VLOOKUP(G1432,[1]OPERADORES!$A:$B,2,0)</f>
        <v>MIRIÃ LOBATO RODRIGUES</v>
      </c>
      <c r="I1432" t="s">
        <v>21</v>
      </c>
      <c r="J1432" t="s">
        <v>762</v>
      </c>
      <c r="K1432" t="s">
        <v>1633</v>
      </c>
      <c r="L1432">
        <v>85558</v>
      </c>
      <c r="M1432" t="s">
        <v>1643</v>
      </c>
      <c r="O1432" t="s">
        <v>11</v>
      </c>
      <c r="P1432">
        <v>5405</v>
      </c>
      <c r="Q1432">
        <v>2</v>
      </c>
      <c r="R1432">
        <v>164.47</v>
      </c>
      <c r="S1432">
        <v>328.94</v>
      </c>
      <c r="T1432">
        <v>249.66</v>
      </c>
      <c r="U1432">
        <v>24.1</v>
      </c>
      <c r="V1432" t="str">
        <f>VLOOKUP(L1432,'[2]tabela de preços'!$A:$D,4,0)</f>
        <v>BRASILUX</v>
      </c>
      <c r="W1432" t="str">
        <f>VLOOKUP(L1432,'[2]tabela de preços'!$A:$F,6,0)</f>
        <v>EPOXI</v>
      </c>
      <c r="X1432" t="str">
        <f>VLOOKUP(L1432,'[2]tabela de preços'!$A:$G,7,0)</f>
        <v>INDUSTRIAL</v>
      </c>
    </row>
    <row r="1433" spans="1:24" x14ac:dyDescent="0.3">
      <c r="A1433" t="s">
        <v>1630</v>
      </c>
      <c r="C1433" t="s">
        <v>1644</v>
      </c>
      <c r="D1433" s="1">
        <v>46042</v>
      </c>
      <c r="E1433" t="s">
        <v>1645</v>
      </c>
      <c r="F1433">
        <v>9</v>
      </c>
      <c r="G1433">
        <v>174</v>
      </c>
      <c r="H1433" t="str">
        <f>VLOOKUP(G1433,[1]OPERADORES!$A:$B,2,0)</f>
        <v>MIRIÃ LOBATO RODRIGUES</v>
      </c>
      <c r="I1433" t="s">
        <v>21</v>
      </c>
      <c r="J1433" t="s">
        <v>762</v>
      </c>
      <c r="K1433" t="s">
        <v>1633</v>
      </c>
      <c r="L1433">
        <v>10246</v>
      </c>
      <c r="M1433" t="s">
        <v>206</v>
      </c>
      <c r="O1433" t="s">
        <v>11</v>
      </c>
      <c r="P1433">
        <v>5102</v>
      </c>
      <c r="Q1433">
        <v>200</v>
      </c>
      <c r="R1433">
        <v>2.79</v>
      </c>
      <c r="S1433">
        <v>558</v>
      </c>
      <c r="T1433">
        <v>386</v>
      </c>
      <c r="U1433">
        <v>30.82</v>
      </c>
      <c r="V1433" t="str">
        <f>VLOOKUP(L1433,'[2]tabela de preços'!$A:$D,4,0)</f>
        <v>NORTON</v>
      </c>
      <c r="W1433" t="str">
        <f>VLOOKUP(L1433,'[2]tabela de preços'!$A:$F,6,0)</f>
        <v xml:space="preserve">DISCOS / LIXAS / ABRASIVOS </v>
      </c>
      <c r="X1433" t="str">
        <f>VLOOKUP(L1433,'[2]tabela de preços'!$A:$G,7,0)</f>
        <v>AUTOMOTIVO</v>
      </c>
    </row>
    <row r="1434" spans="1:24" x14ac:dyDescent="0.3">
      <c r="A1434" t="s">
        <v>1630</v>
      </c>
      <c r="C1434" t="s">
        <v>1644</v>
      </c>
      <c r="D1434" s="1">
        <v>46042</v>
      </c>
      <c r="E1434" t="s">
        <v>1645</v>
      </c>
      <c r="F1434">
        <v>9</v>
      </c>
      <c r="G1434">
        <v>174</v>
      </c>
      <c r="H1434" t="str">
        <f>VLOOKUP(G1434,[1]OPERADORES!$A:$B,2,0)</f>
        <v>MIRIÃ LOBATO RODRIGUES</v>
      </c>
      <c r="I1434" t="s">
        <v>21</v>
      </c>
      <c r="J1434" t="s">
        <v>762</v>
      </c>
      <c r="K1434" t="s">
        <v>1633</v>
      </c>
      <c r="L1434">
        <v>85558</v>
      </c>
      <c r="M1434" t="s">
        <v>1643</v>
      </c>
      <c r="O1434" t="s">
        <v>11</v>
      </c>
      <c r="P1434">
        <v>5405</v>
      </c>
      <c r="Q1434">
        <v>2</v>
      </c>
      <c r="R1434">
        <v>164.47</v>
      </c>
      <c r="S1434">
        <v>328.94</v>
      </c>
      <c r="T1434">
        <v>249.66</v>
      </c>
      <c r="U1434">
        <v>24.1</v>
      </c>
      <c r="V1434" t="str">
        <f>VLOOKUP(L1434,'[2]tabela de preços'!$A:$D,4,0)</f>
        <v>BRASILUX</v>
      </c>
      <c r="W1434" t="str">
        <f>VLOOKUP(L1434,'[2]tabela de preços'!$A:$F,6,0)</f>
        <v>EPOXI</v>
      </c>
      <c r="X1434" t="str">
        <f>VLOOKUP(L1434,'[2]tabela de preços'!$A:$G,7,0)</f>
        <v>INDUSTRIAL</v>
      </c>
    </row>
    <row r="1435" spans="1:24" x14ac:dyDescent="0.3">
      <c r="A1435" t="s">
        <v>1649</v>
      </c>
      <c r="B1435" t="s">
        <v>1650</v>
      </c>
      <c r="C1435" t="s">
        <v>1665</v>
      </c>
      <c r="D1435" s="1">
        <v>46042</v>
      </c>
      <c r="E1435" t="s">
        <v>1666</v>
      </c>
      <c r="F1435">
        <v>9</v>
      </c>
      <c r="G1435">
        <v>236</v>
      </c>
      <c r="H1435" t="str">
        <f>VLOOKUP(G1435,[1]OPERADORES!$A:$B,2,0)</f>
        <v>DANIEL</v>
      </c>
      <c r="I1435" t="s">
        <v>21</v>
      </c>
      <c r="J1435" t="s">
        <v>1653</v>
      </c>
      <c r="K1435" t="s">
        <v>1654</v>
      </c>
      <c r="L1435">
        <v>84925</v>
      </c>
      <c r="M1435" t="s">
        <v>1659</v>
      </c>
      <c r="O1435" t="s">
        <v>11</v>
      </c>
      <c r="P1435">
        <v>5403</v>
      </c>
      <c r="Q1435">
        <v>8</v>
      </c>
      <c r="R1435">
        <v>159.41999999999999</v>
      </c>
      <c r="S1435" s="2">
        <v>1275.3599999999999</v>
      </c>
      <c r="T1435">
        <v>935.04</v>
      </c>
      <c r="U1435">
        <v>26.68</v>
      </c>
      <c r="V1435" t="str">
        <f>VLOOKUP(L1435,'[2]tabela de preços'!$A:$D,4,0)</f>
        <v>BRASILUX</v>
      </c>
      <c r="W1435" t="str">
        <f>VLOOKUP(L1435,'[2]tabela de preços'!$A:$F,6,0)</f>
        <v>EPOXI</v>
      </c>
      <c r="X1435" t="str">
        <f>VLOOKUP(L1435,'[2]tabela de preços'!$A:$G,7,0)</f>
        <v>INDUSTRIAL</v>
      </c>
    </row>
    <row r="1436" spans="1:24" x14ac:dyDescent="0.3">
      <c r="A1436" t="s">
        <v>1727</v>
      </c>
      <c r="C1436" t="s">
        <v>1732</v>
      </c>
      <c r="D1436" s="1">
        <v>46042</v>
      </c>
      <c r="E1436" t="s">
        <v>1733</v>
      </c>
      <c r="F1436">
        <v>9</v>
      </c>
      <c r="G1436">
        <v>174</v>
      </c>
      <c r="H1436" t="str">
        <f>VLOOKUP(G1436,[1]OPERADORES!$A:$B,2,0)</f>
        <v>MIRIÃ LOBATO RODRIGUES</v>
      </c>
      <c r="I1436" t="s">
        <v>21</v>
      </c>
      <c r="J1436" t="s">
        <v>1173</v>
      </c>
      <c r="K1436" t="s">
        <v>1730</v>
      </c>
      <c r="L1436">
        <v>20960</v>
      </c>
      <c r="M1436" t="s">
        <v>1734</v>
      </c>
      <c r="O1436" t="s">
        <v>11</v>
      </c>
      <c r="P1436">
        <v>5403</v>
      </c>
      <c r="Q1436">
        <v>9</v>
      </c>
      <c r="R1436">
        <v>79.56</v>
      </c>
      <c r="S1436">
        <v>716.04</v>
      </c>
      <c r="T1436">
        <v>543.51</v>
      </c>
      <c r="U1436">
        <v>24.1</v>
      </c>
      <c r="V1436" t="str">
        <f>VLOOKUP(L1436,'[2]tabela de preços'!$A:$D,4,0)</f>
        <v>SHERWIN WILLIAMS</v>
      </c>
      <c r="W1436" t="str">
        <f>VLOOKUP(L1436,'[2]tabela de preços'!$A:$F,6,0)</f>
        <v>VERNIZ AUTOMOTIVO</v>
      </c>
      <c r="X1436" t="str">
        <f>VLOOKUP(L1436,'[2]tabela de preços'!$A:$G,7,0)</f>
        <v>AUTOMOTIVO</v>
      </c>
    </row>
    <row r="1437" spans="1:24" x14ac:dyDescent="0.3">
      <c r="A1437" t="s">
        <v>1727</v>
      </c>
      <c r="C1437" t="s">
        <v>1732</v>
      </c>
      <c r="D1437" s="1">
        <v>46042</v>
      </c>
      <c r="E1437" t="s">
        <v>1733</v>
      </c>
      <c r="F1437">
        <v>9</v>
      </c>
      <c r="G1437">
        <v>174</v>
      </c>
      <c r="H1437" t="str">
        <f>VLOOKUP(G1437,[1]OPERADORES!$A:$B,2,0)</f>
        <v>MIRIÃ LOBATO RODRIGUES</v>
      </c>
      <c r="I1437" t="s">
        <v>21</v>
      </c>
      <c r="J1437" t="s">
        <v>1173</v>
      </c>
      <c r="K1437" t="s">
        <v>1730</v>
      </c>
      <c r="L1437">
        <v>84542</v>
      </c>
      <c r="M1437" t="s">
        <v>1735</v>
      </c>
      <c r="O1437" t="s">
        <v>11</v>
      </c>
      <c r="P1437">
        <v>5102</v>
      </c>
      <c r="Q1437">
        <v>12</v>
      </c>
      <c r="R1437">
        <v>13.59</v>
      </c>
      <c r="S1437">
        <v>163.08000000000001</v>
      </c>
      <c r="T1437">
        <v>105.24</v>
      </c>
      <c r="U1437">
        <v>35.47</v>
      </c>
      <c r="V1437" t="str">
        <f>VLOOKUP(L1437,'[2]tabela de preços'!$A:$D,4,0)</f>
        <v>MAXI RUBBER</v>
      </c>
      <c r="W1437" t="str">
        <f>VLOOKUP(L1437,'[2]tabela de preços'!$A:$F,6,0)</f>
        <v>LAMINAÇÃO / PROTEÇÃO</v>
      </c>
      <c r="X1437" t="str">
        <f>VLOOKUP(L1437,'[2]tabela de preços'!$A:$G,7,0)</f>
        <v>AUTOMOTIVO</v>
      </c>
    </row>
    <row r="1438" spans="1:24" x14ac:dyDescent="0.3">
      <c r="A1438" t="s">
        <v>1727</v>
      </c>
      <c r="C1438" t="s">
        <v>1732</v>
      </c>
      <c r="D1438" s="1">
        <v>46042</v>
      </c>
      <c r="E1438" t="s">
        <v>1733</v>
      </c>
      <c r="F1438">
        <v>9</v>
      </c>
      <c r="G1438">
        <v>174</v>
      </c>
      <c r="H1438" t="str">
        <f>VLOOKUP(G1438,[1]OPERADORES!$A:$B,2,0)</f>
        <v>MIRIÃ LOBATO RODRIGUES</v>
      </c>
      <c r="I1438" t="s">
        <v>21</v>
      </c>
      <c r="J1438" t="s">
        <v>1173</v>
      </c>
      <c r="K1438" t="s">
        <v>1730</v>
      </c>
      <c r="L1438">
        <v>21077</v>
      </c>
      <c r="M1438" t="s">
        <v>207</v>
      </c>
      <c r="O1438" t="s">
        <v>11</v>
      </c>
      <c r="P1438">
        <v>5102</v>
      </c>
      <c r="Q1438">
        <v>6</v>
      </c>
      <c r="R1438">
        <v>44.68</v>
      </c>
      <c r="S1438">
        <v>268.08</v>
      </c>
      <c r="T1438">
        <v>203.52</v>
      </c>
      <c r="U1438">
        <v>24.08</v>
      </c>
      <c r="V1438" t="str">
        <f>VLOOKUP(L1438,'[2]tabela de preços'!$A:$D,4,0)</f>
        <v>SHERWIN WILLIAMS</v>
      </c>
      <c r="W1438" t="str">
        <f>VLOOKUP(L1438,'[2]tabela de preços'!$A:$F,6,0)</f>
        <v>MASSA POLIÉSTER</v>
      </c>
      <c r="X1438" t="str">
        <f>VLOOKUP(L1438,'[2]tabela de preços'!$A:$G,7,0)</f>
        <v>AUTOMOTIVO</v>
      </c>
    </row>
    <row r="1439" spans="1:24" x14ac:dyDescent="0.3">
      <c r="A1439" t="s">
        <v>1727</v>
      </c>
      <c r="C1439" t="s">
        <v>1732</v>
      </c>
      <c r="D1439" s="1">
        <v>46042</v>
      </c>
      <c r="E1439" t="s">
        <v>1733</v>
      </c>
      <c r="F1439">
        <v>9</v>
      </c>
      <c r="G1439">
        <v>174</v>
      </c>
      <c r="H1439" t="str">
        <f>VLOOKUP(G1439,[1]OPERADORES!$A:$B,2,0)</f>
        <v>MIRIÃ LOBATO RODRIGUES</v>
      </c>
      <c r="I1439" t="s">
        <v>21</v>
      </c>
      <c r="J1439" t="s">
        <v>1173</v>
      </c>
      <c r="K1439" t="s">
        <v>1730</v>
      </c>
      <c r="L1439">
        <v>84041</v>
      </c>
      <c r="M1439" t="s">
        <v>1736</v>
      </c>
      <c r="O1439" t="s">
        <v>11</v>
      </c>
      <c r="P1439">
        <v>5102</v>
      </c>
      <c r="Q1439">
        <v>12</v>
      </c>
      <c r="R1439">
        <v>7.8</v>
      </c>
      <c r="S1439">
        <v>93.6</v>
      </c>
      <c r="T1439">
        <v>71.040000000000006</v>
      </c>
      <c r="U1439">
        <v>24.1</v>
      </c>
      <c r="V1439" t="str">
        <f>VLOOKUP(L1439,'[2]tabela de preços'!$A:$D,4,0)</f>
        <v>BRASILUX</v>
      </c>
      <c r="W1439" t="str">
        <f>VLOOKUP(L1439,'[2]tabela de preços'!$A:$F,6,0)</f>
        <v>FERRUGEM</v>
      </c>
      <c r="X1439" t="str">
        <f>VLOOKUP(L1439,'[2]tabela de preços'!$A:$G,7,0)</f>
        <v>AUTOMOTIVO</v>
      </c>
    </row>
    <row r="1440" spans="1:24" x14ac:dyDescent="0.3">
      <c r="A1440" t="s">
        <v>2063</v>
      </c>
      <c r="C1440" t="s">
        <v>2064</v>
      </c>
      <c r="D1440" s="1">
        <v>46042</v>
      </c>
      <c r="E1440" t="s">
        <v>2065</v>
      </c>
      <c r="F1440">
        <v>9</v>
      </c>
      <c r="G1440">
        <v>231</v>
      </c>
      <c r="H1440" t="str">
        <f>VLOOKUP(G1440,[1]OPERADORES!$A:$B,2,0)</f>
        <v>EDIJANE</v>
      </c>
      <c r="I1440" t="s">
        <v>21</v>
      </c>
      <c r="J1440" t="s">
        <v>2066</v>
      </c>
      <c r="K1440" t="s">
        <v>2067</v>
      </c>
      <c r="L1440">
        <v>86861</v>
      </c>
      <c r="M1440" t="s">
        <v>2068</v>
      </c>
      <c r="O1440" t="s">
        <v>11</v>
      </c>
      <c r="P1440">
        <v>5403</v>
      </c>
      <c r="Q1440">
        <v>4</v>
      </c>
      <c r="R1440">
        <v>4.55</v>
      </c>
      <c r="S1440">
        <v>18.2</v>
      </c>
      <c r="T1440">
        <v>13.8</v>
      </c>
      <c r="U1440">
        <v>24.18</v>
      </c>
      <c r="V1440" t="str">
        <f>VLOOKUP(L1440,'[2]tabela de preços'!$A:$D,4,0)</f>
        <v>SHERWIN WILLIAMS</v>
      </c>
      <c r="W1440" t="str">
        <f>VLOOKUP(L1440,'[2]tabela de preços'!$A:$F,6,0)</f>
        <v>CORANTES</v>
      </c>
      <c r="X1440" t="str">
        <f>VLOOKUP(L1440,'[2]tabela de preços'!$A:$G,7,0)</f>
        <v>IMOBILIÁRIO</v>
      </c>
    </row>
    <row r="1441" spans="1:24" x14ac:dyDescent="0.3">
      <c r="A1441" t="s">
        <v>2063</v>
      </c>
      <c r="C1441" t="s">
        <v>2064</v>
      </c>
      <c r="D1441" s="1">
        <v>46042</v>
      </c>
      <c r="E1441" t="s">
        <v>2065</v>
      </c>
      <c r="F1441">
        <v>9</v>
      </c>
      <c r="G1441">
        <v>231</v>
      </c>
      <c r="H1441" t="str">
        <f>VLOOKUP(G1441,[1]OPERADORES!$A:$B,2,0)</f>
        <v>EDIJANE</v>
      </c>
      <c r="I1441" t="s">
        <v>21</v>
      </c>
      <c r="J1441" t="s">
        <v>2066</v>
      </c>
      <c r="K1441" t="s">
        <v>2067</v>
      </c>
      <c r="L1441">
        <v>86865</v>
      </c>
      <c r="M1441" t="s">
        <v>2069</v>
      </c>
      <c r="O1441" t="s">
        <v>11</v>
      </c>
      <c r="P1441">
        <v>5403</v>
      </c>
      <c r="Q1441">
        <v>4</v>
      </c>
      <c r="R1441">
        <v>4.55</v>
      </c>
      <c r="S1441">
        <v>18.2</v>
      </c>
      <c r="T1441">
        <v>13.8</v>
      </c>
      <c r="U1441">
        <v>24.18</v>
      </c>
      <c r="V1441" t="str">
        <f>VLOOKUP(L1441,'[2]tabela de preços'!$A:$D,4,0)</f>
        <v>SHERWIN WILLIAMS</v>
      </c>
      <c r="W1441" t="str">
        <f>VLOOKUP(L1441,'[2]tabela de preços'!$A:$F,6,0)</f>
        <v>CORANTES</v>
      </c>
      <c r="X1441" t="str">
        <f>VLOOKUP(L1441,'[2]tabela de preços'!$A:$G,7,0)</f>
        <v>IMOBILIÁRIO</v>
      </c>
    </row>
    <row r="1442" spans="1:24" x14ac:dyDescent="0.3">
      <c r="A1442" t="s">
        <v>2063</v>
      </c>
      <c r="C1442" t="s">
        <v>2064</v>
      </c>
      <c r="D1442" s="1">
        <v>46042</v>
      </c>
      <c r="E1442" t="s">
        <v>2065</v>
      </c>
      <c r="F1442">
        <v>9</v>
      </c>
      <c r="G1442">
        <v>231</v>
      </c>
      <c r="H1442" t="str">
        <f>VLOOKUP(G1442,[1]OPERADORES!$A:$B,2,0)</f>
        <v>EDIJANE</v>
      </c>
      <c r="I1442" t="s">
        <v>21</v>
      </c>
      <c r="J1442" t="s">
        <v>2066</v>
      </c>
      <c r="K1442" t="s">
        <v>2067</v>
      </c>
      <c r="L1442">
        <v>86864</v>
      </c>
      <c r="M1442" t="s">
        <v>2070</v>
      </c>
      <c r="O1442" t="s">
        <v>11</v>
      </c>
      <c r="P1442">
        <v>5403</v>
      </c>
      <c r="Q1442">
        <v>4</v>
      </c>
      <c r="R1442">
        <v>4.55</v>
      </c>
      <c r="S1442">
        <v>18.2</v>
      </c>
      <c r="T1442">
        <v>13.8</v>
      </c>
      <c r="U1442">
        <v>24.18</v>
      </c>
      <c r="V1442" t="str">
        <f>VLOOKUP(L1442,'[2]tabela de preços'!$A:$D,4,0)</f>
        <v>SHERWIN WILLIAMS</v>
      </c>
      <c r="W1442" t="str">
        <f>VLOOKUP(L1442,'[2]tabela de preços'!$A:$F,6,0)</f>
        <v>CORANTES</v>
      </c>
      <c r="X1442" t="str">
        <f>VLOOKUP(L1442,'[2]tabela de preços'!$A:$G,7,0)</f>
        <v>IMOBILIÁRIO</v>
      </c>
    </row>
    <row r="1443" spans="1:24" x14ac:dyDescent="0.3">
      <c r="A1443" t="s">
        <v>2063</v>
      </c>
      <c r="C1443" t="s">
        <v>2064</v>
      </c>
      <c r="D1443" s="1">
        <v>46042</v>
      </c>
      <c r="E1443" t="s">
        <v>2065</v>
      </c>
      <c r="F1443">
        <v>9</v>
      </c>
      <c r="G1443">
        <v>231</v>
      </c>
      <c r="H1443" t="str">
        <f>VLOOKUP(G1443,[1]OPERADORES!$A:$B,2,0)</f>
        <v>EDIJANE</v>
      </c>
      <c r="I1443" t="s">
        <v>21</v>
      </c>
      <c r="J1443" t="s">
        <v>2066</v>
      </c>
      <c r="K1443" t="s">
        <v>2067</v>
      </c>
      <c r="L1443">
        <v>86866</v>
      </c>
      <c r="M1443" t="s">
        <v>2071</v>
      </c>
      <c r="O1443" t="s">
        <v>11</v>
      </c>
      <c r="P1443">
        <v>5403</v>
      </c>
      <c r="Q1443">
        <v>4</v>
      </c>
      <c r="R1443">
        <v>4.55</v>
      </c>
      <c r="S1443">
        <v>18.2</v>
      </c>
      <c r="T1443">
        <v>13.8</v>
      </c>
      <c r="U1443">
        <v>24.18</v>
      </c>
      <c r="V1443" t="str">
        <f>VLOOKUP(L1443,'[2]tabela de preços'!$A:$D,4,0)</f>
        <v>SHERWIN WILLIAMS</v>
      </c>
      <c r="W1443" t="str">
        <f>VLOOKUP(L1443,'[2]tabela de preços'!$A:$F,6,0)</f>
        <v>CORANTES</v>
      </c>
      <c r="X1443" t="str">
        <f>VLOOKUP(L1443,'[2]tabela de preços'!$A:$G,7,0)</f>
        <v>IMOBILIÁRIO</v>
      </c>
    </row>
    <row r="1444" spans="1:24" x14ac:dyDescent="0.3">
      <c r="A1444" t="s">
        <v>2063</v>
      </c>
      <c r="C1444" t="s">
        <v>2064</v>
      </c>
      <c r="D1444" s="1">
        <v>46042</v>
      </c>
      <c r="E1444" t="s">
        <v>2065</v>
      </c>
      <c r="F1444">
        <v>9</v>
      </c>
      <c r="G1444">
        <v>231</v>
      </c>
      <c r="H1444" t="str">
        <f>VLOOKUP(G1444,[1]OPERADORES!$A:$B,2,0)</f>
        <v>EDIJANE</v>
      </c>
      <c r="I1444" t="s">
        <v>21</v>
      </c>
      <c r="J1444" t="s">
        <v>2066</v>
      </c>
      <c r="K1444" t="s">
        <v>2067</v>
      </c>
      <c r="L1444">
        <v>86867</v>
      </c>
      <c r="M1444" t="s">
        <v>2072</v>
      </c>
      <c r="O1444" t="s">
        <v>11</v>
      </c>
      <c r="P1444">
        <v>5403</v>
      </c>
      <c r="Q1444">
        <v>3</v>
      </c>
      <c r="R1444">
        <v>4.55</v>
      </c>
      <c r="S1444">
        <v>13.65</v>
      </c>
      <c r="T1444">
        <v>10.35</v>
      </c>
      <c r="U1444">
        <v>24.18</v>
      </c>
      <c r="V1444" t="str">
        <f>VLOOKUP(L1444,'[2]tabela de preços'!$A:$D,4,0)</f>
        <v>SHERWIN WILLIAMS</v>
      </c>
      <c r="W1444" t="str">
        <f>VLOOKUP(L1444,'[2]tabela de preços'!$A:$F,6,0)</f>
        <v>CORANTES</v>
      </c>
      <c r="X1444" t="str">
        <f>VLOOKUP(L1444,'[2]tabela de preços'!$A:$G,7,0)</f>
        <v>IMOBILIÁRIO</v>
      </c>
    </row>
    <row r="1445" spans="1:24" x14ac:dyDescent="0.3">
      <c r="A1445" t="s">
        <v>2063</v>
      </c>
      <c r="C1445" t="s">
        <v>2064</v>
      </c>
      <c r="D1445" s="1">
        <v>46042</v>
      </c>
      <c r="E1445" t="s">
        <v>2065</v>
      </c>
      <c r="F1445">
        <v>9</v>
      </c>
      <c r="G1445">
        <v>231</v>
      </c>
      <c r="H1445" t="str">
        <f>VLOOKUP(G1445,[1]OPERADORES!$A:$B,2,0)</f>
        <v>EDIJANE</v>
      </c>
      <c r="I1445" t="s">
        <v>21</v>
      </c>
      <c r="J1445" t="s">
        <v>2066</v>
      </c>
      <c r="K1445" t="s">
        <v>2067</v>
      </c>
      <c r="L1445">
        <v>86868</v>
      </c>
      <c r="M1445" t="s">
        <v>1368</v>
      </c>
      <c r="O1445" t="s">
        <v>11</v>
      </c>
      <c r="P1445">
        <v>5403</v>
      </c>
      <c r="Q1445">
        <v>4</v>
      </c>
      <c r="R1445">
        <v>4.55</v>
      </c>
      <c r="S1445">
        <v>18.2</v>
      </c>
      <c r="T1445">
        <v>13.8</v>
      </c>
      <c r="U1445">
        <v>24.18</v>
      </c>
      <c r="V1445" t="str">
        <f>VLOOKUP(L1445,'[2]tabela de preços'!$A:$D,4,0)</f>
        <v>SHERWIN WILLIAMS</v>
      </c>
      <c r="W1445" t="str">
        <f>VLOOKUP(L1445,'[2]tabela de preços'!$A:$F,6,0)</f>
        <v>CORANTES</v>
      </c>
      <c r="X1445" t="str">
        <f>VLOOKUP(L1445,'[2]tabela de preços'!$A:$G,7,0)</f>
        <v>IMOBILIÁRIO</v>
      </c>
    </row>
    <row r="1446" spans="1:24" x14ac:dyDescent="0.3">
      <c r="A1446" t="s">
        <v>2063</v>
      </c>
      <c r="C1446" t="s">
        <v>2064</v>
      </c>
      <c r="D1446" s="1">
        <v>46042</v>
      </c>
      <c r="E1446" t="s">
        <v>2065</v>
      </c>
      <c r="F1446">
        <v>9</v>
      </c>
      <c r="G1446">
        <v>231</v>
      </c>
      <c r="H1446" t="str">
        <f>VLOOKUP(G1446,[1]OPERADORES!$A:$B,2,0)</f>
        <v>EDIJANE</v>
      </c>
      <c r="I1446" t="s">
        <v>21</v>
      </c>
      <c r="J1446" t="s">
        <v>2066</v>
      </c>
      <c r="K1446" t="s">
        <v>2067</v>
      </c>
      <c r="L1446">
        <v>84928</v>
      </c>
      <c r="M1446" t="s">
        <v>36</v>
      </c>
      <c r="O1446" t="s">
        <v>11</v>
      </c>
      <c r="P1446">
        <v>5102</v>
      </c>
      <c r="Q1446">
        <v>6</v>
      </c>
      <c r="R1446">
        <v>9.39</v>
      </c>
      <c r="S1446">
        <v>56.34</v>
      </c>
      <c r="T1446">
        <v>42.78</v>
      </c>
      <c r="U1446">
        <v>24.07</v>
      </c>
      <c r="V1446" t="str">
        <f>VLOOKUP(L1446,'[2]tabela de preços'!$A:$D,4,0)</f>
        <v>ADERE</v>
      </c>
      <c r="W1446" t="str">
        <f>VLOOKUP(L1446,'[2]tabela de preços'!$A:$F,6,0)</f>
        <v xml:space="preserve">FITA DE USO GERAL </v>
      </c>
      <c r="X1446" t="str">
        <f>VLOOKUP(L1446,'[2]tabela de preços'!$A:$G,7,0)</f>
        <v>IMOBILIÁRIO</v>
      </c>
    </row>
    <row r="1447" spans="1:24" x14ac:dyDescent="0.3">
      <c r="A1447" t="s">
        <v>2063</v>
      </c>
      <c r="C1447" t="s">
        <v>2064</v>
      </c>
      <c r="D1447" s="1">
        <v>46042</v>
      </c>
      <c r="E1447" t="s">
        <v>2065</v>
      </c>
      <c r="F1447">
        <v>9</v>
      </c>
      <c r="G1447">
        <v>231</v>
      </c>
      <c r="H1447" t="str">
        <f>VLOOKUP(G1447,[1]OPERADORES!$A:$B,2,0)</f>
        <v>EDIJANE</v>
      </c>
      <c r="I1447" t="s">
        <v>21</v>
      </c>
      <c r="J1447" t="s">
        <v>2066</v>
      </c>
      <c r="K1447" t="s">
        <v>2067</v>
      </c>
      <c r="L1447">
        <v>85599</v>
      </c>
      <c r="M1447" t="s">
        <v>38</v>
      </c>
      <c r="O1447" t="s">
        <v>11</v>
      </c>
      <c r="P1447">
        <v>5102</v>
      </c>
      <c r="Q1447">
        <v>10</v>
      </c>
      <c r="R1447">
        <v>2.58</v>
      </c>
      <c r="S1447">
        <v>25.8</v>
      </c>
      <c r="T1447">
        <v>19.600000000000001</v>
      </c>
      <c r="U1447">
        <v>24.03</v>
      </c>
      <c r="V1447" t="str">
        <f>VLOOKUP(L1447,'[2]tabela de preços'!$A:$D,4,0)</f>
        <v>REJUMASSA</v>
      </c>
      <c r="W1447" t="str">
        <f>VLOOKUP(L1447,'[2]tabela de preços'!$A:$F,6,0)</f>
        <v>GESSO</v>
      </c>
      <c r="X1447" t="str">
        <f>VLOOKUP(L1447,'[2]tabela de preços'!$A:$G,7,0)</f>
        <v>IMOBILIÁRIO</v>
      </c>
    </row>
    <row r="1448" spans="1:24" x14ac:dyDescent="0.3">
      <c r="A1448" t="s">
        <v>2171</v>
      </c>
      <c r="C1448" t="s">
        <v>2186</v>
      </c>
      <c r="D1448" s="1">
        <v>46042</v>
      </c>
      <c r="E1448" t="s">
        <v>2187</v>
      </c>
      <c r="F1448">
        <v>9</v>
      </c>
      <c r="G1448">
        <v>230</v>
      </c>
      <c r="H1448" t="str">
        <f>VLOOKUP(G1448,[1]OPERADORES!$A:$B,2,0)</f>
        <v>SÔNIA</v>
      </c>
      <c r="I1448" t="s">
        <v>21</v>
      </c>
      <c r="J1448" t="s">
        <v>2174</v>
      </c>
      <c r="K1448" t="s">
        <v>2175</v>
      </c>
      <c r="L1448">
        <v>9799</v>
      </c>
      <c r="M1448" t="s">
        <v>1636</v>
      </c>
      <c r="O1448" t="s">
        <v>11</v>
      </c>
      <c r="P1448">
        <v>5102</v>
      </c>
      <c r="Q1448">
        <v>1</v>
      </c>
      <c r="R1448">
        <v>34.729999999999997</v>
      </c>
      <c r="S1448">
        <v>34.729999999999997</v>
      </c>
      <c r="T1448">
        <v>26.36</v>
      </c>
      <c r="U1448">
        <v>24.1</v>
      </c>
      <c r="V1448" t="str">
        <f>VLOOKUP(L1448,'[2]tabela de preços'!$A:$D,4,0)</f>
        <v>WANDA</v>
      </c>
      <c r="W1448" t="str">
        <f>VLOOKUP(L1448,'[2]tabela de preços'!$A:$F,6,0)</f>
        <v>FERRUGEM</v>
      </c>
      <c r="X1448" t="str">
        <f>VLOOKUP(L1448,'[2]tabela de preços'!$A:$G,7,0)</f>
        <v>AUTOMOTIVO</v>
      </c>
    </row>
    <row r="1449" spans="1:24" x14ac:dyDescent="0.3">
      <c r="A1449" t="s">
        <v>2171</v>
      </c>
      <c r="C1449" t="s">
        <v>2186</v>
      </c>
      <c r="D1449" s="1">
        <v>46042</v>
      </c>
      <c r="E1449" t="s">
        <v>2187</v>
      </c>
      <c r="F1449">
        <v>9</v>
      </c>
      <c r="G1449">
        <v>230</v>
      </c>
      <c r="H1449" t="str">
        <f>VLOOKUP(G1449,[1]OPERADORES!$A:$B,2,0)</f>
        <v>SÔNIA</v>
      </c>
      <c r="I1449" t="s">
        <v>21</v>
      </c>
      <c r="J1449" t="s">
        <v>2174</v>
      </c>
      <c r="K1449" t="s">
        <v>2175</v>
      </c>
      <c r="L1449">
        <v>22173</v>
      </c>
      <c r="M1449" t="s">
        <v>194</v>
      </c>
      <c r="O1449" t="s">
        <v>11</v>
      </c>
      <c r="P1449">
        <v>5102</v>
      </c>
      <c r="Q1449">
        <v>5</v>
      </c>
      <c r="R1449">
        <v>4.58</v>
      </c>
      <c r="S1449">
        <v>22.9</v>
      </c>
      <c r="T1449">
        <v>17.399999999999999</v>
      </c>
      <c r="U1449">
        <v>24.02</v>
      </c>
      <c r="V1449" t="str">
        <f>VLOOKUP(L1449,'[2]tabela de preços'!$A:$D,4,0)</f>
        <v>3M</v>
      </c>
      <c r="W1449" t="str">
        <f>VLOOKUP(L1449,'[2]tabela de preços'!$A:$F,6,0)</f>
        <v>FITA AUTOMOTIVA</v>
      </c>
      <c r="X1449" t="str">
        <f>VLOOKUP(L1449,'[2]tabela de preços'!$A:$G,7,0)</f>
        <v>AUTOMOTIVO</v>
      </c>
    </row>
    <row r="1450" spans="1:24" x14ac:dyDescent="0.3">
      <c r="A1450" t="s">
        <v>2171</v>
      </c>
      <c r="C1450" t="s">
        <v>2186</v>
      </c>
      <c r="D1450" s="1">
        <v>46042</v>
      </c>
      <c r="E1450" t="s">
        <v>2187</v>
      </c>
      <c r="F1450">
        <v>9</v>
      </c>
      <c r="G1450">
        <v>230</v>
      </c>
      <c r="H1450" t="str">
        <f>VLOOKUP(G1450,[1]OPERADORES!$A:$B,2,0)</f>
        <v>SÔNIA</v>
      </c>
      <c r="I1450" t="s">
        <v>21</v>
      </c>
      <c r="J1450" t="s">
        <v>2174</v>
      </c>
      <c r="K1450" t="s">
        <v>2175</v>
      </c>
      <c r="L1450">
        <v>23383</v>
      </c>
      <c r="M1450" t="s">
        <v>419</v>
      </c>
      <c r="O1450" t="s">
        <v>11</v>
      </c>
      <c r="P1450">
        <v>5403</v>
      </c>
      <c r="Q1450">
        <v>1</v>
      </c>
      <c r="R1450">
        <v>51.6</v>
      </c>
      <c r="S1450">
        <v>51.6</v>
      </c>
      <c r="T1450">
        <v>39.159999999999997</v>
      </c>
      <c r="U1450">
        <v>24.11</v>
      </c>
      <c r="V1450" t="str">
        <f>VLOOKUP(L1450,'[2]tabela de preços'!$A:$D,4,0)</f>
        <v>WANDA</v>
      </c>
      <c r="W1450" t="str">
        <f>VLOOKUP(L1450,'[2]tabela de preços'!$A:$F,6,0)</f>
        <v>TINTAS PU</v>
      </c>
      <c r="X1450" t="str">
        <f>VLOOKUP(L1450,'[2]tabela de preços'!$A:$G,7,0)</f>
        <v>AUTOMOTIVO</v>
      </c>
    </row>
    <row r="1451" spans="1:24" x14ac:dyDescent="0.3">
      <c r="A1451" t="s">
        <v>2171</v>
      </c>
      <c r="C1451" t="s">
        <v>2186</v>
      </c>
      <c r="D1451" s="1">
        <v>46042</v>
      </c>
      <c r="E1451" t="s">
        <v>2187</v>
      </c>
      <c r="F1451">
        <v>9</v>
      </c>
      <c r="G1451">
        <v>230</v>
      </c>
      <c r="H1451" t="str">
        <f>VLOOKUP(G1451,[1]OPERADORES!$A:$B,2,0)</f>
        <v>SÔNIA</v>
      </c>
      <c r="I1451" t="s">
        <v>21</v>
      </c>
      <c r="J1451" t="s">
        <v>2174</v>
      </c>
      <c r="K1451" t="s">
        <v>2175</v>
      </c>
      <c r="L1451">
        <v>10243</v>
      </c>
      <c r="M1451" t="s">
        <v>83</v>
      </c>
      <c r="O1451" t="s">
        <v>11</v>
      </c>
      <c r="P1451">
        <v>5102</v>
      </c>
      <c r="Q1451">
        <v>5</v>
      </c>
      <c r="R1451">
        <v>2.79</v>
      </c>
      <c r="S1451">
        <v>13.95</v>
      </c>
      <c r="T1451">
        <v>9.65</v>
      </c>
      <c r="U1451">
        <v>30.82</v>
      </c>
      <c r="V1451" t="str">
        <f>VLOOKUP(L1451,'[2]tabela de preços'!$A:$D,4,0)</f>
        <v>NORTON</v>
      </c>
      <c r="W1451" t="str">
        <f>VLOOKUP(L1451,'[2]tabela de preços'!$A:$F,6,0)</f>
        <v xml:space="preserve">DISCOS / LIXAS / ABRASIVOS </v>
      </c>
      <c r="X1451" t="str">
        <f>VLOOKUP(L1451,'[2]tabela de preços'!$A:$G,7,0)</f>
        <v>AUTOMOTIVO</v>
      </c>
    </row>
    <row r="1452" spans="1:24" x14ac:dyDescent="0.3">
      <c r="A1452" t="s">
        <v>2171</v>
      </c>
      <c r="C1452" t="s">
        <v>2186</v>
      </c>
      <c r="D1452" s="1">
        <v>46042</v>
      </c>
      <c r="E1452" t="s">
        <v>2187</v>
      </c>
      <c r="F1452">
        <v>9</v>
      </c>
      <c r="G1452">
        <v>230</v>
      </c>
      <c r="H1452" t="str">
        <f>VLOOKUP(G1452,[1]OPERADORES!$A:$B,2,0)</f>
        <v>SÔNIA</v>
      </c>
      <c r="I1452" t="s">
        <v>21</v>
      </c>
      <c r="J1452" t="s">
        <v>2174</v>
      </c>
      <c r="K1452" t="s">
        <v>2175</v>
      </c>
      <c r="L1452">
        <v>10244</v>
      </c>
      <c r="M1452" t="s">
        <v>84</v>
      </c>
      <c r="O1452" t="s">
        <v>11</v>
      </c>
      <c r="P1452">
        <v>5102</v>
      </c>
      <c r="Q1452">
        <v>10</v>
      </c>
      <c r="R1452">
        <v>2.79</v>
      </c>
      <c r="S1452">
        <v>27.9</v>
      </c>
      <c r="T1452">
        <v>19.3</v>
      </c>
      <c r="U1452">
        <v>30.82</v>
      </c>
      <c r="V1452" t="str">
        <f>VLOOKUP(L1452,'[2]tabela de preços'!$A:$D,4,0)</f>
        <v>NORTON</v>
      </c>
      <c r="W1452" t="str">
        <f>VLOOKUP(L1452,'[2]tabela de preços'!$A:$F,6,0)</f>
        <v xml:space="preserve">DISCOS / LIXAS / ABRASIVOS </v>
      </c>
      <c r="X1452" t="str">
        <f>VLOOKUP(L1452,'[2]tabela de preços'!$A:$G,7,0)</f>
        <v>AUTOMOTIVO</v>
      </c>
    </row>
    <row r="1453" spans="1:24" x14ac:dyDescent="0.3">
      <c r="A1453" t="s">
        <v>2171</v>
      </c>
      <c r="C1453" t="s">
        <v>2186</v>
      </c>
      <c r="D1453" s="1">
        <v>46042</v>
      </c>
      <c r="E1453" t="s">
        <v>2187</v>
      </c>
      <c r="F1453">
        <v>9</v>
      </c>
      <c r="G1453">
        <v>230</v>
      </c>
      <c r="H1453" t="str">
        <f>VLOOKUP(G1453,[1]OPERADORES!$A:$B,2,0)</f>
        <v>SÔNIA</v>
      </c>
      <c r="I1453" t="s">
        <v>21</v>
      </c>
      <c r="J1453" t="s">
        <v>2174</v>
      </c>
      <c r="K1453" t="s">
        <v>2175</v>
      </c>
      <c r="L1453">
        <v>9767</v>
      </c>
      <c r="M1453" t="s">
        <v>2188</v>
      </c>
      <c r="O1453" t="s">
        <v>11</v>
      </c>
      <c r="P1453">
        <v>5403</v>
      </c>
      <c r="Q1453">
        <v>1</v>
      </c>
      <c r="R1453">
        <v>175.58</v>
      </c>
      <c r="S1453">
        <v>175.58</v>
      </c>
      <c r="T1453">
        <v>133.27000000000001</v>
      </c>
      <c r="U1453">
        <v>24.1</v>
      </c>
      <c r="V1453" t="str">
        <f>VLOOKUP(L1453,'[2]tabela de preços'!$A:$D,4,0)</f>
        <v>SIKKENS</v>
      </c>
      <c r="W1453" t="str">
        <f>VLOOKUP(L1453,'[2]tabela de preços'!$A:$F,6,0)</f>
        <v>PRIMER AUTOMOTIVO</v>
      </c>
      <c r="X1453" t="str">
        <f>VLOOKUP(L1453,'[2]tabela de preços'!$A:$G,7,0)</f>
        <v>AUTOMOTIVO</v>
      </c>
    </row>
    <row r="1454" spans="1:24" x14ac:dyDescent="0.3">
      <c r="A1454" t="s">
        <v>2171</v>
      </c>
      <c r="C1454" t="s">
        <v>2189</v>
      </c>
      <c r="D1454" s="1">
        <v>46042</v>
      </c>
      <c r="E1454" t="s">
        <v>2190</v>
      </c>
      <c r="F1454">
        <v>9</v>
      </c>
      <c r="G1454">
        <v>230</v>
      </c>
      <c r="H1454" t="str">
        <f>VLOOKUP(G1454,[1]OPERADORES!$A:$B,2,0)</f>
        <v>SÔNIA</v>
      </c>
      <c r="I1454" t="s">
        <v>21</v>
      </c>
      <c r="J1454" t="s">
        <v>2174</v>
      </c>
      <c r="K1454" t="s">
        <v>2175</v>
      </c>
      <c r="L1454">
        <v>23504</v>
      </c>
      <c r="M1454" t="s">
        <v>2191</v>
      </c>
      <c r="O1454" t="s">
        <v>11</v>
      </c>
      <c r="P1454">
        <v>5102</v>
      </c>
      <c r="Q1454">
        <v>1</v>
      </c>
      <c r="R1454">
        <v>5.91</v>
      </c>
      <c r="S1454">
        <v>5.91</v>
      </c>
      <c r="T1454">
        <v>3.81</v>
      </c>
      <c r="U1454">
        <v>35.53</v>
      </c>
      <c r="V1454" t="str">
        <f>VLOOKUP(L1454,'[2]tabela de preços'!$A:$D,4,0)</f>
        <v>3M</v>
      </c>
      <c r="W1454" t="str">
        <f>VLOOKUP(L1454,'[2]tabela de preços'!$A:$F,6,0)</f>
        <v>EPI´S</v>
      </c>
      <c r="X1454" t="str">
        <f>VLOOKUP(L1454,'[2]tabela de preços'!$A:$G,7,0)</f>
        <v>AUTOMOTIVO</v>
      </c>
    </row>
    <row r="1455" spans="1:24" x14ac:dyDescent="0.3">
      <c r="A1455" t="s">
        <v>2274</v>
      </c>
      <c r="C1455" t="s">
        <v>2286</v>
      </c>
      <c r="D1455" s="1">
        <v>46042</v>
      </c>
      <c r="E1455" t="s">
        <v>2287</v>
      </c>
      <c r="F1455">
        <v>9</v>
      </c>
      <c r="G1455">
        <v>236</v>
      </c>
      <c r="H1455" t="str">
        <f>VLOOKUP(G1455,[1]OPERADORES!$A:$B,2,0)</f>
        <v>DANIEL</v>
      </c>
      <c r="I1455" t="s">
        <v>21</v>
      </c>
      <c r="J1455" t="s">
        <v>750</v>
      </c>
      <c r="K1455" t="s">
        <v>2277</v>
      </c>
      <c r="L1455">
        <v>85691</v>
      </c>
      <c r="M1455" t="s">
        <v>1231</v>
      </c>
      <c r="O1455" t="s">
        <v>11</v>
      </c>
      <c r="P1455">
        <v>5102</v>
      </c>
      <c r="Q1455">
        <v>2</v>
      </c>
      <c r="R1455">
        <v>14.81</v>
      </c>
      <c r="S1455">
        <v>29.62</v>
      </c>
      <c r="T1455">
        <v>22.48</v>
      </c>
      <c r="U1455">
        <v>24.11</v>
      </c>
      <c r="V1455" t="str">
        <f>VLOOKUP(L1455,'[2]tabela de preços'!$A:$D,4,0)</f>
        <v>UNIPEGA</v>
      </c>
      <c r="W1455" t="str">
        <f>VLOOKUP(L1455,'[2]tabela de preços'!$A:$F,6,0)</f>
        <v>COLA INST./ ADESIVOS COLANTES</v>
      </c>
      <c r="X1455" t="str">
        <f>VLOOKUP(L1455,'[2]tabela de preços'!$A:$G,7,0)</f>
        <v>AUTOMOTIVO</v>
      </c>
    </row>
    <row r="1456" spans="1:24" x14ac:dyDescent="0.3">
      <c r="A1456" t="s">
        <v>2274</v>
      </c>
      <c r="C1456" t="s">
        <v>2286</v>
      </c>
      <c r="D1456" s="1">
        <v>46042</v>
      </c>
      <c r="E1456" t="s">
        <v>2287</v>
      </c>
      <c r="F1456">
        <v>9</v>
      </c>
      <c r="G1456">
        <v>236</v>
      </c>
      <c r="H1456" t="str">
        <f>VLOOKUP(G1456,[1]OPERADORES!$A:$B,2,0)</f>
        <v>DANIEL</v>
      </c>
      <c r="I1456" t="s">
        <v>21</v>
      </c>
      <c r="J1456" t="s">
        <v>750</v>
      </c>
      <c r="K1456" t="s">
        <v>2277</v>
      </c>
      <c r="L1456">
        <v>86995</v>
      </c>
      <c r="M1456" t="s">
        <v>37</v>
      </c>
      <c r="O1456" t="s">
        <v>11</v>
      </c>
      <c r="P1456">
        <v>5102</v>
      </c>
      <c r="Q1456">
        <v>10</v>
      </c>
      <c r="R1456">
        <v>7.29</v>
      </c>
      <c r="S1456">
        <v>72.900000000000006</v>
      </c>
      <c r="T1456">
        <v>58.3</v>
      </c>
      <c r="U1456">
        <v>20.03</v>
      </c>
      <c r="V1456" t="str">
        <f>VLOOKUP(L1456,'[2]tabela de preços'!$A:$D,4,0)</f>
        <v>AUTOAMERICA</v>
      </c>
      <c r="W1456" t="str">
        <f>VLOOKUP(L1456,'[2]tabela de preços'!$A:$F,6,0)</f>
        <v>FLANELAS / PANOS</v>
      </c>
      <c r="X1456" t="str">
        <f>VLOOKUP(L1456,'[2]tabela de preços'!$A:$G,7,0)</f>
        <v>AUTOMOTIVO</v>
      </c>
    </row>
    <row r="1457" spans="1:24" x14ac:dyDescent="0.3">
      <c r="A1457" t="s">
        <v>2274</v>
      </c>
      <c r="C1457" t="s">
        <v>2286</v>
      </c>
      <c r="D1457" s="1">
        <v>46042</v>
      </c>
      <c r="E1457" t="s">
        <v>2287</v>
      </c>
      <c r="F1457">
        <v>9</v>
      </c>
      <c r="G1457">
        <v>236</v>
      </c>
      <c r="H1457" t="str">
        <f>VLOOKUP(G1457,[1]OPERADORES!$A:$B,2,0)</f>
        <v>DANIEL</v>
      </c>
      <c r="I1457" t="s">
        <v>21</v>
      </c>
      <c r="J1457" t="s">
        <v>750</v>
      </c>
      <c r="K1457" t="s">
        <v>2277</v>
      </c>
      <c r="L1457">
        <v>13</v>
      </c>
      <c r="M1457" t="s">
        <v>152</v>
      </c>
      <c r="O1457" t="s">
        <v>11</v>
      </c>
      <c r="P1457">
        <v>5102</v>
      </c>
      <c r="Q1457">
        <v>50</v>
      </c>
      <c r="R1457">
        <v>5.79</v>
      </c>
      <c r="S1457">
        <v>289.5</v>
      </c>
      <c r="T1457">
        <v>208</v>
      </c>
      <c r="U1457">
        <v>28.15</v>
      </c>
      <c r="V1457" t="str">
        <f>VLOOKUP(L1457,'[2]tabela de preços'!$A:$D,4,0)</f>
        <v>3M</v>
      </c>
      <c r="W1457" t="str">
        <f>VLOOKUP(L1457,'[2]tabela de preços'!$A:$F,6,0)</f>
        <v>LIXA DÁGUA</v>
      </c>
      <c r="X1457" t="str">
        <f>VLOOKUP(L1457,'[2]tabela de preços'!$A:$G,7,0)</f>
        <v>AUTOMOTIVO</v>
      </c>
    </row>
    <row r="1458" spans="1:24" x14ac:dyDescent="0.3">
      <c r="A1458" t="s">
        <v>2274</v>
      </c>
      <c r="C1458" t="s">
        <v>2286</v>
      </c>
      <c r="D1458" s="1">
        <v>46042</v>
      </c>
      <c r="E1458" t="s">
        <v>2287</v>
      </c>
      <c r="F1458">
        <v>9</v>
      </c>
      <c r="G1458">
        <v>236</v>
      </c>
      <c r="H1458" t="str">
        <f>VLOOKUP(G1458,[1]OPERADORES!$A:$B,2,0)</f>
        <v>DANIEL</v>
      </c>
      <c r="I1458" t="s">
        <v>21</v>
      </c>
      <c r="J1458" t="s">
        <v>750</v>
      </c>
      <c r="K1458" t="s">
        <v>2277</v>
      </c>
      <c r="L1458">
        <v>10155</v>
      </c>
      <c r="M1458" t="s">
        <v>2288</v>
      </c>
      <c r="O1458" t="s">
        <v>11</v>
      </c>
      <c r="P1458">
        <v>5102</v>
      </c>
      <c r="Q1458">
        <v>2</v>
      </c>
      <c r="R1458">
        <v>33.11</v>
      </c>
      <c r="S1458">
        <v>66.22</v>
      </c>
      <c r="T1458">
        <v>50.26</v>
      </c>
      <c r="U1458">
        <v>24.1</v>
      </c>
      <c r="V1458" t="str">
        <f>VLOOKUP(L1458,'[2]tabela de preços'!$A:$D,4,0)</f>
        <v>AUTOCOLOR</v>
      </c>
      <c r="W1458" t="str">
        <f>VLOOKUP(L1458,'[2]tabela de preços'!$A:$F,6,0)</f>
        <v>MASSA DE POLIR</v>
      </c>
      <c r="X1458" t="str">
        <f>VLOOKUP(L1458,'[2]tabela de preços'!$A:$G,7,0)</f>
        <v>AUTOMOTIVO</v>
      </c>
    </row>
    <row r="1459" spans="1:24" x14ac:dyDescent="0.3">
      <c r="A1459" t="s">
        <v>2274</v>
      </c>
      <c r="C1459" t="s">
        <v>2286</v>
      </c>
      <c r="D1459" s="1">
        <v>46042</v>
      </c>
      <c r="E1459" t="s">
        <v>2287</v>
      </c>
      <c r="F1459">
        <v>9</v>
      </c>
      <c r="G1459">
        <v>236</v>
      </c>
      <c r="H1459" t="str">
        <f>VLOOKUP(G1459,[1]OPERADORES!$A:$B,2,0)</f>
        <v>DANIEL</v>
      </c>
      <c r="I1459" t="s">
        <v>21</v>
      </c>
      <c r="J1459" t="s">
        <v>750</v>
      </c>
      <c r="K1459" t="s">
        <v>2277</v>
      </c>
      <c r="L1459">
        <v>10123</v>
      </c>
      <c r="M1459" t="s">
        <v>2278</v>
      </c>
      <c r="O1459" t="s">
        <v>11</v>
      </c>
      <c r="P1459">
        <v>5403</v>
      </c>
      <c r="Q1459">
        <v>2</v>
      </c>
      <c r="R1459">
        <v>44.66</v>
      </c>
      <c r="S1459">
        <v>89.32</v>
      </c>
      <c r="T1459">
        <v>67.8</v>
      </c>
      <c r="U1459">
        <v>24.09</v>
      </c>
      <c r="V1459" t="str">
        <f>VLOOKUP(L1459,'[2]tabela de preços'!$A:$D,4,0)</f>
        <v>AUTOCOLOR</v>
      </c>
      <c r="W1459" t="str">
        <f>VLOOKUP(L1459,'[2]tabela de preços'!$A:$F,6,0)</f>
        <v>PRIMER AUTOMOTIVO</v>
      </c>
      <c r="X1459" t="str">
        <f>VLOOKUP(L1459,'[2]tabela de preços'!$A:$G,7,0)</f>
        <v>AUTOMOTIVO</v>
      </c>
    </row>
    <row r="1460" spans="1:24" x14ac:dyDescent="0.3">
      <c r="A1460" t="s">
        <v>2274</v>
      </c>
      <c r="C1460" t="s">
        <v>2286</v>
      </c>
      <c r="D1460" s="1">
        <v>46042</v>
      </c>
      <c r="E1460" t="s">
        <v>2287</v>
      </c>
      <c r="F1460">
        <v>9</v>
      </c>
      <c r="G1460">
        <v>236</v>
      </c>
      <c r="H1460" t="str">
        <f>VLOOKUP(G1460,[1]OPERADORES!$A:$B,2,0)</f>
        <v>DANIEL</v>
      </c>
      <c r="I1460" t="s">
        <v>21</v>
      </c>
      <c r="J1460" t="s">
        <v>750</v>
      </c>
      <c r="K1460" t="s">
        <v>2277</v>
      </c>
      <c r="L1460">
        <v>10298</v>
      </c>
      <c r="M1460" t="s">
        <v>85</v>
      </c>
      <c r="O1460" t="s">
        <v>11</v>
      </c>
      <c r="P1460">
        <v>5102</v>
      </c>
      <c r="Q1460">
        <v>20</v>
      </c>
      <c r="R1460">
        <v>54.9</v>
      </c>
      <c r="S1460" s="2">
        <v>1098</v>
      </c>
      <c r="T1460">
        <v>947.6</v>
      </c>
      <c r="U1460">
        <v>13.7</v>
      </c>
      <c r="V1460" t="str">
        <f>VLOOKUP(L1460,'[2]tabela de preços'!$A:$D,4,0)</f>
        <v>ANJO</v>
      </c>
      <c r="W1460" t="str">
        <f>VLOOKUP(L1460,'[2]tabela de preços'!$A:$F,6,0)</f>
        <v>THINNER DE LIMPEZA</v>
      </c>
      <c r="X1460" t="str">
        <f>VLOOKUP(L1460,'[2]tabela de preços'!$A:$G,7,0)</f>
        <v>THINNER</v>
      </c>
    </row>
    <row r="1461" spans="1:24" x14ac:dyDescent="0.3">
      <c r="A1461" t="s">
        <v>18</v>
      </c>
      <c r="C1461" t="s">
        <v>51</v>
      </c>
      <c r="D1461" s="1">
        <v>46043</v>
      </c>
      <c r="E1461" t="s">
        <v>52</v>
      </c>
      <c r="F1461">
        <v>9</v>
      </c>
      <c r="G1461">
        <v>236</v>
      </c>
      <c r="H1461" t="str">
        <f>VLOOKUP(G1461,[1]OPERADORES!$A:$B,2,0)</f>
        <v>DANIEL</v>
      </c>
      <c r="I1461" t="s">
        <v>21</v>
      </c>
      <c r="J1461" t="s">
        <v>22</v>
      </c>
      <c r="K1461" t="s">
        <v>23</v>
      </c>
      <c r="L1461">
        <v>84761</v>
      </c>
      <c r="M1461" t="s">
        <v>53</v>
      </c>
      <c r="O1461" t="s">
        <v>11</v>
      </c>
      <c r="P1461">
        <v>5403</v>
      </c>
      <c r="Q1461">
        <v>2</v>
      </c>
      <c r="R1461">
        <v>46.31</v>
      </c>
      <c r="S1461">
        <v>92.62</v>
      </c>
      <c r="T1461">
        <v>70.3</v>
      </c>
      <c r="U1461">
        <v>24.1</v>
      </c>
      <c r="V1461" t="str">
        <f>VLOOKUP(L1461,'[2]tabela de preços'!$A:$D,4,0)</f>
        <v>BRASILUX</v>
      </c>
      <c r="W1461" t="str">
        <f>VLOOKUP(L1461,'[2]tabela de preços'!$A:$F,6,0)</f>
        <v>CIMENTO QUEIMADO / EFEITOS DECORATIVOS</v>
      </c>
      <c r="X1461" t="str">
        <f>VLOOKUP(L1461,'[2]tabela de preços'!$A:$G,7,0)</f>
        <v>IMOBILIÁRIO</v>
      </c>
    </row>
    <row r="1462" spans="1:24" x14ac:dyDescent="0.3">
      <c r="A1462" t="s">
        <v>18</v>
      </c>
      <c r="C1462" t="s">
        <v>51</v>
      </c>
      <c r="D1462" s="1">
        <v>46043</v>
      </c>
      <c r="E1462" t="s">
        <v>52</v>
      </c>
      <c r="F1462">
        <v>9</v>
      </c>
      <c r="G1462">
        <v>236</v>
      </c>
      <c r="H1462" t="str">
        <f>VLOOKUP(G1462,[1]OPERADORES!$A:$B,2,0)</f>
        <v>DANIEL</v>
      </c>
      <c r="I1462" t="s">
        <v>21</v>
      </c>
      <c r="J1462" t="s">
        <v>22</v>
      </c>
      <c r="K1462" t="s">
        <v>23</v>
      </c>
      <c r="L1462">
        <v>85772</v>
      </c>
      <c r="M1462" t="s">
        <v>54</v>
      </c>
      <c r="O1462" t="s">
        <v>11</v>
      </c>
      <c r="P1462">
        <v>5403</v>
      </c>
      <c r="Q1462">
        <v>1</v>
      </c>
      <c r="R1462">
        <v>78.11</v>
      </c>
      <c r="S1462">
        <v>78.11</v>
      </c>
      <c r="T1462">
        <v>59.28</v>
      </c>
      <c r="U1462">
        <v>24.11</v>
      </c>
      <c r="V1462" t="str">
        <f>VLOOKUP(L1462,'[2]tabela de preços'!$A:$D,4,0)</f>
        <v>CORAL</v>
      </c>
      <c r="W1462" t="str">
        <f>VLOOKUP(L1462,'[2]tabela de preços'!$A:$F,6,0)</f>
        <v>TINTA PAREDE</v>
      </c>
      <c r="X1462" t="str">
        <f>VLOOKUP(L1462,'[2]tabela de preços'!$A:$G,7,0)</f>
        <v>IMOBILIÁRIO</v>
      </c>
    </row>
    <row r="1463" spans="1:24" x14ac:dyDescent="0.3">
      <c r="A1463" t="s">
        <v>18</v>
      </c>
      <c r="C1463" t="s">
        <v>51</v>
      </c>
      <c r="D1463" s="1">
        <v>46043</v>
      </c>
      <c r="E1463" t="s">
        <v>52</v>
      </c>
      <c r="F1463">
        <v>9</v>
      </c>
      <c r="G1463">
        <v>236</v>
      </c>
      <c r="H1463" t="str">
        <f>VLOOKUP(G1463,[1]OPERADORES!$A:$B,2,0)</f>
        <v>DANIEL</v>
      </c>
      <c r="I1463" t="s">
        <v>21</v>
      </c>
      <c r="J1463" t="s">
        <v>22</v>
      </c>
      <c r="K1463" t="s">
        <v>23</v>
      </c>
      <c r="L1463">
        <v>23364</v>
      </c>
      <c r="M1463" t="s">
        <v>55</v>
      </c>
      <c r="O1463" t="s">
        <v>11</v>
      </c>
      <c r="P1463">
        <v>5102</v>
      </c>
      <c r="Q1463">
        <v>4</v>
      </c>
      <c r="R1463">
        <v>6.19</v>
      </c>
      <c r="S1463">
        <v>24.76</v>
      </c>
      <c r="T1463">
        <v>19.64</v>
      </c>
      <c r="U1463">
        <v>20.68</v>
      </c>
      <c r="V1463" t="str">
        <f>VLOOKUP(L1463,'[2]tabela de preços'!$A:$D,4,0)</f>
        <v>AUTO AMERICA</v>
      </c>
      <c r="W1463" t="str">
        <f>VLOOKUP(L1463,'[2]tabela de preços'!$A:$F,6,0)</f>
        <v>FLANELAS / PANOS</v>
      </c>
      <c r="X1463" t="str">
        <f>VLOOKUP(L1463,'[2]tabela de preços'!$A:$G,7,0)</f>
        <v>AUTOMOTIVO</v>
      </c>
    </row>
    <row r="1464" spans="1:24" x14ac:dyDescent="0.3">
      <c r="A1464" t="s">
        <v>18</v>
      </c>
      <c r="C1464" t="s">
        <v>51</v>
      </c>
      <c r="D1464" s="1">
        <v>46043</v>
      </c>
      <c r="E1464" t="s">
        <v>52</v>
      </c>
      <c r="F1464">
        <v>9</v>
      </c>
      <c r="G1464">
        <v>236</v>
      </c>
      <c r="H1464" t="str">
        <f>VLOOKUP(G1464,[1]OPERADORES!$A:$B,2,0)</f>
        <v>DANIEL</v>
      </c>
      <c r="I1464" t="s">
        <v>21</v>
      </c>
      <c r="J1464" t="s">
        <v>22</v>
      </c>
      <c r="K1464" t="s">
        <v>23</v>
      </c>
      <c r="L1464">
        <v>86188</v>
      </c>
      <c r="M1464" t="s">
        <v>56</v>
      </c>
      <c r="O1464" t="s">
        <v>11</v>
      </c>
      <c r="P1464">
        <v>5403</v>
      </c>
      <c r="Q1464">
        <v>1</v>
      </c>
      <c r="R1464">
        <v>55.98</v>
      </c>
      <c r="S1464">
        <v>55.98</v>
      </c>
      <c r="T1464">
        <v>31.81</v>
      </c>
      <c r="U1464">
        <v>43.18</v>
      </c>
      <c r="V1464" t="str">
        <f>VLOOKUP(L1464,'[2]tabela de preços'!$A:$D,4,0)</f>
        <v>CORAL</v>
      </c>
      <c r="W1464" t="str">
        <f>VLOOKUP(L1464,'[2]tabela de preços'!$A:$F,6,0)</f>
        <v>BASES IMOBILIÁRIAS</v>
      </c>
      <c r="X1464" t="str">
        <f>VLOOKUP(L1464,'[2]tabela de preços'!$A:$G,7,0)</f>
        <v>IMOBILIÁRIO</v>
      </c>
    </row>
    <row r="1465" spans="1:24" x14ac:dyDescent="0.3">
      <c r="A1465" t="s">
        <v>18</v>
      </c>
      <c r="C1465" t="s">
        <v>51</v>
      </c>
      <c r="D1465" s="1">
        <v>46043</v>
      </c>
      <c r="E1465" t="s">
        <v>52</v>
      </c>
      <c r="F1465">
        <v>9</v>
      </c>
      <c r="G1465">
        <v>236</v>
      </c>
      <c r="H1465" t="str">
        <f>VLOOKUP(G1465,[1]OPERADORES!$A:$B,2,0)</f>
        <v>DANIEL</v>
      </c>
      <c r="I1465" t="s">
        <v>21</v>
      </c>
      <c r="J1465" t="s">
        <v>22</v>
      </c>
      <c r="K1465" t="s">
        <v>23</v>
      </c>
      <c r="L1465">
        <v>86188</v>
      </c>
      <c r="M1465" t="s">
        <v>57</v>
      </c>
      <c r="O1465" t="s">
        <v>11</v>
      </c>
      <c r="P1465">
        <v>5403</v>
      </c>
      <c r="Q1465">
        <v>1</v>
      </c>
      <c r="R1465">
        <v>61.2</v>
      </c>
      <c r="S1465">
        <v>61.2</v>
      </c>
      <c r="T1465">
        <v>34.78</v>
      </c>
      <c r="U1465">
        <v>43.17</v>
      </c>
      <c r="V1465" t="str">
        <f>VLOOKUP(L1465,'[2]tabela de preços'!$A:$D,4,0)</f>
        <v>CORAL</v>
      </c>
      <c r="W1465" t="str">
        <f>VLOOKUP(L1465,'[2]tabela de preços'!$A:$F,6,0)</f>
        <v>BASES IMOBILIÁRIAS</v>
      </c>
      <c r="X1465" t="str">
        <f>VLOOKUP(L1465,'[2]tabela de preços'!$A:$G,7,0)</f>
        <v>IMOBILIÁRIO</v>
      </c>
    </row>
    <row r="1466" spans="1:24" x14ac:dyDescent="0.3">
      <c r="A1466" t="s">
        <v>63</v>
      </c>
      <c r="C1466" t="s">
        <v>75</v>
      </c>
      <c r="D1466" s="1">
        <v>46043</v>
      </c>
      <c r="E1466" t="s">
        <v>76</v>
      </c>
      <c r="F1466">
        <v>9</v>
      </c>
      <c r="G1466">
        <v>236</v>
      </c>
      <c r="H1466" t="str">
        <f>VLOOKUP(G1466,[1]OPERADORES!$A:$B,2,0)</f>
        <v>DANIEL</v>
      </c>
      <c r="I1466" t="s">
        <v>21</v>
      </c>
      <c r="J1466" t="s">
        <v>66</v>
      </c>
      <c r="K1466" t="s">
        <v>67</v>
      </c>
      <c r="L1466">
        <v>84644</v>
      </c>
      <c r="M1466" t="s">
        <v>77</v>
      </c>
      <c r="O1466" t="s">
        <v>11</v>
      </c>
      <c r="P1466">
        <v>5403</v>
      </c>
      <c r="Q1466">
        <v>1</v>
      </c>
      <c r="R1466">
        <v>38.119999999999997</v>
      </c>
      <c r="S1466">
        <v>38.119999999999997</v>
      </c>
      <c r="T1466">
        <v>27.33</v>
      </c>
      <c r="U1466">
        <v>28.31</v>
      </c>
      <c r="V1466" t="str">
        <f>VLOOKUP(L1466,'[2]tabela de preços'!$A:$D,4,0)</f>
        <v>BRASILUX</v>
      </c>
      <c r="W1466" t="str">
        <f>VLOOKUP(L1466,'[2]tabela de preços'!$A:$F,6,0)</f>
        <v xml:space="preserve">BASES SISTEMA NO MACHINE </v>
      </c>
      <c r="X1466" t="str">
        <f>VLOOKUP(L1466,'[2]tabela de preços'!$A:$G,7,0)</f>
        <v>INDUSTRIAL</v>
      </c>
    </row>
    <row r="1467" spans="1:24" x14ac:dyDescent="0.3">
      <c r="A1467" t="s">
        <v>63</v>
      </c>
      <c r="C1467" t="s">
        <v>75</v>
      </c>
      <c r="D1467" s="1">
        <v>46043</v>
      </c>
      <c r="E1467" t="s">
        <v>76</v>
      </c>
      <c r="F1467">
        <v>9</v>
      </c>
      <c r="G1467">
        <v>236</v>
      </c>
      <c r="H1467" t="str">
        <f>VLOOKUP(G1467,[1]OPERADORES!$A:$B,2,0)</f>
        <v>DANIEL</v>
      </c>
      <c r="I1467" t="s">
        <v>21</v>
      </c>
      <c r="J1467" t="s">
        <v>66</v>
      </c>
      <c r="K1467" t="s">
        <v>67</v>
      </c>
      <c r="L1467">
        <v>22188</v>
      </c>
      <c r="M1467" t="s">
        <v>78</v>
      </c>
      <c r="O1467" t="s">
        <v>11</v>
      </c>
      <c r="P1467">
        <v>5102</v>
      </c>
      <c r="Q1467">
        <v>3</v>
      </c>
      <c r="R1467">
        <v>14.35</v>
      </c>
      <c r="S1467">
        <v>43.05</v>
      </c>
      <c r="T1467">
        <v>32.67</v>
      </c>
      <c r="U1467">
        <v>24.11</v>
      </c>
      <c r="V1467" t="str">
        <f>VLOOKUP(L1467,'[2]tabela de preços'!$A:$D,4,0)</f>
        <v>3M</v>
      </c>
      <c r="W1467" t="str">
        <f>VLOOKUP(L1467,'[2]tabela de preços'!$A:$F,6,0)</f>
        <v>FITA AUTOMOTIVA</v>
      </c>
      <c r="X1467" t="str">
        <f>VLOOKUP(L1467,'[2]tabela de preços'!$A:$G,7,0)</f>
        <v>AUTOMOTIVO</v>
      </c>
    </row>
    <row r="1468" spans="1:24" x14ac:dyDescent="0.3">
      <c r="A1468" t="s">
        <v>63</v>
      </c>
      <c r="C1468" t="s">
        <v>75</v>
      </c>
      <c r="D1468" s="1">
        <v>46043</v>
      </c>
      <c r="E1468" t="s">
        <v>76</v>
      </c>
      <c r="F1468">
        <v>9</v>
      </c>
      <c r="G1468">
        <v>236</v>
      </c>
      <c r="H1468" t="str">
        <f>VLOOKUP(G1468,[1]OPERADORES!$A:$B,2,0)</f>
        <v>DANIEL</v>
      </c>
      <c r="I1468" t="s">
        <v>21</v>
      </c>
      <c r="J1468" t="s">
        <v>66</v>
      </c>
      <c r="K1468" t="s">
        <v>67</v>
      </c>
      <c r="L1468">
        <v>10238</v>
      </c>
      <c r="M1468" t="s">
        <v>79</v>
      </c>
      <c r="O1468" t="s">
        <v>11</v>
      </c>
      <c r="P1468">
        <v>5102</v>
      </c>
      <c r="Q1468">
        <v>6</v>
      </c>
      <c r="R1468">
        <v>2.79</v>
      </c>
      <c r="S1468">
        <v>16.739999999999998</v>
      </c>
      <c r="T1468">
        <v>13.44</v>
      </c>
      <c r="U1468">
        <v>19.71</v>
      </c>
      <c r="V1468" t="str">
        <f>VLOOKUP(L1468,'[2]tabela de preços'!$A:$D,4,0)</f>
        <v>NORTON</v>
      </c>
      <c r="W1468" t="str">
        <f>VLOOKUP(L1468,'[2]tabela de preços'!$A:$F,6,0)</f>
        <v xml:space="preserve">DISCOS / LIXAS / ABRASIVOS </v>
      </c>
      <c r="X1468" t="str">
        <f>VLOOKUP(L1468,'[2]tabela de preços'!$A:$G,7,0)</f>
        <v>AUTOMOTIVO</v>
      </c>
    </row>
    <row r="1469" spans="1:24" x14ac:dyDescent="0.3">
      <c r="A1469" t="s">
        <v>63</v>
      </c>
      <c r="C1469" t="s">
        <v>75</v>
      </c>
      <c r="D1469" s="1">
        <v>46043</v>
      </c>
      <c r="E1469" t="s">
        <v>76</v>
      </c>
      <c r="F1469">
        <v>9</v>
      </c>
      <c r="G1469">
        <v>236</v>
      </c>
      <c r="H1469" t="str">
        <f>VLOOKUP(G1469,[1]OPERADORES!$A:$B,2,0)</f>
        <v>DANIEL</v>
      </c>
      <c r="I1469" t="s">
        <v>21</v>
      </c>
      <c r="J1469" t="s">
        <v>66</v>
      </c>
      <c r="K1469" t="s">
        <v>67</v>
      </c>
      <c r="L1469">
        <v>10239</v>
      </c>
      <c r="M1469" t="s">
        <v>80</v>
      </c>
      <c r="O1469" t="s">
        <v>11</v>
      </c>
      <c r="P1469">
        <v>5102</v>
      </c>
      <c r="Q1469">
        <v>6</v>
      </c>
      <c r="R1469">
        <v>2.79</v>
      </c>
      <c r="S1469">
        <v>16.739999999999998</v>
      </c>
      <c r="T1469">
        <v>14.04</v>
      </c>
      <c r="U1469">
        <v>16.13</v>
      </c>
      <c r="V1469" t="str">
        <f>VLOOKUP(L1469,'[2]tabela de preços'!$A:$D,4,0)</f>
        <v>NORTON</v>
      </c>
      <c r="W1469" t="str">
        <f>VLOOKUP(L1469,'[2]tabela de preços'!$A:$F,6,0)</f>
        <v xml:space="preserve">DISCOS / LIXAS / ABRASIVOS </v>
      </c>
      <c r="X1469" t="str">
        <f>VLOOKUP(L1469,'[2]tabela de preços'!$A:$G,7,0)</f>
        <v>AUTOMOTIVO</v>
      </c>
    </row>
    <row r="1470" spans="1:24" x14ac:dyDescent="0.3">
      <c r="A1470" t="s">
        <v>63</v>
      </c>
      <c r="C1470" t="s">
        <v>75</v>
      </c>
      <c r="D1470" s="1">
        <v>46043</v>
      </c>
      <c r="E1470" t="s">
        <v>76</v>
      </c>
      <c r="F1470">
        <v>9</v>
      </c>
      <c r="G1470">
        <v>236</v>
      </c>
      <c r="H1470" t="str">
        <f>VLOOKUP(G1470,[1]OPERADORES!$A:$B,2,0)</f>
        <v>DANIEL</v>
      </c>
      <c r="I1470" t="s">
        <v>21</v>
      </c>
      <c r="J1470" t="s">
        <v>66</v>
      </c>
      <c r="K1470" t="s">
        <v>67</v>
      </c>
      <c r="L1470">
        <v>10240</v>
      </c>
      <c r="M1470" t="s">
        <v>81</v>
      </c>
      <c r="O1470" t="s">
        <v>11</v>
      </c>
      <c r="P1470">
        <v>5102</v>
      </c>
      <c r="Q1470">
        <v>6</v>
      </c>
      <c r="R1470">
        <v>2.79</v>
      </c>
      <c r="S1470">
        <v>16.739999999999998</v>
      </c>
      <c r="T1470">
        <v>13.44</v>
      </c>
      <c r="U1470">
        <v>19.71</v>
      </c>
      <c r="V1470" t="str">
        <f>VLOOKUP(L1470,'[2]tabela de preços'!$A:$D,4,0)</f>
        <v>NORTON</v>
      </c>
      <c r="W1470" t="str">
        <f>VLOOKUP(L1470,'[2]tabela de preços'!$A:$F,6,0)</f>
        <v xml:space="preserve">DISCOS / LIXAS / ABRASIVOS </v>
      </c>
      <c r="X1470" t="str">
        <f>VLOOKUP(L1470,'[2]tabela de preços'!$A:$G,7,0)</f>
        <v>AUTOMOTIVO</v>
      </c>
    </row>
    <row r="1471" spans="1:24" x14ac:dyDescent="0.3">
      <c r="A1471" t="s">
        <v>63</v>
      </c>
      <c r="C1471" t="s">
        <v>75</v>
      </c>
      <c r="D1471" s="1">
        <v>46043</v>
      </c>
      <c r="E1471" t="s">
        <v>76</v>
      </c>
      <c r="F1471">
        <v>9</v>
      </c>
      <c r="G1471">
        <v>236</v>
      </c>
      <c r="H1471" t="str">
        <f>VLOOKUP(G1471,[1]OPERADORES!$A:$B,2,0)</f>
        <v>DANIEL</v>
      </c>
      <c r="I1471" t="s">
        <v>21</v>
      </c>
      <c r="J1471" t="s">
        <v>66</v>
      </c>
      <c r="K1471" t="s">
        <v>67</v>
      </c>
      <c r="L1471">
        <v>10242</v>
      </c>
      <c r="M1471" t="s">
        <v>82</v>
      </c>
      <c r="O1471" t="s">
        <v>11</v>
      </c>
      <c r="P1471">
        <v>5102</v>
      </c>
      <c r="Q1471">
        <v>6</v>
      </c>
      <c r="R1471">
        <v>2.79</v>
      </c>
      <c r="S1471">
        <v>16.739999999999998</v>
      </c>
      <c r="T1471">
        <v>13.44</v>
      </c>
      <c r="U1471">
        <v>19.71</v>
      </c>
      <c r="V1471" t="str">
        <f>VLOOKUP(L1471,'[2]tabela de preços'!$A:$D,4,0)</f>
        <v>NORTON</v>
      </c>
      <c r="W1471" t="str">
        <f>VLOOKUP(L1471,'[2]tabela de preços'!$A:$F,6,0)</f>
        <v xml:space="preserve">DISCOS / LIXAS / ABRASIVOS </v>
      </c>
      <c r="X1471" t="str">
        <f>VLOOKUP(L1471,'[2]tabela de preços'!$A:$G,7,0)</f>
        <v>AUTOMOTIVO</v>
      </c>
    </row>
    <row r="1472" spans="1:24" x14ac:dyDescent="0.3">
      <c r="A1472" t="s">
        <v>63</v>
      </c>
      <c r="C1472" t="s">
        <v>75</v>
      </c>
      <c r="D1472" s="1">
        <v>46043</v>
      </c>
      <c r="E1472" t="s">
        <v>76</v>
      </c>
      <c r="F1472">
        <v>9</v>
      </c>
      <c r="G1472">
        <v>236</v>
      </c>
      <c r="H1472" t="str">
        <f>VLOOKUP(G1472,[1]OPERADORES!$A:$B,2,0)</f>
        <v>DANIEL</v>
      </c>
      <c r="I1472" t="s">
        <v>21</v>
      </c>
      <c r="J1472" t="s">
        <v>66</v>
      </c>
      <c r="K1472" t="s">
        <v>67</v>
      </c>
      <c r="L1472">
        <v>10243</v>
      </c>
      <c r="M1472" t="s">
        <v>83</v>
      </c>
      <c r="O1472" t="s">
        <v>11</v>
      </c>
      <c r="P1472">
        <v>5102</v>
      </c>
      <c r="Q1472">
        <v>6</v>
      </c>
      <c r="R1472">
        <v>2.79</v>
      </c>
      <c r="S1472">
        <v>16.739999999999998</v>
      </c>
      <c r="T1472">
        <v>11.58</v>
      </c>
      <c r="U1472">
        <v>30.82</v>
      </c>
      <c r="V1472" t="str">
        <f>VLOOKUP(L1472,'[2]tabela de preços'!$A:$D,4,0)</f>
        <v>NORTON</v>
      </c>
      <c r="W1472" t="str">
        <f>VLOOKUP(L1472,'[2]tabela de preços'!$A:$F,6,0)</f>
        <v xml:space="preserve">DISCOS / LIXAS / ABRASIVOS </v>
      </c>
      <c r="X1472" t="str">
        <f>VLOOKUP(L1472,'[2]tabela de preços'!$A:$G,7,0)</f>
        <v>AUTOMOTIVO</v>
      </c>
    </row>
    <row r="1473" spans="1:24" x14ac:dyDescent="0.3">
      <c r="A1473" t="s">
        <v>63</v>
      </c>
      <c r="C1473" t="s">
        <v>75</v>
      </c>
      <c r="D1473" s="1">
        <v>46043</v>
      </c>
      <c r="E1473" t="s">
        <v>76</v>
      </c>
      <c r="F1473">
        <v>9</v>
      </c>
      <c r="G1473">
        <v>236</v>
      </c>
      <c r="H1473" t="str">
        <f>VLOOKUP(G1473,[1]OPERADORES!$A:$B,2,0)</f>
        <v>DANIEL</v>
      </c>
      <c r="I1473" t="s">
        <v>21</v>
      </c>
      <c r="J1473" t="s">
        <v>66</v>
      </c>
      <c r="K1473" t="s">
        <v>67</v>
      </c>
      <c r="L1473">
        <v>10244</v>
      </c>
      <c r="M1473" t="s">
        <v>84</v>
      </c>
      <c r="O1473" t="s">
        <v>11</v>
      </c>
      <c r="P1473">
        <v>5102</v>
      </c>
      <c r="Q1473">
        <v>6</v>
      </c>
      <c r="R1473">
        <v>2.79</v>
      </c>
      <c r="S1473">
        <v>16.739999999999998</v>
      </c>
      <c r="T1473">
        <v>11.58</v>
      </c>
      <c r="U1473">
        <v>30.82</v>
      </c>
      <c r="V1473" t="str">
        <f>VLOOKUP(L1473,'[2]tabela de preços'!$A:$D,4,0)</f>
        <v>NORTON</v>
      </c>
      <c r="W1473" t="str">
        <f>VLOOKUP(L1473,'[2]tabela de preços'!$A:$F,6,0)</f>
        <v xml:space="preserve">DISCOS / LIXAS / ABRASIVOS </v>
      </c>
      <c r="X1473" t="str">
        <f>VLOOKUP(L1473,'[2]tabela de preços'!$A:$G,7,0)</f>
        <v>AUTOMOTIVO</v>
      </c>
    </row>
    <row r="1474" spans="1:24" x14ac:dyDescent="0.3">
      <c r="A1474" t="s">
        <v>63</v>
      </c>
      <c r="C1474" t="s">
        <v>75</v>
      </c>
      <c r="D1474" s="1">
        <v>46043</v>
      </c>
      <c r="E1474" t="s">
        <v>76</v>
      </c>
      <c r="F1474">
        <v>9</v>
      </c>
      <c r="G1474">
        <v>236</v>
      </c>
      <c r="H1474" t="str">
        <f>VLOOKUP(G1474,[1]OPERADORES!$A:$B,2,0)</f>
        <v>DANIEL</v>
      </c>
      <c r="I1474" t="s">
        <v>21</v>
      </c>
      <c r="J1474" t="s">
        <v>66</v>
      </c>
      <c r="K1474" t="s">
        <v>67</v>
      </c>
      <c r="L1474">
        <v>10298</v>
      </c>
      <c r="M1474" t="s">
        <v>85</v>
      </c>
      <c r="O1474" t="s">
        <v>11</v>
      </c>
      <c r="P1474">
        <v>5102</v>
      </c>
      <c r="Q1474">
        <v>1</v>
      </c>
      <c r="R1474">
        <v>56.89</v>
      </c>
      <c r="S1474">
        <v>56.89</v>
      </c>
      <c r="T1474">
        <v>47.38</v>
      </c>
      <c r="U1474">
        <v>16.72</v>
      </c>
      <c r="V1474" t="str">
        <f>VLOOKUP(L1474,'[2]tabela de preços'!$A:$D,4,0)</f>
        <v>ANJO</v>
      </c>
      <c r="W1474" t="str">
        <f>VLOOKUP(L1474,'[2]tabela de preços'!$A:$F,6,0)</f>
        <v>THINNER DE LIMPEZA</v>
      </c>
      <c r="X1474" t="str">
        <f>VLOOKUP(L1474,'[2]tabela de preços'!$A:$G,7,0)</f>
        <v>THINNER</v>
      </c>
    </row>
    <row r="1475" spans="1:24" x14ac:dyDescent="0.3">
      <c r="A1475" t="s">
        <v>92</v>
      </c>
      <c r="C1475" t="s">
        <v>93</v>
      </c>
      <c r="D1475" s="1">
        <v>46043</v>
      </c>
      <c r="E1475" t="s">
        <v>94</v>
      </c>
      <c r="F1475">
        <v>9</v>
      </c>
      <c r="G1475">
        <v>174</v>
      </c>
      <c r="H1475" t="str">
        <f>VLOOKUP(G1475,[1]OPERADORES!$A:$B,2,0)</f>
        <v>MIRIÃ LOBATO RODRIGUES</v>
      </c>
      <c r="I1475" t="s">
        <v>21</v>
      </c>
      <c r="J1475" t="s">
        <v>95</v>
      </c>
      <c r="K1475" t="s">
        <v>96</v>
      </c>
      <c r="L1475">
        <v>23076</v>
      </c>
      <c r="M1475" t="s">
        <v>97</v>
      </c>
      <c r="O1475" t="s">
        <v>11</v>
      </c>
      <c r="P1475">
        <v>5403</v>
      </c>
      <c r="Q1475">
        <v>12</v>
      </c>
      <c r="R1475">
        <v>34.89</v>
      </c>
      <c r="S1475">
        <v>418.68</v>
      </c>
      <c r="T1475">
        <v>318.36</v>
      </c>
      <c r="U1475">
        <v>23.96</v>
      </c>
      <c r="V1475" t="str">
        <f>VLOOKUP(L1475,'[2]tabela de preços'!$A:$D,4,0)</f>
        <v>WANDA</v>
      </c>
      <c r="W1475" t="str">
        <f>VLOOKUP(L1475,'[2]tabela de preços'!$A:$F,6,0)</f>
        <v>PRIMER AUTOMOTIVO</v>
      </c>
      <c r="X1475" t="str">
        <f>VLOOKUP(L1475,'[2]tabela de preços'!$A:$G,7,0)</f>
        <v>AUTOMOTIVO</v>
      </c>
    </row>
    <row r="1476" spans="1:24" x14ac:dyDescent="0.3">
      <c r="A1476" t="s">
        <v>92</v>
      </c>
      <c r="C1476" t="s">
        <v>93</v>
      </c>
      <c r="D1476" s="1">
        <v>46043</v>
      </c>
      <c r="E1476" t="s">
        <v>94</v>
      </c>
      <c r="F1476">
        <v>9</v>
      </c>
      <c r="G1476">
        <v>174</v>
      </c>
      <c r="H1476" t="str">
        <f>VLOOKUP(G1476,[1]OPERADORES!$A:$B,2,0)</f>
        <v>MIRIÃ LOBATO RODRIGUES</v>
      </c>
      <c r="I1476" t="s">
        <v>21</v>
      </c>
      <c r="J1476" t="s">
        <v>95</v>
      </c>
      <c r="K1476" t="s">
        <v>96</v>
      </c>
      <c r="L1476">
        <v>23690</v>
      </c>
      <c r="M1476" t="s">
        <v>98</v>
      </c>
      <c r="O1476" t="s">
        <v>11</v>
      </c>
      <c r="P1476">
        <v>5403</v>
      </c>
      <c r="Q1476">
        <v>12</v>
      </c>
      <c r="R1476">
        <v>39.89</v>
      </c>
      <c r="S1476">
        <v>478.68</v>
      </c>
      <c r="T1476">
        <v>379.32</v>
      </c>
      <c r="U1476">
        <v>20.76</v>
      </c>
      <c r="V1476" t="str">
        <f>VLOOKUP(L1476,'[2]tabela de preços'!$A:$D,4,0)</f>
        <v>WANDA</v>
      </c>
      <c r="W1476" t="str">
        <f>VLOOKUP(L1476,'[2]tabela de preços'!$A:$F,6,0)</f>
        <v>VERNIZ AUTOMOTIVO</v>
      </c>
      <c r="X1476" t="str">
        <f>VLOOKUP(L1476,'[2]tabela de preços'!$A:$G,7,0)</f>
        <v>AUTOMOTIVO</v>
      </c>
    </row>
    <row r="1477" spans="1:24" x14ac:dyDescent="0.3">
      <c r="A1477" t="s">
        <v>92</v>
      </c>
      <c r="C1477" t="s">
        <v>93</v>
      </c>
      <c r="D1477" s="1">
        <v>46043</v>
      </c>
      <c r="E1477" t="s">
        <v>94</v>
      </c>
      <c r="F1477">
        <v>9</v>
      </c>
      <c r="G1477">
        <v>174</v>
      </c>
      <c r="H1477" t="str">
        <f>VLOOKUP(G1477,[1]OPERADORES!$A:$B,2,0)</f>
        <v>MIRIÃ LOBATO RODRIGUES</v>
      </c>
      <c r="I1477" t="s">
        <v>21</v>
      </c>
      <c r="J1477" t="s">
        <v>95</v>
      </c>
      <c r="K1477" t="s">
        <v>96</v>
      </c>
      <c r="L1477">
        <v>23100</v>
      </c>
      <c r="M1477" t="s">
        <v>99</v>
      </c>
      <c r="O1477" t="s">
        <v>11</v>
      </c>
      <c r="P1477">
        <v>5102</v>
      </c>
      <c r="Q1477">
        <v>50</v>
      </c>
      <c r="R1477">
        <v>2.35</v>
      </c>
      <c r="S1477">
        <v>117.5</v>
      </c>
      <c r="T1477">
        <v>84.5</v>
      </c>
      <c r="U1477">
        <v>28.09</v>
      </c>
      <c r="V1477" t="str">
        <f>VLOOKUP(L1477,'[2]tabela de preços'!$A:$D,4,0)</f>
        <v>3M</v>
      </c>
      <c r="W1477" t="str">
        <f>VLOOKUP(L1477,'[2]tabela de preços'!$A:$F,6,0)</f>
        <v xml:space="preserve">DISCOS / LIXAS / ABRASIVOS </v>
      </c>
      <c r="X1477" t="str">
        <f>VLOOKUP(L1477,'[2]tabela de preços'!$A:$G,7,0)</f>
        <v>AUTOMOTIVO</v>
      </c>
    </row>
    <row r="1478" spans="1:24" x14ac:dyDescent="0.3">
      <c r="A1478" t="s">
        <v>92</v>
      </c>
      <c r="C1478" t="s">
        <v>93</v>
      </c>
      <c r="D1478" s="1">
        <v>46043</v>
      </c>
      <c r="E1478" t="s">
        <v>94</v>
      </c>
      <c r="F1478">
        <v>9</v>
      </c>
      <c r="G1478">
        <v>174</v>
      </c>
      <c r="H1478" t="str">
        <f>VLOOKUP(G1478,[1]OPERADORES!$A:$B,2,0)</f>
        <v>MIRIÃ LOBATO RODRIGUES</v>
      </c>
      <c r="I1478" t="s">
        <v>21</v>
      </c>
      <c r="J1478" t="s">
        <v>95</v>
      </c>
      <c r="K1478" t="s">
        <v>96</v>
      </c>
      <c r="L1478">
        <v>84658</v>
      </c>
      <c r="M1478" t="s">
        <v>100</v>
      </c>
      <c r="O1478" t="s">
        <v>11</v>
      </c>
      <c r="P1478">
        <v>5102</v>
      </c>
      <c r="Q1478">
        <v>6</v>
      </c>
      <c r="R1478">
        <v>40.840000000000003</v>
      </c>
      <c r="S1478">
        <v>245.04</v>
      </c>
      <c r="T1478">
        <v>186</v>
      </c>
      <c r="U1478">
        <v>24.09</v>
      </c>
      <c r="V1478" t="str">
        <f>VLOOKUP(L1478,'[2]tabela de preços'!$A:$D,4,0)</f>
        <v>ANJO</v>
      </c>
      <c r="W1478" t="str">
        <f>VLOOKUP(L1478,'[2]tabela de preços'!$A:$F,6,0)</f>
        <v>MASSA POLIÉSTER</v>
      </c>
      <c r="X1478" t="str">
        <f>VLOOKUP(L1478,'[2]tabela de preços'!$A:$G,7,0)</f>
        <v>AUTOMOTIVO</v>
      </c>
    </row>
    <row r="1479" spans="1:24" x14ac:dyDescent="0.3">
      <c r="A1479" t="s">
        <v>254</v>
      </c>
      <c r="C1479" t="s">
        <v>255</v>
      </c>
      <c r="D1479" s="1">
        <v>46043</v>
      </c>
      <c r="E1479" t="s">
        <v>256</v>
      </c>
      <c r="F1479">
        <v>9</v>
      </c>
      <c r="G1479">
        <v>231</v>
      </c>
      <c r="H1479" t="str">
        <f>VLOOKUP(G1479,[1]OPERADORES!$A:$B,2,0)</f>
        <v>EDIJANE</v>
      </c>
      <c r="I1479" t="s">
        <v>21</v>
      </c>
      <c r="J1479" t="s">
        <v>66</v>
      </c>
      <c r="K1479" t="s">
        <v>257</v>
      </c>
      <c r="L1479">
        <v>85318</v>
      </c>
      <c r="M1479" t="s">
        <v>258</v>
      </c>
      <c r="O1479" t="s">
        <v>11</v>
      </c>
      <c r="P1479">
        <v>5102</v>
      </c>
      <c r="Q1479">
        <v>1</v>
      </c>
      <c r="R1479">
        <v>775.32</v>
      </c>
      <c r="S1479">
        <v>775.32</v>
      </c>
      <c r="T1479">
        <v>552.80999999999995</v>
      </c>
      <c r="U1479">
        <v>28.7</v>
      </c>
      <c r="V1479" t="str">
        <f>VLOOKUP(L1479,'[2]tabela de preços'!$A:$D,4,0)</f>
        <v>BRASILUX</v>
      </c>
      <c r="W1479" t="str">
        <f>VLOOKUP(L1479,'[2]tabela de preços'!$A:$F,6,0)</f>
        <v>TINTA EM PÓ</v>
      </c>
      <c r="X1479" t="str">
        <f>VLOOKUP(L1479,'[2]tabela de preços'!$A:$G,7,0)</f>
        <v>INDUSTRIAL</v>
      </c>
    </row>
    <row r="1480" spans="1:24" x14ac:dyDescent="0.3">
      <c r="A1480" t="s">
        <v>254</v>
      </c>
      <c r="C1480" t="s">
        <v>259</v>
      </c>
      <c r="D1480" s="1">
        <v>46043</v>
      </c>
      <c r="E1480" t="s">
        <v>260</v>
      </c>
      <c r="F1480">
        <v>9</v>
      </c>
      <c r="G1480">
        <v>231</v>
      </c>
      <c r="H1480" t="str">
        <f>VLOOKUP(G1480,[1]OPERADORES!$A:$B,2,0)</f>
        <v>EDIJANE</v>
      </c>
      <c r="I1480" t="s">
        <v>21</v>
      </c>
      <c r="J1480" t="s">
        <v>66</v>
      </c>
      <c r="K1480" t="s">
        <v>257</v>
      </c>
      <c r="L1480">
        <v>85401</v>
      </c>
      <c r="M1480" t="s">
        <v>261</v>
      </c>
      <c r="O1480" t="s">
        <v>11</v>
      </c>
      <c r="P1480">
        <v>5102</v>
      </c>
      <c r="Q1480">
        <v>1</v>
      </c>
      <c r="R1480">
        <v>633.42999999999995</v>
      </c>
      <c r="S1480">
        <v>633.42999999999995</v>
      </c>
      <c r="T1480">
        <v>451.64</v>
      </c>
      <c r="U1480">
        <v>28.7</v>
      </c>
      <c r="V1480" t="str">
        <f>VLOOKUP(L1480,'[2]tabela de preços'!$A:$D,4,0)</f>
        <v>BRASILUX</v>
      </c>
      <c r="W1480" t="str">
        <f>VLOOKUP(L1480,'[2]tabela de preços'!$A:$F,6,0)</f>
        <v>TINTA EM PÓ</v>
      </c>
      <c r="X1480" t="str">
        <f>VLOOKUP(L1480,'[2]tabela de preços'!$A:$G,7,0)</f>
        <v>INDUSTRIAL</v>
      </c>
    </row>
    <row r="1481" spans="1:24" x14ac:dyDescent="0.3">
      <c r="A1481" t="s">
        <v>354</v>
      </c>
      <c r="C1481" t="s">
        <v>355</v>
      </c>
      <c r="D1481" s="1">
        <v>46043</v>
      </c>
      <c r="E1481" t="s">
        <v>356</v>
      </c>
      <c r="F1481">
        <v>9</v>
      </c>
      <c r="G1481">
        <v>231</v>
      </c>
      <c r="H1481" t="str">
        <f>VLOOKUP(G1481,[1]OPERADORES!$A:$B,2,0)</f>
        <v>EDIJANE</v>
      </c>
      <c r="I1481" t="s">
        <v>21</v>
      </c>
      <c r="J1481" t="s">
        <v>357</v>
      </c>
      <c r="K1481" t="s">
        <v>358</v>
      </c>
      <c r="L1481">
        <v>84324</v>
      </c>
      <c r="M1481" t="s">
        <v>359</v>
      </c>
      <c r="O1481" t="s">
        <v>11</v>
      </c>
      <c r="P1481">
        <v>5403</v>
      </c>
      <c r="Q1481">
        <v>40</v>
      </c>
      <c r="R1481">
        <v>86.55</v>
      </c>
      <c r="S1481" s="2">
        <v>3462</v>
      </c>
      <c r="T1481" s="2">
        <v>2788.4</v>
      </c>
      <c r="U1481">
        <v>19.46</v>
      </c>
      <c r="V1481" t="str">
        <f>VLOOKUP(L1481,'[2]tabela de preços'!$A:$D,4,0)</f>
        <v>BRASILUX</v>
      </c>
      <c r="W1481" t="str">
        <f>VLOOKUP(L1481,'[2]tabela de preços'!$A:$F,6,0)</f>
        <v>ESMALTES</v>
      </c>
      <c r="X1481" t="str">
        <f>VLOOKUP(L1481,'[2]tabela de preços'!$A:$G,7,0)</f>
        <v>INDUSTRIAL</v>
      </c>
    </row>
    <row r="1482" spans="1:24" x14ac:dyDescent="0.3">
      <c r="A1482" t="s">
        <v>426</v>
      </c>
      <c r="B1482" t="s">
        <v>427</v>
      </c>
      <c r="C1482" t="s">
        <v>433</v>
      </c>
      <c r="D1482" s="1">
        <v>46043</v>
      </c>
      <c r="E1482" t="s">
        <v>434</v>
      </c>
      <c r="F1482">
        <v>9</v>
      </c>
      <c r="G1482">
        <v>236</v>
      </c>
      <c r="H1482" t="str">
        <f>VLOOKUP(G1482,[1]OPERADORES!$A:$B,2,0)</f>
        <v>DANIEL</v>
      </c>
      <c r="I1482" t="s">
        <v>21</v>
      </c>
      <c r="J1482" t="s">
        <v>430</v>
      </c>
      <c r="K1482" t="s">
        <v>431</v>
      </c>
      <c r="L1482">
        <v>85421</v>
      </c>
      <c r="M1482" t="s">
        <v>435</v>
      </c>
      <c r="O1482" t="s">
        <v>411</v>
      </c>
      <c r="P1482">
        <v>5102</v>
      </c>
      <c r="Q1482">
        <v>1</v>
      </c>
      <c r="R1482">
        <v>15.5</v>
      </c>
      <c r="S1482">
        <v>15.5</v>
      </c>
      <c r="T1482">
        <v>11.77</v>
      </c>
      <c r="U1482">
        <v>24.06</v>
      </c>
      <c r="V1482" t="str">
        <f>VLOOKUP(L1482,'[2]tabela de preços'!$A:$D,4,0)</f>
        <v>MAXI RUBBER</v>
      </c>
      <c r="W1482" t="str">
        <f>VLOOKUP(L1482,'[2]tabela de preços'!$A:$F,6,0)</f>
        <v>MASSA DE POLIR</v>
      </c>
      <c r="X1482" t="str">
        <f>VLOOKUP(L1482,'[2]tabela de preços'!$A:$G,7,0)</f>
        <v>AUTOMOTIVO</v>
      </c>
    </row>
    <row r="1483" spans="1:24" x14ac:dyDescent="0.3">
      <c r="A1483" t="s">
        <v>547</v>
      </c>
      <c r="C1483" t="s">
        <v>553</v>
      </c>
      <c r="D1483" s="1">
        <v>46043</v>
      </c>
      <c r="E1483" t="s">
        <v>554</v>
      </c>
      <c r="F1483">
        <v>9</v>
      </c>
      <c r="G1483">
        <v>197</v>
      </c>
      <c r="H1483" t="str">
        <f>VLOOKUP(G1483,[1]OPERADORES!$A:$B,2,0)</f>
        <v xml:space="preserve">POLIANA LORRANE DE AMORIM </v>
      </c>
      <c r="I1483" t="s">
        <v>21</v>
      </c>
      <c r="J1483" t="s">
        <v>550</v>
      </c>
      <c r="K1483" t="s">
        <v>551</v>
      </c>
      <c r="L1483">
        <v>84386</v>
      </c>
      <c r="M1483" t="s">
        <v>552</v>
      </c>
      <c r="O1483" t="s">
        <v>11</v>
      </c>
      <c r="P1483">
        <v>5403</v>
      </c>
      <c r="Q1483">
        <v>4</v>
      </c>
      <c r="R1483">
        <v>159.9</v>
      </c>
      <c r="S1483">
        <v>639.6</v>
      </c>
      <c r="T1483">
        <v>550.44000000000005</v>
      </c>
      <c r="U1483">
        <v>13.94</v>
      </c>
      <c r="V1483" t="str">
        <f>VLOOKUP(L1483,'[2]tabela de preços'!$A:$D,4,0)</f>
        <v>BRASILUX</v>
      </c>
      <c r="W1483" t="str">
        <f>VLOOKUP(L1483,'[2]tabela de preços'!$A:$F,6,0)</f>
        <v>TINTA PARA PISO</v>
      </c>
      <c r="X1483" t="str">
        <f>VLOOKUP(L1483,'[2]tabela de preços'!$A:$G,7,0)</f>
        <v>IMOBILIÁRIO</v>
      </c>
    </row>
    <row r="1484" spans="1:24" x14ac:dyDescent="0.3">
      <c r="A1484" t="s">
        <v>599</v>
      </c>
      <c r="C1484" t="s">
        <v>608</v>
      </c>
      <c r="D1484" s="1">
        <v>46043</v>
      </c>
      <c r="E1484" t="s">
        <v>609</v>
      </c>
      <c r="F1484">
        <v>9</v>
      </c>
      <c r="G1484">
        <v>230</v>
      </c>
      <c r="H1484" t="str">
        <f>VLOOKUP(G1484,[1]OPERADORES!$A:$B,2,0)</f>
        <v>SÔNIA</v>
      </c>
      <c r="I1484" t="s">
        <v>602</v>
      </c>
      <c r="J1484" t="s">
        <v>603</v>
      </c>
      <c r="K1484" t="s">
        <v>604</v>
      </c>
      <c r="L1484">
        <v>85318</v>
      </c>
      <c r="M1484" t="s">
        <v>258</v>
      </c>
      <c r="O1484" t="s">
        <v>11</v>
      </c>
      <c r="P1484">
        <v>6102</v>
      </c>
      <c r="Q1484">
        <v>1</v>
      </c>
      <c r="R1484">
        <v>775.32</v>
      </c>
      <c r="S1484">
        <v>775.32</v>
      </c>
      <c r="T1484">
        <v>552.80999999999995</v>
      </c>
      <c r="U1484">
        <v>28.7</v>
      </c>
      <c r="V1484" t="str">
        <f>VLOOKUP(L1484,'[2]tabela de preços'!$A:$D,4,0)</f>
        <v>BRASILUX</v>
      </c>
      <c r="W1484" t="str">
        <f>VLOOKUP(L1484,'[2]tabela de preços'!$A:$F,6,0)</f>
        <v>TINTA EM PÓ</v>
      </c>
      <c r="X1484" t="str">
        <f>VLOOKUP(L1484,'[2]tabela de preços'!$A:$G,7,0)</f>
        <v>INDUSTRIAL</v>
      </c>
    </row>
    <row r="1485" spans="1:24" x14ac:dyDescent="0.3">
      <c r="A1485" t="s">
        <v>727</v>
      </c>
      <c r="C1485" t="s">
        <v>743</v>
      </c>
      <c r="D1485" s="1">
        <v>46043</v>
      </c>
      <c r="E1485" t="s">
        <v>744</v>
      </c>
      <c r="F1485">
        <v>9</v>
      </c>
      <c r="G1485">
        <v>231</v>
      </c>
      <c r="H1485" t="str">
        <f>VLOOKUP(G1485,[1]OPERADORES!$A:$B,2,0)</f>
        <v>EDIJANE</v>
      </c>
      <c r="I1485" t="s">
        <v>21</v>
      </c>
      <c r="J1485" t="s">
        <v>730</v>
      </c>
      <c r="K1485" t="s">
        <v>731</v>
      </c>
      <c r="L1485">
        <v>84324</v>
      </c>
      <c r="M1485" t="s">
        <v>359</v>
      </c>
      <c r="O1485" t="s">
        <v>11</v>
      </c>
      <c r="P1485">
        <v>5403</v>
      </c>
      <c r="Q1485">
        <v>4</v>
      </c>
      <c r="R1485">
        <v>91.84</v>
      </c>
      <c r="S1485">
        <v>367.36</v>
      </c>
      <c r="T1485">
        <v>278.83999999999997</v>
      </c>
      <c r="U1485">
        <v>24.1</v>
      </c>
      <c r="V1485" t="str">
        <f>VLOOKUP(L1485,'[2]tabela de preços'!$A:$D,4,0)</f>
        <v>BRASILUX</v>
      </c>
      <c r="W1485" t="str">
        <f>VLOOKUP(L1485,'[2]tabela de preços'!$A:$F,6,0)</f>
        <v>ESMALTES</v>
      </c>
      <c r="X1485" t="str">
        <f>VLOOKUP(L1485,'[2]tabela de preços'!$A:$G,7,0)</f>
        <v>INDUSTRIAL</v>
      </c>
    </row>
    <row r="1486" spans="1:24" x14ac:dyDescent="0.3">
      <c r="A1486" t="s">
        <v>727</v>
      </c>
      <c r="C1486" t="s">
        <v>743</v>
      </c>
      <c r="D1486" s="1">
        <v>46043</v>
      </c>
      <c r="E1486" t="s">
        <v>744</v>
      </c>
      <c r="F1486">
        <v>9</v>
      </c>
      <c r="G1486">
        <v>231</v>
      </c>
      <c r="H1486" t="str">
        <f>VLOOKUP(G1486,[1]OPERADORES!$A:$B,2,0)</f>
        <v>EDIJANE</v>
      </c>
      <c r="I1486" t="s">
        <v>21</v>
      </c>
      <c r="J1486" t="s">
        <v>730</v>
      </c>
      <c r="K1486" t="s">
        <v>731</v>
      </c>
      <c r="L1486">
        <v>84560</v>
      </c>
      <c r="M1486" t="s">
        <v>118</v>
      </c>
      <c r="O1486" t="s">
        <v>11</v>
      </c>
      <c r="P1486">
        <v>5102</v>
      </c>
      <c r="Q1486">
        <v>24</v>
      </c>
      <c r="R1486">
        <v>47.89</v>
      </c>
      <c r="S1486" s="2">
        <v>1149.3599999999999</v>
      </c>
      <c r="T1486">
        <v>939.84</v>
      </c>
      <c r="U1486">
        <v>18.23</v>
      </c>
      <c r="V1486" t="str">
        <f>VLOOKUP(L1486,'[2]tabela de preços'!$A:$D,4,0)</f>
        <v>BRASILUX</v>
      </c>
      <c r="W1486" t="str">
        <f>VLOOKUP(L1486,'[2]tabela de preços'!$A:$F,6,0)</f>
        <v>THINNER DE LIMPEZA</v>
      </c>
      <c r="X1486" t="str">
        <f>VLOOKUP(L1486,'[2]tabela de preços'!$A:$G,7,0)</f>
        <v>THINNER</v>
      </c>
    </row>
    <row r="1487" spans="1:24" x14ac:dyDescent="0.3">
      <c r="A1487" t="s">
        <v>770</v>
      </c>
      <c r="C1487" t="s">
        <v>793</v>
      </c>
      <c r="D1487" s="1">
        <v>46043</v>
      </c>
      <c r="E1487" t="s">
        <v>794</v>
      </c>
      <c r="F1487">
        <v>9</v>
      </c>
      <c r="G1487">
        <v>230</v>
      </c>
      <c r="H1487" t="str">
        <f>VLOOKUP(G1487,[1]OPERADORES!$A:$B,2,0)</f>
        <v>SÔNIA</v>
      </c>
      <c r="I1487" t="s">
        <v>21</v>
      </c>
      <c r="J1487" t="s">
        <v>397</v>
      </c>
      <c r="K1487" t="s">
        <v>773</v>
      </c>
      <c r="L1487">
        <v>20052</v>
      </c>
      <c r="M1487" t="s">
        <v>795</v>
      </c>
      <c r="O1487" t="s">
        <v>11</v>
      </c>
      <c r="P1487">
        <v>5403</v>
      </c>
      <c r="Q1487">
        <v>1</v>
      </c>
      <c r="R1487">
        <v>55.1</v>
      </c>
      <c r="S1487">
        <v>55.1</v>
      </c>
      <c r="T1487">
        <v>41.82</v>
      </c>
      <c r="U1487">
        <v>24.1</v>
      </c>
      <c r="V1487" t="str">
        <f>VLOOKUP(L1487,'[2]tabela de preços'!$A:$D,4,0)</f>
        <v>SHERWIN WILLIAMS</v>
      </c>
      <c r="W1487" t="str">
        <f>VLOOKUP(L1487,'[2]tabela de preços'!$A:$F,6,0)</f>
        <v>CATALISADORES INDIVIDUAS</v>
      </c>
      <c r="X1487" t="str">
        <f>VLOOKUP(L1487,'[2]tabela de preços'!$A:$G,7,0)</f>
        <v>AUTOMOTIVO</v>
      </c>
    </row>
    <row r="1488" spans="1:24" x14ac:dyDescent="0.3">
      <c r="A1488" t="s">
        <v>770</v>
      </c>
      <c r="C1488" t="s">
        <v>793</v>
      </c>
      <c r="D1488" s="1">
        <v>46043</v>
      </c>
      <c r="E1488" t="s">
        <v>794</v>
      </c>
      <c r="F1488">
        <v>9</v>
      </c>
      <c r="G1488">
        <v>230</v>
      </c>
      <c r="H1488" t="str">
        <f>VLOOKUP(G1488,[1]OPERADORES!$A:$B,2,0)</f>
        <v>SÔNIA</v>
      </c>
      <c r="I1488" t="s">
        <v>21</v>
      </c>
      <c r="J1488" t="s">
        <v>397</v>
      </c>
      <c r="K1488" t="s">
        <v>773</v>
      </c>
      <c r="L1488">
        <v>23653</v>
      </c>
      <c r="M1488" t="s">
        <v>644</v>
      </c>
      <c r="O1488" t="s">
        <v>11</v>
      </c>
      <c r="P1488">
        <v>5102</v>
      </c>
      <c r="Q1488">
        <v>1</v>
      </c>
      <c r="R1488">
        <v>67.150000000000006</v>
      </c>
      <c r="S1488">
        <v>67.150000000000006</v>
      </c>
      <c r="T1488">
        <v>50.97</v>
      </c>
      <c r="U1488">
        <v>24.1</v>
      </c>
      <c r="V1488" t="str">
        <f>VLOOKUP(L1488,'[2]tabela de preços'!$A:$D,4,0)</f>
        <v>SIKKENS</v>
      </c>
      <c r="W1488" t="str">
        <f>VLOOKUP(L1488,'[2]tabela de preços'!$A:$F,6,0)</f>
        <v>CATALISADORES INDIVIDUAS</v>
      </c>
      <c r="X1488" t="str">
        <f>VLOOKUP(L1488,'[2]tabela de preços'!$A:$G,7,0)</f>
        <v>AUTOMOTIVO</v>
      </c>
    </row>
    <row r="1489" spans="1:24" x14ac:dyDescent="0.3">
      <c r="A1489" t="s">
        <v>770</v>
      </c>
      <c r="C1489" t="s">
        <v>793</v>
      </c>
      <c r="D1489" s="1">
        <v>46043</v>
      </c>
      <c r="E1489" t="s">
        <v>794</v>
      </c>
      <c r="F1489">
        <v>9</v>
      </c>
      <c r="G1489">
        <v>230</v>
      </c>
      <c r="H1489" t="str">
        <f>VLOOKUP(G1489,[1]OPERADORES!$A:$B,2,0)</f>
        <v>SÔNIA</v>
      </c>
      <c r="I1489" t="s">
        <v>21</v>
      </c>
      <c r="J1489" t="s">
        <v>397</v>
      </c>
      <c r="K1489" t="s">
        <v>773</v>
      </c>
      <c r="L1489">
        <v>23926</v>
      </c>
      <c r="M1489" t="s">
        <v>645</v>
      </c>
      <c r="O1489" t="s">
        <v>11</v>
      </c>
      <c r="P1489">
        <v>5403</v>
      </c>
      <c r="Q1489">
        <v>1</v>
      </c>
      <c r="R1489">
        <v>147.1</v>
      </c>
      <c r="S1489">
        <v>147.1</v>
      </c>
      <c r="T1489">
        <v>98.89</v>
      </c>
      <c r="U1489">
        <v>32.770000000000003</v>
      </c>
      <c r="V1489" t="str">
        <f>VLOOKUP(L1489,'[2]tabela de preços'!$A:$D,4,0)</f>
        <v>SIKKENS</v>
      </c>
      <c r="W1489" t="str">
        <f>VLOOKUP(L1489,'[2]tabela de preços'!$A:$F,6,0)</f>
        <v>PRIMER AUTOMOTIVO</v>
      </c>
      <c r="X1489" t="str">
        <f>VLOOKUP(L1489,'[2]tabela de preços'!$A:$G,7,0)</f>
        <v>AUTOMOTIVO</v>
      </c>
    </row>
    <row r="1490" spans="1:24" x14ac:dyDescent="0.3">
      <c r="A1490" t="s">
        <v>770</v>
      </c>
      <c r="C1490" t="s">
        <v>793</v>
      </c>
      <c r="D1490" s="1">
        <v>46043</v>
      </c>
      <c r="E1490" t="s">
        <v>794</v>
      </c>
      <c r="F1490">
        <v>9</v>
      </c>
      <c r="G1490">
        <v>230</v>
      </c>
      <c r="H1490" t="str">
        <f>VLOOKUP(G1490,[1]OPERADORES!$A:$B,2,0)</f>
        <v>SÔNIA</v>
      </c>
      <c r="I1490" t="s">
        <v>21</v>
      </c>
      <c r="J1490" t="s">
        <v>397</v>
      </c>
      <c r="K1490" t="s">
        <v>773</v>
      </c>
      <c r="L1490">
        <v>20212</v>
      </c>
      <c r="M1490" t="s">
        <v>198</v>
      </c>
      <c r="O1490" t="s">
        <v>11</v>
      </c>
      <c r="P1490">
        <v>5403</v>
      </c>
      <c r="Q1490">
        <v>1</v>
      </c>
      <c r="R1490">
        <v>26.95</v>
      </c>
      <c r="S1490">
        <v>26.95</v>
      </c>
      <c r="T1490">
        <v>20.46</v>
      </c>
      <c r="U1490">
        <v>24.08</v>
      </c>
      <c r="V1490" t="str">
        <f>VLOOKUP(L1490,'[2]tabela de preços'!$A:$D,4,0)</f>
        <v>MAXI RUBBER</v>
      </c>
      <c r="W1490" t="str">
        <f>VLOOKUP(L1490,'[2]tabela de preços'!$A:$F,6,0)</f>
        <v>SELADORA P/ PLASTICO</v>
      </c>
      <c r="X1490" t="str">
        <f>VLOOKUP(L1490,'[2]tabela de preços'!$A:$G,7,0)</f>
        <v>AUTOMOTIVO</v>
      </c>
    </row>
    <row r="1491" spans="1:24" x14ac:dyDescent="0.3">
      <c r="A1491" t="s">
        <v>840</v>
      </c>
      <c r="C1491" t="s">
        <v>841</v>
      </c>
      <c r="D1491" s="1">
        <v>46043</v>
      </c>
      <c r="E1491" t="s">
        <v>842</v>
      </c>
      <c r="F1491">
        <v>9</v>
      </c>
      <c r="G1491">
        <v>231</v>
      </c>
      <c r="H1491" t="str">
        <f>VLOOKUP(G1491,[1]OPERADORES!$A:$B,2,0)</f>
        <v>EDIJANE</v>
      </c>
      <c r="I1491" t="s">
        <v>21</v>
      </c>
      <c r="J1491" t="s">
        <v>843</v>
      </c>
      <c r="K1491" t="s">
        <v>844</v>
      </c>
      <c r="L1491">
        <v>85318</v>
      </c>
      <c r="M1491" t="s">
        <v>258</v>
      </c>
      <c r="O1491" t="s">
        <v>11</v>
      </c>
      <c r="P1491">
        <v>5102</v>
      </c>
      <c r="Q1491">
        <v>4</v>
      </c>
      <c r="R1491">
        <v>674.43</v>
      </c>
      <c r="S1491" s="2">
        <v>2697.72</v>
      </c>
      <c r="T1491" s="2">
        <v>2211.2399999999998</v>
      </c>
      <c r="U1491">
        <v>18.03</v>
      </c>
      <c r="V1491" t="str">
        <f>VLOOKUP(L1491,'[2]tabela de preços'!$A:$D,4,0)</f>
        <v>BRASILUX</v>
      </c>
      <c r="W1491" t="str">
        <f>VLOOKUP(L1491,'[2]tabela de preços'!$A:$F,6,0)</f>
        <v>TINTA EM PÓ</v>
      </c>
      <c r="X1491" t="str">
        <f>VLOOKUP(L1491,'[2]tabela de preços'!$A:$G,7,0)</f>
        <v>INDUSTRIAL</v>
      </c>
    </row>
    <row r="1492" spans="1:24" x14ac:dyDescent="0.3">
      <c r="A1492" t="s">
        <v>840</v>
      </c>
      <c r="C1492" t="s">
        <v>841</v>
      </c>
      <c r="D1492" s="1">
        <v>46043</v>
      </c>
      <c r="E1492" t="s">
        <v>842</v>
      </c>
      <c r="F1492">
        <v>9</v>
      </c>
      <c r="G1492">
        <v>231</v>
      </c>
      <c r="H1492" t="str">
        <f>VLOOKUP(G1492,[1]OPERADORES!$A:$B,2,0)</f>
        <v>EDIJANE</v>
      </c>
      <c r="I1492" t="s">
        <v>21</v>
      </c>
      <c r="J1492" t="s">
        <v>843</v>
      </c>
      <c r="K1492" t="s">
        <v>844</v>
      </c>
      <c r="L1492">
        <v>85325</v>
      </c>
      <c r="M1492" t="s">
        <v>845</v>
      </c>
      <c r="O1492" t="s">
        <v>11</v>
      </c>
      <c r="P1492">
        <v>5102</v>
      </c>
      <c r="Q1492">
        <v>2</v>
      </c>
      <c r="R1492">
        <v>686.62</v>
      </c>
      <c r="S1492" s="2">
        <v>1373.24</v>
      </c>
      <c r="T1492" s="2">
        <v>1116.46</v>
      </c>
      <c r="U1492">
        <v>18.7</v>
      </c>
      <c r="V1492" t="str">
        <f>VLOOKUP(L1492,'[2]tabela de preços'!$A:$D,4,0)</f>
        <v>BRASILUX</v>
      </c>
      <c r="W1492" t="str">
        <f>VLOOKUP(L1492,'[2]tabela de preços'!$A:$F,6,0)</f>
        <v>TINTA EM PÓ</v>
      </c>
      <c r="X1492" t="str">
        <f>VLOOKUP(L1492,'[2]tabela de preços'!$A:$G,7,0)</f>
        <v>INDUSTRIAL</v>
      </c>
    </row>
    <row r="1493" spans="1:24" x14ac:dyDescent="0.3">
      <c r="A1493" t="s">
        <v>868</v>
      </c>
      <c r="B1493" t="s">
        <v>869</v>
      </c>
      <c r="C1493" t="s">
        <v>887</v>
      </c>
      <c r="D1493" s="1">
        <v>46043</v>
      </c>
      <c r="E1493" t="s">
        <v>888</v>
      </c>
      <c r="F1493">
        <v>9</v>
      </c>
      <c r="G1493">
        <v>197</v>
      </c>
      <c r="H1493" t="str">
        <f>VLOOKUP(G1493,[1]OPERADORES!$A:$B,2,0)</f>
        <v xml:space="preserve">POLIANA LORRANE DE AMORIM </v>
      </c>
      <c r="I1493" t="s">
        <v>21</v>
      </c>
      <c r="J1493" t="s">
        <v>872</v>
      </c>
      <c r="K1493" t="s">
        <v>873</v>
      </c>
      <c r="L1493">
        <v>84191</v>
      </c>
      <c r="M1493" t="s">
        <v>889</v>
      </c>
      <c r="O1493" t="s">
        <v>11</v>
      </c>
      <c r="P1493">
        <v>5403</v>
      </c>
      <c r="Q1493">
        <v>3</v>
      </c>
      <c r="R1493">
        <v>22.8</v>
      </c>
      <c r="S1493">
        <v>68.400000000000006</v>
      </c>
      <c r="T1493">
        <v>50.16</v>
      </c>
      <c r="U1493">
        <v>26.67</v>
      </c>
      <c r="V1493" t="str">
        <f>VLOOKUP(L1493,'[2]tabela de preços'!$A:$D,4,0)</f>
        <v>BRASILUX</v>
      </c>
      <c r="W1493" t="str">
        <f>VLOOKUP(L1493,'[2]tabela de preços'!$A:$F,6,0)</f>
        <v>LINHA MOVELEIRA</v>
      </c>
      <c r="X1493" t="str">
        <f>VLOOKUP(L1493,'[2]tabela de preços'!$A:$G,7,0)</f>
        <v>MOVELEIRA</v>
      </c>
    </row>
    <row r="1494" spans="1:24" x14ac:dyDescent="0.3">
      <c r="A1494" t="s">
        <v>868</v>
      </c>
      <c r="B1494" t="s">
        <v>869</v>
      </c>
      <c r="C1494" t="s">
        <v>887</v>
      </c>
      <c r="D1494" s="1">
        <v>46043</v>
      </c>
      <c r="E1494" t="s">
        <v>888</v>
      </c>
      <c r="F1494">
        <v>9</v>
      </c>
      <c r="G1494">
        <v>197</v>
      </c>
      <c r="H1494" t="str">
        <f>VLOOKUP(G1494,[1]OPERADORES!$A:$B,2,0)</f>
        <v xml:space="preserve">POLIANA LORRANE DE AMORIM </v>
      </c>
      <c r="I1494" t="s">
        <v>21</v>
      </c>
      <c r="J1494" t="s">
        <v>872</v>
      </c>
      <c r="K1494" t="s">
        <v>873</v>
      </c>
      <c r="L1494">
        <v>84034</v>
      </c>
      <c r="M1494" t="s">
        <v>890</v>
      </c>
      <c r="O1494" t="s">
        <v>11</v>
      </c>
      <c r="P1494">
        <v>5102</v>
      </c>
      <c r="Q1494">
        <v>1</v>
      </c>
      <c r="R1494">
        <v>26</v>
      </c>
      <c r="S1494">
        <v>26</v>
      </c>
      <c r="T1494">
        <v>19.059999999999999</v>
      </c>
      <c r="U1494">
        <v>26.69</v>
      </c>
      <c r="V1494" t="str">
        <f>VLOOKUP(L1494,'[2]tabela de preços'!$A:$D,4,0)</f>
        <v>BRASILUX</v>
      </c>
      <c r="W1494" t="str">
        <f>VLOOKUP(L1494,'[2]tabela de preços'!$A:$F,6,0)</f>
        <v>MASSA CORRIDA / ACRÍLICA</v>
      </c>
      <c r="X1494" t="str">
        <f>VLOOKUP(L1494,'[2]tabela de preços'!$A:$G,7,0)</f>
        <v>IMOBILIÁRIO</v>
      </c>
    </row>
    <row r="1495" spans="1:24" x14ac:dyDescent="0.3">
      <c r="A1495" t="s">
        <v>868</v>
      </c>
      <c r="B1495" t="s">
        <v>869</v>
      </c>
      <c r="C1495" t="s">
        <v>887</v>
      </c>
      <c r="D1495" s="1">
        <v>46043</v>
      </c>
      <c r="E1495" t="s">
        <v>888</v>
      </c>
      <c r="F1495">
        <v>9</v>
      </c>
      <c r="G1495">
        <v>197</v>
      </c>
      <c r="H1495" t="str">
        <f>VLOOKUP(G1495,[1]OPERADORES!$A:$B,2,0)</f>
        <v xml:space="preserve">POLIANA LORRANE DE AMORIM </v>
      </c>
      <c r="I1495" t="s">
        <v>21</v>
      </c>
      <c r="J1495" t="s">
        <v>872</v>
      </c>
      <c r="K1495" t="s">
        <v>873</v>
      </c>
      <c r="L1495">
        <v>84038</v>
      </c>
      <c r="M1495" t="s">
        <v>593</v>
      </c>
      <c r="O1495" t="s">
        <v>11</v>
      </c>
      <c r="P1495">
        <v>5102</v>
      </c>
      <c r="Q1495">
        <v>4</v>
      </c>
      <c r="R1495">
        <v>18.350000000000001</v>
      </c>
      <c r="S1495">
        <v>73.400000000000006</v>
      </c>
      <c r="T1495">
        <v>53.8</v>
      </c>
      <c r="U1495">
        <v>26.7</v>
      </c>
      <c r="V1495" t="str">
        <f>VLOOKUP(L1495,'[2]tabela de preços'!$A:$D,4,0)</f>
        <v>BRASILUX</v>
      </c>
      <c r="W1495" t="str">
        <f>VLOOKUP(L1495,'[2]tabela de preços'!$A:$F,6,0)</f>
        <v>MASSA CORRIDA / ACRÍLICA</v>
      </c>
      <c r="X1495" t="str">
        <f>VLOOKUP(L1495,'[2]tabela de preços'!$A:$G,7,0)</f>
        <v>IMOBILIÁRIO</v>
      </c>
    </row>
    <row r="1496" spans="1:24" x14ac:dyDescent="0.3">
      <c r="A1496" t="s">
        <v>868</v>
      </c>
      <c r="B1496" t="s">
        <v>869</v>
      </c>
      <c r="C1496" t="s">
        <v>887</v>
      </c>
      <c r="D1496" s="1">
        <v>46043</v>
      </c>
      <c r="E1496" t="s">
        <v>888</v>
      </c>
      <c r="F1496">
        <v>9</v>
      </c>
      <c r="G1496">
        <v>197</v>
      </c>
      <c r="H1496" t="str">
        <f>VLOOKUP(G1496,[1]OPERADORES!$A:$B,2,0)</f>
        <v xml:space="preserve">POLIANA LORRANE DE AMORIM </v>
      </c>
      <c r="I1496" t="s">
        <v>21</v>
      </c>
      <c r="J1496" t="s">
        <v>872</v>
      </c>
      <c r="K1496" t="s">
        <v>873</v>
      </c>
      <c r="L1496">
        <v>84036</v>
      </c>
      <c r="M1496" t="s">
        <v>289</v>
      </c>
      <c r="O1496" t="s">
        <v>11</v>
      </c>
      <c r="P1496">
        <v>5102</v>
      </c>
      <c r="Q1496">
        <v>2</v>
      </c>
      <c r="R1496">
        <v>47.9</v>
      </c>
      <c r="S1496">
        <v>95.8</v>
      </c>
      <c r="T1496">
        <v>83.26</v>
      </c>
      <c r="U1496">
        <v>13.09</v>
      </c>
      <c r="V1496" t="str">
        <f>VLOOKUP(L1496,'[2]tabela de preços'!$A:$D,4,0)</f>
        <v>BRASILUX</v>
      </c>
      <c r="W1496" t="str">
        <f>VLOOKUP(L1496,'[2]tabela de preços'!$A:$F,6,0)</f>
        <v>MASSA CORRIDA / ACRÍLICA</v>
      </c>
      <c r="X1496" t="str">
        <f>VLOOKUP(L1496,'[2]tabela de preços'!$A:$G,7,0)</f>
        <v>IMOBILIÁRIO</v>
      </c>
    </row>
    <row r="1497" spans="1:24" x14ac:dyDescent="0.3">
      <c r="A1497" t="s">
        <v>868</v>
      </c>
      <c r="B1497" t="s">
        <v>869</v>
      </c>
      <c r="C1497" t="s">
        <v>887</v>
      </c>
      <c r="D1497" s="1">
        <v>46043</v>
      </c>
      <c r="E1497" t="s">
        <v>888</v>
      </c>
      <c r="F1497">
        <v>9</v>
      </c>
      <c r="G1497">
        <v>197</v>
      </c>
      <c r="H1497" t="str">
        <f>VLOOKUP(G1497,[1]OPERADORES!$A:$B,2,0)</f>
        <v xml:space="preserve">POLIANA LORRANE DE AMORIM </v>
      </c>
      <c r="I1497" t="s">
        <v>21</v>
      </c>
      <c r="J1497" t="s">
        <v>872</v>
      </c>
      <c r="K1497" t="s">
        <v>873</v>
      </c>
      <c r="L1497">
        <v>84460</v>
      </c>
      <c r="M1497" t="s">
        <v>322</v>
      </c>
      <c r="O1497" t="s">
        <v>11</v>
      </c>
      <c r="P1497">
        <v>5102</v>
      </c>
      <c r="Q1497">
        <v>5</v>
      </c>
      <c r="R1497">
        <v>31.07</v>
      </c>
      <c r="S1497">
        <v>155.35</v>
      </c>
      <c r="T1497">
        <v>117.9</v>
      </c>
      <c r="U1497">
        <v>24.11</v>
      </c>
      <c r="V1497" t="str">
        <f>VLOOKUP(L1497,'[2]tabela de preços'!$A:$D,4,0)</f>
        <v>BRASILUX</v>
      </c>
      <c r="W1497" t="str">
        <f>VLOOKUP(L1497,'[2]tabela de preços'!$A:$F,6,0)</f>
        <v>VEDADORES / SELANTES</v>
      </c>
      <c r="X1497" t="str">
        <f>VLOOKUP(L1497,'[2]tabela de preços'!$A:$G,7,0)</f>
        <v>AUTOMOTIVO</v>
      </c>
    </row>
    <row r="1498" spans="1:24" x14ac:dyDescent="0.3">
      <c r="A1498" t="s">
        <v>974</v>
      </c>
      <c r="C1498" t="s">
        <v>1002</v>
      </c>
      <c r="D1498" s="1">
        <v>46043</v>
      </c>
      <c r="E1498" t="s">
        <v>1003</v>
      </c>
      <c r="F1498">
        <v>9</v>
      </c>
      <c r="G1498">
        <v>197</v>
      </c>
      <c r="H1498" t="str">
        <f>VLOOKUP(G1498,[1]OPERADORES!$A:$B,2,0)</f>
        <v xml:space="preserve">POLIANA LORRANE DE AMORIM </v>
      </c>
      <c r="I1498" t="s">
        <v>21</v>
      </c>
      <c r="J1498" t="s">
        <v>397</v>
      </c>
      <c r="K1498" t="s">
        <v>977</v>
      </c>
      <c r="L1498">
        <v>84960</v>
      </c>
      <c r="M1498" t="s">
        <v>1004</v>
      </c>
      <c r="O1498" t="s">
        <v>11</v>
      </c>
      <c r="P1498">
        <v>5403</v>
      </c>
      <c r="Q1498">
        <v>2</v>
      </c>
      <c r="R1498">
        <v>78.31</v>
      </c>
      <c r="S1498">
        <v>156.62</v>
      </c>
      <c r="T1498">
        <v>118.88</v>
      </c>
      <c r="U1498">
        <v>24.1</v>
      </c>
      <c r="V1498" t="str">
        <f>VLOOKUP(L1498,'[2]tabela de preços'!$A:$D,4,0)</f>
        <v>BRASILUX</v>
      </c>
      <c r="W1498" t="str">
        <f>VLOOKUP(L1498,'[2]tabela de preços'!$A:$F,6,0)</f>
        <v>IMPERMEABILIZANTES</v>
      </c>
      <c r="X1498" t="str">
        <f>VLOOKUP(L1498,'[2]tabela de preços'!$A:$G,7,0)</f>
        <v>IMOBILIÁRIO</v>
      </c>
    </row>
    <row r="1499" spans="1:24" x14ac:dyDescent="0.3">
      <c r="A1499" t="s">
        <v>974</v>
      </c>
      <c r="C1499" t="s">
        <v>1002</v>
      </c>
      <c r="D1499" s="1">
        <v>46043</v>
      </c>
      <c r="E1499" t="s">
        <v>1003</v>
      </c>
      <c r="F1499">
        <v>9</v>
      </c>
      <c r="G1499">
        <v>197</v>
      </c>
      <c r="H1499" t="str">
        <f>VLOOKUP(G1499,[1]OPERADORES!$A:$B,2,0)</f>
        <v xml:space="preserve">POLIANA LORRANE DE AMORIM </v>
      </c>
      <c r="I1499" t="s">
        <v>21</v>
      </c>
      <c r="J1499" t="s">
        <v>397</v>
      </c>
      <c r="K1499" t="s">
        <v>977</v>
      </c>
      <c r="L1499">
        <v>85280</v>
      </c>
      <c r="M1499" t="s">
        <v>943</v>
      </c>
      <c r="O1499" t="s">
        <v>11</v>
      </c>
      <c r="P1499">
        <v>5102</v>
      </c>
      <c r="Q1499">
        <v>8</v>
      </c>
      <c r="R1499">
        <v>55.72</v>
      </c>
      <c r="S1499">
        <v>445.76</v>
      </c>
      <c r="T1499">
        <v>338.32</v>
      </c>
      <c r="U1499">
        <v>24.1</v>
      </c>
      <c r="V1499" t="str">
        <f>VLOOKUP(L1499,'[2]tabela de preços'!$A:$D,4,0)</f>
        <v>BRASILUX</v>
      </c>
      <c r="W1499" t="str">
        <f>VLOOKUP(L1499,'[2]tabela de preços'!$A:$F,6,0)</f>
        <v>CATALISADORES INDIVIDUAIS</v>
      </c>
      <c r="X1499" t="str">
        <f>VLOOKUP(L1499,'[2]tabela de preços'!$A:$G,7,0)</f>
        <v>IMOBILIÁRIO</v>
      </c>
    </row>
    <row r="1500" spans="1:24" x14ac:dyDescent="0.3">
      <c r="A1500" t="s">
        <v>974</v>
      </c>
      <c r="C1500" t="s">
        <v>1002</v>
      </c>
      <c r="D1500" s="1">
        <v>46043</v>
      </c>
      <c r="E1500" t="s">
        <v>1003</v>
      </c>
      <c r="F1500">
        <v>9</v>
      </c>
      <c r="G1500">
        <v>197</v>
      </c>
      <c r="H1500" t="str">
        <f>VLOOKUP(G1500,[1]OPERADORES!$A:$B,2,0)</f>
        <v xml:space="preserve">POLIANA LORRANE DE AMORIM </v>
      </c>
      <c r="I1500" t="s">
        <v>21</v>
      </c>
      <c r="J1500" t="s">
        <v>397</v>
      </c>
      <c r="K1500" t="s">
        <v>977</v>
      </c>
      <c r="L1500">
        <v>84201</v>
      </c>
      <c r="M1500" t="s">
        <v>1005</v>
      </c>
      <c r="O1500" t="s">
        <v>11</v>
      </c>
      <c r="P1500">
        <v>5403</v>
      </c>
      <c r="Q1500">
        <v>2</v>
      </c>
      <c r="R1500">
        <v>86.72</v>
      </c>
      <c r="S1500">
        <v>173.44</v>
      </c>
      <c r="T1500">
        <v>131.63999999999999</v>
      </c>
      <c r="U1500">
        <v>24.1</v>
      </c>
      <c r="V1500" t="str">
        <f>VLOOKUP(L1500,'[2]tabela de preços'!$A:$D,4,0)</f>
        <v>BRASILUX</v>
      </c>
      <c r="W1500" t="str">
        <f>VLOOKUP(L1500,'[2]tabela de preços'!$A:$F,6,0)</f>
        <v>SELADOR ACRÍLICO</v>
      </c>
      <c r="X1500" t="str">
        <f>VLOOKUP(L1500,'[2]tabela de preços'!$A:$G,7,0)</f>
        <v>IMOBILIÁRIO</v>
      </c>
    </row>
    <row r="1501" spans="1:24" x14ac:dyDescent="0.3">
      <c r="A1501" t="s">
        <v>1104</v>
      </c>
      <c r="C1501" t="s">
        <v>1105</v>
      </c>
      <c r="D1501" s="1">
        <v>46043</v>
      </c>
      <c r="E1501" t="s">
        <v>1106</v>
      </c>
      <c r="F1501">
        <v>9</v>
      </c>
      <c r="G1501">
        <v>236</v>
      </c>
      <c r="H1501" t="str">
        <f>VLOOKUP(G1501,[1]OPERADORES!$A:$B,2,0)</f>
        <v>DANIEL</v>
      </c>
      <c r="I1501" t="s">
        <v>168</v>
      </c>
      <c r="J1501" t="s">
        <v>1107</v>
      </c>
      <c r="K1501" t="s">
        <v>1108</v>
      </c>
      <c r="L1501">
        <v>86542</v>
      </c>
      <c r="M1501" t="s">
        <v>352</v>
      </c>
      <c r="O1501" t="s">
        <v>11</v>
      </c>
      <c r="P1501">
        <v>6102</v>
      </c>
      <c r="Q1501">
        <v>40</v>
      </c>
      <c r="R1501">
        <v>77.900000000000006</v>
      </c>
      <c r="S1501" s="2">
        <v>3116</v>
      </c>
      <c r="T1501" s="2">
        <v>2766.4</v>
      </c>
      <c r="U1501">
        <v>11.22</v>
      </c>
      <c r="V1501" t="str">
        <f>VLOOKUP(L1501,'[2]tabela de preços'!$A:$D,4,0)</f>
        <v>CORAL</v>
      </c>
      <c r="W1501" t="str">
        <f>VLOOKUP(L1501,'[2]tabela de preços'!$A:$F,6,0)</f>
        <v>MASSA CORRIDA / ACRÍLICA</v>
      </c>
      <c r="X1501" t="str">
        <f>VLOOKUP(L1501,'[2]tabela de preços'!$A:$G,7,0)</f>
        <v>IMOBILIÁRIO</v>
      </c>
    </row>
    <row r="1502" spans="1:24" x14ac:dyDescent="0.3">
      <c r="A1502" t="s">
        <v>1104</v>
      </c>
      <c r="C1502" t="s">
        <v>1105</v>
      </c>
      <c r="D1502" s="1">
        <v>46043</v>
      </c>
      <c r="E1502" t="s">
        <v>1106</v>
      </c>
      <c r="F1502">
        <v>9</v>
      </c>
      <c r="G1502">
        <v>236</v>
      </c>
      <c r="H1502" t="str">
        <f>VLOOKUP(G1502,[1]OPERADORES!$A:$B,2,0)</f>
        <v>DANIEL</v>
      </c>
      <c r="I1502" t="s">
        <v>168</v>
      </c>
      <c r="J1502" t="s">
        <v>1107</v>
      </c>
      <c r="K1502" t="s">
        <v>1108</v>
      </c>
      <c r="L1502">
        <v>85486</v>
      </c>
      <c r="M1502" t="s">
        <v>1109</v>
      </c>
      <c r="O1502" t="s">
        <v>1110</v>
      </c>
      <c r="P1502">
        <v>6102</v>
      </c>
      <c r="Q1502">
        <v>19</v>
      </c>
      <c r="R1502">
        <v>5.22</v>
      </c>
      <c r="S1502">
        <v>99.18</v>
      </c>
      <c r="T1502">
        <v>75.239999999999995</v>
      </c>
      <c r="U1502">
        <v>24.14</v>
      </c>
      <c r="V1502" t="str">
        <f>VLOOKUP(L1502,'[2]tabela de preços'!$A:$D,4,0)</f>
        <v>ATLAS</v>
      </c>
      <c r="W1502" t="str">
        <f>VLOOKUP(L1502,'[2]tabela de preços'!$A:$F,6,0)</f>
        <v xml:space="preserve">OUTROS DISCOS </v>
      </c>
      <c r="X1502" t="str">
        <f>VLOOKUP(L1502,'[2]tabela de preços'!$A:$G,7,0)</f>
        <v>AUTOMOTIVO</v>
      </c>
    </row>
    <row r="1503" spans="1:24" x14ac:dyDescent="0.3">
      <c r="A1503" t="s">
        <v>1104</v>
      </c>
      <c r="C1503" t="s">
        <v>1105</v>
      </c>
      <c r="D1503" s="1">
        <v>46043</v>
      </c>
      <c r="E1503" t="s">
        <v>1106</v>
      </c>
      <c r="F1503">
        <v>9</v>
      </c>
      <c r="G1503">
        <v>236</v>
      </c>
      <c r="H1503" t="str">
        <f>VLOOKUP(G1503,[1]OPERADORES!$A:$B,2,0)</f>
        <v>DANIEL</v>
      </c>
      <c r="I1503" t="s">
        <v>168</v>
      </c>
      <c r="J1503" t="s">
        <v>1107</v>
      </c>
      <c r="K1503" t="s">
        <v>1108</v>
      </c>
      <c r="L1503">
        <v>84928</v>
      </c>
      <c r="M1503" t="s">
        <v>36</v>
      </c>
      <c r="O1503" t="s">
        <v>11</v>
      </c>
      <c r="P1503">
        <v>6102</v>
      </c>
      <c r="Q1503">
        <v>30</v>
      </c>
      <c r="R1503">
        <v>9.39</v>
      </c>
      <c r="S1503">
        <v>281.7</v>
      </c>
      <c r="T1503">
        <v>213.9</v>
      </c>
      <c r="U1503">
        <v>24.07</v>
      </c>
      <c r="V1503" t="str">
        <f>VLOOKUP(L1503,'[2]tabela de preços'!$A:$D,4,0)</f>
        <v>ADERE</v>
      </c>
      <c r="W1503" t="str">
        <f>VLOOKUP(L1503,'[2]tabela de preços'!$A:$F,6,0)</f>
        <v xml:space="preserve">FITA DE USO GERAL </v>
      </c>
      <c r="X1503" t="str">
        <f>VLOOKUP(L1503,'[2]tabela de preços'!$A:$G,7,0)</f>
        <v>IMOBILIÁRIO</v>
      </c>
    </row>
    <row r="1504" spans="1:24" x14ac:dyDescent="0.3">
      <c r="A1504" t="s">
        <v>1104</v>
      </c>
      <c r="C1504" t="s">
        <v>1105</v>
      </c>
      <c r="D1504" s="1">
        <v>46043</v>
      </c>
      <c r="E1504" t="s">
        <v>1106</v>
      </c>
      <c r="F1504">
        <v>9</v>
      </c>
      <c r="G1504">
        <v>236</v>
      </c>
      <c r="H1504" t="str">
        <f>VLOOKUP(G1504,[1]OPERADORES!$A:$B,2,0)</f>
        <v>DANIEL</v>
      </c>
      <c r="I1504" t="s">
        <v>168</v>
      </c>
      <c r="J1504" t="s">
        <v>1107</v>
      </c>
      <c r="K1504" t="s">
        <v>1108</v>
      </c>
      <c r="L1504">
        <v>86943</v>
      </c>
      <c r="M1504" t="s">
        <v>1111</v>
      </c>
      <c r="O1504" t="s">
        <v>11</v>
      </c>
      <c r="P1504">
        <v>6403</v>
      </c>
      <c r="Q1504">
        <v>4</v>
      </c>
      <c r="R1504">
        <v>119.29</v>
      </c>
      <c r="S1504">
        <v>477.16</v>
      </c>
      <c r="T1504">
        <v>362.16</v>
      </c>
      <c r="U1504">
        <v>24.1</v>
      </c>
      <c r="V1504" t="str">
        <f>VLOOKUP(L1504,'[2]tabela de preços'!$A:$D,4,0)</f>
        <v>BRASILUX</v>
      </c>
      <c r="W1504" t="str">
        <f>VLOOKUP(L1504,'[2]tabela de preços'!$A:$F,6,0)</f>
        <v>IMPERMEABILIZANTES</v>
      </c>
      <c r="X1504" t="str">
        <f>VLOOKUP(L1504,'[2]tabela de preços'!$A:$G,7,0)</f>
        <v>IMOBILIÁRIO</v>
      </c>
    </row>
    <row r="1505" spans="1:24" x14ac:dyDescent="0.3">
      <c r="A1505" t="s">
        <v>1104</v>
      </c>
      <c r="C1505" t="s">
        <v>1105</v>
      </c>
      <c r="D1505" s="1">
        <v>46043</v>
      </c>
      <c r="E1505" t="s">
        <v>1106</v>
      </c>
      <c r="F1505">
        <v>9</v>
      </c>
      <c r="G1505">
        <v>236</v>
      </c>
      <c r="H1505" t="str">
        <f>VLOOKUP(G1505,[1]OPERADORES!$A:$B,2,0)</f>
        <v>DANIEL</v>
      </c>
      <c r="I1505" t="s">
        <v>168</v>
      </c>
      <c r="J1505" t="s">
        <v>1107</v>
      </c>
      <c r="K1505" t="s">
        <v>1108</v>
      </c>
      <c r="L1505">
        <v>85139</v>
      </c>
      <c r="M1505" t="s">
        <v>45</v>
      </c>
      <c r="O1505" t="s">
        <v>46</v>
      </c>
      <c r="P1505">
        <v>6403</v>
      </c>
      <c r="Q1505">
        <v>1</v>
      </c>
      <c r="R1505">
        <v>103.27</v>
      </c>
      <c r="S1505">
        <v>103.27</v>
      </c>
      <c r="T1505">
        <v>78.38</v>
      </c>
      <c r="U1505">
        <v>24.1</v>
      </c>
      <c r="V1505" t="str">
        <f>VLOOKUP(L1505,'[2]tabela de preços'!$A:$D,4,0)</f>
        <v>MULTILONA</v>
      </c>
      <c r="W1505" t="str">
        <f>VLOOKUP(L1505,'[2]tabela de preços'!$A:$F,6,0)</f>
        <v>LONAS</v>
      </c>
      <c r="X1505" t="str">
        <f>VLOOKUP(L1505,'[2]tabela de preços'!$A:$G,7,0)</f>
        <v>IMOBILIÁRIO</v>
      </c>
    </row>
    <row r="1506" spans="1:24" x14ac:dyDescent="0.3">
      <c r="A1506" t="s">
        <v>1232</v>
      </c>
      <c r="C1506" t="s">
        <v>1239</v>
      </c>
      <c r="D1506" s="1">
        <v>46043</v>
      </c>
      <c r="E1506" t="s">
        <v>1240</v>
      </c>
      <c r="F1506">
        <v>9</v>
      </c>
      <c r="G1506">
        <v>174</v>
      </c>
      <c r="H1506" t="str">
        <f>VLOOKUP(G1506,[1]OPERADORES!$A:$B,2,0)</f>
        <v>MIRIÃ LOBATO RODRIGUES</v>
      </c>
      <c r="I1506" t="s">
        <v>21</v>
      </c>
      <c r="J1506" t="s">
        <v>1235</v>
      </c>
      <c r="K1506" t="s">
        <v>1236</v>
      </c>
      <c r="L1506">
        <v>24293</v>
      </c>
      <c r="M1506" t="s">
        <v>1241</v>
      </c>
      <c r="O1506" t="s">
        <v>11</v>
      </c>
      <c r="P1506">
        <v>5102</v>
      </c>
      <c r="Q1506">
        <v>1</v>
      </c>
      <c r="R1506">
        <v>28.89</v>
      </c>
      <c r="S1506">
        <v>28.89</v>
      </c>
      <c r="T1506">
        <v>21.93</v>
      </c>
      <c r="U1506">
        <v>24.09</v>
      </c>
      <c r="V1506" t="str">
        <f>VLOOKUP(L1506,'[2]tabela de preços'!$A:$D,4,0)</f>
        <v>VONIXX</v>
      </c>
      <c r="W1506" t="str">
        <f>VLOOKUP(L1506,'[2]tabela de preços'!$A:$F,6,0)</f>
        <v>LINHA DE HIGENIZAÇÃO E ESTÉTICA  AUTOMOTIVA</v>
      </c>
      <c r="X1506" t="str">
        <f>VLOOKUP(L1506,'[2]tabela de preços'!$A:$G,7,0)</f>
        <v>AUTOMOTIVO</v>
      </c>
    </row>
    <row r="1507" spans="1:24" x14ac:dyDescent="0.3">
      <c r="A1507" t="s">
        <v>1232</v>
      </c>
      <c r="C1507" t="s">
        <v>1239</v>
      </c>
      <c r="D1507" s="1">
        <v>46043</v>
      </c>
      <c r="E1507" t="s">
        <v>1240</v>
      </c>
      <c r="F1507">
        <v>9</v>
      </c>
      <c r="G1507">
        <v>174</v>
      </c>
      <c r="H1507" t="str">
        <f>VLOOKUP(G1507,[1]OPERADORES!$A:$B,2,0)</f>
        <v>MIRIÃ LOBATO RODRIGUES</v>
      </c>
      <c r="I1507" t="s">
        <v>21</v>
      </c>
      <c r="J1507" t="s">
        <v>1235</v>
      </c>
      <c r="K1507" t="s">
        <v>1236</v>
      </c>
      <c r="L1507">
        <v>84824</v>
      </c>
      <c r="M1507" t="s">
        <v>1242</v>
      </c>
      <c r="O1507" t="s">
        <v>11</v>
      </c>
      <c r="P1507">
        <v>5102</v>
      </c>
      <c r="Q1507">
        <v>1</v>
      </c>
      <c r="R1507">
        <v>324.32</v>
      </c>
      <c r="S1507">
        <v>324.32</v>
      </c>
      <c r="T1507">
        <v>246.16</v>
      </c>
      <c r="U1507">
        <v>24.1</v>
      </c>
      <c r="V1507" t="str">
        <f>VLOOKUP(L1507,'[2]tabela de preços'!$A:$D,4,0)</f>
        <v>BRASILUX</v>
      </c>
      <c r="W1507" t="str">
        <f>VLOOKUP(L1507,'[2]tabela de preços'!$A:$F,6,0)</f>
        <v>DILUENTE</v>
      </c>
      <c r="X1507" t="str">
        <f>VLOOKUP(L1507,'[2]tabela de preços'!$A:$G,7,0)</f>
        <v>AUTOMOTIVO</v>
      </c>
    </row>
    <row r="1508" spans="1:24" x14ac:dyDescent="0.3">
      <c r="A1508" t="s">
        <v>1232</v>
      </c>
      <c r="C1508" t="s">
        <v>1239</v>
      </c>
      <c r="D1508" s="1">
        <v>46043</v>
      </c>
      <c r="E1508" t="s">
        <v>1240</v>
      </c>
      <c r="F1508">
        <v>9</v>
      </c>
      <c r="G1508">
        <v>174</v>
      </c>
      <c r="H1508" t="str">
        <f>VLOOKUP(G1508,[1]OPERADORES!$A:$B,2,0)</f>
        <v>MIRIÃ LOBATO RODRIGUES</v>
      </c>
      <c r="I1508" t="s">
        <v>21</v>
      </c>
      <c r="J1508" t="s">
        <v>1235</v>
      </c>
      <c r="K1508" t="s">
        <v>1236</v>
      </c>
      <c r="L1508">
        <v>10298</v>
      </c>
      <c r="M1508" t="s">
        <v>85</v>
      </c>
      <c r="O1508" t="s">
        <v>11</v>
      </c>
      <c r="P1508">
        <v>5102</v>
      </c>
      <c r="Q1508">
        <v>12</v>
      </c>
      <c r="R1508">
        <v>54.9</v>
      </c>
      <c r="S1508">
        <v>658.8</v>
      </c>
      <c r="T1508">
        <v>568.55999999999995</v>
      </c>
      <c r="U1508">
        <v>13.7</v>
      </c>
      <c r="V1508" t="str">
        <f>VLOOKUP(L1508,'[2]tabela de preços'!$A:$D,4,0)</f>
        <v>ANJO</v>
      </c>
      <c r="W1508" t="str">
        <f>VLOOKUP(L1508,'[2]tabela de preços'!$A:$F,6,0)</f>
        <v>THINNER DE LIMPEZA</v>
      </c>
      <c r="X1508" t="str">
        <f>VLOOKUP(L1508,'[2]tabela de preços'!$A:$G,7,0)</f>
        <v>THINNER</v>
      </c>
    </row>
    <row r="1509" spans="1:24" x14ac:dyDescent="0.3">
      <c r="A1509" t="s">
        <v>1232</v>
      </c>
      <c r="C1509" t="s">
        <v>1239</v>
      </c>
      <c r="D1509" s="1">
        <v>46043</v>
      </c>
      <c r="E1509" t="s">
        <v>1240</v>
      </c>
      <c r="F1509">
        <v>9</v>
      </c>
      <c r="G1509">
        <v>174</v>
      </c>
      <c r="H1509" t="str">
        <f>VLOOKUP(G1509,[1]OPERADORES!$A:$B,2,0)</f>
        <v>MIRIÃ LOBATO RODRIGUES</v>
      </c>
      <c r="I1509" t="s">
        <v>21</v>
      </c>
      <c r="J1509" t="s">
        <v>1235</v>
      </c>
      <c r="K1509" t="s">
        <v>1236</v>
      </c>
      <c r="L1509">
        <v>10297</v>
      </c>
      <c r="M1509" t="s">
        <v>41</v>
      </c>
      <c r="O1509" t="s">
        <v>11</v>
      </c>
      <c r="P1509">
        <v>5102</v>
      </c>
      <c r="Q1509">
        <v>24</v>
      </c>
      <c r="R1509">
        <v>10.89</v>
      </c>
      <c r="S1509">
        <v>261.36</v>
      </c>
      <c r="T1509">
        <v>220.08</v>
      </c>
      <c r="U1509">
        <v>15.79</v>
      </c>
      <c r="V1509" t="str">
        <f>VLOOKUP(L1509,'[2]tabela de preços'!$A:$D,4,0)</f>
        <v>ANJO</v>
      </c>
      <c r="W1509" t="str">
        <f>VLOOKUP(L1509,'[2]tabela de preços'!$A:$F,6,0)</f>
        <v>THINNER DE LIMPEZA</v>
      </c>
      <c r="X1509" t="str">
        <f>VLOOKUP(L1509,'[2]tabela de preços'!$A:$G,7,0)</f>
        <v>THINNER</v>
      </c>
    </row>
    <row r="1510" spans="1:24" x14ac:dyDescent="0.3">
      <c r="A1510" t="s">
        <v>1376</v>
      </c>
      <c r="C1510" t="s">
        <v>1377</v>
      </c>
      <c r="D1510" s="1">
        <v>46043</v>
      </c>
      <c r="E1510" t="s">
        <v>1378</v>
      </c>
      <c r="F1510">
        <v>9</v>
      </c>
      <c r="G1510">
        <v>174</v>
      </c>
      <c r="H1510" t="str">
        <f>VLOOKUP(G1510,[1]OPERADORES!$A:$B,2,0)</f>
        <v>MIRIÃ LOBATO RODRIGUES</v>
      </c>
      <c r="I1510" t="s">
        <v>168</v>
      </c>
      <c r="J1510" t="s">
        <v>1379</v>
      </c>
      <c r="K1510" t="s">
        <v>1380</v>
      </c>
      <c r="L1510">
        <v>23110</v>
      </c>
      <c r="M1510" t="s">
        <v>409</v>
      </c>
      <c r="O1510" t="s">
        <v>11</v>
      </c>
      <c r="P1510">
        <v>6108</v>
      </c>
      <c r="Q1510">
        <v>10</v>
      </c>
      <c r="R1510">
        <v>2.35</v>
      </c>
      <c r="S1510">
        <v>23.5</v>
      </c>
      <c r="T1510">
        <v>18.5</v>
      </c>
      <c r="U1510">
        <v>21.28</v>
      </c>
      <c r="V1510" t="str">
        <f>VLOOKUP(L1510,'[2]tabela de preços'!$A:$D,4,0)</f>
        <v>3M</v>
      </c>
      <c r="W1510" t="str">
        <f>VLOOKUP(L1510,'[2]tabela de preços'!$A:$F,6,0)</f>
        <v xml:space="preserve">DISCOS / LIXAS / ABRASIVOS </v>
      </c>
      <c r="X1510" t="str">
        <f>VLOOKUP(L1510,'[2]tabela de preços'!$A:$G,7,0)</f>
        <v>AUTOMOTIVO</v>
      </c>
    </row>
    <row r="1511" spans="1:24" x14ac:dyDescent="0.3">
      <c r="A1511" t="s">
        <v>1376</v>
      </c>
      <c r="C1511" t="s">
        <v>1377</v>
      </c>
      <c r="D1511" s="1">
        <v>46043</v>
      </c>
      <c r="E1511" t="s">
        <v>1378</v>
      </c>
      <c r="F1511">
        <v>9</v>
      </c>
      <c r="G1511">
        <v>174</v>
      </c>
      <c r="H1511" t="str">
        <f>VLOOKUP(G1511,[1]OPERADORES!$A:$B,2,0)</f>
        <v>MIRIÃ LOBATO RODRIGUES</v>
      </c>
      <c r="I1511" t="s">
        <v>168</v>
      </c>
      <c r="J1511" t="s">
        <v>1379</v>
      </c>
      <c r="K1511" t="s">
        <v>1380</v>
      </c>
      <c r="L1511">
        <v>23105</v>
      </c>
      <c r="M1511" t="s">
        <v>402</v>
      </c>
      <c r="O1511" t="s">
        <v>11</v>
      </c>
      <c r="P1511">
        <v>6108</v>
      </c>
      <c r="Q1511">
        <v>20</v>
      </c>
      <c r="R1511">
        <v>2.35</v>
      </c>
      <c r="S1511">
        <v>47</v>
      </c>
      <c r="T1511">
        <v>38.4</v>
      </c>
      <c r="U1511">
        <v>18.3</v>
      </c>
      <c r="V1511" t="str">
        <f>VLOOKUP(L1511,'[2]tabela de preços'!$A:$D,4,0)</f>
        <v>3M</v>
      </c>
      <c r="W1511" t="str">
        <f>VLOOKUP(L1511,'[2]tabela de preços'!$A:$F,6,0)</f>
        <v xml:space="preserve">DISCOS / LIXAS / ABRASIVOS </v>
      </c>
      <c r="X1511" t="str">
        <f>VLOOKUP(L1511,'[2]tabela de preços'!$A:$G,7,0)</f>
        <v>AUTOMOTIVO</v>
      </c>
    </row>
    <row r="1512" spans="1:24" x14ac:dyDescent="0.3">
      <c r="A1512" t="s">
        <v>1376</v>
      </c>
      <c r="C1512" t="s">
        <v>1377</v>
      </c>
      <c r="D1512" s="1">
        <v>46043</v>
      </c>
      <c r="E1512" t="s">
        <v>1378</v>
      </c>
      <c r="F1512">
        <v>9</v>
      </c>
      <c r="G1512">
        <v>174</v>
      </c>
      <c r="H1512" t="str">
        <f>VLOOKUP(G1512,[1]OPERADORES!$A:$B,2,0)</f>
        <v>MIRIÃ LOBATO RODRIGUES</v>
      </c>
      <c r="I1512" t="s">
        <v>168</v>
      </c>
      <c r="J1512" t="s">
        <v>1379</v>
      </c>
      <c r="K1512" t="s">
        <v>1380</v>
      </c>
      <c r="L1512">
        <v>23106</v>
      </c>
      <c r="M1512" t="s">
        <v>403</v>
      </c>
      <c r="O1512" t="s">
        <v>11</v>
      </c>
      <c r="P1512">
        <v>6108</v>
      </c>
      <c r="Q1512">
        <v>10</v>
      </c>
      <c r="R1512">
        <v>2.35</v>
      </c>
      <c r="S1512">
        <v>23.5</v>
      </c>
      <c r="T1512">
        <v>19.2</v>
      </c>
      <c r="U1512">
        <v>18.3</v>
      </c>
      <c r="V1512" t="str">
        <f>VLOOKUP(L1512,'[2]tabela de preços'!$A:$D,4,0)</f>
        <v>3M</v>
      </c>
      <c r="W1512" t="str">
        <f>VLOOKUP(L1512,'[2]tabela de preços'!$A:$F,6,0)</f>
        <v xml:space="preserve">DISCOS / LIXAS / ABRASIVOS </v>
      </c>
      <c r="X1512" t="str">
        <f>VLOOKUP(L1512,'[2]tabela de preços'!$A:$G,7,0)</f>
        <v>AUTOMOTIVO</v>
      </c>
    </row>
    <row r="1513" spans="1:24" x14ac:dyDescent="0.3">
      <c r="A1513" t="s">
        <v>1448</v>
      </c>
      <c r="B1513" t="s">
        <v>1449</v>
      </c>
      <c r="C1513" t="s">
        <v>1450</v>
      </c>
      <c r="D1513" s="1">
        <v>46043</v>
      </c>
      <c r="E1513" t="s">
        <v>1451</v>
      </c>
      <c r="F1513">
        <v>9</v>
      </c>
      <c r="G1513">
        <v>174</v>
      </c>
      <c r="H1513" t="str">
        <f>VLOOKUP(G1513,[1]OPERADORES!$A:$B,2,0)</f>
        <v>MIRIÃ LOBATO RODRIGUES</v>
      </c>
      <c r="I1513" t="s">
        <v>21</v>
      </c>
      <c r="J1513" t="s">
        <v>1452</v>
      </c>
      <c r="K1513" t="s">
        <v>1453</v>
      </c>
      <c r="L1513">
        <v>83858</v>
      </c>
      <c r="M1513" t="s">
        <v>1454</v>
      </c>
      <c r="O1513" t="s">
        <v>11</v>
      </c>
      <c r="P1513">
        <v>5102</v>
      </c>
      <c r="Q1513">
        <v>12</v>
      </c>
      <c r="R1513">
        <v>164.9</v>
      </c>
      <c r="S1513" s="2">
        <v>1978.8</v>
      </c>
      <c r="T1513" s="2">
        <v>1501.92</v>
      </c>
      <c r="U1513">
        <v>24.1</v>
      </c>
      <c r="V1513" t="str">
        <f>VLOOKUP(L1513,'[2]tabela de preços'!$A:$D,4,0)</f>
        <v>3M</v>
      </c>
      <c r="W1513" t="str">
        <f>VLOOKUP(L1513,'[2]tabela de preços'!$A:$F,6,0)</f>
        <v>OUTRAS FITAS</v>
      </c>
      <c r="X1513" t="str">
        <f>VLOOKUP(L1513,'[2]tabela de preços'!$A:$G,7,0)</f>
        <v>IMOBILIÁRIO</v>
      </c>
    </row>
    <row r="1514" spans="1:24" x14ac:dyDescent="0.3">
      <c r="A1514" t="s">
        <v>1448</v>
      </c>
      <c r="B1514" t="s">
        <v>1449</v>
      </c>
      <c r="C1514" t="s">
        <v>1450</v>
      </c>
      <c r="D1514" s="1">
        <v>46043</v>
      </c>
      <c r="E1514" t="s">
        <v>1451</v>
      </c>
      <c r="F1514">
        <v>9</v>
      </c>
      <c r="G1514">
        <v>174</v>
      </c>
      <c r="H1514" t="str">
        <f>VLOOKUP(G1514,[1]OPERADORES!$A:$B,2,0)</f>
        <v>MIRIÃ LOBATO RODRIGUES</v>
      </c>
      <c r="I1514" t="s">
        <v>21</v>
      </c>
      <c r="J1514" t="s">
        <v>1452</v>
      </c>
      <c r="K1514" t="s">
        <v>1453</v>
      </c>
      <c r="L1514">
        <v>10298</v>
      </c>
      <c r="M1514" t="s">
        <v>85</v>
      </c>
      <c r="O1514" t="s">
        <v>11</v>
      </c>
      <c r="P1514">
        <v>5102</v>
      </c>
      <c r="Q1514">
        <v>12</v>
      </c>
      <c r="R1514">
        <v>56.8</v>
      </c>
      <c r="S1514">
        <v>681.6</v>
      </c>
      <c r="T1514">
        <v>568.55999999999995</v>
      </c>
      <c r="U1514">
        <v>16.579999999999998</v>
      </c>
      <c r="V1514" t="str">
        <f>VLOOKUP(L1514,'[2]tabela de preços'!$A:$D,4,0)</f>
        <v>ANJO</v>
      </c>
      <c r="W1514" t="str">
        <f>VLOOKUP(L1514,'[2]tabela de preços'!$A:$F,6,0)</f>
        <v>THINNER DE LIMPEZA</v>
      </c>
      <c r="X1514" t="str">
        <f>VLOOKUP(L1514,'[2]tabela de preços'!$A:$G,7,0)</f>
        <v>THINNER</v>
      </c>
    </row>
    <row r="1515" spans="1:24" x14ac:dyDescent="0.3">
      <c r="A1515" t="s">
        <v>1561</v>
      </c>
      <c r="C1515" t="s">
        <v>1589</v>
      </c>
      <c r="D1515" s="1">
        <v>46043</v>
      </c>
      <c r="E1515" t="s">
        <v>1590</v>
      </c>
      <c r="F1515">
        <v>9</v>
      </c>
      <c r="G1515">
        <v>174</v>
      </c>
      <c r="H1515" t="str">
        <f>VLOOKUP(G1515,[1]OPERADORES!$A:$B,2,0)</f>
        <v>MIRIÃ LOBATO RODRIGUES</v>
      </c>
      <c r="I1515" t="s">
        <v>21</v>
      </c>
      <c r="J1515" t="s">
        <v>1564</v>
      </c>
      <c r="K1515" t="s">
        <v>1565</v>
      </c>
      <c r="L1515">
        <v>84744</v>
      </c>
      <c r="M1515" t="s">
        <v>1591</v>
      </c>
      <c r="O1515" t="s">
        <v>11</v>
      </c>
      <c r="P1515">
        <v>5403</v>
      </c>
      <c r="Q1515">
        <v>1</v>
      </c>
      <c r="R1515">
        <v>363.89</v>
      </c>
      <c r="S1515">
        <v>363.89</v>
      </c>
      <c r="T1515">
        <v>276.2</v>
      </c>
      <c r="U1515">
        <v>24.1</v>
      </c>
      <c r="V1515" t="str">
        <f>VLOOKUP(L1515,'[2]tabela de preços'!$A:$D,4,0)</f>
        <v>BRASILUX</v>
      </c>
      <c r="W1515" t="str">
        <f>VLOOKUP(L1515,'[2]tabela de preços'!$A:$F,6,0)</f>
        <v>TINTA PAREDE</v>
      </c>
      <c r="X1515" t="str">
        <f>VLOOKUP(L1515,'[2]tabela de preços'!$A:$G,7,0)</f>
        <v>IMOBILIÁRIO</v>
      </c>
    </row>
    <row r="1516" spans="1:24" x14ac:dyDescent="0.3">
      <c r="A1516" t="s">
        <v>1561</v>
      </c>
      <c r="C1516" t="s">
        <v>1589</v>
      </c>
      <c r="D1516" s="1">
        <v>46043</v>
      </c>
      <c r="E1516" t="s">
        <v>1590</v>
      </c>
      <c r="F1516">
        <v>9</v>
      </c>
      <c r="G1516">
        <v>174</v>
      </c>
      <c r="H1516" t="str">
        <f>VLOOKUP(G1516,[1]OPERADORES!$A:$B,2,0)</f>
        <v>MIRIÃ LOBATO RODRIGUES</v>
      </c>
      <c r="I1516" t="s">
        <v>21</v>
      </c>
      <c r="J1516" t="s">
        <v>1564</v>
      </c>
      <c r="K1516" t="s">
        <v>1565</v>
      </c>
      <c r="L1516">
        <v>84215</v>
      </c>
      <c r="M1516" t="s">
        <v>822</v>
      </c>
      <c r="O1516" t="s">
        <v>11</v>
      </c>
      <c r="P1516">
        <v>5403</v>
      </c>
      <c r="Q1516">
        <v>1</v>
      </c>
      <c r="R1516">
        <v>254.37</v>
      </c>
      <c r="S1516">
        <v>254.37</v>
      </c>
      <c r="T1516">
        <v>193.07</v>
      </c>
      <c r="U1516">
        <v>24.1</v>
      </c>
      <c r="V1516" t="str">
        <f>VLOOKUP(L1516,'[2]tabela de preços'!$A:$D,4,0)</f>
        <v>BRASILUX</v>
      </c>
      <c r="W1516" t="str">
        <f>VLOOKUP(L1516,'[2]tabela de preços'!$A:$F,6,0)</f>
        <v>ESMALTES</v>
      </c>
      <c r="X1516" t="str">
        <f>VLOOKUP(L1516,'[2]tabela de preços'!$A:$G,7,0)</f>
        <v>INDUSTRIAL</v>
      </c>
    </row>
    <row r="1517" spans="1:24" x14ac:dyDescent="0.3">
      <c r="A1517" t="s">
        <v>1561</v>
      </c>
      <c r="C1517" t="s">
        <v>1589</v>
      </c>
      <c r="D1517" s="1">
        <v>46043</v>
      </c>
      <c r="E1517" t="s">
        <v>1590</v>
      </c>
      <c r="F1517">
        <v>9</v>
      </c>
      <c r="G1517">
        <v>174</v>
      </c>
      <c r="H1517" t="str">
        <f>VLOOKUP(G1517,[1]OPERADORES!$A:$B,2,0)</f>
        <v>MIRIÃ LOBATO RODRIGUES</v>
      </c>
      <c r="I1517" t="s">
        <v>21</v>
      </c>
      <c r="J1517" t="s">
        <v>1564</v>
      </c>
      <c r="K1517" t="s">
        <v>1565</v>
      </c>
      <c r="L1517">
        <v>84219</v>
      </c>
      <c r="M1517" t="s">
        <v>878</v>
      </c>
      <c r="O1517" t="s">
        <v>11</v>
      </c>
      <c r="P1517">
        <v>5403</v>
      </c>
      <c r="Q1517">
        <v>1</v>
      </c>
      <c r="R1517">
        <v>52.73</v>
      </c>
      <c r="S1517">
        <v>52.73</v>
      </c>
      <c r="T1517">
        <v>40.03</v>
      </c>
      <c r="U1517">
        <v>24.08</v>
      </c>
      <c r="V1517" t="str">
        <f>VLOOKUP(L1517,'[2]tabela de preços'!$A:$D,4,0)</f>
        <v>BRASILUX</v>
      </c>
      <c r="W1517" t="str">
        <f>VLOOKUP(L1517,'[2]tabela de preços'!$A:$F,6,0)</f>
        <v>ESMALTES</v>
      </c>
      <c r="X1517" t="str">
        <f>VLOOKUP(L1517,'[2]tabela de preços'!$A:$G,7,0)</f>
        <v>INDUSTRIAL</v>
      </c>
    </row>
    <row r="1518" spans="1:24" x14ac:dyDescent="0.3">
      <c r="A1518" t="s">
        <v>1561</v>
      </c>
      <c r="C1518" t="s">
        <v>1589</v>
      </c>
      <c r="D1518" s="1">
        <v>46043</v>
      </c>
      <c r="E1518" t="s">
        <v>1590</v>
      </c>
      <c r="F1518">
        <v>9</v>
      </c>
      <c r="G1518">
        <v>174</v>
      </c>
      <c r="H1518" t="str">
        <f>VLOOKUP(G1518,[1]OPERADORES!$A:$B,2,0)</f>
        <v>MIRIÃ LOBATO RODRIGUES</v>
      </c>
      <c r="I1518" t="s">
        <v>21</v>
      </c>
      <c r="J1518" t="s">
        <v>1564</v>
      </c>
      <c r="K1518" t="s">
        <v>1565</v>
      </c>
      <c r="L1518">
        <v>84420</v>
      </c>
      <c r="M1518" t="s">
        <v>353</v>
      </c>
      <c r="O1518" t="s">
        <v>11</v>
      </c>
      <c r="P1518">
        <v>5102</v>
      </c>
      <c r="Q1518">
        <v>2</v>
      </c>
      <c r="R1518">
        <v>20.34</v>
      </c>
      <c r="S1518">
        <v>40.68</v>
      </c>
      <c r="T1518">
        <v>30.88</v>
      </c>
      <c r="U1518">
        <v>24.09</v>
      </c>
      <c r="V1518" t="str">
        <f>VLOOKUP(L1518,'[2]tabela de preços'!$A:$D,4,0)</f>
        <v>ATLAS</v>
      </c>
      <c r="W1518" t="str">
        <f>VLOOKUP(L1518,'[2]tabela de preços'!$A:$F,6,0)</f>
        <v>ROLOS / TRINCHAS / PINCÉIS / ESPÁTULAS</v>
      </c>
      <c r="X1518" t="str">
        <f>VLOOKUP(L1518,'[2]tabela de preços'!$A:$G,7,0)</f>
        <v>IMOBILIÁRIO</v>
      </c>
    </row>
    <row r="1519" spans="1:24" x14ac:dyDescent="0.3">
      <c r="A1519" t="s">
        <v>1561</v>
      </c>
      <c r="C1519" t="s">
        <v>1589</v>
      </c>
      <c r="D1519" s="1">
        <v>46043</v>
      </c>
      <c r="E1519" t="s">
        <v>1590</v>
      </c>
      <c r="F1519">
        <v>9</v>
      </c>
      <c r="G1519">
        <v>174</v>
      </c>
      <c r="H1519" t="str">
        <f>VLOOKUP(G1519,[1]OPERADORES!$A:$B,2,0)</f>
        <v>MIRIÃ LOBATO RODRIGUES</v>
      </c>
      <c r="I1519" t="s">
        <v>21</v>
      </c>
      <c r="J1519" t="s">
        <v>1564</v>
      </c>
      <c r="K1519" t="s">
        <v>1565</v>
      </c>
      <c r="L1519">
        <v>10298</v>
      </c>
      <c r="M1519" t="s">
        <v>85</v>
      </c>
      <c r="O1519" t="s">
        <v>11</v>
      </c>
      <c r="P1519">
        <v>5102</v>
      </c>
      <c r="Q1519">
        <v>3</v>
      </c>
      <c r="R1519">
        <v>56.89</v>
      </c>
      <c r="S1519">
        <v>170.67</v>
      </c>
      <c r="T1519">
        <v>142.13999999999999</v>
      </c>
      <c r="U1519">
        <v>16.72</v>
      </c>
      <c r="V1519" t="str">
        <f>VLOOKUP(L1519,'[2]tabela de preços'!$A:$D,4,0)</f>
        <v>ANJO</v>
      </c>
      <c r="W1519" t="str">
        <f>VLOOKUP(L1519,'[2]tabela de preços'!$A:$F,6,0)</f>
        <v>THINNER DE LIMPEZA</v>
      </c>
      <c r="X1519" t="str">
        <f>VLOOKUP(L1519,'[2]tabela de preços'!$A:$G,7,0)</f>
        <v>THINNER</v>
      </c>
    </row>
    <row r="1520" spans="1:24" x14ac:dyDescent="0.3">
      <c r="A1520" t="s">
        <v>1561</v>
      </c>
      <c r="C1520" t="s">
        <v>1592</v>
      </c>
      <c r="D1520" s="1">
        <v>46043</v>
      </c>
      <c r="E1520" t="s">
        <v>1593</v>
      </c>
      <c r="F1520">
        <v>9</v>
      </c>
      <c r="G1520">
        <v>174</v>
      </c>
      <c r="H1520" t="str">
        <f>VLOOKUP(G1520,[1]OPERADORES!$A:$B,2,0)</f>
        <v>MIRIÃ LOBATO RODRIGUES</v>
      </c>
      <c r="I1520" t="s">
        <v>21</v>
      </c>
      <c r="J1520" t="s">
        <v>1564</v>
      </c>
      <c r="K1520" t="s">
        <v>1565</v>
      </c>
      <c r="L1520">
        <v>84142</v>
      </c>
      <c r="M1520" t="s">
        <v>1594</v>
      </c>
      <c r="O1520" t="s">
        <v>11</v>
      </c>
      <c r="P1520">
        <v>5403</v>
      </c>
      <c r="Q1520">
        <v>5</v>
      </c>
      <c r="R1520">
        <v>74.94</v>
      </c>
      <c r="S1520">
        <v>374.7</v>
      </c>
      <c r="T1520">
        <v>284.39999999999998</v>
      </c>
      <c r="U1520">
        <v>24.1</v>
      </c>
      <c r="V1520" t="str">
        <f>VLOOKUP(L1520,'[2]tabela de preços'!$A:$D,4,0)</f>
        <v>BRASILUX</v>
      </c>
      <c r="W1520" t="str">
        <f>VLOOKUP(L1520,'[2]tabela de preços'!$A:$F,6,0)</f>
        <v>ESMALTES</v>
      </c>
      <c r="X1520" t="str">
        <f>VLOOKUP(L1520,'[2]tabela de preços'!$A:$G,7,0)</f>
        <v>INDUSTRIAL</v>
      </c>
    </row>
    <row r="1521" spans="1:24" x14ac:dyDescent="0.3">
      <c r="A1521" t="s">
        <v>1688</v>
      </c>
      <c r="C1521" t="s">
        <v>1693</v>
      </c>
      <c r="D1521" s="1">
        <v>46043</v>
      </c>
      <c r="E1521" t="s">
        <v>1694</v>
      </c>
      <c r="F1521">
        <v>9</v>
      </c>
      <c r="G1521">
        <v>174</v>
      </c>
      <c r="H1521" t="str">
        <f>VLOOKUP(G1521,[1]OPERADORES!$A:$B,2,0)</f>
        <v>MIRIÃ LOBATO RODRIGUES</v>
      </c>
      <c r="I1521" t="s">
        <v>21</v>
      </c>
      <c r="J1521" t="s">
        <v>1691</v>
      </c>
      <c r="K1521" t="s">
        <v>1692</v>
      </c>
      <c r="L1521">
        <v>84388</v>
      </c>
      <c r="M1521" t="s">
        <v>1417</v>
      </c>
      <c r="O1521" t="s">
        <v>11</v>
      </c>
      <c r="P1521">
        <v>5403</v>
      </c>
      <c r="Q1521">
        <v>1</v>
      </c>
      <c r="R1521">
        <v>159.9</v>
      </c>
      <c r="S1521">
        <v>159.9</v>
      </c>
      <c r="T1521">
        <v>137.61000000000001</v>
      </c>
      <c r="U1521">
        <v>13.94</v>
      </c>
      <c r="V1521" t="str">
        <f>VLOOKUP(L1521,'[2]tabela de preços'!$A:$D,4,0)</f>
        <v>BRASILUX</v>
      </c>
      <c r="W1521" t="str">
        <f>VLOOKUP(L1521,'[2]tabela de preços'!$A:$F,6,0)</f>
        <v>TINTA PARA PISO</v>
      </c>
      <c r="X1521" t="str">
        <f>VLOOKUP(L1521,'[2]tabela de preços'!$A:$G,7,0)</f>
        <v>IMOBILIÁRIO</v>
      </c>
    </row>
    <row r="1522" spans="1:24" x14ac:dyDescent="0.3">
      <c r="A1522" t="s">
        <v>1688</v>
      </c>
      <c r="C1522" t="s">
        <v>1693</v>
      </c>
      <c r="D1522" s="1">
        <v>46043</v>
      </c>
      <c r="E1522" t="s">
        <v>1694</v>
      </c>
      <c r="F1522">
        <v>9</v>
      </c>
      <c r="G1522">
        <v>174</v>
      </c>
      <c r="H1522" t="str">
        <f>VLOOKUP(G1522,[1]OPERADORES!$A:$B,2,0)</f>
        <v>MIRIÃ LOBATO RODRIGUES</v>
      </c>
      <c r="I1522" t="s">
        <v>21</v>
      </c>
      <c r="J1522" t="s">
        <v>1691</v>
      </c>
      <c r="K1522" t="s">
        <v>1692</v>
      </c>
      <c r="L1522">
        <v>84437</v>
      </c>
      <c r="M1522" t="s">
        <v>1695</v>
      </c>
      <c r="O1522" t="s">
        <v>11</v>
      </c>
      <c r="P1522">
        <v>5102</v>
      </c>
      <c r="Q1522">
        <v>1</v>
      </c>
      <c r="R1522">
        <v>7.42</v>
      </c>
      <c r="S1522">
        <v>7.42</v>
      </c>
      <c r="T1522">
        <v>5.63</v>
      </c>
      <c r="U1522">
        <v>24.12</v>
      </c>
      <c r="V1522" t="str">
        <f>VLOOKUP(L1522,'[2]tabela de preços'!$A:$D,4,0)</f>
        <v>ATLAS</v>
      </c>
      <c r="W1522" t="str">
        <f>VLOOKUP(L1522,'[2]tabela de preços'!$A:$F,6,0)</f>
        <v>ROLOS / TRINCHAS / PINCÉIS / ESPÁTULAS</v>
      </c>
      <c r="X1522" t="str">
        <f>VLOOKUP(L1522,'[2]tabela de preços'!$A:$G,7,0)</f>
        <v>IMOBILIÁRIO</v>
      </c>
    </row>
    <row r="1523" spans="1:24" x14ac:dyDescent="0.3">
      <c r="A1523" t="s">
        <v>1688</v>
      </c>
      <c r="C1523" t="s">
        <v>1693</v>
      </c>
      <c r="D1523" s="1">
        <v>46043</v>
      </c>
      <c r="E1523" t="s">
        <v>1694</v>
      </c>
      <c r="F1523">
        <v>9</v>
      </c>
      <c r="G1523">
        <v>174</v>
      </c>
      <c r="H1523" t="str">
        <f>VLOOKUP(G1523,[1]OPERADORES!$A:$B,2,0)</f>
        <v>MIRIÃ LOBATO RODRIGUES</v>
      </c>
      <c r="I1523" t="s">
        <v>21</v>
      </c>
      <c r="J1523" t="s">
        <v>1691</v>
      </c>
      <c r="K1523" t="s">
        <v>1692</v>
      </c>
      <c r="L1523">
        <v>23580</v>
      </c>
      <c r="M1523" t="s">
        <v>115</v>
      </c>
      <c r="O1523" t="s">
        <v>11</v>
      </c>
      <c r="P1523">
        <v>5102</v>
      </c>
      <c r="Q1523">
        <v>10</v>
      </c>
      <c r="R1523">
        <v>0.56000000000000005</v>
      </c>
      <c r="S1523">
        <v>5.6</v>
      </c>
      <c r="T1523">
        <v>3.6</v>
      </c>
      <c r="U1523">
        <v>35.71</v>
      </c>
      <c r="V1523" t="str">
        <f>VLOOKUP(L1523,'[2]tabela de preços'!$A:$D,4,0)</f>
        <v>RENOVA COADORES</v>
      </c>
      <c r="W1523" t="str">
        <f>VLOOKUP(L1523,'[2]tabela de preços'!$A:$F,6,0)</f>
        <v>COADORES</v>
      </c>
      <c r="X1523" t="str">
        <f>VLOOKUP(L1523,'[2]tabela de preços'!$A:$G,7,0)</f>
        <v>AUTOMOTIVO</v>
      </c>
    </row>
    <row r="1524" spans="1:24" x14ac:dyDescent="0.3">
      <c r="A1524" t="s">
        <v>1688</v>
      </c>
      <c r="C1524" t="s">
        <v>1693</v>
      </c>
      <c r="D1524" s="1">
        <v>46043</v>
      </c>
      <c r="E1524" t="s">
        <v>1694</v>
      </c>
      <c r="F1524">
        <v>9</v>
      </c>
      <c r="G1524">
        <v>174</v>
      </c>
      <c r="H1524" t="str">
        <f>VLOOKUP(G1524,[1]OPERADORES!$A:$B,2,0)</f>
        <v>MIRIÃ LOBATO RODRIGUES</v>
      </c>
      <c r="I1524" t="s">
        <v>21</v>
      </c>
      <c r="J1524" t="s">
        <v>1691</v>
      </c>
      <c r="K1524" t="s">
        <v>1692</v>
      </c>
      <c r="L1524">
        <v>83825</v>
      </c>
      <c r="M1524" t="s">
        <v>332</v>
      </c>
      <c r="O1524" t="s">
        <v>11</v>
      </c>
      <c r="P1524">
        <v>5102</v>
      </c>
      <c r="Q1524">
        <v>10</v>
      </c>
      <c r="R1524">
        <v>2.75</v>
      </c>
      <c r="S1524">
        <v>27.5</v>
      </c>
      <c r="T1524">
        <v>20.2</v>
      </c>
      <c r="U1524">
        <v>26.55</v>
      </c>
      <c r="V1524" t="str">
        <f>VLOOKUP(L1524,'[2]tabela de preços'!$A:$D,4,0)</f>
        <v>NORTON</v>
      </c>
      <c r="W1524" t="str">
        <f>VLOOKUP(L1524,'[2]tabela de preços'!$A:$F,6,0)</f>
        <v xml:space="preserve">DISCOS / LIXAS / ABRASIVOS </v>
      </c>
      <c r="X1524" t="str">
        <f>VLOOKUP(L1524,'[2]tabela de preços'!$A:$G,7,0)</f>
        <v>AUTOMOTIVO</v>
      </c>
    </row>
    <row r="1525" spans="1:24" x14ac:dyDescent="0.3">
      <c r="A1525" t="s">
        <v>1688</v>
      </c>
      <c r="C1525" t="s">
        <v>1693</v>
      </c>
      <c r="D1525" s="1">
        <v>46043</v>
      </c>
      <c r="E1525" t="s">
        <v>1694</v>
      </c>
      <c r="F1525">
        <v>9</v>
      </c>
      <c r="G1525">
        <v>174</v>
      </c>
      <c r="H1525" t="str">
        <f>VLOOKUP(G1525,[1]OPERADORES!$A:$B,2,0)</f>
        <v>MIRIÃ LOBATO RODRIGUES</v>
      </c>
      <c r="I1525" t="s">
        <v>21</v>
      </c>
      <c r="J1525" t="s">
        <v>1691</v>
      </c>
      <c r="K1525" t="s">
        <v>1692</v>
      </c>
      <c r="L1525">
        <v>10230</v>
      </c>
      <c r="M1525" t="s">
        <v>193</v>
      </c>
      <c r="O1525" t="s">
        <v>11</v>
      </c>
      <c r="P1525">
        <v>5102</v>
      </c>
      <c r="Q1525">
        <v>50</v>
      </c>
      <c r="R1525">
        <v>2.79</v>
      </c>
      <c r="S1525">
        <v>139.5</v>
      </c>
      <c r="T1525">
        <v>116</v>
      </c>
      <c r="U1525">
        <v>16.850000000000001</v>
      </c>
      <c r="V1525" t="str">
        <f>VLOOKUP(L1525,'[2]tabela de preços'!$A:$D,4,0)</f>
        <v>NORTON</v>
      </c>
      <c r="W1525" t="str">
        <f>VLOOKUP(L1525,'[2]tabela de preços'!$A:$F,6,0)</f>
        <v xml:space="preserve">DISCOS / LIXAS / ABRASIVOS </v>
      </c>
      <c r="X1525" t="str">
        <f>VLOOKUP(L1525,'[2]tabela de preços'!$A:$G,7,0)</f>
        <v>AUTOMOTIVO</v>
      </c>
    </row>
    <row r="1526" spans="1:24" x14ac:dyDescent="0.3">
      <c r="A1526" t="s">
        <v>1688</v>
      </c>
      <c r="C1526" t="s">
        <v>1693</v>
      </c>
      <c r="D1526" s="1">
        <v>46043</v>
      </c>
      <c r="E1526" t="s">
        <v>1694</v>
      </c>
      <c r="F1526">
        <v>9</v>
      </c>
      <c r="G1526">
        <v>174</v>
      </c>
      <c r="H1526" t="str">
        <f>VLOOKUP(G1526,[1]OPERADORES!$A:$B,2,0)</f>
        <v>MIRIÃ LOBATO RODRIGUES</v>
      </c>
      <c r="I1526" t="s">
        <v>21</v>
      </c>
      <c r="J1526" t="s">
        <v>1691</v>
      </c>
      <c r="K1526" t="s">
        <v>1692</v>
      </c>
      <c r="L1526">
        <v>24248</v>
      </c>
      <c r="M1526" t="s">
        <v>107</v>
      </c>
      <c r="O1526" t="s">
        <v>11</v>
      </c>
      <c r="P1526">
        <v>5102</v>
      </c>
      <c r="Q1526">
        <v>12</v>
      </c>
      <c r="R1526">
        <v>8</v>
      </c>
      <c r="S1526">
        <v>96</v>
      </c>
      <c r="T1526">
        <v>78</v>
      </c>
      <c r="U1526">
        <v>18.75</v>
      </c>
      <c r="V1526" t="str">
        <f>VLOOKUP(L1526,'[2]tabela de preços'!$A:$D,4,0)</f>
        <v>SHERWIN WILLIAMS</v>
      </c>
      <c r="W1526" t="str">
        <f>VLOOKUP(L1526,'[2]tabela de preços'!$A:$F,6,0)</f>
        <v>PRIMER AUTOMOTIVO</v>
      </c>
      <c r="X1526" t="str">
        <f>VLOOKUP(L1526,'[2]tabela de preços'!$A:$G,7,0)</f>
        <v>AUTOMOTIVO</v>
      </c>
    </row>
    <row r="1527" spans="1:24" x14ac:dyDescent="0.3">
      <c r="A1527" t="s">
        <v>1688</v>
      </c>
      <c r="C1527" t="s">
        <v>1693</v>
      </c>
      <c r="D1527" s="1">
        <v>46043</v>
      </c>
      <c r="E1527" t="s">
        <v>1694</v>
      </c>
      <c r="F1527">
        <v>9</v>
      </c>
      <c r="G1527">
        <v>174</v>
      </c>
      <c r="H1527" t="str">
        <f>VLOOKUP(G1527,[1]OPERADORES!$A:$B,2,0)</f>
        <v>MIRIÃ LOBATO RODRIGUES</v>
      </c>
      <c r="I1527" t="s">
        <v>21</v>
      </c>
      <c r="J1527" t="s">
        <v>1691</v>
      </c>
      <c r="K1527" t="s">
        <v>1692</v>
      </c>
      <c r="L1527">
        <v>21037</v>
      </c>
      <c r="M1527" t="s">
        <v>108</v>
      </c>
      <c r="O1527" t="s">
        <v>11</v>
      </c>
      <c r="P1527">
        <v>5102</v>
      </c>
      <c r="Q1527">
        <v>6</v>
      </c>
      <c r="R1527">
        <v>17.03</v>
      </c>
      <c r="S1527">
        <v>102.18</v>
      </c>
      <c r="T1527">
        <v>77.52</v>
      </c>
      <c r="U1527">
        <v>24.13</v>
      </c>
      <c r="V1527" t="str">
        <f>VLOOKUP(L1527,'[2]tabela de preços'!$A:$D,4,0)</f>
        <v>SHERWIN WILLIAMS</v>
      </c>
      <c r="W1527" t="str">
        <f>VLOOKUP(L1527,'[2]tabela de preços'!$A:$F,6,0)</f>
        <v>CATALISADORES INDIVIDUAS</v>
      </c>
      <c r="X1527" t="str">
        <f>VLOOKUP(L1527,'[2]tabela de preços'!$A:$G,7,0)</f>
        <v>AUTOMOTIVO</v>
      </c>
    </row>
    <row r="1528" spans="1:24" x14ac:dyDescent="0.3">
      <c r="A1528" t="s">
        <v>1688</v>
      </c>
      <c r="C1528" t="s">
        <v>1693</v>
      </c>
      <c r="D1528" s="1">
        <v>46043</v>
      </c>
      <c r="E1528" t="s">
        <v>1694</v>
      </c>
      <c r="F1528">
        <v>9</v>
      </c>
      <c r="G1528">
        <v>174</v>
      </c>
      <c r="H1528" t="str">
        <f>VLOOKUP(G1528,[1]OPERADORES!$A:$B,2,0)</f>
        <v>MIRIÃ LOBATO RODRIGUES</v>
      </c>
      <c r="I1528" t="s">
        <v>21</v>
      </c>
      <c r="J1528" t="s">
        <v>1691</v>
      </c>
      <c r="K1528" t="s">
        <v>1692</v>
      </c>
      <c r="L1528">
        <v>20321</v>
      </c>
      <c r="M1528" t="s">
        <v>639</v>
      </c>
      <c r="O1528" t="s">
        <v>11</v>
      </c>
      <c r="P1528">
        <v>5403</v>
      </c>
      <c r="Q1528">
        <v>6</v>
      </c>
      <c r="R1528">
        <v>35.200000000000003</v>
      </c>
      <c r="S1528">
        <v>211.2</v>
      </c>
      <c r="T1528">
        <v>150.6</v>
      </c>
      <c r="U1528">
        <v>28.69</v>
      </c>
      <c r="V1528" t="str">
        <f>VLOOKUP(L1528,'[2]tabela de preços'!$A:$D,4,0)</f>
        <v>SHERWIN WILLIAMS</v>
      </c>
      <c r="W1528" t="str">
        <f>VLOOKUP(L1528,'[2]tabela de preços'!$A:$F,6,0)</f>
        <v>TINTAS POLIÉSTER</v>
      </c>
      <c r="X1528" t="str">
        <f>VLOOKUP(L1528,'[2]tabela de preços'!$A:$G,7,0)</f>
        <v>AUTOMOTIVO</v>
      </c>
    </row>
    <row r="1529" spans="1:24" x14ac:dyDescent="0.3">
      <c r="A1529" t="s">
        <v>1688</v>
      </c>
      <c r="C1529" t="s">
        <v>1693</v>
      </c>
      <c r="D1529" s="1">
        <v>46043</v>
      </c>
      <c r="E1529" t="s">
        <v>1694</v>
      </c>
      <c r="F1529">
        <v>9</v>
      </c>
      <c r="G1529">
        <v>174</v>
      </c>
      <c r="H1529" t="str">
        <f>VLOOKUP(G1529,[1]OPERADORES!$A:$B,2,0)</f>
        <v>MIRIÃ LOBATO RODRIGUES</v>
      </c>
      <c r="I1529" t="s">
        <v>21</v>
      </c>
      <c r="J1529" t="s">
        <v>1691</v>
      </c>
      <c r="K1529" t="s">
        <v>1692</v>
      </c>
      <c r="L1529">
        <v>21036</v>
      </c>
      <c r="M1529" t="s">
        <v>399</v>
      </c>
      <c r="O1529" t="s">
        <v>11</v>
      </c>
      <c r="P1529">
        <v>5403</v>
      </c>
      <c r="Q1529">
        <v>3</v>
      </c>
      <c r="R1529">
        <v>34.33</v>
      </c>
      <c r="S1529">
        <v>102.99</v>
      </c>
      <c r="T1529">
        <v>78.180000000000007</v>
      </c>
      <c r="U1529">
        <v>24.09</v>
      </c>
      <c r="V1529" t="str">
        <f>VLOOKUP(L1529,'[2]tabela de preços'!$A:$D,4,0)</f>
        <v>SHERWIN WILLIAMS</v>
      </c>
      <c r="W1529" t="str">
        <f>VLOOKUP(L1529,'[2]tabela de preços'!$A:$F,6,0)</f>
        <v>TINTAS PU</v>
      </c>
      <c r="X1529" t="str">
        <f>VLOOKUP(L1529,'[2]tabela de preços'!$A:$G,7,0)</f>
        <v>AUTOMOTIVO</v>
      </c>
    </row>
    <row r="1530" spans="1:24" x14ac:dyDescent="0.3">
      <c r="A1530" t="s">
        <v>1688</v>
      </c>
      <c r="C1530" t="s">
        <v>1693</v>
      </c>
      <c r="D1530" s="1">
        <v>46043</v>
      </c>
      <c r="E1530" t="s">
        <v>1694</v>
      </c>
      <c r="F1530">
        <v>9</v>
      </c>
      <c r="G1530">
        <v>174</v>
      </c>
      <c r="H1530" t="str">
        <f>VLOOKUP(G1530,[1]OPERADORES!$A:$B,2,0)</f>
        <v>MIRIÃ LOBATO RODRIGUES</v>
      </c>
      <c r="I1530" t="s">
        <v>21</v>
      </c>
      <c r="J1530" t="s">
        <v>1691</v>
      </c>
      <c r="K1530" t="s">
        <v>1692</v>
      </c>
      <c r="L1530">
        <v>24247</v>
      </c>
      <c r="M1530" t="s">
        <v>160</v>
      </c>
      <c r="O1530" t="s">
        <v>11</v>
      </c>
      <c r="P1530">
        <v>5403</v>
      </c>
      <c r="Q1530">
        <v>12</v>
      </c>
      <c r="R1530">
        <v>21</v>
      </c>
      <c r="S1530">
        <v>252</v>
      </c>
      <c r="T1530">
        <v>202.44</v>
      </c>
      <c r="U1530">
        <v>19.670000000000002</v>
      </c>
      <c r="V1530" t="str">
        <f>VLOOKUP(L1530,'[2]tabela de preços'!$A:$D,4,0)</f>
        <v>SHERWIN WILLIAMS</v>
      </c>
      <c r="W1530" t="str">
        <f>VLOOKUP(L1530,'[2]tabela de preços'!$A:$F,6,0)</f>
        <v>PRIMER AUTOMOTIVO</v>
      </c>
      <c r="X1530" t="str">
        <f>VLOOKUP(L1530,'[2]tabela de preços'!$A:$G,7,0)</f>
        <v>AUTOMOTIVO</v>
      </c>
    </row>
    <row r="1531" spans="1:24" x14ac:dyDescent="0.3">
      <c r="A1531" t="s">
        <v>1688</v>
      </c>
      <c r="C1531" t="s">
        <v>1693</v>
      </c>
      <c r="D1531" s="1">
        <v>46043</v>
      </c>
      <c r="E1531" t="s">
        <v>1694</v>
      </c>
      <c r="F1531">
        <v>9</v>
      </c>
      <c r="G1531">
        <v>174</v>
      </c>
      <c r="H1531" t="str">
        <f>VLOOKUP(G1531,[1]OPERADORES!$A:$B,2,0)</f>
        <v>MIRIÃ LOBATO RODRIGUES</v>
      </c>
      <c r="I1531" t="s">
        <v>21</v>
      </c>
      <c r="J1531" t="s">
        <v>1691</v>
      </c>
      <c r="K1531" t="s">
        <v>1692</v>
      </c>
      <c r="L1531">
        <v>86939</v>
      </c>
      <c r="M1531" t="s">
        <v>346</v>
      </c>
      <c r="O1531" t="s">
        <v>11</v>
      </c>
      <c r="P1531">
        <v>5102</v>
      </c>
      <c r="Q1531">
        <v>1</v>
      </c>
      <c r="R1531">
        <v>52.92</v>
      </c>
      <c r="S1531">
        <v>52.92</v>
      </c>
      <c r="T1531">
        <v>40.17</v>
      </c>
      <c r="U1531">
        <v>24.09</v>
      </c>
      <c r="V1531" t="str">
        <f>VLOOKUP(L1531,'[2]tabela de preços'!$A:$D,4,0)</f>
        <v>ATLAS</v>
      </c>
      <c r="W1531" t="str">
        <f>VLOOKUP(L1531,'[2]tabela de preços'!$A:$F,6,0)</f>
        <v>ROLOS / TRINCHAS / PINCÉIS / ESPÁTULAS</v>
      </c>
      <c r="X1531" t="str">
        <f>VLOOKUP(L1531,'[2]tabela de preços'!$A:$G,7,0)</f>
        <v>IMOBILIÁRIO</v>
      </c>
    </row>
    <row r="1532" spans="1:24" x14ac:dyDescent="0.3">
      <c r="A1532" t="s">
        <v>1688</v>
      </c>
      <c r="C1532" t="s">
        <v>1693</v>
      </c>
      <c r="D1532" s="1">
        <v>46043</v>
      </c>
      <c r="E1532" t="s">
        <v>1694</v>
      </c>
      <c r="F1532">
        <v>9</v>
      </c>
      <c r="G1532">
        <v>174</v>
      </c>
      <c r="H1532" t="str">
        <f>VLOOKUP(G1532,[1]OPERADORES!$A:$B,2,0)</f>
        <v>MIRIÃ LOBATO RODRIGUES</v>
      </c>
      <c r="I1532" t="s">
        <v>21</v>
      </c>
      <c r="J1532" t="s">
        <v>1691</v>
      </c>
      <c r="K1532" t="s">
        <v>1692</v>
      </c>
      <c r="L1532">
        <v>21067</v>
      </c>
      <c r="M1532" t="s">
        <v>640</v>
      </c>
      <c r="O1532" t="s">
        <v>11</v>
      </c>
      <c r="P1532">
        <v>5102</v>
      </c>
      <c r="Q1532">
        <v>1</v>
      </c>
      <c r="R1532">
        <v>36.07</v>
      </c>
      <c r="S1532">
        <v>36.07</v>
      </c>
      <c r="T1532">
        <v>27.38</v>
      </c>
      <c r="U1532">
        <v>24.09</v>
      </c>
      <c r="V1532" t="str">
        <f>VLOOKUP(L1532,'[2]tabela de preços'!$A:$D,4,0)</f>
        <v>SIKKENS</v>
      </c>
      <c r="W1532" t="str">
        <f>VLOOKUP(L1532,'[2]tabela de preços'!$A:$F,6,0)</f>
        <v>DILUENTE</v>
      </c>
      <c r="X1532" t="str">
        <f>VLOOKUP(L1532,'[2]tabela de preços'!$A:$G,7,0)</f>
        <v>AUTOMOTIVO</v>
      </c>
    </row>
    <row r="1533" spans="1:24" x14ac:dyDescent="0.3">
      <c r="A1533" t="s">
        <v>1688</v>
      </c>
      <c r="C1533" t="s">
        <v>1696</v>
      </c>
      <c r="D1533" s="1">
        <v>46043</v>
      </c>
      <c r="E1533" t="s">
        <v>1697</v>
      </c>
      <c r="F1533">
        <v>9</v>
      </c>
      <c r="G1533">
        <v>174</v>
      </c>
      <c r="H1533" t="str">
        <f>VLOOKUP(G1533,[1]OPERADORES!$A:$B,2,0)</f>
        <v>MIRIÃ LOBATO RODRIGUES</v>
      </c>
      <c r="I1533" t="s">
        <v>21</v>
      </c>
      <c r="J1533" t="s">
        <v>1691</v>
      </c>
      <c r="K1533" t="s">
        <v>1692</v>
      </c>
      <c r="L1533">
        <v>20431</v>
      </c>
      <c r="M1533" t="s">
        <v>202</v>
      </c>
      <c r="O1533" t="s">
        <v>11</v>
      </c>
      <c r="P1533">
        <v>5403</v>
      </c>
      <c r="Q1533">
        <v>6</v>
      </c>
      <c r="R1533">
        <v>36.89</v>
      </c>
      <c r="S1533">
        <v>221.34</v>
      </c>
      <c r="T1533">
        <v>181.56</v>
      </c>
      <c r="U1533">
        <v>17.97</v>
      </c>
      <c r="V1533" t="str">
        <f>VLOOKUP(L1533,'[2]tabela de preços'!$A:$D,4,0)</f>
        <v>SHERWIN WILLIAMS</v>
      </c>
      <c r="W1533" t="str">
        <f>VLOOKUP(L1533,'[2]tabela de preços'!$A:$F,6,0)</f>
        <v>VERNIZ AUTOMOTIVO</v>
      </c>
      <c r="X1533" t="str">
        <f>VLOOKUP(L1533,'[2]tabela de preços'!$A:$G,7,0)</f>
        <v>AUTOMOTIVO</v>
      </c>
    </row>
    <row r="1534" spans="1:24" x14ac:dyDescent="0.3">
      <c r="A1534" t="s">
        <v>1739</v>
      </c>
      <c r="C1534" t="s">
        <v>1745</v>
      </c>
      <c r="D1534" s="1">
        <v>46043</v>
      </c>
      <c r="E1534" t="s">
        <v>1746</v>
      </c>
      <c r="F1534">
        <v>9</v>
      </c>
      <c r="G1534">
        <v>174</v>
      </c>
      <c r="H1534" t="str">
        <f>VLOOKUP(G1534,[1]OPERADORES!$A:$B,2,0)</f>
        <v>MIRIÃ LOBATO RODRIGUES</v>
      </c>
      <c r="I1534" t="s">
        <v>21</v>
      </c>
      <c r="J1534" t="s">
        <v>66</v>
      </c>
      <c r="K1534" t="s">
        <v>1742</v>
      </c>
      <c r="L1534">
        <v>10298</v>
      </c>
      <c r="M1534" t="s">
        <v>85</v>
      </c>
      <c r="O1534" t="s">
        <v>11</v>
      </c>
      <c r="P1534">
        <v>5102</v>
      </c>
      <c r="Q1534">
        <v>24</v>
      </c>
      <c r="R1534">
        <v>54.9</v>
      </c>
      <c r="S1534" s="2">
        <v>1317.6</v>
      </c>
      <c r="T1534" s="2">
        <v>1137.1199999999999</v>
      </c>
      <c r="U1534">
        <v>13.7</v>
      </c>
      <c r="V1534" t="str">
        <f>VLOOKUP(L1534,'[2]tabela de preços'!$A:$D,4,0)</f>
        <v>ANJO</v>
      </c>
      <c r="W1534" t="str">
        <f>VLOOKUP(L1534,'[2]tabela de preços'!$A:$F,6,0)</f>
        <v>THINNER DE LIMPEZA</v>
      </c>
      <c r="X1534" t="str">
        <f>VLOOKUP(L1534,'[2]tabela de preços'!$A:$G,7,0)</f>
        <v>THINNER</v>
      </c>
    </row>
    <row r="1535" spans="1:24" x14ac:dyDescent="0.3">
      <c r="A1535" t="s">
        <v>1770</v>
      </c>
      <c r="C1535" t="s">
        <v>1771</v>
      </c>
      <c r="D1535" s="1">
        <v>46043</v>
      </c>
      <c r="E1535" t="s">
        <v>1772</v>
      </c>
      <c r="F1535">
        <v>9</v>
      </c>
      <c r="G1535">
        <v>174</v>
      </c>
      <c r="H1535" t="str">
        <f>VLOOKUP(G1535,[1]OPERADORES!$A:$B,2,0)</f>
        <v>MIRIÃ LOBATO RODRIGUES</v>
      </c>
      <c r="I1535" t="s">
        <v>21</v>
      </c>
      <c r="J1535" t="s">
        <v>211</v>
      </c>
      <c r="K1535" t="s">
        <v>1773</v>
      </c>
      <c r="L1535">
        <v>86995</v>
      </c>
      <c r="M1535" t="s">
        <v>37</v>
      </c>
      <c r="O1535" t="s">
        <v>11</v>
      </c>
      <c r="P1535">
        <v>5102</v>
      </c>
      <c r="Q1535">
        <v>40</v>
      </c>
      <c r="R1535">
        <v>7.29</v>
      </c>
      <c r="S1535">
        <v>291.60000000000002</v>
      </c>
      <c r="T1535">
        <v>233.2</v>
      </c>
      <c r="U1535">
        <v>20.03</v>
      </c>
      <c r="V1535" t="str">
        <f>VLOOKUP(L1535,'[2]tabela de preços'!$A:$D,4,0)</f>
        <v>AUTOAMERICA</v>
      </c>
      <c r="W1535" t="str">
        <f>VLOOKUP(L1535,'[2]tabela de preços'!$A:$F,6,0)</f>
        <v>FLANELAS / PANOS</v>
      </c>
      <c r="X1535" t="str">
        <f>VLOOKUP(L1535,'[2]tabela de preços'!$A:$G,7,0)</f>
        <v>AUTOMOTIVO</v>
      </c>
    </row>
    <row r="1536" spans="1:24" x14ac:dyDescent="0.3">
      <c r="A1536" t="s">
        <v>1770</v>
      </c>
      <c r="C1536" t="s">
        <v>1771</v>
      </c>
      <c r="D1536" s="1">
        <v>46043</v>
      </c>
      <c r="E1536" t="s">
        <v>1772</v>
      </c>
      <c r="F1536">
        <v>9</v>
      </c>
      <c r="G1536">
        <v>174</v>
      </c>
      <c r="H1536" t="str">
        <f>VLOOKUP(G1536,[1]OPERADORES!$A:$B,2,0)</f>
        <v>MIRIÃ LOBATO RODRIGUES</v>
      </c>
      <c r="I1536" t="s">
        <v>21</v>
      </c>
      <c r="J1536" t="s">
        <v>211</v>
      </c>
      <c r="K1536" t="s">
        <v>1773</v>
      </c>
      <c r="L1536">
        <v>22180</v>
      </c>
      <c r="M1536" t="s">
        <v>404</v>
      </c>
      <c r="O1536" t="s">
        <v>11</v>
      </c>
      <c r="P1536">
        <v>5102</v>
      </c>
      <c r="Q1536">
        <v>10</v>
      </c>
      <c r="R1536">
        <v>21</v>
      </c>
      <c r="S1536">
        <v>210</v>
      </c>
      <c r="T1536">
        <v>146.4</v>
      </c>
      <c r="U1536">
        <v>30.29</v>
      </c>
      <c r="V1536" t="str">
        <f>VLOOKUP(L1536,'[2]tabela de preços'!$A:$D,4,0)</f>
        <v>MADRUGA</v>
      </c>
      <c r="W1536" t="str">
        <f>VLOOKUP(L1536,'[2]tabela de preços'!$A:$F,6,0)</f>
        <v>PAPEL DE MASCARAMENTO</v>
      </c>
      <c r="X1536" t="str">
        <f>VLOOKUP(L1536,'[2]tabela de preços'!$A:$G,7,0)</f>
        <v>AUTOMOTIVO</v>
      </c>
    </row>
    <row r="1537" spans="1:24" x14ac:dyDescent="0.3">
      <c r="A1537" t="s">
        <v>1770</v>
      </c>
      <c r="C1537" t="s">
        <v>1771</v>
      </c>
      <c r="D1537" s="1">
        <v>46043</v>
      </c>
      <c r="E1537" t="s">
        <v>1772</v>
      </c>
      <c r="F1537">
        <v>9</v>
      </c>
      <c r="G1537">
        <v>174</v>
      </c>
      <c r="H1537" t="str">
        <f>VLOOKUP(G1537,[1]OPERADORES!$A:$B,2,0)</f>
        <v>MIRIÃ LOBATO RODRIGUES</v>
      </c>
      <c r="I1537" t="s">
        <v>21</v>
      </c>
      <c r="J1537" t="s">
        <v>211</v>
      </c>
      <c r="K1537" t="s">
        <v>1773</v>
      </c>
      <c r="L1537">
        <v>20231</v>
      </c>
      <c r="M1537" t="s">
        <v>185</v>
      </c>
      <c r="O1537" t="s">
        <v>11</v>
      </c>
      <c r="P1537">
        <v>5405</v>
      </c>
      <c r="Q1537">
        <v>3</v>
      </c>
      <c r="R1537">
        <v>120.25</v>
      </c>
      <c r="S1537">
        <v>360.75</v>
      </c>
      <c r="T1537">
        <v>273.81</v>
      </c>
      <c r="U1537">
        <v>24.1</v>
      </c>
      <c r="V1537" t="str">
        <f>VLOOKUP(L1537,'[2]tabela de preços'!$A:$D,4,0)</f>
        <v>3M</v>
      </c>
      <c r="W1537" t="str">
        <f>VLOOKUP(L1537,'[2]tabela de preços'!$A:$F,6,0)</f>
        <v>PRIMER AUTOMOTIVO</v>
      </c>
      <c r="X1537" t="str">
        <f>VLOOKUP(L1537,'[2]tabela de preços'!$A:$G,7,0)</f>
        <v>AUTOMOTIVO</v>
      </c>
    </row>
    <row r="1538" spans="1:24" x14ac:dyDescent="0.3">
      <c r="A1538" t="s">
        <v>1785</v>
      </c>
      <c r="C1538" t="s">
        <v>1786</v>
      </c>
      <c r="D1538" s="1">
        <v>46043</v>
      </c>
      <c r="E1538" t="s">
        <v>1787</v>
      </c>
      <c r="F1538">
        <v>9</v>
      </c>
      <c r="G1538">
        <v>174</v>
      </c>
      <c r="H1538" t="str">
        <f>VLOOKUP(G1538,[1]OPERADORES!$A:$B,2,0)</f>
        <v>MIRIÃ LOBATO RODRIGUES</v>
      </c>
      <c r="I1538" t="s">
        <v>21</v>
      </c>
      <c r="J1538" t="s">
        <v>1788</v>
      </c>
      <c r="K1538" t="s">
        <v>1789</v>
      </c>
      <c r="L1538">
        <v>20135</v>
      </c>
      <c r="M1538" t="s">
        <v>459</v>
      </c>
      <c r="O1538" t="s">
        <v>11</v>
      </c>
      <c r="P1538">
        <v>5102</v>
      </c>
      <c r="Q1538">
        <v>5</v>
      </c>
      <c r="R1538">
        <v>25.37</v>
      </c>
      <c r="S1538">
        <v>126.85</v>
      </c>
      <c r="T1538">
        <v>96.3</v>
      </c>
      <c r="U1538">
        <v>24.08</v>
      </c>
      <c r="V1538" t="str">
        <f>VLOOKUP(L1538,'[2]tabela de preços'!$A:$D,4,0)</f>
        <v>3M</v>
      </c>
      <c r="W1538" t="str">
        <f>VLOOKUP(L1538,'[2]tabela de preços'!$A:$F,6,0)</f>
        <v>DISCO TRIZACT</v>
      </c>
      <c r="X1538" t="str">
        <f>VLOOKUP(L1538,'[2]tabela de preços'!$A:$G,7,0)</f>
        <v>AUTOMOTIVO</v>
      </c>
    </row>
    <row r="1539" spans="1:24" x14ac:dyDescent="0.3">
      <c r="A1539" t="s">
        <v>1785</v>
      </c>
      <c r="C1539" t="s">
        <v>1786</v>
      </c>
      <c r="D1539" s="1">
        <v>46043</v>
      </c>
      <c r="E1539" t="s">
        <v>1787</v>
      </c>
      <c r="F1539">
        <v>9</v>
      </c>
      <c r="G1539">
        <v>174</v>
      </c>
      <c r="H1539" t="str">
        <f>VLOOKUP(G1539,[1]OPERADORES!$A:$B,2,0)</f>
        <v>MIRIÃ LOBATO RODRIGUES</v>
      </c>
      <c r="I1539" t="s">
        <v>21</v>
      </c>
      <c r="J1539" t="s">
        <v>1788</v>
      </c>
      <c r="K1539" t="s">
        <v>1789</v>
      </c>
      <c r="L1539">
        <v>13</v>
      </c>
      <c r="M1539" t="s">
        <v>152</v>
      </c>
      <c r="O1539" t="s">
        <v>11</v>
      </c>
      <c r="P1539">
        <v>5102</v>
      </c>
      <c r="Q1539">
        <v>100</v>
      </c>
      <c r="R1539">
        <v>5.79</v>
      </c>
      <c r="S1539">
        <v>579</v>
      </c>
      <c r="T1539">
        <v>416</v>
      </c>
      <c r="U1539">
        <v>28.15</v>
      </c>
      <c r="V1539" t="str">
        <f>VLOOKUP(L1539,'[2]tabela de preços'!$A:$D,4,0)</f>
        <v>3M</v>
      </c>
      <c r="W1539" t="str">
        <f>VLOOKUP(L1539,'[2]tabela de preços'!$A:$F,6,0)</f>
        <v>LIXA DÁGUA</v>
      </c>
      <c r="X1539" t="str">
        <f>VLOOKUP(L1539,'[2]tabela de preços'!$A:$G,7,0)</f>
        <v>AUTOMOTIVO</v>
      </c>
    </row>
    <row r="1540" spans="1:24" x14ac:dyDescent="0.3">
      <c r="A1540" t="s">
        <v>1785</v>
      </c>
      <c r="C1540" t="s">
        <v>1786</v>
      </c>
      <c r="D1540" s="1">
        <v>46043</v>
      </c>
      <c r="E1540" t="s">
        <v>1787</v>
      </c>
      <c r="F1540">
        <v>9</v>
      </c>
      <c r="G1540">
        <v>174</v>
      </c>
      <c r="H1540" t="str">
        <f>VLOOKUP(G1540,[1]OPERADORES!$A:$B,2,0)</f>
        <v>MIRIÃ LOBATO RODRIGUES</v>
      </c>
      <c r="I1540" t="s">
        <v>21</v>
      </c>
      <c r="J1540" t="s">
        <v>1788</v>
      </c>
      <c r="K1540" t="s">
        <v>1789</v>
      </c>
      <c r="L1540">
        <v>15</v>
      </c>
      <c r="M1540" t="s">
        <v>205</v>
      </c>
      <c r="O1540" t="s">
        <v>11</v>
      </c>
      <c r="P1540">
        <v>5102</v>
      </c>
      <c r="Q1540">
        <v>50</v>
      </c>
      <c r="R1540">
        <v>5.79</v>
      </c>
      <c r="S1540">
        <v>289.5</v>
      </c>
      <c r="T1540">
        <v>208</v>
      </c>
      <c r="U1540">
        <v>28.15</v>
      </c>
      <c r="V1540" t="str">
        <f>VLOOKUP(L1540,'[2]tabela de preços'!$A:$D,4,0)</f>
        <v>3M</v>
      </c>
      <c r="W1540" t="str">
        <f>VLOOKUP(L1540,'[2]tabela de preços'!$A:$F,6,0)</f>
        <v>LIXA DÁGUA</v>
      </c>
      <c r="X1540" t="str">
        <f>VLOOKUP(L1540,'[2]tabela de preços'!$A:$G,7,0)</f>
        <v>AUTOMOTIVO</v>
      </c>
    </row>
    <row r="1541" spans="1:24" x14ac:dyDescent="0.3">
      <c r="A1541" t="s">
        <v>1785</v>
      </c>
      <c r="C1541" t="s">
        <v>1786</v>
      </c>
      <c r="D1541" s="1">
        <v>46043</v>
      </c>
      <c r="E1541" t="s">
        <v>1787</v>
      </c>
      <c r="F1541">
        <v>9</v>
      </c>
      <c r="G1541">
        <v>174</v>
      </c>
      <c r="H1541" t="str">
        <f>VLOOKUP(G1541,[1]OPERADORES!$A:$B,2,0)</f>
        <v>MIRIÃ LOBATO RODRIGUES</v>
      </c>
      <c r="I1541" t="s">
        <v>21</v>
      </c>
      <c r="J1541" t="s">
        <v>1788</v>
      </c>
      <c r="K1541" t="s">
        <v>1789</v>
      </c>
      <c r="L1541">
        <v>16</v>
      </c>
      <c r="M1541" t="s">
        <v>122</v>
      </c>
      <c r="O1541" t="s">
        <v>11</v>
      </c>
      <c r="P1541">
        <v>5102</v>
      </c>
      <c r="Q1541">
        <v>50</v>
      </c>
      <c r="R1541">
        <v>2.9</v>
      </c>
      <c r="S1541">
        <v>145</v>
      </c>
      <c r="T1541">
        <v>110</v>
      </c>
      <c r="U1541">
        <v>24.14</v>
      </c>
      <c r="V1541" t="str">
        <f>VLOOKUP(L1541,'[2]tabela de preços'!$A:$D,4,0)</f>
        <v>3M</v>
      </c>
      <c r="W1541" t="str">
        <f>VLOOKUP(L1541,'[2]tabela de preços'!$A:$F,6,0)</f>
        <v>LIXA DÁGUA</v>
      </c>
      <c r="X1541" t="str">
        <f>VLOOKUP(L1541,'[2]tabela de preços'!$A:$G,7,0)</f>
        <v>AUTOMOTIVO</v>
      </c>
    </row>
    <row r="1542" spans="1:24" x14ac:dyDescent="0.3">
      <c r="A1542" t="s">
        <v>1785</v>
      </c>
      <c r="C1542" t="s">
        <v>1786</v>
      </c>
      <c r="D1542" s="1">
        <v>46043</v>
      </c>
      <c r="E1542" t="s">
        <v>1787</v>
      </c>
      <c r="F1542">
        <v>9</v>
      </c>
      <c r="G1542">
        <v>174</v>
      </c>
      <c r="H1542" t="str">
        <f>VLOOKUP(G1542,[1]OPERADORES!$A:$B,2,0)</f>
        <v>MIRIÃ LOBATO RODRIGUES</v>
      </c>
      <c r="I1542" t="s">
        <v>21</v>
      </c>
      <c r="J1542" t="s">
        <v>1788</v>
      </c>
      <c r="K1542" t="s">
        <v>1789</v>
      </c>
      <c r="L1542">
        <v>20817</v>
      </c>
      <c r="M1542" t="s">
        <v>153</v>
      </c>
      <c r="O1542" t="s">
        <v>11</v>
      </c>
      <c r="P1542">
        <v>5102</v>
      </c>
      <c r="Q1542">
        <v>2</v>
      </c>
      <c r="R1542">
        <v>22.89</v>
      </c>
      <c r="S1542">
        <v>45.78</v>
      </c>
      <c r="T1542">
        <v>37.24</v>
      </c>
      <c r="U1542">
        <v>18.649999999999999</v>
      </c>
      <c r="V1542" t="str">
        <f>VLOOKUP(L1542,'[2]tabela de preços'!$A:$D,4,0)</f>
        <v>AUTO AMERICA</v>
      </c>
      <c r="W1542" t="str">
        <f>VLOOKUP(L1542,'[2]tabela de preços'!$A:$F,6,0)</f>
        <v>MASSA DE POLIR</v>
      </c>
      <c r="X1542" t="str">
        <f>VLOOKUP(L1542,'[2]tabela de preços'!$A:$G,7,0)</f>
        <v>AUTOMOTIVO</v>
      </c>
    </row>
    <row r="1543" spans="1:24" x14ac:dyDescent="0.3">
      <c r="A1543" t="s">
        <v>1785</v>
      </c>
      <c r="C1543" t="s">
        <v>1786</v>
      </c>
      <c r="D1543" s="1">
        <v>46043</v>
      </c>
      <c r="E1543" t="s">
        <v>1787</v>
      </c>
      <c r="F1543">
        <v>9</v>
      </c>
      <c r="G1543">
        <v>174</v>
      </c>
      <c r="H1543" t="str">
        <f>VLOOKUP(G1543,[1]OPERADORES!$A:$B,2,0)</f>
        <v>MIRIÃ LOBATO RODRIGUES</v>
      </c>
      <c r="I1543" t="s">
        <v>21</v>
      </c>
      <c r="J1543" t="s">
        <v>1788</v>
      </c>
      <c r="K1543" t="s">
        <v>1789</v>
      </c>
      <c r="L1543">
        <v>10297</v>
      </c>
      <c r="M1543" t="s">
        <v>41</v>
      </c>
      <c r="O1543" t="s">
        <v>11</v>
      </c>
      <c r="P1543">
        <v>5102</v>
      </c>
      <c r="Q1543">
        <v>36</v>
      </c>
      <c r="R1543">
        <v>10.49</v>
      </c>
      <c r="S1543">
        <v>377.64</v>
      </c>
      <c r="T1543">
        <v>330.12</v>
      </c>
      <c r="U1543">
        <v>12.58</v>
      </c>
      <c r="V1543" t="str">
        <f>VLOOKUP(L1543,'[2]tabela de preços'!$A:$D,4,0)</f>
        <v>ANJO</v>
      </c>
      <c r="W1543" t="str">
        <f>VLOOKUP(L1543,'[2]tabela de preços'!$A:$F,6,0)</f>
        <v>THINNER DE LIMPEZA</v>
      </c>
      <c r="X1543" t="str">
        <f>VLOOKUP(L1543,'[2]tabela de preços'!$A:$G,7,0)</f>
        <v>THINNER</v>
      </c>
    </row>
    <row r="1544" spans="1:24" x14ac:dyDescent="0.3">
      <c r="A1544" t="s">
        <v>1807</v>
      </c>
      <c r="C1544" t="s">
        <v>1808</v>
      </c>
      <c r="D1544" s="1">
        <v>46043</v>
      </c>
      <c r="E1544" t="s">
        <v>1809</v>
      </c>
      <c r="F1544">
        <v>9</v>
      </c>
      <c r="G1544">
        <v>231</v>
      </c>
      <c r="H1544" t="str">
        <f>VLOOKUP(G1544,[1]OPERADORES!$A:$B,2,0)</f>
        <v>EDIJANE</v>
      </c>
      <c r="I1544" t="s">
        <v>21</v>
      </c>
      <c r="J1544" t="s">
        <v>531</v>
      </c>
      <c r="K1544" t="s">
        <v>1810</v>
      </c>
      <c r="L1544">
        <v>85401</v>
      </c>
      <c r="M1544" t="s">
        <v>261</v>
      </c>
      <c r="O1544" t="s">
        <v>11</v>
      </c>
      <c r="P1544">
        <v>5102</v>
      </c>
      <c r="Q1544">
        <v>1</v>
      </c>
      <c r="R1544">
        <v>633.42999999999995</v>
      </c>
      <c r="S1544">
        <v>633.42999999999995</v>
      </c>
      <c r="T1544">
        <v>451.64</v>
      </c>
      <c r="U1544">
        <v>28.7</v>
      </c>
      <c r="V1544" t="str">
        <f>VLOOKUP(L1544,'[2]tabela de preços'!$A:$D,4,0)</f>
        <v>BRASILUX</v>
      </c>
      <c r="W1544" t="str">
        <f>VLOOKUP(L1544,'[2]tabela de preços'!$A:$F,6,0)</f>
        <v>TINTA EM PÓ</v>
      </c>
      <c r="X1544" t="str">
        <f>VLOOKUP(L1544,'[2]tabela de preços'!$A:$G,7,0)</f>
        <v>INDUSTRIAL</v>
      </c>
    </row>
    <row r="1545" spans="1:24" x14ac:dyDescent="0.3">
      <c r="A1545" t="s">
        <v>1918</v>
      </c>
      <c r="C1545" t="s">
        <v>1919</v>
      </c>
      <c r="D1545" s="1">
        <v>46043</v>
      </c>
      <c r="E1545" t="s">
        <v>1920</v>
      </c>
      <c r="F1545">
        <v>9</v>
      </c>
      <c r="G1545">
        <v>174</v>
      </c>
      <c r="H1545" t="str">
        <f>VLOOKUP(G1545,[1]OPERADORES!$A:$B,2,0)</f>
        <v>MIRIÃ LOBATO RODRIGUES</v>
      </c>
      <c r="I1545" t="s">
        <v>21</v>
      </c>
      <c r="J1545" t="s">
        <v>1235</v>
      </c>
      <c r="K1545" t="s">
        <v>1921</v>
      </c>
      <c r="L1545">
        <v>84910</v>
      </c>
      <c r="M1545" t="s">
        <v>995</v>
      </c>
      <c r="O1545" t="s">
        <v>11</v>
      </c>
      <c r="P1545">
        <v>5403</v>
      </c>
      <c r="Q1545">
        <v>1</v>
      </c>
      <c r="R1545">
        <v>76.92</v>
      </c>
      <c r="S1545">
        <v>76.92</v>
      </c>
      <c r="T1545">
        <v>58.38</v>
      </c>
      <c r="U1545">
        <v>24.1</v>
      </c>
      <c r="V1545" t="str">
        <f>VLOOKUP(L1545,'[2]tabela de preços'!$A:$D,4,0)</f>
        <v>BRASILUX</v>
      </c>
      <c r="W1545" t="str">
        <f>VLOOKUP(L1545,'[2]tabela de preços'!$A:$F,6,0)</f>
        <v>ESMALTES</v>
      </c>
      <c r="X1545" t="str">
        <f>VLOOKUP(L1545,'[2]tabela de preços'!$A:$G,7,0)</f>
        <v>INDUSTRIAL</v>
      </c>
    </row>
    <row r="1546" spans="1:24" x14ac:dyDescent="0.3">
      <c r="A1546" t="s">
        <v>1918</v>
      </c>
      <c r="C1546" t="s">
        <v>1919</v>
      </c>
      <c r="D1546" s="1">
        <v>46043</v>
      </c>
      <c r="E1546" t="s">
        <v>1920</v>
      </c>
      <c r="F1546">
        <v>9</v>
      </c>
      <c r="G1546">
        <v>174</v>
      </c>
      <c r="H1546" t="str">
        <f>VLOOKUP(G1546,[1]OPERADORES!$A:$B,2,0)</f>
        <v>MIRIÃ LOBATO RODRIGUES</v>
      </c>
      <c r="I1546" t="s">
        <v>21</v>
      </c>
      <c r="J1546" t="s">
        <v>1235</v>
      </c>
      <c r="K1546" t="s">
        <v>1921</v>
      </c>
      <c r="L1546">
        <v>84134</v>
      </c>
      <c r="M1546" t="s">
        <v>589</v>
      </c>
      <c r="O1546" t="s">
        <v>11</v>
      </c>
      <c r="P1546">
        <v>5403</v>
      </c>
      <c r="Q1546">
        <v>1</v>
      </c>
      <c r="R1546">
        <v>7.55</v>
      </c>
      <c r="S1546">
        <v>7.55</v>
      </c>
      <c r="T1546">
        <v>5.73</v>
      </c>
      <c r="U1546">
        <v>24.11</v>
      </c>
      <c r="V1546" t="str">
        <f>VLOOKUP(L1546,'[2]tabela de preços'!$A:$D,4,0)</f>
        <v>BRASILUX</v>
      </c>
      <c r="W1546" t="str">
        <f>VLOOKUP(L1546,'[2]tabela de preços'!$A:$F,6,0)</f>
        <v>ESMALTES</v>
      </c>
      <c r="X1546" t="str">
        <f>VLOOKUP(L1546,'[2]tabela de preços'!$A:$G,7,0)</f>
        <v>INDUSTRIAL</v>
      </c>
    </row>
    <row r="1547" spans="1:24" x14ac:dyDescent="0.3">
      <c r="A1547" t="s">
        <v>1918</v>
      </c>
      <c r="C1547" t="s">
        <v>1919</v>
      </c>
      <c r="D1547" s="1">
        <v>46043</v>
      </c>
      <c r="E1547" t="s">
        <v>1920</v>
      </c>
      <c r="F1547">
        <v>9</v>
      </c>
      <c r="G1547">
        <v>174</v>
      </c>
      <c r="H1547" t="str">
        <f>VLOOKUP(G1547,[1]OPERADORES!$A:$B,2,0)</f>
        <v>MIRIÃ LOBATO RODRIGUES</v>
      </c>
      <c r="I1547" t="s">
        <v>21</v>
      </c>
      <c r="J1547" t="s">
        <v>1235</v>
      </c>
      <c r="K1547" t="s">
        <v>1921</v>
      </c>
      <c r="L1547">
        <v>84560</v>
      </c>
      <c r="M1547" t="s">
        <v>118</v>
      </c>
      <c r="O1547" t="s">
        <v>11</v>
      </c>
      <c r="P1547">
        <v>5102</v>
      </c>
      <c r="Q1547">
        <v>1</v>
      </c>
      <c r="R1547">
        <v>47.89</v>
      </c>
      <c r="S1547">
        <v>47.89</v>
      </c>
      <c r="T1547">
        <v>39.159999999999997</v>
      </c>
      <c r="U1547">
        <v>18.23</v>
      </c>
      <c r="V1547" t="str">
        <f>VLOOKUP(L1547,'[2]tabela de preços'!$A:$D,4,0)</f>
        <v>BRASILUX</v>
      </c>
      <c r="W1547" t="str">
        <f>VLOOKUP(L1547,'[2]tabela de preços'!$A:$F,6,0)</f>
        <v>THINNER DE LIMPEZA</v>
      </c>
      <c r="X1547" t="str">
        <f>VLOOKUP(L1547,'[2]tabela de preços'!$A:$G,7,0)</f>
        <v>THINNER</v>
      </c>
    </row>
    <row r="1548" spans="1:24" x14ac:dyDescent="0.3">
      <c r="A1548" t="s">
        <v>1941</v>
      </c>
      <c r="C1548" t="s">
        <v>1942</v>
      </c>
      <c r="D1548" s="1">
        <v>46043</v>
      </c>
      <c r="E1548" t="s">
        <v>1943</v>
      </c>
      <c r="F1548">
        <v>9</v>
      </c>
      <c r="G1548">
        <v>236</v>
      </c>
      <c r="H1548" t="str">
        <f>VLOOKUP(G1548,[1]OPERADORES!$A:$B,2,0)</f>
        <v>DANIEL</v>
      </c>
      <c r="I1548" t="s">
        <v>21</v>
      </c>
      <c r="J1548" t="s">
        <v>22</v>
      </c>
      <c r="K1548" t="s">
        <v>1944</v>
      </c>
      <c r="L1548">
        <v>86542</v>
      </c>
      <c r="M1548" t="s">
        <v>352</v>
      </c>
      <c r="O1548" t="s">
        <v>11</v>
      </c>
      <c r="P1548">
        <v>5102</v>
      </c>
      <c r="Q1548">
        <v>7</v>
      </c>
      <c r="R1548">
        <v>78.900000000000006</v>
      </c>
      <c r="S1548">
        <v>552.29999999999995</v>
      </c>
      <c r="T1548">
        <v>484.12</v>
      </c>
      <c r="U1548">
        <v>12.34</v>
      </c>
      <c r="V1548" t="str">
        <f>VLOOKUP(L1548,'[2]tabela de preços'!$A:$D,4,0)</f>
        <v>CORAL</v>
      </c>
      <c r="W1548" t="str">
        <f>VLOOKUP(L1548,'[2]tabela de preços'!$A:$F,6,0)</f>
        <v>MASSA CORRIDA / ACRÍLICA</v>
      </c>
      <c r="X1548" t="str">
        <f>VLOOKUP(L1548,'[2]tabela de preços'!$A:$G,7,0)</f>
        <v>IMOBILIÁRIO</v>
      </c>
    </row>
    <row r="1549" spans="1:24" x14ac:dyDescent="0.3">
      <c r="A1549" t="s">
        <v>1941</v>
      </c>
      <c r="C1549" t="s">
        <v>1942</v>
      </c>
      <c r="D1549" s="1">
        <v>46043</v>
      </c>
      <c r="E1549" t="s">
        <v>1943</v>
      </c>
      <c r="F1549">
        <v>9</v>
      </c>
      <c r="G1549">
        <v>236</v>
      </c>
      <c r="H1549" t="str">
        <f>VLOOKUP(G1549,[1]OPERADORES!$A:$B,2,0)</f>
        <v>DANIEL</v>
      </c>
      <c r="I1549" t="s">
        <v>21</v>
      </c>
      <c r="J1549" t="s">
        <v>22</v>
      </c>
      <c r="K1549" t="s">
        <v>1944</v>
      </c>
      <c r="L1549">
        <v>84928</v>
      </c>
      <c r="M1549" t="s">
        <v>36</v>
      </c>
      <c r="O1549" t="s">
        <v>11</v>
      </c>
      <c r="P1549">
        <v>5102</v>
      </c>
      <c r="Q1549">
        <v>10</v>
      </c>
      <c r="R1549">
        <v>9.39</v>
      </c>
      <c r="S1549">
        <v>93.9</v>
      </c>
      <c r="T1549">
        <v>71.3</v>
      </c>
      <c r="U1549">
        <v>24.07</v>
      </c>
      <c r="V1549" t="str">
        <f>VLOOKUP(L1549,'[2]tabela de preços'!$A:$D,4,0)</f>
        <v>ADERE</v>
      </c>
      <c r="W1549" t="str">
        <f>VLOOKUP(L1549,'[2]tabela de preços'!$A:$F,6,0)</f>
        <v xml:space="preserve">FITA DE USO GERAL </v>
      </c>
      <c r="X1549" t="str">
        <f>VLOOKUP(L1549,'[2]tabela de preços'!$A:$G,7,0)</f>
        <v>IMOBILIÁRIO</v>
      </c>
    </row>
    <row r="1550" spans="1:24" x14ac:dyDescent="0.3">
      <c r="A1550" t="s">
        <v>1941</v>
      </c>
      <c r="C1550" t="s">
        <v>1942</v>
      </c>
      <c r="D1550" s="1">
        <v>46043</v>
      </c>
      <c r="E1550" t="s">
        <v>1943</v>
      </c>
      <c r="F1550">
        <v>9</v>
      </c>
      <c r="G1550">
        <v>236</v>
      </c>
      <c r="H1550" t="str">
        <f>VLOOKUP(G1550,[1]OPERADORES!$A:$B,2,0)</f>
        <v>DANIEL</v>
      </c>
      <c r="I1550" t="s">
        <v>21</v>
      </c>
      <c r="J1550" t="s">
        <v>22</v>
      </c>
      <c r="K1550" t="s">
        <v>1944</v>
      </c>
      <c r="L1550">
        <v>84020</v>
      </c>
      <c r="M1550" t="s">
        <v>518</v>
      </c>
      <c r="O1550" t="s">
        <v>11</v>
      </c>
      <c r="P1550">
        <v>5102</v>
      </c>
      <c r="Q1550">
        <v>50</v>
      </c>
      <c r="R1550">
        <v>0.91</v>
      </c>
      <c r="S1550">
        <v>45.5</v>
      </c>
      <c r="T1550">
        <v>34.5</v>
      </c>
      <c r="U1550">
        <v>24.18</v>
      </c>
      <c r="V1550" t="str">
        <f>VLOOKUP(L1550,'[2]tabela de preços'!$A:$D,4,0)</f>
        <v>3M</v>
      </c>
      <c r="W1550" t="str">
        <f>VLOOKUP(L1550,'[2]tabela de preços'!$A:$F,6,0)</f>
        <v>LIXA MASSA  /MADEIRA / PAREDE</v>
      </c>
      <c r="X1550" t="str">
        <f>VLOOKUP(L1550,'[2]tabela de preços'!$A:$G,7,0)</f>
        <v>IMOBILIÁRIO</v>
      </c>
    </row>
    <row r="1551" spans="1:24" x14ac:dyDescent="0.3">
      <c r="A1551" t="s">
        <v>1941</v>
      </c>
      <c r="C1551" t="s">
        <v>1942</v>
      </c>
      <c r="D1551" s="1">
        <v>46043</v>
      </c>
      <c r="E1551" t="s">
        <v>1943</v>
      </c>
      <c r="F1551">
        <v>9</v>
      </c>
      <c r="G1551">
        <v>236</v>
      </c>
      <c r="H1551" t="str">
        <f>VLOOKUP(G1551,[1]OPERADORES!$A:$B,2,0)</f>
        <v>DANIEL</v>
      </c>
      <c r="I1551" t="s">
        <v>21</v>
      </c>
      <c r="J1551" t="s">
        <v>22</v>
      </c>
      <c r="K1551" t="s">
        <v>1944</v>
      </c>
      <c r="L1551">
        <v>84021</v>
      </c>
      <c r="M1551" t="s">
        <v>1945</v>
      </c>
      <c r="O1551" t="s">
        <v>11</v>
      </c>
      <c r="P1551">
        <v>5102</v>
      </c>
      <c r="Q1551">
        <v>50</v>
      </c>
      <c r="R1551">
        <v>0.6</v>
      </c>
      <c r="S1551">
        <v>30</v>
      </c>
      <c r="T1551">
        <v>23</v>
      </c>
      <c r="U1551">
        <v>23.33</v>
      </c>
      <c r="V1551" t="str">
        <f>VLOOKUP(L1551,'[2]tabela de preços'!$A:$D,4,0)</f>
        <v>3M</v>
      </c>
      <c r="W1551" t="str">
        <f>VLOOKUP(L1551,'[2]tabela de preços'!$A:$F,6,0)</f>
        <v>LIXA MASSA  /MADEIRA / PAREDE</v>
      </c>
      <c r="X1551" t="str">
        <f>VLOOKUP(L1551,'[2]tabela de preços'!$A:$G,7,0)</f>
        <v>IMOBILIÁRIO</v>
      </c>
    </row>
    <row r="1552" spans="1:24" x14ac:dyDescent="0.3">
      <c r="A1552" t="s">
        <v>1941</v>
      </c>
      <c r="C1552" t="s">
        <v>1942</v>
      </c>
      <c r="D1552" s="1">
        <v>46043</v>
      </c>
      <c r="E1552" t="s">
        <v>1943</v>
      </c>
      <c r="F1552">
        <v>9</v>
      </c>
      <c r="G1552">
        <v>236</v>
      </c>
      <c r="H1552" t="str">
        <f>VLOOKUP(G1552,[1]OPERADORES!$A:$B,2,0)</f>
        <v>DANIEL</v>
      </c>
      <c r="I1552" t="s">
        <v>21</v>
      </c>
      <c r="J1552" t="s">
        <v>22</v>
      </c>
      <c r="K1552" t="s">
        <v>1944</v>
      </c>
      <c r="L1552">
        <v>85698</v>
      </c>
      <c r="M1552" t="s">
        <v>1946</v>
      </c>
      <c r="O1552" t="s">
        <v>11</v>
      </c>
      <c r="P1552">
        <v>5102</v>
      </c>
      <c r="Q1552">
        <v>5</v>
      </c>
      <c r="R1552">
        <v>129.9</v>
      </c>
      <c r="S1552">
        <v>649.5</v>
      </c>
      <c r="T1552">
        <v>519.29999999999995</v>
      </c>
      <c r="U1552">
        <v>20.05</v>
      </c>
      <c r="V1552" t="str">
        <f>VLOOKUP(L1552,'[2]tabela de preços'!$A:$D,4,0)</f>
        <v>SIMAPPEL</v>
      </c>
      <c r="W1552" t="str">
        <f>VLOOKUP(L1552,'[2]tabela de preços'!$A:$F,6,0)</f>
        <v>PAPELAO ONDULADO</v>
      </c>
      <c r="X1552" t="str">
        <f>VLOOKUP(L1552,'[2]tabela de preços'!$A:$G,7,0)</f>
        <v>IMOBILIÁRIO</v>
      </c>
    </row>
    <row r="1553" spans="1:24" x14ac:dyDescent="0.3">
      <c r="A1553" t="s">
        <v>2001</v>
      </c>
      <c r="C1553" t="s">
        <v>2007</v>
      </c>
      <c r="D1553" s="1">
        <v>46043</v>
      </c>
      <c r="E1553" t="s">
        <v>2008</v>
      </c>
      <c r="F1553">
        <v>9</v>
      </c>
      <c r="G1553">
        <v>230</v>
      </c>
      <c r="H1553" t="str">
        <f>VLOOKUP(G1553,[1]OPERADORES!$A:$B,2,0)</f>
        <v>SÔNIA</v>
      </c>
      <c r="I1553" t="s">
        <v>21</v>
      </c>
      <c r="J1553" t="s">
        <v>1427</v>
      </c>
      <c r="K1553" t="s">
        <v>2009</v>
      </c>
      <c r="L1553">
        <v>84113</v>
      </c>
      <c r="M1553" t="s">
        <v>737</v>
      </c>
      <c r="O1553" t="s">
        <v>11</v>
      </c>
      <c r="P1553">
        <v>5403</v>
      </c>
      <c r="Q1553">
        <v>1</v>
      </c>
      <c r="R1553">
        <v>153.99</v>
      </c>
      <c r="S1553">
        <v>153.99</v>
      </c>
      <c r="T1553">
        <v>116.88</v>
      </c>
      <c r="U1553">
        <v>24.1</v>
      </c>
      <c r="V1553" t="str">
        <f>VLOOKUP(L1553,'[2]tabela de preços'!$A:$D,4,0)</f>
        <v>BRASILUX</v>
      </c>
      <c r="W1553" t="str">
        <f>VLOOKUP(L1553,'[2]tabela de preços'!$A:$F,6,0)</f>
        <v>EPOXI</v>
      </c>
      <c r="X1553" t="str">
        <f>VLOOKUP(L1553,'[2]tabela de preços'!$A:$G,7,0)</f>
        <v>INDUSTRIAL</v>
      </c>
    </row>
    <row r="1554" spans="1:24" x14ac:dyDescent="0.3">
      <c r="A1554" t="s">
        <v>2080</v>
      </c>
      <c r="B1554" t="s">
        <v>2081</v>
      </c>
      <c r="C1554" t="s">
        <v>2085</v>
      </c>
      <c r="D1554" s="1">
        <v>46043</v>
      </c>
      <c r="E1554" t="s">
        <v>2086</v>
      </c>
      <c r="F1554">
        <v>9</v>
      </c>
      <c r="G1554">
        <v>197</v>
      </c>
      <c r="H1554" t="str">
        <f>VLOOKUP(G1554,[1]OPERADORES!$A:$B,2,0)</f>
        <v xml:space="preserve">POLIANA LORRANE DE AMORIM </v>
      </c>
      <c r="I1554" t="s">
        <v>21</v>
      </c>
      <c r="J1554" t="s">
        <v>614</v>
      </c>
      <c r="K1554" t="s">
        <v>2084</v>
      </c>
      <c r="L1554">
        <v>21078</v>
      </c>
      <c r="M1554" t="s">
        <v>141</v>
      </c>
      <c r="O1554" t="s">
        <v>11</v>
      </c>
      <c r="P1554">
        <v>5102</v>
      </c>
      <c r="Q1554">
        <v>12</v>
      </c>
      <c r="R1554">
        <v>22.89</v>
      </c>
      <c r="S1554">
        <v>274.68</v>
      </c>
      <c r="T1554">
        <v>223.92</v>
      </c>
      <c r="U1554">
        <v>18.48</v>
      </c>
      <c r="V1554" t="str">
        <f>VLOOKUP(L1554,'[2]tabela de preços'!$A:$D,4,0)</f>
        <v>SHERWIN WILLIAMS</v>
      </c>
      <c r="W1554" t="str">
        <f>VLOOKUP(L1554,'[2]tabela de preços'!$A:$F,6,0)</f>
        <v>MASSA POLIÉSTER</v>
      </c>
      <c r="X1554" t="str">
        <f>VLOOKUP(L1554,'[2]tabela de preços'!$A:$G,7,0)</f>
        <v>AUTOMOTIVO</v>
      </c>
    </row>
    <row r="1555" spans="1:24" x14ac:dyDescent="0.3">
      <c r="A1555" t="s">
        <v>2087</v>
      </c>
      <c r="C1555" t="s">
        <v>2093</v>
      </c>
      <c r="D1555" s="1">
        <v>46043</v>
      </c>
      <c r="E1555" t="s">
        <v>2094</v>
      </c>
      <c r="F1555">
        <v>9</v>
      </c>
      <c r="G1555">
        <v>231</v>
      </c>
      <c r="H1555" t="str">
        <f>VLOOKUP(G1555,[1]OPERADORES!$A:$B,2,0)</f>
        <v>EDIJANE</v>
      </c>
      <c r="I1555" t="s">
        <v>21</v>
      </c>
      <c r="J1555" t="s">
        <v>2090</v>
      </c>
      <c r="K1555" t="s">
        <v>2091</v>
      </c>
      <c r="L1555">
        <v>85692</v>
      </c>
      <c r="M1555" t="s">
        <v>969</v>
      </c>
      <c r="O1555" t="s">
        <v>11</v>
      </c>
      <c r="P1555">
        <v>5102</v>
      </c>
      <c r="Q1555">
        <v>12</v>
      </c>
      <c r="R1555">
        <v>7.89</v>
      </c>
      <c r="S1555">
        <v>94.68</v>
      </c>
      <c r="T1555">
        <v>78.12</v>
      </c>
      <c r="U1555">
        <v>17.489999999999998</v>
      </c>
      <c r="V1555" t="str">
        <f>VLOOKUP(L1555,'[2]tabela de preços'!$A:$D,4,0)</f>
        <v>UNIPEGA</v>
      </c>
      <c r="W1555" t="str">
        <f>VLOOKUP(L1555,'[2]tabela de preços'!$A:$F,6,0)</f>
        <v>PU 40</v>
      </c>
      <c r="X1555" t="str">
        <f>VLOOKUP(L1555,'[2]tabela de preços'!$A:$G,7,0)</f>
        <v>IMOBILIÁRIO</v>
      </c>
    </row>
    <row r="1556" spans="1:24" x14ac:dyDescent="0.3">
      <c r="A1556" t="s">
        <v>2087</v>
      </c>
      <c r="C1556" t="s">
        <v>2093</v>
      </c>
      <c r="D1556" s="1">
        <v>46043</v>
      </c>
      <c r="E1556" t="s">
        <v>2094</v>
      </c>
      <c r="F1556">
        <v>9</v>
      </c>
      <c r="G1556">
        <v>231</v>
      </c>
      <c r="H1556" t="str">
        <f>VLOOKUP(G1556,[1]OPERADORES!$A:$B,2,0)</f>
        <v>EDIJANE</v>
      </c>
      <c r="I1556" t="s">
        <v>21</v>
      </c>
      <c r="J1556" t="s">
        <v>2090</v>
      </c>
      <c r="K1556" t="s">
        <v>2091</v>
      </c>
      <c r="L1556">
        <v>85693</v>
      </c>
      <c r="M1556" t="s">
        <v>526</v>
      </c>
      <c r="O1556" t="s">
        <v>11</v>
      </c>
      <c r="P1556">
        <v>5102</v>
      </c>
      <c r="Q1556">
        <v>12</v>
      </c>
      <c r="R1556">
        <v>7.89</v>
      </c>
      <c r="S1556">
        <v>94.68</v>
      </c>
      <c r="T1556">
        <v>78.12</v>
      </c>
      <c r="U1556">
        <v>17.489999999999998</v>
      </c>
      <c r="V1556" t="str">
        <f>VLOOKUP(L1556,'[2]tabela de preços'!$A:$D,4,0)</f>
        <v>UNIPEGA</v>
      </c>
      <c r="W1556" t="str">
        <f>VLOOKUP(L1556,'[2]tabela de preços'!$A:$F,6,0)</f>
        <v>PU 40</v>
      </c>
      <c r="X1556" t="str">
        <f>VLOOKUP(L1556,'[2]tabela de preços'!$A:$G,7,0)</f>
        <v>IMOBILIÁRIO</v>
      </c>
    </row>
    <row r="1557" spans="1:24" x14ac:dyDescent="0.3">
      <c r="A1557" t="s">
        <v>2087</v>
      </c>
      <c r="C1557" t="s">
        <v>2093</v>
      </c>
      <c r="D1557" s="1">
        <v>46043</v>
      </c>
      <c r="E1557" t="s">
        <v>2094</v>
      </c>
      <c r="F1557">
        <v>9</v>
      </c>
      <c r="G1557">
        <v>231</v>
      </c>
      <c r="H1557" t="str">
        <f>VLOOKUP(G1557,[1]OPERADORES!$A:$B,2,0)</f>
        <v>EDIJANE</v>
      </c>
      <c r="I1557" t="s">
        <v>21</v>
      </c>
      <c r="J1557" t="s">
        <v>2090</v>
      </c>
      <c r="K1557" t="s">
        <v>2091</v>
      </c>
      <c r="L1557">
        <v>10232</v>
      </c>
      <c r="M1557" t="s">
        <v>134</v>
      </c>
      <c r="O1557" t="s">
        <v>11</v>
      </c>
      <c r="P1557">
        <v>5102</v>
      </c>
      <c r="Q1557">
        <v>50</v>
      </c>
      <c r="R1557">
        <v>2.79</v>
      </c>
      <c r="S1557">
        <v>139.5</v>
      </c>
      <c r="T1557">
        <v>112.5</v>
      </c>
      <c r="U1557">
        <v>19.350000000000001</v>
      </c>
      <c r="V1557" t="str">
        <f>VLOOKUP(L1557,'[2]tabela de preços'!$A:$D,4,0)</f>
        <v>NORTON</v>
      </c>
      <c r="W1557" t="str">
        <f>VLOOKUP(L1557,'[2]tabela de preços'!$A:$F,6,0)</f>
        <v xml:space="preserve">DISCOS / LIXAS / ABRASIVOS </v>
      </c>
      <c r="X1557" t="str">
        <f>VLOOKUP(L1557,'[2]tabela de preços'!$A:$G,7,0)</f>
        <v>AUTOMOTIVO</v>
      </c>
    </row>
    <row r="1558" spans="1:24" x14ac:dyDescent="0.3">
      <c r="A1558" t="s">
        <v>2087</v>
      </c>
      <c r="C1558" t="s">
        <v>2093</v>
      </c>
      <c r="D1558" s="1">
        <v>46043</v>
      </c>
      <c r="E1558" t="s">
        <v>2094</v>
      </c>
      <c r="F1558">
        <v>9</v>
      </c>
      <c r="G1558">
        <v>231</v>
      </c>
      <c r="H1558" t="str">
        <f>VLOOKUP(G1558,[1]OPERADORES!$A:$B,2,0)</f>
        <v>EDIJANE</v>
      </c>
      <c r="I1558" t="s">
        <v>21</v>
      </c>
      <c r="J1558" t="s">
        <v>2090</v>
      </c>
      <c r="K1558" t="s">
        <v>2091</v>
      </c>
      <c r="L1558">
        <v>24248</v>
      </c>
      <c r="M1558" t="s">
        <v>107</v>
      </c>
      <c r="O1558" t="s">
        <v>11</v>
      </c>
      <c r="P1558">
        <v>5102</v>
      </c>
      <c r="Q1558">
        <v>12</v>
      </c>
      <c r="R1558">
        <v>8</v>
      </c>
      <c r="S1558">
        <v>96</v>
      </c>
      <c r="T1558">
        <v>78</v>
      </c>
      <c r="U1558">
        <v>18.75</v>
      </c>
      <c r="V1558" t="str">
        <f>VLOOKUP(L1558,'[2]tabela de preços'!$A:$D,4,0)</f>
        <v>SHERWIN WILLIAMS</v>
      </c>
      <c r="W1558" t="str">
        <f>VLOOKUP(L1558,'[2]tabela de preços'!$A:$F,6,0)</f>
        <v>PRIMER AUTOMOTIVO</v>
      </c>
      <c r="X1558" t="str">
        <f>VLOOKUP(L1558,'[2]tabela de preços'!$A:$G,7,0)</f>
        <v>AUTOMOTIVO</v>
      </c>
    </row>
    <row r="1559" spans="1:24" x14ac:dyDescent="0.3">
      <c r="A1559" t="s">
        <v>2087</v>
      </c>
      <c r="C1559" t="s">
        <v>2093</v>
      </c>
      <c r="D1559" s="1">
        <v>46043</v>
      </c>
      <c r="E1559" t="s">
        <v>2094</v>
      </c>
      <c r="F1559">
        <v>9</v>
      </c>
      <c r="G1559">
        <v>231</v>
      </c>
      <c r="H1559" t="str">
        <f>VLOOKUP(G1559,[1]OPERADORES!$A:$B,2,0)</f>
        <v>EDIJANE</v>
      </c>
      <c r="I1559" t="s">
        <v>21</v>
      </c>
      <c r="J1559" t="s">
        <v>2090</v>
      </c>
      <c r="K1559" t="s">
        <v>2091</v>
      </c>
      <c r="L1559">
        <v>10277</v>
      </c>
      <c r="M1559" t="s">
        <v>135</v>
      </c>
      <c r="O1559" t="s">
        <v>11</v>
      </c>
      <c r="P1559">
        <v>5102</v>
      </c>
      <c r="Q1559">
        <v>10</v>
      </c>
      <c r="R1559">
        <v>15.89</v>
      </c>
      <c r="S1559">
        <v>158.9</v>
      </c>
      <c r="T1559">
        <v>128.80000000000001</v>
      </c>
      <c r="U1559">
        <v>18.940000000000001</v>
      </c>
      <c r="V1559" t="str">
        <f>VLOOKUP(L1559,'[2]tabela de preços'!$A:$D,4,0)</f>
        <v>RETOQUE</v>
      </c>
      <c r="W1559" t="str">
        <f>VLOOKUP(L1559,'[2]tabela de preços'!$A:$F,6,0)</f>
        <v xml:space="preserve">COLA  PLÁSTICA </v>
      </c>
      <c r="X1559" t="str">
        <f>VLOOKUP(L1559,'[2]tabela de preços'!$A:$G,7,0)</f>
        <v>AUTOMOTIVO</v>
      </c>
    </row>
    <row r="1560" spans="1:24" x14ac:dyDescent="0.3">
      <c r="A1560" t="s">
        <v>2087</v>
      </c>
      <c r="C1560" t="s">
        <v>2093</v>
      </c>
      <c r="D1560" s="1">
        <v>46043</v>
      </c>
      <c r="E1560" t="s">
        <v>2094</v>
      </c>
      <c r="F1560">
        <v>9</v>
      </c>
      <c r="G1560">
        <v>231</v>
      </c>
      <c r="H1560" t="str">
        <f>VLOOKUP(G1560,[1]OPERADORES!$A:$B,2,0)</f>
        <v>EDIJANE</v>
      </c>
      <c r="I1560" t="s">
        <v>21</v>
      </c>
      <c r="J1560" t="s">
        <v>2090</v>
      </c>
      <c r="K1560" t="s">
        <v>2091</v>
      </c>
      <c r="L1560">
        <v>20431</v>
      </c>
      <c r="M1560" t="s">
        <v>202</v>
      </c>
      <c r="O1560" t="s">
        <v>11</v>
      </c>
      <c r="P1560">
        <v>5403</v>
      </c>
      <c r="Q1560">
        <v>9</v>
      </c>
      <c r="R1560">
        <v>36.89</v>
      </c>
      <c r="S1560">
        <v>332.01</v>
      </c>
      <c r="T1560">
        <v>272.33999999999997</v>
      </c>
      <c r="U1560">
        <v>17.97</v>
      </c>
      <c r="V1560" t="str">
        <f>VLOOKUP(L1560,'[2]tabela de preços'!$A:$D,4,0)</f>
        <v>SHERWIN WILLIAMS</v>
      </c>
      <c r="W1560" t="str">
        <f>VLOOKUP(L1560,'[2]tabela de preços'!$A:$F,6,0)</f>
        <v>VERNIZ AUTOMOTIVO</v>
      </c>
      <c r="X1560" t="str">
        <f>VLOOKUP(L1560,'[2]tabela de preços'!$A:$G,7,0)</f>
        <v>AUTOMOTIVO</v>
      </c>
    </row>
    <row r="1561" spans="1:24" x14ac:dyDescent="0.3">
      <c r="A1561" t="s">
        <v>2087</v>
      </c>
      <c r="C1561" t="s">
        <v>2093</v>
      </c>
      <c r="D1561" s="1">
        <v>46043</v>
      </c>
      <c r="E1561" t="s">
        <v>2094</v>
      </c>
      <c r="F1561">
        <v>9</v>
      </c>
      <c r="G1561">
        <v>231</v>
      </c>
      <c r="H1561" t="str">
        <f>VLOOKUP(G1561,[1]OPERADORES!$A:$B,2,0)</f>
        <v>EDIJANE</v>
      </c>
      <c r="I1561" t="s">
        <v>21</v>
      </c>
      <c r="J1561" t="s">
        <v>2090</v>
      </c>
      <c r="K1561" t="s">
        <v>2091</v>
      </c>
      <c r="L1561">
        <v>10242</v>
      </c>
      <c r="M1561" t="s">
        <v>82</v>
      </c>
      <c r="O1561" t="s">
        <v>11</v>
      </c>
      <c r="P1561">
        <v>5102</v>
      </c>
      <c r="Q1561">
        <v>50</v>
      </c>
      <c r="R1561">
        <v>2.79</v>
      </c>
      <c r="S1561">
        <v>139.5</v>
      </c>
      <c r="T1561">
        <v>112</v>
      </c>
      <c r="U1561">
        <v>19.71</v>
      </c>
      <c r="V1561" t="str">
        <f>VLOOKUP(L1561,'[2]tabela de preços'!$A:$D,4,0)</f>
        <v>NORTON</v>
      </c>
      <c r="W1561" t="str">
        <f>VLOOKUP(L1561,'[2]tabela de preços'!$A:$F,6,0)</f>
        <v xml:space="preserve">DISCOS / LIXAS / ABRASIVOS </v>
      </c>
      <c r="X1561" t="str">
        <f>VLOOKUP(L1561,'[2]tabela de preços'!$A:$G,7,0)</f>
        <v>AUTOMOTIVO</v>
      </c>
    </row>
    <row r="1562" spans="1:24" x14ac:dyDescent="0.3">
      <c r="A1562" t="s">
        <v>2087</v>
      </c>
      <c r="C1562" t="s">
        <v>2093</v>
      </c>
      <c r="D1562" s="1">
        <v>46043</v>
      </c>
      <c r="E1562" t="s">
        <v>2094</v>
      </c>
      <c r="F1562">
        <v>9</v>
      </c>
      <c r="G1562">
        <v>231</v>
      </c>
      <c r="H1562" t="str">
        <f>VLOOKUP(G1562,[1]OPERADORES!$A:$B,2,0)</f>
        <v>EDIJANE</v>
      </c>
      <c r="I1562" t="s">
        <v>21</v>
      </c>
      <c r="J1562" t="s">
        <v>2090</v>
      </c>
      <c r="K1562" t="s">
        <v>2091</v>
      </c>
      <c r="L1562">
        <v>86984</v>
      </c>
      <c r="M1562" t="s">
        <v>720</v>
      </c>
      <c r="O1562" t="s">
        <v>11</v>
      </c>
      <c r="P1562">
        <v>5102</v>
      </c>
      <c r="Q1562">
        <v>2</v>
      </c>
      <c r="R1562">
        <v>44.9</v>
      </c>
      <c r="S1562">
        <v>89.8</v>
      </c>
      <c r="T1562">
        <v>74.42</v>
      </c>
      <c r="U1562">
        <v>17.13</v>
      </c>
      <c r="V1562" t="str">
        <f>VLOOKUP(L1562,'[2]tabela de preços'!$A:$D,4,0)</f>
        <v>ARPREX</v>
      </c>
      <c r="W1562" t="str">
        <f>VLOOKUP(L1562,'[2]tabela de preços'!$A:$F,6,0)</f>
        <v>PISTOLAS</v>
      </c>
      <c r="X1562" t="str">
        <f>VLOOKUP(L1562,'[2]tabela de preços'!$A:$G,7,0)</f>
        <v>IMOBILIÁRIO</v>
      </c>
    </row>
    <row r="1563" spans="1:24" x14ac:dyDescent="0.3">
      <c r="A1563" t="s">
        <v>2087</v>
      </c>
      <c r="C1563" t="s">
        <v>2093</v>
      </c>
      <c r="D1563" s="1">
        <v>46043</v>
      </c>
      <c r="E1563" t="s">
        <v>2094</v>
      </c>
      <c r="F1563">
        <v>9</v>
      </c>
      <c r="G1563">
        <v>231</v>
      </c>
      <c r="H1563" t="str">
        <f>VLOOKUP(G1563,[1]OPERADORES!$A:$B,2,0)</f>
        <v>EDIJANE</v>
      </c>
      <c r="I1563" t="s">
        <v>21</v>
      </c>
      <c r="J1563" t="s">
        <v>2090</v>
      </c>
      <c r="K1563" t="s">
        <v>2091</v>
      </c>
      <c r="L1563">
        <v>24247</v>
      </c>
      <c r="M1563" t="s">
        <v>160</v>
      </c>
      <c r="O1563" t="s">
        <v>11</v>
      </c>
      <c r="P1563">
        <v>5403</v>
      </c>
      <c r="Q1563">
        <v>12</v>
      </c>
      <c r="R1563">
        <v>21</v>
      </c>
      <c r="S1563">
        <v>252</v>
      </c>
      <c r="T1563">
        <v>202.44</v>
      </c>
      <c r="U1563">
        <v>19.670000000000002</v>
      </c>
      <c r="V1563" t="str">
        <f>VLOOKUP(L1563,'[2]tabela de preços'!$A:$D,4,0)</f>
        <v>SHERWIN WILLIAMS</v>
      </c>
      <c r="W1563" t="str">
        <f>VLOOKUP(L1563,'[2]tabela de preços'!$A:$F,6,0)</f>
        <v>PRIMER AUTOMOTIVO</v>
      </c>
      <c r="X1563" t="str">
        <f>VLOOKUP(L1563,'[2]tabela de preços'!$A:$G,7,0)</f>
        <v>AUTOMOTIVO</v>
      </c>
    </row>
    <row r="1564" spans="1:24" x14ac:dyDescent="0.3">
      <c r="A1564" t="s">
        <v>2164</v>
      </c>
      <c r="C1564" t="s">
        <v>2165</v>
      </c>
      <c r="D1564" s="1">
        <v>46043</v>
      </c>
      <c r="E1564" t="s">
        <v>2166</v>
      </c>
      <c r="F1564">
        <v>9</v>
      </c>
      <c r="G1564">
        <v>236</v>
      </c>
      <c r="H1564" t="str">
        <f>VLOOKUP(G1564,[1]OPERADORES!$A:$B,2,0)</f>
        <v>DANIEL</v>
      </c>
      <c r="I1564" t="s">
        <v>21</v>
      </c>
      <c r="J1564" t="s">
        <v>2167</v>
      </c>
      <c r="K1564" t="s">
        <v>2168</v>
      </c>
      <c r="L1564">
        <v>85401</v>
      </c>
      <c r="M1564" t="s">
        <v>261</v>
      </c>
      <c r="O1564" t="s">
        <v>11</v>
      </c>
      <c r="P1564">
        <v>5102</v>
      </c>
      <c r="Q1564">
        <v>1</v>
      </c>
      <c r="R1564">
        <v>655.78</v>
      </c>
      <c r="S1564">
        <v>655.78</v>
      </c>
      <c r="T1564">
        <v>451.64</v>
      </c>
      <c r="U1564">
        <v>31.13</v>
      </c>
      <c r="V1564" t="str">
        <f>VLOOKUP(L1564,'[2]tabela de preços'!$A:$D,4,0)</f>
        <v>BRASILUX</v>
      </c>
      <c r="W1564" t="str">
        <f>VLOOKUP(L1564,'[2]tabela de preços'!$A:$F,6,0)</f>
        <v>TINTA EM PÓ</v>
      </c>
      <c r="X1564" t="str">
        <f>VLOOKUP(L1564,'[2]tabela de preços'!$A:$G,7,0)</f>
        <v>INDUSTRIAL</v>
      </c>
    </row>
    <row r="1565" spans="1:24" x14ac:dyDescent="0.3">
      <c r="A1565" t="s">
        <v>2213</v>
      </c>
      <c r="C1565" t="s">
        <v>2214</v>
      </c>
      <c r="D1565" s="1">
        <v>46043</v>
      </c>
      <c r="E1565" t="s">
        <v>2215</v>
      </c>
      <c r="F1565">
        <v>9</v>
      </c>
      <c r="G1565">
        <v>236</v>
      </c>
      <c r="H1565" t="str">
        <f>VLOOKUP(G1565,[1]OPERADORES!$A:$B,2,0)</f>
        <v>DANIEL</v>
      </c>
      <c r="I1565" t="s">
        <v>21</v>
      </c>
      <c r="J1565" t="s">
        <v>1816</v>
      </c>
      <c r="K1565" t="s">
        <v>2216</v>
      </c>
      <c r="L1565">
        <v>5</v>
      </c>
      <c r="M1565" t="s">
        <v>147</v>
      </c>
      <c r="O1565" t="s">
        <v>11</v>
      </c>
      <c r="P1565">
        <v>5102</v>
      </c>
      <c r="Q1565">
        <v>5</v>
      </c>
      <c r="R1565">
        <v>6.06</v>
      </c>
      <c r="S1565">
        <v>30.3</v>
      </c>
      <c r="T1565">
        <v>19.55</v>
      </c>
      <c r="U1565">
        <v>35.479999999999997</v>
      </c>
      <c r="V1565" t="str">
        <f>VLOOKUP(L1565,'[2]tabela de preços'!$A:$D,4,0)</f>
        <v>BRILHO ESTOPA</v>
      </c>
      <c r="W1565" t="str">
        <f>VLOOKUP(L1565,'[2]tabela de preços'!$A:$F,6,0)</f>
        <v>ESTOPAS</v>
      </c>
      <c r="X1565" t="str">
        <f>VLOOKUP(L1565,'[2]tabela de preços'!$A:$G,7,0)</f>
        <v>AUTOMOTIVO</v>
      </c>
    </row>
    <row r="1566" spans="1:24" x14ac:dyDescent="0.3">
      <c r="A1566" t="s">
        <v>2213</v>
      </c>
      <c r="C1566" t="s">
        <v>2214</v>
      </c>
      <c r="D1566" s="1">
        <v>46043</v>
      </c>
      <c r="E1566" t="s">
        <v>2215</v>
      </c>
      <c r="F1566">
        <v>9</v>
      </c>
      <c r="G1566">
        <v>236</v>
      </c>
      <c r="H1566" t="str">
        <f>VLOOKUP(G1566,[1]OPERADORES!$A:$B,2,0)</f>
        <v>DANIEL</v>
      </c>
      <c r="I1566" t="s">
        <v>21</v>
      </c>
      <c r="J1566" t="s">
        <v>1816</v>
      </c>
      <c r="K1566" t="s">
        <v>2216</v>
      </c>
      <c r="L1566">
        <v>24241</v>
      </c>
      <c r="M1566" t="s">
        <v>233</v>
      </c>
      <c r="O1566" t="s">
        <v>11</v>
      </c>
      <c r="P1566">
        <v>5102</v>
      </c>
      <c r="Q1566">
        <v>15</v>
      </c>
      <c r="R1566">
        <v>12.2</v>
      </c>
      <c r="S1566">
        <v>183</v>
      </c>
      <c r="T1566">
        <v>138.9</v>
      </c>
      <c r="U1566">
        <v>24.1</v>
      </c>
      <c r="V1566" t="str">
        <f>VLOOKUP(L1566,'[2]tabela de preços'!$A:$D,4,0)</f>
        <v>ADERE</v>
      </c>
      <c r="W1566" t="str">
        <f>VLOOKUP(L1566,'[2]tabela de preços'!$A:$F,6,0)</f>
        <v>FITA AUTOMOTIVA</v>
      </c>
      <c r="X1566" t="str">
        <f>VLOOKUP(L1566,'[2]tabela de preços'!$A:$G,7,0)</f>
        <v>AUTOMOTIVO</v>
      </c>
    </row>
    <row r="1567" spans="1:24" x14ac:dyDescent="0.3">
      <c r="A1567" t="s">
        <v>2213</v>
      </c>
      <c r="C1567" t="s">
        <v>2214</v>
      </c>
      <c r="D1567" s="1">
        <v>46043</v>
      </c>
      <c r="E1567" t="s">
        <v>2215</v>
      </c>
      <c r="F1567">
        <v>9</v>
      </c>
      <c r="G1567">
        <v>236</v>
      </c>
      <c r="H1567" t="str">
        <f>VLOOKUP(G1567,[1]OPERADORES!$A:$B,2,0)</f>
        <v>DANIEL</v>
      </c>
      <c r="I1567" t="s">
        <v>21</v>
      </c>
      <c r="J1567" t="s">
        <v>1816</v>
      </c>
      <c r="K1567" t="s">
        <v>2216</v>
      </c>
      <c r="L1567">
        <v>10298</v>
      </c>
      <c r="M1567" t="s">
        <v>85</v>
      </c>
      <c r="O1567" t="s">
        <v>11</v>
      </c>
      <c r="P1567">
        <v>5102</v>
      </c>
      <c r="Q1567">
        <v>1</v>
      </c>
      <c r="R1567">
        <v>56.89</v>
      </c>
      <c r="S1567">
        <v>56.89</v>
      </c>
      <c r="T1567">
        <v>47.38</v>
      </c>
      <c r="U1567">
        <v>16.72</v>
      </c>
      <c r="V1567" t="str">
        <f>VLOOKUP(L1567,'[2]tabela de preços'!$A:$D,4,0)</f>
        <v>ANJO</v>
      </c>
      <c r="W1567" t="str">
        <f>VLOOKUP(L1567,'[2]tabela de preços'!$A:$F,6,0)</f>
        <v>THINNER DE LIMPEZA</v>
      </c>
      <c r="X1567" t="str">
        <f>VLOOKUP(L1567,'[2]tabela de preços'!$A:$G,7,0)</f>
        <v>THINNER</v>
      </c>
    </row>
    <row r="1568" spans="1:24" x14ac:dyDescent="0.3">
      <c r="A1568" t="s">
        <v>2333</v>
      </c>
      <c r="B1568" t="s">
        <v>2334</v>
      </c>
      <c r="C1568" t="s">
        <v>2352</v>
      </c>
      <c r="D1568" s="1">
        <v>46043</v>
      </c>
      <c r="E1568" t="s">
        <v>2353</v>
      </c>
      <c r="F1568">
        <v>9</v>
      </c>
      <c r="G1568">
        <v>174</v>
      </c>
      <c r="H1568" t="str">
        <f>VLOOKUP(G1568,[1]OPERADORES!$A:$B,2,0)</f>
        <v>MIRIÃ LOBATO RODRIGUES</v>
      </c>
      <c r="I1568" t="s">
        <v>126</v>
      </c>
      <c r="J1568" t="s">
        <v>2337</v>
      </c>
      <c r="K1568" t="s">
        <v>2338</v>
      </c>
      <c r="L1568">
        <v>84625</v>
      </c>
      <c r="M1568" t="s">
        <v>1612</v>
      </c>
      <c r="O1568" t="s">
        <v>11</v>
      </c>
      <c r="P1568">
        <v>6403</v>
      </c>
      <c r="Q1568">
        <v>5</v>
      </c>
      <c r="R1568">
        <v>82.99</v>
      </c>
      <c r="S1568">
        <v>414.95</v>
      </c>
      <c r="T1568">
        <v>314.95</v>
      </c>
      <c r="U1568">
        <v>24.1</v>
      </c>
      <c r="V1568" t="str">
        <f>VLOOKUP(L1568,'[2]tabela de preços'!$A:$D,4,0)</f>
        <v>BRASILUX</v>
      </c>
      <c r="W1568" t="str">
        <f>VLOOKUP(L1568,'[2]tabela de preços'!$A:$F,6,0)</f>
        <v xml:space="preserve">BASES SISTEMA NO MACHINE </v>
      </c>
      <c r="X1568" t="str">
        <f>VLOOKUP(L1568,'[2]tabela de preços'!$A:$G,7,0)</f>
        <v>INDUSTRIAL</v>
      </c>
    </row>
    <row r="1569" spans="1:24" x14ac:dyDescent="0.3">
      <c r="A1569" t="s">
        <v>2333</v>
      </c>
      <c r="B1569" t="s">
        <v>2334</v>
      </c>
      <c r="C1569" t="s">
        <v>2352</v>
      </c>
      <c r="D1569" s="1">
        <v>46043</v>
      </c>
      <c r="E1569" t="s">
        <v>2353</v>
      </c>
      <c r="F1569">
        <v>9</v>
      </c>
      <c r="G1569">
        <v>174</v>
      </c>
      <c r="H1569" t="str">
        <f>VLOOKUP(G1569,[1]OPERADORES!$A:$B,2,0)</f>
        <v>MIRIÃ LOBATO RODRIGUES</v>
      </c>
      <c r="I1569" t="s">
        <v>126</v>
      </c>
      <c r="J1569" t="s">
        <v>2337</v>
      </c>
      <c r="K1569" t="s">
        <v>2338</v>
      </c>
      <c r="L1569">
        <v>84823</v>
      </c>
      <c r="M1569" t="s">
        <v>331</v>
      </c>
      <c r="O1569" t="s">
        <v>11</v>
      </c>
      <c r="P1569">
        <v>6102</v>
      </c>
      <c r="Q1569">
        <v>12</v>
      </c>
      <c r="R1569">
        <v>94.64</v>
      </c>
      <c r="S1569" s="2">
        <v>1135.68</v>
      </c>
      <c r="T1569">
        <v>861.96</v>
      </c>
      <c r="U1569">
        <v>24.1</v>
      </c>
      <c r="V1569" t="str">
        <f>VLOOKUP(L1569,'[2]tabela de preços'!$A:$D,4,0)</f>
        <v>BRASILUX</v>
      </c>
      <c r="W1569" t="str">
        <f>VLOOKUP(L1569,'[2]tabela de preços'!$A:$F,6,0)</f>
        <v>DILUENTE</v>
      </c>
      <c r="X1569" t="str">
        <f>VLOOKUP(L1569,'[2]tabela de preços'!$A:$G,7,0)</f>
        <v>AUTOMOTIVO</v>
      </c>
    </row>
    <row r="1570" spans="1:24" x14ac:dyDescent="0.3">
      <c r="A1570" t="s">
        <v>2333</v>
      </c>
      <c r="B1570" t="s">
        <v>2334</v>
      </c>
      <c r="C1570" t="s">
        <v>2352</v>
      </c>
      <c r="D1570" s="1">
        <v>46043</v>
      </c>
      <c r="E1570" t="s">
        <v>2353</v>
      </c>
      <c r="F1570">
        <v>9</v>
      </c>
      <c r="G1570">
        <v>174</v>
      </c>
      <c r="H1570" t="str">
        <f>VLOOKUP(G1570,[1]OPERADORES!$A:$B,2,0)</f>
        <v>MIRIÃ LOBATO RODRIGUES</v>
      </c>
      <c r="I1570" t="s">
        <v>126</v>
      </c>
      <c r="J1570" t="s">
        <v>2337</v>
      </c>
      <c r="K1570" t="s">
        <v>2338</v>
      </c>
      <c r="L1570">
        <v>84557</v>
      </c>
      <c r="M1570" t="s">
        <v>116</v>
      </c>
      <c r="O1570" t="s">
        <v>11</v>
      </c>
      <c r="P1570">
        <v>6102</v>
      </c>
      <c r="Q1570">
        <v>18</v>
      </c>
      <c r="R1570">
        <v>17.489999999999998</v>
      </c>
      <c r="S1570">
        <v>314.82</v>
      </c>
      <c r="T1570">
        <v>251.28</v>
      </c>
      <c r="U1570">
        <v>20.18</v>
      </c>
      <c r="V1570" t="str">
        <f>VLOOKUP(L1570,'[2]tabela de preços'!$A:$D,4,0)</f>
        <v>BRASILUX</v>
      </c>
      <c r="W1570" t="str">
        <f>VLOOKUP(L1570,'[2]tabela de preços'!$A:$F,6,0)</f>
        <v>DILUENTE</v>
      </c>
      <c r="X1570" t="str">
        <f>VLOOKUP(L1570,'[2]tabela de preços'!$A:$G,7,0)</f>
        <v>AUTOMOTIVO</v>
      </c>
    </row>
    <row r="1571" spans="1:24" x14ac:dyDescent="0.3">
      <c r="A1571" t="s">
        <v>2333</v>
      </c>
      <c r="B1571" t="s">
        <v>2334</v>
      </c>
      <c r="C1571" t="s">
        <v>2352</v>
      </c>
      <c r="D1571" s="1">
        <v>46043</v>
      </c>
      <c r="E1571" t="s">
        <v>2353</v>
      </c>
      <c r="F1571">
        <v>9</v>
      </c>
      <c r="G1571">
        <v>174</v>
      </c>
      <c r="H1571" t="str">
        <f>VLOOKUP(G1571,[1]OPERADORES!$A:$B,2,0)</f>
        <v>MIRIÃ LOBATO RODRIGUES</v>
      </c>
      <c r="I1571" t="s">
        <v>126</v>
      </c>
      <c r="J1571" t="s">
        <v>2337</v>
      </c>
      <c r="K1571" t="s">
        <v>2338</v>
      </c>
      <c r="L1571">
        <v>23878</v>
      </c>
      <c r="M1571" t="s">
        <v>851</v>
      </c>
      <c r="O1571" t="s">
        <v>11</v>
      </c>
      <c r="P1571">
        <v>6102</v>
      </c>
      <c r="Q1571">
        <v>36</v>
      </c>
      <c r="R1571">
        <v>8.41</v>
      </c>
      <c r="S1571">
        <v>302.76</v>
      </c>
      <c r="T1571">
        <v>229.68</v>
      </c>
      <c r="U1571">
        <v>24.14</v>
      </c>
      <c r="V1571" t="str">
        <f>VLOOKUP(L1571,'[2]tabela de preços'!$A:$D,4,0)</f>
        <v>ATLAS</v>
      </c>
      <c r="W1571" t="str">
        <f>VLOOKUP(L1571,'[2]tabela de preços'!$A:$F,6,0)</f>
        <v>ROLOS / TRINCHAS / PINCÉIS / ESPÁTULAS</v>
      </c>
      <c r="X1571" t="str">
        <f>VLOOKUP(L1571,'[2]tabela de preços'!$A:$G,7,0)</f>
        <v>IMOBILIÁRIO</v>
      </c>
    </row>
    <row r="1572" spans="1:24" x14ac:dyDescent="0.3">
      <c r="A1572" t="s">
        <v>2333</v>
      </c>
      <c r="B1572" t="s">
        <v>2334</v>
      </c>
      <c r="C1572" t="s">
        <v>2352</v>
      </c>
      <c r="D1572" s="1">
        <v>46043</v>
      </c>
      <c r="E1572" t="s">
        <v>2353</v>
      </c>
      <c r="F1572">
        <v>9</v>
      </c>
      <c r="G1572">
        <v>174</v>
      </c>
      <c r="H1572" t="str">
        <f>VLOOKUP(G1572,[1]OPERADORES!$A:$B,2,0)</f>
        <v>MIRIÃ LOBATO RODRIGUES</v>
      </c>
      <c r="I1572" t="s">
        <v>126</v>
      </c>
      <c r="J1572" t="s">
        <v>2337</v>
      </c>
      <c r="K1572" t="s">
        <v>2338</v>
      </c>
      <c r="L1572">
        <v>84020</v>
      </c>
      <c r="M1572" t="s">
        <v>518</v>
      </c>
      <c r="O1572" t="s">
        <v>11</v>
      </c>
      <c r="P1572">
        <v>6102</v>
      </c>
      <c r="Q1572">
        <v>100</v>
      </c>
      <c r="R1572">
        <v>0.91</v>
      </c>
      <c r="S1572">
        <v>91</v>
      </c>
      <c r="T1572">
        <v>69</v>
      </c>
      <c r="U1572">
        <v>24.18</v>
      </c>
      <c r="V1572" t="str">
        <f>VLOOKUP(L1572,'[2]tabela de preços'!$A:$D,4,0)</f>
        <v>3M</v>
      </c>
      <c r="W1572" t="str">
        <f>VLOOKUP(L1572,'[2]tabela de preços'!$A:$F,6,0)</f>
        <v>LIXA MASSA  /MADEIRA / PAREDE</v>
      </c>
      <c r="X1572" t="str">
        <f>VLOOKUP(L1572,'[2]tabela de preços'!$A:$G,7,0)</f>
        <v>IMOBILIÁRIO</v>
      </c>
    </row>
    <row r="1573" spans="1:24" x14ac:dyDescent="0.3">
      <c r="A1573" t="s">
        <v>2333</v>
      </c>
      <c r="B1573" t="s">
        <v>2334</v>
      </c>
      <c r="C1573" t="s">
        <v>2352</v>
      </c>
      <c r="D1573" s="1">
        <v>46043</v>
      </c>
      <c r="E1573" t="s">
        <v>2353</v>
      </c>
      <c r="F1573">
        <v>9</v>
      </c>
      <c r="G1573">
        <v>174</v>
      </c>
      <c r="H1573" t="str">
        <f>VLOOKUP(G1573,[1]OPERADORES!$A:$B,2,0)</f>
        <v>MIRIÃ LOBATO RODRIGUES</v>
      </c>
      <c r="I1573" t="s">
        <v>126</v>
      </c>
      <c r="J1573" t="s">
        <v>2337</v>
      </c>
      <c r="K1573" t="s">
        <v>2338</v>
      </c>
      <c r="L1573">
        <v>84021</v>
      </c>
      <c r="M1573" t="s">
        <v>1945</v>
      </c>
      <c r="O1573" t="s">
        <v>11</v>
      </c>
      <c r="P1573">
        <v>6102</v>
      </c>
      <c r="Q1573">
        <v>100</v>
      </c>
      <c r="R1573">
        <v>0.6</v>
      </c>
      <c r="S1573">
        <v>60</v>
      </c>
      <c r="T1573">
        <v>46</v>
      </c>
      <c r="U1573">
        <v>23.33</v>
      </c>
      <c r="V1573" t="str">
        <f>VLOOKUP(L1573,'[2]tabela de preços'!$A:$D,4,0)</f>
        <v>3M</v>
      </c>
      <c r="W1573" t="str">
        <f>VLOOKUP(L1573,'[2]tabela de preços'!$A:$F,6,0)</f>
        <v>LIXA MASSA  /MADEIRA / PAREDE</v>
      </c>
      <c r="X1573" t="str">
        <f>VLOOKUP(L1573,'[2]tabela de preços'!$A:$G,7,0)</f>
        <v>IMOBILIÁRIO</v>
      </c>
    </row>
    <row r="1574" spans="1:24" x14ac:dyDescent="0.3">
      <c r="A1574" t="s">
        <v>2333</v>
      </c>
      <c r="B1574" t="s">
        <v>2334</v>
      </c>
      <c r="C1574" t="s">
        <v>2352</v>
      </c>
      <c r="D1574" s="1">
        <v>46043</v>
      </c>
      <c r="E1574" t="s">
        <v>2353</v>
      </c>
      <c r="F1574">
        <v>9</v>
      </c>
      <c r="G1574">
        <v>174</v>
      </c>
      <c r="H1574" t="str">
        <f>VLOOKUP(G1574,[1]OPERADORES!$A:$B,2,0)</f>
        <v>MIRIÃ LOBATO RODRIGUES</v>
      </c>
      <c r="I1574" t="s">
        <v>126</v>
      </c>
      <c r="J1574" t="s">
        <v>2337</v>
      </c>
      <c r="K1574" t="s">
        <v>2338</v>
      </c>
      <c r="L1574">
        <v>84018</v>
      </c>
      <c r="M1574" t="s">
        <v>818</v>
      </c>
      <c r="O1574" t="s">
        <v>11</v>
      </c>
      <c r="P1574">
        <v>6102</v>
      </c>
      <c r="Q1574">
        <v>150</v>
      </c>
      <c r="R1574">
        <v>0.6</v>
      </c>
      <c r="S1574">
        <v>90</v>
      </c>
      <c r="T1574">
        <v>69</v>
      </c>
      <c r="U1574">
        <v>23.33</v>
      </c>
      <c r="V1574" t="str">
        <f>VLOOKUP(L1574,'[2]tabela de preços'!$A:$D,4,0)</f>
        <v>3M</v>
      </c>
      <c r="W1574" t="str">
        <f>VLOOKUP(L1574,'[2]tabela de preços'!$A:$F,6,0)</f>
        <v>LIXA MASSA  /MADEIRA / PAREDE</v>
      </c>
      <c r="X1574" t="str">
        <f>VLOOKUP(L1574,'[2]tabela de preços'!$A:$G,7,0)</f>
        <v>IMOBILIÁRIO</v>
      </c>
    </row>
    <row r="1575" spans="1:24" x14ac:dyDescent="0.3">
      <c r="A1575" t="s">
        <v>2333</v>
      </c>
      <c r="B1575" t="s">
        <v>2334</v>
      </c>
      <c r="C1575" t="s">
        <v>2352</v>
      </c>
      <c r="D1575" s="1">
        <v>46043</v>
      </c>
      <c r="E1575" t="s">
        <v>2353</v>
      </c>
      <c r="F1575">
        <v>9</v>
      </c>
      <c r="G1575">
        <v>174</v>
      </c>
      <c r="H1575" t="str">
        <f>VLOOKUP(G1575,[1]OPERADORES!$A:$B,2,0)</f>
        <v>MIRIÃ LOBATO RODRIGUES</v>
      </c>
      <c r="I1575" t="s">
        <v>126</v>
      </c>
      <c r="J1575" t="s">
        <v>2337</v>
      </c>
      <c r="K1575" t="s">
        <v>2338</v>
      </c>
      <c r="L1575">
        <v>10238</v>
      </c>
      <c r="M1575" t="s">
        <v>79</v>
      </c>
      <c r="O1575" t="s">
        <v>11</v>
      </c>
      <c r="P1575">
        <v>6102</v>
      </c>
      <c r="Q1575">
        <v>100</v>
      </c>
      <c r="R1575">
        <v>2.79</v>
      </c>
      <c r="S1575">
        <v>279</v>
      </c>
      <c r="T1575">
        <v>224</v>
      </c>
      <c r="U1575">
        <v>19.71</v>
      </c>
      <c r="V1575" t="str">
        <f>VLOOKUP(L1575,'[2]tabela de preços'!$A:$D,4,0)</f>
        <v>NORTON</v>
      </c>
      <c r="W1575" t="str">
        <f>VLOOKUP(L1575,'[2]tabela de preços'!$A:$F,6,0)</f>
        <v xml:space="preserve">DISCOS / LIXAS / ABRASIVOS </v>
      </c>
      <c r="X1575" t="str">
        <f>VLOOKUP(L1575,'[2]tabela de preços'!$A:$G,7,0)</f>
        <v>AUTOMOTIVO</v>
      </c>
    </row>
    <row r="1576" spans="1:24" x14ac:dyDescent="0.3">
      <c r="A1576" t="s">
        <v>2333</v>
      </c>
      <c r="B1576" t="s">
        <v>2334</v>
      </c>
      <c r="C1576" t="s">
        <v>2352</v>
      </c>
      <c r="D1576" s="1">
        <v>46043</v>
      </c>
      <c r="E1576" t="s">
        <v>2353</v>
      </c>
      <c r="F1576">
        <v>9</v>
      </c>
      <c r="G1576">
        <v>174</v>
      </c>
      <c r="H1576" t="str">
        <f>VLOOKUP(G1576,[1]OPERADORES!$A:$B,2,0)</f>
        <v>MIRIÃ LOBATO RODRIGUES</v>
      </c>
      <c r="I1576" t="s">
        <v>126</v>
      </c>
      <c r="J1576" t="s">
        <v>2337</v>
      </c>
      <c r="K1576" t="s">
        <v>2338</v>
      </c>
      <c r="L1576">
        <v>10242</v>
      </c>
      <c r="M1576" t="s">
        <v>82</v>
      </c>
      <c r="O1576" t="s">
        <v>11</v>
      </c>
      <c r="P1576">
        <v>6102</v>
      </c>
      <c r="Q1576">
        <v>100</v>
      </c>
      <c r="R1576">
        <v>2.79</v>
      </c>
      <c r="S1576">
        <v>279</v>
      </c>
      <c r="T1576">
        <v>224</v>
      </c>
      <c r="U1576">
        <v>19.71</v>
      </c>
      <c r="V1576" t="str">
        <f>VLOOKUP(L1576,'[2]tabela de preços'!$A:$D,4,0)</f>
        <v>NORTON</v>
      </c>
      <c r="W1576" t="str">
        <f>VLOOKUP(L1576,'[2]tabela de preços'!$A:$F,6,0)</f>
        <v xml:space="preserve">DISCOS / LIXAS / ABRASIVOS </v>
      </c>
      <c r="X1576" t="str">
        <f>VLOOKUP(L1576,'[2]tabela de preços'!$A:$G,7,0)</f>
        <v>AUTOMOTIVO</v>
      </c>
    </row>
    <row r="1577" spans="1:24" x14ac:dyDescent="0.3">
      <c r="A1577" t="s">
        <v>2333</v>
      </c>
      <c r="B1577" t="s">
        <v>2334</v>
      </c>
      <c r="C1577" t="s">
        <v>2352</v>
      </c>
      <c r="D1577" s="1">
        <v>46043</v>
      </c>
      <c r="E1577" t="s">
        <v>2353</v>
      </c>
      <c r="F1577">
        <v>9</v>
      </c>
      <c r="G1577">
        <v>174</v>
      </c>
      <c r="H1577" t="str">
        <f>VLOOKUP(G1577,[1]OPERADORES!$A:$B,2,0)</f>
        <v>MIRIÃ LOBATO RODRIGUES</v>
      </c>
      <c r="I1577" t="s">
        <v>126</v>
      </c>
      <c r="J1577" t="s">
        <v>2337</v>
      </c>
      <c r="K1577" t="s">
        <v>2338</v>
      </c>
      <c r="L1577">
        <v>10245</v>
      </c>
      <c r="M1577" t="s">
        <v>195</v>
      </c>
      <c r="O1577" t="s">
        <v>11</v>
      </c>
      <c r="P1577">
        <v>6102</v>
      </c>
      <c r="Q1577">
        <v>50</v>
      </c>
      <c r="R1577">
        <v>2.79</v>
      </c>
      <c r="S1577">
        <v>139.5</v>
      </c>
      <c r="T1577">
        <v>96.5</v>
      </c>
      <c r="U1577">
        <v>30.82</v>
      </c>
      <c r="V1577" t="str">
        <f>VLOOKUP(L1577,'[2]tabela de preços'!$A:$D,4,0)</f>
        <v>NORTON</v>
      </c>
      <c r="W1577" t="str">
        <f>VLOOKUP(L1577,'[2]tabela de preços'!$A:$F,6,0)</f>
        <v xml:space="preserve">DISCOS / LIXAS / ABRASIVOS </v>
      </c>
      <c r="X1577" t="str">
        <f>VLOOKUP(L1577,'[2]tabela de preços'!$A:$G,7,0)</f>
        <v>AUTOMOTIVO</v>
      </c>
    </row>
    <row r="1578" spans="1:24" x14ac:dyDescent="0.3">
      <c r="A1578" t="s">
        <v>2333</v>
      </c>
      <c r="B1578" t="s">
        <v>2334</v>
      </c>
      <c r="C1578" t="s">
        <v>2352</v>
      </c>
      <c r="D1578" s="1">
        <v>46043</v>
      </c>
      <c r="E1578" t="s">
        <v>2353</v>
      </c>
      <c r="F1578">
        <v>9</v>
      </c>
      <c r="G1578">
        <v>174</v>
      </c>
      <c r="H1578" t="str">
        <f>VLOOKUP(G1578,[1]OPERADORES!$A:$B,2,0)</f>
        <v>MIRIÃ LOBATO RODRIGUES</v>
      </c>
      <c r="I1578" t="s">
        <v>126</v>
      </c>
      <c r="J1578" t="s">
        <v>2337</v>
      </c>
      <c r="K1578" t="s">
        <v>2338</v>
      </c>
      <c r="L1578">
        <v>85020</v>
      </c>
      <c r="M1578" t="s">
        <v>1094</v>
      </c>
      <c r="O1578" t="s">
        <v>11</v>
      </c>
      <c r="P1578">
        <v>6102</v>
      </c>
      <c r="Q1578">
        <v>5</v>
      </c>
      <c r="R1578">
        <v>1.07</v>
      </c>
      <c r="S1578">
        <v>5.35</v>
      </c>
      <c r="T1578">
        <v>4.05</v>
      </c>
      <c r="U1578">
        <v>24.3</v>
      </c>
      <c r="V1578" t="str">
        <f>VLOOKUP(L1578,'[2]tabela de preços'!$A:$D,4,0)</f>
        <v>.</v>
      </c>
      <c r="W1578" t="str">
        <f>VLOOKUP(L1578,'[2]tabela de preços'!$A:$F,6,0)</f>
        <v>PALHA DE AÇO</v>
      </c>
      <c r="X1578" t="str">
        <f>VLOOKUP(L1578,'[2]tabela de preços'!$A:$G,7,0)</f>
        <v>IMOBILIÁRIO</v>
      </c>
    </row>
    <row r="1579" spans="1:24" x14ac:dyDescent="0.3">
      <c r="A1579" t="s">
        <v>2333</v>
      </c>
      <c r="B1579" t="s">
        <v>2334</v>
      </c>
      <c r="C1579" t="s">
        <v>2352</v>
      </c>
      <c r="D1579" s="1">
        <v>46043</v>
      </c>
      <c r="E1579" t="s">
        <v>2353</v>
      </c>
      <c r="F1579">
        <v>9</v>
      </c>
      <c r="G1579">
        <v>174</v>
      </c>
      <c r="H1579" t="str">
        <f>VLOOKUP(G1579,[1]OPERADORES!$A:$B,2,0)</f>
        <v>MIRIÃ LOBATO RODRIGUES</v>
      </c>
      <c r="I1579" t="s">
        <v>126</v>
      </c>
      <c r="J1579" t="s">
        <v>2337</v>
      </c>
      <c r="K1579" t="s">
        <v>2338</v>
      </c>
      <c r="L1579">
        <v>84430</v>
      </c>
      <c r="M1579" t="s">
        <v>2354</v>
      </c>
      <c r="O1579" t="s">
        <v>11</v>
      </c>
      <c r="P1579">
        <v>6102</v>
      </c>
      <c r="Q1579">
        <v>18</v>
      </c>
      <c r="R1579">
        <v>17.25</v>
      </c>
      <c r="S1579">
        <v>310.5</v>
      </c>
      <c r="T1579">
        <v>235.62</v>
      </c>
      <c r="U1579">
        <v>24.12</v>
      </c>
      <c r="V1579" t="str">
        <f>VLOOKUP(L1579,'[2]tabela de preços'!$A:$D,4,0)</f>
        <v>ATLAS</v>
      </c>
      <c r="W1579" t="str">
        <f>VLOOKUP(L1579,'[2]tabela de preços'!$A:$F,6,0)</f>
        <v>ROLOS / TRINCHAS / PINCÉIS / ESPÁTULAS</v>
      </c>
      <c r="X1579" t="str">
        <f>VLOOKUP(L1579,'[2]tabela de preços'!$A:$G,7,0)</f>
        <v>IMOBILIÁRIO</v>
      </c>
    </row>
    <row r="1580" spans="1:24" x14ac:dyDescent="0.3">
      <c r="A1580" t="s">
        <v>2333</v>
      </c>
      <c r="B1580" t="s">
        <v>2334</v>
      </c>
      <c r="C1580" t="s">
        <v>2352</v>
      </c>
      <c r="D1580" s="1">
        <v>46043</v>
      </c>
      <c r="E1580" t="s">
        <v>2353</v>
      </c>
      <c r="F1580">
        <v>9</v>
      </c>
      <c r="G1580">
        <v>174</v>
      </c>
      <c r="H1580" t="str">
        <f>VLOOKUP(G1580,[1]OPERADORES!$A:$B,2,0)</f>
        <v>MIRIÃ LOBATO RODRIGUES</v>
      </c>
      <c r="I1580" t="s">
        <v>126</v>
      </c>
      <c r="J1580" t="s">
        <v>2337</v>
      </c>
      <c r="K1580" t="s">
        <v>2338</v>
      </c>
      <c r="L1580">
        <v>84420</v>
      </c>
      <c r="M1580" t="s">
        <v>353</v>
      </c>
      <c r="O1580" t="s">
        <v>11</v>
      </c>
      <c r="P1580">
        <v>6102</v>
      </c>
      <c r="Q1580">
        <v>24</v>
      </c>
      <c r="R1580">
        <v>20.34</v>
      </c>
      <c r="S1580">
        <v>488.16</v>
      </c>
      <c r="T1580">
        <v>370.56</v>
      </c>
      <c r="U1580">
        <v>24.09</v>
      </c>
      <c r="V1580" t="str">
        <f>VLOOKUP(L1580,'[2]tabela de preços'!$A:$D,4,0)</f>
        <v>ATLAS</v>
      </c>
      <c r="W1580" t="str">
        <f>VLOOKUP(L1580,'[2]tabela de preços'!$A:$F,6,0)</f>
        <v>ROLOS / TRINCHAS / PINCÉIS / ESPÁTULAS</v>
      </c>
      <c r="X1580" t="str">
        <f>VLOOKUP(L1580,'[2]tabela de preços'!$A:$G,7,0)</f>
        <v>IMOBILIÁRIO</v>
      </c>
    </row>
    <row r="1581" spans="1:24" x14ac:dyDescent="0.3">
      <c r="A1581" t="s">
        <v>2333</v>
      </c>
      <c r="B1581" t="s">
        <v>2334</v>
      </c>
      <c r="C1581" t="s">
        <v>2352</v>
      </c>
      <c r="D1581" s="1">
        <v>46043</v>
      </c>
      <c r="E1581" t="s">
        <v>2353</v>
      </c>
      <c r="F1581">
        <v>9</v>
      </c>
      <c r="G1581">
        <v>174</v>
      </c>
      <c r="H1581" t="str">
        <f>VLOOKUP(G1581,[1]OPERADORES!$A:$B,2,0)</f>
        <v>MIRIÃ LOBATO RODRIGUES</v>
      </c>
      <c r="I1581" t="s">
        <v>126</v>
      </c>
      <c r="J1581" t="s">
        <v>2337</v>
      </c>
      <c r="K1581" t="s">
        <v>2338</v>
      </c>
      <c r="L1581">
        <v>22218</v>
      </c>
      <c r="M1581" t="s">
        <v>2355</v>
      </c>
      <c r="O1581" t="s">
        <v>11</v>
      </c>
      <c r="P1581">
        <v>6102</v>
      </c>
      <c r="Q1581">
        <v>11</v>
      </c>
      <c r="R1581">
        <v>10.33</v>
      </c>
      <c r="S1581">
        <v>113.63</v>
      </c>
      <c r="T1581">
        <v>92.18</v>
      </c>
      <c r="U1581">
        <v>18.88</v>
      </c>
      <c r="V1581" t="str">
        <f>VLOOKUP(L1581,'[2]tabela de preços'!$A:$D,4,0)</f>
        <v>ATLAS</v>
      </c>
      <c r="W1581" t="str">
        <f>VLOOKUP(L1581,'[2]tabela de preços'!$A:$F,6,0)</f>
        <v>ROLOS / TRINCHAS / PINCÉIS / ESPÁTULAS</v>
      </c>
      <c r="X1581" t="str">
        <f>VLOOKUP(L1581,'[2]tabela de preços'!$A:$G,7,0)</f>
        <v>AUTOMOTIVO</v>
      </c>
    </row>
    <row r="1582" spans="1:24" x14ac:dyDescent="0.3">
      <c r="A1582" t="s">
        <v>2333</v>
      </c>
      <c r="B1582" t="s">
        <v>2334</v>
      </c>
      <c r="C1582" t="s">
        <v>2352</v>
      </c>
      <c r="D1582" s="1">
        <v>46043</v>
      </c>
      <c r="E1582" t="s">
        <v>2353</v>
      </c>
      <c r="F1582">
        <v>9</v>
      </c>
      <c r="G1582">
        <v>174</v>
      </c>
      <c r="H1582" t="str">
        <f>VLOOKUP(G1582,[1]OPERADORES!$A:$B,2,0)</f>
        <v>MIRIÃ LOBATO RODRIGUES</v>
      </c>
      <c r="I1582" t="s">
        <v>126</v>
      </c>
      <c r="J1582" t="s">
        <v>2337</v>
      </c>
      <c r="K1582" t="s">
        <v>2338</v>
      </c>
      <c r="L1582">
        <v>10118</v>
      </c>
      <c r="M1582" t="s">
        <v>572</v>
      </c>
      <c r="O1582" t="s">
        <v>11</v>
      </c>
      <c r="P1582">
        <v>6102</v>
      </c>
      <c r="Q1582">
        <v>24</v>
      </c>
      <c r="R1582">
        <v>5.0199999999999996</v>
      </c>
      <c r="S1582">
        <v>120.48</v>
      </c>
      <c r="T1582">
        <v>91.44</v>
      </c>
      <c r="U1582">
        <v>24.1</v>
      </c>
      <c r="V1582" t="str">
        <f>VLOOKUP(L1582,'[2]tabela de preços'!$A:$D,4,0)</f>
        <v>ATLAS</v>
      </c>
      <c r="W1582" t="str">
        <f>VLOOKUP(L1582,'[2]tabela de preços'!$A:$F,6,0)</f>
        <v>ROLOS / TRINCHAS / PINCÉIS / ESPÁTULAS</v>
      </c>
      <c r="X1582" t="str">
        <f>VLOOKUP(L1582,'[2]tabela de preços'!$A:$G,7,0)</f>
        <v>IMOBILIÁRIO</v>
      </c>
    </row>
    <row r="1583" spans="1:24" x14ac:dyDescent="0.3">
      <c r="A1583" t="s">
        <v>2333</v>
      </c>
      <c r="B1583" t="s">
        <v>2334</v>
      </c>
      <c r="C1583" t="s">
        <v>2352</v>
      </c>
      <c r="D1583" s="1">
        <v>46043</v>
      </c>
      <c r="E1583" t="s">
        <v>2353</v>
      </c>
      <c r="F1583">
        <v>9</v>
      </c>
      <c r="G1583">
        <v>174</v>
      </c>
      <c r="H1583" t="str">
        <f>VLOOKUP(G1583,[1]OPERADORES!$A:$B,2,0)</f>
        <v>MIRIÃ LOBATO RODRIGUES</v>
      </c>
      <c r="I1583" t="s">
        <v>126</v>
      </c>
      <c r="J1583" t="s">
        <v>2337</v>
      </c>
      <c r="K1583" t="s">
        <v>2338</v>
      </c>
      <c r="L1583">
        <v>10120</v>
      </c>
      <c r="M1583" t="s">
        <v>2356</v>
      </c>
      <c r="O1583" t="s">
        <v>11</v>
      </c>
      <c r="P1583">
        <v>6102</v>
      </c>
      <c r="Q1583">
        <v>24</v>
      </c>
      <c r="R1583">
        <v>9.9700000000000006</v>
      </c>
      <c r="S1583">
        <v>239.28</v>
      </c>
      <c r="T1583">
        <v>181.68</v>
      </c>
      <c r="U1583">
        <v>24.07</v>
      </c>
      <c r="V1583" t="str">
        <f>VLOOKUP(L1583,'[2]tabela de preços'!$A:$D,4,0)</f>
        <v>ATLAS</v>
      </c>
      <c r="W1583" t="str">
        <f>VLOOKUP(L1583,'[2]tabela de preços'!$A:$F,6,0)</f>
        <v>ROLOS / TRINCHAS / PINCÉIS / ESPÁTULAS</v>
      </c>
      <c r="X1583" t="str">
        <f>VLOOKUP(L1583,'[2]tabela de preços'!$A:$G,7,0)</f>
        <v>IMOBILIÁRIO</v>
      </c>
    </row>
    <row r="1584" spans="1:24" x14ac:dyDescent="0.3">
      <c r="A1584" t="s">
        <v>2333</v>
      </c>
      <c r="B1584" t="s">
        <v>2334</v>
      </c>
      <c r="C1584" t="s">
        <v>2352</v>
      </c>
      <c r="D1584" s="1">
        <v>46043</v>
      </c>
      <c r="E1584" t="s">
        <v>2353</v>
      </c>
      <c r="F1584">
        <v>9</v>
      </c>
      <c r="G1584">
        <v>174</v>
      </c>
      <c r="H1584" t="str">
        <f>VLOOKUP(G1584,[1]OPERADORES!$A:$B,2,0)</f>
        <v>MIRIÃ LOBATO RODRIGUES</v>
      </c>
      <c r="I1584" t="s">
        <v>126</v>
      </c>
      <c r="J1584" t="s">
        <v>2337</v>
      </c>
      <c r="K1584" t="s">
        <v>2338</v>
      </c>
      <c r="L1584">
        <v>10121</v>
      </c>
      <c r="M1584" t="s">
        <v>2357</v>
      </c>
      <c r="O1584" t="s">
        <v>11</v>
      </c>
      <c r="P1584">
        <v>6102</v>
      </c>
      <c r="Q1584">
        <v>12</v>
      </c>
      <c r="R1584">
        <v>11.42</v>
      </c>
      <c r="S1584">
        <v>137.04</v>
      </c>
      <c r="T1584">
        <v>104.04</v>
      </c>
      <c r="U1584">
        <v>24.08</v>
      </c>
      <c r="V1584" t="str">
        <f>VLOOKUP(L1584,'[2]tabela de preços'!$A:$D,4,0)</f>
        <v>ATLAS</v>
      </c>
      <c r="W1584" t="str">
        <f>VLOOKUP(L1584,'[2]tabela de preços'!$A:$F,6,0)</f>
        <v>ROLOS / TRINCHAS / PINCÉIS / ESPÁTULAS</v>
      </c>
      <c r="X1584" t="str">
        <f>VLOOKUP(L1584,'[2]tabela de preços'!$A:$G,7,0)</f>
        <v>IMOBILIÁRIO</v>
      </c>
    </row>
    <row r="1585" spans="1:24" x14ac:dyDescent="0.3">
      <c r="A1585" t="s">
        <v>101</v>
      </c>
      <c r="C1585" t="s">
        <v>113</v>
      </c>
      <c r="D1585" s="1">
        <v>46044</v>
      </c>
      <c r="E1585" t="s">
        <v>114</v>
      </c>
      <c r="F1585">
        <v>9</v>
      </c>
      <c r="G1585">
        <v>236</v>
      </c>
      <c r="H1585" t="str">
        <f>VLOOKUP(G1585,[1]OPERADORES!$A:$B,2,0)</f>
        <v>DANIEL</v>
      </c>
      <c r="I1585" t="s">
        <v>21</v>
      </c>
      <c r="J1585" t="s">
        <v>104</v>
      </c>
      <c r="K1585" t="s">
        <v>105</v>
      </c>
      <c r="L1585">
        <v>23580</v>
      </c>
      <c r="M1585" t="s">
        <v>115</v>
      </c>
      <c r="O1585" t="s">
        <v>11</v>
      </c>
      <c r="P1585">
        <v>5102</v>
      </c>
      <c r="Q1585">
        <v>5</v>
      </c>
      <c r="R1585">
        <v>0.56000000000000005</v>
      </c>
      <c r="S1585">
        <v>2.8</v>
      </c>
      <c r="T1585">
        <v>1.8</v>
      </c>
      <c r="U1585">
        <v>35.71</v>
      </c>
      <c r="V1585" t="str">
        <f>VLOOKUP(L1585,'[2]tabela de preços'!$A:$D,4,0)</f>
        <v>RENOVA COADORES</v>
      </c>
      <c r="W1585" t="str">
        <f>VLOOKUP(L1585,'[2]tabela de preços'!$A:$F,6,0)</f>
        <v>COADORES</v>
      </c>
      <c r="X1585" t="str">
        <f>VLOOKUP(L1585,'[2]tabela de preços'!$A:$G,7,0)</f>
        <v>AUTOMOTIVO</v>
      </c>
    </row>
    <row r="1586" spans="1:24" x14ac:dyDescent="0.3">
      <c r="A1586" t="s">
        <v>101</v>
      </c>
      <c r="C1586" t="s">
        <v>113</v>
      </c>
      <c r="D1586" s="1">
        <v>46044</v>
      </c>
      <c r="E1586" t="s">
        <v>114</v>
      </c>
      <c r="F1586">
        <v>9</v>
      </c>
      <c r="G1586">
        <v>236</v>
      </c>
      <c r="H1586" t="str">
        <f>VLOOKUP(G1586,[1]OPERADORES!$A:$B,2,0)</f>
        <v>DANIEL</v>
      </c>
      <c r="I1586" t="s">
        <v>21</v>
      </c>
      <c r="J1586" t="s">
        <v>104</v>
      </c>
      <c r="K1586" t="s">
        <v>105</v>
      </c>
      <c r="L1586">
        <v>20217</v>
      </c>
      <c r="M1586" t="s">
        <v>106</v>
      </c>
      <c r="O1586" t="s">
        <v>11</v>
      </c>
      <c r="P1586">
        <v>5102</v>
      </c>
      <c r="Q1586">
        <v>1</v>
      </c>
      <c r="R1586">
        <v>5.18</v>
      </c>
      <c r="S1586">
        <v>5.18</v>
      </c>
      <c r="T1586">
        <v>3.93</v>
      </c>
      <c r="U1586">
        <v>24.13</v>
      </c>
      <c r="V1586" t="str">
        <f>VLOOKUP(L1586,'[2]tabela de preços'!$A:$D,4,0)</f>
        <v>WANDA</v>
      </c>
      <c r="W1586" t="str">
        <f>VLOOKUP(L1586,'[2]tabela de preços'!$A:$F,6,0)</f>
        <v>APLICADORES / ADAPTADORES / ENGATES / SUPORTES</v>
      </c>
      <c r="X1586" t="str">
        <f>VLOOKUP(L1586,'[2]tabela de preços'!$A:$G,7,0)</f>
        <v>AUTOMOTIVO</v>
      </c>
    </row>
    <row r="1587" spans="1:24" x14ac:dyDescent="0.3">
      <c r="A1587" t="s">
        <v>101</v>
      </c>
      <c r="C1587" t="s">
        <v>113</v>
      </c>
      <c r="D1587" s="1">
        <v>46044</v>
      </c>
      <c r="E1587" t="s">
        <v>114</v>
      </c>
      <c r="F1587">
        <v>9</v>
      </c>
      <c r="G1587">
        <v>236</v>
      </c>
      <c r="H1587" t="str">
        <f>VLOOKUP(G1587,[1]OPERADORES!$A:$B,2,0)</f>
        <v>DANIEL</v>
      </c>
      <c r="I1587" t="s">
        <v>21</v>
      </c>
      <c r="J1587" t="s">
        <v>104</v>
      </c>
      <c r="K1587" t="s">
        <v>105</v>
      </c>
      <c r="L1587">
        <v>84557</v>
      </c>
      <c r="M1587" t="s">
        <v>116</v>
      </c>
      <c r="O1587" t="s">
        <v>11</v>
      </c>
      <c r="P1587">
        <v>5102</v>
      </c>
      <c r="Q1587">
        <v>1</v>
      </c>
      <c r="R1587">
        <v>17.489999999999998</v>
      </c>
      <c r="S1587">
        <v>17.489999999999998</v>
      </c>
      <c r="T1587">
        <v>13.96</v>
      </c>
      <c r="U1587">
        <v>20.18</v>
      </c>
      <c r="V1587" t="str">
        <f>VLOOKUP(L1587,'[2]tabela de preços'!$A:$D,4,0)</f>
        <v>BRASILUX</v>
      </c>
      <c r="W1587" t="str">
        <f>VLOOKUP(L1587,'[2]tabela de preços'!$A:$F,6,0)</f>
        <v>DILUENTE</v>
      </c>
      <c r="X1587" t="str">
        <f>VLOOKUP(L1587,'[2]tabela de preços'!$A:$G,7,0)</f>
        <v>AUTOMOTIVO</v>
      </c>
    </row>
    <row r="1588" spans="1:24" x14ac:dyDescent="0.3">
      <c r="A1588" t="s">
        <v>101</v>
      </c>
      <c r="C1588" t="s">
        <v>113</v>
      </c>
      <c r="D1588" s="1">
        <v>46044</v>
      </c>
      <c r="E1588" t="s">
        <v>114</v>
      </c>
      <c r="F1588">
        <v>9</v>
      </c>
      <c r="G1588">
        <v>236</v>
      </c>
      <c r="H1588" t="str">
        <f>VLOOKUP(G1588,[1]OPERADORES!$A:$B,2,0)</f>
        <v>DANIEL</v>
      </c>
      <c r="I1588" t="s">
        <v>21</v>
      </c>
      <c r="J1588" t="s">
        <v>104</v>
      </c>
      <c r="K1588" t="s">
        <v>105</v>
      </c>
      <c r="L1588">
        <v>10266</v>
      </c>
      <c r="M1588" t="s">
        <v>117</v>
      </c>
      <c r="O1588" t="s">
        <v>11</v>
      </c>
      <c r="P1588">
        <v>5102</v>
      </c>
      <c r="Q1588">
        <v>3</v>
      </c>
      <c r="R1588">
        <v>11.41</v>
      </c>
      <c r="S1588">
        <v>34.229999999999997</v>
      </c>
      <c r="T1588">
        <v>25.98</v>
      </c>
      <c r="U1588">
        <v>24.1</v>
      </c>
      <c r="V1588" t="str">
        <f>VLOOKUP(L1588,'[2]tabela de preços'!$A:$D,4,0)</f>
        <v>NORTON</v>
      </c>
      <c r="W1588" t="str">
        <f>VLOOKUP(L1588,'[2]tabela de preços'!$A:$F,6,0)</f>
        <v xml:space="preserve">DISCOS / LIXAS / ABRASIVOS </v>
      </c>
      <c r="X1588" t="str">
        <f>VLOOKUP(L1588,'[2]tabela de preços'!$A:$G,7,0)</f>
        <v>AUTOMOTIVO</v>
      </c>
    </row>
    <row r="1589" spans="1:24" x14ac:dyDescent="0.3">
      <c r="A1589" t="s">
        <v>101</v>
      </c>
      <c r="C1589" t="s">
        <v>113</v>
      </c>
      <c r="D1589" s="1">
        <v>46044</v>
      </c>
      <c r="E1589" t="s">
        <v>114</v>
      </c>
      <c r="F1589">
        <v>9</v>
      </c>
      <c r="G1589">
        <v>236</v>
      </c>
      <c r="H1589" t="str">
        <f>VLOOKUP(G1589,[1]OPERADORES!$A:$B,2,0)</f>
        <v>DANIEL</v>
      </c>
      <c r="I1589" t="s">
        <v>21</v>
      </c>
      <c r="J1589" t="s">
        <v>104</v>
      </c>
      <c r="K1589" t="s">
        <v>105</v>
      </c>
      <c r="L1589">
        <v>23465</v>
      </c>
      <c r="M1589" t="s">
        <v>110</v>
      </c>
      <c r="O1589" t="s">
        <v>11</v>
      </c>
      <c r="P1589">
        <v>5102</v>
      </c>
      <c r="Q1589">
        <v>5</v>
      </c>
      <c r="R1589">
        <v>3.76</v>
      </c>
      <c r="S1589">
        <v>18.8</v>
      </c>
      <c r="T1589">
        <v>14.25</v>
      </c>
      <c r="U1589">
        <v>24.2</v>
      </c>
      <c r="V1589" t="str">
        <f>VLOOKUP(L1589,'[2]tabela de preços'!$A:$D,4,0)</f>
        <v>3M</v>
      </c>
      <c r="W1589" t="str">
        <f>VLOOKUP(L1589,'[2]tabela de preços'!$A:$F,6,0)</f>
        <v>EPI´S</v>
      </c>
      <c r="X1589" t="str">
        <f>VLOOKUP(L1589,'[2]tabela de preços'!$A:$G,7,0)</f>
        <v>AUTOMOTIVO</v>
      </c>
    </row>
    <row r="1590" spans="1:24" x14ac:dyDescent="0.3">
      <c r="A1590" t="s">
        <v>101</v>
      </c>
      <c r="C1590" t="s">
        <v>113</v>
      </c>
      <c r="D1590" s="1">
        <v>46044</v>
      </c>
      <c r="E1590" t="s">
        <v>114</v>
      </c>
      <c r="F1590">
        <v>9</v>
      </c>
      <c r="G1590">
        <v>236</v>
      </c>
      <c r="H1590" t="str">
        <f>VLOOKUP(G1590,[1]OPERADORES!$A:$B,2,0)</f>
        <v>DANIEL</v>
      </c>
      <c r="I1590" t="s">
        <v>21</v>
      </c>
      <c r="J1590" t="s">
        <v>104</v>
      </c>
      <c r="K1590" t="s">
        <v>105</v>
      </c>
      <c r="L1590">
        <v>84560</v>
      </c>
      <c r="M1590" t="s">
        <v>118</v>
      </c>
      <c r="O1590" t="s">
        <v>11</v>
      </c>
      <c r="P1590">
        <v>5102</v>
      </c>
      <c r="Q1590">
        <v>1</v>
      </c>
      <c r="R1590">
        <v>47.89</v>
      </c>
      <c r="S1590">
        <v>47.89</v>
      </c>
      <c r="T1590">
        <v>39.159999999999997</v>
      </c>
      <c r="U1590">
        <v>18.23</v>
      </c>
      <c r="V1590" t="str">
        <f>VLOOKUP(L1590,'[2]tabela de preços'!$A:$D,4,0)</f>
        <v>BRASILUX</v>
      </c>
      <c r="W1590" t="str">
        <f>VLOOKUP(L1590,'[2]tabela de preços'!$A:$F,6,0)</f>
        <v>THINNER DE LIMPEZA</v>
      </c>
      <c r="X1590" t="str">
        <f>VLOOKUP(L1590,'[2]tabela de preços'!$A:$G,7,0)</f>
        <v>THINNER</v>
      </c>
    </row>
    <row r="1591" spans="1:24" x14ac:dyDescent="0.3">
      <c r="A1591" t="s">
        <v>208</v>
      </c>
      <c r="C1591" t="s">
        <v>227</v>
      </c>
      <c r="D1591" s="1">
        <v>46044</v>
      </c>
      <c r="E1591" t="s">
        <v>228</v>
      </c>
      <c r="F1591">
        <v>9</v>
      </c>
      <c r="G1591">
        <v>236</v>
      </c>
      <c r="H1591" t="str">
        <f>VLOOKUP(G1591,[1]OPERADORES!$A:$B,2,0)</f>
        <v>DANIEL</v>
      </c>
      <c r="I1591" t="s">
        <v>21</v>
      </c>
      <c r="J1591" t="s">
        <v>211</v>
      </c>
      <c r="K1591" t="s">
        <v>212</v>
      </c>
      <c r="L1591">
        <v>20026</v>
      </c>
      <c r="M1591" t="s">
        <v>229</v>
      </c>
      <c r="O1591" t="s">
        <v>11</v>
      </c>
      <c r="P1591">
        <v>5102</v>
      </c>
      <c r="Q1591">
        <v>1</v>
      </c>
      <c r="R1591">
        <v>14.13</v>
      </c>
      <c r="S1591">
        <v>14.13</v>
      </c>
      <c r="T1591">
        <v>10.36</v>
      </c>
      <c r="U1591">
        <v>26.68</v>
      </c>
      <c r="V1591" t="str">
        <f>VLOOKUP(L1591,'[2]tabela de preços'!$A:$D,4,0)</f>
        <v>ANJO</v>
      </c>
      <c r="W1591" t="str">
        <f>VLOOKUP(L1591,'[2]tabela de preços'!$A:$F,6,0)</f>
        <v>PRETO FOSCO VINÍLICO</v>
      </c>
      <c r="X1591" t="str">
        <f>VLOOKUP(L1591,'[2]tabela de preços'!$A:$G,7,0)</f>
        <v>AUTOMOTIVO</v>
      </c>
    </row>
    <row r="1592" spans="1:24" x14ac:dyDescent="0.3">
      <c r="A1592" t="s">
        <v>208</v>
      </c>
      <c r="C1592" t="s">
        <v>227</v>
      </c>
      <c r="D1592" s="1">
        <v>46044</v>
      </c>
      <c r="E1592" t="s">
        <v>228</v>
      </c>
      <c r="F1592">
        <v>9</v>
      </c>
      <c r="G1592">
        <v>236</v>
      </c>
      <c r="H1592" t="str">
        <f>VLOOKUP(G1592,[1]OPERADORES!$A:$B,2,0)</f>
        <v>DANIEL</v>
      </c>
      <c r="I1592" t="s">
        <v>21</v>
      </c>
      <c r="J1592" t="s">
        <v>211</v>
      </c>
      <c r="K1592" t="s">
        <v>212</v>
      </c>
      <c r="L1592">
        <v>10238</v>
      </c>
      <c r="M1592" t="s">
        <v>79</v>
      </c>
      <c r="O1592" t="s">
        <v>11</v>
      </c>
      <c r="P1592">
        <v>5102</v>
      </c>
      <c r="Q1592">
        <v>50</v>
      </c>
      <c r="R1592">
        <v>2.79</v>
      </c>
      <c r="S1592">
        <v>139.5</v>
      </c>
      <c r="T1592">
        <v>112</v>
      </c>
      <c r="U1592">
        <v>19.71</v>
      </c>
      <c r="V1592" t="str">
        <f>VLOOKUP(L1592,'[2]tabela de preços'!$A:$D,4,0)</f>
        <v>NORTON</v>
      </c>
      <c r="W1592" t="str">
        <f>VLOOKUP(L1592,'[2]tabela de preços'!$A:$F,6,0)</f>
        <v xml:space="preserve">DISCOS / LIXAS / ABRASIVOS </v>
      </c>
      <c r="X1592" t="str">
        <f>VLOOKUP(L1592,'[2]tabela de preços'!$A:$G,7,0)</f>
        <v>AUTOMOTIVO</v>
      </c>
    </row>
    <row r="1593" spans="1:24" x14ac:dyDescent="0.3">
      <c r="A1593" t="s">
        <v>208</v>
      </c>
      <c r="C1593" t="s">
        <v>227</v>
      </c>
      <c r="D1593" s="1">
        <v>46044</v>
      </c>
      <c r="E1593" t="s">
        <v>228</v>
      </c>
      <c r="F1593">
        <v>9</v>
      </c>
      <c r="G1593">
        <v>236</v>
      </c>
      <c r="H1593" t="str">
        <f>VLOOKUP(G1593,[1]OPERADORES!$A:$B,2,0)</f>
        <v>DANIEL</v>
      </c>
      <c r="I1593" t="s">
        <v>21</v>
      </c>
      <c r="J1593" t="s">
        <v>211</v>
      </c>
      <c r="K1593" t="s">
        <v>212</v>
      </c>
      <c r="L1593">
        <v>10242</v>
      </c>
      <c r="M1593" t="s">
        <v>82</v>
      </c>
      <c r="O1593" t="s">
        <v>11</v>
      </c>
      <c r="P1593">
        <v>5102</v>
      </c>
      <c r="Q1593">
        <v>50</v>
      </c>
      <c r="R1593">
        <v>2.79</v>
      </c>
      <c r="S1593">
        <v>139.5</v>
      </c>
      <c r="T1593">
        <v>112</v>
      </c>
      <c r="U1593">
        <v>19.71</v>
      </c>
      <c r="V1593" t="str">
        <f>VLOOKUP(L1593,'[2]tabela de preços'!$A:$D,4,0)</f>
        <v>NORTON</v>
      </c>
      <c r="W1593" t="str">
        <f>VLOOKUP(L1593,'[2]tabela de preços'!$A:$F,6,0)</f>
        <v xml:space="preserve">DISCOS / LIXAS / ABRASIVOS </v>
      </c>
      <c r="X1593" t="str">
        <f>VLOOKUP(L1593,'[2]tabela de preços'!$A:$G,7,0)</f>
        <v>AUTOMOTIVO</v>
      </c>
    </row>
    <row r="1594" spans="1:24" x14ac:dyDescent="0.3">
      <c r="A1594" t="s">
        <v>208</v>
      </c>
      <c r="C1594" t="s">
        <v>227</v>
      </c>
      <c r="D1594" s="1">
        <v>46044</v>
      </c>
      <c r="E1594" t="s">
        <v>228</v>
      </c>
      <c r="F1594">
        <v>9</v>
      </c>
      <c r="G1594">
        <v>236</v>
      </c>
      <c r="H1594" t="str">
        <f>VLOOKUP(G1594,[1]OPERADORES!$A:$B,2,0)</f>
        <v>DANIEL</v>
      </c>
      <c r="I1594" t="s">
        <v>21</v>
      </c>
      <c r="J1594" t="s">
        <v>211</v>
      </c>
      <c r="K1594" t="s">
        <v>212</v>
      </c>
      <c r="L1594">
        <v>10245</v>
      </c>
      <c r="M1594" t="s">
        <v>195</v>
      </c>
      <c r="O1594" t="s">
        <v>11</v>
      </c>
      <c r="P1594">
        <v>5102</v>
      </c>
      <c r="Q1594">
        <v>50</v>
      </c>
      <c r="R1594">
        <v>2.79</v>
      </c>
      <c r="S1594">
        <v>139.5</v>
      </c>
      <c r="T1594">
        <v>96.5</v>
      </c>
      <c r="U1594">
        <v>30.82</v>
      </c>
      <c r="V1594" t="str">
        <f>VLOOKUP(L1594,'[2]tabela de preços'!$A:$D,4,0)</f>
        <v>NORTON</v>
      </c>
      <c r="W1594" t="str">
        <f>VLOOKUP(L1594,'[2]tabela de preços'!$A:$F,6,0)</f>
        <v xml:space="preserve">DISCOS / LIXAS / ABRASIVOS </v>
      </c>
      <c r="X1594" t="str">
        <f>VLOOKUP(L1594,'[2]tabela de preços'!$A:$G,7,0)</f>
        <v>AUTOMOTIVO</v>
      </c>
    </row>
    <row r="1595" spans="1:24" x14ac:dyDescent="0.3">
      <c r="A1595" t="s">
        <v>208</v>
      </c>
      <c r="C1595" t="s">
        <v>227</v>
      </c>
      <c r="D1595" s="1">
        <v>46044</v>
      </c>
      <c r="E1595" t="s">
        <v>228</v>
      </c>
      <c r="F1595">
        <v>9</v>
      </c>
      <c r="G1595">
        <v>236</v>
      </c>
      <c r="H1595" t="str">
        <f>VLOOKUP(G1595,[1]OPERADORES!$A:$B,2,0)</f>
        <v>DANIEL</v>
      </c>
      <c r="I1595" t="s">
        <v>21</v>
      </c>
      <c r="J1595" t="s">
        <v>211</v>
      </c>
      <c r="K1595" t="s">
        <v>212</v>
      </c>
      <c r="L1595">
        <v>20525</v>
      </c>
      <c r="M1595" t="s">
        <v>137</v>
      </c>
      <c r="O1595" t="s">
        <v>11</v>
      </c>
      <c r="P1595">
        <v>5102</v>
      </c>
      <c r="Q1595">
        <v>2</v>
      </c>
      <c r="R1595">
        <v>14.13</v>
      </c>
      <c r="S1595">
        <v>28.26</v>
      </c>
      <c r="T1595">
        <v>20.72</v>
      </c>
      <c r="U1595">
        <v>26.68</v>
      </c>
      <c r="V1595" t="str">
        <f>VLOOKUP(L1595,'[2]tabela de preços'!$A:$D,4,0)</f>
        <v>SHERWIN WILLIAMS</v>
      </c>
      <c r="W1595" t="str">
        <f>VLOOKUP(L1595,'[2]tabela de preços'!$A:$F,6,0)</f>
        <v>MASSA DE PEQUENOS REPAROS</v>
      </c>
      <c r="X1595" t="str">
        <f>VLOOKUP(L1595,'[2]tabela de preços'!$A:$G,7,0)</f>
        <v>AUTOMOTIVO</v>
      </c>
    </row>
    <row r="1596" spans="1:24" x14ac:dyDescent="0.3">
      <c r="A1596" t="s">
        <v>208</v>
      </c>
      <c r="C1596" t="s">
        <v>227</v>
      </c>
      <c r="D1596" s="1">
        <v>46044</v>
      </c>
      <c r="E1596" t="s">
        <v>228</v>
      </c>
      <c r="F1596">
        <v>9</v>
      </c>
      <c r="G1596">
        <v>236</v>
      </c>
      <c r="H1596" t="str">
        <f>VLOOKUP(G1596,[1]OPERADORES!$A:$B,2,0)</f>
        <v>DANIEL</v>
      </c>
      <c r="I1596" t="s">
        <v>21</v>
      </c>
      <c r="J1596" t="s">
        <v>211</v>
      </c>
      <c r="K1596" t="s">
        <v>212</v>
      </c>
      <c r="L1596">
        <v>20025</v>
      </c>
      <c r="M1596" t="s">
        <v>230</v>
      </c>
      <c r="O1596" t="s">
        <v>11</v>
      </c>
      <c r="P1596">
        <v>5403</v>
      </c>
      <c r="Q1596">
        <v>1</v>
      </c>
      <c r="R1596">
        <v>23.84</v>
      </c>
      <c r="S1596">
        <v>23.84</v>
      </c>
      <c r="T1596">
        <v>17.48</v>
      </c>
      <c r="U1596">
        <v>26.68</v>
      </c>
      <c r="V1596" t="str">
        <f>VLOOKUP(L1596,'[2]tabela de preços'!$A:$D,4,0)</f>
        <v>ANJO</v>
      </c>
      <c r="W1596" t="str">
        <f>VLOOKUP(L1596,'[2]tabela de preços'!$A:$F,6,0)</f>
        <v>PRIMER AUTOMOTIVO</v>
      </c>
      <c r="X1596" t="str">
        <f>VLOOKUP(L1596,'[2]tabela de preços'!$A:$G,7,0)</f>
        <v>AUTOMOTIVO</v>
      </c>
    </row>
    <row r="1597" spans="1:24" x14ac:dyDescent="0.3">
      <c r="A1597" t="s">
        <v>279</v>
      </c>
      <c r="C1597" t="s">
        <v>299</v>
      </c>
      <c r="D1597" s="1">
        <v>46044</v>
      </c>
      <c r="E1597" t="s">
        <v>300</v>
      </c>
      <c r="F1597">
        <v>9</v>
      </c>
      <c r="G1597">
        <v>197</v>
      </c>
      <c r="H1597" t="str">
        <f>VLOOKUP(G1597,[1]OPERADORES!$A:$B,2,0)</f>
        <v xml:space="preserve">POLIANA LORRANE DE AMORIM </v>
      </c>
      <c r="I1597" t="s">
        <v>282</v>
      </c>
      <c r="J1597" t="s">
        <v>283</v>
      </c>
      <c r="K1597" t="s">
        <v>284</v>
      </c>
      <c r="L1597">
        <v>84145</v>
      </c>
      <c r="M1597" t="s">
        <v>301</v>
      </c>
      <c r="O1597" t="s">
        <v>11</v>
      </c>
      <c r="P1597">
        <v>6403</v>
      </c>
      <c r="Q1597">
        <v>4</v>
      </c>
      <c r="R1597">
        <v>59.98</v>
      </c>
      <c r="S1597">
        <v>239.92</v>
      </c>
      <c r="T1597">
        <v>208.04</v>
      </c>
      <c r="U1597">
        <v>13.29</v>
      </c>
      <c r="V1597" t="str">
        <f>VLOOKUP(L1597,'[2]tabela de preços'!$A:$D,4,0)</f>
        <v>BRASILUX</v>
      </c>
      <c r="W1597" t="str">
        <f>VLOOKUP(L1597,'[2]tabela de preços'!$A:$F,6,0)</f>
        <v>ESMALTES</v>
      </c>
      <c r="X1597" t="str">
        <f>VLOOKUP(L1597,'[2]tabela de preços'!$A:$G,7,0)</f>
        <v>INDUSTRIAL</v>
      </c>
    </row>
    <row r="1598" spans="1:24" x14ac:dyDescent="0.3">
      <c r="A1598" t="s">
        <v>279</v>
      </c>
      <c r="C1598" t="s">
        <v>299</v>
      </c>
      <c r="D1598" s="1">
        <v>46044</v>
      </c>
      <c r="E1598" t="s">
        <v>300</v>
      </c>
      <c r="F1598">
        <v>9</v>
      </c>
      <c r="G1598">
        <v>197</v>
      </c>
      <c r="H1598" t="str">
        <f>VLOOKUP(G1598,[1]OPERADORES!$A:$B,2,0)</f>
        <v xml:space="preserve">POLIANA LORRANE DE AMORIM </v>
      </c>
      <c r="I1598" t="s">
        <v>282</v>
      </c>
      <c r="J1598" t="s">
        <v>283</v>
      </c>
      <c r="K1598" t="s">
        <v>284</v>
      </c>
      <c r="L1598">
        <v>84381</v>
      </c>
      <c r="M1598" t="s">
        <v>91</v>
      </c>
      <c r="O1598" t="s">
        <v>11</v>
      </c>
      <c r="P1598">
        <v>6403</v>
      </c>
      <c r="Q1598">
        <v>5</v>
      </c>
      <c r="R1598">
        <v>159.9</v>
      </c>
      <c r="S1598">
        <v>799.5</v>
      </c>
      <c r="T1598">
        <v>688.05</v>
      </c>
      <c r="U1598">
        <v>13.94</v>
      </c>
      <c r="V1598" t="str">
        <f>VLOOKUP(L1598,'[2]tabela de preços'!$A:$D,4,0)</f>
        <v>BRASILUX</v>
      </c>
      <c r="W1598" t="str">
        <f>VLOOKUP(L1598,'[2]tabela de preços'!$A:$F,6,0)</f>
        <v>TINTA PARA PISO</v>
      </c>
      <c r="X1598" t="str">
        <f>VLOOKUP(L1598,'[2]tabela de preços'!$A:$G,7,0)</f>
        <v>IMOBILIÁRIO</v>
      </c>
    </row>
    <row r="1599" spans="1:24" x14ac:dyDescent="0.3">
      <c r="A1599" t="s">
        <v>347</v>
      </c>
      <c r="C1599" t="s">
        <v>348</v>
      </c>
      <c r="D1599" s="1">
        <v>46044</v>
      </c>
      <c r="E1599" t="s">
        <v>349</v>
      </c>
      <c r="F1599">
        <v>9</v>
      </c>
      <c r="G1599">
        <v>174</v>
      </c>
      <c r="H1599" t="str">
        <f>VLOOKUP(G1599,[1]OPERADORES!$A:$B,2,0)</f>
        <v>MIRIÃ LOBATO RODRIGUES</v>
      </c>
      <c r="I1599" t="s">
        <v>21</v>
      </c>
      <c r="J1599" t="s">
        <v>350</v>
      </c>
      <c r="K1599" t="s">
        <v>351</v>
      </c>
      <c r="L1599">
        <v>86542</v>
      </c>
      <c r="M1599" t="s">
        <v>352</v>
      </c>
      <c r="O1599" t="s">
        <v>11</v>
      </c>
      <c r="P1599">
        <v>5102</v>
      </c>
      <c r="Q1599">
        <v>1</v>
      </c>
      <c r="R1599">
        <v>78.900000000000006</v>
      </c>
      <c r="S1599">
        <v>78.900000000000006</v>
      </c>
      <c r="T1599">
        <v>69.16</v>
      </c>
      <c r="U1599">
        <v>12.34</v>
      </c>
      <c r="V1599" t="str">
        <f>VLOOKUP(L1599,'[2]tabela de preços'!$A:$D,4,0)</f>
        <v>CORAL</v>
      </c>
      <c r="W1599" t="str">
        <f>VLOOKUP(L1599,'[2]tabela de preços'!$A:$F,6,0)</f>
        <v>MASSA CORRIDA / ACRÍLICA</v>
      </c>
      <c r="X1599" t="str">
        <f>VLOOKUP(L1599,'[2]tabela de preços'!$A:$G,7,0)</f>
        <v>IMOBILIÁRIO</v>
      </c>
    </row>
    <row r="1600" spans="1:24" x14ac:dyDescent="0.3">
      <c r="A1600" t="s">
        <v>347</v>
      </c>
      <c r="C1600" t="s">
        <v>348</v>
      </c>
      <c r="D1600" s="1">
        <v>46044</v>
      </c>
      <c r="E1600" t="s">
        <v>349</v>
      </c>
      <c r="F1600">
        <v>9</v>
      </c>
      <c r="G1600">
        <v>174</v>
      </c>
      <c r="H1600" t="str">
        <f>VLOOKUP(G1600,[1]OPERADORES!$A:$B,2,0)</f>
        <v>MIRIÃ LOBATO RODRIGUES</v>
      </c>
      <c r="I1600" t="s">
        <v>21</v>
      </c>
      <c r="J1600" t="s">
        <v>350</v>
      </c>
      <c r="K1600" t="s">
        <v>351</v>
      </c>
      <c r="L1600">
        <v>84420</v>
      </c>
      <c r="M1600" t="s">
        <v>353</v>
      </c>
      <c r="O1600" t="s">
        <v>11</v>
      </c>
      <c r="P1600">
        <v>5102</v>
      </c>
      <c r="Q1600">
        <v>2</v>
      </c>
      <c r="R1600">
        <v>20.82</v>
      </c>
      <c r="S1600">
        <v>41.64</v>
      </c>
      <c r="T1600">
        <v>30.88</v>
      </c>
      <c r="U1600">
        <v>25.84</v>
      </c>
      <c r="V1600" t="str">
        <f>VLOOKUP(L1600,'[2]tabela de preços'!$A:$D,4,0)</f>
        <v>ATLAS</v>
      </c>
      <c r="W1600" t="str">
        <f>VLOOKUP(L1600,'[2]tabela de preços'!$A:$F,6,0)</f>
        <v>ROLOS / TRINCHAS / PINCÉIS / ESPÁTULAS</v>
      </c>
      <c r="X1600" t="str">
        <f>VLOOKUP(L1600,'[2]tabela de preços'!$A:$G,7,0)</f>
        <v>IMOBILIÁRIO</v>
      </c>
    </row>
    <row r="1601" spans="1:24" x14ac:dyDescent="0.3">
      <c r="A1601" t="s">
        <v>347</v>
      </c>
      <c r="C1601" t="s">
        <v>348</v>
      </c>
      <c r="D1601" s="1">
        <v>46044</v>
      </c>
      <c r="E1601" t="s">
        <v>349</v>
      </c>
      <c r="F1601">
        <v>9</v>
      </c>
      <c r="G1601">
        <v>174</v>
      </c>
      <c r="H1601" t="str">
        <f>VLOOKUP(G1601,[1]OPERADORES!$A:$B,2,0)</f>
        <v>MIRIÃ LOBATO RODRIGUES</v>
      </c>
      <c r="I1601" t="s">
        <v>21</v>
      </c>
      <c r="J1601" t="s">
        <v>350</v>
      </c>
      <c r="K1601" t="s">
        <v>351</v>
      </c>
      <c r="L1601">
        <v>85037</v>
      </c>
      <c r="M1601" t="s">
        <v>60</v>
      </c>
      <c r="O1601" t="s">
        <v>11</v>
      </c>
      <c r="P1601">
        <v>5102</v>
      </c>
      <c r="Q1601">
        <v>2</v>
      </c>
      <c r="R1601">
        <v>6.12</v>
      </c>
      <c r="S1601">
        <v>12.24</v>
      </c>
      <c r="T1601">
        <v>9.08</v>
      </c>
      <c r="U1601">
        <v>25.82</v>
      </c>
      <c r="V1601" t="str">
        <f>VLOOKUP(L1601,'[2]tabela de preços'!$A:$D,4,0)</f>
        <v>ATLAS</v>
      </c>
      <c r="W1601" t="str">
        <f>VLOOKUP(L1601,'[2]tabela de preços'!$A:$F,6,0)</f>
        <v>ROLOS / TRINCHAS / PINCÉIS / ESPÁTULAS</v>
      </c>
      <c r="X1601" t="str">
        <f>VLOOKUP(L1601,'[2]tabela de preços'!$A:$G,7,0)</f>
        <v>IMOBILIÁRIO</v>
      </c>
    </row>
    <row r="1602" spans="1:24" x14ac:dyDescent="0.3">
      <c r="A1602" t="s">
        <v>369</v>
      </c>
      <c r="C1602" t="s">
        <v>376</v>
      </c>
      <c r="D1602" s="1">
        <v>46044</v>
      </c>
      <c r="E1602" t="s">
        <v>377</v>
      </c>
      <c r="F1602">
        <v>9</v>
      </c>
      <c r="G1602">
        <v>236</v>
      </c>
      <c r="H1602" t="str">
        <f>VLOOKUP(G1602,[1]OPERADORES!$A:$B,2,0)</f>
        <v>DANIEL</v>
      </c>
      <c r="I1602" t="s">
        <v>21</v>
      </c>
      <c r="J1602" t="s">
        <v>372</v>
      </c>
      <c r="K1602" t="s">
        <v>373</v>
      </c>
      <c r="L1602">
        <v>86230</v>
      </c>
      <c r="M1602" t="s">
        <v>375</v>
      </c>
      <c r="O1602" t="s">
        <v>11</v>
      </c>
      <c r="P1602">
        <v>5403</v>
      </c>
      <c r="Q1602">
        <v>1</v>
      </c>
      <c r="R1602">
        <v>280.61</v>
      </c>
      <c r="S1602">
        <v>280.61</v>
      </c>
      <c r="T1602">
        <v>220.78</v>
      </c>
      <c r="U1602">
        <v>21.32</v>
      </c>
      <c r="V1602" t="str">
        <f>VLOOKUP(L1602,'[2]tabela de preços'!$A:$D,4,0)</f>
        <v>CORAL</v>
      </c>
      <c r="W1602" t="str">
        <f>VLOOKUP(L1602,'[2]tabela de preços'!$A:$F,6,0)</f>
        <v>TINTA PAREDE</v>
      </c>
      <c r="X1602" t="str">
        <f>VLOOKUP(L1602,'[2]tabela de preços'!$A:$G,7,0)</f>
        <v>IMOBILIÁRIO</v>
      </c>
    </row>
    <row r="1603" spans="1:24" x14ac:dyDescent="0.3">
      <c r="A1603" t="s">
        <v>369</v>
      </c>
      <c r="C1603" t="s">
        <v>376</v>
      </c>
      <c r="D1603" s="1">
        <v>46044</v>
      </c>
      <c r="E1603" t="s">
        <v>377</v>
      </c>
      <c r="F1603">
        <v>9</v>
      </c>
      <c r="G1603">
        <v>236</v>
      </c>
      <c r="H1603" t="str">
        <f>VLOOKUP(G1603,[1]OPERADORES!$A:$B,2,0)</f>
        <v>DANIEL</v>
      </c>
      <c r="I1603" t="s">
        <v>21</v>
      </c>
      <c r="J1603" t="s">
        <v>372</v>
      </c>
      <c r="K1603" t="s">
        <v>373</v>
      </c>
      <c r="L1603">
        <v>84928</v>
      </c>
      <c r="M1603" t="s">
        <v>36</v>
      </c>
      <c r="O1603" t="s">
        <v>11</v>
      </c>
      <c r="P1603">
        <v>5102</v>
      </c>
      <c r="Q1603">
        <v>10</v>
      </c>
      <c r="R1603">
        <v>9.39</v>
      </c>
      <c r="S1603">
        <v>93.9</v>
      </c>
      <c r="T1603">
        <v>71.3</v>
      </c>
      <c r="U1603">
        <v>24.07</v>
      </c>
      <c r="V1603" t="str">
        <f>VLOOKUP(L1603,'[2]tabela de preços'!$A:$D,4,0)</f>
        <v>ADERE</v>
      </c>
      <c r="W1603" t="str">
        <f>VLOOKUP(L1603,'[2]tabela de preços'!$A:$F,6,0)</f>
        <v xml:space="preserve">FITA DE USO GERAL </v>
      </c>
      <c r="X1603" t="str">
        <f>VLOOKUP(L1603,'[2]tabela de preços'!$A:$G,7,0)</f>
        <v>IMOBILIÁRIO</v>
      </c>
    </row>
    <row r="1604" spans="1:24" x14ac:dyDescent="0.3">
      <c r="A1604" t="s">
        <v>543</v>
      </c>
      <c r="C1604" t="s">
        <v>544</v>
      </c>
      <c r="D1604" s="1">
        <v>46044</v>
      </c>
      <c r="E1604" t="s">
        <v>545</v>
      </c>
      <c r="F1604">
        <v>9</v>
      </c>
      <c r="G1604">
        <v>174</v>
      </c>
      <c r="H1604" t="str">
        <f>VLOOKUP(G1604,[1]OPERADORES!$A:$B,2,0)</f>
        <v>MIRIÃ LOBATO RODRIGUES</v>
      </c>
      <c r="I1604" t="s">
        <v>21</v>
      </c>
      <c r="J1604" t="s">
        <v>469</v>
      </c>
      <c r="K1604" t="s">
        <v>546</v>
      </c>
      <c r="L1604">
        <v>84331</v>
      </c>
      <c r="M1604" t="s">
        <v>497</v>
      </c>
      <c r="O1604" t="s">
        <v>11</v>
      </c>
      <c r="P1604">
        <v>5403</v>
      </c>
      <c r="Q1604">
        <v>10</v>
      </c>
      <c r="R1604">
        <v>59.98</v>
      </c>
      <c r="S1604">
        <v>599.79999999999995</v>
      </c>
      <c r="T1604">
        <v>520</v>
      </c>
      <c r="U1604">
        <v>13.3</v>
      </c>
      <c r="V1604" t="str">
        <f>VLOOKUP(L1604,'[2]tabela de preços'!$A:$D,4,0)</f>
        <v>BRASILUX</v>
      </c>
      <c r="W1604" t="str">
        <f>VLOOKUP(L1604,'[2]tabela de preços'!$A:$F,6,0)</f>
        <v>ESMALTES</v>
      </c>
      <c r="X1604" t="str">
        <f>VLOOKUP(L1604,'[2]tabela de preços'!$A:$G,7,0)</f>
        <v>INDUSTRIAL</v>
      </c>
    </row>
    <row r="1605" spans="1:24" x14ac:dyDescent="0.3">
      <c r="A1605" t="s">
        <v>610</v>
      </c>
      <c r="C1605" t="s">
        <v>611</v>
      </c>
      <c r="D1605" s="1">
        <v>46044</v>
      </c>
      <c r="E1605" t="s">
        <v>612</v>
      </c>
      <c r="F1605">
        <v>9</v>
      </c>
      <c r="G1605">
        <v>174</v>
      </c>
      <c r="H1605" t="str">
        <f>VLOOKUP(G1605,[1]OPERADORES!$A:$B,2,0)</f>
        <v>MIRIÃ LOBATO RODRIGUES</v>
      </c>
      <c r="I1605" t="s">
        <v>613</v>
      </c>
      <c r="J1605" t="s">
        <v>614</v>
      </c>
      <c r="K1605" t="s">
        <v>615</v>
      </c>
      <c r="L1605">
        <v>23690</v>
      </c>
      <c r="M1605" t="s">
        <v>98</v>
      </c>
      <c r="O1605" t="s">
        <v>11</v>
      </c>
      <c r="P1605">
        <v>5403</v>
      </c>
      <c r="Q1605">
        <v>12</v>
      </c>
      <c r="R1605">
        <v>39.89</v>
      </c>
      <c r="S1605">
        <v>478.68</v>
      </c>
      <c r="T1605">
        <v>379.32</v>
      </c>
      <c r="U1605">
        <v>20.76</v>
      </c>
      <c r="V1605" t="str">
        <f>VLOOKUP(L1605,'[2]tabela de preços'!$A:$D,4,0)</f>
        <v>WANDA</v>
      </c>
      <c r="W1605" t="str">
        <f>VLOOKUP(L1605,'[2]tabela de preços'!$A:$F,6,0)</f>
        <v>VERNIZ AUTOMOTIVO</v>
      </c>
      <c r="X1605" t="str">
        <f>VLOOKUP(L1605,'[2]tabela de preços'!$A:$G,7,0)</f>
        <v>AUTOMOTIVO</v>
      </c>
    </row>
    <row r="1606" spans="1:24" x14ac:dyDescent="0.3">
      <c r="A1606" t="s">
        <v>610</v>
      </c>
      <c r="C1606" t="s">
        <v>611</v>
      </c>
      <c r="D1606" s="1">
        <v>46044</v>
      </c>
      <c r="E1606" t="s">
        <v>612</v>
      </c>
      <c r="F1606">
        <v>9</v>
      </c>
      <c r="G1606">
        <v>174</v>
      </c>
      <c r="H1606" t="str">
        <f>VLOOKUP(G1606,[1]OPERADORES!$A:$B,2,0)</f>
        <v>MIRIÃ LOBATO RODRIGUES</v>
      </c>
      <c r="I1606" t="s">
        <v>613</v>
      </c>
      <c r="J1606" t="s">
        <v>614</v>
      </c>
      <c r="K1606" t="s">
        <v>615</v>
      </c>
      <c r="L1606">
        <v>13</v>
      </c>
      <c r="M1606" t="s">
        <v>152</v>
      </c>
      <c r="O1606" t="s">
        <v>11</v>
      </c>
      <c r="P1606">
        <v>5102</v>
      </c>
      <c r="Q1606">
        <v>50</v>
      </c>
      <c r="R1606">
        <v>5.79</v>
      </c>
      <c r="S1606">
        <v>289.5</v>
      </c>
      <c r="T1606">
        <v>208</v>
      </c>
      <c r="U1606">
        <v>28.15</v>
      </c>
      <c r="V1606" t="str">
        <f>VLOOKUP(L1606,'[2]tabela de preços'!$A:$D,4,0)</f>
        <v>3M</v>
      </c>
      <c r="W1606" t="str">
        <f>VLOOKUP(L1606,'[2]tabela de preços'!$A:$F,6,0)</f>
        <v>LIXA DÁGUA</v>
      </c>
      <c r="X1606" t="str">
        <f>VLOOKUP(L1606,'[2]tabela de preços'!$A:$G,7,0)</f>
        <v>AUTOMOTIVO</v>
      </c>
    </row>
    <row r="1607" spans="1:24" x14ac:dyDescent="0.3">
      <c r="A1607" t="s">
        <v>610</v>
      </c>
      <c r="C1607" t="s">
        <v>611</v>
      </c>
      <c r="D1607" s="1">
        <v>46044</v>
      </c>
      <c r="E1607" t="s">
        <v>612</v>
      </c>
      <c r="F1607">
        <v>9</v>
      </c>
      <c r="G1607">
        <v>174</v>
      </c>
      <c r="H1607" t="str">
        <f>VLOOKUP(G1607,[1]OPERADORES!$A:$B,2,0)</f>
        <v>MIRIÃ LOBATO RODRIGUES</v>
      </c>
      <c r="I1607" t="s">
        <v>613</v>
      </c>
      <c r="J1607" t="s">
        <v>614</v>
      </c>
      <c r="K1607" t="s">
        <v>615</v>
      </c>
      <c r="L1607">
        <v>85421</v>
      </c>
      <c r="M1607" t="s">
        <v>435</v>
      </c>
      <c r="O1607" t="s">
        <v>411</v>
      </c>
      <c r="P1607">
        <v>5102</v>
      </c>
      <c r="Q1607">
        <v>14</v>
      </c>
      <c r="R1607">
        <v>15.5</v>
      </c>
      <c r="S1607">
        <v>217</v>
      </c>
      <c r="T1607">
        <v>164.78</v>
      </c>
      <c r="U1607">
        <v>24.06</v>
      </c>
      <c r="V1607" t="str">
        <f>VLOOKUP(L1607,'[2]tabela de preços'!$A:$D,4,0)</f>
        <v>MAXI RUBBER</v>
      </c>
      <c r="W1607" t="str">
        <f>VLOOKUP(L1607,'[2]tabela de preços'!$A:$F,6,0)</f>
        <v>MASSA DE POLIR</v>
      </c>
      <c r="X1607" t="str">
        <f>VLOOKUP(L1607,'[2]tabela de preços'!$A:$G,7,0)</f>
        <v>AUTOMOTIVO</v>
      </c>
    </row>
    <row r="1608" spans="1:24" x14ac:dyDescent="0.3">
      <c r="A1608" t="s">
        <v>610</v>
      </c>
      <c r="C1608" t="s">
        <v>611</v>
      </c>
      <c r="D1608" s="1">
        <v>46044</v>
      </c>
      <c r="E1608" t="s">
        <v>612</v>
      </c>
      <c r="F1608">
        <v>9</v>
      </c>
      <c r="G1608">
        <v>174</v>
      </c>
      <c r="H1608" t="str">
        <f>VLOOKUP(G1608,[1]OPERADORES!$A:$B,2,0)</f>
        <v>MIRIÃ LOBATO RODRIGUES</v>
      </c>
      <c r="I1608" t="s">
        <v>613</v>
      </c>
      <c r="J1608" t="s">
        <v>614</v>
      </c>
      <c r="K1608" t="s">
        <v>615</v>
      </c>
      <c r="L1608">
        <v>20817</v>
      </c>
      <c r="M1608" t="s">
        <v>153</v>
      </c>
      <c r="O1608" t="s">
        <v>11</v>
      </c>
      <c r="P1608">
        <v>5102</v>
      </c>
      <c r="Q1608">
        <v>18</v>
      </c>
      <c r="R1608">
        <v>22.89</v>
      </c>
      <c r="S1608">
        <v>412.02</v>
      </c>
      <c r="T1608">
        <v>335.16</v>
      </c>
      <c r="U1608">
        <v>18.649999999999999</v>
      </c>
      <c r="V1608" t="str">
        <f>VLOOKUP(L1608,'[2]tabela de preços'!$A:$D,4,0)</f>
        <v>AUTO AMERICA</v>
      </c>
      <c r="W1608" t="str">
        <f>VLOOKUP(L1608,'[2]tabela de preços'!$A:$F,6,0)</f>
        <v>MASSA DE POLIR</v>
      </c>
      <c r="X1608" t="str">
        <f>VLOOKUP(L1608,'[2]tabela de preços'!$A:$G,7,0)</f>
        <v>AUTOMOTIVO</v>
      </c>
    </row>
    <row r="1609" spans="1:24" x14ac:dyDescent="0.3">
      <c r="A1609" t="s">
        <v>610</v>
      </c>
      <c r="C1609" t="s">
        <v>611</v>
      </c>
      <c r="D1609" s="1">
        <v>46044</v>
      </c>
      <c r="E1609" t="s">
        <v>612</v>
      </c>
      <c r="F1609">
        <v>9</v>
      </c>
      <c r="G1609">
        <v>174</v>
      </c>
      <c r="H1609" t="str">
        <f>VLOOKUP(G1609,[1]OPERADORES!$A:$B,2,0)</f>
        <v>MIRIÃ LOBATO RODRIGUES</v>
      </c>
      <c r="I1609" t="s">
        <v>613</v>
      </c>
      <c r="J1609" t="s">
        <v>614</v>
      </c>
      <c r="K1609" t="s">
        <v>615</v>
      </c>
      <c r="L1609">
        <v>10402</v>
      </c>
      <c r="M1609" t="s">
        <v>138</v>
      </c>
      <c r="O1609" t="s">
        <v>11</v>
      </c>
      <c r="P1609">
        <v>5102</v>
      </c>
      <c r="Q1609">
        <v>15</v>
      </c>
      <c r="R1609">
        <v>22.83</v>
      </c>
      <c r="S1609">
        <v>342.45</v>
      </c>
      <c r="T1609">
        <v>259.95</v>
      </c>
      <c r="U1609">
        <v>24.09</v>
      </c>
      <c r="V1609" t="str">
        <f>VLOOKUP(L1609,'[2]tabela de preços'!$A:$D,4,0)</f>
        <v>MAXI RUBBER</v>
      </c>
      <c r="W1609" t="str">
        <f>VLOOKUP(L1609,'[2]tabela de preços'!$A:$F,6,0)</f>
        <v>REMOVEDOR PASTOSO</v>
      </c>
      <c r="X1609" t="str">
        <f>VLOOKUP(L1609,'[2]tabela de preços'!$A:$G,7,0)</f>
        <v>AUTOMOTIVO</v>
      </c>
    </row>
    <row r="1610" spans="1:24" x14ac:dyDescent="0.3">
      <c r="A1610" t="s">
        <v>610</v>
      </c>
      <c r="C1610" t="s">
        <v>611</v>
      </c>
      <c r="D1610" s="1">
        <v>46044</v>
      </c>
      <c r="E1610" t="s">
        <v>612</v>
      </c>
      <c r="F1610">
        <v>9</v>
      </c>
      <c r="G1610">
        <v>174</v>
      </c>
      <c r="H1610" t="str">
        <f>VLOOKUP(G1610,[1]OPERADORES!$A:$B,2,0)</f>
        <v>MIRIÃ LOBATO RODRIGUES</v>
      </c>
      <c r="I1610" t="s">
        <v>613</v>
      </c>
      <c r="J1610" t="s">
        <v>614</v>
      </c>
      <c r="K1610" t="s">
        <v>615</v>
      </c>
      <c r="L1610">
        <v>84425</v>
      </c>
      <c r="M1610" t="s">
        <v>616</v>
      </c>
      <c r="O1610" t="s">
        <v>11</v>
      </c>
      <c r="P1610">
        <v>5102</v>
      </c>
      <c r="Q1610">
        <v>10</v>
      </c>
      <c r="R1610">
        <v>3.6</v>
      </c>
      <c r="S1610">
        <v>36</v>
      </c>
      <c r="T1610">
        <v>26.7</v>
      </c>
      <c r="U1610">
        <v>25.83</v>
      </c>
      <c r="V1610" t="str">
        <f>VLOOKUP(L1610,'[2]tabela de preços'!$A:$D,4,0)</f>
        <v>ATLAS</v>
      </c>
      <c r="W1610" t="str">
        <f>VLOOKUP(L1610,'[2]tabela de preços'!$A:$F,6,0)</f>
        <v>ROLOS / TRINCHAS / PINCÉIS / ESPÁTULAS</v>
      </c>
      <c r="X1610" t="str">
        <f>VLOOKUP(L1610,'[2]tabela de preços'!$A:$G,7,0)</f>
        <v>IMOBILIÁRIO</v>
      </c>
    </row>
    <row r="1611" spans="1:24" x14ac:dyDescent="0.3">
      <c r="A1611" t="s">
        <v>626</v>
      </c>
      <c r="B1611" t="s">
        <v>627</v>
      </c>
      <c r="C1611" t="s">
        <v>671</v>
      </c>
      <c r="D1611" s="1">
        <v>46044</v>
      </c>
      <c r="E1611" t="s">
        <v>672</v>
      </c>
      <c r="F1611">
        <v>9</v>
      </c>
      <c r="G1611">
        <v>174</v>
      </c>
      <c r="H1611" t="str">
        <f>VLOOKUP(G1611,[1]OPERADORES!$A:$B,2,0)</f>
        <v>MIRIÃ LOBATO RODRIGUES</v>
      </c>
      <c r="I1611" t="s">
        <v>21</v>
      </c>
      <c r="J1611" t="s">
        <v>630</v>
      </c>
      <c r="K1611" t="s">
        <v>631</v>
      </c>
      <c r="L1611">
        <v>84487</v>
      </c>
      <c r="M1611" t="s">
        <v>633</v>
      </c>
      <c r="O1611" t="s">
        <v>11</v>
      </c>
      <c r="P1611">
        <v>5403</v>
      </c>
      <c r="Q1611">
        <v>3</v>
      </c>
      <c r="R1611">
        <v>28.84</v>
      </c>
      <c r="S1611">
        <v>86.52</v>
      </c>
      <c r="T1611">
        <v>65.67</v>
      </c>
      <c r="U1611">
        <v>24.1</v>
      </c>
      <c r="V1611" t="str">
        <f>VLOOKUP(L1611,'[2]tabela de preços'!$A:$D,4,0)</f>
        <v>BRASILUX</v>
      </c>
      <c r="W1611" t="str">
        <f>VLOOKUP(L1611,'[2]tabela de preços'!$A:$F,6,0)</f>
        <v>TINTAS LACA</v>
      </c>
      <c r="X1611" t="str">
        <f>VLOOKUP(L1611,'[2]tabela de preços'!$A:$G,7,0)</f>
        <v>AUTOMOTIVO</v>
      </c>
    </row>
    <row r="1612" spans="1:24" x14ac:dyDescent="0.3">
      <c r="A1612" t="s">
        <v>626</v>
      </c>
      <c r="B1612" t="s">
        <v>627</v>
      </c>
      <c r="C1612" t="s">
        <v>671</v>
      </c>
      <c r="D1612" s="1">
        <v>46044</v>
      </c>
      <c r="E1612" t="s">
        <v>672</v>
      </c>
      <c r="F1612">
        <v>9</v>
      </c>
      <c r="G1612">
        <v>174</v>
      </c>
      <c r="H1612" t="str">
        <f>VLOOKUP(G1612,[1]OPERADORES!$A:$B,2,0)</f>
        <v>MIRIÃ LOBATO RODRIGUES</v>
      </c>
      <c r="I1612" t="s">
        <v>21</v>
      </c>
      <c r="J1612" t="s">
        <v>630</v>
      </c>
      <c r="K1612" t="s">
        <v>631</v>
      </c>
      <c r="L1612">
        <v>84259</v>
      </c>
      <c r="M1612" t="s">
        <v>673</v>
      </c>
      <c r="O1612" t="s">
        <v>11</v>
      </c>
      <c r="P1612">
        <v>5403</v>
      </c>
      <c r="Q1612">
        <v>1</v>
      </c>
      <c r="R1612">
        <v>29.84</v>
      </c>
      <c r="S1612">
        <v>29.84</v>
      </c>
      <c r="T1612">
        <v>22.64</v>
      </c>
      <c r="U1612">
        <v>24.13</v>
      </c>
      <c r="V1612" t="str">
        <f>VLOOKUP(L1612,'[2]tabela de preços'!$A:$D,4,0)</f>
        <v>BRASILUX</v>
      </c>
      <c r="W1612" t="str">
        <f>VLOOKUP(L1612,'[2]tabela de preços'!$A:$F,6,0)</f>
        <v>TINTA PAREDE</v>
      </c>
      <c r="X1612" t="str">
        <f>VLOOKUP(L1612,'[2]tabela de preços'!$A:$G,7,0)</f>
        <v>IMOBILIÁRIO</v>
      </c>
    </row>
    <row r="1613" spans="1:24" x14ac:dyDescent="0.3">
      <c r="A1613" t="s">
        <v>626</v>
      </c>
      <c r="B1613" t="s">
        <v>627</v>
      </c>
      <c r="C1613" t="s">
        <v>671</v>
      </c>
      <c r="D1613" s="1">
        <v>46044</v>
      </c>
      <c r="E1613" t="s">
        <v>672</v>
      </c>
      <c r="F1613">
        <v>9</v>
      </c>
      <c r="G1613">
        <v>174</v>
      </c>
      <c r="H1613" t="str">
        <f>VLOOKUP(G1613,[1]OPERADORES!$A:$B,2,0)</f>
        <v>MIRIÃ LOBATO RODRIGUES</v>
      </c>
      <c r="I1613" t="s">
        <v>21</v>
      </c>
      <c r="J1613" t="s">
        <v>630</v>
      </c>
      <c r="K1613" t="s">
        <v>631</v>
      </c>
      <c r="L1613">
        <v>85635</v>
      </c>
      <c r="M1613" t="s">
        <v>674</v>
      </c>
      <c r="O1613" t="s">
        <v>11</v>
      </c>
      <c r="P1613">
        <v>5102</v>
      </c>
      <c r="Q1613">
        <v>6</v>
      </c>
      <c r="R1613">
        <v>5.27</v>
      </c>
      <c r="S1613">
        <v>31.62</v>
      </c>
      <c r="T1613">
        <v>24</v>
      </c>
      <c r="U1613">
        <v>24.1</v>
      </c>
      <c r="V1613" t="str">
        <f>VLOOKUP(L1613,'[2]tabela de preços'!$A:$D,4,0)</f>
        <v>UNIPEGA</v>
      </c>
      <c r="W1613" t="str">
        <f>VLOOKUP(L1613,'[2]tabela de preços'!$A:$F,6,0)</f>
        <v>DESENGRIPANTE</v>
      </c>
      <c r="X1613" t="str">
        <f>VLOOKUP(L1613,'[2]tabela de preços'!$A:$G,7,0)</f>
        <v>AUTOMOTIVO</v>
      </c>
    </row>
    <row r="1614" spans="1:24" x14ac:dyDescent="0.3">
      <c r="A1614" t="s">
        <v>626</v>
      </c>
      <c r="B1614" t="s">
        <v>627</v>
      </c>
      <c r="C1614" t="s">
        <v>671</v>
      </c>
      <c r="D1614" s="1">
        <v>46044</v>
      </c>
      <c r="E1614" t="s">
        <v>672</v>
      </c>
      <c r="F1614">
        <v>9</v>
      </c>
      <c r="G1614">
        <v>174</v>
      </c>
      <c r="H1614" t="str">
        <f>VLOOKUP(G1614,[1]OPERADORES!$A:$B,2,0)</f>
        <v>MIRIÃ LOBATO RODRIGUES</v>
      </c>
      <c r="I1614" t="s">
        <v>21</v>
      </c>
      <c r="J1614" t="s">
        <v>630</v>
      </c>
      <c r="K1614" t="s">
        <v>631</v>
      </c>
      <c r="L1614">
        <v>23110</v>
      </c>
      <c r="M1614" t="s">
        <v>409</v>
      </c>
      <c r="O1614" t="s">
        <v>11</v>
      </c>
      <c r="P1614">
        <v>5102</v>
      </c>
      <c r="Q1614">
        <v>50</v>
      </c>
      <c r="R1614">
        <v>2.35</v>
      </c>
      <c r="S1614">
        <v>117.5</v>
      </c>
      <c r="T1614">
        <v>92.5</v>
      </c>
      <c r="U1614">
        <v>21.28</v>
      </c>
      <c r="V1614" t="str">
        <f>VLOOKUP(L1614,'[2]tabela de preços'!$A:$D,4,0)</f>
        <v>3M</v>
      </c>
      <c r="W1614" t="str">
        <f>VLOOKUP(L1614,'[2]tabela de preços'!$A:$F,6,0)</f>
        <v xml:space="preserve">DISCOS / LIXAS / ABRASIVOS </v>
      </c>
      <c r="X1614" t="str">
        <f>VLOOKUP(L1614,'[2]tabela de preços'!$A:$G,7,0)</f>
        <v>AUTOMOTIVO</v>
      </c>
    </row>
    <row r="1615" spans="1:24" x14ac:dyDescent="0.3">
      <c r="A1615" t="s">
        <v>626</v>
      </c>
      <c r="B1615" t="s">
        <v>627</v>
      </c>
      <c r="C1615" t="s">
        <v>671</v>
      </c>
      <c r="D1615" s="1">
        <v>46044</v>
      </c>
      <c r="E1615" t="s">
        <v>672</v>
      </c>
      <c r="F1615">
        <v>9</v>
      </c>
      <c r="G1615">
        <v>174</v>
      </c>
      <c r="H1615" t="str">
        <f>VLOOKUP(G1615,[1]OPERADORES!$A:$B,2,0)</f>
        <v>MIRIÃ LOBATO RODRIGUES</v>
      </c>
      <c r="I1615" t="s">
        <v>21</v>
      </c>
      <c r="J1615" t="s">
        <v>630</v>
      </c>
      <c r="K1615" t="s">
        <v>631</v>
      </c>
      <c r="L1615">
        <v>23076</v>
      </c>
      <c r="M1615" t="s">
        <v>97</v>
      </c>
      <c r="O1615" t="s">
        <v>11</v>
      </c>
      <c r="P1615">
        <v>5403</v>
      </c>
      <c r="Q1615">
        <v>18</v>
      </c>
      <c r="R1615">
        <v>34.89</v>
      </c>
      <c r="S1615">
        <v>628.02</v>
      </c>
      <c r="T1615">
        <v>477.54</v>
      </c>
      <c r="U1615">
        <v>23.96</v>
      </c>
      <c r="V1615" t="str">
        <f>VLOOKUP(L1615,'[2]tabela de preços'!$A:$D,4,0)</f>
        <v>WANDA</v>
      </c>
      <c r="W1615" t="str">
        <f>VLOOKUP(L1615,'[2]tabela de preços'!$A:$F,6,0)</f>
        <v>PRIMER AUTOMOTIVO</v>
      </c>
      <c r="X1615" t="str">
        <f>VLOOKUP(L1615,'[2]tabela de preços'!$A:$G,7,0)</f>
        <v>AUTOMOTIVO</v>
      </c>
    </row>
    <row r="1616" spans="1:24" x14ac:dyDescent="0.3">
      <c r="A1616" t="s">
        <v>626</v>
      </c>
      <c r="B1616" t="s">
        <v>627</v>
      </c>
      <c r="C1616" t="s">
        <v>671</v>
      </c>
      <c r="D1616" s="1">
        <v>46044</v>
      </c>
      <c r="E1616" t="s">
        <v>672</v>
      </c>
      <c r="F1616">
        <v>9</v>
      </c>
      <c r="G1616">
        <v>174</v>
      </c>
      <c r="H1616" t="str">
        <f>VLOOKUP(G1616,[1]OPERADORES!$A:$B,2,0)</f>
        <v>MIRIÃ LOBATO RODRIGUES</v>
      </c>
      <c r="I1616" t="s">
        <v>21</v>
      </c>
      <c r="J1616" t="s">
        <v>630</v>
      </c>
      <c r="K1616" t="s">
        <v>631</v>
      </c>
      <c r="L1616">
        <v>23602</v>
      </c>
      <c r="M1616" t="s">
        <v>215</v>
      </c>
      <c r="O1616" t="s">
        <v>11</v>
      </c>
      <c r="P1616">
        <v>5403</v>
      </c>
      <c r="Q1616">
        <v>9</v>
      </c>
      <c r="R1616">
        <v>35.89</v>
      </c>
      <c r="S1616">
        <v>323.01</v>
      </c>
      <c r="T1616">
        <v>263.25</v>
      </c>
      <c r="U1616">
        <v>18.5</v>
      </c>
      <c r="V1616" t="str">
        <f>VLOOKUP(L1616,'[2]tabela de preços'!$A:$D,4,0)</f>
        <v>SHERWIN WILLIAMS</v>
      </c>
      <c r="W1616" t="str">
        <f>VLOOKUP(L1616,'[2]tabela de preços'!$A:$F,6,0)</f>
        <v>VERNIZ AUTOMOTIVO</v>
      </c>
      <c r="X1616" t="str">
        <f>VLOOKUP(L1616,'[2]tabela de preços'!$A:$G,7,0)</f>
        <v>AUTOMOTIVO</v>
      </c>
    </row>
    <row r="1617" spans="1:24" x14ac:dyDescent="0.3">
      <c r="A1617" t="s">
        <v>626</v>
      </c>
      <c r="B1617" t="s">
        <v>627</v>
      </c>
      <c r="C1617" t="s">
        <v>671</v>
      </c>
      <c r="D1617" s="1">
        <v>46044</v>
      </c>
      <c r="E1617" t="s">
        <v>672</v>
      </c>
      <c r="F1617">
        <v>9</v>
      </c>
      <c r="G1617">
        <v>174</v>
      </c>
      <c r="H1617" t="str">
        <f>VLOOKUP(G1617,[1]OPERADORES!$A:$B,2,0)</f>
        <v>MIRIÃ LOBATO RODRIGUES</v>
      </c>
      <c r="I1617" t="s">
        <v>21</v>
      </c>
      <c r="J1617" t="s">
        <v>630</v>
      </c>
      <c r="K1617" t="s">
        <v>631</v>
      </c>
      <c r="L1617">
        <v>20318</v>
      </c>
      <c r="M1617" t="s">
        <v>136</v>
      </c>
      <c r="O1617" t="s">
        <v>11</v>
      </c>
      <c r="P1617">
        <v>5403</v>
      </c>
      <c r="Q1617">
        <v>2</v>
      </c>
      <c r="R1617">
        <v>33.4</v>
      </c>
      <c r="S1617">
        <v>66.8</v>
      </c>
      <c r="T1617">
        <v>47.62</v>
      </c>
      <c r="U1617">
        <v>28.71</v>
      </c>
      <c r="V1617" t="str">
        <f>VLOOKUP(L1617,'[2]tabela de preços'!$A:$D,4,0)</f>
        <v>SHERWIN WILLIAMS</v>
      </c>
      <c r="W1617" t="str">
        <f>VLOOKUP(L1617,'[2]tabela de preços'!$A:$F,6,0)</f>
        <v>TINTAS POLIÉSTER</v>
      </c>
      <c r="X1617" t="str">
        <f>VLOOKUP(L1617,'[2]tabela de preços'!$A:$G,7,0)</f>
        <v>AUTOMOTIVO</v>
      </c>
    </row>
    <row r="1618" spans="1:24" x14ac:dyDescent="0.3">
      <c r="A1618" t="s">
        <v>626</v>
      </c>
      <c r="B1618" t="s">
        <v>627</v>
      </c>
      <c r="C1618" t="s">
        <v>671</v>
      </c>
      <c r="D1618" s="1">
        <v>46044</v>
      </c>
      <c r="E1618" t="s">
        <v>672</v>
      </c>
      <c r="F1618">
        <v>9</v>
      </c>
      <c r="G1618">
        <v>174</v>
      </c>
      <c r="H1618" t="str">
        <f>VLOOKUP(G1618,[1]OPERADORES!$A:$B,2,0)</f>
        <v>MIRIÃ LOBATO RODRIGUES</v>
      </c>
      <c r="I1618" t="s">
        <v>21</v>
      </c>
      <c r="J1618" t="s">
        <v>630</v>
      </c>
      <c r="K1618" t="s">
        <v>631</v>
      </c>
      <c r="L1618">
        <v>20383</v>
      </c>
      <c r="M1618" t="s">
        <v>129</v>
      </c>
      <c r="O1618" t="s">
        <v>11</v>
      </c>
      <c r="P1618">
        <v>5403</v>
      </c>
      <c r="Q1618">
        <v>2</v>
      </c>
      <c r="R1618">
        <v>33.79</v>
      </c>
      <c r="S1618">
        <v>67.58</v>
      </c>
      <c r="T1618">
        <v>48.18</v>
      </c>
      <c r="U1618">
        <v>28.71</v>
      </c>
      <c r="V1618" t="str">
        <f>VLOOKUP(L1618,'[2]tabela de preços'!$A:$D,4,0)</f>
        <v>SHERWIN WILLIAMS</v>
      </c>
      <c r="W1618" t="str">
        <f>VLOOKUP(L1618,'[2]tabela de preços'!$A:$F,6,0)</f>
        <v>TINTAS POLIÉSTER</v>
      </c>
      <c r="X1618" t="str">
        <f>VLOOKUP(L1618,'[2]tabela de preços'!$A:$G,7,0)</f>
        <v>AUTOMOTIVO</v>
      </c>
    </row>
    <row r="1619" spans="1:24" x14ac:dyDescent="0.3">
      <c r="A1619" t="s">
        <v>626</v>
      </c>
      <c r="B1619" t="s">
        <v>627</v>
      </c>
      <c r="C1619" t="s">
        <v>671</v>
      </c>
      <c r="D1619" s="1">
        <v>46044</v>
      </c>
      <c r="E1619" t="s">
        <v>672</v>
      </c>
      <c r="F1619">
        <v>9</v>
      </c>
      <c r="G1619">
        <v>174</v>
      </c>
      <c r="H1619" t="str">
        <f>VLOOKUP(G1619,[1]OPERADORES!$A:$B,2,0)</f>
        <v>MIRIÃ LOBATO RODRIGUES</v>
      </c>
      <c r="I1619" t="s">
        <v>21</v>
      </c>
      <c r="J1619" t="s">
        <v>630</v>
      </c>
      <c r="K1619" t="s">
        <v>631</v>
      </c>
      <c r="L1619">
        <v>21077</v>
      </c>
      <c r="M1619" t="s">
        <v>207</v>
      </c>
      <c r="O1619" t="s">
        <v>11</v>
      </c>
      <c r="P1619">
        <v>5102</v>
      </c>
      <c r="Q1619">
        <v>6</v>
      </c>
      <c r="R1619">
        <v>44.68</v>
      </c>
      <c r="S1619">
        <v>268.08</v>
      </c>
      <c r="T1619">
        <v>203.52</v>
      </c>
      <c r="U1619">
        <v>24.08</v>
      </c>
      <c r="V1619" t="str">
        <f>VLOOKUP(L1619,'[2]tabela de preços'!$A:$D,4,0)</f>
        <v>SHERWIN WILLIAMS</v>
      </c>
      <c r="W1619" t="str">
        <f>VLOOKUP(L1619,'[2]tabela de preços'!$A:$F,6,0)</f>
        <v>MASSA POLIÉSTER</v>
      </c>
      <c r="X1619" t="str">
        <f>VLOOKUP(L1619,'[2]tabela de preços'!$A:$G,7,0)</f>
        <v>AUTOMOTIVO</v>
      </c>
    </row>
    <row r="1620" spans="1:24" x14ac:dyDescent="0.3">
      <c r="A1620" t="s">
        <v>626</v>
      </c>
      <c r="B1620" t="s">
        <v>627</v>
      </c>
      <c r="C1620" t="s">
        <v>671</v>
      </c>
      <c r="D1620" s="1">
        <v>46044</v>
      </c>
      <c r="E1620" t="s">
        <v>672</v>
      </c>
      <c r="F1620">
        <v>9</v>
      </c>
      <c r="G1620">
        <v>174</v>
      </c>
      <c r="H1620" t="str">
        <f>VLOOKUP(G1620,[1]OPERADORES!$A:$B,2,0)</f>
        <v>MIRIÃ LOBATO RODRIGUES</v>
      </c>
      <c r="I1620" t="s">
        <v>21</v>
      </c>
      <c r="J1620" t="s">
        <v>630</v>
      </c>
      <c r="K1620" t="s">
        <v>631</v>
      </c>
      <c r="L1620">
        <v>10298</v>
      </c>
      <c r="M1620" t="s">
        <v>85</v>
      </c>
      <c r="O1620" t="s">
        <v>11</v>
      </c>
      <c r="P1620">
        <v>5102</v>
      </c>
      <c r="Q1620">
        <v>8</v>
      </c>
      <c r="R1620">
        <v>56.89</v>
      </c>
      <c r="S1620">
        <v>455.12</v>
      </c>
      <c r="T1620">
        <v>379.04</v>
      </c>
      <c r="U1620">
        <v>16.72</v>
      </c>
      <c r="V1620" t="str">
        <f>VLOOKUP(L1620,'[2]tabela de preços'!$A:$D,4,0)</f>
        <v>ANJO</v>
      </c>
      <c r="W1620" t="str">
        <f>VLOOKUP(L1620,'[2]tabela de preços'!$A:$F,6,0)</f>
        <v>THINNER DE LIMPEZA</v>
      </c>
      <c r="X1620" t="str">
        <f>VLOOKUP(L1620,'[2]tabela de preços'!$A:$G,7,0)</f>
        <v>THINNER</v>
      </c>
    </row>
    <row r="1621" spans="1:24" x14ac:dyDescent="0.3">
      <c r="A1621" t="s">
        <v>626</v>
      </c>
      <c r="B1621" t="s">
        <v>627</v>
      </c>
      <c r="C1621" t="s">
        <v>671</v>
      </c>
      <c r="D1621" s="1">
        <v>46044</v>
      </c>
      <c r="E1621" t="s">
        <v>672</v>
      </c>
      <c r="F1621">
        <v>9</v>
      </c>
      <c r="G1621">
        <v>174</v>
      </c>
      <c r="H1621" t="str">
        <f>VLOOKUP(G1621,[1]OPERADORES!$A:$B,2,0)</f>
        <v>MIRIÃ LOBATO RODRIGUES</v>
      </c>
      <c r="I1621" t="s">
        <v>21</v>
      </c>
      <c r="J1621" t="s">
        <v>630</v>
      </c>
      <c r="K1621" t="s">
        <v>631</v>
      </c>
      <c r="L1621">
        <v>85346</v>
      </c>
      <c r="M1621" t="s">
        <v>675</v>
      </c>
      <c r="O1621" t="s">
        <v>11</v>
      </c>
      <c r="P1621">
        <v>5403</v>
      </c>
      <c r="Q1621">
        <v>1</v>
      </c>
      <c r="R1621">
        <v>59.14</v>
      </c>
      <c r="S1621">
        <v>59.14</v>
      </c>
      <c r="T1621">
        <v>44.89</v>
      </c>
      <c r="U1621">
        <v>24.1</v>
      </c>
      <c r="V1621" t="str">
        <f>VLOOKUP(L1621,'[2]tabela de preços'!$A:$D,4,0)</f>
        <v>DÁVILA  INOVE</v>
      </c>
      <c r="W1621" t="str">
        <f>VLOOKUP(L1621,'[2]tabela de preços'!$A:$F,6,0)</f>
        <v>TINTA PAREDE</v>
      </c>
      <c r="X1621" t="str">
        <f>VLOOKUP(L1621,'[2]tabela de preços'!$A:$G,7,0)</f>
        <v>IMOBILIÁRIO</v>
      </c>
    </row>
    <row r="1622" spans="1:24" x14ac:dyDescent="0.3">
      <c r="A1622" t="s">
        <v>727</v>
      </c>
      <c r="C1622" t="s">
        <v>745</v>
      </c>
      <c r="D1622" s="1">
        <v>46044</v>
      </c>
      <c r="E1622" t="s">
        <v>746</v>
      </c>
      <c r="F1622">
        <v>9</v>
      </c>
      <c r="G1622">
        <v>231</v>
      </c>
      <c r="H1622" t="str">
        <f>VLOOKUP(G1622,[1]OPERADORES!$A:$B,2,0)</f>
        <v>EDIJANE</v>
      </c>
      <c r="I1622" t="s">
        <v>21</v>
      </c>
      <c r="J1622" t="s">
        <v>730</v>
      </c>
      <c r="K1622" t="s">
        <v>731</v>
      </c>
      <c r="L1622">
        <v>84113</v>
      </c>
      <c r="M1622" t="s">
        <v>737</v>
      </c>
      <c r="O1622" t="s">
        <v>11</v>
      </c>
      <c r="P1622">
        <v>5403</v>
      </c>
      <c r="Q1622">
        <v>6</v>
      </c>
      <c r="R1622">
        <v>153.09</v>
      </c>
      <c r="S1622">
        <v>918.54</v>
      </c>
      <c r="T1622">
        <v>701.28</v>
      </c>
      <c r="U1622">
        <v>23.65</v>
      </c>
      <c r="V1622" t="str">
        <f>VLOOKUP(L1622,'[2]tabela de preços'!$A:$D,4,0)</f>
        <v>BRASILUX</v>
      </c>
      <c r="W1622" t="str">
        <f>VLOOKUP(L1622,'[2]tabela de preços'!$A:$F,6,0)</f>
        <v>EPOXI</v>
      </c>
      <c r="X1622" t="str">
        <f>VLOOKUP(L1622,'[2]tabela de preços'!$A:$G,7,0)</f>
        <v>INDUSTRIAL</v>
      </c>
    </row>
    <row r="1623" spans="1:24" x14ac:dyDescent="0.3">
      <c r="A1623" t="s">
        <v>759</v>
      </c>
      <c r="C1623" t="s">
        <v>760</v>
      </c>
      <c r="D1623" s="1">
        <v>46044</v>
      </c>
      <c r="E1623" t="s">
        <v>761</v>
      </c>
      <c r="F1623">
        <v>9</v>
      </c>
      <c r="G1623">
        <v>231</v>
      </c>
      <c r="H1623" t="str">
        <f>VLOOKUP(G1623,[1]OPERADORES!$A:$B,2,0)</f>
        <v>EDIJANE</v>
      </c>
      <c r="I1623" t="s">
        <v>21</v>
      </c>
      <c r="J1623" t="s">
        <v>762</v>
      </c>
      <c r="K1623" t="s">
        <v>763</v>
      </c>
      <c r="L1623">
        <v>85693</v>
      </c>
      <c r="M1623" t="s">
        <v>526</v>
      </c>
      <c r="O1623" t="s">
        <v>11</v>
      </c>
      <c r="P1623">
        <v>5102</v>
      </c>
      <c r="Q1623">
        <v>12</v>
      </c>
      <c r="R1623">
        <v>7.89</v>
      </c>
      <c r="S1623">
        <v>94.68</v>
      </c>
      <c r="T1623">
        <v>78.12</v>
      </c>
      <c r="U1623">
        <v>17.489999999999998</v>
      </c>
      <c r="V1623" t="str">
        <f>VLOOKUP(L1623,'[2]tabela de preços'!$A:$D,4,0)</f>
        <v>UNIPEGA</v>
      </c>
      <c r="W1623" t="str">
        <f>VLOOKUP(L1623,'[2]tabela de preços'!$A:$F,6,0)</f>
        <v>PU 40</v>
      </c>
      <c r="X1623" t="str">
        <f>VLOOKUP(L1623,'[2]tabela de preços'!$A:$G,7,0)</f>
        <v>IMOBILIÁRIO</v>
      </c>
    </row>
    <row r="1624" spans="1:24" x14ac:dyDescent="0.3">
      <c r="A1624" t="s">
        <v>759</v>
      </c>
      <c r="C1624" t="s">
        <v>760</v>
      </c>
      <c r="D1624" s="1">
        <v>46044</v>
      </c>
      <c r="E1624" t="s">
        <v>761</v>
      </c>
      <c r="F1624">
        <v>9</v>
      </c>
      <c r="G1624">
        <v>231</v>
      </c>
      <c r="H1624" t="str">
        <f>VLOOKUP(G1624,[1]OPERADORES!$A:$B,2,0)</f>
        <v>EDIJANE</v>
      </c>
      <c r="I1624" t="s">
        <v>21</v>
      </c>
      <c r="J1624" t="s">
        <v>762</v>
      </c>
      <c r="K1624" t="s">
        <v>763</v>
      </c>
      <c r="L1624">
        <v>10238</v>
      </c>
      <c r="M1624" t="s">
        <v>79</v>
      </c>
      <c r="O1624" t="s">
        <v>11</v>
      </c>
      <c r="P1624">
        <v>5102</v>
      </c>
      <c r="Q1624">
        <v>100</v>
      </c>
      <c r="R1624">
        <v>2.79</v>
      </c>
      <c r="S1624">
        <v>279</v>
      </c>
      <c r="T1624">
        <v>224</v>
      </c>
      <c r="U1624">
        <v>19.71</v>
      </c>
      <c r="V1624" t="str">
        <f>VLOOKUP(L1624,'[2]tabela de preços'!$A:$D,4,0)</f>
        <v>NORTON</v>
      </c>
      <c r="W1624" t="str">
        <f>VLOOKUP(L1624,'[2]tabela de preços'!$A:$F,6,0)</f>
        <v xml:space="preserve">DISCOS / LIXAS / ABRASIVOS </v>
      </c>
      <c r="X1624" t="str">
        <f>VLOOKUP(L1624,'[2]tabela de preços'!$A:$G,7,0)</f>
        <v>AUTOMOTIVO</v>
      </c>
    </row>
    <row r="1625" spans="1:24" x14ac:dyDescent="0.3">
      <c r="A1625" t="s">
        <v>759</v>
      </c>
      <c r="C1625" t="s">
        <v>760</v>
      </c>
      <c r="D1625" s="1">
        <v>46044</v>
      </c>
      <c r="E1625" t="s">
        <v>761</v>
      </c>
      <c r="F1625">
        <v>9</v>
      </c>
      <c r="G1625">
        <v>231</v>
      </c>
      <c r="H1625" t="str">
        <f>VLOOKUP(G1625,[1]OPERADORES!$A:$B,2,0)</f>
        <v>EDIJANE</v>
      </c>
      <c r="I1625" t="s">
        <v>21</v>
      </c>
      <c r="J1625" t="s">
        <v>762</v>
      </c>
      <c r="K1625" t="s">
        <v>763</v>
      </c>
      <c r="L1625">
        <v>86984</v>
      </c>
      <c r="M1625" t="s">
        <v>720</v>
      </c>
      <c r="O1625" t="s">
        <v>11</v>
      </c>
      <c r="P1625">
        <v>5102</v>
      </c>
      <c r="Q1625">
        <v>4</v>
      </c>
      <c r="R1625">
        <v>44.9</v>
      </c>
      <c r="S1625">
        <v>179.6</v>
      </c>
      <c r="T1625">
        <v>148.84</v>
      </c>
      <c r="U1625">
        <v>17.13</v>
      </c>
      <c r="V1625" t="str">
        <f>VLOOKUP(L1625,'[2]tabela de preços'!$A:$D,4,0)</f>
        <v>ARPREX</v>
      </c>
      <c r="W1625" t="str">
        <f>VLOOKUP(L1625,'[2]tabela de preços'!$A:$F,6,0)</f>
        <v>PISTOLAS</v>
      </c>
      <c r="X1625" t="str">
        <f>VLOOKUP(L1625,'[2]tabela de preços'!$A:$G,7,0)</f>
        <v>IMOBILIÁRIO</v>
      </c>
    </row>
    <row r="1626" spans="1:24" x14ac:dyDescent="0.3">
      <c r="A1626" t="s">
        <v>759</v>
      </c>
      <c r="C1626" t="s">
        <v>760</v>
      </c>
      <c r="D1626" s="1">
        <v>46044</v>
      </c>
      <c r="E1626" t="s">
        <v>761</v>
      </c>
      <c r="F1626">
        <v>9</v>
      </c>
      <c r="G1626">
        <v>231</v>
      </c>
      <c r="H1626" t="str">
        <f>VLOOKUP(G1626,[1]OPERADORES!$A:$B,2,0)</f>
        <v>EDIJANE</v>
      </c>
      <c r="I1626" t="s">
        <v>21</v>
      </c>
      <c r="J1626" t="s">
        <v>762</v>
      </c>
      <c r="K1626" t="s">
        <v>763</v>
      </c>
      <c r="L1626">
        <v>10297</v>
      </c>
      <c r="M1626" t="s">
        <v>41</v>
      </c>
      <c r="O1626" t="s">
        <v>11</v>
      </c>
      <c r="P1626">
        <v>5102</v>
      </c>
      <c r="Q1626">
        <v>12</v>
      </c>
      <c r="R1626">
        <v>10.89</v>
      </c>
      <c r="S1626">
        <v>130.68</v>
      </c>
      <c r="T1626">
        <v>110.04</v>
      </c>
      <c r="U1626">
        <v>15.79</v>
      </c>
      <c r="V1626" t="str">
        <f>VLOOKUP(L1626,'[2]tabela de preços'!$A:$D,4,0)</f>
        <v>ANJO</v>
      </c>
      <c r="W1626" t="str">
        <f>VLOOKUP(L1626,'[2]tabela de preços'!$A:$F,6,0)</f>
        <v>THINNER DE LIMPEZA</v>
      </c>
      <c r="X1626" t="str">
        <f>VLOOKUP(L1626,'[2]tabela de preços'!$A:$G,7,0)</f>
        <v>THINNER</v>
      </c>
    </row>
    <row r="1627" spans="1:24" x14ac:dyDescent="0.3">
      <c r="A1627" t="s">
        <v>770</v>
      </c>
      <c r="C1627" t="s">
        <v>796</v>
      </c>
      <c r="D1627" s="1">
        <v>46044</v>
      </c>
      <c r="E1627" t="s">
        <v>797</v>
      </c>
      <c r="F1627">
        <v>9</v>
      </c>
      <c r="G1627">
        <v>230</v>
      </c>
      <c r="H1627" t="str">
        <f>VLOOKUP(G1627,[1]OPERADORES!$A:$B,2,0)</f>
        <v>SÔNIA</v>
      </c>
      <c r="I1627" t="s">
        <v>21</v>
      </c>
      <c r="J1627" t="s">
        <v>397</v>
      </c>
      <c r="K1627" t="s">
        <v>773</v>
      </c>
      <c r="L1627">
        <v>23360</v>
      </c>
      <c r="M1627" t="s">
        <v>798</v>
      </c>
      <c r="O1627" t="s">
        <v>11</v>
      </c>
      <c r="P1627">
        <v>5403</v>
      </c>
      <c r="Q1627">
        <v>1</v>
      </c>
      <c r="R1627">
        <v>35.1</v>
      </c>
      <c r="S1627">
        <v>35.1</v>
      </c>
      <c r="T1627">
        <v>26.64</v>
      </c>
      <c r="U1627">
        <v>24.1</v>
      </c>
      <c r="V1627" t="str">
        <f>VLOOKUP(L1627,'[2]tabela de preços'!$A:$D,4,0)</f>
        <v>WANDA</v>
      </c>
      <c r="W1627" t="str">
        <f>VLOOKUP(L1627,'[2]tabela de preços'!$A:$F,6,0)</f>
        <v>TINTAS POLIÉSTER</v>
      </c>
      <c r="X1627" t="str">
        <f>VLOOKUP(L1627,'[2]tabela de preços'!$A:$G,7,0)</f>
        <v>AUTOMOTIVO</v>
      </c>
    </row>
    <row r="1628" spans="1:24" x14ac:dyDescent="0.3">
      <c r="A1628" t="s">
        <v>770</v>
      </c>
      <c r="C1628" t="s">
        <v>799</v>
      </c>
      <c r="D1628" s="1">
        <v>46044</v>
      </c>
      <c r="E1628" t="s">
        <v>800</v>
      </c>
      <c r="F1628">
        <v>9</v>
      </c>
      <c r="G1628">
        <v>230</v>
      </c>
      <c r="H1628" t="str">
        <f>VLOOKUP(G1628,[1]OPERADORES!$A:$B,2,0)</f>
        <v>SÔNIA</v>
      </c>
      <c r="I1628" t="s">
        <v>21</v>
      </c>
      <c r="J1628" t="s">
        <v>397</v>
      </c>
      <c r="K1628" t="s">
        <v>773</v>
      </c>
      <c r="L1628">
        <v>23295</v>
      </c>
      <c r="M1628" t="s">
        <v>789</v>
      </c>
      <c r="O1628" t="s">
        <v>11</v>
      </c>
      <c r="P1628">
        <v>5403</v>
      </c>
      <c r="Q1628">
        <v>1</v>
      </c>
      <c r="R1628">
        <v>288.70999999999998</v>
      </c>
      <c r="S1628">
        <v>288.70999999999998</v>
      </c>
      <c r="T1628">
        <v>194.09</v>
      </c>
      <c r="U1628">
        <v>32.770000000000003</v>
      </c>
      <c r="V1628" t="str">
        <f>VLOOKUP(L1628,'[2]tabela de preços'!$A:$D,4,0)</f>
        <v>SIKKENS</v>
      </c>
      <c r="W1628" t="str">
        <f>VLOOKUP(L1628,'[2]tabela de preços'!$A:$F,6,0)</f>
        <v>VERNIZ AUTOMOTIVO</v>
      </c>
      <c r="X1628" t="str">
        <f>VLOOKUP(L1628,'[2]tabela de preços'!$A:$G,7,0)</f>
        <v>AUTOMOTIVO</v>
      </c>
    </row>
    <row r="1629" spans="1:24" x14ac:dyDescent="0.3">
      <c r="A1629" t="s">
        <v>770</v>
      </c>
      <c r="C1629" t="s">
        <v>799</v>
      </c>
      <c r="D1629" s="1">
        <v>46044</v>
      </c>
      <c r="E1629" t="s">
        <v>800</v>
      </c>
      <c r="F1629">
        <v>9</v>
      </c>
      <c r="G1629">
        <v>230</v>
      </c>
      <c r="H1629" t="str">
        <f>VLOOKUP(G1629,[1]OPERADORES!$A:$B,2,0)</f>
        <v>SÔNIA</v>
      </c>
      <c r="I1629" t="s">
        <v>21</v>
      </c>
      <c r="J1629" t="s">
        <v>397</v>
      </c>
      <c r="K1629" t="s">
        <v>773</v>
      </c>
      <c r="L1629">
        <v>23653</v>
      </c>
      <c r="M1629" t="s">
        <v>644</v>
      </c>
      <c r="O1629" t="s">
        <v>11</v>
      </c>
      <c r="P1629">
        <v>5102</v>
      </c>
      <c r="Q1629">
        <v>2</v>
      </c>
      <c r="R1629">
        <v>67.150000000000006</v>
      </c>
      <c r="S1629">
        <v>134.30000000000001</v>
      </c>
      <c r="T1629">
        <v>101.94</v>
      </c>
      <c r="U1629">
        <v>24.1</v>
      </c>
      <c r="V1629" t="str">
        <f>VLOOKUP(L1629,'[2]tabela de preços'!$A:$D,4,0)</f>
        <v>SIKKENS</v>
      </c>
      <c r="W1629" t="str">
        <f>VLOOKUP(L1629,'[2]tabela de preços'!$A:$F,6,0)</f>
        <v>CATALISADORES INDIVIDUAS</v>
      </c>
      <c r="X1629" t="str">
        <f>VLOOKUP(L1629,'[2]tabela de preços'!$A:$G,7,0)</f>
        <v>AUTOMOTIVO</v>
      </c>
    </row>
    <row r="1630" spans="1:24" x14ac:dyDescent="0.3">
      <c r="A1630" t="s">
        <v>923</v>
      </c>
      <c r="C1630" t="s">
        <v>930</v>
      </c>
      <c r="D1630" s="1">
        <v>46044</v>
      </c>
      <c r="E1630" t="s">
        <v>931</v>
      </c>
      <c r="F1630">
        <v>9</v>
      </c>
      <c r="G1630">
        <v>236</v>
      </c>
      <c r="H1630" t="str">
        <f>VLOOKUP(G1630,[1]OPERADORES!$A:$B,2,0)</f>
        <v>DANIEL</v>
      </c>
      <c r="I1630" t="s">
        <v>21</v>
      </c>
      <c r="J1630" t="s">
        <v>211</v>
      </c>
      <c r="K1630" t="s">
        <v>926</v>
      </c>
      <c r="L1630">
        <v>21078</v>
      </c>
      <c r="M1630" t="s">
        <v>141</v>
      </c>
      <c r="O1630" t="s">
        <v>11</v>
      </c>
      <c r="P1630">
        <v>5102</v>
      </c>
      <c r="Q1630">
        <v>12</v>
      </c>
      <c r="R1630">
        <v>22.89</v>
      </c>
      <c r="S1630">
        <v>274.68</v>
      </c>
      <c r="T1630">
        <v>223.92</v>
      </c>
      <c r="U1630">
        <v>18.48</v>
      </c>
      <c r="V1630" t="str">
        <f>VLOOKUP(L1630,'[2]tabela de preços'!$A:$D,4,0)</f>
        <v>SHERWIN WILLIAMS</v>
      </c>
      <c r="W1630" t="str">
        <f>VLOOKUP(L1630,'[2]tabela de preços'!$A:$F,6,0)</f>
        <v>MASSA POLIÉSTER</v>
      </c>
      <c r="X1630" t="str">
        <f>VLOOKUP(L1630,'[2]tabela de preços'!$A:$G,7,0)</f>
        <v>AUTOMOTIVO</v>
      </c>
    </row>
    <row r="1631" spans="1:24" x14ac:dyDescent="0.3">
      <c r="A1631" t="s">
        <v>923</v>
      </c>
      <c r="C1631" t="s">
        <v>930</v>
      </c>
      <c r="D1631" s="1">
        <v>46044</v>
      </c>
      <c r="E1631" t="s">
        <v>931</v>
      </c>
      <c r="F1631">
        <v>9</v>
      </c>
      <c r="G1631">
        <v>236</v>
      </c>
      <c r="H1631" t="str">
        <f>VLOOKUP(G1631,[1]OPERADORES!$A:$B,2,0)</f>
        <v>DANIEL</v>
      </c>
      <c r="I1631" t="s">
        <v>21</v>
      </c>
      <c r="J1631" t="s">
        <v>211</v>
      </c>
      <c r="K1631" t="s">
        <v>926</v>
      </c>
      <c r="L1631">
        <v>23926</v>
      </c>
      <c r="M1631" t="s">
        <v>645</v>
      </c>
      <c r="O1631" t="s">
        <v>11</v>
      </c>
      <c r="P1631">
        <v>5403</v>
      </c>
      <c r="Q1631">
        <v>1</v>
      </c>
      <c r="R1631">
        <v>159.22</v>
      </c>
      <c r="S1631">
        <v>159.22</v>
      </c>
      <c r="T1631">
        <v>98.89</v>
      </c>
      <c r="U1631">
        <v>37.89</v>
      </c>
      <c r="V1631" t="str">
        <f>VLOOKUP(L1631,'[2]tabela de preços'!$A:$D,4,0)</f>
        <v>SIKKENS</v>
      </c>
      <c r="W1631" t="str">
        <f>VLOOKUP(L1631,'[2]tabela de preços'!$A:$F,6,0)</f>
        <v>PRIMER AUTOMOTIVO</v>
      </c>
      <c r="X1631" t="str">
        <f>VLOOKUP(L1631,'[2]tabela de preços'!$A:$G,7,0)</f>
        <v>AUTOMOTIVO</v>
      </c>
    </row>
    <row r="1632" spans="1:24" x14ac:dyDescent="0.3">
      <c r="A1632" t="s">
        <v>1095</v>
      </c>
      <c r="C1632" t="s">
        <v>1096</v>
      </c>
      <c r="D1632" s="1">
        <v>46044</v>
      </c>
      <c r="E1632" t="s">
        <v>1097</v>
      </c>
      <c r="F1632">
        <v>9</v>
      </c>
      <c r="G1632">
        <v>236</v>
      </c>
      <c r="H1632" t="str">
        <f>VLOOKUP(G1632,[1]OPERADORES!$A:$B,2,0)</f>
        <v>DANIEL</v>
      </c>
      <c r="I1632" t="s">
        <v>1098</v>
      </c>
      <c r="J1632" t="s">
        <v>1099</v>
      </c>
      <c r="K1632" t="s">
        <v>1100</v>
      </c>
      <c r="L1632">
        <v>85584</v>
      </c>
      <c r="M1632" t="s">
        <v>1101</v>
      </c>
      <c r="O1632" t="s">
        <v>11</v>
      </c>
      <c r="P1632">
        <v>6403</v>
      </c>
      <c r="Q1632">
        <v>100</v>
      </c>
      <c r="R1632">
        <v>67.11</v>
      </c>
      <c r="S1632" s="2">
        <v>6711</v>
      </c>
      <c r="T1632" s="2">
        <v>4920</v>
      </c>
      <c r="U1632">
        <v>26.69</v>
      </c>
      <c r="V1632" t="str">
        <f>VLOOKUP(L1632,'[2]tabela de preços'!$A:$D,4,0)</f>
        <v>DÁVILA  INOVE</v>
      </c>
      <c r="W1632" t="str">
        <f>VLOOKUP(L1632,'[2]tabela de preços'!$A:$F,6,0)</f>
        <v>TEXTURA</v>
      </c>
      <c r="X1632" t="str">
        <f>VLOOKUP(L1632,'[2]tabela de preços'!$A:$G,7,0)</f>
        <v>IMOBILIÁRIO</v>
      </c>
    </row>
    <row r="1633" spans="1:24" x14ac:dyDescent="0.3">
      <c r="A1633" t="s">
        <v>1095</v>
      </c>
      <c r="C1633" t="s">
        <v>1096</v>
      </c>
      <c r="D1633" s="1">
        <v>46044</v>
      </c>
      <c r="E1633" t="s">
        <v>1097</v>
      </c>
      <c r="F1633">
        <v>9</v>
      </c>
      <c r="G1633">
        <v>236</v>
      </c>
      <c r="H1633" t="str">
        <f>VLOOKUP(G1633,[1]OPERADORES!$A:$B,2,0)</f>
        <v>DANIEL</v>
      </c>
      <c r="I1633" t="s">
        <v>1098</v>
      </c>
      <c r="J1633" t="s">
        <v>1099</v>
      </c>
      <c r="K1633" t="s">
        <v>1100</v>
      </c>
      <c r="L1633">
        <v>87104</v>
      </c>
      <c r="M1633" t="s">
        <v>1102</v>
      </c>
      <c r="O1633" t="s">
        <v>11</v>
      </c>
      <c r="P1633">
        <v>6403</v>
      </c>
      <c r="Q1633">
        <v>20</v>
      </c>
      <c r="R1633">
        <v>67.11</v>
      </c>
      <c r="S1633" s="2">
        <v>1342.2</v>
      </c>
      <c r="T1633">
        <v>984</v>
      </c>
      <c r="U1633">
        <v>26.69</v>
      </c>
      <c r="V1633" t="str">
        <f>VLOOKUP(L1633,'[2]tabela de preços'!$A:$D,4,0)</f>
        <v>BRASILUX</v>
      </c>
      <c r="W1633" t="str">
        <f>VLOOKUP(L1633,'[2]tabela de preços'!$A:$F,6,0)</f>
        <v>TEXTURA</v>
      </c>
      <c r="X1633" t="str">
        <f>VLOOKUP(L1633,'[2]tabela de preços'!$A:$G,7,0)</f>
        <v>IMOBILIÁRIO</v>
      </c>
    </row>
    <row r="1634" spans="1:24" x14ac:dyDescent="0.3">
      <c r="A1634" t="s">
        <v>1095</v>
      </c>
      <c r="C1634" t="s">
        <v>1096</v>
      </c>
      <c r="D1634" s="1">
        <v>46044</v>
      </c>
      <c r="E1634" t="s">
        <v>1097</v>
      </c>
      <c r="F1634">
        <v>9</v>
      </c>
      <c r="G1634">
        <v>236</v>
      </c>
      <c r="H1634" t="str">
        <f>VLOOKUP(G1634,[1]OPERADORES!$A:$B,2,0)</f>
        <v>DANIEL</v>
      </c>
      <c r="I1634" t="s">
        <v>1098</v>
      </c>
      <c r="J1634" t="s">
        <v>1099</v>
      </c>
      <c r="K1634" t="s">
        <v>1100</v>
      </c>
      <c r="L1634">
        <v>85359</v>
      </c>
      <c r="M1634" t="s">
        <v>1103</v>
      </c>
      <c r="O1634" t="s">
        <v>11</v>
      </c>
      <c r="P1634">
        <v>6403</v>
      </c>
      <c r="Q1634">
        <v>30</v>
      </c>
      <c r="R1634">
        <v>67.11</v>
      </c>
      <c r="S1634" s="2">
        <v>2013.3</v>
      </c>
      <c r="T1634" s="2">
        <v>1476</v>
      </c>
      <c r="U1634">
        <v>26.69</v>
      </c>
      <c r="V1634" t="str">
        <f>VLOOKUP(L1634,'[2]tabela de preços'!$A:$D,4,0)</f>
        <v>DÁVILA  INOVE</v>
      </c>
      <c r="W1634" t="str">
        <f>VLOOKUP(L1634,'[2]tabela de preços'!$A:$F,6,0)</f>
        <v>TEXTURA</v>
      </c>
      <c r="X1634" t="str">
        <f>VLOOKUP(L1634,'[2]tabela de preços'!$A:$G,7,0)</f>
        <v>IMOBILIÁRIO</v>
      </c>
    </row>
    <row r="1635" spans="1:24" x14ac:dyDescent="0.3">
      <c r="A1635" t="s">
        <v>1155</v>
      </c>
      <c r="C1635" t="s">
        <v>1160</v>
      </c>
      <c r="D1635" s="1">
        <v>46044</v>
      </c>
      <c r="E1635" t="s">
        <v>1161</v>
      </c>
      <c r="F1635">
        <v>9</v>
      </c>
      <c r="G1635">
        <v>174</v>
      </c>
      <c r="H1635" t="str">
        <f>VLOOKUP(G1635,[1]OPERADORES!$A:$B,2,0)</f>
        <v>MIRIÃ LOBATO RODRIGUES</v>
      </c>
      <c r="I1635" t="s">
        <v>21</v>
      </c>
      <c r="J1635" t="s">
        <v>211</v>
      </c>
      <c r="K1635" t="s">
        <v>1158</v>
      </c>
      <c r="L1635">
        <v>20433</v>
      </c>
      <c r="M1635" t="s">
        <v>460</v>
      </c>
      <c r="O1635" t="s">
        <v>11</v>
      </c>
      <c r="P1635">
        <v>5102</v>
      </c>
      <c r="Q1635">
        <v>1</v>
      </c>
      <c r="R1635">
        <v>32.19</v>
      </c>
      <c r="S1635">
        <v>32.19</v>
      </c>
      <c r="T1635">
        <v>24.43</v>
      </c>
      <c r="U1635">
        <v>24.11</v>
      </c>
      <c r="V1635" t="str">
        <f>VLOOKUP(L1635,'[2]tabela de preços'!$A:$D,4,0)</f>
        <v>SHERWIN WILLIAMS</v>
      </c>
      <c r="W1635" t="str">
        <f>VLOOKUP(L1635,'[2]tabela de preços'!$A:$F,6,0)</f>
        <v>VERNIZ AUTOMOTIVO</v>
      </c>
      <c r="X1635" t="str">
        <f>VLOOKUP(L1635,'[2]tabela de preços'!$A:$G,7,0)</f>
        <v>AUTOMOTIVO</v>
      </c>
    </row>
    <row r="1636" spans="1:24" x14ac:dyDescent="0.3">
      <c r="A1636" t="s">
        <v>1155</v>
      </c>
      <c r="C1636" t="s">
        <v>1160</v>
      </c>
      <c r="D1636" s="1">
        <v>46044</v>
      </c>
      <c r="E1636" t="s">
        <v>1161</v>
      </c>
      <c r="F1636">
        <v>9</v>
      </c>
      <c r="G1636">
        <v>174</v>
      </c>
      <c r="H1636" t="str">
        <f>VLOOKUP(G1636,[1]OPERADORES!$A:$B,2,0)</f>
        <v>MIRIÃ LOBATO RODRIGUES</v>
      </c>
      <c r="I1636" t="s">
        <v>21</v>
      </c>
      <c r="J1636" t="s">
        <v>211</v>
      </c>
      <c r="K1636" t="s">
        <v>1158</v>
      </c>
      <c r="L1636">
        <v>21010</v>
      </c>
      <c r="M1636" t="s">
        <v>1162</v>
      </c>
      <c r="O1636" t="s">
        <v>411</v>
      </c>
      <c r="P1636">
        <v>5102</v>
      </c>
      <c r="Q1636">
        <v>1</v>
      </c>
      <c r="R1636">
        <v>60.67</v>
      </c>
      <c r="S1636">
        <v>60.67</v>
      </c>
      <c r="T1636">
        <v>46.05</v>
      </c>
      <c r="U1636">
        <v>24.1</v>
      </c>
      <c r="V1636" t="str">
        <f>VLOOKUP(L1636,'[2]tabela de preços'!$A:$D,4,0)</f>
        <v>WANDA</v>
      </c>
      <c r="W1636" t="str">
        <f>VLOOKUP(L1636,'[2]tabela de preços'!$A:$F,6,0)</f>
        <v>TINTAS PU</v>
      </c>
      <c r="X1636" t="str">
        <f>VLOOKUP(L1636,'[2]tabela de preços'!$A:$G,7,0)</f>
        <v>AUTOMOTIVO</v>
      </c>
    </row>
    <row r="1637" spans="1:24" x14ac:dyDescent="0.3">
      <c r="A1637" t="s">
        <v>1155</v>
      </c>
      <c r="C1637" t="s">
        <v>1160</v>
      </c>
      <c r="D1637" s="1">
        <v>46044</v>
      </c>
      <c r="E1637" t="s">
        <v>1161</v>
      </c>
      <c r="F1637">
        <v>9</v>
      </c>
      <c r="G1637">
        <v>174</v>
      </c>
      <c r="H1637" t="str">
        <f>VLOOKUP(G1637,[1]OPERADORES!$A:$B,2,0)</f>
        <v>MIRIÃ LOBATO RODRIGUES</v>
      </c>
      <c r="I1637" t="s">
        <v>21</v>
      </c>
      <c r="J1637" t="s">
        <v>211</v>
      </c>
      <c r="K1637" t="s">
        <v>1158</v>
      </c>
      <c r="L1637">
        <v>20021</v>
      </c>
      <c r="M1637" t="s">
        <v>276</v>
      </c>
      <c r="O1637" t="s">
        <v>11</v>
      </c>
      <c r="P1637">
        <v>5102</v>
      </c>
      <c r="Q1637">
        <v>2</v>
      </c>
      <c r="R1637">
        <v>3.43</v>
      </c>
      <c r="S1637">
        <v>6.86</v>
      </c>
      <c r="T1637">
        <v>5.2</v>
      </c>
      <c r="U1637">
        <v>24.2</v>
      </c>
      <c r="V1637" t="str">
        <f>VLOOKUP(L1637,'[2]tabela de preços'!$A:$D,4,0)</f>
        <v>3M</v>
      </c>
      <c r="W1637" t="str">
        <f>VLOOKUP(L1637,'[2]tabela de preços'!$A:$F,6,0)</f>
        <v>LIXA DÁGUA</v>
      </c>
      <c r="X1637" t="str">
        <f>VLOOKUP(L1637,'[2]tabela de preços'!$A:$G,7,0)</f>
        <v>AUTOMOTIVO</v>
      </c>
    </row>
    <row r="1638" spans="1:24" x14ac:dyDescent="0.3">
      <c r="A1638" t="s">
        <v>1155</v>
      </c>
      <c r="C1638" t="s">
        <v>1160</v>
      </c>
      <c r="D1638" s="1">
        <v>46044</v>
      </c>
      <c r="E1638" t="s">
        <v>1161</v>
      </c>
      <c r="F1638">
        <v>9</v>
      </c>
      <c r="G1638">
        <v>174</v>
      </c>
      <c r="H1638" t="str">
        <f>VLOOKUP(G1638,[1]OPERADORES!$A:$B,2,0)</f>
        <v>MIRIÃ LOBATO RODRIGUES</v>
      </c>
      <c r="I1638" t="s">
        <v>21</v>
      </c>
      <c r="J1638" t="s">
        <v>211</v>
      </c>
      <c r="K1638" t="s">
        <v>1158</v>
      </c>
      <c r="L1638">
        <v>10243</v>
      </c>
      <c r="M1638" t="s">
        <v>83</v>
      </c>
      <c r="O1638" t="s">
        <v>11</v>
      </c>
      <c r="P1638">
        <v>5102</v>
      </c>
      <c r="Q1638">
        <v>4</v>
      </c>
      <c r="R1638">
        <v>2.79</v>
      </c>
      <c r="S1638">
        <v>11.16</v>
      </c>
      <c r="T1638">
        <v>7.72</v>
      </c>
      <c r="U1638">
        <v>30.82</v>
      </c>
      <c r="V1638" t="str">
        <f>VLOOKUP(L1638,'[2]tabela de preços'!$A:$D,4,0)</f>
        <v>NORTON</v>
      </c>
      <c r="W1638" t="str">
        <f>VLOOKUP(L1638,'[2]tabela de preços'!$A:$F,6,0)</f>
        <v xml:space="preserve">DISCOS / LIXAS / ABRASIVOS </v>
      </c>
      <c r="X1638" t="str">
        <f>VLOOKUP(L1638,'[2]tabela de preços'!$A:$G,7,0)</f>
        <v>AUTOMOTIVO</v>
      </c>
    </row>
    <row r="1639" spans="1:24" x14ac:dyDescent="0.3">
      <c r="A1639" t="s">
        <v>1155</v>
      </c>
      <c r="C1639" t="s">
        <v>1160</v>
      </c>
      <c r="D1639" s="1">
        <v>46044</v>
      </c>
      <c r="E1639" t="s">
        <v>1161</v>
      </c>
      <c r="F1639">
        <v>9</v>
      </c>
      <c r="G1639">
        <v>174</v>
      </c>
      <c r="H1639" t="str">
        <f>VLOOKUP(G1639,[1]OPERADORES!$A:$B,2,0)</f>
        <v>MIRIÃ LOBATO RODRIGUES</v>
      </c>
      <c r="I1639" t="s">
        <v>21</v>
      </c>
      <c r="J1639" t="s">
        <v>211</v>
      </c>
      <c r="K1639" t="s">
        <v>1158</v>
      </c>
      <c r="L1639">
        <v>20414</v>
      </c>
      <c r="M1639" t="s">
        <v>112</v>
      </c>
      <c r="O1639" t="s">
        <v>11</v>
      </c>
      <c r="P1639">
        <v>5102</v>
      </c>
      <c r="Q1639">
        <v>3</v>
      </c>
      <c r="R1639">
        <v>21.89</v>
      </c>
      <c r="S1639">
        <v>65.67</v>
      </c>
      <c r="T1639">
        <v>54</v>
      </c>
      <c r="U1639">
        <v>17.77</v>
      </c>
      <c r="V1639" t="str">
        <f>VLOOKUP(L1639,'[2]tabela de preços'!$A:$D,4,0)</f>
        <v>SHERWIN WILLIAMS</v>
      </c>
      <c r="W1639" t="str">
        <f>VLOOKUP(L1639,'[2]tabela de preços'!$A:$F,6,0)</f>
        <v>DILUENTE</v>
      </c>
      <c r="X1639" t="str">
        <f>VLOOKUP(L1639,'[2]tabela de preços'!$A:$G,7,0)</f>
        <v>AUTOMOTIVO</v>
      </c>
    </row>
    <row r="1640" spans="1:24" x14ac:dyDescent="0.3">
      <c r="A1640" t="s">
        <v>1155</v>
      </c>
      <c r="C1640" t="s">
        <v>1160</v>
      </c>
      <c r="D1640" s="1">
        <v>46044</v>
      </c>
      <c r="E1640" t="s">
        <v>1161</v>
      </c>
      <c r="F1640">
        <v>9</v>
      </c>
      <c r="G1640">
        <v>174</v>
      </c>
      <c r="H1640" t="str">
        <f>VLOOKUP(G1640,[1]OPERADORES!$A:$B,2,0)</f>
        <v>MIRIÃ LOBATO RODRIGUES</v>
      </c>
      <c r="I1640" t="s">
        <v>21</v>
      </c>
      <c r="J1640" t="s">
        <v>211</v>
      </c>
      <c r="K1640" t="s">
        <v>1158</v>
      </c>
      <c r="L1640">
        <v>20399</v>
      </c>
      <c r="M1640" t="s">
        <v>465</v>
      </c>
      <c r="O1640" t="s">
        <v>11</v>
      </c>
      <c r="P1640">
        <v>5403</v>
      </c>
      <c r="Q1640">
        <v>1</v>
      </c>
      <c r="R1640">
        <v>35.26</v>
      </c>
      <c r="S1640">
        <v>35.26</v>
      </c>
      <c r="T1640">
        <v>26.78</v>
      </c>
      <c r="U1640">
        <v>24.05</v>
      </c>
      <c r="V1640" t="str">
        <f>VLOOKUP(L1640,'[2]tabela de preços'!$A:$D,4,0)</f>
        <v>SHERWIN WILLIAMS</v>
      </c>
      <c r="W1640" t="str">
        <f>VLOOKUP(L1640,'[2]tabela de preços'!$A:$F,6,0)</f>
        <v>VERNIZ AUTOMOTIVO</v>
      </c>
      <c r="X1640" t="str">
        <f>VLOOKUP(L1640,'[2]tabela de preços'!$A:$G,7,0)</f>
        <v>AUTOMOTIVO</v>
      </c>
    </row>
    <row r="1641" spans="1:24" x14ac:dyDescent="0.3">
      <c r="A1641" t="s">
        <v>1222</v>
      </c>
      <c r="C1641" t="s">
        <v>1227</v>
      </c>
      <c r="D1641" s="1">
        <v>46044</v>
      </c>
      <c r="E1641" t="s">
        <v>1228</v>
      </c>
      <c r="F1641">
        <v>9</v>
      </c>
      <c r="G1641">
        <v>174</v>
      </c>
      <c r="H1641" t="str">
        <f>VLOOKUP(G1641,[1]OPERADORES!$A:$B,2,0)</f>
        <v>MIRIÃ LOBATO RODRIGUES</v>
      </c>
      <c r="I1641" t="s">
        <v>21</v>
      </c>
      <c r="J1641" t="s">
        <v>1225</v>
      </c>
      <c r="K1641" t="s">
        <v>1226</v>
      </c>
      <c r="L1641">
        <v>23690</v>
      </c>
      <c r="M1641" t="s">
        <v>98</v>
      </c>
      <c r="O1641" t="s">
        <v>11</v>
      </c>
      <c r="P1641">
        <v>5405</v>
      </c>
      <c r="Q1641">
        <v>6</v>
      </c>
      <c r="R1641">
        <v>39.89</v>
      </c>
      <c r="S1641">
        <v>239.34</v>
      </c>
      <c r="T1641">
        <v>189.66</v>
      </c>
      <c r="U1641">
        <v>20.76</v>
      </c>
      <c r="V1641" t="str">
        <f>VLOOKUP(L1641,'[2]tabela de preços'!$A:$D,4,0)</f>
        <v>WANDA</v>
      </c>
      <c r="W1641" t="str">
        <f>VLOOKUP(L1641,'[2]tabela de preços'!$A:$F,6,0)</f>
        <v>VERNIZ AUTOMOTIVO</v>
      </c>
      <c r="X1641" t="str">
        <f>VLOOKUP(L1641,'[2]tabela de preços'!$A:$G,7,0)</f>
        <v>AUTOMOTIVO</v>
      </c>
    </row>
    <row r="1642" spans="1:24" x14ac:dyDescent="0.3">
      <c r="A1642" t="s">
        <v>1222</v>
      </c>
      <c r="C1642" t="s">
        <v>1227</v>
      </c>
      <c r="D1642" s="1">
        <v>46044</v>
      </c>
      <c r="E1642" t="s">
        <v>1228</v>
      </c>
      <c r="F1642">
        <v>9</v>
      </c>
      <c r="G1642">
        <v>174</v>
      </c>
      <c r="H1642" t="str">
        <f>VLOOKUP(G1642,[1]OPERADORES!$A:$B,2,0)</f>
        <v>MIRIÃ LOBATO RODRIGUES</v>
      </c>
      <c r="I1642" t="s">
        <v>21</v>
      </c>
      <c r="J1642" t="s">
        <v>1225</v>
      </c>
      <c r="K1642" t="s">
        <v>1226</v>
      </c>
      <c r="L1642">
        <v>20431</v>
      </c>
      <c r="M1642" t="s">
        <v>202</v>
      </c>
      <c r="O1642" t="s">
        <v>11</v>
      </c>
      <c r="P1642">
        <v>5405</v>
      </c>
      <c r="Q1642">
        <v>9</v>
      </c>
      <c r="R1642">
        <v>36.89</v>
      </c>
      <c r="S1642">
        <v>332.01</v>
      </c>
      <c r="T1642">
        <v>272.33999999999997</v>
      </c>
      <c r="U1642">
        <v>17.97</v>
      </c>
      <c r="V1642" t="str">
        <f>VLOOKUP(L1642,'[2]tabela de preços'!$A:$D,4,0)</f>
        <v>SHERWIN WILLIAMS</v>
      </c>
      <c r="W1642" t="str">
        <f>VLOOKUP(L1642,'[2]tabela de preços'!$A:$F,6,0)</f>
        <v>VERNIZ AUTOMOTIVO</v>
      </c>
      <c r="X1642" t="str">
        <f>VLOOKUP(L1642,'[2]tabela de preços'!$A:$G,7,0)</f>
        <v>AUTOMOTIVO</v>
      </c>
    </row>
    <row r="1643" spans="1:24" x14ac:dyDescent="0.3">
      <c r="A1643" t="s">
        <v>1222</v>
      </c>
      <c r="C1643" t="s">
        <v>1227</v>
      </c>
      <c r="D1643" s="1">
        <v>46044</v>
      </c>
      <c r="E1643" t="s">
        <v>1228</v>
      </c>
      <c r="F1643">
        <v>9</v>
      </c>
      <c r="G1643">
        <v>174</v>
      </c>
      <c r="H1643" t="str">
        <f>VLOOKUP(G1643,[1]OPERADORES!$A:$B,2,0)</f>
        <v>MIRIÃ LOBATO RODRIGUES</v>
      </c>
      <c r="I1643" t="s">
        <v>21</v>
      </c>
      <c r="J1643" t="s">
        <v>1225</v>
      </c>
      <c r="K1643" t="s">
        <v>1226</v>
      </c>
      <c r="L1643">
        <v>9764</v>
      </c>
      <c r="M1643" t="s">
        <v>173</v>
      </c>
      <c r="O1643" t="s">
        <v>11</v>
      </c>
      <c r="P1643">
        <v>5102</v>
      </c>
      <c r="Q1643">
        <v>6</v>
      </c>
      <c r="R1643">
        <v>33.54</v>
      </c>
      <c r="S1643">
        <v>201.24</v>
      </c>
      <c r="T1643">
        <v>152.76</v>
      </c>
      <c r="U1643">
        <v>24.09</v>
      </c>
      <c r="V1643" t="str">
        <f>VLOOKUP(L1643,'[2]tabela de preços'!$A:$D,4,0)</f>
        <v>SIKKENS</v>
      </c>
      <c r="W1643" t="str">
        <f>VLOOKUP(L1643,'[2]tabela de preços'!$A:$F,6,0)</f>
        <v>MASSA DE PEQUENOS REPAROS</v>
      </c>
      <c r="X1643" t="str">
        <f>VLOOKUP(L1643,'[2]tabela de preços'!$A:$G,7,0)</f>
        <v>AUTOMOTIVO</v>
      </c>
    </row>
    <row r="1644" spans="1:24" x14ac:dyDescent="0.3">
      <c r="A1644" t="s">
        <v>1222</v>
      </c>
      <c r="C1644" t="s">
        <v>1227</v>
      </c>
      <c r="D1644" s="1">
        <v>46044</v>
      </c>
      <c r="E1644" t="s">
        <v>1228</v>
      </c>
      <c r="F1644">
        <v>9</v>
      </c>
      <c r="G1644">
        <v>174</v>
      </c>
      <c r="H1644" t="str">
        <f>VLOOKUP(G1644,[1]OPERADORES!$A:$B,2,0)</f>
        <v>MIRIÃ LOBATO RODRIGUES</v>
      </c>
      <c r="I1644" t="s">
        <v>21</v>
      </c>
      <c r="J1644" t="s">
        <v>1225</v>
      </c>
      <c r="K1644" t="s">
        <v>1226</v>
      </c>
      <c r="L1644">
        <v>10298</v>
      </c>
      <c r="M1644" t="s">
        <v>85</v>
      </c>
      <c r="O1644" t="s">
        <v>11</v>
      </c>
      <c r="P1644">
        <v>5102</v>
      </c>
      <c r="Q1644">
        <v>20</v>
      </c>
      <c r="R1644">
        <v>54.9</v>
      </c>
      <c r="S1644" s="2">
        <v>1098</v>
      </c>
      <c r="T1644">
        <v>947.6</v>
      </c>
      <c r="U1644">
        <v>13.7</v>
      </c>
      <c r="V1644" t="str">
        <f>VLOOKUP(L1644,'[2]tabela de preços'!$A:$D,4,0)</f>
        <v>ANJO</v>
      </c>
      <c r="W1644" t="str">
        <f>VLOOKUP(L1644,'[2]tabela de preços'!$A:$F,6,0)</f>
        <v>THINNER DE LIMPEZA</v>
      </c>
      <c r="X1644" t="str">
        <f>VLOOKUP(L1644,'[2]tabela de preços'!$A:$G,7,0)</f>
        <v>THINNER</v>
      </c>
    </row>
    <row r="1645" spans="1:24" x14ac:dyDescent="0.3">
      <c r="A1645" t="s">
        <v>1324</v>
      </c>
      <c r="C1645" t="s">
        <v>1331</v>
      </c>
      <c r="D1645" s="1">
        <v>46044</v>
      </c>
      <c r="E1645" t="s">
        <v>1332</v>
      </c>
      <c r="F1645">
        <v>9</v>
      </c>
      <c r="G1645">
        <v>197</v>
      </c>
      <c r="H1645" t="str">
        <f>VLOOKUP(G1645,[1]OPERADORES!$A:$B,2,0)</f>
        <v xml:space="preserve">POLIANA LORRANE DE AMORIM </v>
      </c>
      <c r="I1645" t="s">
        <v>1327</v>
      </c>
      <c r="J1645" t="s">
        <v>1328</v>
      </c>
      <c r="K1645" t="s">
        <v>1329</v>
      </c>
      <c r="L1645">
        <v>23580</v>
      </c>
      <c r="M1645" t="s">
        <v>115</v>
      </c>
      <c r="O1645" t="s">
        <v>11</v>
      </c>
      <c r="P1645">
        <v>6102</v>
      </c>
      <c r="Q1645">
        <v>50</v>
      </c>
      <c r="R1645">
        <v>0.56000000000000005</v>
      </c>
      <c r="S1645">
        <v>28</v>
      </c>
      <c r="T1645">
        <v>18</v>
      </c>
      <c r="U1645">
        <v>35.71</v>
      </c>
      <c r="V1645" t="str">
        <f>VLOOKUP(L1645,'[2]tabela de preços'!$A:$D,4,0)</f>
        <v>RENOVA COADORES</v>
      </c>
      <c r="W1645" t="str">
        <f>VLOOKUP(L1645,'[2]tabela de preços'!$A:$F,6,0)</f>
        <v>COADORES</v>
      </c>
      <c r="X1645" t="str">
        <f>VLOOKUP(L1645,'[2]tabela de preços'!$A:$G,7,0)</f>
        <v>AUTOMOTIVO</v>
      </c>
    </row>
    <row r="1646" spans="1:24" x14ac:dyDescent="0.3">
      <c r="A1646" t="s">
        <v>1324</v>
      </c>
      <c r="C1646" t="s">
        <v>1331</v>
      </c>
      <c r="D1646" s="1">
        <v>46044</v>
      </c>
      <c r="E1646" t="s">
        <v>1332</v>
      </c>
      <c r="F1646">
        <v>9</v>
      </c>
      <c r="G1646">
        <v>197</v>
      </c>
      <c r="H1646" t="str">
        <f>VLOOKUP(G1646,[1]OPERADORES!$A:$B,2,0)</f>
        <v xml:space="preserve">POLIANA LORRANE DE AMORIM </v>
      </c>
      <c r="I1646" t="s">
        <v>1327</v>
      </c>
      <c r="J1646" t="s">
        <v>1328</v>
      </c>
      <c r="K1646" t="s">
        <v>1329</v>
      </c>
      <c r="L1646">
        <v>23110</v>
      </c>
      <c r="M1646" t="s">
        <v>409</v>
      </c>
      <c r="O1646" t="s">
        <v>11</v>
      </c>
      <c r="P1646">
        <v>6102</v>
      </c>
      <c r="Q1646">
        <v>100</v>
      </c>
      <c r="R1646">
        <v>2.35</v>
      </c>
      <c r="S1646">
        <v>235</v>
      </c>
      <c r="T1646">
        <v>185</v>
      </c>
      <c r="U1646">
        <v>21.28</v>
      </c>
      <c r="V1646" t="str">
        <f>VLOOKUP(L1646,'[2]tabela de preços'!$A:$D,4,0)</f>
        <v>3M</v>
      </c>
      <c r="W1646" t="str">
        <f>VLOOKUP(L1646,'[2]tabela de preços'!$A:$F,6,0)</f>
        <v xml:space="preserve">DISCOS / LIXAS / ABRASIVOS </v>
      </c>
      <c r="X1646" t="str">
        <f>VLOOKUP(L1646,'[2]tabela de preços'!$A:$G,7,0)</f>
        <v>AUTOMOTIVO</v>
      </c>
    </row>
    <row r="1647" spans="1:24" x14ac:dyDescent="0.3">
      <c r="A1647" t="s">
        <v>1324</v>
      </c>
      <c r="C1647" t="s">
        <v>1331</v>
      </c>
      <c r="D1647" s="1">
        <v>46044</v>
      </c>
      <c r="E1647" t="s">
        <v>1332</v>
      </c>
      <c r="F1647">
        <v>9</v>
      </c>
      <c r="G1647">
        <v>197</v>
      </c>
      <c r="H1647" t="str">
        <f>VLOOKUP(G1647,[1]OPERADORES!$A:$B,2,0)</f>
        <v xml:space="preserve">POLIANA LORRANE DE AMORIM </v>
      </c>
      <c r="I1647" t="s">
        <v>1327</v>
      </c>
      <c r="J1647" t="s">
        <v>1328</v>
      </c>
      <c r="K1647" t="s">
        <v>1329</v>
      </c>
      <c r="L1647">
        <v>9751</v>
      </c>
      <c r="M1647" t="s">
        <v>1333</v>
      </c>
      <c r="O1647" t="s">
        <v>11</v>
      </c>
      <c r="P1647">
        <v>6102</v>
      </c>
      <c r="Q1647">
        <v>2</v>
      </c>
      <c r="R1647">
        <v>58.78</v>
      </c>
      <c r="S1647">
        <v>117.56</v>
      </c>
      <c r="T1647">
        <v>89.22</v>
      </c>
      <c r="U1647">
        <v>24.11</v>
      </c>
      <c r="V1647" t="str">
        <f>VLOOKUP(L1647,'[2]tabela de preços'!$A:$D,4,0)</f>
        <v>3M</v>
      </c>
      <c r="W1647" t="str">
        <f>VLOOKUP(L1647,'[2]tabela de preços'!$A:$F,6,0)</f>
        <v xml:space="preserve">LÍQUIDOS P/ POLIMENTO </v>
      </c>
      <c r="X1647" t="str">
        <f>VLOOKUP(L1647,'[2]tabela de preços'!$A:$G,7,0)</f>
        <v>AUTOMOTIVO</v>
      </c>
    </row>
    <row r="1648" spans="1:24" x14ac:dyDescent="0.3">
      <c r="A1648" t="s">
        <v>1324</v>
      </c>
      <c r="C1648" t="s">
        <v>1331</v>
      </c>
      <c r="D1648" s="1">
        <v>46044</v>
      </c>
      <c r="E1648" t="s">
        <v>1332</v>
      </c>
      <c r="F1648">
        <v>9</v>
      </c>
      <c r="G1648">
        <v>197</v>
      </c>
      <c r="H1648" t="str">
        <f>VLOOKUP(G1648,[1]OPERADORES!$A:$B,2,0)</f>
        <v xml:space="preserve">POLIANA LORRANE DE AMORIM </v>
      </c>
      <c r="I1648" t="s">
        <v>1327</v>
      </c>
      <c r="J1648" t="s">
        <v>1328</v>
      </c>
      <c r="K1648" t="s">
        <v>1329</v>
      </c>
      <c r="L1648">
        <v>22684</v>
      </c>
      <c r="M1648" t="s">
        <v>73</v>
      </c>
      <c r="O1648" t="s">
        <v>11</v>
      </c>
      <c r="P1648">
        <v>6102</v>
      </c>
      <c r="Q1648">
        <v>30</v>
      </c>
      <c r="R1648">
        <v>3.65</v>
      </c>
      <c r="S1648">
        <v>109.5</v>
      </c>
      <c r="T1648">
        <v>92.4</v>
      </c>
      <c r="U1648">
        <v>15.62</v>
      </c>
      <c r="V1648" t="str">
        <f>VLOOKUP(L1648,'[2]tabela de preços'!$A:$D,4,0)</f>
        <v>3M</v>
      </c>
      <c r="W1648" t="str">
        <f>VLOOKUP(L1648,'[2]tabela de preços'!$A:$F,6,0)</f>
        <v>FITA AUTOMOTIVA</v>
      </c>
      <c r="X1648" t="str">
        <f>VLOOKUP(L1648,'[2]tabela de preços'!$A:$G,7,0)</f>
        <v>AUTOMOTIVO</v>
      </c>
    </row>
    <row r="1649" spans="1:24" x14ac:dyDescent="0.3">
      <c r="A1649" t="s">
        <v>1324</v>
      </c>
      <c r="C1649" t="s">
        <v>1331</v>
      </c>
      <c r="D1649" s="1">
        <v>46044</v>
      </c>
      <c r="E1649" t="s">
        <v>1332</v>
      </c>
      <c r="F1649">
        <v>9</v>
      </c>
      <c r="G1649">
        <v>197</v>
      </c>
      <c r="H1649" t="str">
        <f>VLOOKUP(G1649,[1]OPERADORES!$A:$B,2,0)</f>
        <v xml:space="preserve">POLIANA LORRANE DE AMORIM </v>
      </c>
      <c r="I1649" t="s">
        <v>1327</v>
      </c>
      <c r="J1649" t="s">
        <v>1328</v>
      </c>
      <c r="K1649" t="s">
        <v>1329</v>
      </c>
      <c r="L1649">
        <v>23097</v>
      </c>
      <c r="M1649" t="s">
        <v>412</v>
      </c>
      <c r="O1649" t="s">
        <v>411</v>
      </c>
      <c r="P1649">
        <v>6102</v>
      </c>
      <c r="Q1649">
        <v>100</v>
      </c>
      <c r="R1649">
        <v>2.35</v>
      </c>
      <c r="S1649">
        <v>235</v>
      </c>
      <c r="T1649">
        <v>136</v>
      </c>
      <c r="U1649">
        <v>42.13</v>
      </c>
      <c r="V1649" t="str">
        <f>VLOOKUP(L1649,'[2]tabela de preços'!$A:$D,4,0)</f>
        <v>3M</v>
      </c>
      <c r="W1649" t="str">
        <f>VLOOKUP(L1649,'[2]tabela de preços'!$A:$F,6,0)</f>
        <v xml:space="preserve">DISCOS / LIXAS / ABRASIVOS </v>
      </c>
      <c r="X1649" t="str">
        <f>VLOOKUP(L1649,'[2]tabela de preços'!$A:$G,7,0)</f>
        <v>AUTOMOTIVO</v>
      </c>
    </row>
    <row r="1650" spans="1:24" x14ac:dyDescent="0.3">
      <c r="A1650" t="s">
        <v>1324</v>
      </c>
      <c r="C1650" t="s">
        <v>1331</v>
      </c>
      <c r="D1650" s="1">
        <v>46044</v>
      </c>
      <c r="E1650" t="s">
        <v>1332</v>
      </c>
      <c r="F1650">
        <v>9</v>
      </c>
      <c r="G1650">
        <v>197</v>
      </c>
      <c r="H1650" t="str">
        <f>VLOOKUP(G1650,[1]OPERADORES!$A:$B,2,0)</f>
        <v xml:space="preserve">POLIANA LORRANE DE AMORIM </v>
      </c>
      <c r="I1650" t="s">
        <v>1327</v>
      </c>
      <c r="J1650" t="s">
        <v>1328</v>
      </c>
      <c r="K1650" t="s">
        <v>1329</v>
      </c>
      <c r="L1650">
        <v>20817</v>
      </c>
      <c r="M1650" t="s">
        <v>153</v>
      </c>
      <c r="O1650" t="s">
        <v>11</v>
      </c>
      <c r="P1650">
        <v>6102</v>
      </c>
      <c r="Q1650">
        <v>3</v>
      </c>
      <c r="R1650">
        <v>22.89</v>
      </c>
      <c r="S1650">
        <v>68.67</v>
      </c>
      <c r="T1650">
        <v>55.86</v>
      </c>
      <c r="U1650">
        <v>18.649999999999999</v>
      </c>
      <c r="V1650" t="str">
        <f>VLOOKUP(L1650,'[2]tabela de preços'!$A:$D,4,0)</f>
        <v>AUTO AMERICA</v>
      </c>
      <c r="W1650" t="str">
        <f>VLOOKUP(L1650,'[2]tabela de preços'!$A:$F,6,0)</f>
        <v>MASSA DE POLIR</v>
      </c>
      <c r="X1650" t="str">
        <f>VLOOKUP(L1650,'[2]tabela de preços'!$A:$G,7,0)</f>
        <v>AUTOMOTIVO</v>
      </c>
    </row>
    <row r="1651" spans="1:24" x14ac:dyDescent="0.3">
      <c r="A1651" t="s">
        <v>1324</v>
      </c>
      <c r="C1651" t="s">
        <v>1331</v>
      </c>
      <c r="D1651" s="1">
        <v>46044</v>
      </c>
      <c r="E1651" t="s">
        <v>1332</v>
      </c>
      <c r="F1651">
        <v>9</v>
      </c>
      <c r="G1651">
        <v>197</v>
      </c>
      <c r="H1651" t="str">
        <f>VLOOKUP(G1651,[1]OPERADORES!$A:$B,2,0)</f>
        <v xml:space="preserve">POLIANA LORRANE DE AMORIM </v>
      </c>
      <c r="I1651" t="s">
        <v>1327</v>
      </c>
      <c r="J1651" t="s">
        <v>1328</v>
      </c>
      <c r="K1651" t="s">
        <v>1329</v>
      </c>
      <c r="L1651">
        <v>87043</v>
      </c>
      <c r="M1651" t="s">
        <v>217</v>
      </c>
      <c r="O1651" t="s">
        <v>11</v>
      </c>
      <c r="P1651">
        <v>6102</v>
      </c>
      <c r="Q1651">
        <v>8</v>
      </c>
      <c r="R1651">
        <v>21.95</v>
      </c>
      <c r="S1651">
        <v>175.6</v>
      </c>
      <c r="T1651">
        <v>144.16</v>
      </c>
      <c r="U1651">
        <v>17.899999999999999</v>
      </c>
      <c r="V1651" t="str">
        <f>VLOOKUP(L1651,'[2]tabela de preços'!$A:$D,4,0)</f>
        <v>ROBERLO</v>
      </c>
      <c r="W1651" t="str">
        <f>VLOOKUP(L1651,'[2]tabela de preços'!$A:$F,6,0)</f>
        <v>MASSA POLIÉSTER</v>
      </c>
      <c r="X1651" t="str">
        <f>VLOOKUP(L1651,'[2]tabela de preços'!$A:$G,7,0)</f>
        <v>AUTOMOTIVO</v>
      </c>
    </row>
    <row r="1652" spans="1:24" x14ac:dyDescent="0.3">
      <c r="A1652" t="s">
        <v>1324</v>
      </c>
      <c r="C1652" t="s">
        <v>1331</v>
      </c>
      <c r="D1652" s="1">
        <v>46044</v>
      </c>
      <c r="E1652" t="s">
        <v>1332</v>
      </c>
      <c r="F1652">
        <v>9</v>
      </c>
      <c r="G1652">
        <v>197</v>
      </c>
      <c r="H1652" t="str">
        <f>VLOOKUP(G1652,[1]OPERADORES!$A:$B,2,0)</f>
        <v xml:space="preserve">POLIANA LORRANE DE AMORIM </v>
      </c>
      <c r="I1652" t="s">
        <v>1327</v>
      </c>
      <c r="J1652" t="s">
        <v>1328</v>
      </c>
      <c r="K1652" t="s">
        <v>1329</v>
      </c>
      <c r="L1652">
        <v>21321</v>
      </c>
      <c r="M1652" t="s">
        <v>272</v>
      </c>
      <c r="O1652" t="s">
        <v>11</v>
      </c>
      <c r="P1652">
        <v>6102</v>
      </c>
      <c r="Q1652">
        <v>2</v>
      </c>
      <c r="R1652">
        <v>20.239999999999998</v>
      </c>
      <c r="S1652">
        <v>40.479999999999997</v>
      </c>
      <c r="T1652">
        <v>30.72</v>
      </c>
      <c r="U1652">
        <v>24.11</v>
      </c>
      <c r="V1652" t="str">
        <f>VLOOKUP(L1652,'[2]tabela de preços'!$A:$D,4,0)</f>
        <v>AUTO AMERICA</v>
      </c>
      <c r="W1652" t="str">
        <f>VLOOKUP(L1652,'[2]tabela de preços'!$A:$F,6,0)</f>
        <v>CERA  / LIMPEZA /  POLIMENTO VEICULAR</v>
      </c>
      <c r="X1652" t="str">
        <f>VLOOKUP(L1652,'[2]tabela de preços'!$A:$G,7,0)</f>
        <v>AUTOMOTIVO</v>
      </c>
    </row>
    <row r="1653" spans="1:24" x14ac:dyDescent="0.3">
      <c r="A1653" t="s">
        <v>1448</v>
      </c>
      <c r="B1653" t="s">
        <v>1449</v>
      </c>
      <c r="C1653" t="s">
        <v>1455</v>
      </c>
      <c r="D1653" s="1">
        <v>46044</v>
      </c>
      <c r="F1653">
        <v>9</v>
      </c>
      <c r="G1653">
        <v>174</v>
      </c>
      <c r="H1653" t="str">
        <f>VLOOKUP(G1653,[1]OPERADORES!$A:$B,2,0)</f>
        <v>MIRIÃ LOBATO RODRIGUES</v>
      </c>
      <c r="I1653" t="s">
        <v>21</v>
      </c>
      <c r="J1653" t="s">
        <v>1452</v>
      </c>
      <c r="K1653" t="s">
        <v>1453</v>
      </c>
      <c r="L1653">
        <v>83858</v>
      </c>
      <c r="M1653" t="s">
        <v>1454</v>
      </c>
      <c r="N1653" t="s">
        <v>1456</v>
      </c>
      <c r="O1653" t="s">
        <v>11</v>
      </c>
      <c r="P1653">
        <v>1202</v>
      </c>
      <c r="Q1653">
        <v>-12</v>
      </c>
      <c r="R1653">
        <v>164.9</v>
      </c>
      <c r="S1653" s="2">
        <v>-1978.8</v>
      </c>
      <c r="T1653" s="2">
        <v>-1501.92</v>
      </c>
      <c r="U1653">
        <v>24.1</v>
      </c>
      <c r="V1653" t="str">
        <f>VLOOKUP(L1653,'[2]tabela de preços'!$A:$D,4,0)</f>
        <v>3M</v>
      </c>
      <c r="W1653" t="str">
        <f>VLOOKUP(L1653,'[2]tabela de preços'!$A:$F,6,0)</f>
        <v>OUTRAS FITAS</v>
      </c>
      <c r="X1653" t="str">
        <f>VLOOKUP(L1653,'[2]tabela de preços'!$A:$G,7,0)</f>
        <v>IMOBILIÁRIO</v>
      </c>
    </row>
    <row r="1654" spans="1:24" x14ac:dyDescent="0.3">
      <c r="A1654" t="s">
        <v>1448</v>
      </c>
      <c r="B1654" t="s">
        <v>1449</v>
      </c>
      <c r="C1654" t="s">
        <v>1455</v>
      </c>
      <c r="D1654" s="1">
        <v>46044</v>
      </c>
      <c r="F1654">
        <v>9</v>
      </c>
      <c r="G1654">
        <v>174</v>
      </c>
      <c r="H1654" t="str">
        <f>VLOOKUP(G1654,[1]OPERADORES!$A:$B,2,0)</f>
        <v>MIRIÃ LOBATO RODRIGUES</v>
      </c>
      <c r="I1654" t="s">
        <v>21</v>
      </c>
      <c r="J1654" t="s">
        <v>1452</v>
      </c>
      <c r="K1654" t="s">
        <v>1453</v>
      </c>
      <c r="L1654">
        <v>10298</v>
      </c>
      <c r="M1654" t="s">
        <v>85</v>
      </c>
      <c r="N1654" t="s">
        <v>1456</v>
      </c>
      <c r="O1654" t="s">
        <v>11</v>
      </c>
      <c r="P1654">
        <v>1202</v>
      </c>
      <c r="Q1654">
        <v>-12</v>
      </c>
      <c r="R1654">
        <v>56.8</v>
      </c>
      <c r="S1654">
        <v>-681.6</v>
      </c>
      <c r="T1654">
        <v>-568.55999999999995</v>
      </c>
      <c r="U1654">
        <v>16.579999999999998</v>
      </c>
      <c r="V1654" t="str">
        <f>VLOOKUP(L1654,'[2]tabela de preços'!$A:$D,4,0)</f>
        <v>ANJO</v>
      </c>
      <c r="W1654" t="str">
        <f>VLOOKUP(L1654,'[2]tabela de preços'!$A:$F,6,0)</f>
        <v>THINNER DE LIMPEZA</v>
      </c>
      <c r="X1654" t="str">
        <f>VLOOKUP(L1654,'[2]tabela de preços'!$A:$G,7,0)</f>
        <v>THINNER</v>
      </c>
    </row>
    <row r="1655" spans="1:24" x14ac:dyDescent="0.3">
      <c r="A1655" t="s">
        <v>1448</v>
      </c>
      <c r="B1655" t="s">
        <v>1449</v>
      </c>
      <c r="C1655" t="s">
        <v>1457</v>
      </c>
      <c r="D1655" s="1">
        <v>46044</v>
      </c>
      <c r="E1655" t="s">
        <v>1458</v>
      </c>
      <c r="F1655">
        <v>9</v>
      </c>
      <c r="G1655">
        <v>174</v>
      </c>
      <c r="H1655" t="str">
        <f>VLOOKUP(G1655,[1]OPERADORES!$A:$B,2,0)</f>
        <v>MIRIÃ LOBATO RODRIGUES</v>
      </c>
      <c r="I1655" t="s">
        <v>21</v>
      </c>
      <c r="J1655" t="s">
        <v>1452</v>
      </c>
      <c r="K1655" t="s">
        <v>1453</v>
      </c>
      <c r="L1655">
        <v>10067</v>
      </c>
      <c r="M1655" t="s">
        <v>177</v>
      </c>
      <c r="O1655" t="s">
        <v>11</v>
      </c>
      <c r="P1655">
        <v>5102</v>
      </c>
      <c r="Q1655">
        <v>3</v>
      </c>
      <c r="R1655">
        <v>96.94</v>
      </c>
      <c r="S1655">
        <v>290.82</v>
      </c>
      <c r="T1655">
        <v>220.74</v>
      </c>
      <c r="U1655">
        <v>24.1</v>
      </c>
      <c r="V1655" t="str">
        <f>VLOOKUP(L1655,'[2]tabela de preços'!$A:$D,4,0)</f>
        <v>3M</v>
      </c>
      <c r="W1655" t="str">
        <f>VLOOKUP(L1655,'[2]tabela de preços'!$A:$F,6,0)</f>
        <v>BOINAS PARA POLIMENTO</v>
      </c>
      <c r="X1655" t="str">
        <f>VLOOKUP(L1655,'[2]tabela de preços'!$A:$G,7,0)</f>
        <v>AUTOMOTIVO</v>
      </c>
    </row>
    <row r="1656" spans="1:24" x14ac:dyDescent="0.3">
      <c r="A1656" t="s">
        <v>1448</v>
      </c>
      <c r="B1656" t="s">
        <v>1449</v>
      </c>
      <c r="C1656" t="s">
        <v>1457</v>
      </c>
      <c r="D1656" s="1">
        <v>46044</v>
      </c>
      <c r="E1656" t="s">
        <v>1458</v>
      </c>
      <c r="F1656">
        <v>9</v>
      </c>
      <c r="G1656">
        <v>174</v>
      </c>
      <c r="H1656" t="str">
        <f>VLOOKUP(G1656,[1]OPERADORES!$A:$B,2,0)</f>
        <v>MIRIÃ LOBATO RODRIGUES</v>
      </c>
      <c r="I1656" t="s">
        <v>21</v>
      </c>
      <c r="J1656" t="s">
        <v>1452</v>
      </c>
      <c r="K1656" t="s">
        <v>1453</v>
      </c>
      <c r="L1656">
        <v>9751</v>
      </c>
      <c r="M1656" t="s">
        <v>1333</v>
      </c>
      <c r="O1656" t="s">
        <v>11</v>
      </c>
      <c r="P1656">
        <v>5102</v>
      </c>
      <c r="Q1656">
        <v>2</v>
      </c>
      <c r="R1656">
        <v>60.16</v>
      </c>
      <c r="S1656">
        <v>120.32</v>
      </c>
      <c r="T1656">
        <v>89.22</v>
      </c>
      <c r="U1656">
        <v>25.85</v>
      </c>
      <c r="V1656" t="str">
        <f>VLOOKUP(L1656,'[2]tabela de preços'!$A:$D,4,0)</f>
        <v>3M</v>
      </c>
      <c r="W1656" t="str">
        <f>VLOOKUP(L1656,'[2]tabela de preços'!$A:$F,6,0)</f>
        <v xml:space="preserve">LÍQUIDOS P/ POLIMENTO </v>
      </c>
      <c r="X1656" t="str">
        <f>VLOOKUP(L1656,'[2]tabela de preços'!$A:$G,7,0)</f>
        <v>AUTOMOTIVO</v>
      </c>
    </row>
    <row r="1657" spans="1:24" x14ac:dyDescent="0.3">
      <c r="A1657" t="s">
        <v>1448</v>
      </c>
      <c r="B1657" t="s">
        <v>1449</v>
      </c>
      <c r="C1657" t="s">
        <v>1457</v>
      </c>
      <c r="D1657" s="1">
        <v>46044</v>
      </c>
      <c r="E1657" t="s">
        <v>1458</v>
      </c>
      <c r="F1657">
        <v>9</v>
      </c>
      <c r="G1657">
        <v>174</v>
      </c>
      <c r="H1657" t="str">
        <f>VLOOKUP(G1657,[1]OPERADORES!$A:$B,2,0)</f>
        <v>MIRIÃ LOBATO RODRIGUES</v>
      </c>
      <c r="I1657" t="s">
        <v>21</v>
      </c>
      <c r="J1657" t="s">
        <v>1452</v>
      </c>
      <c r="K1657" t="s">
        <v>1453</v>
      </c>
      <c r="L1657">
        <v>83858</v>
      </c>
      <c r="M1657" t="s">
        <v>1454</v>
      </c>
      <c r="O1657" t="s">
        <v>11</v>
      </c>
      <c r="P1657">
        <v>5102</v>
      </c>
      <c r="Q1657">
        <v>12</v>
      </c>
      <c r="R1657">
        <v>164.9</v>
      </c>
      <c r="S1657" s="2">
        <v>1978.8</v>
      </c>
      <c r="T1657" s="2">
        <v>1501.92</v>
      </c>
      <c r="U1657">
        <v>24.1</v>
      </c>
      <c r="V1657" t="str">
        <f>VLOOKUP(L1657,'[2]tabela de preços'!$A:$D,4,0)</f>
        <v>3M</v>
      </c>
      <c r="W1657" t="str">
        <f>VLOOKUP(L1657,'[2]tabela de preços'!$A:$F,6,0)</f>
        <v>OUTRAS FITAS</v>
      </c>
      <c r="X1657" t="str">
        <f>VLOOKUP(L1657,'[2]tabela de preços'!$A:$G,7,0)</f>
        <v>IMOBILIÁRIO</v>
      </c>
    </row>
    <row r="1658" spans="1:24" x14ac:dyDescent="0.3">
      <c r="A1658" t="s">
        <v>1448</v>
      </c>
      <c r="B1658" t="s">
        <v>1449</v>
      </c>
      <c r="C1658" t="s">
        <v>1457</v>
      </c>
      <c r="D1658" s="1">
        <v>46044</v>
      </c>
      <c r="E1658" t="s">
        <v>1458</v>
      </c>
      <c r="F1658">
        <v>9</v>
      </c>
      <c r="G1658">
        <v>174</v>
      </c>
      <c r="H1658" t="str">
        <f>VLOOKUP(G1658,[1]OPERADORES!$A:$B,2,0)</f>
        <v>MIRIÃ LOBATO RODRIGUES</v>
      </c>
      <c r="I1658" t="s">
        <v>21</v>
      </c>
      <c r="J1658" t="s">
        <v>1452</v>
      </c>
      <c r="K1658" t="s">
        <v>1453</v>
      </c>
      <c r="L1658">
        <v>21203</v>
      </c>
      <c r="M1658" t="s">
        <v>1459</v>
      </c>
      <c r="O1658" t="s">
        <v>11</v>
      </c>
      <c r="P1658">
        <v>5102</v>
      </c>
      <c r="Q1658">
        <v>2</v>
      </c>
      <c r="R1658">
        <v>31.06</v>
      </c>
      <c r="S1658">
        <v>62.12</v>
      </c>
      <c r="T1658">
        <v>40.08</v>
      </c>
      <c r="U1658">
        <v>35.479999999999997</v>
      </c>
      <c r="V1658" t="str">
        <f>VLOOKUP(L1658,'[2]tabela de preços'!$A:$D,4,0)</f>
        <v>3M</v>
      </c>
      <c r="W1658" t="str">
        <f>VLOOKUP(L1658,'[2]tabela de preços'!$A:$F,6,0)</f>
        <v>MASSA DE POLIR</v>
      </c>
      <c r="X1658" t="str">
        <f>VLOOKUP(L1658,'[2]tabela de preços'!$A:$G,7,0)</f>
        <v>AUTOMOTIVO</v>
      </c>
    </row>
    <row r="1659" spans="1:24" x14ac:dyDescent="0.3">
      <c r="A1659" t="s">
        <v>1448</v>
      </c>
      <c r="B1659" t="s">
        <v>1449</v>
      </c>
      <c r="C1659" t="s">
        <v>1457</v>
      </c>
      <c r="D1659" s="1">
        <v>46044</v>
      </c>
      <c r="E1659" t="s">
        <v>1458</v>
      </c>
      <c r="F1659">
        <v>9</v>
      </c>
      <c r="G1659">
        <v>174</v>
      </c>
      <c r="H1659" t="str">
        <f>VLOOKUP(G1659,[1]OPERADORES!$A:$B,2,0)</f>
        <v>MIRIÃ LOBATO RODRIGUES</v>
      </c>
      <c r="I1659" t="s">
        <v>21</v>
      </c>
      <c r="J1659" t="s">
        <v>1452</v>
      </c>
      <c r="K1659" t="s">
        <v>1453</v>
      </c>
      <c r="L1659">
        <v>10298</v>
      </c>
      <c r="M1659" t="s">
        <v>85</v>
      </c>
      <c r="O1659" t="s">
        <v>11</v>
      </c>
      <c r="P1659">
        <v>5102</v>
      </c>
      <c r="Q1659">
        <v>12</v>
      </c>
      <c r="R1659">
        <v>56.8</v>
      </c>
      <c r="S1659">
        <v>681.6</v>
      </c>
      <c r="T1659">
        <v>568.55999999999995</v>
      </c>
      <c r="U1659">
        <v>16.579999999999998</v>
      </c>
      <c r="V1659" t="str">
        <f>VLOOKUP(L1659,'[2]tabela de preços'!$A:$D,4,0)</f>
        <v>ANJO</v>
      </c>
      <c r="W1659" t="str">
        <f>VLOOKUP(L1659,'[2]tabela de preços'!$A:$F,6,0)</f>
        <v>THINNER DE LIMPEZA</v>
      </c>
      <c r="X1659" t="str">
        <f>VLOOKUP(L1659,'[2]tabela de preços'!$A:$G,7,0)</f>
        <v>THINNER</v>
      </c>
    </row>
    <row r="1660" spans="1:24" x14ac:dyDescent="0.3">
      <c r="A1660" t="s">
        <v>1516</v>
      </c>
      <c r="C1660" t="s">
        <v>1522</v>
      </c>
      <c r="D1660" s="1">
        <v>46044</v>
      </c>
      <c r="E1660" t="s">
        <v>1523</v>
      </c>
      <c r="F1660">
        <v>9</v>
      </c>
      <c r="G1660">
        <v>174</v>
      </c>
      <c r="H1660" t="str">
        <f>VLOOKUP(G1660,[1]OPERADORES!$A:$B,2,0)</f>
        <v>MIRIÃ LOBATO RODRIGUES</v>
      </c>
      <c r="I1660" t="s">
        <v>21</v>
      </c>
      <c r="J1660" t="s">
        <v>372</v>
      </c>
      <c r="K1660" t="s">
        <v>1519</v>
      </c>
      <c r="L1660">
        <v>84897</v>
      </c>
      <c r="M1660" t="s">
        <v>852</v>
      </c>
      <c r="O1660" t="s">
        <v>11</v>
      </c>
      <c r="P1660">
        <v>5403</v>
      </c>
      <c r="Q1660">
        <v>2</v>
      </c>
      <c r="R1660">
        <v>230.87</v>
      </c>
      <c r="S1660">
        <v>461.74</v>
      </c>
      <c r="T1660">
        <v>350.46</v>
      </c>
      <c r="U1660">
        <v>24.1</v>
      </c>
      <c r="V1660" t="str">
        <f>VLOOKUP(L1660,'[2]tabela de preços'!$A:$D,4,0)</f>
        <v>BRASILUX</v>
      </c>
      <c r="W1660" t="str">
        <f>VLOOKUP(L1660,'[2]tabela de preços'!$A:$F,6,0)</f>
        <v>EPOXI</v>
      </c>
      <c r="X1660" t="str">
        <f>VLOOKUP(L1660,'[2]tabela de preços'!$A:$G,7,0)</f>
        <v>INDUSTRIAL</v>
      </c>
    </row>
    <row r="1661" spans="1:24" x14ac:dyDescent="0.3">
      <c r="A1661" t="s">
        <v>1561</v>
      </c>
      <c r="C1661" t="s">
        <v>1595</v>
      </c>
      <c r="D1661" s="1">
        <v>46044</v>
      </c>
      <c r="E1661" t="s">
        <v>1596</v>
      </c>
      <c r="F1661">
        <v>9</v>
      </c>
      <c r="G1661">
        <v>174</v>
      </c>
      <c r="H1661" t="str">
        <f>VLOOKUP(G1661,[1]OPERADORES!$A:$B,2,0)</f>
        <v>MIRIÃ LOBATO RODRIGUES</v>
      </c>
      <c r="I1661" t="s">
        <v>21</v>
      </c>
      <c r="J1661" t="s">
        <v>1564</v>
      </c>
      <c r="K1661" t="s">
        <v>1565</v>
      </c>
      <c r="L1661">
        <v>84219</v>
      </c>
      <c r="M1661" t="s">
        <v>878</v>
      </c>
      <c r="O1661" t="s">
        <v>11</v>
      </c>
      <c r="P1661">
        <v>5403</v>
      </c>
      <c r="Q1661">
        <v>3</v>
      </c>
      <c r="R1661">
        <v>52.73</v>
      </c>
      <c r="S1661">
        <v>158.19</v>
      </c>
      <c r="T1661">
        <v>120.09</v>
      </c>
      <c r="U1661">
        <v>24.08</v>
      </c>
      <c r="V1661" t="str">
        <f>VLOOKUP(L1661,'[2]tabela de preços'!$A:$D,4,0)</f>
        <v>BRASILUX</v>
      </c>
      <c r="W1661" t="str">
        <f>VLOOKUP(L1661,'[2]tabela de preços'!$A:$F,6,0)</f>
        <v>ESMALTES</v>
      </c>
      <c r="X1661" t="str">
        <f>VLOOKUP(L1661,'[2]tabela de preços'!$A:$G,7,0)</f>
        <v>INDUSTRIAL</v>
      </c>
    </row>
    <row r="1662" spans="1:24" x14ac:dyDescent="0.3">
      <c r="A1662" t="s">
        <v>1561</v>
      </c>
      <c r="C1662" t="s">
        <v>1595</v>
      </c>
      <c r="D1662" s="1">
        <v>46044</v>
      </c>
      <c r="E1662" t="s">
        <v>1596</v>
      </c>
      <c r="F1662">
        <v>9</v>
      </c>
      <c r="G1662">
        <v>174</v>
      </c>
      <c r="H1662" t="str">
        <f>VLOOKUP(G1662,[1]OPERADORES!$A:$B,2,0)</f>
        <v>MIRIÃ LOBATO RODRIGUES</v>
      </c>
      <c r="I1662" t="s">
        <v>21</v>
      </c>
      <c r="J1662" t="s">
        <v>1564</v>
      </c>
      <c r="K1662" t="s">
        <v>1565</v>
      </c>
      <c r="L1662">
        <v>85224</v>
      </c>
      <c r="M1662" t="s">
        <v>1597</v>
      </c>
      <c r="O1662" t="s">
        <v>11</v>
      </c>
      <c r="P1662">
        <v>5102</v>
      </c>
      <c r="Q1662">
        <v>2</v>
      </c>
      <c r="R1662">
        <v>12.19</v>
      </c>
      <c r="S1662">
        <v>24.38</v>
      </c>
      <c r="T1662">
        <v>18.5</v>
      </c>
      <c r="U1662">
        <v>24.12</v>
      </c>
      <c r="V1662" t="str">
        <f>VLOOKUP(L1662,'[2]tabela de preços'!$A:$D,4,0)</f>
        <v>ATLAS</v>
      </c>
      <c r="W1662" t="str">
        <f>VLOOKUP(L1662,'[2]tabela de preços'!$A:$F,6,0)</f>
        <v>ROLOS / TRINCHAS / PINCÉIS / ESPÁTULAS</v>
      </c>
      <c r="X1662" t="str">
        <f>VLOOKUP(L1662,'[2]tabela de preços'!$A:$G,7,0)</f>
        <v>IMOBILIÁRIO</v>
      </c>
    </row>
    <row r="1663" spans="1:24" x14ac:dyDescent="0.3">
      <c r="A1663" t="s">
        <v>1630</v>
      </c>
      <c r="C1663" t="s">
        <v>1646</v>
      </c>
      <c r="D1663" s="1">
        <v>46044</v>
      </c>
      <c r="E1663" t="s">
        <v>1647</v>
      </c>
      <c r="F1663">
        <v>9</v>
      </c>
      <c r="G1663">
        <v>174</v>
      </c>
      <c r="H1663" t="str">
        <f>VLOOKUP(G1663,[1]OPERADORES!$A:$B,2,0)</f>
        <v>MIRIÃ LOBATO RODRIGUES</v>
      </c>
      <c r="I1663" t="s">
        <v>21</v>
      </c>
      <c r="J1663" t="s">
        <v>762</v>
      </c>
      <c r="K1663" t="s">
        <v>1633</v>
      </c>
      <c r="L1663">
        <v>84012</v>
      </c>
      <c r="M1663" t="s">
        <v>1648</v>
      </c>
      <c r="O1663" t="s">
        <v>11</v>
      </c>
      <c r="P1663">
        <v>5102</v>
      </c>
      <c r="Q1663">
        <v>100</v>
      </c>
      <c r="R1663">
        <v>2.62</v>
      </c>
      <c r="S1663">
        <v>262</v>
      </c>
      <c r="T1663">
        <v>169</v>
      </c>
      <c r="U1663">
        <v>35.5</v>
      </c>
      <c r="V1663" t="str">
        <f>VLOOKUP(L1663,'[2]tabela de preços'!$A:$D,4,0)</f>
        <v>3M</v>
      </c>
      <c r="W1663" t="str">
        <f>VLOOKUP(L1663,'[2]tabela de preços'!$A:$F,6,0)</f>
        <v>LIXA FERRO</v>
      </c>
      <c r="X1663" t="str">
        <f>VLOOKUP(L1663,'[2]tabela de preços'!$A:$G,7,0)</f>
        <v>IMOBILIÁRIO</v>
      </c>
    </row>
    <row r="1664" spans="1:24" x14ac:dyDescent="0.3">
      <c r="A1664" t="s">
        <v>1630</v>
      </c>
      <c r="C1664" t="s">
        <v>1646</v>
      </c>
      <c r="D1664" s="1">
        <v>46044</v>
      </c>
      <c r="E1664" t="s">
        <v>1647</v>
      </c>
      <c r="F1664">
        <v>9</v>
      </c>
      <c r="G1664">
        <v>174</v>
      </c>
      <c r="H1664" t="str">
        <f>VLOOKUP(G1664,[1]OPERADORES!$A:$B,2,0)</f>
        <v>MIRIÃ LOBATO RODRIGUES</v>
      </c>
      <c r="I1664" t="s">
        <v>21</v>
      </c>
      <c r="J1664" t="s">
        <v>762</v>
      </c>
      <c r="K1664" t="s">
        <v>1633</v>
      </c>
      <c r="L1664">
        <v>85558</v>
      </c>
      <c r="M1664" t="s">
        <v>1643</v>
      </c>
      <c r="O1664" t="s">
        <v>11</v>
      </c>
      <c r="P1664">
        <v>5405</v>
      </c>
      <c r="Q1664">
        <v>8</v>
      </c>
      <c r="R1664">
        <v>164.47</v>
      </c>
      <c r="S1664" s="2">
        <v>1315.76</v>
      </c>
      <c r="T1664">
        <v>998.64</v>
      </c>
      <c r="U1664">
        <v>24.1</v>
      </c>
      <c r="V1664" t="str">
        <f>VLOOKUP(L1664,'[2]tabela de preços'!$A:$D,4,0)</f>
        <v>BRASILUX</v>
      </c>
      <c r="W1664" t="str">
        <f>VLOOKUP(L1664,'[2]tabela de preços'!$A:$F,6,0)</f>
        <v>EPOXI</v>
      </c>
      <c r="X1664" t="str">
        <f>VLOOKUP(L1664,'[2]tabela de preços'!$A:$G,7,0)</f>
        <v>INDUSTRIAL</v>
      </c>
    </row>
    <row r="1665" spans="1:24" x14ac:dyDescent="0.3">
      <c r="A1665" t="s">
        <v>1649</v>
      </c>
      <c r="B1665" t="s">
        <v>1650</v>
      </c>
      <c r="C1665" t="s">
        <v>1667</v>
      </c>
      <c r="D1665" s="1">
        <v>46044</v>
      </c>
      <c r="E1665" t="s">
        <v>1668</v>
      </c>
      <c r="F1665">
        <v>9</v>
      </c>
      <c r="G1665">
        <v>236</v>
      </c>
      <c r="H1665" t="str">
        <f>VLOOKUP(G1665,[1]OPERADORES!$A:$B,2,0)</f>
        <v>DANIEL</v>
      </c>
      <c r="I1665" t="s">
        <v>21</v>
      </c>
      <c r="J1665" t="s">
        <v>1653</v>
      </c>
      <c r="K1665" t="s">
        <v>1654</v>
      </c>
      <c r="L1665">
        <v>87043</v>
      </c>
      <c r="M1665" t="s">
        <v>217</v>
      </c>
      <c r="O1665" t="s">
        <v>11</v>
      </c>
      <c r="P1665">
        <v>5102</v>
      </c>
      <c r="Q1665">
        <v>80</v>
      </c>
      <c r="R1665">
        <v>21.95</v>
      </c>
      <c r="S1665" s="2">
        <v>1756</v>
      </c>
      <c r="T1665" s="2">
        <v>1441.6</v>
      </c>
      <c r="U1665">
        <v>17.899999999999999</v>
      </c>
      <c r="V1665" t="str">
        <f>VLOOKUP(L1665,'[2]tabela de preços'!$A:$D,4,0)</f>
        <v>ROBERLO</v>
      </c>
      <c r="W1665" t="str">
        <f>VLOOKUP(L1665,'[2]tabela de preços'!$A:$F,6,0)</f>
        <v>MASSA POLIÉSTER</v>
      </c>
      <c r="X1665" t="str">
        <f>VLOOKUP(L1665,'[2]tabela de preços'!$A:$G,7,0)</f>
        <v>AUTOMOTIVO</v>
      </c>
    </row>
    <row r="1666" spans="1:24" x14ac:dyDescent="0.3">
      <c r="A1666" t="s">
        <v>1727</v>
      </c>
      <c r="C1666" t="s">
        <v>1737</v>
      </c>
      <c r="D1666" s="1">
        <v>46044</v>
      </c>
      <c r="E1666" t="s">
        <v>1738</v>
      </c>
      <c r="F1666">
        <v>9</v>
      </c>
      <c r="G1666">
        <v>174</v>
      </c>
      <c r="H1666" t="str">
        <f>VLOOKUP(G1666,[1]OPERADORES!$A:$B,2,0)</f>
        <v>MIRIÃ LOBATO RODRIGUES</v>
      </c>
      <c r="I1666" t="s">
        <v>21</v>
      </c>
      <c r="J1666" t="s">
        <v>1173</v>
      </c>
      <c r="K1666" t="s">
        <v>1730</v>
      </c>
      <c r="L1666">
        <v>10401</v>
      </c>
      <c r="M1666" t="s">
        <v>154</v>
      </c>
      <c r="O1666" t="s">
        <v>11</v>
      </c>
      <c r="P1666">
        <v>5403</v>
      </c>
      <c r="Q1666">
        <v>12</v>
      </c>
      <c r="R1666">
        <v>33.22</v>
      </c>
      <c r="S1666">
        <v>398.64</v>
      </c>
      <c r="T1666">
        <v>302.52</v>
      </c>
      <c r="U1666">
        <v>24.11</v>
      </c>
      <c r="V1666" t="str">
        <f>VLOOKUP(L1666,'[2]tabela de preços'!$A:$D,4,0)</f>
        <v>MAXI RUBBER</v>
      </c>
      <c r="W1666" t="str">
        <f>VLOOKUP(L1666,'[2]tabela de preços'!$A:$F,6,0)</f>
        <v>PRIMER AUTOMOTIVO</v>
      </c>
      <c r="X1666" t="str">
        <f>VLOOKUP(L1666,'[2]tabela de preços'!$A:$G,7,0)</f>
        <v>AUTOMOTIVO</v>
      </c>
    </row>
    <row r="1667" spans="1:24" x14ac:dyDescent="0.3">
      <c r="A1667" t="s">
        <v>1727</v>
      </c>
      <c r="C1667" t="s">
        <v>1737</v>
      </c>
      <c r="D1667" s="1">
        <v>46044</v>
      </c>
      <c r="E1667" t="s">
        <v>1738</v>
      </c>
      <c r="F1667">
        <v>9</v>
      </c>
      <c r="G1667">
        <v>174</v>
      </c>
      <c r="H1667" t="str">
        <f>VLOOKUP(G1667,[1]OPERADORES!$A:$B,2,0)</f>
        <v>MIRIÃ LOBATO RODRIGUES</v>
      </c>
      <c r="I1667" t="s">
        <v>21</v>
      </c>
      <c r="J1667" t="s">
        <v>1173</v>
      </c>
      <c r="K1667" t="s">
        <v>1730</v>
      </c>
      <c r="L1667">
        <v>9995</v>
      </c>
      <c r="M1667" t="s">
        <v>704</v>
      </c>
      <c r="O1667" t="s">
        <v>11</v>
      </c>
      <c r="P1667">
        <v>5102</v>
      </c>
      <c r="Q1667">
        <v>1</v>
      </c>
      <c r="R1667">
        <v>186.08</v>
      </c>
      <c r="S1667">
        <v>186.08</v>
      </c>
      <c r="T1667">
        <v>141.24</v>
      </c>
      <c r="U1667">
        <v>24.1</v>
      </c>
      <c r="V1667" t="str">
        <f>VLOOKUP(L1667,'[2]tabela de preços'!$A:$D,4,0)</f>
        <v>SIKKENS</v>
      </c>
      <c r="W1667" t="str">
        <f>VLOOKUP(L1667,'[2]tabela de preços'!$A:$F,6,0)</f>
        <v>DILUENTE</v>
      </c>
      <c r="X1667" t="str">
        <f>VLOOKUP(L1667,'[2]tabela de preços'!$A:$G,7,0)</f>
        <v>AUTOMOTIVO</v>
      </c>
    </row>
    <row r="1668" spans="1:24" x14ac:dyDescent="0.3">
      <c r="A1668" t="s">
        <v>1727</v>
      </c>
      <c r="C1668" t="s">
        <v>1737</v>
      </c>
      <c r="D1668" s="1">
        <v>46044</v>
      </c>
      <c r="E1668" t="s">
        <v>1738</v>
      </c>
      <c r="F1668">
        <v>9</v>
      </c>
      <c r="G1668">
        <v>174</v>
      </c>
      <c r="H1668" t="str">
        <f>VLOOKUP(G1668,[1]OPERADORES!$A:$B,2,0)</f>
        <v>MIRIÃ LOBATO RODRIGUES</v>
      </c>
      <c r="I1668" t="s">
        <v>21</v>
      </c>
      <c r="J1668" t="s">
        <v>1173</v>
      </c>
      <c r="K1668" t="s">
        <v>1730</v>
      </c>
      <c r="L1668">
        <v>21067</v>
      </c>
      <c r="M1668" t="s">
        <v>640</v>
      </c>
      <c r="O1668" t="s">
        <v>11</v>
      </c>
      <c r="P1668">
        <v>5102</v>
      </c>
      <c r="Q1668">
        <v>6</v>
      </c>
      <c r="R1668">
        <v>36.07</v>
      </c>
      <c r="S1668">
        <v>216.42</v>
      </c>
      <c r="T1668">
        <v>164.28</v>
      </c>
      <c r="U1668">
        <v>24.09</v>
      </c>
      <c r="V1668" t="str">
        <f>VLOOKUP(L1668,'[2]tabela de preços'!$A:$D,4,0)</f>
        <v>SIKKENS</v>
      </c>
      <c r="W1668" t="str">
        <f>VLOOKUP(L1668,'[2]tabela de preços'!$A:$F,6,0)</f>
        <v>DILUENTE</v>
      </c>
      <c r="X1668" t="str">
        <f>VLOOKUP(L1668,'[2]tabela de preços'!$A:$G,7,0)</f>
        <v>AUTOMOTIVO</v>
      </c>
    </row>
    <row r="1669" spans="1:24" x14ac:dyDescent="0.3">
      <c r="A1669" t="s">
        <v>1947</v>
      </c>
      <c r="B1669" t="s">
        <v>1948</v>
      </c>
      <c r="C1669" t="s">
        <v>1953</v>
      </c>
      <c r="D1669" s="1">
        <v>46044</v>
      </c>
      <c r="E1669" t="s">
        <v>1954</v>
      </c>
      <c r="F1669">
        <v>9</v>
      </c>
      <c r="G1669">
        <v>236</v>
      </c>
      <c r="H1669" t="str">
        <f>VLOOKUP(G1669,[1]OPERADORES!$A:$B,2,0)</f>
        <v>DANIEL</v>
      </c>
      <c r="I1669" t="s">
        <v>21</v>
      </c>
      <c r="J1669" t="s">
        <v>1951</v>
      </c>
      <c r="K1669" t="s">
        <v>1952</v>
      </c>
      <c r="L1669">
        <v>84438</v>
      </c>
      <c r="M1669" t="s">
        <v>1955</v>
      </c>
      <c r="O1669" t="s">
        <v>11</v>
      </c>
      <c r="P1669">
        <v>5102</v>
      </c>
      <c r="Q1669">
        <v>10</v>
      </c>
      <c r="R1669">
        <v>7.16</v>
      </c>
      <c r="S1669">
        <v>71.599999999999994</v>
      </c>
      <c r="T1669">
        <v>54.3</v>
      </c>
      <c r="U1669">
        <v>24.16</v>
      </c>
      <c r="V1669" t="str">
        <f>VLOOKUP(L1669,'[2]tabela de preços'!$A:$D,4,0)</f>
        <v>ATLAS</v>
      </c>
      <c r="W1669" t="str">
        <f>VLOOKUP(L1669,'[2]tabela de preços'!$A:$F,6,0)</f>
        <v>ROLOS / TRINCHAS / PINCÉIS / ESPÁTULAS</v>
      </c>
      <c r="X1669" t="str">
        <f>VLOOKUP(L1669,'[2]tabela de preços'!$A:$G,7,0)</f>
        <v>IMOBILIÁRIO</v>
      </c>
    </row>
    <row r="1670" spans="1:24" x14ac:dyDescent="0.3">
      <c r="A1670" t="s">
        <v>1947</v>
      </c>
      <c r="B1670" t="s">
        <v>1948</v>
      </c>
      <c r="C1670" t="s">
        <v>1953</v>
      </c>
      <c r="D1670" s="1">
        <v>46044</v>
      </c>
      <c r="E1670" t="s">
        <v>1954</v>
      </c>
      <c r="F1670">
        <v>9</v>
      </c>
      <c r="G1670">
        <v>236</v>
      </c>
      <c r="H1670" t="str">
        <f>VLOOKUP(G1670,[1]OPERADORES!$A:$B,2,0)</f>
        <v>DANIEL</v>
      </c>
      <c r="I1670" t="s">
        <v>21</v>
      </c>
      <c r="J1670" t="s">
        <v>1951</v>
      </c>
      <c r="K1670" t="s">
        <v>1952</v>
      </c>
      <c r="L1670">
        <v>23878</v>
      </c>
      <c r="M1670" t="s">
        <v>851</v>
      </c>
      <c r="O1670" t="s">
        <v>11</v>
      </c>
      <c r="P1670">
        <v>5102</v>
      </c>
      <c r="Q1670">
        <v>10</v>
      </c>
      <c r="R1670">
        <v>8.41</v>
      </c>
      <c r="S1670">
        <v>84.1</v>
      </c>
      <c r="T1670">
        <v>63.8</v>
      </c>
      <c r="U1670">
        <v>24.14</v>
      </c>
      <c r="V1670" t="str">
        <f>VLOOKUP(L1670,'[2]tabela de preços'!$A:$D,4,0)</f>
        <v>ATLAS</v>
      </c>
      <c r="W1670" t="str">
        <f>VLOOKUP(L1670,'[2]tabela de preços'!$A:$F,6,0)</f>
        <v>ROLOS / TRINCHAS / PINCÉIS / ESPÁTULAS</v>
      </c>
      <c r="X1670" t="str">
        <f>VLOOKUP(L1670,'[2]tabela de preços'!$A:$G,7,0)</f>
        <v>IMOBILIÁRIO</v>
      </c>
    </row>
    <row r="1671" spans="1:24" x14ac:dyDescent="0.3">
      <c r="A1671" t="s">
        <v>1947</v>
      </c>
      <c r="B1671" t="s">
        <v>1948</v>
      </c>
      <c r="C1671" t="s">
        <v>1953</v>
      </c>
      <c r="D1671" s="1">
        <v>46044</v>
      </c>
      <c r="E1671" t="s">
        <v>1954</v>
      </c>
      <c r="F1671">
        <v>9</v>
      </c>
      <c r="G1671">
        <v>236</v>
      </c>
      <c r="H1671" t="str">
        <f>VLOOKUP(G1671,[1]OPERADORES!$A:$B,2,0)</f>
        <v>DANIEL</v>
      </c>
      <c r="I1671" t="s">
        <v>21</v>
      </c>
      <c r="J1671" t="s">
        <v>1951</v>
      </c>
      <c r="K1671" t="s">
        <v>1952</v>
      </c>
      <c r="L1671">
        <v>57</v>
      </c>
      <c r="M1671" t="s">
        <v>1089</v>
      </c>
      <c r="O1671" t="s">
        <v>11</v>
      </c>
      <c r="P1671">
        <v>5102</v>
      </c>
      <c r="Q1671">
        <v>50</v>
      </c>
      <c r="R1671">
        <v>0.96</v>
      </c>
      <c r="S1671">
        <v>48</v>
      </c>
      <c r="T1671">
        <v>36.5</v>
      </c>
      <c r="U1671">
        <v>23.96</v>
      </c>
      <c r="V1671" t="str">
        <f>VLOOKUP(L1671,'[2]tabela de preços'!$A:$D,4,0)</f>
        <v>3M</v>
      </c>
      <c r="W1671" t="str">
        <f>VLOOKUP(L1671,'[2]tabela de preços'!$A:$F,6,0)</f>
        <v>LIXA DÁGUA</v>
      </c>
      <c r="X1671" t="str">
        <f>VLOOKUP(L1671,'[2]tabela de preços'!$A:$G,7,0)</f>
        <v>AUTOMOTIVO</v>
      </c>
    </row>
    <row r="1672" spans="1:24" x14ac:dyDescent="0.3">
      <c r="A1672" t="s">
        <v>1947</v>
      </c>
      <c r="B1672" t="s">
        <v>1948</v>
      </c>
      <c r="C1672" t="s">
        <v>1953</v>
      </c>
      <c r="D1672" s="1">
        <v>46044</v>
      </c>
      <c r="E1672" t="s">
        <v>1954</v>
      </c>
      <c r="F1672">
        <v>9</v>
      </c>
      <c r="G1672">
        <v>236</v>
      </c>
      <c r="H1672" t="str">
        <f>VLOOKUP(G1672,[1]OPERADORES!$A:$B,2,0)</f>
        <v>DANIEL</v>
      </c>
      <c r="I1672" t="s">
        <v>21</v>
      </c>
      <c r="J1672" t="s">
        <v>1951</v>
      </c>
      <c r="K1672" t="s">
        <v>1952</v>
      </c>
      <c r="L1672">
        <v>84016</v>
      </c>
      <c r="M1672" t="s">
        <v>862</v>
      </c>
      <c r="O1672" t="s">
        <v>11</v>
      </c>
      <c r="P1672">
        <v>5102</v>
      </c>
      <c r="Q1672">
        <v>300</v>
      </c>
      <c r="R1672">
        <v>0.6</v>
      </c>
      <c r="S1672">
        <v>180</v>
      </c>
      <c r="T1672">
        <v>138</v>
      </c>
      <c r="U1672">
        <v>23.33</v>
      </c>
      <c r="V1672" t="str">
        <f>VLOOKUP(L1672,'[2]tabela de preços'!$A:$D,4,0)</f>
        <v>3M</v>
      </c>
      <c r="W1672" t="str">
        <f>VLOOKUP(L1672,'[2]tabela de preços'!$A:$F,6,0)</f>
        <v>LIXA MASSA  /MADEIRA / PAREDE</v>
      </c>
      <c r="X1672" t="str">
        <f>VLOOKUP(L1672,'[2]tabela de preços'!$A:$G,7,0)</f>
        <v>IMOBILIÁRIO</v>
      </c>
    </row>
    <row r="1673" spans="1:24" x14ac:dyDescent="0.3">
      <c r="A1673" t="s">
        <v>1947</v>
      </c>
      <c r="B1673" t="s">
        <v>1948</v>
      </c>
      <c r="C1673" t="s">
        <v>1953</v>
      </c>
      <c r="D1673" s="1">
        <v>46044</v>
      </c>
      <c r="E1673" t="s">
        <v>1954</v>
      </c>
      <c r="F1673">
        <v>9</v>
      </c>
      <c r="G1673">
        <v>236</v>
      </c>
      <c r="H1673" t="str">
        <f>VLOOKUP(G1673,[1]OPERADORES!$A:$B,2,0)</f>
        <v>DANIEL</v>
      </c>
      <c r="I1673" t="s">
        <v>21</v>
      </c>
      <c r="J1673" t="s">
        <v>1951</v>
      </c>
      <c r="K1673" t="s">
        <v>1952</v>
      </c>
      <c r="L1673">
        <v>84435</v>
      </c>
      <c r="M1673" t="s">
        <v>1956</v>
      </c>
      <c r="O1673" t="s">
        <v>11</v>
      </c>
      <c r="P1673">
        <v>5102</v>
      </c>
      <c r="Q1673">
        <v>20</v>
      </c>
      <c r="R1673">
        <v>16.809999999999999</v>
      </c>
      <c r="S1673">
        <v>336.2</v>
      </c>
      <c r="T1673">
        <v>255.2</v>
      </c>
      <c r="U1673">
        <v>24.09</v>
      </c>
      <c r="V1673" t="str">
        <f>VLOOKUP(L1673,'[2]tabela de preços'!$A:$D,4,0)</f>
        <v>ATLAS</v>
      </c>
      <c r="W1673" t="str">
        <f>VLOOKUP(L1673,'[2]tabela de preços'!$A:$F,6,0)</f>
        <v>ROLOS / TRINCHAS / PINCÉIS / ESPÁTULAS</v>
      </c>
      <c r="X1673" t="str">
        <f>VLOOKUP(L1673,'[2]tabela de preços'!$A:$G,7,0)</f>
        <v>IMOBILIÁRIO</v>
      </c>
    </row>
    <row r="1674" spans="1:24" x14ac:dyDescent="0.3">
      <c r="A1674" t="s">
        <v>1947</v>
      </c>
      <c r="B1674" t="s">
        <v>1948</v>
      </c>
      <c r="C1674" t="s">
        <v>1953</v>
      </c>
      <c r="D1674" s="1">
        <v>46044</v>
      </c>
      <c r="E1674" t="s">
        <v>1954</v>
      </c>
      <c r="F1674">
        <v>9</v>
      </c>
      <c r="G1674">
        <v>236</v>
      </c>
      <c r="H1674" t="str">
        <f>VLOOKUP(G1674,[1]OPERADORES!$A:$B,2,0)</f>
        <v>DANIEL</v>
      </c>
      <c r="I1674" t="s">
        <v>21</v>
      </c>
      <c r="J1674" t="s">
        <v>1951</v>
      </c>
      <c r="K1674" t="s">
        <v>1952</v>
      </c>
      <c r="L1674">
        <v>84426</v>
      </c>
      <c r="M1674" t="s">
        <v>1957</v>
      </c>
      <c r="O1674" t="s">
        <v>11</v>
      </c>
      <c r="P1674">
        <v>5102</v>
      </c>
      <c r="Q1674">
        <v>49</v>
      </c>
      <c r="R1674">
        <v>4.32</v>
      </c>
      <c r="S1674">
        <v>211.68</v>
      </c>
      <c r="T1674">
        <v>160.72</v>
      </c>
      <c r="U1674">
        <v>24.07</v>
      </c>
      <c r="V1674" t="str">
        <f>VLOOKUP(L1674,'[2]tabela de preços'!$A:$D,4,0)</f>
        <v>ATLAS</v>
      </c>
      <c r="W1674" t="str">
        <f>VLOOKUP(L1674,'[2]tabela de preços'!$A:$F,6,0)</f>
        <v>ROLOS / TRINCHAS / PINCÉIS / ESPÁTULAS</v>
      </c>
      <c r="X1674" t="str">
        <f>VLOOKUP(L1674,'[2]tabela de preços'!$A:$G,7,0)</f>
        <v>IMOBILIÁRIO</v>
      </c>
    </row>
    <row r="1675" spans="1:24" x14ac:dyDescent="0.3">
      <c r="A1675" t="s">
        <v>1947</v>
      </c>
      <c r="B1675" t="s">
        <v>1948</v>
      </c>
      <c r="C1675" t="s">
        <v>1953</v>
      </c>
      <c r="D1675" s="1">
        <v>46044</v>
      </c>
      <c r="E1675" t="s">
        <v>1954</v>
      </c>
      <c r="F1675">
        <v>9</v>
      </c>
      <c r="G1675">
        <v>236</v>
      </c>
      <c r="H1675" t="str">
        <f>VLOOKUP(G1675,[1]OPERADORES!$A:$B,2,0)</f>
        <v>DANIEL</v>
      </c>
      <c r="I1675" t="s">
        <v>21</v>
      </c>
      <c r="J1675" t="s">
        <v>1951</v>
      </c>
      <c r="K1675" t="s">
        <v>1952</v>
      </c>
      <c r="L1675">
        <v>10114</v>
      </c>
      <c r="M1675" t="s">
        <v>571</v>
      </c>
      <c r="O1675" t="s">
        <v>11</v>
      </c>
      <c r="P1675">
        <v>5102</v>
      </c>
      <c r="Q1675">
        <v>30</v>
      </c>
      <c r="R1675">
        <v>3.95</v>
      </c>
      <c r="S1675">
        <v>118.5</v>
      </c>
      <c r="T1675">
        <v>90</v>
      </c>
      <c r="U1675">
        <v>24.05</v>
      </c>
      <c r="V1675" t="str">
        <f>VLOOKUP(L1675,'[2]tabela de preços'!$A:$D,4,0)</f>
        <v>ATLAS</v>
      </c>
      <c r="W1675" t="str">
        <f>VLOOKUP(L1675,'[2]tabela de preços'!$A:$F,6,0)</f>
        <v>ROLOS / TRINCHAS / PINCÉIS / ESPÁTULAS</v>
      </c>
      <c r="X1675" t="str">
        <f>VLOOKUP(L1675,'[2]tabela de preços'!$A:$G,7,0)</f>
        <v>IMOBILIÁRIO</v>
      </c>
    </row>
    <row r="1676" spans="1:24" x14ac:dyDescent="0.3">
      <c r="A1676" t="s">
        <v>1947</v>
      </c>
      <c r="B1676" t="s">
        <v>1948</v>
      </c>
      <c r="C1676" t="s">
        <v>1953</v>
      </c>
      <c r="D1676" s="1">
        <v>46044</v>
      </c>
      <c r="E1676" t="s">
        <v>1954</v>
      </c>
      <c r="F1676">
        <v>9</v>
      </c>
      <c r="G1676">
        <v>236</v>
      </c>
      <c r="H1676" t="str">
        <f>VLOOKUP(G1676,[1]OPERADORES!$A:$B,2,0)</f>
        <v>DANIEL</v>
      </c>
      <c r="I1676" t="s">
        <v>21</v>
      </c>
      <c r="J1676" t="s">
        <v>1951</v>
      </c>
      <c r="K1676" t="s">
        <v>1952</v>
      </c>
      <c r="L1676">
        <v>10118</v>
      </c>
      <c r="M1676" t="s">
        <v>572</v>
      </c>
      <c r="O1676" t="s">
        <v>11</v>
      </c>
      <c r="P1676">
        <v>5102</v>
      </c>
      <c r="Q1676">
        <v>28</v>
      </c>
      <c r="R1676">
        <v>5.0199999999999996</v>
      </c>
      <c r="S1676">
        <v>140.56</v>
      </c>
      <c r="T1676">
        <v>106.68</v>
      </c>
      <c r="U1676">
        <v>24.1</v>
      </c>
      <c r="V1676" t="str">
        <f>VLOOKUP(L1676,'[2]tabela de preços'!$A:$D,4,0)</f>
        <v>ATLAS</v>
      </c>
      <c r="W1676" t="str">
        <f>VLOOKUP(L1676,'[2]tabela de preços'!$A:$F,6,0)</f>
        <v>ROLOS / TRINCHAS / PINCÉIS / ESPÁTULAS</v>
      </c>
      <c r="X1676" t="str">
        <f>VLOOKUP(L1676,'[2]tabela de preços'!$A:$G,7,0)</f>
        <v>IMOBILIÁRIO</v>
      </c>
    </row>
    <row r="1677" spans="1:24" x14ac:dyDescent="0.3">
      <c r="A1677" t="s">
        <v>2001</v>
      </c>
      <c r="C1677" t="s">
        <v>2010</v>
      </c>
      <c r="D1677" s="1">
        <v>46044</v>
      </c>
      <c r="E1677" t="s">
        <v>2011</v>
      </c>
      <c r="F1677">
        <v>9</v>
      </c>
      <c r="G1677">
        <v>174</v>
      </c>
      <c r="H1677" t="str">
        <f>VLOOKUP(G1677,[1]OPERADORES!$A:$B,2,0)</f>
        <v>MIRIÃ LOBATO RODRIGUES</v>
      </c>
      <c r="I1677" t="s">
        <v>21</v>
      </c>
      <c r="J1677" t="s">
        <v>1427</v>
      </c>
      <c r="K1677" t="s">
        <v>2004</v>
      </c>
      <c r="L1677">
        <v>84381</v>
      </c>
      <c r="M1677" t="s">
        <v>91</v>
      </c>
      <c r="O1677" t="s">
        <v>11</v>
      </c>
      <c r="P1677">
        <v>5403</v>
      </c>
      <c r="Q1677">
        <v>3</v>
      </c>
      <c r="R1677">
        <v>159.9</v>
      </c>
      <c r="S1677">
        <v>479.7</v>
      </c>
      <c r="T1677">
        <v>412.83</v>
      </c>
      <c r="U1677">
        <v>13.94</v>
      </c>
      <c r="V1677" t="str">
        <f>VLOOKUP(L1677,'[2]tabela de preços'!$A:$D,4,0)</f>
        <v>BRASILUX</v>
      </c>
      <c r="W1677" t="str">
        <f>VLOOKUP(L1677,'[2]tabela de preços'!$A:$F,6,0)</f>
        <v>TINTA PARA PISO</v>
      </c>
      <c r="X1677" t="str">
        <f>VLOOKUP(L1677,'[2]tabela de preços'!$A:$G,7,0)</f>
        <v>IMOBILIÁRIO</v>
      </c>
    </row>
    <row r="1678" spans="1:24" x14ac:dyDescent="0.3">
      <c r="A1678" t="s">
        <v>2001</v>
      </c>
      <c r="C1678" t="s">
        <v>2010</v>
      </c>
      <c r="D1678" s="1">
        <v>46044</v>
      </c>
      <c r="E1678" t="s">
        <v>2011</v>
      </c>
      <c r="F1678">
        <v>9</v>
      </c>
      <c r="G1678">
        <v>174</v>
      </c>
      <c r="H1678" t="str">
        <f>VLOOKUP(G1678,[1]OPERADORES!$A:$B,2,0)</f>
        <v>MIRIÃ LOBATO RODRIGUES</v>
      </c>
      <c r="I1678" t="s">
        <v>21</v>
      </c>
      <c r="J1678" t="s">
        <v>1427</v>
      </c>
      <c r="K1678" t="s">
        <v>2004</v>
      </c>
      <c r="L1678">
        <v>84385</v>
      </c>
      <c r="M1678" t="s">
        <v>2012</v>
      </c>
      <c r="O1678" t="s">
        <v>11</v>
      </c>
      <c r="P1678">
        <v>5403</v>
      </c>
      <c r="Q1678">
        <v>8</v>
      </c>
      <c r="R1678">
        <v>159.9</v>
      </c>
      <c r="S1678" s="2">
        <v>1279.2</v>
      </c>
      <c r="T1678" s="2">
        <v>1100.8800000000001</v>
      </c>
      <c r="U1678">
        <v>13.94</v>
      </c>
      <c r="V1678" t="str">
        <f>VLOOKUP(L1678,'[2]tabela de preços'!$A:$D,4,0)</f>
        <v>BRASILUX</v>
      </c>
      <c r="W1678" t="str">
        <f>VLOOKUP(L1678,'[2]tabela de preços'!$A:$F,6,0)</f>
        <v>TINTA PARA PISO</v>
      </c>
      <c r="X1678" t="str">
        <f>VLOOKUP(L1678,'[2]tabela de preços'!$A:$G,7,0)</f>
        <v>IMOBILIÁRIO</v>
      </c>
    </row>
    <row r="1679" spans="1:24" x14ac:dyDescent="0.3">
      <c r="A1679" t="s">
        <v>2001</v>
      </c>
      <c r="C1679" t="s">
        <v>2010</v>
      </c>
      <c r="D1679" s="1">
        <v>46044</v>
      </c>
      <c r="E1679" t="s">
        <v>2011</v>
      </c>
      <c r="F1679">
        <v>9</v>
      </c>
      <c r="G1679">
        <v>174</v>
      </c>
      <c r="H1679" t="str">
        <f>VLOOKUP(G1679,[1]OPERADORES!$A:$B,2,0)</f>
        <v>MIRIÃ LOBATO RODRIGUES</v>
      </c>
      <c r="I1679" t="s">
        <v>21</v>
      </c>
      <c r="J1679" t="s">
        <v>1427</v>
      </c>
      <c r="K1679" t="s">
        <v>2004</v>
      </c>
      <c r="L1679">
        <v>84405</v>
      </c>
      <c r="M1679" t="s">
        <v>2013</v>
      </c>
      <c r="O1679" t="s">
        <v>11</v>
      </c>
      <c r="P1679">
        <v>5403</v>
      </c>
      <c r="Q1679">
        <v>2</v>
      </c>
      <c r="R1679">
        <v>159.9</v>
      </c>
      <c r="S1679">
        <v>319.8</v>
      </c>
      <c r="T1679">
        <v>275.22000000000003</v>
      </c>
      <c r="U1679">
        <v>13.94</v>
      </c>
      <c r="V1679" t="str">
        <f>VLOOKUP(L1679,'[2]tabela de preços'!$A:$D,4,0)</f>
        <v>BRASILUX</v>
      </c>
      <c r="W1679" t="str">
        <f>VLOOKUP(L1679,'[2]tabela de preços'!$A:$F,6,0)</f>
        <v>TINTA PARA PISO</v>
      </c>
      <c r="X1679" t="str">
        <f>VLOOKUP(L1679,'[2]tabela de preços'!$A:$G,7,0)</f>
        <v>IMOBILIÁRIO</v>
      </c>
    </row>
    <row r="1680" spans="1:24" x14ac:dyDescent="0.3">
      <c r="A1680" t="s">
        <v>2095</v>
      </c>
      <c r="C1680" t="s">
        <v>2096</v>
      </c>
      <c r="D1680" s="1">
        <v>46044</v>
      </c>
      <c r="E1680" t="s">
        <v>2097</v>
      </c>
      <c r="F1680">
        <v>9</v>
      </c>
      <c r="G1680">
        <v>197</v>
      </c>
      <c r="H1680" t="str">
        <f>VLOOKUP(G1680,[1]OPERADORES!$A:$B,2,0)</f>
        <v xml:space="preserve">POLIANA LORRANE DE AMORIM </v>
      </c>
      <c r="I1680" t="s">
        <v>126</v>
      </c>
      <c r="J1680" t="s">
        <v>127</v>
      </c>
      <c r="K1680" t="s">
        <v>2098</v>
      </c>
      <c r="L1680">
        <v>24338</v>
      </c>
      <c r="M1680" t="s">
        <v>2099</v>
      </c>
      <c r="O1680" t="s">
        <v>11</v>
      </c>
      <c r="P1680">
        <v>6403</v>
      </c>
      <c r="Q1680">
        <v>2</v>
      </c>
      <c r="R1680">
        <v>312.60000000000002</v>
      </c>
      <c r="S1680">
        <v>625.20000000000005</v>
      </c>
      <c r="T1680">
        <v>458.36</v>
      </c>
      <c r="U1680">
        <v>26.69</v>
      </c>
      <c r="V1680" t="str">
        <f>VLOOKUP(L1680,'[2]tabela de preços'!$A:$D,4,0)</f>
        <v>BRASILUX</v>
      </c>
      <c r="W1680" t="str">
        <f>VLOOKUP(L1680,'[2]tabela de preços'!$A:$F,6,0)</f>
        <v xml:space="preserve">BASES SISTEMA NO MACHINE </v>
      </c>
      <c r="X1680" t="str">
        <f>VLOOKUP(L1680,'[2]tabela de preços'!$A:$G,7,0)</f>
        <v>INDUSTRIAL</v>
      </c>
    </row>
    <row r="1681" spans="1:24" x14ac:dyDescent="0.3">
      <c r="A1681" t="s">
        <v>2095</v>
      </c>
      <c r="C1681" t="s">
        <v>2096</v>
      </c>
      <c r="D1681" s="1">
        <v>46044</v>
      </c>
      <c r="E1681" t="s">
        <v>2097</v>
      </c>
      <c r="F1681">
        <v>9</v>
      </c>
      <c r="G1681">
        <v>197</v>
      </c>
      <c r="H1681" t="str">
        <f>VLOOKUP(G1681,[1]OPERADORES!$A:$B,2,0)</f>
        <v xml:space="preserve">POLIANA LORRANE DE AMORIM </v>
      </c>
      <c r="I1681" t="s">
        <v>126</v>
      </c>
      <c r="J1681" t="s">
        <v>127</v>
      </c>
      <c r="K1681" t="s">
        <v>2098</v>
      </c>
      <c r="L1681">
        <v>13</v>
      </c>
      <c r="M1681" t="s">
        <v>152</v>
      </c>
      <c r="O1681" t="s">
        <v>11</v>
      </c>
      <c r="P1681">
        <v>6102</v>
      </c>
      <c r="Q1681">
        <v>50</v>
      </c>
      <c r="R1681">
        <v>5.79</v>
      </c>
      <c r="S1681">
        <v>289.5</v>
      </c>
      <c r="T1681">
        <v>208</v>
      </c>
      <c r="U1681">
        <v>28.15</v>
      </c>
      <c r="V1681" t="str">
        <f>VLOOKUP(L1681,'[2]tabela de preços'!$A:$D,4,0)</f>
        <v>3M</v>
      </c>
      <c r="W1681" t="str">
        <f>VLOOKUP(L1681,'[2]tabela de preços'!$A:$F,6,0)</f>
        <v>LIXA DÁGUA</v>
      </c>
      <c r="X1681" t="str">
        <f>VLOOKUP(L1681,'[2]tabela de preços'!$A:$G,7,0)</f>
        <v>AUTOMOTIVO</v>
      </c>
    </row>
    <row r="1682" spans="1:24" x14ac:dyDescent="0.3">
      <c r="A1682" t="s">
        <v>2155</v>
      </c>
      <c r="C1682" t="s">
        <v>2159</v>
      </c>
      <c r="D1682" s="1">
        <v>46044</v>
      </c>
      <c r="E1682" t="s">
        <v>2160</v>
      </c>
      <c r="F1682">
        <v>9</v>
      </c>
      <c r="G1682">
        <v>174</v>
      </c>
      <c r="H1682" t="str">
        <f>VLOOKUP(G1682,[1]OPERADORES!$A:$B,2,0)</f>
        <v>MIRIÃ LOBATO RODRIGUES</v>
      </c>
      <c r="I1682" t="s">
        <v>21</v>
      </c>
      <c r="J1682" t="s">
        <v>66</v>
      </c>
      <c r="K1682" t="s">
        <v>2158</v>
      </c>
      <c r="L1682">
        <v>20960</v>
      </c>
      <c r="M1682" t="s">
        <v>1734</v>
      </c>
      <c r="O1682" t="s">
        <v>11</v>
      </c>
      <c r="P1682">
        <v>5403</v>
      </c>
      <c r="Q1682">
        <v>6</v>
      </c>
      <c r="R1682">
        <v>79.56</v>
      </c>
      <c r="S1682">
        <v>477.36</v>
      </c>
      <c r="T1682">
        <v>362.34</v>
      </c>
      <c r="U1682">
        <v>24.1</v>
      </c>
      <c r="V1682" t="str">
        <f>VLOOKUP(L1682,'[2]tabela de preços'!$A:$D,4,0)</f>
        <v>SHERWIN WILLIAMS</v>
      </c>
      <c r="W1682" t="str">
        <f>VLOOKUP(L1682,'[2]tabela de preços'!$A:$F,6,0)</f>
        <v>VERNIZ AUTOMOTIVO</v>
      </c>
      <c r="X1682" t="str">
        <f>VLOOKUP(L1682,'[2]tabela de preços'!$A:$G,7,0)</f>
        <v>AUTOMOTIVO</v>
      </c>
    </row>
    <row r="1683" spans="1:24" x14ac:dyDescent="0.3">
      <c r="A1683" t="s">
        <v>2213</v>
      </c>
      <c r="C1683" t="s">
        <v>2217</v>
      </c>
      <c r="D1683" s="1">
        <v>46044</v>
      </c>
      <c r="E1683" t="s">
        <v>2218</v>
      </c>
      <c r="F1683">
        <v>9</v>
      </c>
      <c r="G1683">
        <v>236</v>
      </c>
      <c r="H1683" t="str">
        <f>VLOOKUP(G1683,[1]OPERADORES!$A:$B,2,0)</f>
        <v>DANIEL</v>
      </c>
      <c r="I1683" t="s">
        <v>21</v>
      </c>
      <c r="J1683" t="s">
        <v>1816</v>
      </c>
      <c r="K1683" t="s">
        <v>2216</v>
      </c>
      <c r="L1683">
        <v>84250</v>
      </c>
      <c r="M1683" t="s">
        <v>922</v>
      </c>
      <c r="O1683" t="s">
        <v>11</v>
      </c>
      <c r="P1683">
        <v>5403</v>
      </c>
      <c r="Q1683">
        <v>1</v>
      </c>
      <c r="R1683">
        <v>112.9</v>
      </c>
      <c r="S1683">
        <v>112.9</v>
      </c>
      <c r="T1683">
        <v>94.66</v>
      </c>
      <c r="U1683">
        <v>16.16</v>
      </c>
      <c r="V1683" t="str">
        <f>VLOOKUP(L1683,'[2]tabela de preços'!$A:$D,4,0)</f>
        <v>BRASILUX</v>
      </c>
      <c r="W1683" t="str">
        <f>VLOOKUP(L1683,'[2]tabela de preços'!$A:$F,6,0)</f>
        <v>TINTA PAREDE</v>
      </c>
      <c r="X1683" t="str">
        <f>VLOOKUP(L1683,'[2]tabela de preços'!$A:$G,7,0)</f>
        <v>IMOBILIÁRIO</v>
      </c>
    </row>
    <row r="1684" spans="1:24" x14ac:dyDescent="0.3">
      <c r="A1684" t="s">
        <v>2213</v>
      </c>
      <c r="C1684" t="s">
        <v>2217</v>
      </c>
      <c r="D1684" s="1">
        <v>46044</v>
      </c>
      <c r="E1684" t="s">
        <v>2218</v>
      </c>
      <c r="F1684">
        <v>9</v>
      </c>
      <c r="G1684">
        <v>236</v>
      </c>
      <c r="H1684" t="str">
        <f>VLOOKUP(G1684,[1]OPERADORES!$A:$B,2,0)</f>
        <v>DANIEL</v>
      </c>
      <c r="I1684" t="s">
        <v>21</v>
      </c>
      <c r="J1684" t="s">
        <v>1816</v>
      </c>
      <c r="K1684" t="s">
        <v>2216</v>
      </c>
      <c r="L1684">
        <v>84928</v>
      </c>
      <c r="M1684" t="s">
        <v>36</v>
      </c>
      <c r="O1684" t="s">
        <v>11</v>
      </c>
      <c r="P1684">
        <v>5102</v>
      </c>
      <c r="Q1684">
        <v>10</v>
      </c>
      <c r="R1684">
        <v>9.39</v>
      </c>
      <c r="S1684">
        <v>93.9</v>
      </c>
      <c r="T1684">
        <v>71.3</v>
      </c>
      <c r="U1684">
        <v>24.07</v>
      </c>
      <c r="V1684" t="str">
        <f>VLOOKUP(L1684,'[2]tabela de preços'!$A:$D,4,0)</f>
        <v>ADERE</v>
      </c>
      <c r="W1684" t="str">
        <f>VLOOKUP(L1684,'[2]tabela de preços'!$A:$F,6,0)</f>
        <v xml:space="preserve">FITA DE USO GERAL </v>
      </c>
      <c r="X1684" t="str">
        <f>VLOOKUP(L1684,'[2]tabela de preços'!$A:$G,7,0)</f>
        <v>IMOBILIÁRIO</v>
      </c>
    </row>
    <row r="1685" spans="1:24" x14ac:dyDescent="0.3">
      <c r="A1685" t="s">
        <v>2213</v>
      </c>
      <c r="C1685" t="s">
        <v>2217</v>
      </c>
      <c r="D1685" s="1">
        <v>46044</v>
      </c>
      <c r="E1685" t="s">
        <v>2218</v>
      </c>
      <c r="F1685">
        <v>9</v>
      </c>
      <c r="G1685">
        <v>236</v>
      </c>
      <c r="H1685" t="str">
        <f>VLOOKUP(G1685,[1]OPERADORES!$A:$B,2,0)</f>
        <v>DANIEL</v>
      </c>
      <c r="I1685" t="s">
        <v>21</v>
      </c>
      <c r="J1685" t="s">
        <v>1816</v>
      </c>
      <c r="K1685" t="s">
        <v>2216</v>
      </c>
      <c r="L1685">
        <v>23878</v>
      </c>
      <c r="M1685" t="s">
        <v>851</v>
      </c>
      <c r="O1685" t="s">
        <v>11</v>
      </c>
      <c r="P1685">
        <v>5102</v>
      </c>
      <c r="Q1685">
        <v>2</v>
      </c>
      <c r="R1685">
        <v>8.6999999999999993</v>
      </c>
      <c r="S1685">
        <v>17.399999999999999</v>
      </c>
      <c r="T1685">
        <v>12.76</v>
      </c>
      <c r="U1685">
        <v>26.67</v>
      </c>
      <c r="V1685" t="str">
        <f>VLOOKUP(L1685,'[2]tabela de preços'!$A:$D,4,0)</f>
        <v>ATLAS</v>
      </c>
      <c r="W1685" t="str">
        <f>VLOOKUP(L1685,'[2]tabela de preços'!$A:$F,6,0)</f>
        <v>ROLOS / TRINCHAS / PINCÉIS / ESPÁTULAS</v>
      </c>
      <c r="X1685" t="str">
        <f>VLOOKUP(L1685,'[2]tabela de preços'!$A:$G,7,0)</f>
        <v>IMOBILIÁRIO</v>
      </c>
    </row>
    <row r="1686" spans="1:24" x14ac:dyDescent="0.3">
      <c r="A1686" t="s">
        <v>2213</v>
      </c>
      <c r="C1686" t="s">
        <v>2217</v>
      </c>
      <c r="D1686" s="1">
        <v>46044</v>
      </c>
      <c r="E1686" t="s">
        <v>2218</v>
      </c>
      <c r="F1686">
        <v>9</v>
      </c>
      <c r="G1686">
        <v>236</v>
      </c>
      <c r="H1686" t="str">
        <f>VLOOKUP(G1686,[1]OPERADORES!$A:$B,2,0)</f>
        <v>DANIEL</v>
      </c>
      <c r="I1686" t="s">
        <v>21</v>
      </c>
      <c r="J1686" t="s">
        <v>1816</v>
      </c>
      <c r="K1686" t="s">
        <v>2216</v>
      </c>
      <c r="L1686">
        <v>85778</v>
      </c>
      <c r="M1686" t="s">
        <v>2219</v>
      </c>
      <c r="O1686" t="s">
        <v>11</v>
      </c>
      <c r="P1686">
        <v>5403</v>
      </c>
      <c r="Q1686">
        <v>1</v>
      </c>
      <c r="R1686">
        <v>451.08</v>
      </c>
      <c r="S1686">
        <v>451.08</v>
      </c>
      <c r="T1686">
        <v>273.38</v>
      </c>
      <c r="U1686">
        <v>39.39</v>
      </c>
      <c r="V1686" t="str">
        <f>VLOOKUP(L1686,'[2]tabela de preços'!$A:$D,4,0)</f>
        <v>CORAL</v>
      </c>
      <c r="W1686" t="str">
        <f>VLOOKUP(L1686,'[2]tabela de preços'!$A:$F,6,0)</f>
        <v>BASES IMOBILIÁRIAS</v>
      </c>
      <c r="X1686" t="str">
        <f>VLOOKUP(L1686,'[2]tabela de preços'!$A:$G,7,0)</f>
        <v>IMOBILIÁRIO</v>
      </c>
    </row>
    <row r="1687" spans="1:24" x14ac:dyDescent="0.3">
      <c r="A1687" t="s">
        <v>2213</v>
      </c>
      <c r="C1687" t="s">
        <v>2217</v>
      </c>
      <c r="D1687" s="1">
        <v>46044</v>
      </c>
      <c r="E1687" t="s">
        <v>2218</v>
      </c>
      <c r="F1687">
        <v>9</v>
      </c>
      <c r="G1687">
        <v>236</v>
      </c>
      <c r="H1687" t="str">
        <f>VLOOKUP(G1687,[1]OPERADORES!$A:$B,2,0)</f>
        <v>DANIEL</v>
      </c>
      <c r="I1687" t="s">
        <v>21</v>
      </c>
      <c r="J1687" t="s">
        <v>1816</v>
      </c>
      <c r="K1687" t="s">
        <v>2216</v>
      </c>
      <c r="L1687">
        <v>85140</v>
      </c>
      <c r="M1687" t="s">
        <v>625</v>
      </c>
      <c r="O1687" t="s">
        <v>46</v>
      </c>
      <c r="P1687">
        <v>5405</v>
      </c>
      <c r="Q1687">
        <v>1</v>
      </c>
      <c r="R1687">
        <v>213.83</v>
      </c>
      <c r="S1687">
        <v>213.83</v>
      </c>
      <c r="T1687">
        <v>156.77000000000001</v>
      </c>
      <c r="U1687">
        <v>26.68</v>
      </c>
      <c r="V1687" t="str">
        <f>VLOOKUP(L1687,'[2]tabela de preços'!$A:$D,4,0)</f>
        <v>MULTILONA</v>
      </c>
      <c r="W1687" t="str">
        <f>VLOOKUP(L1687,'[2]tabela de preços'!$A:$F,6,0)</f>
        <v>LONAS</v>
      </c>
      <c r="X1687" t="str">
        <f>VLOOKUP(L1687,'[2]tabela de preços'!$A:$G,7,0)</f>
        <v>IMOBILIÁRIO</v>
      </c>
    </row>
    <row r="1688" spans="1:24" x14ac:dyDescent="0.3">
      <c r="A1688" t="s">
        <v>2213</v>
      </c>
      <c r="C1688" t="s">
        <v>2217</v>
      </c>
      <c r="D1688" s="1">
        <v>46044</v>
      </c>
      <c r="E1688" t="s">
        <v>2218</v>
      </c>
      <c r="F1688">
        <v>9</v>
      </c>
      <c r="G1688">
        <v>236</v>
      </c>
      <c r="H1688" t="str">
        <f>VLOOKUP(G1688,[1]OPERADORES!$A:$B,2,0)</f>
        <v>DANIEL</v>
      </c>
      <c r="I1688" t="s">
        <v>21</v>
      </c>
      <c r="J1688" t="s">
        <v>1816</v>
      </c>
      <c r="K1688" t="s">
        <v>2216</v>
      </c>
      <c r="L1688">
        <v>84420</v>
      </c>
      <c r="M1688" t="s">
        <v>353</v>
      </c>
      <c r="O1688" t="s">
        <v>11</v>
      </c>
      <c r="P1688">
        <v>5102</v>
      </c>
      <c r="Q1688">
        <v>2</v>
      </c>
      <c r="R1688">
        <v>21.06</v>
      </c>
      <c r="S1688">
        <v>42.12</v>
      </c>
      <c r="T1688">
        <v>30.88</v>
      </c>
      <c r="U1688">
        <v>26.69</v>
      </c>
      <c r="V1688" t="str">
        <f>VLOOKUP(L1688,'[2]tabela de preços'!$A:$D,4,0)</f>
        <v>ATLAS</v>
      </c>
      <c r="W1688" t="str">
        <f>VLOOKUP(L1688,'[2]tabela de preços'!$A:$F,6,0)</f>
        <v>ROLOS / TRINCHAS / PINCÉIS / ESPÁTULAS</v>
      </c>
      <c r="X1688" t="str">
        <f>VLOOKUP(L1688,'[2]tabela de preços'!$A:$G,7,0)</f>
        <v>IMOBILIÁRIO</v>
      </c>
    </row>
    <row r="1689" spans="1:24" x14ac:dyDescent="0.3">
      <c r="A1689" t="s">
        <v>2213</v>
      </c>
      <c r="C1689" t="s">
        <v>2217</v>
      </c>
      <c r="D1689" s="1">
        <v>46044</v>
      </c>
      <c r="E1689" t="s">
        <v>2218</v>
      </c>
      <c r="F1689">
        <v>9</v>
      </c>
      <c r="G1689">
        <v>236</v>
      </c>
      <c r="H1689" t="str">
        <f>VLOOKUP(G1689,[1]OPERADORES!$A:$B,2,0)</f>
        <v>DANIEL</v>
      </c>
      <c r="I1689" t="s">
        <v>21</v>
      </c>
      <c r="J1689" t="s">
        <v>1816</v>
      </c>
      <c r="K1689" t="s">
        <v>2216</v>
      </c>
      <c r="L1689">
        <v>85038</v>
      </c>
      <c r="M1689" t="s">
        <v>2220</v>
      </c>
      <c r="O1689" t="s">
        <v>11</v>
      </c>
      <c r="P1689">
        <v>5102</v>
      </c>
      <c r="Q1689">
        <v>3</v>
      </c>
      <c r="R1689">
        <v>7.97</v>
      </c>
      <c r="S1689">
        <v>23.91</v>
      </c>
      <c r="T1689">
        <v>18.149999999999999</v>
      </c>
      <c r="U1689">
        <v>24.09</v>
      </c>
      <c r="V1689" t="str">
        <f>VLOOKUP(L1689,'[2]tabela de preços'!$A:$D,4,0)</f>
        <v>ATLAS</v>
      </c>
      <c r="W1689" t="str">
        <f>VLOOKUP(L1689,'[2]tabela de preços'!$A:$F,6,0)</f>
        <v>ROLOS / TRINCHAS / PINCÉIS / ESPÁTULAS</v>
      </c>
      <c r="X1689" t="str">
        <f>VLOOKUP(L1689,'[2]tabela de preços'!$A:$G,7,0)</f>
        <v>IMOBILIÁRIO</v>
      </c>
    </row>
    <row r="1690" spans="1:24" x14ac:dyDescent="0.3">
      <c r="A1690" t="s">
        <v>123</v>
      </c>
      <c r="C1690" t="s">
        <v>158</v>
      </c>
      <c r="D1690" s="1">
        <v>46045</v>
      </c>
      <c r="E1690" t="s">
        <v>159</v>
      </c>
      <c r="F1690">
        <v>9</v>
      </c>
      <c r="G1690">
        <v>174</v>
      </c>
      <c r="H1690" t="str">
        <f>VLOOKUP(G1690,[1]OPERADORES!$A:$B,2,0)</f>
        <v>MIRIÃ LOBATO RODRIGUES</v>
      </c>
      <c r="I1690" t="s">
        <v>126</v>
      </c>
      <c r="J1690" t="s">
        <v>127</v>
      </c>
      <c r="K1690" t="s">
        <v>128</v>
      </c>
      <c r="L1690">
        <v>84557</v>
      </c>
      <c r="M1690" t="s">
        <v>116</v>
      </c>
      <c r="O1690" t="s">
        <v>11</v>
      </c>
      <c r="P1690">
        <v>6102</v>
      </c>
      <c r="Q1690">
        <v>6</v>
      </c>
      <c r="R1690">
        <v>17.489999999999998</v>
      </c>
      <c r="S1690">
        <v>104.94</v>
      </c>
      <c r="T1690">
        <v>83.76</v>
      </c>
      <c r="U1690">
        <v>20.18</v>
      </c>
      <c r="V1690" t="str">
        <f>VLOOKUP(L1690,'[2]tabela de preços'!$A:$D,4,0)</f>
        <v>BRASILUX</v>
      </c>
      <c r="W1690" t="str">
        <f>VLOOKUP(L1690,'[2]tabela de preços'!$A:$F,6,0)</f>
        <v>DILUENTE</v>
      </c>
      <c r="X1690" t="str">
        <f>VLOOKUP(L1690,'[2]tabela de preços'!$A:$G,7,0)</f>
        <v>AUTOMOTIVO</v>
      </c>
    </row>
    <row r="1691" spans="1:24" x14ac:dyDescent="0.3">
      <c r="A1691" t="s">
        <v>123</v>
      </c>
      <c r="C1691" t="s">
        <v>158</v>
      </c>
      <c r="D1691" s="1">
        <v>46045</v>
      </c>
      <c r="E1691" t="s">
        <v>159</v>
      </c>
      <c r="F1691">
        <v>9</v>
      </c>
      <c r="G1691">
        <v>174</v>
      </c>
      <c r="H1691" t="str">
        <f>VLOOKUP(G1691,[1]OPERADORES!$A:$B,2,0)</f>
        <v>MIRIÃ LOBATO RODRIGUES</v>
      </c>
      <c r="I1691" t="s">
        <v>126</v>
      </c>
      <c r="J1691" t="s">
        <v>127</v>
      </c>
      <c r="K1691" t="s">
        <v>128</v>
      </c>
      <c r="L1691">
        <v>10232</v>
      </c>
      <c r="M1691" t="s">
        <v>134</v>
      </c>
      <c r="O1691" t="s">
        <v>11</v>
      </c>
      <c r="P1691">
        <v>6102</v>
      </c>
      <c r="Q1691">
        <v>10</v>
      </c>
      <c r="R1691">
        <v>2.79</v>
      </c>
      <c r="S1691">
        <v>27.9</v>
      </c>
      <c r="T1691">
        <v>22.5</v>
      </c>
      <c r="U1691">
        <v>19.350000000000001</v>
      </c>
      <c r="V1691" t="str">
        <f>VLOOKUP(L1691,'[2]tabela de preços'!$A:$D,4,0)</f>
        <v>NORTON</v>
      </c>
      <c r="W1691" t="str">
        <f>VLOOKUP(L1691,'[2]tabela de preços'!$A:$F,6,0)</f>
        <v xml:space="preserve">DISCOS / LIXAS / ABRASIVOS </v>
      </c>
      <c r="X1691" t="str">
        <f>VLOOKUP(L1691,'[2]tabela de preços'!$A:$G,7,0)</f>
        <v>AUTOMOTIVO</v>
      </c>
    </row>
    <row r="1692" spans="1:24" x14ac:dyDescent="0.3">
      <c r="A1692" t="s">
        <v>123</v>
      </c>
      <c r="C1692" t="s">
        <v>158</v>
      </c>
      <c r="D1692" s="1">
        <v>46045</v>
      </c>
      <c r="E1692" t="s">
        <v>159</v>
      </c>
      <c r="F1692">
        <v>9</v>
      </c>
      <c r="G1692">
        <v>174</v>
      </c>
      <c r="H1692" t="str">
        <f>VLOOKUP(G1692,[1]OPERADORES!$A:$B,2,0)</f>
        <v>MIRIÃ LOBATO RODRIGUES</v>
      </c>
      <c r="I1692" t="s">
        <v>126</v>
      </c>
      <c r="J1692" t="s">
        <v>127</v>
      </c>
      <c r="K1692" t="s">
        <v>128</v>
      </c>
      <c r="L1692">
        <v>24248</v>
      </c>
      <c r="M1692" t="s">
        <v>107</v>
      </c>
      <c r="O1692" t="s">
        <v>11</v>
      </c>
      <c r="P1692">
        <v>6102</v>
      </c>
      <c r="Q1692">
        <v>6</v>
      </c>
      <c r="R1692">
        <v>8</v>
      </c>
      <c r="S1692">
        <v>48</v>
      </c>
      <c r="T1692">
        <v>39</v>
      </c>
      <c r="U1692">
        <v>18.75</v>
      </c>
      <c r="V1692" t="str">
        <f>VLOOKUP(L1692,'[2]tabela de preços'!$A:$D,4,0)</f>
        <v>SHERWIN WILLIAMS</v>
      </c>
      <c r="W1692" t="str">
        <f>VLOOKUP(L1692,'[2]tabela de preços'!$A:$F,6,0)</f>
        <v>PRIMER AUTOMOTIVO</v>
      </c>
      <c r="X1692" t="str">
        <f>VLOOKUP(L1692,'[2]tabela de preços'!$A:$G,7,0)</f>
        <v>AUTOMOTIVO</v>
      </c>
    </row>
    <row r="1693" spans="1:24" x14ac:dyDescent="0.3">
      <c r="A1693" t="s">
        <v>123</v>
      </c>
      <c r="C1693" t="s">
        <v>158</v>
      </c>
      <c r="D1693" s="1">
        <v>46045</v>
      </c>
      <c r="E1693" t="s">
        <v>159</v>
      </c>
      <c r="F1693">
        <v>9</v>
      </c>
      <c r="G1693">
        <v>174</v>
      </c>
      <c r="H1693" t="str">
        <f>VLOOKUP(G1693,[1]OPERADORES!$A:$B,2,0)</f>
        <v>MIRIÃ LOBATO RODRIGUES</v>
      </c>
      <c r="I1693" t="s">
        <v>126</v>
      </c>
      <c r="J1693" t="s">
        <v>127</v>
      </c>
      <c r="K1693" t="s">
        <v>128</v>
      </c>
      <c r="L1693">
        <v>21078</v>
      </c>
      <c r="M1693" t="s">
        <v>141</v>
      </c>
      <c r="O1693" t="s">
        <v>11</v>
      </c>
      <c r="P1693">
        <v>6102</v>
      </c>
      <c r="Q1693">
        <v>9</v>
      </c>
      <c r="R1693">
        <v>22.89</v>
      </c>
      <c r="S1693">
        <v>206.01</v>
      </c>
      <c r="T1693">
        <v>167.94</v>
      </c>
      <c r="U1693">
        <v>18.48</v>
      </c>
      <c r="V1693" t="str">
        <f>VLOOKUP(L1693,'[2]tabela de preços'!$A:$D,4,0)</f>
        <v>SHERWIN WILLIAMS</v>
      </c>
      <c r="W1693" t="str">
        <f>VLOOKUP(L1693,'[2]tabela de preços'!$A:$F,6,0)</f>
        <v>MASSA POLIÉSTER</v>
      </c>
      <c r="X1693" t="str">
        <f>VLOOKUP(L1693,'[2]tabela de preços'!$A:$G,7,0)</f>
        <v>AUTOMOTIVO</v>
      </c>
    </row>
    <row r="1694" spans="1:24" x14ac:dyDescent="0.3">
      <c r="A1694" t="s">
        <v>123</v>
      </c>
      <c r="C1694" t="s">
        <v>158</v>
      </c>
      <c r="D1694" s="1">
        <v>46045</v>
      </c>
      <c r="E1694" t="s">
        <v>159</v>
      </c>
      <c r="F1694">
        <v>9</v>
      </c>
      <c r="G1694">
        <v>174</v>
      </c>
      <c r="H1694" t="str">
        <f>VLOOKUP(G1694,[1]OPERADORES!$A:$B,2,0)</f>
        <v>MIRIÃ LOBATO RODRIGUES</v>
      </c>
      <c r="I1694" t="s">
        <v>126</v>
      </c>
      <c r="J1694" t="s">
        <v>127</v>
      </c>
      <c r="K1694" t="s">
        <v>128</v>
      </c>
      <c r="L1694">
        <v>24247</v>
      </c>
      <c r="M1694" t="s">
        <v>160</v>
      </c>
      <c r="O1694" t="s">
        <v>11</v>
      </c>
      <c r="P1694">
        <v>6403</v>
      </c>
      <c r="Q1694">
        <v>6</v>
      </c>
      <c r="R1694">
        <v>21</v>
      </c>
      <c r="S1694">
        <v>126</v>
      </c>
      <c r="T1694">
        <v>101.22</v>
      </c>
      <c r="U1694">
        <v>19.670000000000002</v>
      </c>
      <c r="V1694" t="str">
        <f>VLOOKUP(L1694,'[2]tabela de preços'!$A:$D,4,0)</f>
        <v>SHERWIN WILLIAMS</v>
      </c>
      <c r="W1694" t="str">
        <f>VLOOKUP(L1694,'[2]tabela de preços'!$A:$F,6,0)</f>
        <v>PRIMER AUTOMOTIVO</v>
      </c>
      <c r="X1694" t="str">
        <f>VLOOKUP(L1694,'[2]tabela de preços'!$A:$G,7,0)</f>
        <v>AUTOMOTIVO</v>
      </c>
    </row>
    <row r="1695" spans="1:24" x14ac:dyDescent="0.3">
      <c r="A1695" t="s">
        <v>323</v>
      </c>
      <c r="B1695" t="s">
        <v>324</v>
      </c>
      <c r="C1695" t="s">
        <v>325</v>
      </c>
      <c r="D1695" s="1">
        <v>46045</v>
      </c>
      <c r="E1695" t="s">
        <v>326</v>
      </c>
      <c r="F1695">
        <v>9</v>
      </c>
      <c r="G1695">
        <v>174</v>
      </c>
      <c r="H1695" t="str">
        <f>VLOOKUP(G1695,[1]OPERADORES!$A:$B,2,0)</f>
        <v>MIRIÃ LOBATO RODRIGUES</v>
      </c>
      <c r="I1695" t="s">
        <v>327</v>
      </c>
      <c r="J1695" t="s">
        <v>328</v>
      </c>
      <c r="K1695" t="s">
        <v>329</v>
      </c>
      <c r="L1695">
        <v>85176</v>
      </c>
      <c r="M1695" t="s">
        <v>330</v>
      </c>
      <c r="O1695" t="s">
        <v>11</v>
      </c>
      <c r="P1695">
        <v>6102</v>
      </c>
      <c r="Q1695">
        <v>18</v>
      </c>
      <c r="R1695">
        <v>28.41</v>
      </c>
      <c r="S1695">
        <v>511.38</v>
      </c>
      <c r="T1695">
        <v>388.08</v>
      </c>
      <c r="U1695">
        <v>24.11</v>
      </c>
      <c r="V1695" t="str">
        <f>VLOOKUP(L1695,'[2]tabela de preços'!$A:$D,4,0)</f>
        <v>BRASILUX</v>
      </c>
      <c r="W1695" t="str">
        <f>VLOOKUP(L1695,'[2]tabela de preços'!$A:$F,6,0)</f>
        <v>VERNIZ AUTOMOTIVO</v>
      </c>
      <c r="X1695" t="str">
        <f>VLOOKUP(L1695,'[2]tabela de preços'!$A:$G,7,0)</f>
        <v>AUTOMOTIVO</v>
      </c>
    </row>
    <row r="1696" spans="1:24" x14ac:dyDescent="0.3">
      <c r="A1696" t="s">
        <v>323</v>
      </c>
      <c r="B1696" t="s">
        <v>324</v>
      </c>
      <c r="C1696" t="s">
        <v>325</v>
      </c>
      <c r="D1696" s="1">
        <v>46045</v>
      </c>
      <c r="E1696" t="s">
        <v>326</v>
      </c>
      <c r="F1696">
        <v>9</v>
      </c>
      <c r="G1696">
        <v>174</v>
      </c>
      <c r="H1696" t="str">
        <f>VLOOKUP(G1696,[1]OPERADORES!$A:$B,2,0)</f>
        <v>MIRIÃ LOBATO RODRIGUES</v>
      </c>
      <c r="I1696" t="s">
        <v>327</v>
      </c>
      <c r="J1696" t="s">
        <v>328</v>
      </c>
      <c r="K1696" t="s">
        <v>329</v>
      </c>
      <c r="L1696">
        <v>23580</v>
      </c>
      <c r="M1696" t="s">
        <v>115</v>
      </c>
      <c r="O1696" t="s">
        <v>11</v>
      </c>
      <c r="P1696">
        <v>6102</v>
      </c>
      <c r="Q1696">
        <v>20</v>
      </c>
      <c r="R1696">
        <v>0.56000000000000005</v>
      </c>
      <c r="S1696">
        <v>11.2</v>
      </c>
      <c r="T1696">
        <v>7.2</v>
      </c>
      <c r="U1696">
        <v>35.71</v>
      </c>
      <c r="V1696" t="str">
        <f>VLOOKUP(L1696,'[2]tabela de preços'!$A:$D,4,0)</f>
        <v>RENOVA COADORES</v>
      </c>
      <c r="W1696" t="str">
        <f>VLOOKUP(L1696,'[2]tabela de preços'!$A:$F,6,0)</f>
        <v>COADORES</v>
      </c>
      <c r="X1696" t="str">
        <f>VLOOKUP(L1696,'[2]tabela de preços'!$A:$G,7,0)</f>
        <v>AUTOMOTIVO</v>
      </c>
    </row>
    <row r="1697" spans="1:24" x14ac:dyDescent="0.3">
      <c r="A1697" t="s">
        <v>323</v>
      </c>
      <c r="B1697" t="s">
        <v>324</v>
      </c>
      <c r="C1697" t="s">
        <v>325</v>
      </c>
      <c r="D1697" s="1">
        <v>46045</v>
      </c>
      <c r="E1697" t="s">
        <v>326</v>
      </c>
      <c r="F1697">
        <v>9</v>
      </c>
      <c r="G1697">
        <v>174</v>
      </c>
      <c r="H1697" t="str">
        <f>VLOOKUP(G1697,[1]OPERADORES!$A:$B,2,0)</f>
        <v>MIRIÃ LOBATO RODRIGUES</v>
      </c>
      <c r="I1697" t="s">
        <v>327</v>
      </c>
      <c r="J1697" t="s">
        <v>328</v>
      </c>
      <c r="K1697" t="s">
        <v>329</v>
      </c>
      <c r="L1697">
        <v>84823</v>
      </c>
      <c r="M1697" t="s">
        <v>331</v>
      </c>
      <c r="O1697" t="s">
        <v>11</v>
      </c>
      <c r="P1697">
        <v>6102</v>
      </c>
      <c r="Q1697">
        <v>2</v>
      </c>
      <c r="R1697">
        <v>94.64</v>
      </c>
      <c r="S1697">
        <v>189.28</v>
      </c>
      <c r="T1697">
        <v>143.66</v>
      </c>
      <c r="U1697">
        <v>24.1</v>
      </c>
      <c r="V1697" t="str">
        <f>VLOOKUP(L1697,'[2]tabela de preços'!$A:$D,4,0)</f>
        <v>BRASILUX</v>
      </c>
      <c r="W1697" t="str">
        <f>VLOOKUP(L1697,'[2]tabela de preços'!$A:$F,6,0)</f>
        <v>DILUENTE</v>
      </c>
      <c r="X1697" t="str">
        <f>VLOOKUP(L1697,'[2]tabela de preços'!$A:$G,7,0)</f>
        <v>AUTOMOTIVO</v>
      </c>
    </row>
    <row r="1698" spans="1:24" x14ac:dyDescent="0.3">
      <c r="A1698" t="s">
        <v>323</v>
      </c>
      <c r="B1698" t="s">
        <v>324</v>
      </c>
      <c r="C1698" t="s">
        <v>325</v>
      </c>
      <c r="D1698" s="1">
        <v>46045</v>
      </c>
      <c r="E1698" t="s">
        <v>326</v>
      </c>
      <c r="F1698">
        <v>9</v>
      </c>
      <c r="G1698">
        <v>174</v>
      </c>
      <c r="H1698" t="str">
        <f>VLOOKUP(G1698,[1]OPERADORES!$A:$B,2,0)</f>
        <v>MIRIÃ LOBATO RODRIGUES</v>
      </c>
      <c r="I1698" t="s">
        <v>327</v>
      </c>
      <c r="J1698" t="s">
        <v>328</v>
      </c>
      <c r="K1698" t="s">
        <v>329</v>
      </c>
      <c r="L1698">
        <v>83825</v>
      </c>
      <c r="M1698" t="s">
        <v>332</v>
      </c>
      <c r="O1698" t="s">
        <v>11</v>
      </c>
      <c r="P1698">
        <v>6102</v>
      </c>
      <c r="Q1698">
        <v>50</v>
      </c>
      <c r="R1698">
        <v>2.65</v>
      </c>
      <c r="S1698">
        <v>132.5</v>
      </c>
      <c r="T1698">
        <v>101</v>
      </c>
      <c r="U1698">
        <v>23.77</v>
      </c>
      <c r="V1698" t="str">
        <f>VLOOKUP(L1698,'[2]tabela de preços'!$A:$D,4,0)</f>
        <v>NORTON</v>
      </c>
      <c r="W1698" t="str">
        <f>VLOOKUP(L1698,'[2]tabela de preços'!$A:$F,6,0)</f>
        <v xml:space="preserve">DISCOS / LIXAS / ABRASIVOS </v>
      </c>
      <c r="X1698" t="str">
        <f>VLOOKUP(L1698,'[2]tabela de preços'!$A:$G,7,0)</f>
        <v>AUTOMOTIVO</v>
      </c>
    </row>
    <row r="1699" spans="1:24" x14ac:dyDescent="0.3">
      <c r="A1699" t="s">
        <v>323</v>
      </c>
      <c r="B1699" t="s">
        <v>324</v>
      </c>
      <c r="C1699" t="s">
        <v>325</v>
      </c>
      <c r="D1699" s="1">
        <v>46045</v>
      </c>
      <c r="E1699" t="s">
        <v>326</v>
      </c>
      <c r="F1699">
        <v>9</v>
      </c>
      <c r="G1699">
        <v>174</v>
      </c>
      <c r="H1699" t="str">
        <f>VLOOKUP(G1699,[1]OPERADORES!$A:$B,2,0)</f>
        <v>MIRIÃ LOBATO RODRIGUES</v>
      </c>
      <c r="I1699" t="s">
        <v>327</v>
      </c>
      <c r="J1699" t="s">
        <v>328</v>
      </c>
      <c r="K1699" t="s">
        <v>329</v>
      </c>
      <c r="L1699">
        <v>24240</v>
      </c>
      <c r="M1699" t="s">
        <v>240</v>
      </c>
      <c r="O1699" t="s">
        <v>11</v>
      </c>
      <c r="P1699">
        <v>6102</v>
      </c>
      <c r="Q1699">
        <v>20</v>
      </c>
      <c r="R1699">
        <v>3.81</v>
      </c>
      <c r="S1699">
        <v>76.2</v>
      </c>
      <c r="T1699">
        <v>65.599999999999994</v>
      </c>
      <c r="U1699">
        <v>13.91</v>
      </c>
      <c r="V1699" t="str">
        <f>VLOOKUP(L1699,'[2]tabela de preços'!$A:$D,4,0)</f>
        <v>ADERE</v>
      </c>
      <c r="W1699" t="str">
        <f>VLOOKUP(L1699,'[2]tabela de preços'!$A:$F,6,0)</f>
        <v>FITA AUTOMOTIVA</v>
      </c>
      <c r="X1699" t="str">
        <f>VLOOKUP(L1699,'[2]tabela de preços'!$A:$G,7,0)</f>
        <v>AUTOMOTIVO</v>
      </c>
    </row>
    <row r="1700" spans="1:24" x14ac:dyDescent="0.3">
      <c r="A1700" t="s">
        <v>323</v>
      </c>
      <c r="B1700" t="s">
        <v>324</v>
      </c>
      <c r="C1700" t="s">
        <v>325</v>
      </c>
      <c r="D1700" s="1">
        <v>46045</v>
      </c>
      <c r="E1700" t="s">
        <v>326</v>
      </c>
      <c r="F1700">
        <v>9</v>
      </c>
      <c r="G1700">
        <v>174</v>
      </c>
      <c r="H1700" t="str">
        <f>VLOOKUP(G1700,[1]OPERADORES!$A:$B,2,0)</f>
        <v>MIRIÃ LOBATO RODRIGUES</v>
      </c>
      <c r="I1700" t="s">
        <v>327</v>
      </c>
      <c r="J1700" t="s">
        <v>328</v>
      </c>
      <c r="K1700" t="s">
        <v>329</v>
      </c>
      <c r="L1700">
        <v>24241</v>
      </c>
      <c r="M1700" t="s">
        <v>233</v>
      </c>
      <c r="O1700" t="s">
        <v>11</v>
      </c>
      <c r="P1700">
        <v>6102</v>
      </c>
      <c r="Q1700">
        <v>10</v>
      </c>
      <c r="R1700">
        <v>12.2</v>
      </c>
      <c r="S1700">
        <v>122</v>
      </c>
      <c r="T1700">
        <v>92.6</v>
      </c>
      <c r="U1700">
        <v>24.1</v>
      </c>
      <c r="V1700" t="str">
        <f>VLOOKUP(L1700,'[2]tabela de preços'!$A:$D,4,0)</f>
        <v>ADERE</v>
      </c>
      <c r="W1700" t="str">
        <f>VLOOKUP(L1700,'[2]tabela de preços'!$A:$F,6,0)</f>
        <v>FITA AUTOMOTIVA</v>
      </c>
      <c r="X1700" t="str">
        <f>VLOOKUP(L1700,'[2]tabela de preços'!$A:$G,7,0)</f>
        <v>AUTOMOTIVO</v>
      </c>
    </row>
    <row r="1701" spans="1:24" x14ac:dyDescent="0.3">
      <c r="A1701" t="s">
        <v>323</v>
      </c>
      <c r="B1701" t="s">
        <v>324</v>
      </c>
      <c r="C1701" t="s">
        <v>325</v>
      </c>
      <c r="D1701" s="1">
        <v>46045</v>
      </c>
      <c r="E1701" t="s">
        <v>326</v>
      </c>
      <c r="F1701">
        <v>9</v>
      </c>
      <c r="G1701">
        <v>174</v>
      </c>
      <c r="H1701" t="str">
        <f>VLOOKUP(G1701,[1]OPERADORES!$A:$B,2,0)</f>
        <v>MIRIÃ LOBATO RODRIGUES</v>
      </c>
      <c r="I1701" t="s">
        <v>327</v>
      </c>
      <c r="J1701" t="s">
        <v>328</v>
      </c>
      <c r="K1701" t="s">
        <v>329</v>
      </c>
      <c r="L1701">
        <v>23076</v>
      </c>
      <c r="M1701" t="s">
        <v>97</v>
      </c>
      <c r="O1701" t="s">
        <v>11</v>
      </c>
      <c r="P1701">
        <v>6403</v>
      </c>
      <c r="Q1701">
        <v>12</v>
      </c>
      <c r="R1701">
        <v>34.89</v>
      </c>
      <c r="S1701">
        <v>418.68</v>
      </c>
      <c r="T1701">
        <v>318.36</v>
      </c>
      <c r="U1701">
        <v>23.96</v>
      </c>
      <c r="V1701" t="str">
        <f>VLOOKUP(L1701,'[2]tabela de preços'!$A:$D,4,0)</f>
        <v>WANDA</v>
      </c>
      <c r="W1701" t="str">
        <f>VLOOKUP(L1701,'[2]tabela de preços'!$A:$F,6,0)</f>
        <v>PRIMER AUTOMOTIVO</v>
      </c>
      <c r="X1701" t="str">
        <f>VLOOKUP(L1701,'[2]tabela de preços'!$A:$G,7,0)</f>
        <v>AUTOMOTIVO</v>
      </c>
    </row>
    <row r="1702" spans="1:24" x14ac:dyDescent="0.3">
      <c r="A1702" t="s">
        <v>323</v>
      </c>
      <c r="B1702" t="s">
        <v>324</v>
      </c>
      <c r="C1702" t="s">
        <v>325</v>
      </c>
      <c r="D1702" s="1">
        <v>46045</v>
      </c>
      <c r="E1702" t="s">
        <v>326</v>
      </c>
      <c r="F1702">
        <v>9</v>
      </c>
      <c r="G1702">
        <v>174</v>
      </c>
      <c r="H1702" t="str">
        <f>VLOOKUP(G1702,[1]OPERADORES!$A:$B,2,0)</f>
        <v>MIRIÃ LOBATO RODRIGUES</v>
      </c>
      <c r="I1702" t="s">
        <v>327</v>
      </c>
      <c r="J1702" t="s">
        <v>328</v>
      </c>
      <c r="K1702" t="s">
        <v>329</v>
      </c>
      <c r="L1702">
        <v>13</v>
      </c>
      <c r="M1702" t="s">
        <v>152</v>
      </c>
      <c r="O1702" t="s">
        <v>11</v>
      </c>
      <c r="P1702">
        <v>6102</v>
      </c>
      <c r="Q1702">
        <v>25</v>
      </c>
      <c r="R1702">
        <v>5.79</v>
      </c>
      <c r="S1702">
        <v>144.75</v>
      </c>
      <c r="T1702">
        <v>104</v>
      </c>
      <c r="U1702">
        <v>28.15</v>
      </c>
      <c r="V1702" t="str">
        <f>VLOOKUP(L1702,'[2]tabela de preços'!$A:$D,4,0)</f>
        <v>3M</v>
      </c>
      <c r="W1702" t="str">
        <f>VLOOKUP(L1702,'[2]tabela de preços'!$A:$F,6,0)</f>
        <v>LIXA DÁGUA</v>
      </c>
      <c r="X1702" t="str">
        <f>VLOOKUP(L1702,'[2]tabela de preços'!$A:$G,7,0)</f>
        <v>AUTOMOTIVO</v>
      </c>
    </row>
    <row r="1703" spans="1:24" x14ac:dyDescent="0.3">
      <c r="A1703" t="s">
        <v>323</v>
      </c>
      <c r="B1703" t="s">
        <v>324</v>
      </c>
      <c r="C1703" t="s">
        <v>325</v>
      </c>
      <c r="D1703" s="1">
        <v>46045</v>
      </c>
      <c r="E1703" t="s">
        <v>326</v>
      </c>
      <c r="F1703">
        <v>9</v>
      </c>
      <c r="G1703">
        <v>174</v>
      </c>
      <c r="H1703" t="str">
        <f>VLOOKUP(G1703,[1]OPERADORES!$A:$B,2,0)</f>
        <v>MIRIÃ LOBATO RODRIGUES</v>
      </c>
      <c r="I1703" t="s">
        <v>327</v>
      </c>
      <c r="J1703" t="s">
        <v>328</v>
      </c>
      <c r="K1703" t="s">
        <v>329</v>
      </c>
      <c r="L1703">
        <v>15</v>
      </c>
      <c r="M1703" t="s">
        <v>205</v>
      </c>
      <c r="O1703" t="s">
        <v>11</v>
      </c>
      <c r="P1703">
        <v>6102</v>
      </c>
      <c r="Q1703">
        <v>25</v>
      </c>
      <c r="R1703">
        <v>5.79</v>
      </c>
      <c r="S1703">
        <v>144.75</v>
      </c>
      <c r="T1703">
        <v>104</v>
      </c>
      <c r="U1703">
        <v>28.15</v>
      </c>
      <c r="V1703" t="str">
        <f>VLOOKUP(L1703,'[2]tabela de preços'!$A:$D,4,0)</f>
        <v>3M</v>
      </c>
      <c r="W1703" t="str">
        <f>VLOOKUP(L1703,'[2]tabela de preços'!$A:$F,6,0)</f>
        <v>LIXA DÁGUA</v>
      </c>
      <c r="X1703" t="str">
        <f>VLOOKUP(L1703,'[2]tabela de preços'!$A:$G,7,0)</f>
        <v>AUTOMOTIVO</v>
      </c>
    </row>
    <row r="1704" spans="1:24" x14ac:dyDescent="0.3">
      <c r="A1704" t="s">
        <v>323</v>
      </c>
      <c r="B1704" t="s">
        <v>324</v>
      </c>
      <c r="C1704" t="s">
        <v>325</v>
      </c>
      <c r="D1704" s="1">
        <v>46045</v>
      </c>
      <c r="E1704" t="s">
        <v>326</v>
      </c>
      <c r="F1704">
        <v>9</v>
      </c>
      <c r="G1704">
        <v>174</v>
      </c>
      <c r="H1704" t="str">
        <f>VLOOKUP(G1704,[1]OPERADORES!$A:$B,2,0)</f>
        <v>MIRIÃ LOBATO RODRIGUES</v>
      </c>
      <c r="I1704" t="s">
        <v>327</v>
      </c>
      <c r="J1704" t="s">
        <v>328</v>
      </c>
      <c r="K1704" t="s">
        <v>329</v>
      </c>
      <c r="L1704">
        <v>10242</v>
      </c>
      <c r="M1704" t="s">
        <v>82</v>
      </c>
      <c r="O1704" t="s">
        <v>11</v>
      </c>
      <c r="P1704">
        <v>6102</v>
      </c>
      <c r="Q1704">
        <v>25</v>
      </c>
      <c r="R1704">
        <v>2.79</v>
      </c>
      <c r="S1704">
        <v>69.75</v>
      </c>
      <c r="T1704">
        <v>56</v>
      </c>
      <c r="U1704">
        <v>19.71</v>
      </c>
      <c r="V1704" t="str">
        <f>VLOOKUP(L1704,'[2]tabela de preços'!$A:$D,4,0)</f>
        <v>NORTON</v>
      </c>
      <c r="W1704" t="str">
        <f>VLOOKUP(L1704,'[2]tabela de preços'!$A:$F,6,0)</f>
        <v xml:space="preserve">DISCOS / LIXAS / ABRASIVOS </v>
      </c>
      <c r="X1704" t="str">
        <f>VLOOKUP(L1704,'[2]tabela de preços'!$A:$G,7,0)</f>
        <v>AUTOMOTIVO</v>
      </c>
    </row>
    <row r="1705" spans="1:24" x14ac:dyDescent="0.3">
      <c r="A1705" t="s">
        <v>323</v>
      </c>
      <c r="B1705" t="s">
        <v>324</v>
      </c>
      <c r="C1705" t="s">
        <v>325</v>
      </c>
      <c r="D1705" s="1">
        <v>46045</v>
      </c>
      <c r="E1705" t="s">
        <v>326</v>
      </c>
      <c r="F1705">
        <v>9</v>
      </c>
      <c r="G1705">
        <v>174</v>
      </c>
      <c r="H1705" t="str">
        <f>VLOOKUP(G1705,[1]OPERADORES!$A:$B,2,0)</f>
        <v>MIRIÃ LOBATO RODRIGUES</v>
      </c>
      <c r="I1705" t="s">
        <v>327</v>
      </c>
      <c r="J1705" t="s">
        <v>328</v>
      </c>
      <c r="K1705" t="s">
        <v>329</v>
      </c>
      <c r="L1705">
        <v>10245</v>
      </c>
      <c r="M1705" t="s">
        <v>195</v>
      </c>
      <c r="O1705" t="s">
        <v>11</v>
      </c>
      <c r="P1705">
        <v>6102</v>
      </c>
      <c r="Q1705">
        <v>25</v>
      </c>
      <c r="R1705">
        <v>2.79</v>
      </c>
      <c r="S1705">
        <v>69.75</v>
      </c>
      <c r="T1705">
        <v>48.25</v>
      </c>
      <c r="U1705">
        <v>30.82</v>
      </c>
      <c r="V1705" t="str">
        <f>VLOOKUP(L1705,'[2]tabela de preços'!$A:$D,4,0)</f>
        <v>NORTON</v>
      </c>
      <c r="W1705" t="str">
        <f>VLOOKUP(L1705,'[2]tabela de preços'!$A:$F,6,0)</f>
        <v xml:space="preserve">DISCOS / LIXAS / ABRASIVOS </v>
      </c>
      <c r="X1705" t="str">
        <f>VLOOKUP(L1705,'[2]tabela de preços'!$A:$G,7,0)</f>
        <v>AUTOMOTIVO</v>
      </c>
    </row>
    <row r="1706" spans="1:24" x14ac:dyDescent="0.3">
      <c r="A1706" t="s">
        <v>323</v>
      </c>
      <c r="B1706" t="s">
        <v>324</v>
      </c>
      <c r="C1706" t="s">
        <v>325</v>
      </c>
      <c r="D1706" s="1">
        <v>46045</v>
      </c>
      <c r="E1706" t="s">
        <v>326</v>
      </c>
      <c r="F1706">
        <v>9</v>
      </c>
      <c r="G1706">
        <v>174</v>
      </c>
      <c r="H1706" t="str">
        <f>VLOOKUP(G1706,[1]OPERADORES!$A:$B,2,0)</f>
        <v>MIRIÃ LOBATO RODRIGUES</v>
      </c>
      <c r="I1706" t="s">
        <v>327</v>
      </c>
      <c r="J1706" t="s">
        <v>328</v>
      </c>
      <c r="K1706" t="s">
        <v>329</v>
      </c>
      <c r="L1706">
        <v>10246</v>
      </c>
      <c r="M1706" t="s">
        <v>206</v>
      </c>
      <c r="O1706" t="s">
        <v>11</v>
      </c>
      <c r="P1706">
        <v>6102</v>
      </c>
      <c r="Q1706">
        <v>25</v>
      </c>
      <c r="R1706">
        <v>2.79</v>
      </c>
      <c r="S1706">
        <v>69.75</v>
      </c>
      <c r="T1706">
        <v>48.25</v>
      </c>
      <c r="U1706">
        <v>30.82</v>
      </c>
      <c r="V1706" t="str">
        <f>VLOOKUP(L1706,'[2]tabela de preços'!$A:$D,4,0)</f>
        <v>NORTON</v>
      </c>
      <c r="W1706" t="str">
        <f>VLOOKUP(L1706,'[2]tabela de preços'!$A:$F,6,0)</f>
        <v xml:space="preserve">DISCOS / LIXAS / ABRASIVOS </v>
      </c>
      <c r="X1706" t="str">
        <f>VLOOKUP(L1706,'[2]tabela de preços'!$A:$G,7,0)</f>
        <v>AUTOMOTIVO</v>
      </c>
    </row>
    <row r="1707" spans="1:24" x14ac:dyDescent="0.3">
      <c r="A1707" t="s">
        <v>323</v>
      </c>
      <c r="B1707" t="s">
        <v>324</v>
      </c>
      <c r="C1707" t="s">
        <v>325</v>
      </c>
      <c r="D1707" s="1">
        <v>46045</v>
      </c>
      <c r="E1707" t="s">
        <v>326</v>
      </c>
      <c r="F1707">
        <v>9</v>
      </c>
      <c r="G1707">
        <v>174</v>
      </c>
      <c r="H1707" t="str">
        <f>VLOOKUP(G1707,[1]OPERADORES!$A:$B,2,0)</f>
        <v>MIRIÃ LOBATO RODRIGUES</v>
      </c>
      <c r="I1707" t="s">
        <v>327</v>
      </c>
      <c r="J1707" t="s">
        <v>328</v>
      </c>
      <c r="K1707" t="s">
        <v>329</v>
      </c>
      <c r="L1707">
        <v>87000</v>
      </c>
      <c r="M1707" t="s">
        <v>333</v>
      </c>
      <c r="O1707" t="s">
        <v>11</v>
      </c>
      <c r="P1707">
        <v>6102</v>
      </c>
      <c r="Q1707">
        <v>12</v>
      </c>
      <c r="R1707">
        <v>19.89</v>
      </c>
      <c r="S1707">
        <v>238.68</v>
      </c>
      <c r="T1707">
        <v>202.08</v>
      </c>
      <c r="U1707">
        <v>15.33</v>
      </c>
      <c r="V1707" t="str">
        <f>VLOOKUP(L1707,'[2]tabela de preços'!$A:$D,4,0)</f>
        <v>WANDA</v>
      </c>
      <c r="W1707" t="str">
        <f>VLOOKUP(L1707,'[2]tabela de preços'!$A:$F,6,0)</f>
        <v>MASSA POLIÉSTER</v>
      </c>
      <c r="X1707" t="str">
        <f>VLOOKUP(L1707,'[2]tabela de preços'!$A:$G,7,0)</f>
        <v>AUTOMOTIVO</v>
      </c>
    </row>
    <row r="1708" spans="1:24" x14ac:dyDescent="0.3">
      <c r="A1708" t="s">
        <v>323</v>
      </c>
      <c r="B1708" t="s">
        <v>324</v>
      </c>
      <c r="C1708" t="s">
        <v>325</v>
      </c>
      <c r="D1708" s="1">
        <v>46045</v>
      </c>
      <c r="E1708" t="s">
        <v>326</v>
      </c>
      <c r="F1708">
        <v>9</v>
      </c>
      <c r="G1708">
        <v>174</v>
      </c>
      <c r="H1708" t="str">
        <f>VLOOKUP(G1708,[1]OPERADORES!$A:$B,2,0)</f>
        <v>MIRIÃ LOBATO RODRIGUES</v>
      </c>
      <c r="I1708" t="s">
        <v>327</v>
      </c>
      <c r="J1708" t="s">
        <v>328</v>
      </c>
      <c r="K1708" t="s">
        <v>329</v>
      </c>
      <c r="L1708">
        <v>20212</v>
      </c>
      <c r="M1708" t="s">
        <v>198</v>
      </c>
      <c r="O1708" t="s">
        <v>11</v>
      </c>
      <c r="P1708">
        <v>6403</v>
      </c>
      <c r="Q1708">
        <v>2</v>
      </c>
      <c r="R1708">
        <v>26.95</v>
      </c>
      <c r="S1708">
        <v>53.9</v>
      </c>
      <c r="T1708">
        <v>40.92</v>
      </c>
      <c r="U1708">
        <v>24.08</v>
      </c>
      <c r="V1708" t="str">
        <f>VLOOKUP(L1708,'[2]tabela de preços'!$A:$D,4,0)</f>
        <v>MAXI RUBBER</v>
      </c>
      <c r="W1708" t="str">
        <f>VLOOKUP(L1708,'[2]tabela de preços'!$A:$F,6,0)</f>
        <v>SELADORA P/ PLASTICO</v>
      </c>
      <c r="X1708" t="str">
        <f>VLOOKUP(L1708,'[2]tabela de preços'!$A:$G,7,0)</f>
        <v>AUTOMOTIVO</v>
      </c>
    </row>
    <row r="1709" spans="1:24" x14ac:dyDescent="0.3">
      <c r="A1709" t="s">
        <v>323</v>
      </c>
      <c r="B1709" t="s">
        <v>324</v>
      </c>
      <c r="C1709" t="s">
        <v>325</v>
      </c>
      <c r="D1709" s="1">
        <v>46045</v>
      </c>
      <c r="E1709" t="s">
        <v>326</v>
      </c>
      <c r="F1709">
        <v>9</v>
      </c>
      <c r="G1709">
        <v>174</v>
      </c>
      <c r="H1709" t="str">
        <f>VLOOKUP(G1709,[1]OPERADORES!$A:$B,2,0)</f>
        <v>MIRIÃ LOBATO RODRIGUES</v>
      </c>
      <c r="I1709" t="s">
        <v>327</v>
      </c>
      <c r="J1709" t="s">
        <v>328</v>
      </c>
      <c r="K1709" t="s">
        <v>329</v>
      </c>
      <c r="L1709">
        <v>10296</v>
      </c>
      <c r="M1709" t="s">
        <v>334</v>
      </c>
      <c r="O1709" t="s">
        <v>11</v>
      </c>
      <c r="P1709">
        <v>6102</v>
      </c>
      <c r="Q1709">
        <v>2</v>
      </c>
      <c r="R1709">
        <v>17.02</v>
      </c>
      <c r="S1709">
        <v>34.04</v>
      </c>
      <c r="T1709">
        <v>25.14</v>
      </c>
      <c r="U1709">
        <v>26.15</v>
      </c>
      <c r="V1709" t="str">
        <f>VLOOKUP(L1709,'[2]tabela de preços'!$A:$D,4,0)</f>
        <v>ANJO</v>
      </c>
      <c r="W1709" t="str">
        <f>VLOOKUP(L1709,'[2]tabela de preços'!$A:$F,6,0)</f>
        <v>DESENGRAXANTE</v>
      </c>
      <c r="X1709" t="str">
        <f>VLOOKUP(L1709,'[2]tabela de preços'!$A:$G,7,0)</f>
        <v>AUTOMOTIVO</v>
      </c>
    </row>
    <row r="1710" spans="1:24" x14ac:dyDescent="0.3">
      <c r="A1710" t="s">
        <v>323</v>
      </c>
      <c r="B1710" t="s">
        <v>324</v>
      </c>
      <c r="C1710" t="s">
        <v>325</v>
      </c>
      <c r="D1710" s="1">
        <v>46045</v>
      </c>
      <c r="E1710" t="s">
        <v>326</v>
      </c>
      <c r="F1710">
        <v>9</v>
      </c>
      <c r="G1710">
        <v>174</v>
      </c>
      <c r="H1710" t="str">
        <f>VLOOKUP(G1710,[1]OPERADORES!$A:$B,2,0)</f>
        <v>MIRIÃ LOBATO RODRIGUES</v>
      </c>
      <c r="I1710" t="s">
        <v>327</v>
      </c>
      <c r="J1710" t="s">
        <v>328</v>
      </c>
      <c r="K1710" t="s">
        <v>329</v>
      </c>
      <c r="L1710">
        <v>84560</v>
      </c>
      <c r="M1710" t="s">
        <v>118</v>
      </c>
      <c r="O1710" t="s">
        <v>11</v>
      </c>
      <c r="P1710">
        <v>6102</v>
      </c>
      <c r="Q1710">
        <v>1</v>
      </c>
      <c r="R1710">
        <v>47.89</v>
      </c>
      <c r="S1710">
        <v>47.89</v>
      </c>
      <c r="T1710">
        <v>39.159999999999997</v>
      </c>
      <c r="U1710">
        <v>18.23</v>
      </c>
      <c r="V1710" t="str">
        <f>VLOOKUP(L1710,'[2]tabela de preços'!$A:$D,4,0)</f>
        <v>BRASILUX</v>
      </c>
      <c r="W1710" t="str">
        <f>VLOOKUP(L1710,'[2]tabela de preços'!$A:$F,6,0)</f>
        <v>THINNER DE LIMPEZA</v>
      </c>
      <c r="X1710" t="str">
        <f>VLOOKUP(L1710,'[2]tabela de preços'!$A:$G,7,0)</f>
        <v>THINNER</v>
      </c>
    </row>
    <row r="1711" spans="1:24" x14ac:dyDescent="0.3">
      <c r="A1711" t="s">
        <v>323</v>
      </c>
      <c r="B1711" t="s">
        <v>324</v>
      </c>
      <c r="C1711" t="s">
        <v>325</v>
      </c>
      <c r="D1711" s="1">
        <v>46045</v>
      </c>
      <c r="E1711" t="s">
        <v>326</v>
      </c>
      <c r="F1711">
        <v>9</v>
      </c>
      <c r="G1711">
        <v>174</v>
      </c>
      <c r="H1711" t="str">
        <f>VLOOKUP(G1711,[1]OPERADORES!$A:$B,2,0)</f>
        <v>MIRIÃ LOBATO RODRIGUES</v>
      </c>
      <c r="I1711" t="s">
        <v>327</v>
      </c>
      <c r="J1711" t="s">
        <v>328</v>
      </c>
      <c r="K1711" t="s">
        <v>329</v>
      </c>
      <c r="L1711">
        <v>85163</v>
      </c>
      <c r="M1711" t="s">
        <v>335</v>
      </c>
      <c r="O1711" t="s">
        <v>11</v>
      </c>
      <c r="P1711">
        <v>6403</v>
      </c>
      <c r="Q1711">
        <v>18</v>
      </c>
      <c r="R1711">
        <v>33.590000000000003</v>
      </c>
      <c r="S1711">
        <v>604.62</v>
      </c>
      <c r="T1711">
        <v>459</v>
      </c>
      <c r="U1711">
        <v>24.08</v>
      </c>
      <c r="V1711" t="str">
        <f>VLOOKUP(L1711,'[2]tabela de preços'!$A:$D,4,0)</f>
        <v>BRASILUX</v>
      </c>
      <c r="W1711" t="str">
        <f>VLOOKUP(L1711,'[2]tabela de preços'!$A:$F,6,0)</f>
        <v>VERNIZ AUTOMOTIVO</v>
      </c>
      <c r="X1711" t="str">
        <f>VLOOKUP(L1711,'[2]tabela de preços'!$A:$G,7,0)</f>
        <v>AUTOMOTIVO</v>
      </c>
    </row>
    <row r="1712" spans="1:24" x14ac:dyDescent="0.3">
      <c r="A1712" t="s">
        <v>421</v>
      </c>
      <c r="C1712" t="s">
        <v>422</v>
      </c>
      <c r="D1712" s="1">
        <v>46045</v>
      </c>
      <c r="E1712" t="s">
        <v>423</v>
      </c>
      <c r="F1712">
        <v>9</v>
      </c>
      <c r="G1712">
        <v>231</v>
      </c>
      <c r="H1712" t="str">
        <f>VLOOKUP(G1712,[1]OPERADORES!$A:$B,2,0)</f>
        <v>EDIJANE</v>
      </c>
      <c r="I1712" t="s">
        <v>21</v>
      </c>
      <c r="J1712" t="s">
        <v>424</v>
      </c>
      <c r="K1712" t="s">
        <v>425</v>
      </c>
      <c r="L1712">
        <v>84324</v>
      </c>
      <c r="M1712" t="s">
        <v>359</v>
      </c>
      <c r="O1712" t="s">
        <v>11</v>
      </c>
      <c r="P1712">
        <v>5403</v>
      </c>
      <c r="Q1712">
        <v>5</v>
      </c>
      <c r="R1712">
        <v>91.84</v>
      </c>
      <c r="S1712">
        <v>459.2</v>
      </c>
      <c r="T1712">
        <v>348.55</v>
      </c>
      <c r="U1712">
        <v>24.1</v>
      </c>
      <c r="V1712" t="str">
        <f>VLOOKUP(L1712,'[2]tabela de preços'!$A:$D,4,0)</f>
        <v>BRASILUX</v>
      </c>
      <c r="W1712" t="str">
        <f>VLOOKUP(L1712,'[2]tabela de preços'!$A:$F,6,0)</f>
        <v>ESMALTES</v>
      </c>
      <c r="X1712" t="str">
        <f>VLOOKUP(L1712,'[2]tabela de preços'!$A:$G,7,0)</f>
        <v>INDUSTRIAL</v>
      </c>
    </row>
    <row r="1713" spans="1:24" x14ac:dyDescent="0.3">
      <c r="A1713" t="s">
        <v>555</v>
      </c>
      <c r="C1713" t="s">
        <v>573</v>
      </c>
      <c r="D1713" s="1">
        <v>46045</v>
      </c>
      <c r="E1713" t="s">
        <v>574</v>
      </c>
      <c r="F1713">
        <v>9</v>
      </c>
      <c r="G1713">
        <v>230</v>
      </c>
      <c r="H1713" t="str">
        <f>VLOOKUP(G1713,[1]OPERADORES!$A:$B,2,0)</f>
        <v>SÔNIA</v>
      </c>
      <c r="I1713" t="s">
        <v>21</v>
      </c>
      <c r="J1713" t="s">
        <v>558</v>
      </c>
      <c r="K1713" t="s">
        <v>559</v>
      </c>
      <c r="L1713">
        <v>86230</v>
      </c>
      <c r="M1713" t="s">
        <v>375</v>
      </c>
      <c r="O1713" t="s">
        <v>11</v>
      </c>
      <c r="P1713">
        <v>5403</v>
      </c>
      <c r="Q1713">
        <v>1</v>
      </c>
      <c r="R1713">
        <v>266.92</v>
      </c>
      <c r="S1713">
        <v>266.92</v>
      </c>
      <c r="T1713">
        <v>220.78</v>
      </c>
      <c r="U1713">
        <v>17.29</v>
      </c>
      <c r="V1713" t="str">
        <f>VLOOKUP(L1713,'[2]tabela de preços'!$A:$D,4,0)</f>
        <v>CORAL</v>
      </c>
      <c r="W1713" t="str">
        <f>VLOOKUP(L1713,'[2]tabela de preços'!$A:$F,6,0)</f>
        <v>TINTA PAREDE</v>
      </c>
      <c r="X1713" t="str">
        <f>VLOOKUP(L1713,'[2]tabela de preços'!$A:$G,7,0)</f>
        <v>IMOBILIÁRIO</v>
      </c>
    </row>
    <row r="1714" spans="1:24" x14ac:dyDescent="0.3">
      <c r="A1714" t="s">
        <v>555</v>
      </c>
      <c r="C1714" t="s">
        <v>573</v>
      </c>
      <c r="D1714" s="1">
        <v>46045</v>
      </c>
      <c r="E1714" t="s">
        <v>574</v>
      </c>
      <c r="F1714">
        <v>9</v>
      </c>
      <c r="G1714">
        <v>230</v>
      </c>
      <c r="H1714" t="str">
        <f>VLOOKUP(G1714,[1]OPERADORES!$A:$B,2,0)</f>
        <v>SÔNIA</v>
      </c>
      <c r="I1714" t="s">
        <v>21</v>
      </c>
      <c r="J1714" t="s">
        <v>558</v>
      </c>
      <c r="K1714" t="s">
        <v>559</v>
      </c>
      <c r="L1714">
        <v>84411</v>
      </c>
      <c r="M1714" t="s">
        <v>35</v>
      </c>
      <c r="O1714" t="s">
        <v>11</v>
      </c>
      <c r="P1714">
        <v>5102</v>
      </c>
      <c r="Q1714">
        <v>5</v>
      </c>
      <c r="R1714">
        <v>4.29</v>
      </c>
      <c r="S1714">
        <v>21.45</v>
      </c>
      <c r="T1714">
        <v>17.7</v>
      </c>
      <c r="U1714">
        <v>17.48</v>
      </c>
      <c r="V1714" t="str">
        <f>VLOOKUP(L1714,'[2]tabela de preços'!$A:$D,4,0)</f>
        <v>ADERE</v>
      </c>
      <c r="W1714" t="str">
        <f>VLOOKUP(L1714,'[2]tabela de preços'!$A:$F,6,0)</f>
        <v xml:space="preserve">FITA DE USO GERAL </v>
      </c>
      <c r="X1714" t="str">
        <f>VLOOKUP(L1714,'[2]tabela de preços'!$A:$G,7,0)</f>
        <v>IMOBILIÁRIO</v>
      </c>
    </row>
    <row r="1715" spans="1:24" x14ac:dyDescent="0.3">
      <c r="A1715" t="s">
        <v>555</v>
      </c>
      <c r="C1715" t="s">
        <v>573</v>
      </c>
      <c r="D1715" s="1">
        <v>46045</v>
      </c>
      <c r="E1715" t="s">
        <v>574</v>
      </c>
      <c r="F1715">
        <v>9</v>
      </c>
      <c r="G1715">
        <v>230</v>
      </c>
      <c r="H1715" t="str">
        <f>VLOOKUP(G1715,[1]OPERADORES!$A:$B,2,0)</f>
        <v>SÔNIA</v>
      </c>
      <c r="I1715" t="s">
        <v>21</v>
      </c>
      <c r="J1715" t="s">
        <v>558</v>
      </c>
      <c r="K1715" t="s">
        <v>559</v>
      </c>
      <c r="L1715">
        <v>84928</v>
      </c>
      <c r="M1715" t="s">
        <v>36</v>
      </c>
      <c r="O1715" t="s">
        <v>11</v>
      </c>
      <c r="P1715">
        <v>5102</v>
      </c>
      <c r="Q1715">
        <v>4</v>
      </c>
      <c r="R1715">
        <v>9.39</v>
      </c>
      <c r="S1715">
        <v>37.56</v>
      </c>
      <c r="T1715">
        <v>28.52</v>
      </c>
      <c r="U1715">
        <v>24.07</v>
      </c>
      <c r="V1715" t="str">
        <f>VLOOKUP(L1715,'[2]tabela de preços'!$A:$D,4,0)</f>
        <v>ADERE</v>
      </c>
      <c r="W1715" t="str">
        <f>VLOOKUP(L1715,'[2]tabela de preços'!$A:$F,6,0)</f>
        <v xml:space="preserve">FITA DE USO GERAL </v>
      </c>
      <c r="X1715" t="str">
        <f>VLOOKUP(L1715,'[2]tabela de preços'!$A:$G,7,0)</f>
        <v>IMOBILIÁRIO</v>
      </c>
    </row>
    <row r="1716" spans="1:24" x14ac:dyDescent="0.3">
      <c r="A1716" t="s">
        <v>626</v>
      </c>
      <c r="B1716" t="s">
        <v>627</v>
      </c>
      <c r="C1716" t="s">
        <v>676</v>
      </c>
      <c r="D1716" s="1">
        <v>46045</v>
      </c>
      <c r="E1716" t="s">
        <v>677</v>
      </c>
      <c r="F1716">
        <v>9</v>
      </c>
      <c r="G1716">
        <v>174</v>
      </c>
      <c r="H1716" t="str">
        <f>VLOOKUP(G1716,[1]OPERADORES!$A:$B,2,0)</f>
        <v>MIRIÃ LOBATO RODRIGUES</v>
      </c>
      <c r="I1716" t="s">
        <v>21</v>
      </c>
      <c r="J1716" t="s">
        <v>630</v>
      </c>
      <c r="K1716" t="s">
        <v>631</v>
      </c>
      <c r="L1716">
        <v>84487</v>
      </c>
      <c r="M1716" t="s">
        <v>633</v>
      </c>
      <c r="O1716" t="s">
        <v>11</v>
      </c>
      <c r="P1716">
        <v>5403</v>
      </c>
      <c r="Q1716">
        <v>2</v>
      </c>
      <c r="R1716">
        <v>28.84</v>
      </c>
      <c r="S1716">
        <v>57.68</v>
      </c>
      <c r="T1716">
        <v>43.78</v>
      </c>
      <c r="U1716">
        <v>24.1</v>
      </c>
      <c r="V1716" t="str">
        <f>VLOOKUP(L1716,'[2]tabela de preços'!$A:$D,4,0)</f>
        <v>BRASILUX</v>
      </c>
      <c r="W1716" t="str">
        <f>VLOOKUP(L1716,'[2]tabela de preços'!$A:$F,6,0)</f>
        <v>TINTAS LACA</v>
      </c>
      <c r="X1716" t="str">
        <f>VLOOKUP(L1716,'[2]tabela de preços'!$A:$G,7,0)</f>
        <v>AUTOMOTIVO</v>
      </c>
    </row>
    <row r="1717" spans="1:24" x14ac:dyDescent="0.3">
      <c r="A1717" t="s">
        <v>626</v>
      </c>
      <c r="B1717" t="s">
        <v>627</v>
      </c>
      <c r="C1717" t="s">
        <v>676</v>
      </c>
      <c r="D1717" s="1">
        <v>46045</v>
      </c>
      <c r="E1717" t="s">
        <v>677</v>
      </c>
      <c r="F1717">
        <v>9</v>
      </c>
      <c r="G1717">
        <v>174</v>
      </c>
      <c r="H1717" t="str">
        <f>VLOOKUP(G1717,[1]OPERADORES!$A:$B,2,0)</f>
        <v>MIRIÃ LOBATO RODRIGUES</v>
      </c>
      <c r="I1717" t="s">
        <v>21</v>
      </c>
      <c r="J1717" t="s">
        <v>630</v>
      </c>
      <c r="K1717" t="s">
        <v>631</v>
      </c>
      <c r="L1717">
        <v>84325</v>
      </c>
      <c r="M1717" t="s">
        <v>678</v>
      </c>
      <c r="O1717" t="s">
        <v>11</v>
      </c>
      <c r="P1717">
        <v>5403</v>
      </c>
      <c r="Q1717">
        <v>3</v>
      </c>
      <c r="R1717">
        <v>59.98</v>
      </c>
      <c r="S1717">
        <v>179.94</v>
      </c>
      <c r="T1717">
        <v>156</v>
      </c>
      <c r="U1717">
        <v>13.3</v>
      </c>
      <c r="V1717" t="str">
        <f>VLOOKUP(L1717,'[2]tabela de preços'!$A:$D,4,0)</f>
        <v>BRASILUX</v>
      </c>
      <c r="W1717" t="str">
        <f>VLOOKUP(L1717,'[2]tabela de preços'!$A:$F,6,0)</f>
        <v>ESMALTES</v>
      </c>
      <c r="X1717" t="str">
        <f>VLOOKUP(L1717,'[2]tabela de preços'!$A:$G,7,0)</f>
        <v>INDUSTRIAL</v>
      </c>
    </row>
    <row r="1718" spans="1:24" x14ac:dyDescent="0.3">
      <c r="A1718" t="s">
        <v>626</v>
      </c>
      <c r="B1718" t="s">
        <v>627</v>
      </c>
      <c r="C1718" t="s">
        <v>676</v>
      </c>
      <c r="D1718" s="1">
        <v>46045</v>
      </c>
      <c r="E1718" t="s">
        <v>677</v>
      </c>
      <c r="F1718">
        <v>9</v>
      </c>
      <c r="G1718">
        <v>174</v>
      </c>
      <c r="H1718" t="str">
        <f>VLOOKUP(G1718,[1]OPERADORES!$A:$B,2,0)</f>
        <v>MIRIÃ LOBATO RODRIGUES</v>
      </c>
      <c r="I1718" t="s">
        <v>21</v>
      </c>
      <c r="J1718" t="s">
        <v>630</v>
      </c>
      <c r="K1718" t="s">
        <v>631</v>
      </c>
      <c r="L1718">
        <v>23105</v>
      </c>
      <c r="M1718" t="s">
        <v>402</v>
      </c>
      <c r="O1718" t="s">
        <v>11</v>
      </c>
      <c r="P1718">
        <v>5102</v>
      </c>
      <c r="Q1718">
        <v>50</v>
      </c>
      <c r="R1718">
        <v>2.35</v>
      </c>
      <c r="S1718">
        <v>117.5</v>
      </c>
      <c r="T1718">
        <v>96</v>
      </c>
      <c r="U1718">
        <v>18.3</v>
      </c>
      <c r="V1718" t="str">
        <f>VLOOKUP(L1718,'[2]tabela de preços'!$A:$D,4,0)</f>
        <v>3M</v>
      </c>
      <c r="W1718" t="str">
        <f>VLOOKUP(L1718,'[2]tabela de preços'!$A:$F,6,0)</f>
        <v xml:space="preserve">DISCOS / LIXAS / ABRASIVOS </v>
      </c>
      <c r="X1718" t="str">
        <f>VLOOKUP(L1718,'[2]tabela de preços'!$A:$G,7,0)</f>
        <v>AUTOMOTIVO</v>
      </c>
    </row>
    <row r="1719" spans="1:24" x14ac:dyDescent="0.3">
      <c r="A1719" t="s">
        <v>626</v>
      </c>
      <c r="B1719" t="s">
        <v>627</v>
      </c>
      <c r="C1719" t="s">
        <v>676</v>
      </c>
      <c r="D1719" s="1">
        <v>46045</v>
      </c>
      <c r="E1719" t="s">
        <v>677</v>
      </c>
      <c r="F1719">
        <v>9</v>
      </c>
      <c r="G1719">
        <v>174</v>
      </c>
      <c r="H1719" t="str">
        <f>VLOOKUP(G1719,[1]OPERADORES!$A:$B,2,0)</f>
        <v>MIRIÃ LOBATO RODRIGUES</v>
      </c>
      <c r="I1719" t="s">
        <v>21</v>
      </c>
      <c r="J1719" t="s">
        <v>630</v>
      </c>
      <c r="K1719" t="s">
        <v>631</v>
      </c>
      <c r="L1719">
        <v>85680</v>
      </c>
      <c r="M1719" t="s">
        <v>669</v>
      </c>
      <c r="O1719" t="s">
        <v>11</v>
      </c>
      <c r="P1719">
        <v>5102</v>
      </c>
      <c r="Q1719">
        <v>20</v>
      </c>
      <c r="R1719">
        <v>3.69</v>
      </c>
      <c r="S1719">
        <v>73.8</v>
      </c>
      <c r="T1719">
        <v>58.6</v>
      </c>
      <c r="U1719">
        <v>20.6</v>
      </c>
      <c r="V1719" t="str">
        <f>VLOOKUP(L1719,'[2]tabela de preços'!$A:$D,4,0)</f>
        <v>UNIPEGA</v>
      </c>
      <c r="W1719" t="str">
        <f>VLOOKUP(L1719,'[2]tabela de preços'!$A:$F,6,0)</f>
        <v>FITA ISOLANTE</v>
      </c>
      <c r="X1719" t="str">
        <f>VLOOKUP(L1719,'[2]tabela de preços'!$A:$G,7,0)</f>
        <v>IMOBILIÁRIO</v>
      </c>
    </row>
    <row r="1720" spans="1:24" x14ac:dyDescent="0.3">
      <c r="A1720" t="s">
        <v>626</v>
      </c>
      <c r="B1720" t="s">
        <v>627</v>
      </c>
      <c r="C1720" t="s">
        <v>676</v>
      </c>
      <c r="D1720" s="1">
        <v>46045</v>
      </c>
      <c r="E1720" t="s">
        <v>677</v>
      </c>
      <c r="F1720">
        <v>9</v>
      </c>
      <c r="G1720">
        <v>174</v>
      </c>
      <c r="H1720" t="str">
        <f>VLOOKUP(G1720,[1]OPERADORES!$A:$B,2,0)</f>
        <v>MIRIÃ LOBATO RODRIGUES</v>
      </c>
      <c r="I1720" t="s">
        <v>21</v>
      </c>
      <c r="J1720" t="s">
        <v>630</v>
      </c>
      <c r="K1720" t="s">
        <v>631</v>
      </c>
      <c r="L1720">
        <v>20936</v>
      </c>
      <c r="M1720" t="s">
        <v>151</v>
      </c>
      <c r="O1720" t="s">
        <v>11</v>
      </c>
      <c r="P1720">
        <v>5405</v>
      </c>
      <c r="Q1720">
        <v>5</v>
      </c>
      <c r="R1720">
        <v>32.340000000000003</v>
      </c>
      <c r="S1720">
        <v>161.69999999999999</v>
      </c>
      <c r="T1720">
        <v>115.3</v>
      </c>
      <c r="U1720">
        <v>28.7</v>
      </c>
      <c r="V1720" t="str">
        <f>VLOOKUP(L1720,'[2]tabela de preços'!$A:$D,4,0)</f>
        <v>SHERWIN WILLIAMS</v>
      </c>
      <c r="W1720" t="str">
        <f>VLOOKUP(L1720,'[2]tabela de preços'!$A:$F,6,0)</f>
        <v>TINTAS POLIÉSTER</v>
      </c>
      <c r="X1720" t="str">
        <f>VLOOKUP(L1720,'[2]tabela de preços'!$A:$G,7,0)</f>
        <v>AUTOMOTIVO</v>
      </c>
    </row>
    <row r="1721" spans="1:24" x14ac:dyDescent="0.3">
      <c r="A1721" t="s">
        <v>626</v>
      </c>
      <c r="B1721" t="s">
        <v>627</v>
      </c>
      <c r="C1721" t="s">
        <v>676</v>
      </c>
      <c r="D1721" s="1">
        <v>46045</v>
      </c>
      <c r="E1721" t="s">
        <v>677</v>
      </c>
      <c r="F1721">
        <v>9</v>
      </c>
      <c r="G1721">
        <v>174</v>
      </c>
      <c r="H1721" t="str">
        <f>VLOOKUP(G1721,[1]OPERADORES!$A:$B,2,0)</f>
        <v>MIRIÃ LOBATO RODRIGUES</v>
      </c>
      <c r="I1721" t="s">
        <v>21</v>
      </c>
      <c r="J1721" t="s">
        <v>630</v>
      </c>
      <c r="K1721" t="s">
        <v>631</v>
      </c>
      <c r="L1721">
        <v>20383</v>
      </c>
      <c r="M1721" t="s">
        <v>129</v>
      </c>
      <c r="O1721" t="s">
        <v>11</v>
      </c>
      <c r="P1721">
        <v>5403</v>
      </c>
      <c r="Q1721">
        <v>2</v>
      </c>
      <c r="R1721">
        <v>33.79</v>
      </c>
      <c r="S1721">
        <v>67.58</v>
      </c>
      <c r="T1721">
        <v>48.18</v>
      </c>
      <c r="U1721">
        <v>28.71</v>
      </c>
      <c r="V1721" t="str">
        <f>VLOOKUP(L1721,'[2]tabela de preços'!$A:$D,4,0)</f>
        <v>SHERWIN WILLIAMS</v>
      </c>
      <c r="W1721" t="str">
        <f>VLOOKUP(L1721,'[2]tabela de preços'!$A:$F,6,0)</f>
        <v>TINTAS POLIÉSTER</v>
      </c>
      <c r="X1721" t="str">
        <f>VLOOKUP(L1721,'[2]tabela de preços'!$A:$G,7,0)</f>
        <v>AUTOMOTIVO</v>
      </c>
    </row>
    <row r="1722" spans="1:24" x14ac:dyDescent="0.3">
      <c r="A1722" t="s">
        <v>828</v>
      </c>
      <c r="C1722" t="s">
        <v>833</v>
      </c>
      <c r="D1722" s="1">
        <v>46045</v>
      </c>
      <c r="E1722" t="s">
        <v>834</v>
      </c>
      <c r="F1722">
        <v>9</v>
      </c>
      <c r="G1722">
        <v>231</v>
      </c>
      <c r="H1722" t="str">
        <f>VLOOKUP(G1722,[1]OPERADORES!$A:$B,2,0)</f>
        <v>EDIJANE</v>
      </c>
      <c r="I1722" t="s">
        <v>21</v>
      </c>
      <c r="J1722" t="s">
        <v>372</v>
      </c>
      <c r="K1722" t="s">
        <v>831</v>
      </c>
      <c r="L1722">
        <v>84382</v>
      </c>
      <c r="M1722" t="s">
        <v>835</v>
      </c>
      <c r="O1722" t="s">
        <v>11</v>
      </c>
      <c r="P1722">
        <v>5403</v>
      </c>
      <c r="Q1722">
        <v>1</v>
      </c>
      <c r="R1722">
        <v>159.9</v>
      </c>
      <c r="S1722">
        <v>159.9</v>
      </c>
      <c r="T1722">
        <v>137.61000000000001</v>
      </c>
      <c r="U1722">
        <v>13.94</v>
      </c>
      <c r="V1722" t="str">
        <f>VLOOKUP(L1722,'[2]tabela de preços'!$A:$D,4,0)</f>
        <v>BRASILUX</v>
      </c>
      <c r="W1722" t="str">
        <f>VLOOKUP(L1722,'[2]tabela de preços'!$A:$F,6,0)</f>
        <v>TINTA PARA PISO</v>
      </c>
      <c r="X1722" t="str">
        <f>VLOOKUP(L1722,'[2]tabela de preços'!$A:$G,7,0)</f>
        <v>IMOBILIÁRIO</v>
      </c>
    </row>
    <row r="1723" spans="1:24" x14ac:dyDescent="0.3">
      <c r="A1723" t="s">
        <v>828</v>
      </c>
      <c r="C1723" t="s">
        <v>833</v>
      </c>
      <c r="D1723" s="1">
        <v>46045</v>
      </c>
      <c r="E1723" t="s">
        <v>834</v>
      </c>
      <c r="F1723">
        <v>9</v>
      </c>
      <c r="G1723">
        <v>231</v>
      </c>
      <c r="H1723" t="str">
        <f>VLOOKUP(G1723,[1]OPERADORES!$A:$B,2,0)</f>
        <v>EDIJANE</v>
      </c>
      <c r="I1723" t="s">
        <v>21</v>
      </c>
      <c r="J1723" t="s">
        <v>372</v>
      </c>
      <c r="K1723" t="s">
        <v>831</v>
      </c>
      <c r="L1723">
        <v>84383</v>
      </c>
      <c r="M1723" t="s">
        <v>836</v>
      </c>
      <c r="O1723" t="s">
        <v>11</v>
      </c>
      <c r="P1723">
        <v>5403</v>
      </c>
      <c r="Q1723">
        <v>1</v>
      </c>
      <c r="R1723">
        <v>159.9</v>
      </c>
      <c r="S1723">
        <v>159.9</v>
      </c>
      <c r="T1723">
        <v>137.61000000000001</v>
      </c>
      <c r="U1723">
        <v>13.94</v>
      </c>
      <c r="V1723" t="str">
        <f>VLOOKUP(L1723,'[2]tabela de preços'!$A:$D,4,0)</f>
        <v>BRASILUX</v>
      </c>
      <c r="W1723" t="str">
        <f>VLOOKUP(L1723,'[2]tabela de preços'!$A:$F,6,0)</f>
        <v>TINTA PARA PISO</v>
      </c>
      <c r="X1723" t="str">
        <f>VLOOKUP(L1723,'[2]tabela de preços'!$A:$G,7,0)</f>
        <v>IMOBILIÁRIO</v>
      </c>
    </row>
    <row r="1724" spans="1:24" x14ac:dyDescent="0.3">
      <c r="A1724" t="s">
        <v>828</v>
      </c>
      <c r="C1724" t="s">
        <v>833</v>
      </c>
      <c r="D1724" s="1">
        <v>46045</v>
      </c>
      <c r="E1724" t="s">
        <v>834</v>
      </c>
      <c r="F1724">
        <v>9</v>
      </c>
      <c r="G1724">
        <v>231</v>
      </c>
      <c r="H1724" t="str">
        <f>VLOOKUP(G1724,[1]OPERADORES!$A:$B,2,0)</f>
        <v>EDIJANE</v>
      </c>
      <c r="I1724" t="s">
        <v>21</v>
      </c>
      <c r="J1724" t="s">
        <v>372</v>
      </c>
      <c r="K1724" t="s">
        <v>831</v>
      </c>
      <c r="L1724">
        <v>84389</v>
      </c>
      <c r="M1724" t="s">
        <v>832</v>
      </c>
      <c r="O1724" t="s">
        <v>11</v>
      </c>
      <c r="P1724">
        <v>5403</v>
      </c>
      <c r="Q1724">
        <v>5</v>
      </c>
      <c r="R1724">
        <v>159.9</v>
      </c>
      <c r="S1724">
        <v>799.5</v>
      </c>
      <c r="T1724">
        <v>688.05</v>
      </c>
      <c r="U1724">
        <v>13.94</v>
      </c>
      <c r="V1724" t="str">
        <f>VLOOKUP(L1724,'[2]tabela de preços'!$A:$D,4,0)</f>
        <v>BRASILUX</v>
      </c>
      <c r="W1724" t="str">
        <f>VLOOKUP(L1724,'[2]tabela de preços'!$A:$F,6,0)</f>
        <v>TINTA PARA PISO</v>
      </c>
      <c r="X1724" t="str">
        <f>VLOOKUP(L1724,'[2]tabela de preços'!$A:$G,7,0)</f>
        <v>IMOBILIÁRIO</v>
      </c>
    </row>
    <row r="1725" spans="1:24" x14ac:dyDescent="0.3">
      <c r="A1725" t="s">
        <v>846</v>
      </c>
      <c r="C1725" t="s">
        <v>856</v>
      </c>
      <c r="D1725" s="1">
        <v>46045</v>
      </c>
      <c r="F1725">
        <v>9</v>
      </c>
      <c r="G1725">
        <v>174</v>
      </c>
      <c r="H1725" t="str">
        <f>VLOOKUP(G1725,[1]OPERADORES!$A:$B,2,0)</f>
        <v>MIRIÃ LOBATO RODRIGUES</v>
      </c>
      <c r="I1725" t="s">
        <v>21</v>
      </c>
      <c r="J1725" t="s">
        <v>339</v>
      </c>
      <c r="K1725" t="s">
        <v>849</v>
      </c>
      <c r="L1725">
        <v>84898</v>
      </c>
      <c r="M1725" t="s">
        <v>853</v>
      </c>
      <c r="N1725" t="s">
        <v>857</v>
      </c>
      <c r="O1725" t="s">
        <v>11</v>
      </c>
      <c r="P1725">
        <v>1411</v>
      </c>
      <c r="Q1725">
        <v>-8</v>
      </c>
      <c r="R1725">
        <v>209.03</v>
      </c>
      <c r="S1725" s="2">
        <v>-1672.24</v>
      </c>
      <c r="T1725" s="2">
        <v>-1269.28</v>
      </c>
      <c r="U1725">
        <v>24.1</v>
      </c>
      <c r="V1725" t="str">
        <f>VLOOKUP(L1725,'[2]tabela de preços'!$A:$D,4,0)</f>
        <v>BRASILUX</v>
      </c>
      <c r="W1725" t="str">
        <f>VLOOKUP(L1725,'[2]tabela de preços'!$A:$F,6,0)</f>
        <v>EPOXI</v>
      </c>
      <c r="X1725" t="str">
        <f>VLOOKUP(L1725,'[2]tabela de preços'!$A:$G,7,0)</f>
        <v>INDUSTRIAL</v>
      </c>
    </row>
    <row r="1726" spans="1:24" x14ac:dyDescent="0.3">
      <c r="A1726" t="s">
        <v>846</v>
      </c>
      <c r="C1726" t="s">
        <v>858</v>
      </c>
      <c r="D1726" s="1">
        <v>46045</v>
      </c>
      <c r="E1726" t="s">
        <v>859</v>
      </c>
      <c r="F1726">
        <v>9</v>
      </c>
      <c r="G1726">
        <v>174</v>
      </c>
      <c r="H1726" t="str">
        <f>VLOOKUP(G1726,[1]OPERADORES!$A:$B,2,0)</f>
        <v>MIRIÃ LOBATO RODRIGUES</v>
      </c>
      <c r="I1726" t="s">
        <v>21</v>
      </c>
      <c r="J1726" t="s">
        <v>339</v>
      </c>
      <c r="K1726" t="s">
        <v>849</v>
      </c>
      <c r="L1726">
        <v>22954</v>
      </c>
      <c r="M1726" t="s">
        <v>860</v>
      </c>
      <c r="O1726" t="s">
        <v>11</v>
      </c>
      <c r="P1726">
        <v>5403</v>
      </c>
      <c r="Q1726">
        <v>3</v>
      </c>
      <c r="R1726">
        <v>32.51</v>
      </c>
      <c r="S1726">
        <v>97.53</v>
      </c>
      <c r="T1726">
        <v>74.040000000000006</v>
      </c>
      <c r="U1726">
        <v>24.08</v>
      </c>
      <c r="V1726" t="str">
        <f>VLOOKUP(L1726,'[2]tabela de preços'!$A:$D,4,0)</f>
        <v>WANDA</v>
      </c>
      <c r="W1726" t="str">
        <f>VLOOKUP(L1726,'[2]tabela de preços'!$A:$F,6,0)</f>
        <v>TINTAS POLIÉSTER</v>
      </c>
      <c r="X1726" t="str">
        <f>VLOOKUP(L1726,'[2]tabela de preços'!$A:$G,7,0)</f>
        <v>AUTOMOTIVO</v>
      </c>
    </row>
    <row r="1727" spans="1:24" x14ac:dyDescent="0.3">
      <c r="A1727" t="s">
        <v>846</v>
      </c>
      <c r="C1727" t="s">
        <v>858</v>
      </c>
      <c r="D1727" s="1">
        <v>46045</v>
      </c>
      <c r="E1727" t="s">
        <v>859</v>
      </c>
      <c r="F1727">
        <v>9</v>
      </c>
      <c r="G1727">
        <v>174</v>
      </c>
      <c r="H1727" t="str">
        <f>VLOOKUP(G1727,[1]OPERADORES!$A:$B,2,0)</f>
        <v>MIRIÃ LOBATO RODRIGUES</v>
      </c>
      <c r="I1727" t="s">
        <v>21</v>
      </c>
      <c r="J1727" t="s">
        <v>339</v>
      </c>
      <c r="K1727" t="s">
        <v>849</v>
      </c>
      <c r="L1727">
        <v>84329</v>
      </c>
      <c r="M1727" t="s">
        <v>285</v>
      </c>
      <c r="O1727" t="s">
        <v>11</v>
      </c>
      <c r="P1727">
        <v>5403</v>
      </c>
      <c r="Q1727">
        <v>7</v>
      </c>
      <c r="R1727">
        <v>59.98</v>
      </c>
      <c r="S1727">
        <v>419.86</v>
      </c>
      <c r="T1727">
        <v>337.89</v>
      </c>
      <c r="U1727">
        <v>19.52</v>
      </c>
      <c r="V1727" t="str">
        <f>VLOOKUP(L1727,'[2]tabela de preços'!$A:$D,4,0)</f>
        <v>BRASILUX</v>
      </c>
      <c r="W1727" t="str">
        <f>VLOOKUP(L1727,'[2]tabela de preços'!$A:$F,6,0)</f>
        <v>ESMALTES</v>
      </c>
      <c r="X1727" t="str">
        <f>VLOOKUP(L1727,'[2]tabela de preços'!$A:$G,7,0)</f>
        <v>INDUSTRIAL</v>
      </c>
    </row>
    <row r="1728" spans="1:24" x14ac:dyDescent="0.3">
      <c r="A1728" t="s">
        <v>846</v>
      </c>
      <c r="C1728" t="s">
        <v>858</v>
      </c>
      <c r="D1728" s="1">
        <v>46045</v>
      </c>
      <c r="E1728" t="s">
        <v>859</v>
      </c>
      <c r="F1728">
        <v>9</v>
      </c>
      <c r="G1728">
        <v>174</v>
      </c>
      <c r="H1728" t="str">
        <f>VLOOKUP(G1728,[1]OPERADORES!$A:$B,2,0)</f>
        <v>MIRIÃ LOBATO RODRIGUES</v>
      </c>
      <c r="I1728" t="s">
        <v>21</v>
      </c>
      <c r="J1728" t="s">
        <v>339</v>
      </c>
      <c r="K1728" t="s">
        <v>849</v>
      </c>
      <c r="L1728">
        <v>84331</v>
      </c>
      <c r="M1728" t="s">
        <v>497</v>
      </c>
      <c r="O1728" t="s">
        <v>11</v>
      </c>
      <c r="P1728">
        <v>5403</v>
      </c>
      <c r="Q1728">
        <v>4</v>
      </c>
      <c r="R1728">
        <v>59.98</v>
      </c>
      <c r="S1728">
        <v>239.92</v>
      </c>
      <c r="T1728">
        <v>208</v>
      </c>
      <c r="U1728">
        <v>13.3</v>
      </c>
      <c r="V1728" t="str">
        <f>VLOOKUP(L1728,'[2]tabela de preços'!$A:$D,4,0)</f>
        <v>BRASILUX</v>
      </c>
      <c r="W1728" t="str">
        <f>VLOOKUP(L1728,'[2]tabela de preços'!$A:$F,6,0)</f>
        <v>ESMALTES</v>
      </c>
      <c r="X1728" t="str">
        <f>VLOOKUP(L1728,'[2]tabela de preços'!$A:$G,7,0)</f>
        <v>INDUSTRIAL</v>
      </c>
    </row>
    <row r="1729" spans="1:24" x14ac:dyDescent="0.3">
      <c r="A1729" t="s">
        <v>846</v>
      </c>
      <c r="C1729" t="s">
        <v>858</v>
      </c>
      <c r="D1729" s="1">
        <v>46045</v>
      </c>
      <c r="E1729" t="s">
        <v>859</v>
      </c>
      <c r="F1729">
        <v>9</v>
      </c>
      <c r="G1729">
        <v>174</v>
      </c>
      <c r="H1729" t="str">
        <f>VLOOKUP(G1729,[1]OPERADORES!$A:$B,2,0)</f>
        <v>MIRIÃ LOBATO RODRIGUES</v>
      </c>
      <c r="I1729" t="s">
        <v>21</v>
      </c>
      <c r="J1729" t="s">
        <v>339</v>
      </c>
      <c r="K1729" t="s">
        <v>849</v>
      </c>
      <c r="L1729">
        <v>20433</v>
      </c>
      <c r="M1729" t="s">
        <v>460</v>
      </c>
      <c r="O1729" t="s">
        <v>11</v>
      </c>
      <c r="P1729">
        <v>5102</v>
      </c>
      <c r="Q1729">
        <v>3</v>
      </c>
      <c r="R1729">
        <v>32.19</v>
      </c>
      <c r="S1729">
        <v>96.57</v>
      </c>
      <c r="T1729">
        <v>73.290000000000006</v>
      </c>
      <c r="U1729">
        <v>24.11</v>
      </c>
      <c r="V1729" t="str">
        <f>VLOOKUP(L1729,'[2]tabela de preços'!$A:$D,4,0)</f>
        <v>SHERWIN WILLIAMS</v>
      </c>
      <c r="W1729" t="str">
        <f>VLOOKUP(L1729,'[2]tabela de preços'!$A:$F,6,0)</f>
        <v>VERNIZ AUTOMOTIVO</v>
      </c>
      <c r="X1729" t="str">
        <f>VLOOKUP(L1729,'[2]tabela de preços'!$A:$G,7,0)</f>
        <v>AUTOMOTIVO</v>
      </c>
    </row>
    <row r="1730" spans="1:24" x14ac:dyDescent="0.3">
      <c r="A1730" t="s">
        <v>846</v>
      </c>
      <c r="C1730" t="s">
        <v>858</v>
      </c>
      <c r="D1730" s="1">
        <v>46045</v>
      </c>
      <c r="E1730" t="s">
        <v>859</v>
      </c>
      <c r="F1730">
        <v>9</v>
      </c>
      <c r="G1730">
        <v>174</v>
      </c>
      <c r="H1730" t="str">
        <f>VLOOKUP(G1730,[1]OPERADORES!$A:$B,2,0)</f>
        <v>MIRIÃ LOBATO RODRIGUES</v>
      </c>
      <c r="I1730" t="s">
        <v>21</v>
      </c>
      <c r="J1730" t="s">
        <v>339</v>
      </c>
      <c r="K1730" t="s">
        <v>849</v>
      </c>
      <c r="L1730">
        <v>24248</v>
      </c>
      <c r="M1730" t="s">
        <v>107</v>
      </c>
      <c r="O1730" t="s">
        <v>11</v>
      </c>
      <c r="P1730">
        <v>5102</v>
      </c>
      <c r="Q1730">
        <v>2</v>
      </c>
      <c r="R1730">
        <v>8</v>
      </c>
      <c r="S1730">
        <v>16</v>
      </c>
      <c r="T1730">
        <v>13</v>
      </c>
      <c r="U1730">
        <v>18.75</v>
      </c>
      <c r="V1730" t="str">
        <f>VLOOKUP(L1730,'[2]tabela de preços'!$A:$D,4,0)</f>
        <v>SHERWIN WILLIAMS</v>
      </c>
      <c r="W1730" t="str">
        <f>VLOOKUP(L1730,'[2]tabela de preços'!$A:$F,6,0)</f>
        <v>PRIMER AUTOMOTIVO</v>
      </c>
      <c r="X1730" t="str">
        <f>VLOOKUP(L1730,'[2]tabela de preços'!$A:$G,7,0)</f>
        <v>AUTOMOTIVO</v>
      </c>
    </row>
    <row r="1731" spans="1:24" x14ac:dyDescent="0.3">
      <c r="A1731" t="s">
        <v>846</v>
      </c>
      <c r="C1731" t="s">
        <v>858</v>
      </c>
      <c r="D1731" s="1">
        <v>46045</v>
      </c>
      <c r="E1731" t="s">
        <v>859</v>
      </c>
      <c r="F1731">
        <v>9</v>
      </c>
      <c r="G1731">
        <v>174</v>
      </c>
      <c r="H1731" t="str">
        <f>VLOOKUP(G1731,[1]OPERADORES!$A:$B,2,0)</f>
        <v>MIRIÃ LOBATO RODRIGUES</v>
      </c>
      <c r="I1731" t="s">
        <v>21</v>
      </c>
      <c r="J1731" t="s">
        <v>339</v>
      </c>
      <c r="K1731" t="s">
        <v>849</v>
      </c>
      <c r="L1731">
        <v>84756</v>
      </c>
      <c r="M1731" t="s">
        <v>861</v>
      </c>
      <c r="O1731" t="s">
        <v>11</v>
      </c>
      <c r="P1731">
        <v>5403</v>
      </c>
      <c r="Q1731">
        <v>1</v>
      </c>
      <c r="R1731">
        <v>81.44</v>
      </c>
      <c r="S1731">
        <v>81.44</v>
      </c>
      <c r="T1731">
        <v>60.39</v>
      </c>
      <c r="U1731">
        <v>25.85</v>
      </c>
      <c r="V1731" t="str">
        <f>VLOOKUP(L1731,'[2]tabela de preços'!$A:$D,4,0)</f>
        <v>BRASILUX</v>
      </c>
      <c r="W1731" t="str">
        <f>VLOOKUP(L1731,'[2]tabela de preços'!$A:$F,6,0)</f>
        <v>ESMALTES</v>
      </c>
      <c r="X1731" t="str">
        <f>VLOOKUP(L1731,'[2]tabela de preços'!$A:$G,7,0)</f>
        <v>INDUSTRIAL</v>
      </c>
    </row>
    <row r="1732" spans="1:24" x14ac:dyDescent="0.3">
      <c r="A1732" t="s">
        <v>846</v>
      </c>
      <c r="C1732" t="s">
        <v>858</v>
      </c>
      <c r="D1732" s="1">
        <v>46045</v>
      </c>
      <c r="E1732" t="s">
        <v>859</v>
      </c>
      <c r="F1732">
        <v>9</v>
      </c>
      <c r="G1732">
        <v>174</v>
      </c>
      <c r="H1732" t="str">
        <f>VLOOKUP(G1732,[1]OPERADORES!$A:$B,2,0)</f>
        <v>MIRIÃ LOBATO RODRIGUES</v>
      </c>
      <c r="I1732" t="s">
        <v>21</v>
      </c>
      <c r="J1732" t="s">
        <v>339</v>
      </c>
      <c r="K1732" t="s">
        <v>849</v>
      </c>
      <c r="L1732">
        <v>13</v>
      </c>
      <c r="M1732" t="s">
        <v>152</v>
      </c>
      <c r="O1732" t="s">
        <v>11</v>
      </c>
      <c r="P1732">
        <v>5102</v>
      </c>
      <c r="Q1732">
        <v>7</v>
      </c>
      <c r="R1732">
        <v>5.79</v>
      </c>
      <c r="S1732">
        <v>40.53</v>
      </c>
      <c r="T1732">
        <v>29.12</v>
      </c>
      <c r="U1732">
        <v>28.15</v>
      </c>
      <c r="V1732" t="str">
        <f>VLOOKUP(L1732,'[2]tabela de preços'!$A:$D,4,0)</f>
        <v>3M</v>
      </c>
      <c r="W1732" t="str">
        <f>VLOOKUP(L1732,'[2]tabela de preços'!$A:$F,6,0)</f>
        <v>LIXA DÁGUA</v>
      </c>
      <c r="X1732" t="str">
        <f>VLOOKUP(L1732,'[2]tabela de preços'!$A:$G,7,0)</f>
        <v>AUTOMOTIVO</v>
      </c>
    </row>
    <row r="1733" spans="1:24" x14ac:dyDescent="0.3">
      <c r="A1733" t="s">
        <v>846</v>
      </c>
      <c r="C1733" t="s">
        <v>858</v>
      </c>
      <c r="D1733" s="1">
        <v>46045</v>
      </c>
      <c r="E1733" t="s">
        <v>859</v>
      </c>
      <c r="F1733">
        <v>9</v>
      </c>
      <c r="G1733">
        <v>174</v>
      </c>
      <c r="H1733" t="str">
        <f>VLOOKUP(G1733,[1]OPERADORES!$A:$B,2,0)</f>
        <v>MIRIÃ LOBATO RODRIGUES</v>
      </c>
      <c r="I1733" t="s">
        <v>21</v>
      </c>
      <c r="J1733" t="s">
        <v>339</v>
      </c>
      <c r="K1733" t="s">
        <v>849</v>
      </c>
      <c r="L1733">
        <v>84016</v>
      </c>
      <c r="M1733" t="s">
        <v>862</v>
      </c>
      <c r="O1733" t="s">
        <v>11</v>
      </c>
      <c r="P1733">
        <v>5102</v>
      </c>
      <c r="Q1733">
        <v>50</v>
      </c>
      <c r="R1733">
        <v>0.71</v>
      </c>
      <c r="S1733">
        <v>35.5</v>
      </c>
      <c r="T1733">
        <v>23</v>
      </c>
      <c r="U1733">
        <v>35.21</v>
      </c>
      <c r="V1733" t="str">
        <f>VLOOKUP(L1733,'[2]tabela de preços'!$A:$D,4,0)</f>
        <v>3M</v>
      </c>
      <c r="W1733" t="str">
        <f>VLOOKUP(L1733,'[2]tabela de preços'!$A:$F,6,0)</f>
        <v>LIXA MASSA  /MADEIRA / PAREDE</v>
      </c>
      <c r="X1733" t="str">
        <f>VLOOKUP(L1733,'[2]tabela de preços'!$A:$G,7,0)</f>
        <v>IMOBILIÁRIO</v>
      </c>
    </row>
    <row r="1734" spans="1:24" x14ac:dyDescent="0.3">
      <c r="A1734" t="s">
        <v>846</v>
      </c>
      <c r="C1734" t="s">
        <v>858</v>
      </c>
      <c r="D1734" s="1">
        <v>46045</v>
      </c>
      <c r="E1734" t="s">
        <v>859</v>
      </c>
      <c r="F1734">
        <v>9</v>
      </c>
      <c r="G1734">
        <v>174</v>
      </c>
      <c r="H1734" t="str">
        <f>VLOOKUP(G1734,[1]OPERADORES!$A:$B,2,0)</f>
        <v>MIRIÃ LOBATO RODRIGUES</v>
      </c>
      <c r="I1734" t="s">
        <v>21</v>
      </c>
      <c r="J1734" t="s">
        <v>339</v>
      </c>
      <c r="K1734" t="s">
        <v>849</v>
      </c>
      <c r="L1734">
        <v>10243</v>
      </c>
      <c r="M1734" t="s">
        <v>83</v>
      </c>
      <c r="O1734" t="s">
        <v>11</v>
      </c>
      <c r="P1734">
        <v>5102</v>
      </c>
      <c r="Q1734">
        <v>10</v>
      </c>
      <c r="R1734">
        <v>2.79</v>
      </c>
      <c r="S1734">
        <v>27.9</v>
      </c>
      <c r="T1734">
        <v>19.3</v>
      </c>
      <c r="U1734">
        <v>30.82</v>
      </c>
      <c r="V1734" t="str">
        <f>VLOOKUP(L1734,'[2]tabela de preços'!$A:$D,4,0)</f>
        <v>NORTON</v>
      </c>
      <c r="W1734" t="str">
        <f>VLOOKUP(L1734,'[2]tabela de preços'!$A:$F,6,0)</f>
        <v xml:space="preserve">DISCOS / LIXAS / ABRASIVOS </v>
      </c>
      <c r="X1734" t="str">
        <f>VLOOKUP(L1734,'[2]tabela de preços'!$A:$G,7,0)</f>
        <v>AUTOMOTIVO</v>
      </c>
    </row>
    <row r="1735" spans="1:24" x14ac:dyDescent="0.3">
      <c r="A1735" t="s">
        <v>846</v>
      </c>
      <c r="C1735" t="s">
        <v>858</v>
      </c>
      <c r="D1735" s="1">
        <v>46045</v>
      </c>
      <c r="E1735" t="s">
        <v>859</v>
      </c>
      <c r="F1735">
        <v>9</v>
      </c>
      <c r="G1735">
        <v>174</v>
      </c>
      <c r="H1735" t="str">
        <f>VLOOKUP(G1735,[1]OPERADORES!$A:$B,2,0)</f>
        <v>MIRIÃ LOBATO RODRIGUES</v>
      </c>
      <c r="I1735" t="s">
        <v>21</v>
      </c>
      <c r="J1735" t="s">
        <v>339</v>
      </c>
      <c r="K1735" t="s">
        <v>849</v>
      </c>
      <c r="L1735">
        <v>10244</v>
      </c>
      <c r="M1735" t="s">
        <v>84</v>
      </c>
      <c r="O1735" t="s">
        <v>11</v>
      </c>
      <c r="P1735">
        <v>5102</v>
      </c>
      <c r="Q1735">
        <v>10</v>
      </c>
      <c r="R1735">
        <v>2.79</v>
      </c>
      <c r="S1735">
        <v>27.9</v>
      </c>
      <c r="T1735">
        <v>19.3</v>
      </c>
      <c r="U1735">
        <v>30.82</v>
      </c>
      <c r="V1735" t="str">
        <f>VLOOKUP(L1735,'[2]tabela de preços'!$A:$D,4,0)</f>
        <v>NORTON</v>
      </c>
      <c r="W1735" t="str">
        <f>VLOOKUP(L1735,'[2]tabela de preços'!$A:$F,6,0)</f>
        <v xml:space="preserve">DISCOS / LIXAS / ABRASIVOS </v>
      </c>
      <c r="X1735" t="str">
        <f>VLOOKUP(L1735,'[2]tabela de preços'!$A:$G,7,0)</f>
        <v>AUTOMOTIVO</v>
      </c>
    </row>
    <row r="1736" spans="1:24" x14ac:dyDescent="0.3">
      <c r="A1736" t="s">
        <v>846</v>
      </c>
      <c r="C1736" t="s">
        <v>858</v>
      </c>
      <c r="D1736" s="1">
        <v>46045</v>
      </c>
      <c r="E1736" t="s">
        <v>859</v>
      </c>
      <c r="F1736">
        <v>9</v>
      </c>
      <c r="G1736">
        <v>174</v>
      </c>
      <c r="H1736" t="str">
        <f>VLOOKUP(G1736,[1]OPERADORES!$A:$B,2,0)</f>
        <v>MIRIÃ LOBATO RODRIGUES</v>
      </c>
      <c r="I1736" t="s">
        <v>21</v>
      </c>
      <c r="J1736" t="s">
        <v>339</v>
      </c>
      <c r="K1736" t="s">
        <v>849</v>
      </c>
      <c r="L1736">
        <v>10245</v>
      </c>
      <c r="M1736" t="s">
        <v>195</v>
      </c>
      <c r="O1736" t="s">
        <v>11</v>
      </c>
      <c r="P1736">
        <v>5102</v>
      </c>
      <c r="Q1736">
        <v>10</v>
      </c>
      <c r="R1736">
        <v>2.79</v>
      </c>
      <c r="S1736">
        <v>27.9</v>
      </c>
      <c r="T1736">
        <v>19.3</v>
      </c>
      <c r="U1736">
        <v>30.82</v>
      </c>
      <c r="V1736" t="str">
        <f>VLOOKUP(L1736,'[2]tabela de preços'!$A:$D,4,0)</f>
        <v>NORTON</v>
      </c>
      <c r="W1736" t="str">
        <f>VLOOKUP(L1736,'[2]tabela de preços'!$A:$F,6,0)</f>
        <v xml:space="preserve">DISCOS / LIXAS / ABRASIVOS </v>
      </c>
      <c r="X1736" t="str">
        <f>VLOOKUP(L1736,'[2]tabela de preços'!$A:$G,7,0)</f>
        <v>AUTOMOTIVO</v>
      </c>
    </row>
    <row r="1737" spans="1:24" x14ac:dyDescent="0.3">
      <c r="A1737" t="s">
        <v>846</v>
      </c>
      <c r="C1737" t="s">
        <v>858</v>
      </c>
      <c r="D1737" s="1">
        <v>46045</v>
      </c>
      <c r="E1737" t="s">
        <v>859</v>
      </c>
      <c r="F1737">
        <v>9</v>
      </c>
      <c r="G1737">
        <v>174</v>
      </c>
      <c r="H1737" t="str">
        <f>VLOOKUP(G1737,[1]OPERADORES!$A:$B,2,0)</f>
        <v>MIRIÃ LOBATO RODRIGUES</v>
      </c>
      <c r="I1737" t="s">
        <v>21</v>
      </c>
      <c r="J1737" t="s">
        <v>339</v>
      </c>
      <c r="K1737" t="s">
        <v>849</v>
      </c>
      <c r="L1737">
        <v>10246</v>
      </c>
      <c r="M1737" t="s">
        <v>206</v>
      </c>
      <c r="O1737" t="s">
        <v>11</v>
      </c>
      <c r="P1737">
        <v>5102</v>
      </c>
      <c r="Q1737">
        <v>10</v>
      </c>
      <c r="R1737">
        <v>2.79</v>
      </c>
      <c r="S1737">
        <v>27.9</v>
      </c>
      <c r="T1737">
        <v>19.3</v>
      </c>
      <c r="U1737">
        <v>30.82</v>
      </c>
      <c r="V1737" t="str">
        <f>VLOOKUP(L1737,'[2]tabela de preços'!$A:$D,4,0)</f>
        <v>NORTON</v>
      </c>
      <c r="W1737" t="str">
        <f>VLOOKUP(L1737,'[2]tabela de preços'!$A:$F,6,0)</f>
        <v xml:space="preserve">DISCOS / LIXAS / ABRASIVOS </v>
      </c>
      <c r="X1737" t="str">
        <f>VLOOKUP(L1737,'[2]tabela de preços'!$A:$G,7,0)</f>
        <v>AUTOMOTIVO</v>
      </c>
    </row>
    <row r="1738" spans="1:24" x14ac:dyDescent="0.3">
      <c r="A1738" t="s">
        <v>846</v>
      </c>
      <c r="C1738" t="s">
        <v>858</v>
      </c>
      <c r="D1738" s="1">
        <v>46045</v>
      </c>
      <c r="E1738" t="s">
        <v>859</v>
      </c>
      <c r="F1738">
        <v>9</v>
      </c>
      <c r="G1738">
        <v>174</v>
      </c>
      <c r="H1738" t="str">
        <f>VLOOKUP(G1738,[1]OPERADORES!$A:$B,2,0)</f>
        <v>MIRIÃ LOBATO RODRIGUES</v>
      </c>
      <c r="I1738" t="s">
        <v>21</v>
      </c>
      <c r="J1738" t="s">
        <v>339</v>
      </c>
      <c r="K1738" t="s">
        <v>849</v>
      </c>
      <c r="L1738">
        <v>24247</v>
      </c>
      <c r="M1738" t="s">
        <v>160</v>
      </c>
      <c r="O1738" t="s">
        <v>11</v>
      </c>
      <c r="P1738">
        <v>5403</v>
      </c>
      <c r="Q1738">
        <v>2</v>
      </c>
      <c r="R1738">
        <v>21</v>
      </c>
      <c r="S1738">
        <v>42</v>
      </c>
      <c r="T1738">
        <v>33.74</v>
      </c>
      <c r="U1738">
        <v>19.670000000000002</v>
      </c>
      <c r="V1738" t="str">
        <f>VLOOKUP(L1738,'[2]tabela de preços'!$A:$D,4,0)</f>
        <v>SHERWIN WILLIAMS</v>
      </c>
      <c r="W1738" t="str">
        <f>VLOOKUP(L1738,'[2]tabela de preços'!$A:$F,6,0)</f>
        <v>PRIMER AUTOMOTIVO</v>
      </c>
      <c r="X1738" t="str">
        <f>VLOOKUP(L1738,'[2]tabela de preços'!$A:$G,7,0)</f>
        <v>AUTOMOTIVO</v>
      </c>
    </row>
    <row r="1739" spans="1:24" x14ac:dyDescent="0.3">
      <c r="A1739" t="s">
        <v>846</v>
      </c>
      <c r="C1739" t="s">
        <v>858</v>
      </c>
      <c r="D1739" s="1">
        <v>46045</v>
      </c>
      <c r="E1739" t="s">
        <v>859</v>
      </c>
      <c r="F1739">
        <v>9</v>
      </c>
      <c r="G1739">
        <v>174</v>
      </c>
      <c r="H1739" t="str">
        <f>VLOOKUP(G1739,[1]OPERADORES!$A:$B,2,0)</f>
        <v>MIRIÃ LOBATO RODRIGUES</v>
      </c>
      <c r="I1739" t="s">
        <v>21</v>
      </c>
      <c r="J1739" t="s">
        <v>339</v>
      </c>
      <c r="K1739" t="s">
        <v>849</v>
      </c>
      <c r="L1739">
        <v>84499</v>
      </c>
      <c r="M1739" t="s">
        <v>534</v>
      </c>
      <c r="O1739" t="s">
        <v>11</v>
      </c>
      <c r="P1739">
        <v>5102</v>
      </c>
      <c r="Q1739">
        <v>1</v>
      </c>
      <c r="R1739">
        <v>175.57</v>
      </c>
      <c r="S1739">
        <v>175.57</v>
      </c>
      <c r="T1739">
        <v>134.05000000000001</v>
      </c>
      <c r="U1739">
        <v>23.65</v>
      </c>
      <c r="V1739" t="str">
        <f>VLOOKUP(L1739,'[2]tabela de preços'!$A:$D,4,0)</f>
        <v>BRASILUX</v>
      </c>
      <c r="W1739" t="str">
        <f>VLOOKUP(L1739,'[2]tabela de preços'!$A:$F,6,0)</f>
        <v>THINNER DE LIMPEZA</v>
      </c>
      <c r="X1739" t="str">
        <f>VLOOKUP(L1739,'[2]tabela de preços'!$A:$G,7,0)</f>
        <v>THINNER</v>
      </c>
    </row>
    <row r="1740" spans="1:24" x14ac:dyDescent="0.3">
      <c r="A1740" t="s">
        <v>846</v>
      </c>
      <c r="C1740" t="s">
        <v>858</v>
      </c>
      <c r="D1740" s="1">
        <v>46045</v>
      </c>
      <c r="E1740" t="s">
        <v>859</v>
      </c>
      <c r="F1740">
        <v>9</v>
      </c>
      <c r="G1740">
        <v>174</v>
      </c>
      <c r="H1740" t="str">
        <f>VLOOKUP(G1740,[1]OPERADORES!$A:$B,2,0)</f>
        <v>MIRIÃ LOBATO RODRIGUES</v>
      </c>
      <c r="I1740" t="s">
        <v>21</v>
      </c>
      <c r="J1740" t="s">
        <v>339</v>
      </c>
      <c r="K1740" t="s">
        <v>849</v>
      </c>
      <c r="L1740">
        <v>20399</v>
      </c>
      <c r="M1740" t="s">
        <v>465</v>
      </c>
      <c r="O1740" t="s">
        <v>11</v>
      </c>
      <c r="P1740">
        <v>5403</v>
      </c>
      <c r="Q1740">
        <v>3</v>
      </c>
      <c r="R1740">
        <v>35.26</v>
      </c>
      <c r="S1740">
        <v>105.78</v>
      </c>
      <c r="T1740">
        <v>80.34</v>
      </c>
      <c r="U1740">
        <v>24.05</v>
      </c>
      <c r="V1740" t="str">
        <f>VLOOKUP(L1740,'[2]tabela de preços'!$A:$D,4,0)</f>
        <v>SHERWIN WILLIAMS</v>
      </c>
      <c r="W1740" t="str">
        <f>VLOOKUP(L1740,'[2]tabela de preços'!$A:$F,6,0)</f>
        <v>VERNIZ AUTOMOTIVO</v>
      </c>
      <c r="X1740" t="str">
        <f>VLOOKUP(L1740,'[2]tabela de preços'!$A:$G,7,0)</f>
        <v>AUTOMOTIVO</v>
      </c>
    </row>
    <row r="1741" spans="1:24" x14ac:dyDescent="0.3">
      <c r="A1741" t="s">
        <v>846</v>
      </c>
      <c r="C1741" t="s">
        <v>863</v>
      </c>
      <c r="D1741" s="1">
        <v>46045</v>
      </c>
      <c r="E1741" t="s">
        <v>864</v>
      </c>
      <c r="F1741">
        <v>9</v>
      </c>
      <c r="G1741">
        <v>174</v>
      </c>
      <c r="H1741" t="str">
        <f>VLOOKUP(G1741,[1]OPERADORES!$A:$B,2,0)</f>
        <v>MIRIÃ LOBATO RODRIGUES</v>
      </c>
      <c r="I1741" t="s">
        <v>21</v>
      </c>
      <c r="J1741" t="s">
        <v>339</v>
      </c>
      <c r="K1741" t="s">
        <v>849</v>
      </c>
      <c r="L1741">
        <v>21577</v>
      </c>
      <c r="M1741" t="s">
        <v>865</v>
      </c>
      <c r="O1741" t="s">
        <v>11</v>
      </c>
      <c r="P1741">
        <v>5102</v>
      </c>
      <c r="Q1741">
        <v>1</v>
      </c>
      <c r="R1741">
        <v>574.65</v>
      </c>
      <c r="S1741">
        <v>574.65</v>
      </c>
      <c r="T1741">
        <v>436.17</v>
      </c>
      <c r="U1741">
        <v>24.1</v>
      </c>
      <c r="V1741" t="str">
        <f>VLOOKUP(L1741,'[2]tabela de preços'!$A:$D,4,0)</f>
        <v>DEWALT</v>
      </c>
      <c r="W1741" t="str">
        <f>VLOOKUP(L1741,'[2]tabela de preços'!$A:$F,6,0)</f>
        <v>OUTRAS FERRAMENTAS / EQUIPAMENTOS</v>
      </c>
      <c r="X1741" t="str">
        <f>VLOOKUP(L1741,'[2]tabela de preços'!$A:$G,7,0)</f>
        <v>AUTOMOTIVO</v>
      </c>
    </row>
    <row r="1742" spans="1:24" x14ac:dyDescent="0.3">
      <c r="A1742" t="s">
        <v>974</v>
      </c>
      <c r="C1742" t="s">
        <v>1006</v>
      </c>
      <c r="D1742" s="1">
        <v>46045</v>
      </c>
      <c r="E1742" t="s">
        <v>1007</v>
      </c>
      <c r="F1742">
        <v>9</v>
      </c>
      <c r="G1742">
        <v>197</v>
      </c>
      <c r="H1742" t="str">
        <f>VLOOKUP(G1742,[1]OPERADORES!$A:$B,2,0)</f>
        <v xml:space="preserve">POLIANA LORRANE DE AMORIM </v>
      </c>
      <c r="I1742" t="s">
        <v>21</v>
      </c>
      <c r="J1742" t="s">
        <v>397</v>
      </c>
      <c r="K1742" t="s">
        <v>977</v>
      </c>
      <c r="L1742">
        <v>84960</v>
      </c>
      <c r="M1742" t="s">
        <v>1004</v>
      </c>
      <c r="O1742" t="s">
        <v>11</v>
      </c>
      <c r="P1742">
        <v>5403</v>
      </c>
      <c r="Q1742">
        <v>2</v>
      </c>
      <c r="R1742">
        <v>78.31</v>
      </c>
      <c r="S1742">
        <v>156.62</v>
      </c>
      <c r="T1742">
        <v>118.88</v>
      </c>
      <c r="U1742">
        <v>24.1</v>
      </c>
      <c r="V1742" t="str">
        <f>VLOOKUP(L1742,'[2]tabela de preços'!$A:$D,4,0)</f>
        <v>BRASILUX</v>
      </c>
      <c r="W1742" t="str">
        <f>VLOOKUP(L1742,'[2]tabela de preços'!$A:$F,6,0)</f>
        <v>IMPERMEABILIZANTES</v>
      </c>
      <c r="X1742" t="str">
        <f>VLOOKUP(L1742,'[2]tabela de preços'!$A:$G,7,0)</f>
        <v>IMOBILIÁRIO</v>
      </c>
    </row>
    <row r="1743" spans="1:24" x14ac:dyDescent="0.3">
      <c r="A1743" t="s">
        <v>974</v>
      </c>
      <c r="C1743" t="s">
        <v>1006</v>
      </c>
      <c r="D1743" s="1">
        <v>46045</v>
      </c>
      <c r="E1743" t="s">
        <v>1007</v>
      </c>
      <c r="F1743">
        <v>9</v>
      </c>
      <c r="G1743">
        <v>197</v>
      </c>
      <c r="H1743" t="str">
        <f>VLOOKUP(G1743,[1]OPERADORES!$A:$B,2,0)</f>
        <v xml:space="preserve">POLIANA LORRANE DE AMORIM </v>
      </c>
      <c r="I1743" t="s">
        <v>21</v>
      </c>
      <c r="J1743" t="s">
        <v>397</v>
      </c>
      <c r="K1743" t="s">
        <v>977</v>
      </c>
      <c r="L1743">
        <v>22180</v>
      </c>
      <c r="M1743" t="s">
        <v>404</v>
      </c>
      <c r="O1743" t="s">
        <v>11</v>
      </c>
      <c r="P1743">
        <v>5102</v>
      </c>
      <c r="Q1743">
        <v>10</v>
      </c>
      <c r="R1743">
        <v>19.97</v>
      </c>
      <c r="S1743">
        <v>199.7</v>
      </c>
      <c r="T1743">
        <v>146.4</v>
      </c>
      <c r="U1743">
        <v>26.69</v>
      </c>
      <c r="V1743" t="str">
        <f>VLOOKUP(L1743,'[2]tabela de preços'!$A:$D,4,0)</f>
        <v>MADRUGA</v>
      </c>
      <c r="W1743" t="str">
        <f>VLOOKUP(L1743,'[2]tabela de preços'!$A:$F,6,0)</f>
        <v>PAPEL DE MASCARAMENTO</v>
      </c>
      <c r="X1743" t="str">
        <f>VLOOKUP(L1743,'[2]tabela de preços'!$A:$G,7,0)</f>
        <v>AUTOMOTIVO</v>
      </c>
    </row>
    <row r="1744" spans="1:24" x14ac:dyDescent="0.3">
      <c r="A1744" t="s">
        <v>974</v>
      </c>
      <c r="C1744" t="s">
        <v>1006</v>
      </c>
      <c r="D1744" s="1">
        <v>46045</v>
      </c>
      <c r="E1744" t="s">
        <v>1007</v>
      </c>
      <c r="F1744">
        <v>9</v>
      </c>
      <c r="G1744">
        <v>197</v>
      </c>
      <c r="H1744" t="str">
        <f>VLOOKUP(G1744,[1]OPERADORES!$A:$B,2,0)</f>
        <v xml:space="preserve">POLIANA LORRANE DE AMORIM </v>
      </c>
      <c r="I1744" t="s">
        <v>21</v>
      </c>
      <c r="J1744" t="s">
        <v>397</v>
      </c>
      <c r="K1744" t="s">
        <v>977</v>
      </c>
      <c r="L1744">
        <v>85683</v>
      </c>
      <c r="M1744" t="s">
        <v>521</v>
      </c>
      <c r="O1744" t="s">
        <v>11</v>
      </c>
      <c r="P1744">
        <v>5102</v>
      </c>
      <c r="Q1744">
        <v>12</v>
      </c>
      <c r="R1744">
        <v>8.2899999999999991</v>
      </c>
      <c r="S1744">
        <v>99.48</v>
      </c>
      <c r="T1744">
        <v>74.040000000000006</v>
      </c>
      <c r="U1744">
        <v>25.57</v>
      </c>
      <c r="V1744" t="str">
        <f>VLOOKUP(L1744,'[2]tabela de preços'!$A:$D,4,0)</f>
        <v>UNIPEGA</v>
      </c>
      <c r="W1744" t="str">
        <f>VLOOKUP(L1744,'[2]tabela de preços'!$A:$F,6,0)</f>
        <v>SILICONE</v>
      </c>
      <c r="X1744" t="str">
        <f>VLOOKUP(L1744,'[2]tabela de preços'!$A:$G,7,0)</f>
        <v>IMOBILIÁRIO</v>
      </c>
    </row>
    <row r="1745" spans="1:24" x14ac:dyDescent="0.3">
      <c r="A1745" t="s">
        <v>1199</v>
      </c>
      <c r="C1745" t="s">
        <v>1217</v>
      </c>
      <c r="D1745" s="1">
        <v>46045</v>
      </c>
      <c r="E1745" t="s">
        <v>1218</v>
      </c>
      <c r="F1745">
        <v>9</v>
      </c>
      <c r="G1745">
        <v>174</v>
      </c>
      <c r="H1745" t="str">
        <f>VLOOKUP(G1745,[1]OPERADORES!$A:$B,2,0)</f>
        <v>MIRIÃ LOBATO RODRIGUES</v>
      </c>
      <c r="I1745" t="s">
        <v>21</v>
      </c>
      <c r="J1745" t="s">
        <v>1128</v>
      </c>
      <c r="K1745" t="s">
        <v>1202</v>
      </c>
      <c r="L1745">
        <v>84195</v>
      </c>
      <c r="M1745" t="s">
        <v>1208</v>
      </c>
      <c r="O1745" t="s">
        <v>11</v>
      </c>
      <c r="P1745">
        <v>5403</v>
      </c>
      <c r="Q1745">
        <v>2</v>
      </c>
      <c r="R1745">
        <v>90.79</v>
      </c>
      <c r="S1745">
        <v>181.58</v>
      </c>
      <c r="T1745">
        <v>137.82</v>
      </c>
      <c r="U1745">
        <v>24.1</v>
      </c>
      <c r="V1745" t="str">
        <f>VLOOKUP(L1745,'[2]tabela de preços'!$A:$D,4,0)</f>
        <v>BRASILUX</v>
      </c>
      <c r="W1745" t="str">
        <f>VLOOKUP(L1745,'[2]tabela de preços'!$A:$F,6,0)</f>
        <v>ESMALTES</v>
      </c>
      <c r="X1745" t="str">
        <f>VLOOKUP(L1745,'[2]tabela de preços'!$A:$G,7,0)</f>
        <v>INDUSTRIAL</v>
      </c>
    </row>
    <row r="1746" spans="1:24" x14ac:dyDescent="0.3">
      <c r="A1746" t="s">
        <v>1199</v>
      </c>
      <c r="C1746" t="s">
        <v>1219</v>
      </c>
      <c r="D1746" s="1">
        <v>46045</v>
      </c>
      <c r="E1746" t="s">
        <v>1220</v>
      </c>
      <c r="F1746">
        <v>9</v>
      </c>
      <c r="G1746">
        <v>174</v>
      </c>
      <c r="H1746" t="str">
        <f>VLOOKUP(G1746,[1]OPERADORES!$A:$B,2,0)</f>
        <v>MIRIÃ LOBATO RODRIGUES</v>
      </c>
      <c r="I1746" t="s">
        <v>21</v>
      </c>
      <c r="J1746" t="s">
        <v>1128</v>
      </c>
      <c r="K1746" t="s">
        <v>1202</v>
      </c>
      <c r="L1746">
        <v>10298</v>
      </c>
      <c r="M1746" t="s">
        <v>85</v>
      </c>
      <c r="O1746" t="s">
        <v>11</v>
      </c>
      <c r="P1746">
        <v>5102</v>
      </c>
      <c r="Q1746">
        <v>8</v>
      </c>
      <c r="R1746">
        <v>56.89</v>
      </c>
      <c r="S1746">
        <v>455.12</v>
      </c>
      <c r="T1746">
        <v>379.04</v>
      </c>
      <c r="U1746">
        <v>16.72</v>
      </c>
      <c r="V1746" t="str">
        <f>VLOOKUP(L1746,'[2]tabela de preços'!$A:$D,4,0)</f>
        <v>ANJO</v>
      </c>
      <c r="W1746" t="str">
        <f>VLOOKUP(L1746,'[2]tabela de preços'!$A:$F,6,0)</f>
        <v>THINNER DE LIMPEZA</v>
      </c>
      <c r="X1746" t="str">
        <f>VLOOKUP(L1746,'[2]tabela de preços'!$A:$G,7,0)</f>
        <v>THINNER</v>
      </c>
    </row>
    <row r="1747" spans="1:24" x14ac:dyDescent="0.3">
      <c r="A1747" t="s">
        <v>1199</v>
      </c>
      <c r="C1747" t="s">
        <v>1219</v>
      </c>
      <c r="D1747" s="1">
        <v>46045</v>
      </c>
      <c r="E1747" t="s">
        <v>1221</v>
      </c>
      <c r="F1747">
        <v>9</v>
      </c>
      <c r="G1747">
        <v>174</v>
      </c>
      <c r="H1747" t="str">
        <f>VLOOKUP(G1747,[1]OPERADORES!$A:$B,2,0)</f>
        <v>MIRIÃ LOBATO RODRIGUES</v>
      </c>
      <c r="I1747" t="s">
        <v>21</v>
      </c>
      <c r="J1747" t="s">
        <v>1128</v>
      </c>
      <c r="K1747" t="s">
        <v>1202</v>
      </c>
      <c r="L1747">
        <v>10297</v>
      </c>
      <c r="M1747" t="s">
        <v>41</v>
      </c>
      <c r="O1747" t="s">
        <v>11</v>
      </c>
      <c r="P1747">
        <v>5102</v>
      </c>
      <c r="Q1747">
        <v>24</v>
      </c>
      <c r="R1747">
        <v>10.89</v>
      </c>
      <c r="S1747">
        <v>261.36</v>
      </c>
      <c r="T1747">
        <v>220.08</v>
      </c>
      <c r="U1747">
        <v>15.79</v>
      </c>
      <c r="V1747" t="str">
        <f>VLOOKUP(L1747,'[2]tabela de preços'!$A:$D,4,0)</f>
        <v>ANJO</v>
      </c>
      <c r="W1747" t="str">
        <f>VLOOKUP(L1747,'[2]tabela de preços'!$A:$F,6,0)</f>
        <v>THINNER DE LIMPEZA</v>
      </c>
      <c r="X1747" t="str">
        <f>VLOOKUP(L1747,'[2]tabela de preços'!$A:$G,7,0)</f>
        <v>THINNER</v>
      </c>
    </row>
    <row r="1748" spans="1:24" x14ac:dyDescent="0.3">
      <c r="A1748" t="s">
        <v>1222</v>
      </c>
      <c r="C1748" t="s">
        <v>1229</v>
      </c>
      <c r="D1748" s="1">
        <v>46045</v>
      </c>
      <c r="E1748" t="s">
        <v>1230</v>
      </c>
      <c r="F1748">
        <v>9</v>
      </c>
      <c r="G1748">
        <v>174</v>
      </c>
      <c r="H1748" t="str">
        <f>VLOOKUP(G1748,[1]OPERADORES!$A:$B,2,0)</f>
        <v>MIRIÃ LOBATO RODRIGUES</v>
      </c>
      <c r="I1748" t="s">
        <v>21</v>
      </c>
      <c r="J1748" t="s">
        <v>1225</v>
      </c>
      <c r="K1748" t="s">
        <v>1226</v>
      </c>
      <c r="L1748">
        <v>85691</v>
      </c>
      <c r="M1748" t="s">
        <v>1231</v>
      </c>
      <c r="O1748" t="s">
        <v>11</v>
      </c>
      <c r="P1748">
        <v>5102</v>
      </c>
      <c r="Q1748">
        <v>6</v>
      </c>
      <c r="R1748">
        <v>14.81</v>
      </c>
      <c r="S1748">
        <v>88.86</v>
      </c>
      <c r="T1748">
        <v>67.44</v>
      </c>
      <c r="U1748">
        <v>24.11</v>
      </c>
      <c r="V1748" t="str">
        <f>VLOOKUP(L1748,'[2]tabela de preços'!$A:$D,4,0)</f>
        <v>UNIPEGA</v>
      </c>
      <c r="W1748" t="str">
        <f>VLOOKUP(L1748,'[2]tabela de preços'!$A:$F,6,0)</f>
        <v>COLA INST./ ADESIVOS COLANTES</v>
      </c>
      <c r="X1748" t="str">
        <f>VLOOKUP(L1748,'[2]tabela de preços'!$A:$G,7,0)</f>
        <v>AUTOMOTIVO</v>
      </c>
    </row>
    <row r="1749" spans="1:24" x14ac:dyDescent="0.3">
      <c r="A1749" t="s">
        <v>1222</v>
      </c>
      <c r="C1749" t="s">
        <v>1229</v>
      </c>
      <c r="D1749" s="1">
        <v>46045</v>
      </c>
      <c r="E1749" t="s">
        <v>1230</v>
      </c>
      <c r="F1749">
        <v>9</v>
      </c>
      <c r="G1749">
        <v>174</v>
      </c>
      <c r="H1749" t="str">
        <f>VLOOKUP(G1749,[1]OPERADORES!$A:$B,2,0)</f>
        <v>MIRIÃ LOBATO RODRIGUES</v>
      </c>
      <c r="I1749" t="s">
        <v>21</v>
      </c>
      <c r="J1749" t="s">
        <v>1225</v>
      </c>
      <c r="K1749" t="s">
        <v>1226</v>
      </c>
      <c r="L1749">
        <v>23076</v>
      </c>
      <c r="M1749" t="s">
        <v>97</v>
      </c>
      <c r="O1749" t="s">
        <v>11</v>
      </c>
      <c r="P1749">
        <v>5405</v>
      </c>
      <c r="Q1749">
        <v>12</v>
      </c>
      <c r="R1749">
        <v>34.89</v>
      </c>
      <c r="S1749">
        <v>418.68</v>
      </c>
      <c r="T1749">
        <v>318.36</v>
      </c>
      <c r="U1749">
        <v>23.96</v>
      </c>
      <c r="V1749" t="str">
        <f>VLOOKUP(L1749,'[2]tabela de preços'!$A:$D,4,0)</f>
        <v>WANDA</v>
      </c>
      <c r="W1749" t="str">
        <f>VLOOKUP(L1749,'[2]tabela de preços'!$A:$F,6,0)</f>
        <v>PRIMER AUTOMOTIVO</v>
      </c>
      <c r="X1749" t="str">
        <f>VLOOKUP(L1749,'[2]tabela de preços'!$A:$G,7,0)</f>
        <v>AUTOMOTIVO</v>
      </c>
    </row>
    <row r="1750" spans="1:24" x14ac:dyDescent="0.3">
      <c r="A1750" t="s">
        <v>1222</v>
      </c>
      <c r="C1750" t="s">
        <v>1229</v>
      </c>
      <c r="D1750" s="1">
        <v>46045</v>
      </c>
      <c r="E1750" t="s">
        <v>1230</v>
      </c>
      <c r="F1750">
        <v>9</v>
      </c>
      <c r="G1750">
        <v>174</v>
      </c>
      <c r="H1750" t="str">
        <f>VLOOKUP(G1750,[1]OPERADORES!$A:$B,2,0)</f>
        <v>MIRIÃ LOBATO RODRIGUES</v>
      </c>
      <c r="I1750" t="s">
        <v>21</v>
      </c>
      <c r="J1750" t="s">
        <v>1225</v>
      </c>
      <c r="K1750" t="s">
        <v>1226</v>
      </c>
      <c r="L1750">
        <v>23602</v>
      </c>
      <c r="M1750" t="s">
        <v>215</v>
      </c>
      <c r="O1750" t="s">
        <v>11</v>
      </c>
      <c r="P1750">
        <v>5405</v>
      </c>
      <c r="Q1750">
        <v>9</v>
      </c>
      <c r="R1750">
        <v>35.89</v>
      </c>
      <c r="S1750">
        <v>323.01</v>
      </c>
      <c r="T1750">
        <v>263.25</v>
      </c>
      <c r="U1750">
        <v>18.5</v>
      </c>
      <c r="V1750" t="str">
        <f>VLOOKUP(L1750,'[2]tabela de preços'!$A:$D,4,0)</f>
        <v>SHERWIN WILLIAMS</v>
      </c>
      <c r="W1750" t="str">
        <f>VLOOKUP(L1750,'[2]tabela de preços'!$A:$F,6,0)</f>
        <v>VERNIZ AUTOMOTIVO</v>
      </c>
      <c r="X1750" t="str">
        <f>VLOOKUP(L1750,'[2]tabela de preços'!$A:$G,7,0)</f>
        <v>AUTOMOTIVO</v>
      </c>
    </row>
    <row r="1751" spans="1:24" x14ac:dyDescent="0.3">
      <c r="A1751" t="s">
        <v>1222</v>
      </c>
      <c r="C1751" t="s">
        <v>1229</v>
      </c>
      <c r="D1751" s="1">
        <v>46045</v>
      </c>
      <c r="E1751" t="s">
        <v>1230</v>
      </c>
      <c r="F1751">
        <v>9</v>
      </c>
      <c r="G1751">
        <v>174</v>
      </c>
      <c r="H1751" t="str">
        <f>VLOOKUP(G1751,[1]OPERADORES!$A:$B,2,0)</f>
        <v>MIRIÃ LOBATO RODRIGUES</v>
      </c>
      <c r="I1751" t="s">
        <v>21</v>
      </c>
      <c r="J1751" t="s">
        <v>1225</v>
      </c>
      <c r="K1751" t="s">
        <v>1226</v>
      </c>
      <c r="L1751">
        <v>21321</v>
      </c>
      <c r="M1751" t="s">
        <v>272</v>
      </c>
      <c r="O1751" t="s">
        <v>11</v>
      </c>
      <c r="P1751">
        <v>5102</v>
      </c>
      <c r="Q1751">
        <v>8</v>
      </c>
      <c r="R1751">
        <v>20.239999999999998</v>
      </c>
      <c r="S1751">
        <v>161.91999999999999</v>
      </c>
      <c r="T1751">
        <v>122.88</v>
      </c>
      <c r="U1751">
        <v>24.11</v>
      </c>
      <c r="V1751" t="str">
        <f>VLOOKUP(L1751,'[2]tabela de preços'!$A:$D,4,0)</f>
        <v>AUTO AMERICA</v>
      </c>
      <c r="W1751" t="str">
        <f>VLOOKUP(L1751,'[2]tabela de preços'!$A:$F,6,0)</f>
        <v>CERA  / LIMPEZA /  POLIMENTO VEICULAR</v>
      </c>
      <c r="X1751" t="str">
        <f>VLOOKUP(L1751,'[2]tabela de preços'!$A:$G,7,0)</f>
        <v>AUTOMOTIVO</v>
      </c>
    </row>
    <row r="1752" spans="1:24" x14ac:dyDescent="0.3">
      <c r="A1752" t="s">
        <v>1411</v>
      </c>
      <c r="C1752" t="s">
        <v>1412</v>
      </c>
      <c r="D1752" s="1">
        <v>46045</v>
      </c>
      <c r="E1752" t="s">
        <v>1413</v>
      </c>
      <c r="F1752">
        <v>9</v>
      </c>
      <c r="G1752">
        <v>197</v>
      </c>
      <c r="H1752" t="str">
        <f>VLOOKUP(G1752,[1]OPERADORES!$A:$B,2,0)</f>
        <v xml:space="preserve">POLIANA LORRANE DE AMORIM </v>
      </c>
      <c r="I1752" t="s">
        <v>21</v>
      </c>
      <c r="J1752" t="s">
        <v>1414</v>
      </c>
      <c r="K1752" t="s">
        <v>1415</v>
      </c>
      <c r="L1752">
        <v>84029</v>
      </c>
      <c r="M1752" t="s">
        <v>29</v>
      </c>
      <c r="O1752" t="s">
        <v>11</v>
      </c>
      <c r="P1752">
        <v>5102</v>
      </c>
      <c r="Q1752">
        <v>2</v>
      </c>
      <c r="R1752">
        <v>11.45</v>
      </c>
      <c r="S1752">
        <v>22.9</v>
      </c>
      <c r="T1752">
        <v>17.38</v>
      </c>
      <c r="U1752">
        <v>24.1</v>
      </c>
      <c r="V1752" t="str">
        <f>VLOOKUP(L1752,'[2]tabela de preços'!$A:$D,4,0)</f>
        <v>BRASILUX</v>
      </c>
      <c r="W1752" t="str">
        <f>VLOOKUP(L1752,'[2]tabela de preços'!$A:$F,6,0)</f>
        <v>AGUARRAS</v>
      </c>
      <c r="X1752" t="str">
        <f>VLOOKUP(L1752,'[2]tabela de preços'!$A:$G,7,0)</f>
        <v>IMOBILIÁRIO</v>
      </c>
    </row>
    <row r="1753" spans="1:24" x14ac:dyDescent="0.3">
      <c r="A1753" t="s">
        <v>1411</v>
      </c>
      <c r="C1753" t="s">
        <v>1412</v>
      </c>
      <c r="D1753" s="1">
        <v>46045</v>
      </c>
      <c r="E1753" t="s">
        <v>1413</v>
      </c>
      <c r="F1753">
        <v>9</v>
      </c>
      <c r="G1753">
        <v>197</v>
      </c>
      <c r="H1753" t="str">
        <f>VLOOKUP(G1753,[1]OPERADORES!$A:$B,2,0)</f>
        <v xml:space="preserve">POLIANA LORRANE DE AMORIM </v>
      </c>
      <c r="I1753" t="s">
        <v>21</v>
      </c>
      <c r="J1753" t="s">
        <v>1414</v>
      </c>
      <c r="K1753" t="s">
        <v>1415</v>
      </c>
      <c r="L1753">
        <v>84387</v>
      </c>
      <c r="M1753" t="s">
        <v>1416</v>
      </c>
      <c r="O1753" t="s">
        <v>11</v>
      </c>
      <c r="P1753">
        <v>5403</v>
      </c>
      <c r="Q1753">
        <v>2</v>
      </c>
      <c r="R1753">
        <v>181.31</v>
      </c>
      <c r="S1753">
        <v>362.62</v>
      </c>
      <c r="T1753">
        <v>275.22000000000003</v>
      </c>
      <c r="U1753">
        <v>24.1</v>
      </c>
      <c r="V1753" t="str">
        <f>VLOOKUP(L1753,'[2]tabela de preços'!$A:$D,4,0)</f>
        <v>BRASILUX</v>
      </c>
      <c r="W1753" t="str">
        <f>VLOOKUP(L1753,'[2]tabela de preços'!$A:$F,6,0)</f>
        <v>TINTA PARA PISO</v>
      </c>
      <c r="X1753" t="str">
        <f>VLOOKUP(L1753,'[2]tabela de preços'!$A:$G,7,0)</f>
        <v>IMOBILIÁRIO</v>
      </c>
    </row>
    <row r="1754" spans="1:24" x14ac:dyDescent="0.3">
      <c r="A1754" t="s">
        <v>1411</v>
      </c>
      <c r="C1754" t="s">
        <v>1412</v>
      </c>
      <c r="D1754" s="1">
        <v>46045</v>
      </c>
      <c r="E1754" t="s">
        <v>1413</v>
      </c>
      <c r="F1754">
        <v>9</v>
      </c>
      <c r="G1754">
        <v>197</v>
      </c>
      <c r="H1754" t="str">
        <f>VLOOKUP(G1754,[1]OPERADORES!$A:$B,2,0)</f>
        <v xml:space="preserve">POLIANA LORRANE DE AMORIM </v>
      </c>
      <c r="I1754" t="s">
        <v>21</v>
      </c>
      <c r="J1754" t="s">
        <v>1414</v>
      </c>
      <c r="K1754" t="s">
        <v>1415</v>
      </c>
      <c r="L1754">
        <v>84388</v>
      </c>
      <c r="M1754" t="s">
        <v>1417</v>
      </c>
      <c r="O1754" t="s">
        <v>11</v>
      </c>
      <c r="P1754">
        <v>5403</v>
      </c>
      <c r="Q1754">
        <v>1</v>
      </c>
      <c r="R1754">
        <v>159.9</v>
      </c>
      <c r="S1754">
        <v>159.9</v>
      </c>
      <c r="T1754">
        <v>137.61000000000001</v>
      </c>
      <c r="U1754">
        <v>13.94</v>
      </c>
      <c r="V1754" t="str">
        <f>VLOOKUP(L1754,'[2]tabela de preços'!$A:$D,4,0)</f>
        <v>BRASILUX</v>
      </c>
      <c r="W1754" t="str">
        <f>VLOOKUP(L1754,'[2]tabela de preços'!$A:$F,6,0)</f>
        <v>TINTA PARA PISO</v>
      </c>
      <c r="X1754" t="str">
        <f>VLOOKUP(L1754,'[2]tabela de preços'!$A:$G,7,0)</f>
        <v>IMOBILIÁRIO</v>
      </c>
    </row>
    <row r="1755" spans="1:24" x14ac:dyDescent="0.3">
      <c r="A1755" t="s">
        <v>1411</v>
      </c>
      <c r="C1755" t="s">
        <v>1412</v>
      </c>
      <c r="D1755" s="1">
        <v>46045</v>
      </c>
      <c r="E1755" t="s">
        <v>1413</v>
      </c>
      <c r="F1755">
        <v>9</v>
      </c>
      <c r="G1755">
        <v>197</v>
      </c>
      <c r="H1755" t="str">
        <f>VLOOKUP(G1755,[1]OPERADORES!$A:$B,2,0)</f>
        <v xml:space="preserve">POLIANA LORRANE DE AMORIM </v>
      </c>
      <c r="I1755" t="s">
        <v>21</v>
      </c>
      <c r="J1755" t="s">
        <v>1414</v>
      </c>
      <c r="K1755" t="s">
        <v>1415</v>
      </c>
      <c r="L1755">
        <v>85782</v>
      </c>
      <c r="M1755" t="s">
        <v>1418</v>
      </c>
      <c r="O1755" t="s">
        <v>11</v>
      </c>
      <c r="P1755">
        <v>5403</v>
      </c>
      <c r="Q1755">
        <v>1</v>
      </c>
      <c r="R1755">
        <v>177.38</v>
      </c>
      <c r="S1755">
        <v>177.38</v>
      </c>
      <c r="T1755">
        <v>134.63</v>
      </c>
      <c r="U1755">
        <v>24.1</v>
      </c>
      <c r="V1755" t="str">
        <f>VLOOKUP(L1755,'[2]tabela de preços'!$A:$D,4,0)</f>
        <v>CORAL</v>
      </c>
      <c r="W1755" t="str">
        <f>VLOOKUP(L1755,'[2]tabela de preços'!$A:$F,6,0)</f>
        <v>TINTA PAREDE</v>
      </c>
      <c r="X1755" t="str">
        <f>VLOOKUP(L1755,'[2]tabela de preços'!$A:$G,7,0)</f>
        <v>IMOBILIÁRIO</v>
      </c>
    </row>
    <row r="1756" spans="1:24" x14ac:dyDescent="0.3">
      <c r="A1756" t="s">
        <v>1411</v>
      </c>
      <c r="C1756" t="s">
        <v>1412</v>
      </c>
      <c r="D1756" s="1">
        <v>46045</v>
      </c>
      <c r="E1756" t="s">
        <v>1413</v>
      </c>
      <c r="F1756">
        <v>9</v>
      </c>
      <c r="G1756">
        <v>197</v>
      </c>
      <c r="H1756" t="str">
        <f>VLOOKUP(G1756,[1]OPERADORES!$A:$B,2,0)</f>
        <v xml:space="preserve">POLIANA LORRANE DE AMORIM </v>
      </c>
      <c r="I1756" t="s">
        <v>21</v>
      </c>
      <c r="J1756" t="s">
        <v>1414</v>
      </c>
      <c r="K1756" t="s">
        <v>1415</v>
      </c>
      <c r="L1756">
        <v>86627</v>
      </c>
      <c r="M1756" t="s">
        <v>1419</v>
      </c>
      <c r="O1756" t="s">
        <v>11</v>
      </c>
      <c r="P1756">
        <v>5403</v>
      </c>
      <c r="Q1756">
        <v>1</v>
      </c>
      <c r="R1756">
        <v>285.87</v>
      </c>
      <c r="S1756">
        <v>285.87</v>
      </c>
      <c r="T1756">
        <v>216.98</v>
      </c>
      <c r="U1756">
        <v>24.1</v>
      </c>
      <c r="V1756" t="str">
        <f>VLOOKUP(L1756,'[2]tabela de preços'!$A:$D,4,0)</f>
        <v>CORAL</v>
      </c>
      <c r="W1756" t="str">
        <f>VLOOKUP(L1756,'[2]tabela de preços'!$A:$F,6,0)</f>
        <v>TINTA PAREDE</v>
      </c>
      <c r="X1756" t="str">
        <f>VLOOKUP(L1756,'[2]tabela de preços'!$A:$G,7,0)</f>
        <v>IMOBILIÁRIO</v>
      </c>
    </row>
    <row r="1757" spans="1:24" x14ac:dyDescent="0.3">
      <c r="A1757" t="s">
        <v>1411</v>
      </c>
      <c r="C1757" t="s">
        <v>1412</v>
      </c>
      <c r="D1757" s="1">
        <v>46045</v>
      </c>
      <c r="E1757" t="s">
        <v>1413</v>
      </c>
      <c r="F1757">
        <v>9</v>
      </c>
      <c r="G1757">
        <v>197</v>
      </c>
      <c r="H1757" t="str">
        <f>VLOOKUP(G1757,[1]OPERADORES!$A:$B,2,0)</f>
        <v xml:space="preserve">POLIANA LORRANE DE AMORIM </v>
      </c>
      <c r="I1757" t="s">
        <v>21</v>
      </c>
      <c r="J1757" t="s">
        <v>1414</v>
      </c>
      <c r="K1757" t="s">
        <v>1415</v>
      </c>
      <c r="L1757">
        <v>86881</v>
      </c>
      <c r="M1757" t="s">
        <v>1420</v>
      </c>
      <c r="O1757" t="s">
        <v>11</v>
      </c>
      <c r="P1757">
        <v>5102</v>
      </c>
      <c r="Q1757">
        <v>2</v>
      </c>
      <c r="R1757">
        <v>64.900000000000006</v>
      </c>
      <c r="S1757">
        <v>129.80000000000001</v>
      </c>
      <c r="T1757">
        <v>105.52</v>
      </c>
      <c r="U1757">
        <v>18.71</v>
      </c>
      <c r="V1757" t="str">
        <f>VLOOKUP(L1757,'[2]tabela de preços'!$A:$D,4,0)</f>
        <v>VEDACIT</v>
      </c>
      <c r="W1757" t="str">
        <f>VLOOKUP(L1757,'[2]tabela de preços'!$A:$F,6,0)</f>
        <v>IMPERMEABILIZANTES</v>
      </c>
      <c r="X1757" t="str">
        <f>VLOOKUP(L1757,'[2]tabela de preços'!$A:$G,7,0)</f>
        <v>IMOBILIÁRIO</v>
      </c>
    </row>
    <row r="1758" spans="1:24" x14ac:dyDescent="0.3">
      <c r="A1758" t="s">
        <v>1411</v>
      </c>
      <c r="C1758" t="s">
        <v>1412</v>
      </c>
      <c r="D1758" s="1">
        <v>46045</v>
      </c>
      <c r="E1758" t="s">
        <v>1413</v>
      </c>
      <c r="F1758">
        <v>9</v>
      </c>
      <c r="G1758">
        <v>197</v>
      </c>
      <c r="H1758" t="str">
        <f>VLOOKUP(G1758,[1]OPERADORES!$A:$B,2,0)</f>
        <v xml:space="preserve">POLIANA LORRANE DE AMORIM </v>
      </c>
      <c r="I1758" t="s">
        <v>21</v>
      </c>
      <c r="J1758" t="s">
        <v>1414</v>
      </c>
      <c r="K1758" t="s">
        <v>1415</v>
      </c>
      <c r="L1758">
        <v>23124</v>
      </c>
      <c r="M1758" t="s">
        <v>1421</v>
      </c>
      <c r="O1758" t="s">
        <v>11</v>
      </c>
      <c r="P1758">
        <v>5102</v>
      </c>
      <c r="Q1758">
        <v>1</v>
      </c>
      <c r="R1758">
        <v>33.26</v>
      </c>
      <c r="S1758">
        <v>33.26</v>
      </c>
      <c r="T1758">
        <v>21.46</v>
      </c>
      <c r="U1758">
        <v>35.479999999999997</v>
      </c>
      <c r="V1758" t="str">
        <f>VLOOKUP(L1758,'[2]tabela de preços'!$A:$D,4,0)</f>
        <v>3M</v>
      </c>
      <c r="W1758" t="str">
        <f>VLOOKUP(L1758,'[2]tabela de preços'!$A:$F,6,0)</f>
        <v>FITA AUTOMOTIVA</v>
      </c>
      <c r="X1758" t="str">
        <f>VLOOKUP(L1758,'[2]tabela de preços'!$A:$G,7,0)</f>
        <v>AUTOMOTIVO</v>
      </c>
    </row>
    <row r="1759" spans="1:24" x14ac:dyDescent="0.3">
      <c r="A1759" t="s">
        <v>1411</v>
      </c>
      <c r="C1759" t="s">
        <v>1412</v>
      </c>
      <c r="D1759" s="1">
        <v>46045</v>
      </c>
      <c r="E1759" t="s">
        <v>1413</v>
      </c>
      <c r="F1759">
        <v>9</v>
      </c>
      <c r="G1759">
        <v>197</v>
      </c>
      <c r="H1759" t="str">
        <f>VLOOKUP(G1759,[1]OPERADORES!$A:$B,2,0)</f>
        <v xml:space="preserve">POLIANA LORRANE DE AMORIM </v>
      </c>
      <c r="I1759" t="s">
        <v>21</v>
      </c>
      <c r="J1759" t="s">
        <v>1414</v>
      </c>
      <c r="K1759" t="s">
        <v>1415</v>
      </c>
      <c r="L1759">
        <v>84020</v>
      </c>
      <c r="M1759" t="s">
        <v>518</v>
      </c>
      <c r="O1759" t="s">
        <v>11</v>
      </c>
      <c r="P1759">
        <v>5102</v>
      </c>
      <c r="Q1759">
        <v>25</v>
      </c>
      <c r="R1759">
        <v>0.91</v>
      </c>
      <c r="S1759">
        <v>22.75</v>
      </c>
      <c r="T1759">
        <v>17.25</v>
      </c>
      <c r="U1759">
        <v>24.18</v>
      </c>
      <c r="V1759" t="str">
        <f>VLOOKUP(L1759,'[2]tabela de preços'!$A:$D,4,0)</f>
        <v>3M</v>
      </c>
      <c r="W1759" t="str">
        <f>VLOOKUP(L1759,'[2]tabela de preços'!$A:$F,6,0)</f>
        <v>LIXA MASSA  /MADEIRA / PAREDE</v>
      </c>
      <c r="X1759" t="str">
        <f>VLOOKUP(L1759,'[2]tabela de preços'!$A:$G,7,0)</f>
        <v>IMOBILIÁRIO</v>
      </c>
    </row>
    <row r="1760" spans="1:24" x14ac:dyDescent="0.3">
      <c r="A1760" t="s">
        <v>1411</v>
      </c>
      <c r="C1760" t="s">
        <v>1412</v>
      </c>
      <c r="D1760" s="1">
        <v>46045</v>
      </c>
      <c r="E1760" t="s">
        <v>1413</v>
      </c>
      <c r="F1760">
        <v>9</v>
      </c>
      <c r="G1760">
        <v>197</v>
      </c>
      <c r="H1760" t="str">
        <f>VLOOKUP(G1760,[1]OPERADORES!$A:$B,2,0)</f>
        <v xml:space="preserve">POLIANA LORRANE DE AMORIM </v>
      </c>
      <c r="I1760" t="s">
        <v>21</v>
      </c>
      <c r="J1760" t="s">
        <v>1414</v>
      </c>
      <c r="K1760" t="s">
        <v>1415</v>
      </c>
      <c r="L1760">
        <v>86883</v>
      </c>
      <c r="M1760" t="s">
        <v>1422</v>
      </c>
      <c r="O1760" t="s">
        <v>11</v>
      </c>
      <c r="P1760">
        <v>5102</v>
      </c>
      <c r="Q1760">
        <v>1</v>
      </c>
      <c r="R1760">
        <v>41</v>
      </c>
      <c r="S1760">
        <v>41</v>
      </c>
      <c r="T1760">
        <v>33.270000000000003</v>
      </c>
      <c r="U1760">
        <v>18.850000000000001</v>
      </c>
      <c r="V1760" t="str">
        <f>VLOOKUP(L1760,'[2]tabela de preços'!$A:$D,4,0)</f>
        <v>VEDACIT</v>
      </c>
      <c r="W1760" t="str">
        <f>VLOOKUP(L1760,'[2]tabela de preços'!$A:$F,6,0)</f>
        <v>IMPERMEABILIZANTES</v>
      </c>
      <c r="X1760" t="str">
        <f>VLOOKUP(L1760,'[2]tabela de preços'!$A:$G,7,0)</f>
        <v>IMOBILIÁRIO</v>
      </c>
    </row>
    <row r="1761" spans="1:24" x14ac:dyDescent="0.3">
      <c r="A1761" t="s">
        <v>1411</v>
      </c>
      <c r="C1761" t="s">
        <v>1412</v>
      </c>
      <c r="D1761" s="1">
        <v>46045</v>
      </c>
      <c r="E1761" t="s">
        <v>1413</v>
      </c>
      <c r="F1761">
        <v>9</v>
      </c>
      <c r="G1761">
        <v>197</v>
      </c>
      <c r="H1761" t="str">
        <f>VLOOKUP(G1761,[1]OPERADORES!$A:$B,2,0)</f>
        <v xml:space="preserve">POLIANA LORRANE DE AMORIM </v>
      </c>
      <c r="I1761" t="s">
        <v>21</v>
      </c>
      <c r="J1761" t="s">
        <v>1414</v>
      </c>
      <c r="K1761" t="s">
        <v>1415</v>
      </c>
      <c r="L1761">
        <v>84703</v>
      </c>
      <c r="M1761" t="s">
        <v>1423</v>
      </c>
      <c r="O1761" t="s">
        <v>11</v>
      </c>
      <c r="P1761">
        <v>5102</v>
      </c>
      <c r="Q1761">
        <v>1</v>
      </c>
      <c r="R1761">
        <v>18.86</v>
      </c>
      <c r="S1761">
        <v>18.86</v>
      </c>
      <c r="T1761">
        <v>12.17</v>
      </c>
      <c r="U1761">
        <v>35.47</v>
      </c>
      <c r="V1761" t="str">
        <f>VLOOKUP(L1761,'[2]tabela de preços'!$A:$D,4,0)</f>
        <v>ATLAS</v>
      </c>
      <c r="W1761" t="str">
        <f>VLOOKUP(L1761,'[2]tabela de preços'!$A:$F,6,0)</f>
        <v>ROLOS / TRINCHAS / PINCÉIS / ESPÁTULAS</v>
      </c>
      <c r="X1761" t="str">
        <f>VLOOKUP(L1761,'[2]tabela de preços'!$A:$G,7,0)</f>
        <v>IMOBILIÁRIO</v>
      </c>
    </row>
    <row r="1762" spans="1:24" x14ac:dyDescent="0.3">
      <c r="A1762" t="s">
        <v>1411</v>
      </c>
      <c r="C1762" t="s">
        <v>1412</v>
      </c>
      <c r="D1762" s="1">
        <v>46045</v>
      </c>
      <c r="E1762" t="s">
        <v>1413</v>
      </c>
      <c r="F1762">
        <v>9</v>
      </c>
      <c r="G1762">
        <v>197</v>
      </c>
      <c r="H1762" t="str">
        <f>VLOOKUP(G1762,[1]OPERADORES!$A:$B,2,0)</f>
        <v xml:space="preserve">POLIANA LORRANE DE AMORIM </v>
      </c>
      <c r="I1762" t="s">
        <v>21</v>
      </c>
      <c r="J1762" t="s">
        <v>1414</v>
      </c>
      <c r="K1762" t="s">
        <v>1415</v>
      </c>
      <c r="L1762">
        <v>84497</v>
      </c>
      <c r="M1762" t="s">
        <v>1159</v>
      </c>
      <c r="O1762" t="s">
        <v>11</v>
      </c>
      <c r="P1762">
        <v>5102</v>
      </c>
      <c r="Q1762">
        <v>1</v>
      </c>
      <c r="R1762">
        <v>9.99</v>
      </c>
      <c r="S1762">
        <v>9.99</v>
      </c>
      <c r="T1762">
        <v>8.14</v>
      </c>
      <c r="U1762">
        <v>18.52</v>
      </c>
      <c r="V1762" t="str">
        <f>VLOOKUP(L1762,'[2]tabela de preços'!$A:$D,4,0)</f>
        <v>BRASILUX</v>
      </c>
      <c r="W1762" t="str">
        <f>VLOOKUP(L1762,'[2]tabela de preços'!$A:$F,6,0)</f>
        <v>THINNER DE LIMPEZA</v>
      </c>
      <c r="X1762" t="str">
        <f>VLOOKUP(L1762,'[2]tabela de preços'!$A:$G,7,0)</f>
        <v>THINNER</v>
      </c>
    </row>
    <row r="1763" spans="1:24" x14ac:dyDescent="0.3">
      <c r="A1763" t="s">
        <v>1430</v>
      </c>
      <c r="C1763" t="s">
        <v>1440</v>
      </c>
      <c r="D1763" s="1">
        <v>46045</v>
      </c>
      <c r="E1763" t="s">
        <v>1441</v>
      </c>
      <c r="F1763">
        <v>9</v>
      </c>
      <c r="G1763">
        <v>197</v>
      </c>
      <c r="H1763" t="str">
        <f>VLOOKUP(G1763,[1]OPERADORES!$A:$B,2,0)</f>
        <v xml:space="preserve">POLIANA LORRANE DE AMORIM </v>
      </c>
      <c r="I1763" t="s">
        <v>21</v>
      </c>
      <c r="J1763" t="s">
        <v>363</v>
      </c>
      <c r="K1763" t="s">
        <v>1433</v>
      </c>
      <c r="L1763">
        <v>85318</v>
      </c>
      <c r="M1763" t="s">
        <v>258</v>
      </c>
      <c r="O1763" t="s">
        <v>11</v>
      </c>
      <c r="P1763">
        <v>5102</v>
      </c>
      <c r="Q1763">
        <v>1</v>
      </c>
      <c r="R1763">
        <v>775.32</v>
      </c>
      <c r="S1763">
        <v>775.32</v>
      </c>
      <c r="T1763">
        <v>552.80999999999995</v>
      </c>
      <c r="U1763">
        <v>28.7</v>
      </c>
      <c r="V1763" t="str">
        <f>VLOOKUP(L1763,'[2]tabela de preços'!$A:$D,4,0)</f>
        <v>BRASILUX</v>
      </c>
      <c r="W1763" t="str">
        <f>VLOOKUP(L1763,'[2]tabela de preços'!$A:$F,6,0)</f>
        <v>TINTA EM PÓ</v>
      </c>
      <c r="X1763" t="str">
        <f>VLOOKUP(L1763,'[2]tabela de preços'!$A:$G,7,0)</f>
        <v>INDUSTRIAL</v>
      </c>
    </row>
    <row r="1764" spans="1:24" x14ac:dyDescent="0.3">
      <c r="A1764" t="s">
        <v>1468</v>
      </c>
      <c r="C1764" t="s">
        <v>1475</v>
      </c>
      <c r="D1764" s="1">
        <v>46045</v>
      </c>
      <c r="E1764" t="s">
        <v>1476</v>
      </c>
      <c r="F1764">
        <v>9</v>
      </c>
      <c r="G1764">
        <v>174</v>
      </c>
      <c r="H1764" t="str">
        <f>VLOOKUP(G1764,[1]OPERADORES!$A:$B,2,0)</f>
        <v>MIRIÃ LOBATO RODRIGUES</v>
      </c>
      <c r="I1764" t="s">
        <v>21</v>
      </c>
      <c r="J1764" t="s">
        <v>494</v>
      </c>
      <c r="K1764" t="s">
        <v>1471</v>
      </c>
      <c r="L1764">
        <v>22180</v>
      </c>
      <c r="M1764" t="s">
        <v>404</v>
      </c>
      <c r="O1764" t="s">
        <v>11</v>
      </c>
      <c r="P1764">
        <v>5102</v>
      </c>
      <c r="Q1764">
        <v>25</v>
      </c>
      <c r="R1764">
        <v>19.29</v>
      </c>
      <c r="S1764">
        <v>482.25</v>
      </c>
      <c r="T1764">
        <v>366</v>
      </c>
      <c r="U1764">
        <v>24.11</v>
      </c>
      <c r="V1764" t="str">
        <f>VLOOKUP(L1764,'[2]tabela de preços'!$A:$D,4,0)</f>
        <v>MADRUGA</v>
      </c>
      <c r="W1764" t="str">
        <f>VLOOKUP(L1764,'[2]tabela de preços'!$A:$F,6,0)</f>
        <v>PAPEL DE MASCARAMENTO</v>
      </c>
      <c r="X1764" t="str">
        <f>VLOOKUP(L1764,'[2]tabela de preços'!$A:$G,7,0)</f>
        <v>AUTOMOTIVO</v>
      </c>
    </row>
    <row r="1765" spans="1:24" x14ac:dyDescent="0.3">
      <c r="A1765" t="s">
        <v>1468</v>
      </c>
      <c r="C1765" t="s">
        <v>1475</v>
      </c>
      <c r="D1765" s="1">
        <v>46045</v>
      </c>
      <c r="E1765" t="s">
        <v>1476</v>
      </c>
      <c r="F1765">
        <v>9</v>
      </c>
      <c r="G1765">
        <v>174</v>
      </c>
      <c r="H1765" t="str">
        <f>VLOOKUP(G1765,[1]OPERADORES!$A:$B,2,0)</f>
        <v>MIRIÃ LOBATO RODRIGUES</v>
      </c>
      <c r="I1765" t="s">
        <v>21</v>
      </c>
      <c r="J1765" t="s">
        <v>494</v>
      </c>
      <c r="K1765" t="s">
        <v>1471</v>
      </c>
      <c r="L1765">
        <v>20414</v>
      </c>
      <c r="M1765" t="s">
        <v>112</v>
      </c>
      <c r="O1765" t="s">
        <v>11</v>
      </c>
      <c r="P1765">
        <v>5102</v>
      </c>
      <c r="Q1765">
        <v>40</v>
      </c>
      <c r="R1765">
        <v>21.89</v>
      </c>
      <c r="S1765">
        <v>875.6</v>
      </c>
      <c r="T1765">
        <v>720</v>
      </c>
      <c r="U1765">
        <v>17.77</v>
      </c>
      <c r="V1765" t="str">
        <f>VLOOKUP(L1765,'[2]tabela de preços'!$A:$D,4,0)</f>
        <v>SHERWIN WILLIAMS</v>
      </c>
      <c r="W1765" t="str">
        <f>VLOOKUP(L1765,'[2]tabela de preços'!$A:$F,6,0)</f>
        <v>DILUENTE</v>
      </c>
      <c r="X1765" t="str">
        <f>VLOOKUP(L1765,'[2]tabela de preços'!$A:$G,7,0)</f>
        <v>AUTOMOTIVO</v>
      </c>
    </row>
    <row r="1766" spans="1:24" x14ac:dyDescent="0.3">
      <c r="A1766" t="s">
        <v>1524</v>
      </c>
      <c r="B1766" t="s">
        <v>1525</v>
      </c>
      <c r="C1766" t="s">
        <v>1553</v>
      </c>
      <c r="D1766" s="1">
        <v>46045</v>
      </c>
      <c r="E1766" t="s">
        <v>1554</v>
      </c>
      <c r="F1766">
        <v>9</v>
      </c>
      <c r="G1766">
        <v>236</v>
      </c>
      <c r="H1766" t="str">
        <f>VLOOKUP(G1766,[1]OPERADORES!$A:$B,2,0)</f>
        <v>DANIEL</v>
      </c>
      <c r="I1766" t="s">
        <v>21</v>
      </c>
      <c r="J1766" t="s">
        <v>762</v>
      </c>
      <c r="K1766" t="s">
        <v>1528</v>
      </c>
      <c r="L1766">
        <v>84324</v>
      </c>
      <c r="M1766" t="s">
        <v>359</v>
      </c>
      <c r="O1766" t="s">
        <v>11</v>
      </c>
      <c r="P1766">
        <v>5403</v>
      </c>
      <c r="Q1766">
        <v>8</v>
      </c>
      <c r="R1766">
        <v>91.84</v>
      </c>
      <c r="S1766">
        <v>734.72</v>
      </c>
      <c r="T1766">
        <v>557.67999999999995</v>
      </c>
      <c r="U1766">
        <v>24.1</v>
      </c>
      <c r="V1766" t="str">
        <f>VLOOKUP(L1766,'[2]tabela de preços'!$A:$D,4,0)</f>
        <v>BRASILUX</v>
      </c>
      <c r="W1766" t="str">
        <f>VLOOKUP(L1766,'[2]tabela de preços'!$A:$F,6,0)</f>
        <v>ESMALTES</v>
      </c>
      <c r="X1766" t="str">
        <f>VLOOKUP(L1766,'[2]tabela de preços'!$A:$G,7,0)</f>
        <v>INDUSTRIAL</v>
      </c>
    </row>
    <row r="1767" spans="1:24" x14ac:dyDescent="0.3">
      <c r="A1767" t="s">
        <v>1524</v>
      </c>
      <c r="B1767" t="s">
        <v>1525</v>
      </c>
      <c r="C1767" t="s">
        <v>1553</v>
      </c>
      <c r="D1767" s="1">
        <v>46045</v>
      </c>
      <c r="E1767" t="s">
        <v>1554</v>
      </c>
      <c r="F1767">
        <v>9</v>
      </c>
      <c r="G1767">
        <v>236</v>
      </c>
      <c r="H1767" t="str">
        <f>VLOOKUP(G1767,[1]OPERADORES!$A:$B,2,0)</f>
        <v>DANIEL</v>
      </c>
      <c r="I1767" t="s">
        <v>21</v>
      </c>
      <c r="J1767" t="s">
        <v>762</v>
      </c>
      <c r="K1767" t="s">
        <v>1528</v>
      </c>
      <c r="L1767">
        <v>85280</v>
      </c>
      <c r="M1767" t="s">
        <v>943</v>
      </c>
      <c r="O1767" t="s">
        <v>11</v>
      </c>
      <c r="P1767">
        <v>5102</v>
      </c>
      <c r="Q1767">
        <v>8</v>
      </c>
      <c r="R1767">
        <v>55.72</v>
      </c>
      <c r="S1767">
        <v>445.76</v>
      </c>
      <c r="T1767">
        <v>338.32</v>
      </c>
      <c r="U1767">
        <v>24.1</v>
      </c>
      <c r="V1767" t="str">
        <f>VLOOKUP(L1767,'[2]tabela de preços'!$A:$D,4,0)</f>
        <v>BRASILUX</v>
      </c>
      <c r="W1767" t="str">
        <f>VLOOKUP(L1767,'[2]tabela de preços'!$A:$F,6,0)</f>
        <v>CATALISADORES INDIVIDUAIS</v>
      </c>
      <c r="X1767" t="str">
        <f>VLOOKUP(L1767,'[2]tabela de preços'!$A:$G,7,0)</f>
        <v>IMOBILIÁRIO</v>
      </c>
    </row>
    <row r="1768" spans="1:24" x14ac:dyDescent="0.3">
      <c r="A1768" t="s">
        <v>1524</v>
      </c>
      <c r="B1768" t="s">
        <v>1525</v>
      </c>
      <c r="C1768" t="s">
        <v>1553</v>
      </c>
      <c r="D1768" s="1">
        <v>46045</v>
      </c>
      <c r="E1768" t="s">
        <v>1554</v>
      </c>
      <c r="F1768">
        <v>9</v>
      </c>
      <c r="G1768">
        <v>236</v>
      </c>
      <c r="H1768" t="str">
        <f>VLOOKUP(G1768,[1]OPERADORES!$A:$B,2,0)</f>
        <v>DANIEL</v>
      </c>
      <c r="I1768" t="s">
        <v>21</v>
      </c>
      <c r="J1768" t="s">
        <v>762</v>
      </c>
      <c r="K1768" t="s">
        <v>1528</v>
      </c>
      <c r="L1768">
        <v>10298</v>
      </c>
      <c r="M1768" t="s">
        <v>85</v>
      </c>
      <c r="O1768" t="s">
        <v>11</v>
      </c>
      <c r="P1768">
        <v>5102</v>
      </c>
      <c r="Q1768">
        <v>4</v>
      </c>
      <c r="R1768">
        <v>56.89</v>
      </c>
      <c r="S1768">
        <v>227.56</v>
      </c>
      <c r="T1768">
        <v>189.52</v>
      </c>
      <c r="U1768">
        <v>16.72</v>
      </c>
      <c r="V1768" t="str">
        <f>VLOOKUP(L1768,'[2]tabela de preços'!$A:$D,4,0)</f>
        <v>ANJO</v>
      </c>
      <c r="W1768" t="str">
        <f>VLOOKUP(L1768,'[2]tabela de preços'!$A:$F,6,0)</f>
        <v>THINNER DE LIMPEZA</v>
      </c>
      <c r="X1768" t="str">
        <f>VLOOKUP(L1768,'[2]tabela de preços'!$A:$G,7,0)</f>
        <v>THINNER</v>
      </c>
    </row>
    <row r="1769" spans="1:24" x14ac:dyDescent="0.3">
      <c r="A1769" t="s">
        <v>1561</v>
      </c>
      <c r="C1769" t="s">
        <v>1598</v>
      </c>
      <c r="D1769" s="1">
        <v>46045</v>
      </c>
      <c r="E1769" t="s">
        <v>1599</v>
      </c>
      <c r="F1769">
        <v>9</v>
      </c>
      <c r="G1769">
        <v>174</v>
      </c>
      <c r="H1769" t="str">
        <f>VLOOKUP(G1769,[1]OPERADORES!$A:$B,2,0)</f>
        <v>MIRIÃ LOBATO RODRIGUES</v>
      </c>
      <c r="I1769" t="s">
        <v>21</v>
      </c>
      <c r="J1769" t="s">
        <v>1564</v>
      </c>
      <c r="K1769" t="s">
        <v>1565</v>
      </c>
      <c r="L1769">
        <v>84029</v>
      </c>
      <c r="M1769" t="s">
        <v>29</v>
      </c>
      <c r="O1769" t="s">
        <v>11</v>
      </c>
      <c r="P1769">
        <v>5102</v>
      </c>
      <c r="Q1769">
        <v>2</v>
      </c>
      <c r="R1769">
        <v>13.47</v>
      </c>
      <c r="S1769">
        <v>26.94</v>
      </c>
      <c r="T1769">
        <v>17.38</v>
      </c>
      <c r="U1769">
        <v>35.49</v>
      </c>
      <c r="V1769" t="str">
        <f>VLOOKUP(L1769,'[2]tabela de preços'!$A:$D,4,0)</f>
        <v>BRASILUX</v>
      </c>
      <c r="W1769" t="str">
        <f>VLOOKUP(L1769,'[2]tabela de preços'!$A:$F,6,0)</f>
        <v>AGUARRAS</v>
      </c>
      <c r="X1769" t="str">
        <f>VLOOKUP(L1769,'[2]tabela de preços'!$A:$G,7,0)</f>
        <v>IMOBILIÁRIO</v>
      </c>
    </row>
    <row r="1770" spans="1:24" x14ac:dyDescent="0.3">
      <c r="A1770" t="s">
        <v>1561</v>
      </c>
      <c r="C1770" t="s">
        <v>1598</v>
      </c>
      <c r="D1770" s="1">
        <v>46045</v>
      </c>
      <c r="E1770" t="s">
        <v>1599</v>
      </c>
      <c r="F1770">
        <v>9</v>
      </c>
      <c r="G1770">
        <v>174</v>
      </c>
      <c r="H1770" t="str">
        <f>VLOOKUP(G1770,[1]OPERADORES!$A:$B,2,0)</f>
        <v>MIRIÃ LOBATO RODRIGUES</v>
      </c>
      <c r="I1770" t="s">
        <v>21</v>
      </c>
      <c r="J1770" t="s">
        <v>1564</v>
      </c>
      <c r="K1770" t="s">
        <v>1565</v>
      </c>
      <c r="L1770">
        <v>84497</v>
      </c>
      <c r="M1770" t="s">
        <v>1159</v>
      </c>
      <c r="O1770" t="s">
        <v>11</v>
      </c>
      <c r="P1770">
        <v>5102</v>
      </c>
      <c r="Q1770">
        <v>2</v>
      </c>
      <c r="R1770">
        <v>9.99</v>
      </c>
      <c r="S1770">
        <v>19.98</v>
      </c>
      <c r="T1770">
        <v>16.28</v>
      </c>
      <c r="U1770">
        <v>18.52</v>
      </c>
      <c r="V1770" t="str">
        <f>VLOOKUP(L1770,'[2]tabela de preços'!$A:$D,4,0)</f>
        <v>BRASILUX</v>
      </c>
      <c r="W1770" t="str">
        <f>VLOOKUP(L1770,'[2]tabela de preços'!$A:$F,6,0)</f>
        <v>THINNER DE LIMPEZA</v>
      </c>
      <c r="X1770" t="str">
        <f>VLOOKUP(L1770,'[2]tabela de preços'!$A:$G,7,0)</f>
        <v>THINNER</v>
      </c>
    </row>
    <row r="1771" spans="1:24" x14ac:dyDescent="0.3">
      <c r="A1771" t="s">
        <v>1701</v>
      </c>
      <c r="C1771" t="s">
        <v>1723</v>
      </c>
      <c r="D1771" s="1">
        <v>46045</v>
      </c>
      <c r="E1771" t="s">
        <v>1724</v>
      </c>
      <c r="F1771">
        <v>9</v>
      </c>
      <c r="G1771">
        <v>197</v>
      </c>
      <c r="H1771" t="str">
        <f>VLOOKUP(G1771,[1]OPERADORES!$A:$B,2,0)</f>
        <v xml:space="preserve">POLIANA LORRANE DE AMORIM </v>
      </c>
      <c r="I1771" t="s">
        <v>21</v>
      </c>
      <c r="J1771" t="s">
        <v>265</v>
      </c>
      <c r="K1771" t="s">
        <v>1704</v>
      </c>
      <c r="L1771">
        <v>84325</v>
      </c>
      <c r="M1771" t="s">
        <v>678</v>
      </c>
      <c r="O1771" t="s">
        <v>11</v>
      </c>
      <c r="P1771">
        <v>5403</v>
      </c>
      <c r="Q1771">
        <v>1</v>
      </c>
      <c r="R1771">
        <v>59.98</v>
      </c>
      <c r="S1771">
        <v>59.98</v>
      </c>
      <c r="T1771">
        <v>52</v>
      </c>
      <c r="U1771">
        <v>13.3</v>
      </c>
      <c r="V1771" t="str">
        <f>VLOOKUP(L1771,'[2]tabela de preços'!$A:$D,4,0)</f>
        <v>BRASILUX</v>
      </c>
      <c r="W1771" t="str">
        <f>VLOOKUP(L1771,'[2]tabela de preços'!$A:$F,6,0)</f>
        <v>ESMALTES</v>
      </c>
      <c r="X1771" t="str">
        <f>VLOOKUP(L1771,'[2]tabela de preços'!$A:$G,7,0)</f>
        <v>INDUSTRIAL</v>
      </c>
    </row>
    <row r="1772" spans="1:24" x14ac:dyDescent="0.3">
      <c r="A1772" t="s">
        <v>1701</v>
      </c>
      <c r="C1772" t="s">
        <v>1723</v>
      </c>
      <c r="D1772" s="1">
        <v>46045</v>
      </c>
      <c r="E1772" t="s">
        <v>1724</v>
      </c>
      <c r="F1772">
        <v>9</v>
      </c>
      <c r="G1772">
        <v>197</v>
      </c>
      <c r="H1772" t="str">
        <f>VLOOKUP(G1772,[1]OPERADORES!$A:$B,2,0)</f>
        <v xml:space="preserve">POLIANA LORRANE DE AMORIM </v>
      </c>
      <c r="I1772" t="s">
        <v>21</v>
      </c>
      <c r="J1772" t="s">
        <v>265</v>
      </c>
      <c r="K1772" t="s">
        <v>1704</v>
      </c>
      <c r="L1772">
        <v>84142</v>
      </c>
      <c r="M1772" t="s">
        <v>1594</v>
      </c>
      <c r="O1772" t="s">
        <v>11</v>
      </c>
      <c r="P1772">
        <v>5403</v>
      </c>
      <c r="Q1772">
        <v>1</v>
      </c>
      <c r="R1772">
        <v>74.94</v>
      </c>
      <c r="S1772">
        <v>74.94</v>
      </c>
      <c r="T1772">
        <v>56.88</v>
      </c>
      <c r="U1772">
        <v>24.1</v>
      </c>
      <c r="V1772" t="str">
        <f>VLOOKUP(L1772,'[2]tabela de preços'!$A:$D,4,0)</f>
        <v>BRASILUX</v>
      </c>
      <c r="W1772" t="str">
        <f>VLOOKUP(L1772,'[2]tabela de preços'!$A:$F,6,0)</f>
        <v>ESMALTES</v>
      </c>
      <c r="X1772" t="str">
        <f>VLOOKUP(L1772,'[2]tabela de preços'!$A:$G,7,0)</f>
        <v>INDUSTRIAL</v>
      </c>
    </row>
    <row r="1773" spans="1:24" x14ac:dyDescent="0.3">
      <c r="A1773" t="s">
        <v>1701</v>
      </c>
      <c r="C1773" t="s">
        <v>1723</v>
      </c>
      <c r="D1773" s="1">
        <v>46045</v>
      </c>
      <c r="E1773" t="s">
        <v>1724</v>
      </c>
      <c r="F1773">
        <v>9</v>
      </c>
      <c r="G1773">
        <v>197</v>
      </c>
      <c r="H1773" t="str">
        <f>VLOOKUP(G1773,[1]OPERADORES!$A:$B,2,0)</f>
        <v xml:space="preserve">POLIANA LORRANE DE AMORIM </v>
      </c>
      <c r="I1773" t="s">
        <v>21</v>
      </c>
      <c r="J1773" t="s">
        <v>265</v>
      </c>
      <c r="K1773" t="s">
        <v>1704</v>
      </c>
      <c r="L1773">
        <v>84143</v>
      </c>
      <c r="M1773" t="s">
        <v>1706</v>
      </c>
      <c r="O1773" t="s">
        <v>11</v>
      </c>
      <c r="P1773">
        <v>5403</v>
      </c>
      <c r="Q1773">
        <v>1</v>
      </c>
      <c r="R1773">
        <v>20.41</v>
      </c>
      <c r="S1773">
        <v>20.41</v>
      </c>
      <c r="T1773">
        <v>15.49</v>
      </c>
      <c r="U1773">
        <v>24.11</v>
      </c>
      <c r="V1773" t="str">
        <f>VLOOKUP(L1773,'[2]tabela de preços'!$A:$D,4,0)</f>
        <v>BRASILUX</v>
      </c>
      <c r="W1773" t="str">
        <f>VLOOKUP(L1773,'[2]tabela de preços'!$A:$F,6,0)</f>
        <v>ESMALTES</v>
      </c>
      <c r="X1773" t="str">
        <f>VLOOKUP(L1773,'[2]tabela de preços'!$A:$G,7,0)</f>
        <v>INDUSTRIAL</v>
      </c>
    </row>
    <row r="1774" spans="1:24" x14ac:dyDescent="0.3">
      <c r="A1774" t="s">
        <v>1701</v>
      </c>
      <c r="C1774" t="s">
        <v>1723</v>
      </c>
      <c r="D1774" s="1">
        <v>46045</v>
      </c>
      <c r="E1774" t="s">
        <v>1724</v>
      </c>
      <c r="F1774">
        <v>9</v>
      </c>
      <c r="G1774">
        <v>197</v>
      </c>
      <c r="H1774" t="str">
        <f>VLOOKUP(G1774,[1]OPERADORES!$A:$B,2,0)</f>
        <v xml:space="preserve">POLIANA LORRANE DE AMORIM </v>
      </c>
      <c r="I1774" t="s">
        <v>21</v>
      </c>
      <c r="J1774" t="s">
        <v>265</v>
      </c>
      <c r="K1774" t="s">
        <v>1704</v>
      </c>
      <c r="L1774">
        <v>84331</v>
      </c>
      <c r="M1774" t="s">
        <v>497</v>
      </c>
      <c r="O1774" t="s">
        <v>11</v>
      </c>
      <c r="P1774">
        <v>5403</v>
      </c>
      <c r="Q1774">
        <v>4</v>
      </c>
      <c r="R1774">
        <v>59.98</v>
      </c>
      <c r="S1774">
        <v>239.92</v>
      </c>
      <c r="T1774">
        <v>208</v>
      </c>
      <c r="U1774">
        <v>13.3</v>
      </c>
      <c r="V1774" t="str">
        <f>VLOOKUP(L1774,'[2]tabela de preços'!$A:$D,4,0)</f>
        <v>BRASILUX</v>
      </c>
      <c r="W1774" t="str">
        <f>VLOOKUP(L1774,'[2]tabela de preços'!$A:$F,6,0)</f>
        <v>ESMALTES</v>
      </c>
      <c r="X1774" t="str">
        <f>VLOOKUP(L1774,'[2]tabela de preços'!$A:$G,7,0)</f>
        <v>INDUSTRIAL</v>
      </c>
    </row>
    <row r="1775" spans="1:24" x14ac:dyDescent="0.3">
      <c r="A1775" t="s">
        <v>1701</v>
      </c>
      <c r="C1775" t="s">
        <v>1723</v>
      </c>
      <c r="D1775" s="1">
        <v>46045</v>
      </c>
      <c r="E1775" t="s">
        <v>1724</v>
      </c>
      <c r="F1775">
        <v>9</v>
      </c>
      <c r="G1775">
        <v>197</v>
      </c>
      <c r="H1775" t="str">
        <f>VLOOKUP(G1775,[1]OPERADORES!$A:$B,2,0)</f>
        <v xml:space="preserve">POLIANA LORRANE DE AMORIM </v>
      </c>
      <c r="I1775" t="s">
        <v>21</v>
      </c>
      <c r="J1775" t="s">
        <v>265</v>
      </c>
      <c r="K1775" t="s">
        <v>1704</v>
      </c>
      <c r="L1775">
        <v>84146</v>
      </c>
      <c r="M1775" t="s">
        <v>1707</v>
      </c>
      <c r="O1775" t="s">
        <v>11</v>
      </c>
      <c r="P1775">
        <v>5403</v>
      </c>
      <c r="Q1775">
        <v>3</v>
      </c>
      <c r="R1775">
        <v>21.56</v>
      </c>
      <c r="S1775">
        <v>64.680000000000007</v>
      </c>
      <c r="T1775">
        <v>49.11</v>
      </c>
      <c r="U1775">
        <v>24.07</v>
      </c>
      <c r="V1775" t="str">
        <f>VLOOKUP(L1775,'[2]tabela de preços'!$A:$D,4,0)</f>
        <v>BRASILUX</v>
      </c>
      <c r="W1775" t="str">
        <f>VLOOKUP(L1775,'[2]tabela de preços'!$A:$F,6,0)</f>
        <v>ESMALTES</v>
      </c>
      <c r="X1775" t="str">
        <f>VLOOKUP(L1775,'[2]tabela de preços'!$A:$G,7,0)</f>
        <v>INDUSTRIAL</v>
      </c>
    </row>
    <row r="1776" spans="1:24" x14ac:dyDescent="0.3">
      <c r="A1776" t="s">
        <v>1701</v>
      </c>
      <c r="C1776" t="s">
        <v>1723</v>
      </c>
      <c r="D1776" s="1">
        <v>46045</v>
      </c>
      <c r="E1776" t="s">
        <v>1724</v>
      </c>
      <c r="F1776">
        <v>9</v>
      </c>
      <c r="G1776">
        <v>197</v>
      </c>
      <c r="H1776" t="str">
        <f>VLOOKUP(G1776,[1]OPERADORES!$A:$B,2,0)</f>
        <v xml:space="preserve">POLIANA LORRANE DE AMORIM </v>
      </c>
      <c r="I1776" t="s">
        <v>21</v>
      </c>
      <c r="J1776" t="s">
        <v>265</v>
      </c>
      <c r="K1776" t="s">
        <v>1704</v>
      </c>
      <c r="L1776">
        <v>84364</v>
      </c>
      <c r="M1776" t="s">
        <v>1725</v>
      </c>
      <c r="O1776" t="s">
        <v>11</v>
      </c>
      <c r="P1776">
        <v>5403</v>
      </c>
      <c r="Q1776">
        <v>1</v>
      </c>
      <c r="R1776">
        <v>19.77</v>
      </c>
      <c r="S1776">
        <v>19.77</v>
      </c>
      <c r="T1776">
        <v>15.01</v>
      </c>
      <c r="U1776">
        <v>24.08</v>
      </c>
      <c r="V1776" t="str">
        <f>VLOOKUP(L1776,'[2]tabela de preços'!$A:$D,4,0)</f>
        <v>BRASILUX</v>
      </c>
      <c r="W1776" t="str">
        <f>VLOOKUP(L1776,'[2]tabela de preços'!$A:$F,6,0)</f>
        <v>ESMALTES</v>
      </c>
      <c r="X1776" t="str">
        <f>VLOOKUP(L1776,'[2]tabela de preços'!$A:$G,7,0)</f>
        <v>INDUSTRIAL</v>
      </c>
    </row>
    <row r="1777" spans="1:24" x14ac:dyDescent="0.3">
      <c r="A1777" t="s">
        <v>1701</v>
      </c>
      <c r="C1777" t="s">
        <v>1723</v>
      </c>
      <c r="D1777" s="1">
        <v>46045</v>
      </c>
      <c r="E1777" t="s">
        <v>1724</v>
      </c>
      <c r="F1777">
        <v>9</v>
      </c>
      <c r="G1777">
        <v>197</v>
      </c>
      <c r="H1777" t="str">
        <f>VLOOKUP(G1777,[1]OPERADORES!$A:$B,2,0)</f>
        <v xml:space="preserve">POLIANA LORRANE DE AMORIM </v>
      </c>
      <c r="I1777" t="s">
        <v>21</v>
      </c>
      <c r="J1777" t="s">
        <v>265</v>
      </c>
      <c r="K1777" t="s">
        <v>1704</v>
      </c>
      <c r="L1777">
        <v>84335</v>
      </c>
      <c r="M1777" t="s">
        <v>269</v>
      </c>
      <c r="O1777" t="s">
        <v>11</v>
      </c>
      <c r="P1777">
        <v>5403</v>
      </c>
      <c r="Q1777">
        <v>4</v>
      </c>
      <c r="R1777">
        <v>59.98</v>
      </c>
      <c r="S1777">
        <v>239.92</v>
      </c>
      <c r="T1777">
        <v>202.6</v>
      </c>
      <c r="U1777">
        <v>15.56</v>
      </c>
      <c r="V1777" t="str">
        <f>VLOOKUP(L1777,'[2]tabela de preços'!$A:$D,4,0)</f>
        <v>BRASILUX</v>
      </c>
      <c r="W1777" t="str">
        <f>VLOOKUP(L1777,'[2]tabela de preços'!$A:$F,6,0)</f>
        <v>ESMALTES</v>
      </c>
      <c r="X1777" t="str">
        <f>VLOOKUP(L1777,'[2]tabela de preços'!$A:$G,7,0)</f>
        <v>INDUSTRIAL</v>
      </c>
    </row>
    <row r="1778" spans="1:24" x14ac:dyDescent="0.3">
      <c r="A1778" t="s">
        <v>1701</v>
      </c>
      <c r="C1778" t="s">
        <v>1723</v>
      </c>
      <c r="D1778" s="1">
        <v>46045</v>
      </c>
      <c r="E1778" t="s">
        <v>1724</v>
      </c>
      <c r="F1778">
        <v>9</v>
      </c>
      <c r="G1778">
        <v>197</v>
      </c>
      <c r="H1778" t="str">
        <f>VLOOKUP(G1778,[1]OPERADORES!$A:$B,2,0)</f>
        <v xml:space="preserve">POLIANA LORRANE DE AMORIM </v>
      </c>
      <c r="I1778" t="s">
        <v>21</v>
      </c>
      <c r="J1778" t="s">
        <v>265</v>
      </c>
      <c r="K1778" t="s">
        <v>1704</v>
      </c>
      <c r="L1778">
        <v>84123</v>
      </c>
      <c r="M1778" t="s">
        <v>296</v>
      </c>
      <c r="O1778" t="s">
        <v>11</v>
      </c>
      <c r="P1778">
        <v>5403</v>
      </c>
      <c r="Q1778">
        <v>4</v>
      </c>
      <c r="R1778">
        <v>19.100000000000001</v>
      </c>
      <c r="S1778">
        <v>76.400000000000006</v>
      </c>
      <c r="T1778">
        <v>58</v>
      </c>
      <c r="U1778">
        <v>24.08</v>
      </c>
      <c r="V1778" t="str">
        <f>VLOOKUP(L1778,'[2]tabela de preços'!$A:$D,4,0)</f>
        <v>BRASILUX</v>
      </c>
      <c r="W1778" t="str">
        <f>VLOOKUP(L1778,'[2]tabela de preços'!$A:$F,6,0)</f>
        <v>ESMALTES</v>
      </c>
      <c r="X1778" t="str">
        <f>VLOOKUP(L1778,'[2]tabela de preços'!$A:$G,7,0)</f>
        <v>INDUSTRIAL</v>
      </c>
    </row>
    <row r="1779" spans="1:24" x14ac:dyDescent="0.3">
      <c r="A1779" t="s">
        <v>1701</v>
      </c>
      <c r="C1779" t="s">
        <v>1723</v>
      </c>
      <c r="D1779" s="1">
        <v>46045</v>
      </c>
      <c r="E1779" t="s">
        <v>1724</v>
      </c>
      <c r="F1779">
        <v>9</v>
      </c>
      <c r="G1779">
        <v>197</v>
      </c>
      <c r="H1779" t="str">
        <f>VLOOKUP(G1779,[1]OPERADORES!$A:$B,2,0)</f>
        <v xml:space="preserve">POLIANA LORRANE DE AMORIM </v>
      </c>
      <c r="I1779" t="s">
        <v>21</v>
      </c>
      <c r="J1779" t="s">
        <v>265</v>
      </c>
      <c r="K1779" t="s">
        <v>1704</v>
      </c>
      <c r="L1779">
        <v>84347</v>
      </c>
      <c r="M1779" t="s">
        <v>1150</v>
      </c>
      <c r="O1779" t="s">
        <v>11</v>
      </c>
      <c r="P1779">
        <v>5403</v>
      </c>
      <c r="Q1779">
        <v>1</v>
      </c>
      <c r="R1779">
        <v>59.98</v>
      </c>
      <c r="S1779">
        <v>59.98</v>
      </c>
      <c r="T1779">
        <v>52</v>
      </c>
      <c r="U1779">
        <v>13.3</v>
      </c>
      <c r="V1779" t="str">
        <f>VLOOKUP(L1779,'[2]tabela de preços'!$A:$D,4,0)</f>
        <v>BRASILUX</v>
      </c>
      <c r="W1779" t="str">
        <f>VLOOKUP(L1779,'[2]tabela de preços'!$A:$F,6,0)</f>
        <v>ESMALTES</v>
      </c>
      <c r="X1779" t="str">
        <f>VLOOKUP(L1779,'[2]tabela de preços'!$A:$G,7,0)</f>
        <v>INDUSTRIAL</v>
      </c>
    </row>
    <row r="1780" spans="1:24" x14ac:dyDescent="0.3">
      <c r="A1780" t="s">
        <v>1701</v>
      </c>
      <c r="C1780" t="s">
        <v>1723</v>
      </c>
      <c r="D1780" s="1">
        <v>46045</v>
      </c>
      <c r="E1780" t="s">
        <v>1724</v>
      </c>
      <c r="F1780">
        <v>9</v>
      </c>
      <c r="G1780">
        <v>197</v>
      </c>
      <c r="H1780" t="str">
        <f>VLOOKUP(G1780,[1]OPERADORES!$A:$B,2,0)</f>
        <v xml:space="preserve">POLIANA LORRANE DE AMORIM </v>
      </c>
      <c r="I1780" t="s">
        <v>21</v>
      </c>
      <c r="J1780" t="s">
        <v>265</v>
      </c>
      <c r="K1780" t="s">
        <v>1704</v>
      </c>
      <c r="L1780">
        <v>86891</v>
      </c>
      <c r="M1780" t="s">
        <v>1726</v>
      </c>
      <c r="O1780" t="s">
        <v>11</v>
      </c>
      <c r="P1780">
        <v>5403</v>
      </c>
      <c r="Q1780">
        <v>2</v>
      </c>
      <c r="R1780">
        <v>235</v>
      </c>
      <c r="S1780">
        <v>470</v>
      </c>
      <c r="T1780">
        <v>385.24</v>
      </c>
      <c r="U1780">
        <v>18.03</v>
      </c>
      <c r="V1780" t="str">
        <f>VLOOKUP(L1780,'[2]tabela de preços'!$A:$D,4,0)</f>
        <v>VEDACIT</v>
      </c>
      <c r="W1780" t="str">
        <f>VLOOKUP(L1780,'[2]tabela de preços'!$A:$F,6,0)</f>
        <v>IMPERMEABILIZANTES</v>
      </c>
      <c r="X1780" t="str">
        <f>VLOOKUP(L1780,'[2]tabela de preços'!$A:$G,7,0)</f>
        <v>IMOBILIÁRIO</v>
      </c>
    </row>
    <row r="1781" spans="1:24" x14ac:dyDescent="0.3">
      <c r="A1781" t="s">
        <v>1790</v>
      </c>
      <c r="C1781" t="s">
        <v>1799</v>
      </c>
      <c r="D1781" s="1">
        <v>46045</v>
      </c>
      <c r="E1781" t="s">
        <v>1800</v>
      </c>
      <c r="F1781">
        <v>9</v>
      </c>
      <c r="G1781">
        <v>197</v>
      </c>
      <c r="H1781" t="str">
        <f>VLOOKUP(G1781,[1]OPERADORES!$A:$B,2,0)</f>
        <v xml:space="preserve">POLIANA LORRANE DE AMORIM </v>
      </c>
      <c r="I1781" t="s">
        <v>1761</v>
      </c>
      <c r="J1781" t="s">
        <v>1793</v>
      </c>
      <c r="K1781" t="s">
        <v>1794</v>
      </c>
      <c r="L1781">
        <v>10316</v>
      </c>
      <c r="M1781" t="s">
        <v>582</v>
      </c>
      <c r="O1781" t="s">
        <v>11</v>
      </c>
      <c r="P1781">
        <v>6102</v>
      </c>
      <c r="Q1781">
        <v>3</v>
      </c>
      <c r="R1781">
        <v>13.89</v>
      </c>
      <c r="S1781">
        <v>41.67</v>
      </c>
      <c r="T1781">
        <v>34.89</v>
      </c>
      <c r="U1781">
        <v>16.27</v>
      </c>
      <c r="V1781" t="str">
        <f>VLOOKUP(L1781,'[2]tabela de preços'!$A:$D,4,0)</f>
        <v>ANJO</v>
      </c>
      <c r="W1781" t="str">
        <f>VLOOKUP(L1781,'[2]tabela de preços'!$A:$F,6,0)</f>
        <v xml:space="preserve">COLA  PLÁSTICA </v>
      </c>
      <c r="X1781" t="str">
        <f>VLOOKUP(L1781,'[2]tabela de preços'!$A:$G,7,0)</f>
        <v>AUTOMOTIVO</v>
      </c>
    </row>
    <row r="1782" spans="1:24" x14ac:dyDescent="0.3">
      <c r="A1782" t="s">
        <v>1790</v>
      </c>
      <c r="C1782" t="s">
        <v>1799</v>
      </c>
      <c r="D1782" s="1">
        <v>46045</v>
      </c>
      <c r="E1782" t="s">
        <v>1800</v>
      </c>
      <c r="F1782">
        <v>9</v>
      </c>
      <c r="G1782">
        <v>197</v>
      </c>
      <c r="H1782" t="str">
        <f>VLOOKUP(G1782,[1]OPERADORES!$A:$B,2,0)</f>
        <v xml:space="preserve">POLIANA LORRANE DE AMORIM </v>
      </c>
      <c r="I1782" t="s">
        <v>1761</v>
      </c>
      <c r="J1782" t="s">
        <v>1793</v>
      </c>
      <c r="K1782" t="s">
        <v>1794</v>
      </c>
      <c r="L1782">
        <v>86892</v>
      </c>
      <c r="M1782" t="s">
        <v>1801</v>
      </c>
      <c r="O1782" t="s">
        <v>11</v>
      </c>
      <c r="P1782">
        <v>6403</v>
      </c>
      <c r="Q1782">
        <v>2</v>
      </c>
      <c r="R1782">
        <v>56.9</v>
      </c>
      <c r="S1782">
        <v>113.8</v>
      </c>
      <c r="T1782">
        <v>92.46</v>
      </c>
      <c r="U1782">
        <v>18.75</v>
      </c>
      <c r="V1782" t="str">
        <f>VLOOKUP(L1782,'[2]tabela de preços'!$A:$D,4,0)</f>
        <v>VEDACIT</v>
      </c>
      <c r="W1782" t="str">
        <f>VLOOKUP(L1782,'[2]tabela de preços'!$A:$F,6,0)</f>
        <v>IMPERMEABILIZANTES</v>
      </c>
      <c r="X1782" t="str">
        <f>VLOOKUP(L1782,'[2]tabela de preços'!$A:$G,7,0)</f>
        <v>IMOBILIÁRIO</v>
      </c>
    </row>
    <row r="1783" spans="1:24" x14ac:dyDescent="0.3">
      <c r="A1783" t="s">
        <v>1790</v>
      </c>
      <c r="C1783" t="s">
        <v>1799</v>
      </c>
      <c r="D1783" s="1">
        <v>46045</v>
      </c>
      <c r="E1783" t="s">
        <v>1800</v>
      </c>
      <c r="F1783">
        <v>9</v>
      </c>
      <c r="G1783">
        <v>197</v>
      </c>
      <c r="H1783" t="str">
        <f>VLOOKUP(G1783,[1]OPERADORES!$A:$B,2,0)</f>
        <v xml:space="preserve">POLIANA LORRANE DE AMORIM </v>
      </c>
      <c r="I1783" t="s">
        <v>1761</v>
      </c>
      <c r="J1783" t="s">
        <v>1793</v>
      </c>
      <c r="K1783" t="s">
        <v>1794</v>
      </c>
      <c r="L1783">
        <v>10277</v>
      </c>
      <c r="M1783" t="s">
        <v>135</v>
      </c>
      <c r="O1783" t="s">
        <v>11</v>
      </c>
      <c r="P1783">
        <v>6102</v>
      </c>
      <c r="Q1783">
        <v>3</v>
      </c>
      <c r="R1783">
        <v>15.89</v>
      </c>
      <c r="S1783">
        <v>47.67</v>
      </c>
      <c r="T1783">
        <v>38.64</v>
      </c>
      <c r="U1783">
        <v>18.940000000000001</v>
      </c>
      <c r="V1783" t="str">
        <f>VLOOKUP(L1783,'[2]tabela de preços'!$A:$D,4,0)</f>
        <v>RETOQUE</v>
      </c>
      <c r="W1783" t="str">
        <f>VLOOKUP(L1783,'[2]tabela de preços'!$A:$F,6,0)</f>
        <v xml:space="preserve">COLA  PLÁSTICA </v>
      </c>
      <c r="X1783" t="str">
        <f>VLOOKUP(L1783,'[2]tabela de preços'!$A:$G,7,0)</f>
        <v>AUTOMOTIVO</v>
      </c>
    </row>
    <row r="1784" spans="1:24" x14ac:dyDescent="0.3">
      <c r="A1784" t="s">
        <v>1790</v>
      </c>
      <c r="C1784" t="s">
        <v>1799</v>
      </c>
      <c r="D1784" s="1">
        <v>46045</v>
      </c>
      <c r="E1784" t="s">
        <v>1800</v>
      </c>
      <c r="F1784">
        <v>9</v>
      </c>
      <c r="G1784">
        <v>197</v>
      </c>
      <c r="H1784" t="str">
        <f>VLOOKUP(G1784,[1]OPERADORES!$A:$B,2,0)</f>
        <v xml:space="preserve">POLIANA LORRANE DE AMORIM </v>
      </c>
      <c r="I1784" t="s">
        <v>1761</v>
      </c>
      <c r="J1784" t="s">
        <v>1793</v>
      </c>
      <c r="K1784" t="s">
        <v>1794</v>
      </c>
      <c r="L1784">
        <v>13</v>
      </c>
      <c r="M1784" t="s">
        <v>152</v>
      </c>
      <c r="O1784" t="s">
        <v>11</v>
      </c>
      <c r="P1784">
        <v>6102</v>
      </c>
      <c r="Q1784">
        <v>50</v>
      </c>
      <c r="R1784">
        <v>5.79</v>
      </c>
      <c r="S1784">
        <v>289.5</v>
      </c>
      <c r="T1784">
        <v>208</v>
      </c>
      <c r="U1784">
        <v>28.15</v>
      </c>
      <c r="V1784" t="str">
        <f>VLOOKUP(L1784,'[2]tabela de preços'!$A:$D,4,0)</f>
        <v>3M</v>
      </c>
      <c r="W1784" t="str">
        <f>VLOOKUP(L1784,'[2]tabela de preços'!$A:$F,6,0)</f>
        <v>LIXA DÁGUA</v>
      </c>
      <c r="X1784" t="str">
        <f>VLOOKUP(L1784,'[2]tabela de preços'!$A:$G,7,0)</f>
        <v>AUTOMOTIVO</v>
      </c>
    </row>
    <row r="1785" spans="1:24" x14ac:dyDescent="0.3">
      <c r="A1785" t="s">
        <v>1790</v>
      </c>
      <c r="C1785" t="s">
        <v>1799</v>
      </c>
      <c r="D1785" s="1">
        <v>46045</v>
      </c>
      <c r="E1785" t="s">
        <v>1800</v>
      </c>
      <c r="F1785">
        <v>9</v>
      </c>
      <c r="G1785">
        <v>197</v>
      </c>
      <c r="H1785" t="str">
        <f>VLOOKUP(G1785,[1]OPERADORES!$A:$B,2,0)</f>
        <v xml:space="preserve">POLIANA LORRANE DE AMORIM </v>
      </c>
      <c r="I1785" t="s">
        <v>1761</v>
      </c>
      <c r="J1785" t="s">
        <v>1793</v>
      </c>
      <c r="K1785" t="s">
        <v>1794</v>
      </c>
      <c r="L1785">
        <v>15</v>
      </c>
      <c r="M1785" t="s">
        <v>205</v>
      </c>
      <c r="O1785" t="s">
        <v>11</v>
      </c>
      <c r="P1785">
        <v>6102</v>
      </c>
      <c r="Q1785">
        <v>50</v>
      </c>
      <c r="R1785">
        <v>5.79</v>
      </c>
      <c r="S1785">
        <v>289.5</v>
      </c>
      <c r="T1785">
        <v>208</v>
      </c>
      <c r="U1785">
        <v>28.15</v>
      </c>
      <c r="V1785" t="str">
        <f>VLOOKUP(L1785,'[2]tabela de preços'!$A:$D,4,0)</f>
        <v>3M</v>
      </c>
      <c r="W1785" t="str">
        <f>VLOOKUP(L1785,'[2]tabela de preços'!$A:$F,6,0)</f>
        <v>LIXA DÁGUA</v>
      </c>
      <c r="X1785" t="str">
        <f>VLOOKUP(L1785,'[2]tabela de preços'!$A:$G,7,0)</f>
        <v>AUTOMOTIVO</v>
      </c>
    </row>
    <row r="1786" spans="1:24" x14ac:dyDescent="0.3">
      <c r="A1786" t="s">
        <v>1790</v>
      </c>
      <c r="C1786" t="s">
        <v>1799</v>
      </c>
      <c r="D1786" s="1">
        <v>46045</v>
      </c>
      <c r="E1786" t="s">
        <v>1800</v>
      </c>
      <c r="F1786">
        <v>9</v>
      </c>
      <c r="G1786">
        <v>197</v>
      </c>
      <c r="H1786" t="str">
        <f>VLOOKUP(G1786,[1]OPERADORES!$A:$B,2,0)</f>
        <v xml:space="preserve">POLIANA LORRANE DE AMORIM </v>
      </c>
      <c r="I1786" t="s">
        <v>1761</v>
      </c>
      <c r="J1786" t="s">
        <v>1793</v>
      </c>
      <c r="K1786" t="s">
        <v>1794</v>
      </c>
      <c r="L1786">
        <v>85626</v>
      </c>
      <c r="M1786" t="s">
        <v>1040</v>
      </c>
      <c r="O1786" t="s">
        <v>11</v>
      </c>
      <c r="P1786">
        <v>6102</v>
      </c>
      <c r="Q1786">
        <v>6</v>
      </c>
      <c r="R1786">
        <v>34.9</v>
      </c>
      <c r="S1786">
        <v>209.4</v>
      </c>
      <c r="T1786">
        <v>172.08</v>
      </c>
      <c r="U1786">
        <v>17.82</v>
      </c>
      <c r="V1786" t="str">
        <f>VLOOKUP(L1786,'[2]tabela de preços'!$A:$D,4,0)</f>
        <v>WD-40</v>
      </c>
      <c r="W1786" t="str">
        <f>VLOOKUP(L1786,'[2]tabela de preços'!$A:$F,6,0)</f>
        <v>DESENGRIPANTE</v>
      </c>
      <c r="X1786" t="str">
        <f>VLOOKUP(L1786,'[2]tabela de preços'!$A:$G,7,0)</f>
        <v>AUTOMOTIVO</v>
      </c>
    </row>
    <row r="1787" spans="1:24" x14ac:dyDescent="0.3">
      <c r="A1787" t="s">
        <v>1790</v>
      </c>
      <c r="C1787" t="s">
        <v>1799</v>
      </c>
      <c r="D1787" s="1">
        <v>46045</v>
      </c>
      <c r="E1787" t="s">
        <v>1800</v>
      </c>
      <c r="F1787">
        <v>9</v>
      </c>
      <c r="G1787">
        <v>197</v>
      </c>
      <c r="H1787" t="str">
        <f>VLOOKUP(G1787,[1]OPERADORES!$A:$B,2,0)</f>
        <v xml:space="preserve">POLIANA LORRANE DE AMORIM </v>
      </c>
      <c r="I1787" t="s">
        <v>1761</v>
      </c>
      <c r="J1787" t="s">
        <v>1793</v>
      </c>
      <c r="K1787" t="s">
        <v>1794</v>
      </c>
      <c r="L1787">
        <v>86984</v>
      </c>
      <c r="M1787" t="s">
        <v>720</v>
      </c>
      <c r="O1787" t="s">
        <v>11</v>
      </c>
      <c r="P1787">
        <v>6102</v>
      </c>
      <c r="Q1787">
        <v>4</v>
      </c>
      <c r="R1787">
        <v>44.9</v>
      </c>
      <c r="S1787">
        <v>179.6</v>
      </c>
      <c r="T1787">
        <v>148.84</v>
      </c>
      <c r="U1787">
        <v>17.13</v>
      </c>
      <c r="V1787" t="str">
        <f>VLOOKUP(L1787,'[2]tabela de preços'!$A:$D,4,0)</f>
        <v>ARPREX</v>
      </c>
      <c r="W1787" t="str">
        <f>VLOOKUP(L1787,'[2]tabela de preços'!$A:$F,6,0)</f>
        <v>PISTOLAS</v>
      </c>
      <c r="X1787" t="str">
        <f>VLOOKUP(L1787,'[2]tabela de preços'!$A:$G,7,0)</f>
        <v>IMOBILIÁRIO</v>
      </c>
    </row>
    <row r="1788" spans="1:24" x14ac:dyDescent="0.3">
      <c r="A1788" t="s">
        <v>1790</v>
      </c>
      <c r="C1788" t="s">
        <v>1799</v>
      </c>
      <c r="D1788" s="1">
        <v>46045</v>
      </c>
      <c r="E1788" t="s">
        <v>1800</v>
      </c>
      <c r="F1788">
        <v>9</v>
      </c>
      <c r="G1788">
        <v>197</v>
      </c>
      <c r="H1788" t="str">
        <f>VLOOKUP(G1788,[1]OPERADORES!$A:$B,2,0)</f>
        <v xml:space="preserve">POLIANA LORRANE DE AMORIM </v>
      </c>
      <c r="I1788" t="s">
        <v>1761</v>
      </c>
      <c r="J1788" t="s">
        <v>1793</v>
      </c>
      <c r="K1788" t="s">
        <v>1794</v>
      </c>
      <c r="L1788">
        <v>10298</v>
      </c>
      <c r="M1788" t="s">
        <v>85</v>
      </c>
      <c r="O1788" t="s">
        <v>11</v>
      </c>
      <c r="P1788">
        <v>6102</v>
      </c>
      <c r="Q1788">
        <v>4</v>
      </c>
      <c r="R1788">
        <v>56.89</v>
      </c>
      <c r="S1788">
        <v>227.56</v>
      </c>
      <c r="T1788">
        <v>189.52</v>
      </c>
      <c r="U1788">
        <v>16.72</v>
      </c>
      <c r="V1788" t="str">
        <f>VLOOKUP(L1788,'[2]tabela de preços'!$A:$D,4,0)</f>
        <v>ANJO</v>
      </c>
      <c r="W1788" t="str">
        <f>VLOOKUP(L1788,'[2]tabela de preços'!$A:$F,6,0)</f>
        <v>THINNER DE LIMPEZA</v>
      </c>
      <c r="X1788" t="str">
        <f>VLOOKUP(L1788,'[2]tabela de preços'!$A:$G,7,0)</f>
        <v>THINNER</v>
      </c>
    </row>
    <row r="1789" spans="1:24" x14ac:dyDescent="0.3">
      <c r="A1789" t="s">
        <v>1813</v>
      </c>
      <c r="C1789" t="s">
        <v>1814</v>
      </c>
      <c r="D1789" s="1">
        <v>46045</v>
      </c>
      <c r="E1789" t="s">
        <v>1815</v>
      </c>
      <c r="F1789">
        <v>9</v>
      </c>
      <c r="G1789">
        <v>230</v>
      </c>
      <c r="H1789" t="str">
        <f>VLOOKUP(G1789,[1]OPERADORES!$A:$B,2,0)</f>
        <v>SÔNIA</v>
      </c>
      <c r="I1789" t="s">
        <v>21</v>
      </c>
      <c r="J1789" t="s">
        <v>1816</v>
      </c>
      <c r="K1789" t="s">
        <v>1817</v>
      </c>
      <c r="L1789">
        <v>84026</v>
      </c>
      <c r="M1789" t="s">
        <v>816</v>
      </c>
      <c r="O1789" t="s">
        <v>11</v>
      </c>
      <c r="P1789">
        <v>5102</v>
      </c>
      <c r="Q1789">
        <v>12</v>
      </c>
      <c r="R1789">
        <v>9.15</v>
      </c>
      <c r="S1789">
        <v>109.8</v>
      </c>
      <c r="T1789">
        <v>83.4</v>
      </c>
      <c r="U1789">
        <v>24.04</v>
      </c>
      <c r="V1789" t="str">
        <f>VLOOKUP(L1789,'[2]tabela de preços'!$A:$D,4,0)</f>
        <v>BRASILUX</v>
      </c>
      <c r="W1789" t="str">
        <f>VLOOKUP(L1789,'[2]tabela de preços'!$A:$F,6,0)</f>
        <v>CATALISADORES INDIVIDUAIS</v>
      </c>
      <c r="X1789" t="str">
        <f>VLOOKUP(L1789,'[2]tabela de preços'!$A:$G,7,0)</f>
        <v>IMOBILIÁRIO</v>
      </c>
    </row>
    <row r="1790" spans="1:24" x14ac:dyDescent="0.3">
      <c r="A1790" t="s">
        <v>1813</v>
      </c>
      <c r="C1790" t="s">
        <v>1814</v>
      </c>
      <c r="D1790" s="1">
        <v>46045</v>
      </c>
      <c r="E1790" t="s">
        <v>1815</v>
      </c>
      <c r="F1790">
        <v>9</v>
      </c>
      <c r="G1790">
        <v>230</v>
      </c>
      <c r="H1790" t="str">
        <f>VLOOKUP(G1790,[1]OPERADORES!$A:$B,2,0)</f>
        <v>SÔNIA</v>
      </c>
      <c r="I1790" t="s">
        <v>21</v>
      </c>
      <c r="J1790" t="s">
        <v>1816</v>
      </c>
      <c r="K1790" t="s">
        <v>1817</v>
      </c>
      <c r="L1790">
        <v>9751</v>
      </c>
      <c r="M1790" t="s">
        <v>1333</v>
      </c>
      <c r="O1790" t="s">
        <v>11</v>
      </c>
      <c r="P1790">
        <v>5102</v>
      </c>
      <c r="Q1790">
        <v>4</v>
      </c>
      <c r="R1790">
        <v>58.78</v>
      </c>
      <c r="S1790">
        <v>235.12</v>
      </c>
      <c r="T1790">
        <v>178.44</v>
      </c>
      <c r="U1790">
        <v>24.11</v>
      </c>
      <c r="V1790" t="str">
        <f>VLOOKUP(L1790,'[2]tabela de preços'!$A:$D,4,0)</f>
        <v>3M</v>
      </c>
      <c r="W1790" t="str">
        <f>VLOOKUP(L1790,'[2]tabela de preços'!$A:$F,6,0)</f>
        <v xml:space="preserve">LÍQUIDOS P/ POLIMENTO </v>
      </c>
      <c r="X1790" t="str">
        <f>VLOOKUP(L1790,'[2]tabela de preços'!$A:$G,7,0)</f>
        <v>AUTOMOTIVO</v>
      </c>
    </row>
    <row r="1791" spans="1:24" x14ac:dyDescent="0.3">
      <c r="A1791" t="s">
        <v>1813</v>
      </c>
      <c r="C1791" t="s">
        <v>1814</v>
      </c>
      <c r="D1791" s="1">
        <v>46045</v>
      </c>
      <c r="E1791" t="s">
        <v>1815</v>
      </c>
      <c r="F1791">
        <v>9</v>
      </c>
      <c r="G1791">
        <v>230</v>
      </c>
      <c r="H1791" t="str">
        <f>VLOOKUP(G1791,[1]OPERADORES!$A:$B,2,0)</f>
        <v>SÔNIA</v>
      </c>
      <c r="I1791" t="s">
        <v>21</v>
      </c>
      <c r="J1791" t="s">
        <v>1816</v>
      </c>
      <c r="K1791" t="s">
        <v>1817</v>
      </c>
      <c r="L1791">
        <v>23458</v>
      </c>
      <c r="M1791" t="s">
        <v>697</v>
      </c>
      <c r="O1791" t="s">
        <v>11</v>
      </c>
      <c r="P1791">
        <v>5102</v>
      </c>
      <c r="Q1791">
        <v>4</v>
      </c>
      <c r="R1791">
        <v>58.02</v>
      </c>
      <c r="S1791">
        <v>232.08</v>
      </c>
      <c r="T1791">
        <v>176.16</v>
      </c>
      <c r="U1791">
        <v>24.1</v>
      </c>
      <c r="V1791" t="str">
        <f>VLOOKUP(L1791,'[2]tabela de preços'!$A:$D,4,0)</f>
        <v>3M</v>
      </c>
      <c r="W1791" t="str">
        <f>VLOOKUP(L1791,'[2]tabela de preços'!$A:$F,6,0)</f>
        <v xml:space="preserve">LÍQUIDOS P/ POLIMENTO </v>
      </c>
      <c r="X1791" t="str">
        <f>VLOOKUP(L1791,'[2]tabela de preços'!$A:$G,7,0)</f>
        <v>AUTOMOTIVO</v>
      </c>
    </row>
    <row r="1792" spans="1:24" x14ac:dyDescent="0.3">
      <c r="A1792" t="s">
        <v>1813</v>
      </c>
      <c r="C1792" t="s">
        <v>1814</v>
      </c>
      <c r="D1792" s="1">
        <v>46045</v>
      </c>
      <c r="E1792" t="s">
        <v>1815</v>
      </c>
      <c r="F1792">
        <v>9</v>
      </c>
      <c r="G1792">
        <v>230</v>
      </c>
      <c r="H1792" t="str">
        <f>VLOOKUP(G1792,[1]OPERADORES!$A:$B,2,0)</f>
        <v>SÔNIA</v>
      </c>
      <c r="I1792" t="s">
        <v>21</v>
      </c>
      <c r="J1792" t="s">
        <v>1816</v>
      </c>
      <c r="K1792" t="s">
        <v>1817</v>
      </c>
      <c r="L1792">
        <v>13</v>
      </c>
      <c r="M1792" t="s">
        <v>152</v>
      </c>
      <c r="O1792" t="s">
        <v>11</v>
      </c>
      <c r="P1792">
        <v>5102</v>
      </c>
      <c r="Q1792">
        <v>200</v>
      </c>
      <c r="R1792">
        <v>5.79</v>
      </c>
      <c r="S1792" s="2">
        <v>1158</v>
      </c>
      <c r="T1792">
        <v>832</v>
      </c>
      <c r="U1792">
        <v>28.15</v>
      </c>
      <c r="V1792" t="str">
        <f>VLOOKUP(L1792,'[2]tabela de preços'!$A:$D,4,0)</f>
        <v>3M</v>
      </c>
      <c r="W1792" t="str">
        <f>VLOOKUP(L1792,'[2]tabela de preços'!$A:$F,6,0)</f>
        <v>LIXA DÁGUA</v>
      </c>
      <c r="X1792" t="str">
        <f>VLOOKUP(L1792,'[2]tabela de preços'!$A:$G,7,0)</f>
        <v>AUTOMOTIVO</v>
      </c>
    </row>
    <row r="1793" spans="1:24" x14ac:dyDescent="0.3">
      <c r="A1793" t="s">
        <v>1813</v>
      </c>
      <c r="C1793" t="s">
        <v>1814</v>
      </c>
      <c r="D1793" s="1">
        <v>46045</v>
      </c>
      <c r="E1793" t="s">
        <v>1815</v>
      </c>
      <c r="F1793">
        <v>9</v>
      </c>
      <c r="G1793">
        <v>230</v>
      </c>
      <c r="H1793" t="str">
        <f>VLOOKUP(G1793,[1]OPERADORES!$A:$B,2,0)</f>
        <v>SÔNIA</v>
      </c>
      <c r="I1793" t="s">
        <v>21</v>
      </c>
      <c r="J1793" t="s">
        <v>1816</v>
      </c>
      <c r="K1793" t="s">
        <v>1817</v>
      </c>
      <c r="L1793">
        <v>16</v>
      </c>
      <c r="M1793" t="s">
        <v>122</v>
      </c>
      <c r="O1793" t="s">
        <v>11</v>
      </c>
      <c r="P1793">
        <v>5102</v>
      </c>
      <c r="Q1793">
        <v>100</v>
      </c>
      <c r="R1793">
        <v>2.9</v>
      </c>
      <c r="S1793">
        <v>290</v>
      </c>
      <c r="T1793">
        <v>220</v>
      </c>
      <c r="U1793">
        <v>24.14</v>
      </c>
      <c r="V1793" t="str">
        <f>VLOOKUP(L1793,'[2]tabela de preços'!$A:$D,4,0)</f>
        <v>3M</v>
      </c>
      <c r="W1793" t="str">
        <f>VLOOKUP(L1793,'[2]tabela de preços'!$A:$F,6,0)</f>
        <v>LIXA DÁGUA</v>
      </c>
      <c r="X1793" t="str">
        <f>VLOOKUP(L1793,'[2]tabela de preços'!$A:$G,7,0)</f>
        <v>AUTOMOTIVO</v>
      </c>
    </row>
    <row r="1794" spans="1:24" x14ac:dyDescent="0.3">
      <c r="A1794" t="s">
        <v>1813</v>
      </c>
      <c r="C1794" t="s">
        <v>1814</v>
      </c>
      <c r="D1794" s="1">
        <v>46045</v>
      </c>
      <c r="E1794" t="s">
        <v>1815</v>
      </c>
      <c r="F1794">
        <v>9</v>
      </c>
      <c r="G1794">
        <v>230</v>
      </c>
      <c r="H1794" t="str">
        <f>VLOOKUP(G1794,[1]OPERADORES!$A:$B,2,0)</f>
        <v>SÔNIA</v>
      </c>
      <c r="I1794" t="s">
        <v>21</v>
      </c>
      <c r="J1794" t="s">
        <v>1816</v>
      </c>
      <c r="K1794" t="s">
        <v>1817</v>
      </c>
      <c r="L1794">
        <v>85189</v>
      </c>
      <c r="M1794" t="s">
        <v>197</v>
      </c>
      <c r="O1794" t="s">
        <v>11</v>
      </c>
      <c r="P1794">
        <v>5102</v>
      </c>
      <c r="Q1794">
        <v>5</v>
      </c>
      <c r="R1794">
        <v>177.9</v>
      </c>
      <c r="S1794">
        <v>889.5</v>
      </c>
      <c r="T1794">
        <v>690.75</v>
      </c>
      <c r="U1794">
        <v>22.34</v>
      </c>
      <c r="V1794" t="str">
        <f>VLOOKUP(L1794,'[2]tabela de preços'!$A:$D,4,0)</f>
        <v>PDR</v>
      </c>
      <c r="W1794" t="str">
        <f>VLOOKUP(L1794,'[2]tabela de preços'!$A:$F,6,0)</f>
        <v>PISTOLAS</v>
      </c>
      <c r="X1794" t="str">
        <f>VLOOKUP(L1794,'[2]tabela de preços'!$A:$G,7,0)</f>
        <v>AUTOMOTIVO</v>
      </c>
    </row>
    <row r="1795" spans="1:24" x14ac:dyDescent="0.3">
      <c r="A1795" t="s">
        <v>1813</v>
      </c>
      <c r="C1795" t="s">
        <v>1814</v>
      </c>
      <c r="D1795" s="1">
        <v>46045</v>
      </c>
      <c r="E1795" t="s">
        <v>1815</v>
      </c>
      <c r="F1795">
        <v>9</v>
      </c>
      <c r="G1795">
        <v>230</v>
      </c>
      <c r="H1795" t="str">
        <f>VLOOKUP(G1795,[1]OPERADORES!$A:$B,2,0)</f>
        <v>SÔNIA</v>
      </c>
      <c r="I1795" t="s">
        <v>21</v>
      </c>
      <c r="J1795" t="s">
        <v>1816</v>
      </c>
      <c r="K1795" t="s">
        <v>1817</v>
      </c>
      <c r="L1795">
        <v>24354</v>
      </c>
      <c r="M1795" t="s">
        <v>1818</v>
      </c>
      <c r="O1795" t="s">
        <v>11</v>
      </c>
      <c r="P1795">
        <v>5403</v>
      </c>
      <c r="Q1795">
        <v>1</v>
      </c>
      <c r="R1795">
        <v>320.31</v>
      </c>
      <c r="S1795">
        <v>320.31</v>
      </c>
      <c r="T1795">
        <v>243.12</v>
      </c>
      <c r="U1795">
        <v>24.1</v>
      </c>
      <c r="V1795" t="str">
        <f>VLOOKUP(L1795,'[2]tabela de preços'!$A:$D,4,0)</f>
        <v>BRASILUX</v>
      </c>
      <c r="W1795" t="str">
        <f>VLOOKUP(L1795,'[2]tabela de preços'!$A:$F,6,0)</f>
        <v xml:space="preserve">BASES SISTEMA NO MACHINE </v>
      </c>
      <c r="X1795" t="str">
        <f>VLOOKUP(L1795,'[2]tabela de preços'!$A:$G,7,0)</f>
        <v>INDUSTRIAL</v>
      </c>
    </row>
    <row r="1796" spans="1:24" x14ac:dyDescent="0.3">
      <c r="A1796" t="s">
        <v>1824</v>
      </c>
      <c r="B1796" t="s">
        <v>1825</v>
      </c>
      <c r="C1796" t="s">
        <v>1834</v>
      </c>
      <c r="D1796" s="1">
        <v>46045</v>
      </c>
      <c r="E1796" t="s">
        <v>1835</v>
      </c>
      <c r="F1796">
        <v>9</v>
      </c>
      <c r="G1796">
        <v>197</v>
      </c>
      <c r="H1796" t="str">
        <f>VLOOKUP(G1796,[1]OPERADORES!$A:$B,2,0)</f>
        <v xml:space="preserve">POLIANA LORRANE DE AMORIM </v>
      </c>
      <c r="I1796" t="s">
        <v>21</v>
      </c>
      <c r="J1796" t="s">
        <v>1788</v>
      </c>
      <c r="K1796" t="s">
        <v>1828</v>
      </c>
      <c r="L1796">
        <v>10236</v>
      </c>
      <c r="M1796" t="s">
        <v>133</v>
      </c>
      <c r="O1796" t="s">
        <v>11</v>
      </c>
      <c r="P1796">
        <v>5102</v>
      </c>
      <c r="Q1796">
        <v>10</v>
      </c>
      <c r="R1796">
        <v>2.79</v>
      </c>
      <c r="S1796">
        <v>27.9</v>
      </c>
      <c r="T1796">
        <v>23.2</v>
      </c>
      <c r="U1796">
        <v>16.850000000000001</v>
      </c>
      <c r="V1796" t="str">
        <f>VLOOKUP(L1796,'[2]tabela de preços'!$A:$D,4,0)</f>
        <v>NORTON</v>
      </c>
      <c r="W1796" t="str">
        <f>VLOOKUP(L1796,'[2]tabela de preços'!$A:$F,6,0)</f>
        <v xml:space="preserve">DISCOS / LIXAS / ABRASIVOS </v>
      </c>
      <c r="X1796" t="str">
        <f>VLOOKUP(L1796,'[2]tabela de preços'!$A:$G,7,0)</f>
        <v>AUTOMOTIVO</v>
      </c>
    </row>
    <row r="1797" spans="1:24" x14ac:dyDescent="0.3">
      <c r="A1797" t="s">
        <v>1824</v>
      </c>
      <c r="B1797" t="s">
        <v>1825</v>
      </c>
      <c r="C1797" t="s">
        <v>1834</v>
      </c>
      <c r="D1797" s="1">
        <v>46045</v>
      </c>
      <c r="E1797" t="s">
        <v>1835</v>
      </c>
      <c r="F1797">
        <v>9</v>
      </c>
      <c r="G1797">
        <v>197</v>
      </c>
      <c r="H1797" t="str">
        <f>VLOOKUP(G1797,[1]OPERADORES!$A:$B,2,0)</f>
        <v xml:space="preserve">POLIANA LORRANE DE AMORIM </v>
      </c>
      <c r="I1797" t="s">
        <v>21</v>
      </c>
      <c r="J1797" t="s">
        <v>1788</v>
      </c>
      <c r="K1797" t="s">
        <v>1828</v>
      </c>
      <c r="L1797">
        <v>10230</v>
      </c>
      <c r="M1797" t="s">
        <v>193</v>
      </c>
      <c r="O1797" t="s">
        <v>11</v>
      </c>
      <c r="P1797">
        <v>5102</v>
      </c>
      <c r="Q1797">
        <v>10</v>
      </c>
      <c r="R1797">
        <v>2.79</v>
      </c>
      <c r="S1797">
        <v>27.9</v>
      </c>
      <c r="T1797">
        <v>23.2</v>
      </c>
      <c r="U1797">
        <v>16.850000000000001</v>
      </c>
      <c r="V1797" t="str">
        <f>VLOOKUP(L1797,'[2]tabela de preços'!$A:$D,4,0)</f>
        <v>NORTON</v>
      </c>
      <c r="W1797" t="str">
        <f>VLOOKUP(L1797,'[2]tabela de preços'!$A:$F,6,0)</f>
        <v xml:space="preserve">DISCOS / LIXAS / ABRASIVOS </v>
      </c>
      <c r="X1797" t="str">
        <f>VLOOKUP(L1797,'[2]tabela de preços'!$A:$G,7,0)</f>
        <v>AUTOMOTIVO</v>
      </c>
    </row>
    <row r="1798" spans="1:24" x14ac:dyDescent="0.3">
      <c r="A1798" t="s">
        <v>1824</v>
      </c>
      <c r="B1798" t="s">
        <v>1825</v>
      </c>
      <c r="C1798" t="s">
        <v>1834</v>
      </c>
      <c r="D1798" s="1">
        <v>46045</v>
      </c>
      <c r="E1798" t="s">
        <v>1835</v>
      </c>
      <c r="F1798">
        <v>9</v>
      </c>
      <c r="G1798">
        <v>197</v>
      </c>
      <c r="H1798" t="str">
        <f>VLOOKUP(G1798,[1]OPERADORES!$A:$B,2,0)</f>
        <v xml:space="preserve">POLIANA LORRANE DE AMORIM </v>
      </c>
      <c r="I1798" t="s">
        <v>21</v>
      </c>
      <c r="J1798" t="s">
        <v>1788</v>
      </c>
      <c r="K1798" t="s">
        <v>1828</v>
      </c>
      <c r="L1798">
        <v>24240</v>
      </c>
      <c r="M1798" t="s">
        <v>240</v>
      </c>
      <c r="O1798" t="s">
        <v>11</v>
      </c>
      <c r="P1798">
        <v>5102</v>
      </c>
      <c r="Q1798">
        <v>20</v>
      </c>
      <c r="R1798">
        <v>3.81</v>
      </c>
      <c r="S1798">
        <v>76.2</v>
      </c>
      <c r="T1798">
        <v>65.599999999999994</v>
      </c>
      <c r="U1798">
        <v>13.91</v>
      </c>
      <c r="V1798" t="str">
        <f>VLOOKUP(L1798,'[2]tabela de preços'!$A:$D,4,0)</f>
        <v>ADERE</v>
      </c>
      <c r="W1798" t="str">
        <f>VLOOKUP(L1798,'[2]tabela de preços'!$A:$F,6,0)</f>
        <v>FITA AUTOMOTIVA</v>
      </c>
      <c r="X1798" t="str">
        <f>VLOOKUP(L1798,'[2]tabela de preços'!$A:$G,7,0)</f>
        <v>AUTOMOTIVO</v>
      </c>
    </row>
    <row r="1799" spans="1:24" x14ac:dyDescent="0.3">
      <c r="A1799" t="s">
        <v>1824</v>
      </c>
      <c r="B1799" t="s">
        <v>1825</v>
      </c>
      <c r="C1799" t="s">
        <v>1834</v>
      </c>
      <c r="D1799" s="1">
        <v>46045</v>
      </c>
      <c r="E1799" t="s">
        <v>1835</v>
      </c>
      <c r="F1799">
        <v>9</v>
      </c>
      <c r="G1799">
        <v>197</v>
      </c>
      <c r="H1799" t="str">
        <f>VLOOKUP(G1799,[1]OPERADORES!$A:$B,2,0)</f>
        <v xml:space="preserve">POLIANA LORRANE DE AMORIM </v>
      </c>
      <c r="I1799" t="s">
        <v>21</v>
      </c>
      <c r="J1799" t="s">
        <v>1788</v>
      </c>
      <c r="K1799" t="s">
        <v>1828</v>
      </c>
      <c r="L1799">
        <v>23690</v>
      </c>
      <c r="M1799" t="s">
        <v>98</v>
      </c>
      <c r="O1799" t="s">
        <v>11</v>
      </c>
      <c r="P1799">
        <v>5403</v>
      </c>
      <c r="Q1799">
        <v>6</v>
      </c>
      <c r="R1799">
        <v>39.89</v>
      </c>
      <c r="S1799">
        <v>239.34</v>
      </c>
      <c r="T1799">
        <v>189.66</v>
      </c>
      <c r="U1799">
        <v>20.76</v>
      </c>
      <c r="V1799" t="str">
        <f>VLOOKUP(L1799,'[2]tabela de preços'!$A:$D,4,0)</f>
        <v>WANDA</v>
      </c>
      <c r="W1799" t="str">
        <f>VLOOKUP(L1799,'[2]tabela de preços'!$A:$F,6,0)</f>
        <v>VERNIZ AUTOMOTIVO</v>
      </c>
      <c r="X1799" t="str">
        <f>VLOOKUP(L1799,'[2]tabela de preços'!$A:$G,7,0)</f>
        <v>AUTOMOTIVO</v>
      </c>
    </row>
    <row r="1800" spans="1:24" x14ac:dyDescent="0.3">
      <c r="A1800" t="s">
        <v>1824</v>
      </c>
      <c r="B1800" t="s">
        <v>1825</v>
      </c>
      <c r="C1800" t="s">
        <v>1834</v>
      </c>
      <c r="D1800" s="1">
        <v>46045</v>
      </c>
      <c r="E1800" t="s">
        <v>1835</v>
      </c>
      <c r="F1800">
        <v>9</v>
      </c>
      <c r="G1800">
        <v>197</v>
      </c>
      <c r="H1800" t="str">
        <f>VLOOKUP(G1800,[1]OPERADORES!$A:$B,2,0)</f>
        <v xml:space="preserve">POLIANA LORRANE DE AMORIM </v>
      </c>
      <c r="I1800" t="s">
        <v>21</v>
      </c>
      <c r="J1800" t="s">
        <v>1788</v>
      </c>
      <c r="K1800" t="s">
        <v>1828</v>
      </c>
      <c r="L1800">
        <v>10238</v>
      </c>
      <c r="M1800" t="s">
        <v>79</v>
      </c>
      <c r="O1800" t="s">
        <v>11</v>
      </c>
      <c r="P1800">
        <v>5102</v>
      </c>
      <c r="Q1800">
        <v>20</v>
      </c>
      <c r="R1800">
        <v>2.79</v>
      </c>
      <c r="S1800">
        <v>55.8</v>
      </c>
      <c r="T1800">
        <v>44.8</v>
      </c>
      <c r="U1800">
        <v>19.71</v>
      </c>
      <c r="V1800" t="str">
        <f>VLOOKUP(L1800,'[2]tabela de preços'!$A:$D,4,0)</f>
        <v>NORTON</v>
      </c>
      <c r="W1800" t="str">
        <f>VLOOKUP(L1800,'[2]tabela de preços'!$A:$F,6,0)</f>
        <v xml:space="preserve">DISCOS / LIXAS / ABRASIVOS </v>
      </c>
      <c r="X1800" t="str">
        <f>VLOOKUP(L1800,'[2]tabela de preços'!$A:$G,7,0)</f>
        <v>AUTOMOTIVO</v>
      </c>
    </row>
    <row r="1801" spans="1:24" x14ac:dyDescent="0.3">
      <c r="A1801" t="s">
        <v>1824</v>
      </c>
      <c r="B1801" t="s">
        <v>1825</v>
      </c>
      <c r="C1801" t="s">
        <v>1834</v>
      </c>
      <c r="D1801" s="1">
        <v>46045</v>
      </c>
      <c r="E1801" t="s">
        <v>1835</v>
      </c>
      <c r="F1801">
        <v>9</v>
      </c>
      <c r="G1801">
        <v>197</v>
      </c>
      <c r="H1801" t="str">
        <f>VLOOKUP(G1801,[1]OPERADORES!$A:$B,2,0)</f>
        <v xml:space="preserve">POLIANA LORRANE DE AMORIM </v>
      </c>
      <c r="I1801" t="s">
        <v>21</v>
      </c>
      <c r="J1801" t="s">
        <v>1788</v>
      </c>
      <c r="K1801" t="s">
        <v>1828</v>
      </c>
      <c r="L1801">
        <v>10243</v>
      </c>
      <c r="M1801" t="s">
        <v>83</v>
      </c>
      <c r="O1801" t="s">
        <v>11</v>
      </c>
      <c r="P1801">
        <v>5102</v>
      </c>
      <c r="Q1801">
        <v>20</v>
      </c>
      <c r="R1801">
        <v>2.79</v>
      </c>
      <c r="S1801">
        <v>55.8</v>
      </c>
      <c r="T1801">
        <v>38.6</v>
      </c>
      <c r="U1801">
        <v>30.82</v>
      </c>
      <c r="V1801" t="str">
        <f>VLOOKUP(L1801,'[2]tabela de preços'!$A:$D,4,0)</f>
        <v>NORTON</v>
      </c>
      <c r="W1801" t="str">
        <f>VLOOKUP(L1801,'[2]tabela de preços'!$A:$F,6,0)</f>
        <v xml:space="preserve">DISCOS / LIXAS / ABRASIVOS </v>
      </c>
      <c r="X1801" t="str">
        <f>VLOOKUP(L1801,'[2]tabela de preços'!$A:$G,7,0)</f>
        <v>AUTOMOTIVO</v>
      </c>
    </row>
    <row r="1802" spans="1:24" x14ac:dyDescent="0.3">
      <c r="A1802" t="s">
        <v>1824</v>
      </c>
      <c r="B1802" t="s">
        <v>1825</v>
      </c>
      <c r="C1802" t="s">
        <v>1834</v>
      </c>
      <c r="D1802" s="1">
        <v>46045</v>
      </c>
      <c r="E1802" t="s">
        <v>1835</v>
      </c>
      <c r="F1802">
        <v>9</v>
      </c>
      <c r="G1802">
        <v>197</v>
      </c>
      <c r="H1802" t="str">
        <f>VLOOKUP(G1802,[1]OPERADORES!$A:$B,2,0)</f>
        <v xml:space="preserve">POLIANA LORRANE DE AMORIM </v>
      </c>
      <c r="I1802" t="s">
        <v>21</v>
      </c>
      <c r="J1802" t="s">
        <v>1788</v>
      </c>
      <c r="K1802" t="s">
        <v>1828</v>
      </c>
      <c r="L1802">
        <v>10244</v>
      </c>
      <c r="M1802" t="s">
        <v>84</v>
      </c>
      <c r="O1802" t="s">
        <v>11</v>
      </c>
      <c r="P1802">
        <v>5102</v>
      </c>
      <c r="Q1802">
        <v>20</v>
      </c>
      <c r="R1802">
        <v>2.79</v>
      </c>
      <c r="S1802">
        <v>55.8</v>
      </c>
      <c r="T1802">
        <v>38.6</v>
      </c>
      <c r="U1802">
        <v>30.82</v>
      </c>
      <c r="V1802" t="str">
        <f>VLOOKUP(L1802,'[2]tabela de preços'!$A:$D,4,0)</f>
        <v>NORTON</v>
      </c>
      <c r="W1802" t="str">
        <f>VLOOKUP(L1802,'[2]tabela de preços'!$A:$F,6,0)</f>
        <v xml:space="preserve">DISCOS / LIXAS / ABRASIVOS </v>
      </c>
      <c r="X1802" t="str">
        <f>VLOOKUP(L1802,'[2]tabela de preços'!$A:$G,7,0)</f>
        <v>AUTOMOTIVO</v>
      </c>
    </row>
    <row r="1803" spans="1:24" x14ac:dyDescent="0.3">
      <c r="A1803" t="s">
        <v>1824</v>
      </c>
      <c r="B1803" t="s">
        <v>1825</v>
      </c>
      <c r="C1803" t="s">
        <v>1834</v>
      </c>
      <c r="D1803" s="1">
        <v>46045</v>
      </c>
      <c r="E1803" t="s">
        <v>1835</v>
      </c>
      <c r="F1803">
        <v>9</v>
      </c>
      <c r="G1803">
        <v>197</v>
      </c>
      <c r="H1803" t="str">
        <f>VLOOKUP(G1803,[1]OPERADORES!$A:$B,2,0)</f>
        <v xml:space="preserve">POLIANA LORRANE DE AMORIM </v>
      </c>
      <c r="I1803" t="s">
        <v>21</v>
      </c>
      <c r="J1803" t="s">
        <v>1788</v>
      </c>
      <c r="K1803" t="s">
        <v>1828</v>
      </c>
      <c r="L1803">
        <v>10246</v>
      </c>
      <c r="M1803" t="s">
        <v>206</v>
      </c>
      <c r="O1803" t="s">
        <v>11</v>
      </c>
      <c r="P1803">
        <v>5102</v>
      </c>
      <c r="Q1803">
        <v>10</v>
      </c>
      <c r="R1803">
        <v>2.79</v>
      </c>
      <c r="S1803">
        <v>27.9</v>
      </c>
      <c r="T1803">
        <v>19.3</v>
      </c>
      <c r="U1803">
        <v>30.82</v>
      </c>
      <c r="V1803" t="str">
        <f>VLOOKUP(L1803,'[2]tabela de preços'!$A:$D,4,0)</f>
        <v>NORTON</v>
      </c>
      <c r="W1803" t="str">
        <f>VLOOKUP(L1803,'[2]tabela de preços'!$A:$F,6,0)</f>
        <v xml:space="preserve">DISCOS / LIXAS / ABRASIVOS </v>
      </c>
      <c r="X1803" t="str">
        <f>VLOOKUP(L1803,'[2]tabela de preços'!$A:$G,7,0)</f>
        <v>AUTOMOTIVO</v>
      </c>
    </row>
    <row r="1804" spans="1:24" x14ac:dyDescent="0.3">
      <c r="A1804" t="s">
        <v>1824</v>
      </c>
      <c r="B1804" t="s">
        <v>1825</v>
      </c>
      <c r="C1804" t="s">
        <v>1834</v>
      </c>
      <c r="D1804" s="1">
        <v>46045</v>
      </c>
      <c r="E1804" t="s">
        <v>1835</v>
      </c>
      <c r="F1804">
        <v>9</v>
      </c>
      <c r="G1804">
        <v>197</v>
      </c>
      <c r="H1804" t="str">
        <f>VLOOKUP(G1804,[1]OPERADORES!$A:$B,2,0)</f>
        <v xml:space="preserve">POLIANA LORRANE DE AMORIM </v>
      </c>
      <c r="I1804" t="s">
        <v>21</v>
      </c>
      <c r="J1804" t="s">
        <v>1788</v>
      </c>
      <c r="K1804" t="s">
        <v>1828</v>
      </c>
      <c r="L1804">
        <v>84560</v>
      </c>
      <c r="M1804" t="s">
        <v>118</v>
      </c>
      <c r="O1804" t="s">
        <v>11</v>
      </c>
      <c r="P1804">
        <v>5102</v>
      </c>
      <c r="Q1804">
        <v>1</v>
      </c>
      <c r="R1804">
        <v>47.89</v>
      </c>
      <c r="S1804">
        <v>47.89</v>
      </c>
      <c r="T1804">
        <v>39.159999999999997</v>
      </c>
      <c r="U1804">
        <v>18.23</v>
      </c>
      <c r="V1804" t="str">
        <f>VLOOKUP(L1804,'[2]tabela de preços'!$A:$D,4,0)</f>
        <v>BRASILUX</v>
      </c>
      <c r="W1804" t="str">
        <f>VLOOKUP(L1804,'[2]tabela de preços'!$A:$F,6,0)</f>
        <v>THINNER DE LIMPEZA</v>
      </c>
      <c r="X1804" t="str">
        <f>VLOOKUP(L1804,'[2]tabela de preços'!$A:$G,7,0)</f>
        <v>THINNER</v>
      </c>
    </row>
    <row r="1805" spans="1:24" x14ac:dyDescent="0.3">
      <c r="A1805" t="s">
        <v>1824</v>
      </c>
      <c r="B1805" t="s">
        <v>1825</v>
      </c>
      <c r="C1805" t="s">
        <v>1834</v>
      </c>
      <c r="D1805" s="1">
        <v>46045</v>
      </c>
      <c r="E1805" t="s">
        <v>1835</v>
      </c>
      <c r="F1805">
        <v>9</v>
      </c>
      <c r="G1805">
        <v>197</v>
      </c>
      <c r="H1805" t="str">
        <f>VLOOKUP(G1805,[1]OPERADORES!$A:$B,2,0)</f>
        <v xml:space="preserve">POLIANA LORRANE DE AMORIM </v>
      </c>
      <c r="I1805" t="s">
        <v>21</v>
      </c>
      <c r="J1805" t="s">
        <v>1788</v>
      </c>
      <c r="K1805" t="s">
        <v>1828</v>
      </c>
      <c r="L1805">
        <v>21316</v>
      </c>
      <c r="M1805" t="s">
        <v>1829</v>
      </c>
      <c r="O1805" t="s">
        <v>11</v>
      </c>
      <c r="P1805">
        <v>5102</v>
      </c>
      <c r="Q1805">
        <v>1</v>
      </c>
      <c r="R1805">
        <v>124.15</v>
      </c>
      <c r="S1805">
        <v>124.15</v>
      </c>
      <c r="T1805">
        <v>94.23</v>
      </c>
      <c r="U1805">
        <v>24.1</v>
      </c>
      <c r="V1805" t="str">
        <f>VLOOKUP(L1805,'[2]tabela de preços'!$A:$D,4,0)</f>
        <v>SHERWIN WILLIAMS</v>
      </c>
      <c r="W1805" t="str">
        <f>VLOOKUP(L1805,'[2]tabela de preços'!$A:$F,6,0)</f>
        <v>DILUENTE</v>
      </c>
      <c r="X1805" t="str">
        <f>VLOOKUP(L1805,'[2]tabela de preços'!$A:$G,7,0)</f>
        <v>AUTOMOTIVO</v>
      </c>
    </row>
    <row r="1806" spans="1:24" x14ac:dyDescent="0.3">
      <c r="A1806" t="s">
        <v>1847</v>
      </c>
      <c r="B1806" t="s">
        <v>1848</v>
      </c>
      <c r="C1806" t="s">
        <v>1854</v>
      </c>
      <c r="D1806" s="1">
        <v>46045</v>
      </c>
      <c r="E1806" t="s">
        <v>1855</v>
      </c>
      <c r="F1806">
        <v>9</v>
      </c>
      <c r="G1806">
        <v>236</v>
      </c>
      <c r="H1806" t="str">
        <f>VLOOKUP(G1806,[1]OPERADORES!$A:$B,2,0)</f>
        <v>DANIEL</v>
      </c>
      <c r="I1806" t="s">
        <v>21</v>
      </c>
      <c r="J1806" t="s">
        <v>357</v>
      </c>
      <c r="K1806" t="s">
        <v>1851</v>
      </c>
      <c r="L1806">
        <v>87043</v>
      </c>
      <c r="M1806" t="s">
        <v>217</v>
      </c>
      <c r="O1806" t="s">
        <v>11</v>
      </c>
      <c r="P1806">
        <v>5102</v>
      </c>
      <c r="Q1806">
        <v>4</v>
      </c>
      <c r="R1806">
        <v>21.95</v>
      </c>
      <c r="S1806">
        <v>87.8</v>
      </c>
      <c r="T1806">
        <v>72.08</v>
      </c>
      <c r="U1806">
        <v>17.899999999999999</v>
      </c>
      <c r="V1806" t="str">
        <f>VLOOKUP(L1806,'[2]tabela de preços'!$A:$D,4,0)</f>
        <v>ROBERLO</v>
      </c>
      <c r="W1806" t="str">
        <f>VLOOKUP(L1806,'[2]tabela de preços'!$A:$F,6,0)</f>
        <v>MASSA POLIÉSTER</v>
      </c>
      <c r="X1806" t="str">
        <f>VLOOKUP(L1806,'[2]tabela de preços'!$A:$G,7,0)</f>
        <v>AUTOMOTIVO</v>
      </c>
    </row>
    <row r="1807" spans="1:24" x14ac:dyDescent="0.3">
      <c r="A1807" t="s">
        <v>1847</v>
      </c>
      <c r="B1807" t="s">
        <v>1848</v>
      </c>
      <c r="C1807" t="s">
        <v>1854</v>
      </c>
      <c r="D1807" s="1">
        <v>46045</v>
      </c>
      <c r="E1807" t="s">
        <v>1855</v>
      </c>
      <c r="F1807">
        <v>9</v>
      </c>
      <c r="G1807">
        <v>236</v>
      </c>
      <c r="H1807" t="str">
        <f>VLOOKUP(G1807,[1]OPERADORES!$A:$B,2,0)</f>
        <v>DANIEL</v>
      </c>
      <c r="I1807" t="s">
        <v>21</v>
      </c>
      <c r="J1807" t="s">
        <v>357</v>
      </c>
      <c r="K1807" t="s">
        <v>1851</v>
      </c>
      <c r="L1807">
        <v>23412</v>
      </c>
      <c r="M1807" t="s">
        <v>1856</v>
      </c>
      <c r="O1807" t="s">
        <v>11</v>
      </c>
      <c r="P1807">
        <v>5102</v>
      </c>
      <c r="Q1807">
        <v>2</v>
      </c>
      <c r="R1807">
        <v>29.11</v>
      </c>
      <c r="S1807">
        <v>58.22</v>
      </c>
      <c r="T1807">
        <v>37.56</v>
      </c>
      <c r="U1807">
        <v>35.49</v>
      </c>
      <c r="V1807" t="str">
        <f>VLOOKUP(L1807,'[2]tabela de preços'!$A:$D,4,0)</f>
        <v>VONIXX</v>
      </c>
      <c r="W1807" t="str">
        <f>VLOOKUP(L1807,'[2]tabela de preços'!$A:$F,6,0)</f>
        <v>LINHA DE HIGENIZAÇÃO E ESTÉTICA  AUTOMOTIVA</v>
      </c>
      <c r="X1807" t="str">
        <f>VLOOKUP(L1807,'[2]tabela de preços'!$A:$G,7,0)</f>
        <v>AUTOMOTIVO</v>
      </c>
    </row>
    <row r="1808" spans="1:24" x14ac:dyDescent="0.3">
      <c r="A1808" t="s">
        <v>1865</v>
      </c>
      <c r="C1808" t="s">
        <v>1866</v>
      </c>
      <c r="D1808" s="1">
        <v>46045</v>
      </c>
      <c r="E1808" t="s">
        <v>1867</v>
      </c>
      <c r="F1808">
        <v>9</v>
      </c>
      <c r="G1808">
        <v>231</v>
      </c>
      <c r="H1808" t="str">
        <f>VLOOKUP(G1808,[1]OPERADORES!$A:$B,2,0)</f>
        <v>EDIJANE</v>
      </c>
      <c r="I1808" t="s">
        <v>21</v>
      </c>
      <c r="J1808" t="s">
        <v>1868</v>
      </c>
      <c r="K1808" t="s">
        <v>1869</v>
      </c>
      <c r="L1808">
        <v>20099</v>
      </c>
      <c r="M1808" t="s">
        <v>1308</v>
      </c>
      <c r="O1808" t="s">
        <v>11</v>
      </c>
      <c r="P1808">
        <v>5403</v>
      </c>
      <c r="Q1808">
        <v>1</v>
      </c>
      <c r="R1808">
        <v>15.9</v>
      </c>
      <c r="S1808">
        <v>15.9</v>
      </c>
      <c r="T1808">
        <v>12.07</v>
      </c>
      <c r="U1808">
        <v>24.09</v>
      </c>
      <c r="V1808" t="str">
        <f>VLOOKUP(L1808,'[2]tabela de preços'!$A:$D,4,0)</f>
        <v>MAXI RUBBER</v>
      </c>
      <c r="W1808" t="str">
        <f>VLOOKUP(L1808,'[2]tabela de preços'!$A:$F,6,0)</f>
        <v>BATIDA DE PEDRA</v>
      </c>
      <c r="X1808" t="str">
        <f>VLOOKUP(L1808,'[2]tabela de preços'!$A:$G,7,0)</f>
        <v>AUTOMOTIVO</v>
      </c>
    </row>
    <row r="1809" spans="1:24" x14ac:dyDescent="0.3">
      <c r="A1809" t="s">
        <v>1865</v>
      </c>
      <c r="C1809" t="s">
        <v>1866</v>
      </c>
      <c r="D1809" s="1">
        <v>46045</v>
      </c>
      <c r="E1809" t="s">
        <v>1867</v>
      </c>
      <c r="F1809">
        <v>9</v>
      </c>
      <c r="G1809">
        <v>231</v>
      </c>
      <c r="H1809" t="str">
        <f>VLOOKUP(G1809,[1]OPERADORES!$A:$B,2,0)</f>
        <v>EDIJANE</v>
      </c>
      <c r="I1809" t="s">
        <v>21</v>
      </c>
      <c r="J1809" t="s">
        <v>1868</v>
      </c>
      <c r="K1809" t="s">
        <v>1869</v>
      </c>
      <c r="L1809">
        <v>84958</v>
      </c>
      <c r="M1809" t="s">
        <v>1870</v>
      </c>
      <c r="O1809" t="s">
        <v>11</v>
      </c>
      <c r="P1809">
        <v>5403</v>
      </c>
      <c r="Q1809">
        <v>1</v>
      </c>
      <c r="R1809">
        <v>18.510000000000002</v>
      </c>
      <c r="S1809">
        <v>18.510000000000002</v>
      </c>
      <c r="T1809">
        <v>14.05</v>
      </c>
      <c r="U1809">
        <v>24.1</v>
      </c>
      <c r="V1809" t="str">
        <f>VLOOKUP(L1809,'[2]tabela de preços'!$A:$D,4,0)</f>
        <v>BRASILUX</v>
      </c>
      <c r="W1809" t="str">
        <f>VLOOKUP(L1809,'[2]tabela de preços'!$A:$F,6,0)</f>
        <v>BATIDA DE PEDRA</v>
      </c>
      <c r="X1809" t="str">
        <f>VLOOKUP(L1809,'[2]tabela de preços'!$A:$G,7,0)</f>
        <v>AUTOMOTIVO</v>
      </c>
    </row>
    <row r="1810" spans="1:24" x14ac:dyDescent="0.3">
      <c r="A1810" t="s">
        <v>1865</v>
      </c>
      <c r="C1810" t="s">
        <v>1866</v>
      </c>
      <c r="D1810" s="1">
        <v>46045</v>
      </c>
      <c r="E1810" t="s">
        <v>1867</v>
      </c>
      <c r="F1810">
        <v>9</v>
      </c>
      <c r="G1810">
        <v>231</v>
      </c>
      <c r="H1810" t="str">
        <f>VLOOKUP(G1810,[1]OPERADORES!$A:$B,2,0)</f>
        <v>EDIJANE</v>
      </c>
      <c r="I1810" t="s">
        <v>21</v>
      </c>
      <c r="J1810" t="s">
        <v>1868</v>
      </c>
      <c r="K1810" t="s">
        <v>1869</v>
      </c>
      <c r="L1810">
        <v>85269</v>
      </c>
      <c r="M1810" t="s">
        <v>1549</v>
      </c>
      <c r="O1810" t="s">
        <v>11</v>
      </c>
      <c r="P1810">
        <v>5403</v>
      </c>
      <c r="Q1810">
        <v>1</v>
      </c>
      <c r="R1810">
        <v>27.11</v>
      </c>
      <c r="S1810">
        <v>27.11</v>
      </c>
      <c r="T1810">
        <v>20.57</v>
      </c>
      <c r="U1810">
        <v>24.12</v>
      </c>
      <c r="V1810" t="str">
        <f>VLOOKUP(L1810,'[2]tabela de preços'!$A:$D,4,0)</f>
        <v>BRASILUX</v>
      </c>
      <c r="W1810" t="str">
        <f>VLOOKUP(L1810,'[2]tabela de preços'!$A:$F,6,0)</f>
        <v>ESMALTES</v>
      </c>
      <c r="X1810" t="str">
        <f>VLOOKUP(L1810,'[2]tabela de preços'!$A:$G,7,0)</f>
        <v>INDUSTRIAL</v>
      </c>
    </row>
    <row r="1811" spans="1:24" x14ac:dyDescent="0.3">
      <c r="A1811" t="s">
        <v>1865</v>
      </c>
      <c r="C1811" t="s">
        <v>1866</v>
      </c>
      <c r="D1811" s="1">
        <v>46045</v>
      </c>
      <c r="E1811" t="s">
        <v>1867</v>
      </c>
      <c r="F1811">
        <v>9</v>
      </c>
      <c r="G1811">
        <v>231</v>
      </c>
      <c r="H1811" t="str">
        <f>VLOOKUP(G1811,[1]OPERADORES!$A:$B,2,0)</f>
        <v>EDIJANE</v>
      </c>
      <c r="I1811" t="s">
        <v>21</v>
      </c>
      <c r="J1811" t="s">
        <v>1868</v>
      </c>
      <c r="K1811" t="s">
        <v>1869</v>
      </c>
      <c r="L1811">
        <v>84542</v>
      </c>
      <c r="M1811" t="s">
        <v>1735</v>
      </c>
      <c r="O1811" t="s">
        <v>11</v>
      </c>
      <c r="P1811">
        <v>5102</v>
      </c>
      <c r="Q1811">
        <v>4</v>
      </c>
      <c r="R1811">
        <v>11.55</v>
      </c>
      <c r="S1811">
        <v>46.2</v>
      </c>
      <c r="T1811">
        <v>35.08</v>
      </c>
      <c r="U1811">
        <v>24.07</v>
      </c>
      <c r="V1811" t="str">
        <f>VLOOKUP(L1811,'[2]tabela de preços'!$A:$D,4,0)</f>
        <v>MAXI RUBBER</v>
      </c>
      <c r="W1811" t="str">
        <f>VLOOKUP(L1811,'[2]tabela de preços'!$A:$F,6,0)</f>
        <v>LAMINAÇÃO / PROTEÇÃO</v>
      </c>
      <c r="X1811" t="str">
        <f>VLOOKUP(L1811,'[2]tabela de preços'!$A:$G,7,0)</f>
        <v>AUTOMOTIVO</v>
      </c>
    </row>
    <row r="1812" spans="1:24" x14ac:dyDescent="0.3">
      <c r="A1812" t="s">
        <v>1865</v>
      </c>
      <c r="C1812" t="s">
        <v>1866</v>
      </c>
      <c r="D1812" s="1">
        <v>46045</v>
      </c>
      <c r="E1812" t="s">
        <v>1867</v>
      </c>
      <c r="F1812">
        <v>9</v>
      </c>
      <c r="G1812">
        <v>231</v>
      </c>
      <c r="H1812" t="str">
        <f>VLOOKUP(G1812,[1]OPERADORES!$A:$B,2,0)</f>
        <v>EDIJANE</v>
      </c>
      <c r="I1812" t="s">
        <v>21</v>
      </c>
      <c r="J1812" t="s">
        <v>1868</v>
      </c>
      <c r="K1812" t="s">
        <v>1869</v>
      </c>
      <c r="L1812">
        <v>84044</v>
      </c>
      <c r="M1812" t="s">
        <v>174</v>
      </c>
      <c r="O1812" t="s">
        <v>11</v>
      </c>
      <c r="P1812">
        <v>5102</v>
      </c>
      <c r="Q1812">
        <v>2</v>
      </c>
      <c r="R1812">
        <v>12.31</v>
      </c>
      <c r="S1812">
        <v>24.62</v>
      </c>
      <c r="T1812">
        <v>18.68</v>
      </c>
      <c r="U1812">
        <v>24.13</v>
      </c>
      <c r="V1812" t="str">
        <f>VLOOKUP(L1812,'[2]tabela de preços'!$A:$D,4,0)</f>
        <v>BRASILUX</v>
      </c>
      <c r="W1812" t="str">
        <f>VLOOKUP(L1812,'[2]tabela de preços'!$A:$F,6,0)</f>
        <v>REMOVEDOR PASTOSO</v>
      </c>
      <c r="X1812" t="str">
        <f>VLOOKUP(L1812,'[2]tabela de preços'!$A:$G,7,0)</f>
        <v>AUTOMOTIVO</v>
      </c>
    </row>
    <row r="1813" spans="1:24" x14ac:dyDescent="0.3">
      <c r="A1813" t="s">
        <v>1865</v>
      </c>
      <c r="C1813" t="s">
        <v>1866</v>
      </c>
      <c r="D1813" s="1">
        <v>46045</v>
      </c>
      <c r="E1813" t="s">
        <v>1867</v>
      </c>
      <c r="F1813">
        <v>9</v>
      </c>
      <c r="G1813">
        <v>231</v>
      </c>
      <c r="H1813" t="str">
        <f>VLOOKUP(G1813,[1]OPERADORES!$A:$B,2,0)</f>
        <v>EDIJANE</v>
      </c>
      <c r="I1813" t="s">
        <v>21</v>
      </c>
      <c r="J1813" t="s">
        <v>1868</v>
      </c>
      <c r="K1813" t="s">
        <v>1869</v>
      </c>
      <c r="L1813">
        <v>10297</v>
      </c>
      <c r="M1813" t="s">
        <v>41</v>
      </c>
      <c r="O1813" t="s">
        <v>11</v>
      </c>
      <c r="P1813">
        <v>5102</v>
      </c>
      <c r="Q1813">
        <v>36</v>
      </c>
      <c r="R1813">
        <v>10.89</v>
      </c>
      <c r="S1813">
        <v>392.04</v>
      </c>
      <c r="T1813">
        <v>330.12</v>
      </c>
      <c r="U1813">
        <v>15.79</v>
      </c>
      <c r="V1813" t="str">
        <f>VLOOKUP(L1813,'[2]tabela de preços'!$A:$D,4,0)</f>
        <v>ANJO</v>
      </c>
      <c r="W1813" t="str">
        <f>VLOOKUP(L1813,'[2]tabela de preços'!$A:$F,6,0)</f>
        <v>THINNER DE LIMPEZA</v>
      </c>
      <c r="X1813" t="str">
        <f>VLOOKUP(L1813,'[2]tabela de preços'!$A:$G,7,0)</f>
        <v>THINNER</v>
      </c>
    </row>
    <row r="1814" spans="1:24" x14ac:dyDescent="0.3">
      <c r="A1814" t="s">
        <v>1865</v>
      </c>
      <c r="C1814" t="s">
        <v>1866</v>
      </c>
      <c r="D1814" s="1">
        <v>46045</v>
      </c>
      <c r="E1814" t="s">
        <v>1867</v>
      </c>
      <c r="F1814">
        <v>9</v>
      </c>
      <c r="G1814">
        <v>231</v>
      </c>
      <c r="H1814" t="str">
        <f>VLOOKUP(G1814,[1]OPERADORES!$A:$B,2,0)</f>
        <v>EDIJANE</v>
      </c>
      <c r="I1814" t="s">
        <v>21</v>
      </c>
      <c r="J1814" t="s">
        <v>1868</v>
      </c>
      <c r="K1814" t="s">
        <v>1869</v>
      </c>
      <c r="L1814">
        <v>85211</v>
      </c>
      <c r="M1814" t="s">
        <v>1079</v>
      </c>
      <c r="O1814" t="s">
        <v>11</v>
      </c>
      <c r="P1814">
        <v>5102</v>
      </c>
      <c r="Q1814">
        <v>2</v>
      </c>
      <c r="R1814">
        <v>23.09</v>
      </c>
      <c r="S1814">
        <v>46.18</v>
      </c>
      <c r="T1814">
        <v>35.06</v>
      </c>
      <c r="U1814">
        <v>24.08</v>
      </c>
      <c r="V1814" t="str">
        <f>VLOOKUP(L1814,'[2]tabela de preços'!$A:$D,4,0)</f>
        <v>VONIXX</v>
      </c>
      <c r="W1814" t="str">
        <f>VLOOKUP(L1814,'[2]tabela de preços'!$A:$F,6,0)</f>
        <v>LINHA DE HIGENIZAÇÃO E ESTÉTICA  AUTOMOTIVA</v>
      </c>
      <c r="X1814" t="str">
        <f>VLOOKUP(L1814,'[2]tabela de preços'!$A:$G,7,0)</f>
        <v>AUTOMOTIVO</v>
      </c>
    </row>
    <row r="1815" spans="1:24" x14ac:dyDescent="0.3">
      <c r="A1815" t="s">
        <v>1965</v>
      </c>
      <c r="C1815" t="s">
        <v>1966</v>
      </c>
      <c r="D1815" s="1">
        <v>46045</v>
      </c>
      <c r="E1815" t="s">
        <v>1967</v>
      </c>
      <c r="F1815">
        <v>9</v>
      </c>
      <c r="G1815">
        <v>174</v>
      </c>
      <c r="H1815" t="str">
        <f>VLOOKUP(G1815,[1]OPERADORES!$A:$B,2,0)</f>
        <v>MIRIÃ LOBATO RODRIGUES</v>
      </c>
      <c r="I1815" t="s">
        <v>282</v>
      </c>
      <c r="J1815" t="s">
        <v>1294</v>
      </c>
      <c r="K1815" t="s">
        <v>1968</v>
      </c>
      <c r="L1815">
        <v>84026</v>
      </c>
      <c r="M1815" t="s">
        <v>816</v>
      </c>
      <c r="O1815" t="s">
        <v>11</v>
      </c>
      <c r="P1815">
        <v>6102</v>
      </c>
      <c r="Q1815">
        <v>10</v>
      </c>
      <c r="R1815">
        <v>9.15</v>
      </c>
      <c r="S1815">
        <v>91.5</v>
      </c>
      <c r="T1815">
        <v>69.5</v>
      </c>
      <c r="U1815">
        <v>24.04</v>
      </c>
      <c r="V1815" t="str">
        <f>VLOOKUP(L1815,'[2]tabela de preços'!$A:$D,4,0)</f>
        <v>BRASILUX</v>
      </c>
      <c r="W1815" t="str">
        <f>VLOOKUP(L1815,'[2]tabela de preços'!$A:$F,6,0)</f>
        <v>CATALISADORES INDIVIDUAIS</v>
      </c>
      <c r="X1815" t="str">
        <f>VLOOKUP(L1815,'[2]tabela de preços'!$A:$G,7,0)</f>
        <v>IMOBILIÁRIO</v>
      </c>
    </row>
    <row r="1816" spans="1:24" x14ac:dyDescent="0.3">
      <c r="A1816" t="s">
        <v>1965</v>
      </c>
      <c r="C1816" t="s">
        <v>1966</v>
      </c>
      <c r="D1816" s="1">
        <v>46045</v>
      </c>
      <c r="E1816" t="s">
        <v>1967</v>
      </c>
      <c r="F1816">
        <v>9</v>
      </c>
      <c r="G1816">
        <v>174</v>
      </c>
      <c r="H1816" t="str">
        <f>VLOOKUP(G1816,[1]OPERADORES!$A:$B,2,0)</f>
        <v>MIRIÃ LOBATO RODRIGUES</v>
      </c>
      <c r="I1816" t="s">
        <v>282</v>
      </c>
      <c r="J1816" t="s">
        <v>1294</v>
      </c>
      <c r="K1816" t="s">
        <v>1968</v>
      </c>
      <c r="L1816">
        <v>85021</v>
      </c>
      <c r="M1816" t="s">
        <v>595</v>
      </c>
      <c r="O1816" t="s">
        <v>11</v>
      </c>
      <c r="P1816">
        <v>6102</v>
      </c>
      <c r="Q1816">
        <v>5</v>
      </c>
      <c r="R1816">
        <v>1.26</v>
      </c>
      <c r="S1816">
        <v>6.3</v>
      </c>
      <c r="T1816">
        <v>4.05</v>
      </c>
      <c r="U1816">
        <v>35.71</v>
      </c>
      <c r="V1816" t="str">
        <f>VLOOKUP(L1816,'[2]tabela de preços'!$A:$D,4,0)</f>
        <v>.</v>
      </c>
      <c r="W1816" t="str">
        <f>VLOOKUP(L1816,'[2]tabela de preços'!$A:$F,6,0)</f>
        <v>PALHA DE AÇO</v>
      </c>
      <c r="X1816" t="str">
        <f>VLOOKUP(L1816,'[2]tabela de preços'!$A:$G,7,0)</f>
        <v>IMOBILIÁRIO</v>
      </c>
    </row>
    <row r="1817" spans="1:24" x14ac:dyDescent="0.3">
      <c r="A1817" t="s">
        <v>1965</v>
      </c>
      <c r="C1817" t="s">
        <v>1966</v>
      </c>
      <c r="D1817" s="1">
        <v>46045</v>
      </c>
      <c r="E1817" t="s">
        <v>1967</v>
      </c>
      <c r="F1817">
        <v>9</v>
      </c>
      <c r="G1817">
        <v>174</v>
      </c>
      <c r="H1817" t="str">
        <f>VLOOKUP(G1817,[1]OPERADORES!$A:$B,2,0)</f>
        <v>MIRIÃ LOBATO RODRIGUES</v>
      </c>
      <c r="I1817" t="s">
        <v>282</v>
      </c>
      <c r="J1817" t="s">
        <v>1294</v>
      </c>
      <c r="K1817" t="s">
        <v>1968</v>
      </c>
      <c r="L1817">
        <v>20414</v>
      </c>
      <c r="M1817" t="s">
        <v>112</v>
      </c>
      <c r="O1817" t="s">
        <v>11</v>
      </c>
      <c r="P1817">
        <v>6102</v>
      </c>
      <c r="Q1817">
        <v>10</v>
      </c>
      <c r="R1817">
        <v>21.89</v>
      </c>
      <c r="S1817">
        <v>218.9</v>
      </c>
      <c r="T1817">
        <v>180</v>
      </c>
      <c r="U1817">
        <v>17.77</v>
      </c>
      <c r="V1817" t="str">
        <f>VLOOKUP(L1817,'[2]tabela de preços'!$A:$D,4,0)</f>
        <v>SHERWIN WILLIAMS</v>
      </c>
      <c r="W1817" t="str">
        <f>VLOOKUP(L1817,'[2]tabela de preços'!$A:$F,6,0)</f>
        <v>DILUENTE</v>
      </c>
      <c r="X1817" t="str">
        <f>VLOOKUP(L1817,'[2]tabela de preços'!$A:$G,7,0)</f>
        <v>AUTOMOTIVO</v>
      </c>
    </row>
    <row r="1818" spans="1:24" x14ac:dyDescent="0.3">
      <c r="A1818" t="s">
        <v>1965</v>
      </c>
      <c r="C1818" t="s">
        <v>1966</v>
      </c>
      <c r="D1818" s="1">
        <v>46045</v>
      </c>
      <c r="E1818" t="s">
        <v>1967</v>
      </c>
      <c r="F1818">
        <v>9</v>
      </c>
      <c r="G1818">
        <v>174</v>
      </c>
      <c r="H1818" t="str">
        <f>VLOOKUP(G1818,[1]OPERADORES!$A:$B,2,0)</f>
        <v>MIRIÃ LOBATO RODRIGUES</v>
      </c>
      <c r="I1818" t="s">
        <v>282</v>
      </c>
      <c r="J1818" t="s">
        <v>1294</v>
      </c>
      <c r="K1818" t="s">
        <v>1968</v>
      </c>
      <c r="L1818">
        <v>85639</v>
      </c>
      <c r="M1818" t="s">
        <v>474</v>
      </c>
      <c r="O1818" t="s">
        <v>11</v>
      </c>
      <c r="P1818">
        <v>6403</v>
      </c>
      <c r="Q1818">
        <v>10</v>
      </c>
      <c r="R1818">
        <v>9.34</v>
      </c>
      <c r="S1818">
        <v>93.4</v>
      </c>
      <c r="T1818">
        <v>69.2</v>
      </c>
      <c r="U1818">
        <v>25.91</v>
      </c>
      <c r="V1818" t="str">
        <f>VLOOKUP(L1818,'[2]tabela de preços'!$A:$D,4,0)</f>
        <v>UNIPEGA</v>
      </c>
      <c r="W1818" t="str">
        <f>VLOOKUP(L1818,'[2]tabela de preços'!$A:$F,6,0)</f>
        <v xml:space="preserve">SPRAYS </v>
      </c>
      <c r="X1818" t="str">
        <f>VLOOKUP(L1818,'[2]tabela de preços'!$A:$G,7,0)</f>
        <v>AUTOMOTIVO</v>
      </c>
    </row>
    <row r="1819" spans="1:24" x14ac:dyDescent="0.3">
      <c r="A1819" t="s">
        <v>1969</v>
      </c>
      <c r="C1819" t="s">
        <v>1974</v>
      </c>
      <c r="D1819" s="1">
        <v>46045</v>
      </c>
      <c r="E1819" t="s">
        <v>1975</v>
      </c>
      <c r="F1819">
        <v>9</v>
      </c>
      <c r="G1819">
        <v>230</v>
      </c>
      <c r="H1819" t="str">
        <f>VLOOKUP(G1819,[1]OPERADORES!$A:$B,2,0)</f>
        <v>SÔNIA</v>
      </c>
      <c r="I1819" t="s">
        <v>715</v>
      </c>
      <c r="J1819" t="s">
        <v>1972</v>
      </c>
      <c r="K1819" t="s">
        <v>1973</v>
      </c>
      <c r="L1819">
        <v>84557</v>
      </c>
      <c r="M1819" t="s">
        <v>116</v>
      </c>
      <c r="O1819" t="s">
        <v>11</v>
      </c>
      <c r="P1819">
        <v>6102</v>
      </c>
      <c r="Q1819">
        <v>12</v>
      </c>
      <c r="R1819">
        <v>17.489999999999998</v>
      </c>
      <c r="S1819">
        <v>209.88</v>
      </c>
      <c r="T1819">
        <v>167.52</v>
      </c>
      <c r="U1819">
        <v>20.18</v>
      </c>
      <c r="V1819" t="str">
        <f>VLOOKUP(L1819,'[2]tabela de preços'!$A:$D,4,0)</f>
        <v>BRASILUX</v>
      </c>
      <c r="W1819" t="str">
        <f>VLOOKUP(L1819,'[2]tabela de preços'!$A:$F,6,0)</f>
        <v>DILUENTE</v>
      </c>
      <c r="X1819" t="str">
        <f>VLOOKUP(L1819,'[2]tabela de preços'!$A:$G,7,0)</f>
        <v>AUTOMOTIVO</v>
      </c>
    </row>
    <row r="1820" spans="1:24" x14ac:dyDescent="0.3">
      <c r="A1820" t="s">
        <v>1969</v>
      </c>
      <c r="C1820" t="s">
        <v>1974</v>
      </c>
      <c r="D1820" s="1">
        <v>46045</v>
      </c>
      <c r="E1820" t="s">
        <v>1975</v>
      </c>
      <c r="F1820">
        <v>9</v>
      </c>
      <c r="G1820">
        <v>230</v>
      </c>
      <c r="H1820" t="str">
        <f>VLOOKUP(G1820,[1]OPERADORES!$A:$B,2,0)</f>
        <v>SÔNIA</v>
      </c>
      <c r="I1820" t="s">
        <v>715</v>
      </c>
      <c r="J1820" t="s">
        <v>1972</v>
      </c>
      <c r="K1820" t="s">
        <v>1973</v>
      </c>
      <c r="L1820">
        <v>10236</v>
      </c>
      <c r="M1820" t="s">
        <v>133</v>
      </c>
      <c r="O1820" t="s">
        <v>11</v>
      </c>
      <c r="P1820">
        <v>6102</v>
      </c>
      <c r="Q1820">
        <v>25</v>
      </c>
      <c r="R1820">
        <v>2.79</v>
      </c>
      <c r="S1820">
        <v>69.75</v>
      </c>
      <c r="T1820">
        <v>58</v>
      </c>
      <c r="U1820">
        <v>16.850000000000001</v>
      </c>
      <c r="V1820" t="str">
        <f>VLOOKUP(L1820,'[2]tabela de preços'!$A:$D,4,0)</f>
        <v>NORTON</v>
      </c>
      <c r="W1820" t="str">
        <f>VLOOKUP(L1820,'[2]tabela de preços'!$A:$F,6,0)</f>
        <v xml:space="preserve">DISCOS / LIXAS / ABRASIVOS </v>
      </c>
      <c r="X1820" t="str">
        <f>VLOOKUP(L1820,'[2]tabela de preços'!$A:$G,7,0)</f>
        <v>AUTOMOTIVO</v>
      </c>
    </row>
    <row r="1821" spans="1:24" x14ac:dyDescent="0.3">
      <c r="A1821" t="s">
        <v>1969</v>
      </c>
      <c r="C1821" t="s">
        <v>1974</v>
      </c>
      <c r="D1821" s="1">
        <v>46045</v>
      </c>
      <c r="E1821" t="s">
        <v>1975</v>
      </c>
      <c r="F1821">
        <v>9</v>
      </c>
      <c r="G1821">
        <v>230</v>
      </c>
      <c r="H1821" t="str">
        <f>VLOOKUP(G1821,[1]OPERADORES!$A:$B,2,0)</f>
        <v>SÔNIA</v>
      </c>
      <c r="I1821" t="s">
        <v>715</v>
      </c>
      <c r="J1821" t="s">
        <v>1972</v>
      </c>
      <c r="K1821" t="s">
        <v>1973</v>
      </c>
      <c r="L1821">
        <v>10232</v>
      </c>
      <c r="M1821" t="s">
        <v>134</v>
      </c>
      <c r="O1821" t="s">
        <v>11</v>
      </c>
      <c r="P1821">
        <v>6102</v>
      </c>
      <c r="Q1821">
        <v>25</v>
      </c>
      <c r="R1821">
        <v>2.79</v>
      </c>
      <c r="S1821">
        <v>69.75</v>
      </c>
      <c r="T1821">
        <v>56.25</v>
      </c>
      <c r="U1821">
        <v>19.350000000000001</v>
      </c>
      <c r="V1821" t="str">
        <f>VLOOKUP(L1821,'[2]tabela de preços'!$A:$D,4,0)</f>
        <v>NORTON</v>
      </c>
      <c r="W1821" t="str">
        <f>VLOOKUP(L1821,'[2]tabela de preços'!$A:$F,6,0)</f>
        <v xml:space="preserve">DISCOS / LIXAS / ABRASIVOS </v>
      </c>
      <c r="X1821" t="str">
        <f>VLOOKUP(L1821,'[2]tabela de preços'!$A:$G,7,0)</f>
        <v>AUTOMOTIVO</v>
      </c>
    </row>
    <row r="1822" spans="1:24" x14ac:dyDescent="0.3">
      <c r="A1822" t="s">
        <v>1969</v>
      </c>
      <c r="C1822" t="s">
        <v>1974</v>
      </c>
      <c r="D1822" s="1">
        <v>46045</v>
      </c>
      <c r="E1822" t="s">
        <v>1975</v>
      </c>
      <c r="F1822">
        <v>9</v>
      </c>
      <c r="G1822">
        <v>230</v>
      </c>
      <c r="H1822" t="str">
        <f>VLOOKUP(G1822,[1]OPERADORES!$A:$B,2,0)</f>
        <v>SÔNIA</v>
      </c>
      <c r="I1822" t="s">
        <v>715</v>
      </c>
      <c r="J1822" t="s">
        <v>1972</v>
      </c>
      <c r="K1822" t="s">
        <v>1973</v>
      </c>
      <c r="L1822">
        <v>23076</v>
      </c>
      <c r="M1822" t="s">
        <v>97</v>
      </c>
      <c r="O1822" t="s">
        <v>11</v>
      </c>
      <c r="P1822">
        <v>6403</v>
      </c>
      <c r="Q1822">
        <v>6</v>
      </c>
      <c r="R1822">
        <v>34.89</v>
      </c>
      <c r="S1822">
        <v>209.34</v>
      </c>
      <c r="T1822">
        <v>159.18</v>
      </c>
      <c r="U1822">
        <v>23.96</v>
      </c>
      <c r="V1822" t="str">
        <f>VLOOKUP(L1822,'[2]tabela de preços'!$A:$D,4,0)</f>
        <v>WANDA</v>
      </c>
      <c r="W1822" t="str">
        <f>VLOOKUP(L1822,'[2]tabela de preços'!$A:$F,6,0)</f>
        <v>PRIMER AUTOMOTIVO</v>
      </c>
      <c r="X1822" t="str">
        <f>VLOOKUP(L1822,'[2]tabela de preços'!$A:$G,7,0)</f>
        <v>AUTOMOTIVO</v>
      </c>
    </row>
    <row r="1823" spans="1:24" x14ac:dyDescent="0.3">
      <c r="A1823" t="s">
        <v>1969</v>
      </c>
      <c r="C1823" t="s">
        <v>1974</v>
      </c>
      <c r="D1823" s="1">
        <v>46045</v>
      </c>
      <c r="E1823" t="s">
        <v>1975</v>
      </c>
      <c r="F1823">
        <v>9</v>
      </c>
      <c r="G1823">
        <v>230</v>
      </c>
      <c r="H1823" t="str">
        <f>VLOOKUP(G1823,[1]OPERADORES!$A:$B,2,0)</f>
        <v>SÔNIA</v>
      </c>
      <c r="I1823" t="s">
        <v>715</v>
      </c>
      <c r="J1823" t="s">
        <v>1972</v>
      </c>
      <c r="K1823" t="s">
        <v>1973</v>
      </c>
      <c r="L1823">
        <v>23399</v>
      </c>
      <c r="M1823" t="s">
        <v>462</v>
      </c>
      <c r="O1823" t="s">
        <v>11</v>
      </c>
      <c r="P1823">
        <v>6102</v>
      </c>
      <c r="Q1823">
        <v>1</v>
      </c>
      <c r="R1823">
        <v>231.14</v>
      </c>
      <c r="S1823">
        <v>231.14</v>
      </c>
      <c r="T1823">
        <v>175.44</v>
      </c>
      <c r="U1823">
        <v>24.1</v>
      </c>
      <c r="V1823" t="str">
        <f>VLOOKUP(L1823,'[2]tabela de preços'!$A:$D,4,0)</f>
        <v>3M</v>
      </c>
      <c r="W1823" t="str">
        <f>VLOOKUP(L1823,'[2]tabela de preços'!$A:$F,6,0)</f>
        <v>EPI´S</v>
      </c>
      <c r="X1823" t="str">
        <f>VLOOKUP(L1823,'[2]tabela de preços'!$A:$G,7,0)</f>
        <v>AUTOMOTIVO</v>
      </c>
    </row>
    <row r="1824" spans="1:24" x14ac:dyDescent="0.3">
      <c r="A1824" t="s">
        <v>1969</v>
      </c>
      <c r="C1824" t="s">
        <v>1974</v>
      </c>
      <c r="D1824" s="1">
        <v>46045</v>
      </c>
      <c r="E1824" t="s">
        <v>1975</v>
      </c>
      <c r="F1824">
        <v>9</v>
      </c>
      <c r="G1824">
        <v>230</v>
      </c>
      <c r="H1824" t="str">
        <f>VLOOKUP(G1824,[1]OPERADORES!$A:$B,2,0)</f>
        <v>SÔNIA</v>
      </c>
      <c r="I1824" t="s">
        <v>715</v>
      </c>
      <c r="J1824" t="s">
        <v>1972</v>
      </c>
      <c r="K1824" t="s">
        <v>1973</v>
      </c>
      <c r="L1824">
        <v>15</v>
      </c>
      <c r="M1824" t="s">
        <v>205</v>
      </c>
      <c r="O1824" t="s">
        <v>11</v>
      </c>
      <c r="P1824">
        <v>6102</v>
      </c>
      <c r="Q1824">
        <v>10</v>
      </c>
      <c r="R1824">
        <v>5.79</v>
      </c>
      <c r="S1824">
        <v>57.9</v>
      </c>
      <c r="T1824">
        <v>41.6</v>
      </c>
      <c r="U1824">
        <v>28.15</v>
      </c>
      <c r="V1824" t="str">
        <f>VLOOKUP(L1824,'[2]tabela de preços'!$A:$D,4,0)</f>
        <v>3M</v>
      </c>
      <c r="W1824" t="str">
        <f>VLOOKUP(L1824,'[2]tabela de preços'!$A:$F,6,0)</f>
        <v>LIXA DÁGUA</v>
      </c>
      <c r="X1824" t="str">
        <f>VLOOKUP(L1824,'[2]tabela de preços'!$A:$G,7,0)</f>
        <v>AUTOMOTIVO</v>
      </c>
    </row>
    <row r="1825" spans="1:24" x14ac:dyDescent="0.3">
      <c r="A1825" t="s">
        <v>1969</v>
      </c>
      <c r="C1825" t="s">
        <v>1974</v>
      </c>
      <c r="D1825" s="1">
        <v>46045</v>
      </c>
      <c r="E1825" t="s">
        <v>1975</v>
      </c>
      <c r="F1825">
        <v>9</v>
      </c>
      <c r="G1825">
        <v>230</v>
      </c>
      <c r="H1825" t="str">
        <f>VLOOKUP(G1825,[1]OPERADORES!$A:$B,2,0)</f>
        <v>SÔNIA</v>
      </c>
      <c r="I1825" t="s">
        <v>715</v>
      </c>
      <c r="J1825" t="s">
        <v>1972</v>
      </c>
      <c r="K1825" t="s">
        <v>1973</v>
      </c>
      <c r="L1825">
        <v>57</v>
      </c>
      <c r="M1825" t="s">
        <v>1089</v>
      </c>
      <c r="O1825" t="s">
        <v>11</v>
      </c>
      <c r="P1825">
        <v>6102</v>
      </c>
      <c r="Q1825">
        <v>10</v>
      </c>
      <c r="R1825">
        <v>0.96</v>
      </c>
      <c r="S1825">
        <v>9.6</v>
      </c>
      <c r="T1825">
        <v>7.3</v>
      </c>
      <c r="U1825">
        <v>23.96</v>
      </c>
      <c r="V1825" t="str">
        <f>VLOOKUP(L1825,'[2]tabela de preços'!$A:$D,4,0)</f>
        <v>3M</v>
      </c>
      <c r="W1825" t="str">
        <f>VLOOKUP(L1825,'[2]tabela de preços'!$A:$F,6,0)</f>
        <v>LIXA DÁGUA</v>
      </c>
      <c r="X1825" t="str">
        <f>VLOOKUP(L1825,'[2]tabela de preços'!$A:$G,7,0)</f>
        <v>AUTOMOTIVO</v>
      </c>
    </row>
    <row r="1826" spans="1:24" x14ac:dyDescent="0.3">
      <c r="A1826" t="s">
        <v>1969</v>
      </c>
      <c r="C1826" t="s">
        <v>1974</v>
      </c>
      <c r="D1826" s="1">
        <v>46045</v>
      </c>
      <c r="E1826" t="s">
        <v>1975</v>
      </c>
      <c r="F1826">
        <v>9</v>
      </c>
      <c r="G1826">
        <v>230</v>
      </c>
      <c r="H1826" t="str">
        <f>VLOOKUP(G1826,[1]OPERADORES!$A:$B,2,0)</f>
        <v>SÔNIA</v>
      </c>
      <c r="I1826" t="s">
        <v>715</v>
      </c>
      <c r="J1826" t="s">
        <v>1972</v>
      </c>
      <c r="K1826" t="s">
        <v>1973</v>
      </c>
      <c r="L1826">
        <v>10243</v>
      </c>
      <c r="M1826" t="s">
        <v>83</v>
      </c>
      <c r="O1826" t="s">
        <v>11</v>
      </c>
      <c r="P1826">
        <v>6102</v>
      </c>
      <c r="Q1826">
        <v>50</v>
      </c>
      <c r="R1826">
        <v>2.79</v>
      </c>
      <c r="S1826">
        <v>139.5</v>
      </c>
      <c r="T1826">
        <v>96.5</v>
      </c>
      <c r="U1826">
        <v>30.82</v>
      </c>
      <c r="V1826" t="str">
        <f>VLOOKUP(L1826,'[2]tabela de preços'!$A:$D,4,0)</f>
        <v>NORTON</v>
      </c>
      <c r="W1826" t="str">
        <f>VLOOKUP(L1826,'[2]tabela de preços'!$A:$F,6,0)</f>
        <v xml:space="preserve">DISCOS / LIXAS / ABRASIVOS </v>
      </c>
      <c r="X1826" t="str">
        <f>VLOOKUP(L1826,'[2]tabela de preços'!$A:$G,7,0)</f>
        <v>AUTOMOTIVO</v>
      </c>
    </row>
    <row r="1827" spans="1:24" x14ac:dyDescent="0.3">
      <c r="A1827" t="s">
        <v>1969</v>
      </c>
      <c r="C1827" t="s">
        <v>1974</v>
      </c>
      <c r="D1827" s="1">
        <v>46045</v>
      </c>
      <c r="E1827" t="s">
        <v>1975</v>
      </c>
      <c r="F1827">
        <v>9</v>
      </c>
      <c r="G1827">
        <v>230</v>
      </c>
      <c r="H1827" t="str">
        <f>VLOOKUP(G1827,[1]OPERADORES!$A:$B,2,0)</f>
        <v>SÔNIA</v>
      </c>
      <c r="I1827" t="s">
        <v>715</v>
      </c>
      <c r="J1827" t="s">
        <v>1972</v>
      </c>
      <c r="K1827" t="s">
        <v>1973</v>
      </c>
      <c r="L1827">
        <v>10244</v>
      </c>
      <c r="M1827" t="s">
        <v>84</v>
      </c>
      <c r="O1827" t="s">
        <v>11</v>
      </c>
      <c r="P1827">
        <v>6102</v>
      </c>
      <c r="Q1827">
        <v>50</v>
      </c>
      <c r="R1827">
        <v>2.79</v>
      </c>
      <c r="S1827">
        <v>139.5</v>
      </c>
      <c r="T1827">
        <v>96.5</v>
      </c>
      <c r="U1827">
        <v>30.82</v>
      </c>
      <c r="V1827" t="str">
        <f>VLOOKUP(L1827,'[2]tabela de preços'!$A:$D,4,0)</f>
        <v>NORTON</v>
      </c>
      <c r="W1827" t="str">
        <f>VLOOKUP(L1827,'[2]tabela de preços'!$A:$F,6,0)</f>
        <v xml:space="preserve">DISCOS / LIXAS / ABRASIVOS </v>
      </c>
      <c r="X1827" t="str">
        <f>VLOOKUP(L1827,'[2]tabela de preços'!$A:$G,7,0)</f>
        <v>AUTOMOTIVO</v>
      </c>
    </row>
    <row r="1828" spans="1:24" x14ac:dyDescent="0.3">
      <c r="A1828" t="s">
        <v>1969</v>
      </c>
      <c r="C1828" t="s">
        <v>1974</v>
      </c>
      <c r="D1828" s="1">
        <v>46045</v>
      </c>
      <c r="E1828" t="s">
        <v>1975</v>
      </c>
      <c r="F1828">
        <v>9</v>
      </c>
      <c r="G1828">
        <v>230</v>
      </c>
      <c r="H1828" t="str">
        <f>VLOOKUP(G1828,[1]OPERADORES!$A:$B,2,0)</f>
        <v>SÔNIA</v>
      </c>
      <c r="I1828" t="s">
        <v>715</v>
      </c>
      <c r="J1828" t="s">
        <v>1972</v>
      </c>
      <c r="K1828" t="s">
        <v>1973</v>
      </c>
      <c r="L1828">
        <v>10297</v>
      </c>
      <c r="M1828" t="s">
        <v>41</v>
      </c>
      <c r="O1828" t="s">
        <v>11</v>
      </c>
      <c r="P1828">
        <v>6102</v>
      </c>
      <c r="Q1828">
        <v>12</v>
      </c>
      <c r="R1828">
        <v>10.89</v>
      </c>
      <c r="S1828">
        <v>130.68</v>
      </c>
      <c r="T1828">
        <v>110.04</v>
      </c>
      <c r="U1828">
        <v>15.79</v>
      </c>
      <c r="V1828" t="str">
        <f>VLOOKUP(L1828,'[2]tabela de preços'!$A:$D,4,0)</f>
        <v>ANJO</v>
      </c>
      <c r="W1828" t="str">
        <f>VLOOKUP(L1828,'[2]tabela de preços'!$A:$F,6,0)</f>
        <v>THINNER DE LIMPEZA</v>
      </c>
      <c r="X1828" t="str">
        <f>VLOOKUP(L1828,'[2]tabela de preços'!$A:$G,7,0)</f>
        <v>THINNER</v>
      </c>
    </row>
    <row r="1829" spans="1:24" x14ac:dyDescent="0.3">
      <c r="A1829" t="s">
        <v>1969</v>
      </c>
      <c r="C1829" t="s">
        <v>1974</v>
      </c>
      <c r="D1829" s="1">
        <v>46045</v>
      </c>
      <c r="E1829" t="s">
        <v>1975</v>
      </c>
      <c r="F1829">
        <v>9</v>
      </c>
      <c r="G1829">
        <v>230</v>
      </c>
      <c r="H1829" t="str">
        <f>VLOOKUP(G1829,[1]OPERADORES!$A:$B,2,0)</f>
        <v>SÔNIA</v>
      </c>
      <c r="I1829" t="s">
        <v>715</v>
      </c>
      <c r="J1829" t="s">
        <v>1972</v>
      </c>
      <c r="K1829" t="s">
        <v>1973</v>
      </c>
      <c r="L1829">
        <v>84460</v>
      </c>
      <c r="M1829" t="s">
        <v>322</v>
      </c>
      <c r="O1829" t="s">
        <v>11</v>
      </c>
      <c r="P1829">
        <v>6102</v>
      </c>
      <c r="Q1829">
        <v>1</v>
      </c>
      <c r="R1829">
        <v>31.07</v>
      </c>
      <c r="S1829">
        <v>31.07</v>
      </c>
      <c r="T1829">
        <v>23.58</v>
      </c>
      <c r="U1829">
        <v>24.11</v>
      </c>
      <c r="V1829" t="str">
        <f>VLOOKUP(L1829,'[2]tabela de preços'!$A:$D,4,0)</f>
        <v>BRASILUX</v>
      </c>
      <c r="W1829" t="str">
        <f>VLOOKUP(L1829,'[2]tabela de preços'!$A:$F,6,0)</f>
        <v>VEDADORES / SELANTES</v>
      </c>
      <c r="X1829" t="str">
        <f>VLOOKUP(L1829,'[2]tabela de preços'!$A:$G,7,0)</f>
        <v>AUTOMOTIVO</v>
      </c>
    </row>
    <row r="1830" spans="1:24" x14ac:dyDescent="0.3">
      <c r="A1830" t="s">
        <v>1979</v>
      </c>
      <c r="C1830" t="s">
        <v>1980</v>
      </c>
      <c r="D1830" s="1">
        <v>46045</v>
      </c>
      <c r="E1830" t="s">
        <v>1981</v>
      </c>
      <c r="F1830">
        <v>9</v>
      </c>
      <c r="G1830">
        <v>174</v>
      </c>
      <c r="H1830" t="str">
        <f>VLOOKUP(G1830,[1]OPERADORES!$A:$B,2,0)</f>
        <v>MIRIÃ LOBATO RODRIGUES</v>
      </c>
      <c r="I1830" t="s">
        <v>21</v>
      </c>
      <c r="J1830" t="s">
        <v>762</v>
      </c>
      <c r="K1830" t="s">
        <v>1982</v>
      </c>
      <c r="L1830">
        <v>85078</v>
      </c>
      <c r="M1830" t="s">
        <v>1048</v>
      </c>
      <c r="O1830" t="s">
        <v>11</v>
      </c>
      <c r="P1830">
        <v>5403</v>
      </c>
      <c r="Q1830">
        <v>4</v>
      </c>
      <c r="R1830">
        <v>105.32</v>
      </c>
      <c r="S1830">
        <v>421.28</v>
      </c>
      <c r="T1830">
        <v>319.72000000000003</v>
      </c>
      <c r="U1830">
        <v>24.11</v>
      </c>
      <c r="V1830" t="str">
        <f>VLOOKUP(L1830,'[2]tabela de preços'!$A:$D,4,0)</f>
        <v>BRASILUX</v>
      </c>
      <c r="W1830" t="str">
        <f>VLOOKUP(L1830,'[2]tabela de preços'!$A:$F,6,0)</f>
        <v>TINTAS LACA</v>
      </c>
      <c r="X1830" t="str">
        <f>VLOOKUP(L1830,'[2]tabela de preços'!$A:$G,7,0)</f>
        <v>AUTOMOTIVO</v>
      </c>
    </row>
    <row r="1831" spans="1:24" x14ac:dyDescent="0.3">
      <c r="A1831" t="s">
        <v>1979</v>
      </c>
      <c r="C1831" t="s">
        <v>1980</v>
      </c>
      <c r="D1831" s="1">
        <v>46045</v>
      </c>
      <c r="E1831" t="s">
        <v>1981</v>
      </c>
      <c r="F1831">
        <v>9</v>
      </c>
      <c r="G1831">
        <v>174</v>
      </c>
      <c r="H1831" t="str">
        <f>VLOOKUP(G1831,[1]OPERADORES!$A:$B,2,0)</f>
        <v>MIRIÃ LOBATO RODRIGUES</v>
      </c>
      <c r="I1831" t="s">
        <v>21</v>
      </c>
      <c r="J1831" t="s">
        <v>762</v>
      </c>
      <c r="K1831" t="s">
        <v>1982</v>
      </c>
      <c r="L1831">
        <v>84557</v>
      </c>
      <c r="M1831" t="s">
        <v>116</v>
      </c>
      <c r="O1831" t="s">
        <v>11</v>
      </c>
      <c r="P1831">
        <v>5102</v>
      </c>
      <c r="Q1831">
        <v>4</v>
      </c>
      <c r="R1831">
        <v>17.489999999999998</v>
      </c>
      <c r="S1831">
        <v>69.959999999999994</v>
      </c>
      <c r="T1831">
        <v>55.84</v>
      </c>
      <c r="U1831">
        <v>20.18</v>
      </c>
      <c r="V1831" t="str">
        <f>VLOOKUP(L1831,'[2]tabela de preços'!$A:$D,4,0)</f>
        <v>BRASILUX</v>
      </c>
      <c r="W1831" t="str">
        <f>VLOOKUP(L1831,'[2]tabela de preços'!$A:$F,6,0)</f>
        <v>DILUENTE</v>
      </c>
      <c r="X1831" t="str">
        <f>VLOOKUP(L1831,'[2]tabela de preços'!$A:$G,7,0)</f>
        <v>AUTOMOTIVO</v>
      </c>
    </row>
    <row r="1832" spans="1:24" x14ac:dyDescent="0.3">
      <c r="A1832" t="s">
        <v>1979</v>
      </c>
      <c r="C1832" t="s">
        <v>1980</v>
      </c>
      <c r="D1832" s="1">
        <v>46045</v>
      </c>
      <c r="E1832" t="s">
        <v>1981</v>
      </c>
      <c r="F1832">
        <v>9</v>
      </c>
      <c r="G1832">
        <v>174</v>
      </c>
      <c r="H1832" t="str">
        <f>VLOOKUP(G1832,[1]OPERADORES!$A:$B,2,0)</f>
        <v>MIRIÃ LOBATO RODRIGUES</v>
      </c>
      <c r="I1832" t="s">
        <v>21</v>
      </c>
      <c r="J1832" t="s">
        <v>762</v>
      </c>
      <c r="K1832" t="s">
        <v>1982</v>
      </c>
      <c r="L1832">
        <v>84499</v>
      </c>
      <c r="M1832" t="s">
        <v>534</v>
      </c>
      <c r="O1832" t="s">
        <v>11</v>
      </c>
      <c r="P1832">
        <v>5102</v>
      </c>
      <c r="Q1832">
        <v>2</v>
      </c>
      <c r="R1832">
        <v>176.61</v>
      </c>
      <c r="S1832">
        <v>353.22</v>
      </c>
      <c r="T1832">
        <v>268.10000000000002</v>
      </c>
      <c r="U1832">
        <v>24.1</v>
      </c>
      <c r="V1832" t="str">
        <f>VLOOKUP(L1832,'[2]tabela de preços'!$A:$D,4,0)</f>
        <v>BRASILUX</v>
      </c>
      <c r="W1832" t="str">
        <f>VLOOKUP(L1832,'[2]tabela de preços'!$A:$F,6,0)</f>
        <v>THINNER DE LIMPEZA</v>
      </c>
      <c r="X1832" t="str">
        <f>VLOOKUP(L1832,'[2]tabela de preços'!$A:$G,7,0)</f>
        <v>THINNER</v>
      </c>
    </row>
    <row r="1833" spans="1:24" x14ac:dyDescent="0.3">
      <c r="A1833" t="s">
        <v>2001</v>
      </c>
      <c r="C1833" t="s">
        <v>2014</v>
      </c>
      <c r="D1833" s="1">
        <v>46045</v>
      </c>
      <c r="E1833" t="s">
        <v>2015</v>
      </c>
      <c r="F1833">
        <v>9</v>
      </c>
      <c r="G1833">
        <v>230</v>
      </c>
      <c r="H1833" t="str">
        <f>VLOOKUP(G1833,[1]OPERADORES!$A:$B,2,0)</f>
        <v>SÔNIA</v>
      </c>
      <c r="I1833" t="s">
        <v>21</v>
      </c>
      <c r="J1833" t="s">
        <v>1427</v>
      </c>
      <c r="K1833" t="s">
        <v>2009</v>
      </c>
      <c r="L1833">
        <v>84566</v>
      </c>
      <c r="M1833" t="s">
        <v>2016</v>
      </c>
      <c r="O1833" t="s">
        <v>11</v>
      </c>
      <c r="P1833">
        <v>5403</v>
      </c>
      <c r="Q1833">
        <v>5</v>
      </c>
      <c r="R1833">
        <v>479.04</v>
      </c>
      <c r="S1833" s="2">
        <v>2395.1999999999998</v>
      </c>
      <c r="T1833" s="2">
        <v>1818</v>
      </c>
      <c r="U1833">
        <v>24.1</v>
      </c>
      <c r="V1833" t="str">
        <f>VLOOKUP(L1833,'[2]tabela de preços'!$A:$D,4,0)</f>
        <v>BRASILUX</v>
      </c>
      <c r="W1833" t="str">
        <f>VLOOKUP(L1833,'[2]tabela de preços'!$A:$F,6,0)</f>
        <v>TINTA PARA PISO</v>
      </c>
      <c r="X1833" t="str">
        <f>VLOOKUP(L1833,'[2]tabela de preços'!$A:$G,7,0)</f>
        <v>IMOBILIÁRIO</v>
      </c>
    </row>
    <row r="1834" spans="1:24" x14ac:dyDescent="0.3">
      <c r="A1834" t="s">
        <v>2001</v>
      </c>
      <c r="C1834" t="s">
        <v>2017</v>
      </c>
      <c r="D1834" s="1">
        <v>46045</v>
      </c>
      <c r="E1834" t="s">
        <v>2018</v>
      </c>
      <c r="F1834">
        <v>9</v>
      </c>
      <c r="G1834">
        <v>174</v>
      </c>
      <c r="H1834" t="str">
        <f>VLOOKUP(G1834,[1]OPERADORES!$A:$B,2,0)</f>
        <v>MIRIÃ LOBATO RODRIGUES</v>
      </c>
      <c r="I1834" t="s">
        <v>21</v>
      </c>
      <c r="J1834" t="s">
        <v>1427</v>
      </c>
      <c r="K1834" t="s">
        <v>2004</v>
      </c>
      <c r="L1834">
        <v>85627</v>
      </c>
      <c r="M1834" t="s">
        <v>2016</v>
      </c>
      <c r="O1834" t="s">
        <v>11</v>
      </c>
      <c r="P1834">
        <v>5403</v>
      </c>
      <c r="Q1834">
        <v>2</v>
      </c>
      <c r="R1834">
        <v>387.58</v>
      </c>
      <c r="S1834">
        <v>775.16</v>
      </c>
      <c r="T1834">
        <v>588.36</v>
      </c>
      <c r="U1834">
        <v>24.1</v>
      </c>
      <c r="V1834" t="str">
        <f>VLOOKUP(L1834,'[2]tabela de preços'!$A:$D,4,0)</f>
        <v>BRASILUX</v>
      </c>
      <c r="W1834" t="str">
        <f>VLOOKUP(L1834,'[2]tabela de preços'!$A:$F,6,0)</f>
        <v>TINTA PARA PISO</v>
      </c>
      <c r="X1834" t="str">
        <f>VLOOKUP(L1834,'[2]tabela de preços'!$A:$G,7,0)</f>
        <v>IMOBILIÁRIO</v>
      </c>
    </row>
    <row r="1835" spans="1:24" x14ac:dyDescent="0.3">
      <c r="A1835" t="s">
        <v>2001</v>
      </c>
      <c r="C1835" t="s">
        <v>2019</v>
      </c>
      <c r="D1835" s="1">
        <v>46045</v>
      </c>
      <c r="F1835">
        <v>9</v>
      </c>
      <c r="G1835">
        <v>174</v>
      </c>
      <c r="H1835" t="str">
        <f>VLOOKUP(G1835,[1]OPERADORES!$A:$B,2,0)</f>
        <v>MIRIÃ LOBATO RODRIGUES</v>
      </c>
      <c r="I1835" t="s">
        <v>21</v>
      </c>
      <c r="J1835" t="s">
        <v>1427</v>
      </c>
      <c r="K1835" t="s">
        <v>2004</v>
      </c>
      <c r="L1835">
        <v>84405</v>
      </c>
      <c r="M1835" t="s">
        <v>2013</v>
      </c>
      <c r="N1835" t="s">
        <v>2020</v>
      </c>
      <c r="O1835" t="s">
        <v>11</v>
      </c>
      <c r="P1835">
        <v>1411</v>
      </c>
      <c r="Q1835">
        <v>-2</v>
      </c>
      <c r="R1835">
        <v>159.9</v>
      </c>
      <c r="S1835">
        <v>-319.8</v>
      </c>
      <c r="T1835">
        <v>-275.22000000000003</v>
      </c>
      <c r="U1835">
        <v>13.94</v>
      </c>
      <c r="V1835" t="str">
        <f>VLOOKUP(L1835,'[2]tabela de preços'!$A:$D,4,0)</f>
        <v>BRASILUX</v>
      </c>
      <c r="W1835" t="str">
        <f>VLOOKUP(L1835,'[2]tabela de preços'!$A:$F,6,0)</f>
        <v>TINTA PARA PISO</v>
      </c>
      <c r="X1835" t="str">
        <f>VLOOKUP(L1835,'[2]tabela de preços'!$A:$G,7,0)</f>
        <v>IMOBILIÁRIO</v>
      </c>
    </row>
    <row r="1836" spans="1:24" x14ac:dyDescent="0.3">
      <c r="A1836" t="s">
        <v>2001</v>
      </c>
      <c r="C1836" t="s">
        <v>2021</v>
      </c>
      <c r="D1836" s="1">
        <v>46045</v>
      </c>
      <c r="E1836" t="s">
        <v>2022</v>
      </c>
      <c r="F1836">
        <v>9</v>
      </c>
      <c r="G1836">
        <v>174</v>
      </c>
      <c r="H1836" t="str">
        <f>VLOOKUP(G1836,[1]OPERADORES!$A:$B,2,0)</f>
        <v>MIRIÃ LOBATO RODRIGUES</v>
      </c>
      <c r="I1836" t="s">
        <v>21</v>
      </c>
      <c r="J1836" t="s">
        <v>1427</v>
      </c>
      <c r="K1836" t="s">
        <v>2004</v>
      </c>
      <c r="L1836">
        <v>84814</v>
      </c>
      <c r="M1836" t="s">
        <v>950</v>
      </c>
      <c r="O1836" t="s">
        <v>11</v>
      </c>
      <c r="P1836">
        <v>5403</v>
      </c>
      <c r="Q1836">
        <v>1</v>
      </c>
      <c r="R1836">
        <v>118.93</v>
      </c>
      <c r="S1836">
        <v>118.93</v>
      </c>
      <c r="T1836">
        <v>90.27</v>
      </c>
      <c r="U1836">
        <v>24.1</v>
      </c>
      <c r="V1836" t="str">
        <f>VLOOKUP(L1836,'[2]tabela de preços'!$A:$D,4,0)</f>
        <v>BRASILUX</v>
      </c>
      <c r="W1836" t="str">
        <f>VLOOKUP(L1836,'[2]tabela de preços'!$A:$F,6,0)</f>
        <v>KIT BRASCORTEN</v>
      </c>
      <c r="X1836" t="str">
        <f>VLOOKUP(L1836,'[2]tabela de preços'!$A:$G,7,0)</f>
        <v>IMOBILIÁRIO</v>
      </c>
    </row>
    <row r="1837" spans="1:24" x14ac:dyDescent="0.3">
      <c r="A1837" t="s">
        <v>2001</v>
      </c>
      <c r="C1837" t="s">
        <v>2021</v>
      </c>
      <c r="D1837" s="1">
        <v>46045</v>
      </c>
      <c r="E1837" t="s">
        <v>2022</v>
      </c>
      <c r="F1837">
        <v>9</v>
      </c>
      <c r="G1837">
        <v>174</v>
      </c>
      <c r="H1837" t="str">
        <f>VLOOKUP(G1837,[1]OPERADORES!$A:$B,2,0)</f>
        <v>MIRIÃ LOBATO RODRIGUES</v>
      </c>
      <c r="I1837" t="s">
        <v>21</v>
      </c>
      <c r="J1837" t="s">
        <v>1427</v>
      </c>
      <c r="K1837" t="s">
        <v>2004</v>
      </c>
      <c r="L1837">
        <v>85627</v>
      </c>
      <c r="M1837" t="s">
        <v>2016</v>
      </c>
      <c r="O1837" t="s">
        <v>11</v>
      </c>
      <c r="P1837">
        <v>5403</v>
      </c>
      <c r="Q1837">
        <v>1</v>
      </c>
      <c r="R1837">
        <v>387.58</v>
      </c>
      <c r="S1837">
        <v>387.58</v>
      </c>
      <c r="T1837">
        <v>294.18</v>
      </c>
      <c r="U1837">
        <v>24.1</v>
      </c>
      <c r="V1837" t="str">
        <f>VLOOKUP(L1837,'[2]tabela de preços'!$A:$D,4,0)</f>
        <v>BRASILUX</v>
      </c>
      <c r="W1837" t="str">
        <f>VLOOKUP(L1837,'[2]tabela de preços'!$A:$F,6,0)</f>
        <v>TINTA PARA PISO</v>
      </c>
      <c r="X1837" t="str">
        <f>VLOOKUP(L1837,'[2]tabela de preços'!$A:$G,7,0)</f>
        <v>IMOBILIÁRIO</v>
      </c>
    </row>
    <row r="1838" spans="1:24" x14ac:dyDescent="0.3">
      <c r="A1838" t="s">
        <v>2025</v>
      </c>
      <c r="C1838" t="s">
        <v>2036</v>
      </c>
      <c r="D1838" s="1">
        <v>46045</v>
      </c>
      <c r="E1838" t="s">
        <v>2037</v>
      </c>
      <c r="F1838">
        <v>9</v>
      </c>
      <c r="G1838">
        <v>174</v>
      </c>
      <c r="H1838" t="str">
        <f>VLOOKUP(G1838,[1]OPERADORES!$A:$B,2,0)</f>
        <v>MIRIÃ LOBATO RODRIGUES</v>
      </c>
      <c r="I1838" t="s">
        <v>21</v>
      </c>
      <c r="J1838" t="s">
        <v>762</v>
      </c>
      <c r="K1838" t="s">
        <v>2028</v>
      </c>
      <c r="L1838">
        <v>21860</v>
      </c>
      <c r="M1838" t="s">
        <v>2038</v>
      </c>
      <c r="O1838" t="s">
        <v>11</v>
      </c>
      <c r="P1838">
        <v>5403</v>
      </c>
      <c r="Q1838">
        <v>2</v>
      </c>
      <c r="R1838">
        <v>61.32</v>
      </c>
      <c r="S1838">
        <v>122.64</v>
      </c>
      <c r="T1838">
        <v>93.08</v>
      </c>
      <c r="U1838">
        <v>24.1</v>
      </c>
      <c r="V1838" t="str">
        <f>VLOOKUP(L1838,'[2]tabela de preços'!$A:$D,4,0)</f>
        <v>SIKKENS</v>
      </c>
      <c r="W1838" t="str">
        <f>VLOOKUP(L1838,'[2]tabela de preços'!$A:$F,6,0)</f>
        <v>VERNIZ AUTOMOTIVO</v>
      </c>
      <c r="X1838" t="str">
        <f>VLOOKUP(L1838,'[2]tabela de preços'!$A:$G,7,0)</f>
        <v>AUTOMOTIVO</v>
      </c>
    </row>
    <row r="1839" spans="1:24" x14ac:dyDescent="0.3">
      <c r="A1839" t="s">
        <v>2025</v>
      </c>
      <c r="C1839" t="s">
        <v>2036</v>
      </c>
      <c r="D1839" s="1">
        <v>46045</v>
      </c>
      <c r="E1839" t="s">
        <v>2037</v>
      </c>
      <c r="F1839">
        <v>9</v>
      </c>
      <c r="G1839">
        <v>174</v>
      </c>
      <c r="H1839" t="str">
        <f>VLOOKUP(G1839,[1]OPERADORES!$A:$B,2,0)</f>
        <v>MIRIÃ LOBATO RODRIGUES</v>
      </c>
      <c r="I1839" t="s">
        <v>21</v>
      </c>
      <c r="J1839" t="s">
        <v>762</v>
      </c>
      <c r="K1839" t="s">
        <v>2028</v>
      </c>
      <c r="L1839">
        <v>10236</v>
      </c>
      <c r="M1839" t="s">
        <v>133</v>
      </c>
      <c r="O1839" t="s">
        <v>11</v>
      </c>
      <c r="P1839">
        <v>5102</v>
      </c>
      <c r="Q1839">
        <v>10</v>
      </c>
      <c r="R1839">
        <v>2.79</v>
      </c>
      <c r="S1839">
        <v>27.9</v>
      </c>
      <c r="T1839">
        <v>23.2</v>
      </c>
      <c r="U1839">
        <v>16.850000000000001</v>
      </c>
      <c r="V1839" t="str">
        <f>VLOOKUP(L1839,'[2]tabela de preços'!$A:$D,4,0)</f>
        <v>NORTON</v>
      </c>
      <c r="W1839" t="str">
        <f>VLOOKUP(L1839,'[2]tabela de preços'!$A:$F,6,0)</f>
        <v xml:space="preserve">DISCOS / LIXAS / ABRASIVOS </v>
      </c>
      <c r="X1839" t="str">
        <f>VLOOKUP(L1839,'[2]tabela de preços'!$A:$G,7,0)</f>
        <v>AUTOMOTIVO</v>
      </c>
    </row>
    <row r="1840" spans="1:24" x14ac:dyDescent="0.3">
      <c r="A1840" t="s">
        <v>2025</v>
      </c>
      <c r="C1840" t="s">
        <v>2036</v>
      </c>
      <c r="D1840" s="1">
        <v>46045</v>
      </c>
      <c r="E1840" t="s">
        <v>2037</v>
      </c>
      <c r="F1840">
        <v>9</v>
      </c>
      <c r="G1840">
        <v>174</v>
      </c>
      <c r="H1840" t="str">
        <f>VLOOKUP(G1840,[1]OPERADORES!$A:$B,2,0)</f>
        <v>MIRIÃ LOBATO RODRIGUES</v>
      </c>
      <c r="I1840" t="s">
        <v>21</v>
      </c>
      <c r="J1840" t="s">
        <v>762</v>
      </c>
      <c r="K1840" t="s">
        <v>2028</v>
      </c>
      <c r="L1840">
        <v>10230</v>
      </c>
      <c r="M1840" t="s">
        <v>193</v>
      </c>
      <c r="O1840" t="s">
        <v>11</v>
      </c>
      <c r="P1840">
        <v>5102</v>
      </c>
      <c r="Q1840">
        <v>10</v>
      </c>
      <c r="R1840">
        <v>2.79</v>
      </c>
      <c r="S1840">
        <v>27.9</v>
      </c>
      <c r="T1840">
        <v>23.2</v>
      </c>
      <c r="U1840">
        <v>16.850000000000001</v>
      </c>
      <c r="V1840" t="str">
        <f>VLOOKUP(L1840,'[2]tabela de preços'!$A:$D,4,0)</f>
        <v>NORTON</v>
      </c>
      <c r="W1840" t="str">
        <f>VLOOKUP(L1840,'[2]tabela de preços'!$A:$F,6,0)</f>
        <v xml:space="preserve">DISCOS / LIXAS / ABRASIVOS </v>
      </c>
      <c r="X1840" t="str">
        <f>VLOOKUP(L1840,'[2]tabela de preços'!$A:$G,7,0)</f>
        <v>AUTOMOTIVO</v>
      </c>
    </row>
    <row r="1841" spans="1:24" x14ac:dyDescent="0.3">
      <c r="A1841" t="s">
        <v>2025</v>
      </c>
      <c r="C1841" t="s">
        <v>2036</v>
      </c>
      <c r="D1841" s="1">
        <v>46045</v>
      </c>
      <c r="E1841" t="s">
        <v>2037</v>
      </c>
      <c r="F1841">
        <v>9</v>
      </c>
      <c r="G1841">
        <v>174</v>
      </c>
      <c r="H1841" t="str">
        <f>VLOOKUP(G1841,[1]OPERADORES!$A:$B,2,0)</f>
        <v>MIRIÃ LOBATO RODRIGUES</v>
      </c>
      <c r="I1841" t="s">
        <v>21</v>
      </c>
      <c r="J1841" t="s">
        <v>762</v>
      </c>
      <c r="K1841" t="s">
        <v>2028</v>
      </c>
      <c r="L1841">
        <v>10232</v>
      </c>
      <c r="M1841" t="s">
        <v>134</v>
      </c>
      <c r="O1841" t="s">
        <v>11</v>
      </c>
      <c r="P1841">
        <v>5102</v>
      </c>
      <c r="Q1841">
        <v>10</v>
      </c>
      <c r="R1841">
        <v>2.79</v>
      </c>
      <c r="S1841">
        <v>27.9</v>
      </c>
      <c r="T1841">
        <v>22.5</v>
      </c>
      <c r="U1841">
        <v>19.350000000000001</v>
      </c>
      <c r="V1841" t="str">
        <f>VLOOKUP(L1841,'[2]tabela de preços'!$A:$D,4,0)</f>
        <v>NORTON</v>
      </c>
      <c r="W1841" t="str">
        <f>VLOOKUP(L1841,'[2]tabela de preços'!$A:$F,6,0)</f>
        <v xml:space="preserve">DISCOS / LIXAS / ABRASIVOS </v>
      </c>
      <c r="X1841" t="str">
        <f>VLOOKUP(L1841,'[2]tabela de preços'!$A:$G,7,0)</f>
        <v>AUTOMOTIVO</v>
      </c>
    </row>
    <row r="1842" spans="1:24" x14ac:dyDescent="0.3">
      <c r="A1842" t="s">
        <v>2025</v>
      </c>
      <c r="C1842" t="s">
        <v>2036</v>
      </c>
      <c r="D1842" s="1">
        <v>46045</v>
      </c>
      <c r="E1842" t="s">
        <v>2037</v>
      </c>
      <c r="F1842">
        <v>9</v>
      </c>
      <c r="G1842">
        <v>174</v>
      </c>
      <c r="H1842" t="str">
        <f>VLOOKUP(G1842,[1]OPERADORES!$A:$B,2,0)</f>
        <v>MIRIÃ LOBATO RODRIGUES</v>
      </c>
      <c r="I1842" t="s">
        <v>21</v>
      </c>
      <c r="J1842" t="s">
        <v>762</v>
      </c>
      <c r="K1842" t="s">
        <v>2028</v>
      </c>
      <c r="L1842">
        <v>10237</v>
      </c>
      <c r="M1842" t="s">
        <v>271</v>
      </c>
      <c r="O1842" t="s">
        <v>11</v>
      </c>
      <c r="P1842">
        <v>5102</v>
      </c>
      <c r="Q1842">
        <v>5</v>
      </c>
      <c r="R1842">
        <v>2.79</v>
      </c>
      <c r="S1842">
        <v>13.95</v>
      </c>
      <c r="T1842">
        <v>11.25</v>
      </c>
      <c r="U1842">
        <v>19.350000000000001</v>
      </c>
      <c r="V1842" t="str">
        <f>VLOOKUP(L1842,'[2]tabela de preços'!$A:$D,4,0)</f>
        <v>NORTON</v>
      </c>
      <c r="W1842" t="str">
        <f>VLOOKUP(L1842,'[2]tabela de preços'!$A:$F,6,0)</f>
        <v xml:space="preserve">DISCOS / LIXAS / ABRASIVOS </v>
      </c>
      <c r="X1842" t="str">
        <f>VLOOKUP(L1842,'[2]tabela de preços'!$A:$G,7,0)</f>
        <v>AUTOMOTIVO</v>
      </c>
    </row>
    <row r="1843" spans="1:24" x14ac:dyDescent="0.3">
      <c r="A1843" t="s">
        <v>2025</v>
      </c>
      <c r="C1843" t="s">
        <v>2036</v>
      </c>
      <c r="D1843" s="1">
        <v>46045</v>
      </c>
      <c r="E1843" t="s">
        <v>2039</v>
      </c>
      <c r="F1843">
        <v>9</v>
      </c>
      <c r="G1843">
        <v>174</v>
      </c>
      <c r="H1843" t="str">
        <f>VLOOKUP(G1843,[1]OPERADORES!$A:$B,2,0)</f>
        <v>MIRIÃ LOBATO RODRIGUES</v>
      </c>
      <c r="I1843" t="s">
        <v>21</v>
      </c>
      <c r="J1843" t="s">
        <v>762</v>
      </c>
      <c r="K1843" t="s">
        <v>2028</v>
      </c>
      <c r="L1843">
        <v>20135</v>
      </c>
      <c r="M1843" t="s">
        <v>459</v>
      </c>
      <c r="O1843" t="s">
        <v>11</v>
      </c>
      <c r="P1843">
        <v>5102</v>
      </c>
      <c r="Q1843">
        <v>2</v>
      </c>
      <c r="R1843">
        <v>25.37</v>
      </c>
      <c r="S1843">
        <v>50.74</v>
      </c>
      <c r="T1843">
        <v>38.520000000000003</v>
      </c>
      <c r="U1843">
        <v>24.08</v>
      </c>
      <c r="V1843" t="str">
        <f>VLOOKUP(L1843,'[2]tabela de preços'!$A:$D,4,0)</f>
        <v>3M</v>
      </c>
      <c r="W1843" t="str">
        <f>VLOOKUP(L1843,'[2]tabela de preços'!$A:$F,6,0)</f>
        <v>DISCO TRIZACT</v>
      </c>
      <c r="X1843" t="str">
        <f>VLOOKUP(L1843,'[2]tabela de preços'!$A:$G,7,0)</f>
        <v>AUTOMOTIVO</v>
      </c>
    </row>
    <row r="1844" spans="1:24" x14ac:dyDescent="0.3">
      <c r="A1844" t="s">
        <v>2025</v>
      </c>
      <c r="C1844" t="s">
        <v>2036</v>
      </c>
      <c r="D1844" s="1">
        <v>46045</v>
      </c>
      <c r="E1844" t="s">
        <v>2037</v>
      </c>
      <c r="F1844">
        <v>9</v>
      </c>
      <c r="G1844">
        <v>174</v>
      </c>
      <c r="H1844" t="str">
        <f>VLOOKUP(G1844,[1]OPERADORES!$A:$B,2,0)</f>
        <v>MIRIÃ LOBATO RODRIGUES</v>
      </c>
      <c r="I1844" t="s">
        <v>21</v>
      </c>
      <c r="J1844" t="s">
        <v>762</v>
      </c>
      <c r="K1844" t="s">
        <v>2028</v>
      </c>
      <c r="L1844">
        <v>23433</v>
      </c>
      <c r="M1844" t="s">
        <v>2029</v>
      </c>
      <c r="O1844" t="s">
        <v>11</v>
      </c>
      <c r="P1844">
        <v>5102</v>
      </c>
      <c r="Q1844">
        <v>1</v>
      </c>
      <c r="R1844">
        <v>153.11000000000001</v>
      </c>
      <c r="S1844">
        <v>153.11000000000001</v>
      </c>
      <c r="T1844">
        <v>116.21</v>
      </c>
      <c r="U1844">
        <v>24.1</v>
      </c>
      <c r="V1844" t="str">
        <f>VLOOKUP(L1844,'[2]tabela de preços'!$A:$D,4,0)</f>
        <v>3M</v>
      </c>
      <c r="W1844" t="str">
        <f>VLOOKUP(L1844,'[2]tabela de preços'!$A:$F,6,0)</f>
        <v xml:space="preserve">MASCARAMENTO </v>
      </c>
      <c r="X1844" t="str">
        <f>VLOOKUP(L1844,'[2]tabela de preços'!$A:$G,7,0)</f>
        <v>AUTOMOTIVO</v>
      </c>
    </row>
    <row r="1845" spans="1:24" x14ac:dyDescent="0.3">
      <c r="A1845" t="s">
        <v>2025</v>
      </c>
      <c r="C1845" t="s">
        <v>2036</v>
      </c>
      <c r="D1845" s="1">
        <v>46045</v>
      </c>
      <c r="E1845" t="s">
        <v>2037</v>
      </c>
      <c r="F1845">
        <v>9</v>
      </c>
      <c r="G1845">
        <v>174</v>
      </c>
      <c r="H1845" t="str">
        <f>VLOOKUP(G1845,[1]OPERADORES!$A:$B,2,0)</f>
        <v>MIRIÃ LOBATO RODRIGUES</v>
      </c>
      <c r="I1845" t="s">
        <v>21</v>
      </c>
      <c r="J1845" t="s">
        <v>762</v>
      </c>
      <c r="K1845" t="s">
        <v>2028</v>
      </c>
      <c r="L1845">
        <v>21862</v>
      </c>
      <c r="M1845" t="s">
        <v>2040</v>
      </c>
      <c r="O1845" t="s">
        <v>11</v>
      </c>
      <c r="P1845">
        <v>5102</v>
      </c>
      <c r="Q1845">
        <v>2</v>
      </c>
      <c r="R1845">
        <v>28.62</v>
      </c>
      <c r="S1845">
        <v>57.24</v>
      </c>
      <c r="T1845">
        <v>43.44</v>
      </c>
      <c r="U1845">
        <v>24.11</v>
      </c>
      <c r="V1845" t="str">
        <f>VLOOKUP(L1845,'[2]tabela de preços'!$A:$D,4,0)</f>
        <v>SIKKENS</v>
      </c>
      <c r="W1845" t="str">
        <f>VLOOKUP(L1845,'[2]tabela de preços'!$A:$F,6,0)</f>
        <v>CATALISADORES INDIVIDUAS</v>
      </c>
      <c r="X1845" t="str">
        <f>VLOOKUP(L1845,'[2]tabela de preços'!$A:$G,7,0)</f>
        <v>AUTOMOTIVO</v>
      </c>
    </row>
    <row r="1846" spans="1:24" x14ac:dyDescent="0.3">
      <c r="A1846" t="s">
        <v>2025</v>
      </c>
      <c r="C1846" t="s">
        <v>2036</v>
      </c>
      <c r="D1846" s="1">
        <v>46045</v>
      </c>
      <c r="E1846" t="s">
        <v>2037</v>
      </c>
      <c r="F1846">
        <v>9</v>
      </c>
      <c r="G1846">
        <v>174</v>
      </c>
      <c r="H1846" t="str">
        <f>VLOOKUP(G1846,[1]OPERADORES!$A:$B,2,0)</f>
        <v>MIRIÃ LOBATO RODRIGUES</v>
      </c>
      <c r="I1846" t="s">
        <v>21</v>
      </c>
      <c r="J1846" t="s">
        <v>762</v>
      </c>
      <c r="K1846" t="s">
        <v>2028</v>
      </c>
      <c r="L1846">
        <v>13</v>
      </c>
      <c r="M1846" t="s">
        <v>152</v>
      </c>
      <c r="O1846" t="s">
        <v>11</v>
      </c>
      <c r="P1846">
        <v>5102</v>
      </c>
      <c r="Q1846">
        <v>4</v>
      </c>
      <c r="R1846">
        <v>5.79</v>
      </c>
      <c r="S1846">
        <v>23.16</v>
      </c>
      <c r="T1846">
        <v>16.64</v>
      </c>
      <c r="U1846">
        <v>28.15</v>
      </c>
      <c r="V1846" t="str">
        <f>VLOOKUP(L1846,'[2]tabela de preços'!$A:$D,4,0)</f>
        <v>3M</v>
      </c>
      <c r="W1846" t="str">
        <f>VLOOKUP(L1846,'[2]tabela de preços'!$A:$F,6,0)</f>
        <v>LIXA DÁGUA</v>
      </c>
      <c r="X1846" t="str">
        <f>VLOOKUP(L1846,'[2]tabela de preços'!$A:$G,7,0)</f>
        <v>AUTOMOTIVO</v>
      </c>
    </row>
    <row r="1847" spans="1:24" x14ac:dyDescent="0.3">
      <c r="A1847" t="s">
        <v>2025</v>
      </c>
      <c r="C1847" t="s">
        <v>2036</v>
      </c>
      <c r="D1847" s="1">
        <v>46045</v>
      </c>
      <c r="E1847" t="s">
        <v>2037</v>
      </c>
      <c r="F1847">
        <v>9</v>
      </c>
      <c r="G1847">
        <v>174</v>
      </c>
      <c r="H1847" t="str">
        <f>VLOOKUP(G1847,[1]OPERADORES!$A:$B,2,0)</f>
        <v>MIRIÃ LOBATO RODRIGUES</v>
      </c>
      <c r="I1847" t="s">
        <v>21</v>
      </c>
      <c r="J1847" t="s">
        <v>762</v>
      </c>
      <c r="K1847" t="s">
        <v>2028</v>
      </c>
      <c r="L1847">
        <v>10238</v>
      </c>
      <c r="M1847" t="s">
        <v>79</v>
      </c>
      <c r="O1847" t="s">
        <v>11</v>
      </c>
      <c r="P1847">
        <v>5102</v>
      </c>
      <c r="Q1847">
        <v>5</v>
      </c>
      <c r="R1847">
        <v>2.79</v>
      </c>
      <c r="S1847">
        <v>13.95</v>
      </c>
      <c r="T1847">
        <v>11.2</v>
      </c>
      <c r="U1847">
        <v>19.71</v>
      </c>
      <c r="V1847" t="str">
        <f>VLOOKUP(L1847,'[2]tabela de preços'!$A:$D,4,0)</f>
        <v>NORTON</v>
      </c>
      <c r="W1847" t="str">
        <f>VLOOKUP(L1847,'[2]tabela de preços'!$A:$F,6,0)</f>
        <v xml:space="preserve">DISCOS / LIXAS / ABRASIVOS </v>
      </c>
      <c r="X1847" t="str">
        <f>VLOOKUP(L1847,'[2]tabela de preços'!$A:$G,7,0)</f>
        <v>AUTOMOTIVO</v>
      </c>
    </row>
    <row r="1848" spans="1:24" x14ac:dyDescent="0.3">
      <c r="A1848" t="s">
        <v>2025</v>
      </c>
      <c r="C1848" t="s">
        <v>2036</v>
      </c>
      <c r="D1848" s="1">
        <v>46045</v>
      </c>
      <c r="E1848" t="s">
        <v>2037</v>
      </c>
      <c r="F1848">
        <v>9</v>
      </c>
      <c r="G1848">
        <v>174</v>
      </c>
      <c r="H1848" t="str">
        <f>VLOOKUP(G1848,[1]OPERADORES!$A:$B,2,0)</f>
        <v>MIRIÃ LOBATO RODRIGUES</v>
      </c>
      <c r="I1848" t="s">
        <v>21</v>
      </c>
      <c r="J1848" t="s">
        <v>762</v>
      </c>
      <c r="K1848" t="s">
        <v>2028</v>
      </c>
      <c r="L1848">
        <v>10240</v>
      </c>
      <c r="M1848" t="s">
        <v>81</v>
      </c>
      <c r="O1848" t="s">
        <v>11</v>
      </c>
      <c r="P1848">
        <v>5102</v>
      </c>
      <c r="Q1848">
        <v>5</v>
      </c>
      <c r="R1848">
        <v>2.79</v>
      </c>
      <c r="S1848">
        <v>13.95</v>
      </c>
      <c r="T1848">
        <v>11.2</v>
      </c>
      <c r="U1848">
        <v>19.71</v>
      </c>
      <c r="V1848" t="str">
        <f>VLOOKUP(L1848,'[2]tabela de preços'!$A:$D,4,0)</f>
        <v>NORTON</v>
      </c>
      <c r="W1848" t="str">
        <f>VLOOKUP(L1848,'[2]tabela de preços'!$A:$F,6,0)</f>
        <v xml:space="preserve">DISCOS / LIXAS / ABRASIVOS </v>
      </c>
      <c r="X1848" t="str">
        <f>VLOOKUP(L1848,'[2]tabela de preços'!$A:$G,7,0)</f>
        <v>AUTOMOTIVO</v>
      </c>
    </row>
    <row r="1849" spans="1:24" x14ac:dyDescent="0.3">
      <c r="A1849" t="s">
        <v>2025</v>
      </c>
      <c r="C1849" t="s">
        <v>2036</v>
      </c>
      <c r="D1849" s="1">
        <v>46045</v>
      </c>
      <c r="E1849" t="s">
        <v>2037</v>
      </c>
      <c r="F1849">
        <v>9</v>
      </c>
      <c r="G1849">
        <v>174</v>
      </c>
      <c r="H1849" t="str">
        <f>VLOOKUP(G1849,[1]OPERADORES!$A:$B,2,0)</f>
        <v>MIRIÃ LOBATO RODRIGUES</v>
      </c>
      <c r="I1849" t="s">
        <v>21</v>
      </c>
      <c r="J1849" t="s">
        <v>762</v>
      </c>
      <c r="K1849" t="s">
        <v>2028</v>
      </c>
      <c r="L1849">
        <v>10242</v>
      </c>
      <c r="M1849" t="s">
        <v>82</v>
      </c>
      <c r="O1849" t="s">
        <v>11</v>
      </c>
      <c r="P1849">
        <v>5102</v>
      </c>
      <c r="Q1849">
        <v>5</v>
      </c>
      <c r="R1849">
        <v>2.79</v>
      </c>
      <c r="S1849">
        <v>13.95</v>
      </c>
      <c r="T1849">
        <v>11.2</v>
      </c>
      <c r="U1849">
        <v>19.71</v>
      </c>
      <c r="V1849" t="str">
        <f>VLOOKUP(L1849,'[2]tabela de preços'!$A:$D,4,0)</f>
        <v>NORTON</v>
      </c>
      <c r="W1849" t="str">
        <f>VLOOKUP(L1849,'[2]tabela de preços'!$A:$F,6,0)</f>
        <v xml:space="preserve">DISCOS / LIXAS / ABRASIVOS </v>
      </c>
      <c r="X1849" t="str">
        <f>VLOOKUP(L1849,'[2]tabela de preços'!$A:$G,7,0)</f>
        <v>AUTOMOTIVO</v>
      </c>
    </row>
    <row r="1850" spans="1:24" x14ac:dyDescent="0.3">
      <c r="A1850" t="s">
        <v>2025</v>
      </c>
      <c r="C1850" t="s">
        <v>2036</v>
      </c>
      <c r="D1850" s="1">
        <v>46045</v>
      </c>
      <c r="E1850" t="s">
        <v>2037</v>
      </c>
      <c r="F1850">
        <v>9</v>
      </c>
      <c r="G1850">
        <v>174</v>
      </c>
      <c r="H1850" t="str">
        <f>VLOOKUP(G1850,[1]OPERADORES!$A:$B,2,0)</f>
        <v>MIRIÃ LOBATO RODRIGUES</v>
      </c>
      <c r="I1850" t="s">
        <v>21</v>
      </c>
      <c r="J1850" t="s">
        <v>762</v>
      </c>
      <c r="K1850" t="s">
        <v>2028</v>
      </c>
      <c r="L1850">
        <v>10243</v>
      </c>
      <c r="M1850" t="s">
        <v>83</v>
      </c>
      <c r="O1850" t="s">
        <v>11</v>
      </c>
      <c r="P1850">
        <v>5102</v>
      </c>
      <c r="Q1850">
        <v>5</v>
      </c>
      <c r="R1850">
        <v>2.79</v>
      </c>
      <c r="S1850">
        <v>13.95</v>
      </c>
      <c r="T1850">
        <v>9.65</v>
      </c>
      <c r="U1850">
        <v>30.82</v>
      </c>
      <c r="V1850" t="str">
        <f>VLOOKUP(L1850,'[2]tabela de preços'!$A:$D,4,0)</f>
        <v>NORTON</v>
      </c>
      <c r="W1850" t="str">
        <f>VLOOKUP(L1850,'[2]tabela de preços'!$A:$F,6,0)</f>
        <v xml:space="preserve">DISCOS / LIXAS / ABRASIVOS </v>
      </c>
      <c r="X1850" t="str">
        <f>VLOOKUP(L1850,'[2]tabela de preços'!$A:$G,7,0)</f>
        <v>AUTOMOTIVO</v>
      </c>
    </row>
    <row r="1851" spans="1:24" x14ac:dyDescent="0.3">
      <c r="A1851" t="s">
        <v>2025</v>
      </c>
      <c r="C1851" t="s">
        <v>2036</v>
      </c>
      <c r="D1851" s="1">
        <v>46045</v>
      </c>
      <c r="E1851" t="s">
        <v>2037</v>
      </c>
      <c r="F1851">
        <v>9</v>
      </c>
      <c r="G1851">
        <v>174</v>
      </c>
      <c r="H1851" t="str">
        <f>VLOOKUP(G1851,[1]OPERADORES!$A:$B,2,0)</f>
        <v>MIRIÃ LOBATO RODRIGUES</v>
      </c>
      <c r="I1851" t="s">
        <v>21</v>
      </c>
      <c r="J1851" t="s">
        <v>762</v>
      </c>
      <c r="K1851" t="s">
        <v>2028</v>
      </c>
      <c r="L1851">
        <v>10245</v>
      </c>
      <c r="M1851" t="s">
        <v>195</v>
      </c>
      <c r="O1851" t="s">
        <v>11</v>
      </c>
      <c r="P1851">
        <v>5102</v>
      </c>
      <c r="Q1851">
        <v>10</v>
      </c>
      <c r="R1851">
        <v>2.79</v>
      </c>
      <c r="S1851">
        <v>27.9</v>
      </c>
      <c r="T1851">
        <v>19.3</v>
      </c>
      <c r="U1851">
        <v>30.82</v>
      </c>
      <c r="V1851" t="str">
        <f>VLOOKUP(L1851,'[2]tabela de preços'!$A:$D,4,0)</f>
        <v>NORTON</v>
      </c>
      <c r="W1851" t="str">
        <f>VLOOKUP(L1851,'[2]tabela de preços'!$A:$F,6,0)</f>
        <v xml:space="preserve">DISCOS / LIXAS / ABRASIVOS </v>
      </c>
      <c r="X1851" t="str">
        <f>VLOOKUP(L1851,'[2]tabela de preços'!$A:$G,7,0)</f>
        <v>AUTOMOTIVO</v>
      </c>
    </row>
    <row r="1852" spans="1:24" x14ac:dyDescent="0.3">
      <c r="A1852" t="s">
        <v>2025</v>
      </c>
      <c r="C1852" t="s">
        <v>2036</v>
      </c>
      <c r="D1852" s="1">
        <v>46045</v>
      </c>
      <c r="E1852" t="s">
        <v>2037</v>
      </c>
      <c r="F1852">
        <v>9</v>
      </c>
      <c r="G1852">
        <v>174</v>
      </c>
      <c r="H1852" t="str">
        <f>VLOOKUP(G1852,[1]OPERADORES!$A:$B,2,0)</f>
        <v>MIRIÃ LOBATO RODRIGUES</v>
      </c>
      <c r="I1852" t="s">
        <v>21</v>
      </c>
      <c r="J1852" t="s">
        <v>762</v>
      </c>
      <c r="K1852" t="s">
        <v>2028</v>
      </c>
      <c r="L1852">
        <v>10246</v>
      </c>
      <c r="M1852" t="s">
        <v>206</v>
      </c>
      <c r="O1852" t="s">
        <v>11</v>
      </c>
      <c r="P1852">
        <v>5102</v>
      </c>
      <c r="Q1852">
        <v>5</v>
      </c>
      <c r="R1852">
        <v>2.79</v>
      </c>
      <c r="S1852">
        <v>13.95</v>
      </c>
      <c r="T1852">
        <v>9.65</v>
      </c>
      <c r="U1852">
        <v>30.82</v>
      </c>
      <c r="V1852" t="str">
        <f>VLOOKUP(L1852,'[2]tabela de preços'!$A:$D,4,0)</f>
        <v>NORTON</v>
      </c>
      <c r="W1852" t="str">
        <f>VLOOKUP(L1852,'[2]tabela de preços'!$A:$F,6,0)</f>
        <v xml:space="preserve">DISCOS / LIXAS / ABRASIVOS </v>
      </c>
      <c r="X1852" t="str">
        <f>VLOOKUP(L1852,'[2]tabela de preços'!$A:$G,7,0)</f>
        <v>AUTOMOTIVO</v>
      </c>
    </row>
    <row r="1853" spans="1:24" x14ac:dyDescent="0.3">
      <c r="A1853" t="s">
        <v>2025</v>
      </c>
      <c r="C1853" t="s">
        <v>2036</v>
      </c>
      <c r="D1853" s="1">
        <v>46045</v>
      </c>
      <c r="E1853" t="s">
        <v>2037</v>
      </c>
      <c r="F1853">
        <v>9</v>
      </c>
      <c r="G1853">
        <v>174</v>
      </c>
      <c r="H1853" t="str">
        <f>VLOOKUP(G1853,[1]OPERADORES!$A:$B,2,0)</f>
        <v>MIRIÃ LOBATO RODRIGUES</v>
      </c>
      <c r="I1853" t="s">
        <v>21</v>
      </c>
      <c r="J1853" t="s">
        <v>762</v>
      </c>
      <c r="K1853" t="s">
        <v>2028</v>
      </c>
      <c r="L1853">
        <v>23623</v>
      </c>
      <c r="M1853" t="s">
        <v>2033</v>
      </c>
      <c r="O1853" t="s">
        <v>11</v>
      </c>
      <c r="P1853">
        <v>5102</v>
      </c>
      <c r="Q1853">
        <v>1</v>
      </c>
      <c r="R1853">
        <v>113.99</v>
      </c>
      <c r="S1853">
        <v>113.99</v>
      </c>
      <c r="T1853">
        <v>86.52</v>
      </c>
      <c r="U1853">
        <v>24.1</v>
      </c>
      <c r="V1853" t="str">
        <f>VLOOKUP(L1853,'[2]tabela de preços'!$A:$D,4,0)</f>
        <v>SIKKENS</v>
      </c>
      <c r="W1853" t="str">
        <f>VLOOKUP(L1853,'[2]tabela de preços'!$A:$F,6,0)</f>
        <v>MASSA POLIÉSTER</v>
      </c>
      <c r="X1853" t="str">
        <f>VLOOKUP(L1853,'[2]tabela de preços'!$A:$G,7,0)</f>
        <v>AUTOMOTIVO</v>
      </c>
    </row>
    <row r="1854" spans="1:24" x14ac:dyDescent="0.3">
      <c r="A1854" t="s">
        <v>2025</v>
      </c>
      <c r="C1854" t="s">
        <v>2036</v>
      </c>
      <c r="D1854" s="1">
        <v>46045</v>
      </c>
      <c r="E1854" t="s">
        <v>2037</v>
      </c>
      <c r="F1854">
        <v>9</v>
      </c>
      <c r="G1854">
        <v>174</v>
      </c>
      <c r="H1854" t="str">
        <f>VLOOKUP(G1854,[1]OPERADORES!$A:$B,2,0)</f>
        <v>MIRIÃ LOBATO RODRIGUES</v>
      </c>
      <c r="I1854" t="s">
        <v>21</v>
      </c>
      <c r="J1854" t="s">
        <v>762</v>
      </c>
      <c r="K1854" t="s">
        <v>2028</v>
      </c>
      <c r="L1854">
        <v>10298</v>
      </c>
      <c r="M1854" t="s">
        <v>85</v>
      </c>
      <c r="O1854" t="s">
        <v>11</v>
      </c>
      <c r="P1854">
        <v>5102</v>
      </c>
      <c r="Q1854">
        <v>1</v>
      </c>
      <c r="R1854">
        <v>56.89</v>
      </c>
      <c r="S1854">
        <v>56.89</v>
      </c>
      <c r="T1854">
        <v>47.38</v>
      </c>
      <c r="U1854">
        <v>16.72</v>
      </c>
      <c r="V1854" t="str">
        <f>VLOOKUP(L1854,'[2]tabela de preços'!$A:$D,4,0)</f>
        <v>ANJO</v>
      </c>
      <c r="W1854" t="str">
        <f>VLOOKUP(L1854,'[2]tabela de preços'!$A:$F,6,0)</f>
        <v>THINNER DE LIMPEZA</v>
      </c>
      <c r="X1854" t="str">
        <f>VLOOKUP(L1854,'[2]tabela de preços'!$A:$G,7,0)</f>
        <v>THINNER</v>
      </c>
    </row>
    <row r="1855" spans="1:24" x14ac:dyDescent="0.3">
      <c r="A1855" t="s">
        <v>2171</v>
      </c>
      <c r="C1855" t="s">
        <v>2192</v>
      </c>
      <c r="D1855" s="1">
        <v>46045</v>
      </c>
      <c r="E1855" t="s">
        <v>2193</v>
      </c>
      <c r="F1855">
        <v>9</v>
      </c>
      <c r="G1855">
        <v>230</v>
      </c>
      <c r="H1855" t="str">
        <f>VLOOKUP(G1855,[1]OPERADORES!$A:$B,2,0)</f>
        <v>SÔNIA</v>
      </c>
      <c r="I1855" t="s">
        <v>21</v>
      </c>
      <c r="J1855" t="s">
        <v>2174</v>
      </c>
      <c r="K1855" t="s">
        <v>2175</v>
      </c>
      <c r="L1855">
        <v>85199</v>
      </c>
      <c r="M1855" t="s">
        <v>2194</v>
      </c>
      <c r="O1855" t="s">
        <v>11</v>
      </c>
      <c r="P1855">
        <v>5102</v>
      </c>
      <c r="Q1855">
        <v>1</v>
      </c>
      <c r="R1855">
        <v>40.630000000000003</v>
      </c>
      <c r="S1855">
        <v>40.630000000000003</v>
      </c>
      <c r="T1855">
        <v>30.84</v>
      </c>
      <c r="U1855">
        <v>24.1</v>
      </c>
      <c r="V1855" t="str">
        <f>VLOOKUP(L1855,'[2]tabela de preços'!$A:$D,4,0)</f>
        <v>VONIXX</v>
      </c>
      <c r="W1855" t="str">
        <f>VLOOKUP(L1855,'[2]tabela de preços'!$A:$F,6,0)</f>
        <v>LINHA DE HIGENIZAÇÃO E ESTÉTICA  AUTOMOTIVA</v>
      </c>
      <c r="X1855" t="str">
        <f>VLOOKUP(L1855,'[2]tabela de preços'!$A:$G,7,0)</f>
        <v>AUTOMOTIVO</v>
      </c>
    </row>
    <row r="1856" spans="1:24" x14ac:dyDescent="0.3">
      <c r="A1856" t="s">
        <v>2171</v>
      </c>
      <c r="C1856" t="s">
        <v>2192</v>
      </c>
      <c r="D1856" s="1">
        <v>46045</v>
      </c>
      <c r="E1856" t="s">
        <v>2195</v>
      </c>
      <c r="F1856">
        <v>9</v>
      </c>
      <c r="G1856">
        <v>230</v>
      </c>
      <c r="H1856" t="str">
        <f>VLOOKUP(G1856,[1]OPERADORES!$A:$B,2,0)</f>
        <v>SÔNIA</v>
      </c>
      <c r="I1856" t="s">
        <v>21</v>
      </c>
      <c r="J1856" t="s">
        <v>2174</v>
      </c>
      <c r="K1856" t="s">
        <v>2175</v>
      </c>
      <c r="L1856">
        <v>85201</v>
      </c>
      <c r="M1856" t="s">
        <v>2196</v>
      </c>
      <c r="O1856" t="s">
        <v>11</v>
      </c>
      <c r="P1856">
        <v>5102</v>
      </c>
      <c r="Q1856">
        <v>1</v>
      </c>
      <c r="R1856">
        <v>30.87</v>
      </c>
      <c r="S1856">
        <v>30.87</v>
      </c>
      <c r="T1856">
        <v>23.43</v>
      </c>
      <c r="U1856">
        <v>24.1</v>
      </c>
      <c r="V1856" t="str">
        <f>VLOOKUP(L1856,'[2]tabela de preços'!$A:$D,4,0)</f>
        <v>VONIXX</v>
      </c>
      <c r="W1856" t="str">
        <f>VLOOKUP(L1856,'[2]tabela de preços'!$A:$F,6,0)</f>
        <v>LINHA DE HIGENIZAÇÃO E ESTÉTICA  AUTOMOTIVA</v>
      </c>
      <c r="X1856" t="str">
        <f>VLOOKUP(L1856,'[2]tabela de preços'!$A:$G,7,0)</f>
        <v>AUTOMOTIVO</v>
      </c>
    </row>
    <row r="1857" spans="1:24" x14ac:dyDescent="0.3">
      <c r="A1857" t="s">
        <v>2171</v>
      </c>
      <c r="C1857" t="s">
        <v>2192</v>
      </c>
      <c r="D1857" s="1">
        <v>46045</v>
      </c>
      <c r="E1857" t="s">
        <v>2197</v>
      </c>
      <c r="F1857">
        <v>9</v>
      </c>
      <c r="G1857">
        <v>230</v>
      </c>
      <c r="H1857" t="str">
        <f>VLOOKUP(G1857,[1]OPERADORES!$A:$B,2,0)</f>
        <v>SÔNIA</v>
      </c>
      <c r="I1857" t="s">
        <v>21</v>
      </c>
      <c r="J1857" t="s">
        <v>2174</v>
      </c>
      <c r="K1857" t="s">
        <v>2175</v>
      </c>
      <c r="L1857">
        <v>23580</v>
      </c>
      <c r="M1857" t="s">
        <v>115</v>
      </c>
      <c r="O1857" t="s">
        <v>11</v>
      </c>
      <c r="P1857">
        <v>5102</v>
      </c>
      <c r="Q1857">
        <v>10</v>
      </c>
      <c r="R1857">
        <v>0.56000000000000005</v>
      </c>
      <c r="S1857">
        <v>5.6</v>
      </c>
      <c r="T1857">
        <v>3.6</v>
      </c>
      <c r="U1857">
        <v>35.71</v>
      </c>
      <c r="V1857" t="str">
        <f>VLOOKUP(L1857,'[2]tabela de preços'!$A:$D,4,0)</f>
        <v>RENOVA COADORES</v>
      </c>
      <c r="W1857" t="str">
        <f>VLOOKUP(L1857,'[2]tabela de preços'!$A:$F,6,0)</f>
        <v>COADORES</v>
      </c>
      <c r="X1857" t="str">
        <f>VLOOKUP(L1857,'[2]tabela de preços'!$A:$G,7,0)</f>
        <v>AUTOMOTIVO</v>
      </c>
    </row>
    <row r="1858" spans="1:24" x14ac:dyDescent="0.3">
      <c r="A1858" t="s">
        <v>2171</v>
      </c>
      <c r="C1858" t="s">
        <v>2192</v>
      </c>
      <c r="D1858" s="1">
        <v>46045</v>
      </c>
      <c r="E1858" t="s">
        <v>2195</v>
      </c>
      <c r="F1858">
        <v>9</v>
      </c>
      <c r="G1858">
        <v>230</v>
      </c>
      <c r="H1858" t="str">
        <f>VLOOKUP(G1858,[1]OPERADORES!$A:$B,2,0)</f>
        <v>SÔNIA</v>
      </c>
      <c r="I1858" t="s">
        <v>21</v>
      </c>
      <c r="J1858" t="s">
        <v>2174</v>
      </c>
      <c r="K1858" t="s">
        <v>2175</v>
      </c>
      <c r="L1858">
        <v>22339</v>
      </c>
      <c r="M1858" t="s">
        <v>2198</v>
      </c>
      <c r="O1858" t="s">
        <v>11</v>
      </c>
      <c r="P1858">
        <v>5102</v>
      </c>
      <c r="Q1858">
        <v>2</v>
      </c>
      <c r="R1858">
        <v>7.75</v>
      </c>
      <c r="S1858">
        <v>15.5</v>
      </c>
      <c r="T1858">
        <v>11.78</v>
      </c>
      <c r="U1858">
        <v>24</v>
      </c>
      <c r="V1858" t="str">
        <f>VLOOKUP(L1858,'[2]tabela de preços'!$A:$D,4,0)</f>
        <v>WANDA</v>
      </c>
      <c r="W1858" t="str">
        <f>VLOOKUP(L1858,'[2]tabela de preços'!$A:$F,6,0)</f>
        <v>APLICADORES / ADAPTADORES / ENGATES / SUPORTES</v>
      </c>
      <c r="X1858" t="str">
        <f>VLOOKUP(L1858,'[2]tabela de preços'!$A:$G,7,0)</f>
        <v>AUTOMOTIVO</v>
      </c>
    </row>
    <row r="1859" spans="1:24" x14ac:dyDescent="0.3">
      <c r="A1859" t="s">
        <v>2171</v>
      </c>
      <c r="C1859" t="s">
        <v>2192</v>
      </c>
      <c r="D1859" s="1">
        <v>46045</v>
      </c>
      <c r="E1859" t="s">
        <v>2197</v>
      </c>
      <c r="F1859">
        <v>9</v>
      </c>
      <c r="G1859">
        <v>230</v>
      </c>
      <c r="H1859" t="str">
        <f>VLOOKUP(G1859,[1]OPERADORES!$A:$B,2,0)</f>
        <v>SÔNIA</v>
      </c>
      <c r="I1859" t="s">
        <v>21</v>
      </c>
      <c r="J1859" t="s">
        <v>2174</v>
      </c>
      <c r="K1859" t="s">
        <v>2175</v>
      </c>
      <c r="L1859">
        <v>10298</v>
      </c>
      <c r="M1859" t="s">
        <v>85</v>
      </c>
      <c r="O1859" t="s">
        <v>11</v>
      </c>
      <c r="P1859">
        <v>5102</v>
      </c>
      <c r="Q1859">
        <v>1</v>
      </c>
      <c r="R1859">
        <v>56.89</v>
      </c>
      <c r="S1859">
        <v>56.89</v>
      </c>
      <c r="T1859">
        <v>47.38</v>
      </c>
      <c r="U1859">
        <v>16.72</v>
      </c>
      <c r="V1859" t="str">
        <f>VLOOKUP(L1859,'[2]tabela de preços'!$A:$D,4,0)</f>
        <v>ANJO</v>
      </c>
      <c r="W1859" t="str">
        <f>VLOOKUP(L1859,'[2]tabela de preços'!$A:$F,6,0)</f>
        <v>THINNER DE LIMPEZA</v>
      </c>
      <c r="X1859" t="str">
        <f>VLOOKUP(L1859,'[2]tabela de preços'!$A:$G,7,0)</f>
        <v>THINNER</v>
      </c>
    </row>
    <row r="1860" spans="1:24" x14ac:dyDescent="0.3">
      <c r="A1860" t="s">
        <v>2171</v>
      </c>
      <c r="C1860" t="s">
        <v>2199</v>
      </c>
      <c r="D1860" s="1">
        <v>46045</v>
      </c>
      <c r="E1860" t="s">
        <v>2200</v>
      </c>
      <c r="F1860">
        <v>9</v>
      </c>
      <c r="G1860">
        <v>230</v>
      </c>
      <c r="H1860" t="str">
        <f>VLOOKUP(G1860,[1]OPERADORES!$A:$B,2,0)</f>
        <v>SÔNIA</v>
      </c>
      <c r="I1860" t="s">
        <v>21</v>
      </c>
      <c r="J1860" t="s">
        <v>2174</v>
      </c>
      <c r="K1860" t="s">
        <v>2175</v>
      </c>
      <c r="L1860">
        <v>84565</v>
      </c>
      <c r="M1860" t="s">
        <v>236</v>
      </c>
      <c r="O1860" t="s">
        <v>11</v>
      </c>
      <c r="P1860">
        <v>5102</v>
      </c>
      <c r="Q1860">
        <v>1</v>
      </c>
      <c r="R1860">
        <v>9.24</v>
      </c>
      <c r="S1860">
        <v>9.24</v>
      </c>
      <c r="T1860">
        <v>7.01</v>
      </c>
      <c r="U1860">
        <v>24.13</v>
      </c>
      <c r="V1860" t="str">
        <f>VLOOKUP(L1860,'[2]tabela de preços'!$A:$D,4,0)</f>
        <v>BRASILUX</v>
      </c>
      <c r="W1860" t="str">
        <f>VLOOKUP(L1860,'[2]tabela de preços'!$A:$F,6,0)</f>
        <v>PRETO FOSCO VINÍLICO</v>
      </c>
      <c r="X1860" t="str">
        <f>VLOOKUP(L1860,'[2]tabela de preços'!$A:$G,7,0)</f>
        <v>AUTOMOTIVO</v>
      </c>
    </row>
    <row r="1861" spans="1:24" x14ac:dyDescent="0.3">
      <c r="A1861" t="s">
        <v>2171</v>
      </c>
      <c r="C1861" t="s">
        <v>2199</v>
      </c>
      <c r="D1861" s="1">
        <v>46045</v>
      </c>
      <c r="E1861" t="s">
        <v>2200</v>
      </c>
      <c r="F1861">
        <v>9</v>
      </c>
      <c r="G1861">
        <v>230</v>
      </c>
      <c r="H1861" t="str">
        <f>VLOOKUP(G1861,[1]OPERADORES!$A:$B,2,0)</f>
        <v>SÔNIA</v>
      </c>
      <c r="I1861" t="s">
        <v>21</v>
      </c>
      <c r="J1861" t="s">
        <v>2174</v>
      </c>
      <c r="K1861" t="s">
        <v>2175</v>
      </c>
      <c r="L1861">
        <v>10226</v>
      </c>
      <c r="M1861" t="s">
        <v>145</v>
      </c>
      <c r="O1861" t="s">
        <v>11</v>
      </c>
      <c r="P1861">
        <v>5102</v>
      </c>
      <c r="Q1861">
        <v>5</v>
      </c>
      <c r="R1861">
        <v>2.79</v>
      </c>
      <c r="S1861">
        <v>13.95</v>
      </c>
      <c r="T1861">
        <v>11.6</v>
      </c>
      <c r="U1861">
        <v>16.850000000000001</v>
      </c>
      <c r="V1861" t="str">
        <f>VLOOKUP(L1861,'[2]tabela de preços'!$A:$D,4,0)</f>
        <v>NORTON</v>
      </c>
      <c r="W1861" t="str">
        <f>VLOOKUP(L1861,'[2]tabela de preços'!$A:$F,6,0)</f>
        <v xml:space="preserve">DISCOS / LIXAS / ABRASIVOS </v>
      </c>
      <c r="X1861" t="str">
        <f>VLOOKUP(L1861,'[2]tabela de preços'!$A:$G,7,0)</f>
        <v>AUTOMOTIVO</v>
      </c>
    </row>
    <row r="1862" spans="1:24" x14ac:dyDescent="0.3">
      <c r="A1862" t="s">
        <v>2171</v>
      </c>
      <c r="C1862" t="s">
        <v>2199</v>
      </c>
      <c r="D1862" s="1">
        <v>46045</v>
      </c>
      <c r="E1862" t="s">
        <v>2200</v>
      </c>
      <c r="F1862">
        <v>9</v>
      </c>
      <c r="G1862">
        <v>230</v>
      </c>
      <c r="H1862" t="str">
        <f>VLOOKUP(G1862,[1]OPERADORES!$A:$B,2,0)</f>
        <v>SÔNIA</v>
      </c>
      <c r="I1862" t="s">
        <v>21</v>
      </c>
      <c r="J1862" t="s">
        <v>2174</v>
      </c>
      <c r="K1862" t="s">
        <v>2175</v>
      </c>
      <c r="L1862">
        <v>22188</v>
      </c>
      <c r="M1862" t="s">
        <v>78</v>
      </c>
      <c r="O1862" t="s">
        <v>11</v>
      </c>
      <c r="P1862">
        <v>5102</v>
      </c>
      <c r="Q1862">
        <v>5</v>
      </c>
      <c r="R1862">
        <v>16.88</v>
      </c>
      <c r="S1862">
        <v>84.4</v>
      </c>
      <c r="T1862">
        <v>54.45</v>
      </c>
      <c r="U1862">
        <v>35.49</v>
      </c>
      <c r="V1862" t="str">
        <f>VLOOKUP(L1862,'[2]tabela de preços'!$A:$D,4,0)</f>
        <v>3M</v>
      </c>
      <c r="W1862" t="str">
        <f>VLOOKUP(L1862,'[2]tabela de preços'!$A:$F,6,0)</f>
        <v>FITA AUTOMOTIVA</v>
      </c>
      <c r="X1862" t="str">
        <f>VLOOKUP(L1862,'[2]tabela de preços'!$A:$G,7,0)</f>
        <v>AUTOMOTIVO</v>
      </c>
    </row>
    <row r="1863" spans="1:24" x14ac:dyDescent="0.3">
      <c r="A1863" t="s">
        <v>2171</v>
      </c>
      <c r="C1863" t="s">
        <v>2199</v>
      </c>
      <c r="D1863" s="1">
        <v>46045</v>
      </c>
      <c r="E1863" t="s">
        <v>2200</v>
      </c>
      <c r="F1863">
        <v>9</v>
      </c>
      <c r="G1863">
        <v>230</v>
      </c>
      <c r="H1863" t="str">
        <f>VLOOKUP(G1863,[1]OPERADORES!$A:$B,2,0)</f>
        <v>SÔNIA</v>
      </c>
      <c r="I1863" t="s">
        <v>21</v>
      </c>
      <c r="J1863" t="s">
        <v>2174</v>
      </c>
      <c r="K1863" t="s">
        <v>2175</v>
      </c>
      <c r="L1863">
        <v>23383</v>
      </c>
      <c r="M1863" t="s">
        <v>419</v>
      </c>
      <c r="O1863" t="s">
        <v>11</v>
      </c>
      <c r="P1863">
        <v>5403</v>
      </c>
      <c r="Q1863">
        <v>2</v>
      </c>
      <c r="R1863">
        <v>51.6</v>
      </c>
      <c r="S1863">
        <v>103.2</v>
      </c>
      <c r="T1863">
        <v>78.319999999999993</v>
      </c>
      <c r="U1863">
        <v>24.11</v>
      </c>
      <c r="V1863" t="str">
        <f>VLOOKUP(L1863,'[2]tabela de preços'!$A:$D,4,0)</f>
        <v>WANDA</v>
      </c>
      <c r="W1863" t="str">
        <f>VLOOKUP(L1863,'[2]tabela de preços'!$A:$F,6,0)</f>
        <v>TINTAS PU</v>
      </c>
      <c r="X1863" t="str">
        <f>VLOOKUP(L1863,'[2]tabela de preços'!$A:$G,7,0)</f>
        <v>AUTOMOTIVO</v>
      </c>
    </row>
    <row r="1864" spans="1:24" x14ac:dyDescent="0.3">
      <c r="A1864" t="s">
        <v>2171</v>
      </c>
      <c r="C1864" t="s">
        <v>2199</v>
      </c>
      <c r="D1864" s="1">
        <v>46045</v>
      </c>
      <c r="E1864" t="s">
        <v>2200</v>
      </c>
      <c r="F1864">
        <v>9</v>
      </c>
      <c r="G1864">
        <v>230</v>
      </c>
      <c r="H1864" t="str">
        <f>VLOOKUP(G1864,[1]OPERADORES!$A:$B,2,0)</f>
        <v>SÔNIA</v>
      </c>
      <c r="I1864" t="s">
        <v>21</v>
      </c>
      <c r="J1864" t="s">
        <v>2174</v>
      </c>
      <c r="K1864" t="s">
        <v>2175</v>
      </c>
      <c r="L1864">
        <v>87109</v>
      </c>
      <c r="M1864" t="s">
        <v>2201</v>
      </c>
      <c r="O1864" t="s">
        <v>11</v>
      </c>
      <c r="P1864">
        <v>5102</v>
      </c>
      <c r="Q1864">
        <v>2</v>
      </c>
      <c r="R1864">
        <v>41.35</v>
      </c>
      <c r="S1864">
        <v>82.7</v>
      </c>
      <c r="T1864">
        <v>62.78</v>
      </c>
      <c r="U1864">
        <v>24.09</v>
      </c>
      <c r="V1864" t="str">
        <f>VLOOKUP(L1864,'[2]tabela de preços'!$A:$D,4,0)</f>
        <v>SHERWIN WILLIAMS</v>
      </c>
      <c r="W1864" t="str">
        <f>VLOOKUP(L1864,'[2]tabela de preços'!$A:$F,6,0)</f>
        <v>TINTAS PU</v>
      </c>
      <c r="X1864" t="str">
        <f>VLOOKUP(L1864,'[2]tabela de preços'!$A:$G,7,0)</f>
        <v>AUTOMOTIVO</v>
      </c>
    </row>
    <row r="1865" spans="1:24" x14ac:dyDescent="0.3">
      <c r="A1865" t="s">
        <v>2171</v>
      </c>
      <c r="C1865" t="s">
        <v>2199</v>
      </c>
      <c r="D1865" s="1">
        <v>46045</v>
      </c>
      <c r="E1865" t="s">
        <v>2200</v>
      </c>
      <c r="F1865">
        <v>9</v>
      </c>
      <c r="G1865">
        <v>230</v>
      </c>
      <c r="H1865" t="str">
        <f>VLOOKUP(G1865,[1]OPERADORES!$A:$B,2,0)</f>
        <v>SÔNIA</v>
      </c>
      <c r="I1865" t="s">
        <v>21</v>
      </c>
      <c r="J1865" t="s">
        <v>2174</v>
      </c>
      <c r="K1865" t="s">
        <v>2175</v>
      </c>
      <c r="L1865">
        <v>10238</v>
      </c>
      <c r="M1865" t="s">
        <v>79</v>
      </c>
      <c r="O1865" t="s">
        <v>11</v>
      </c>
      <c r="P1865">
        <v>5102</v>
      </c>
      <c r="Q1865">
        <v>5</v>
      </c>
      <c r="R1865">
        <v>2.79</v>
      </c>
      <c r="S1865">
        <v>13.95</v>
      </c>
      <c r="T1865">
        <v>11.2</v>
      </c>
      <c r="U1865">
        <v>19.71</v>
      </c>
      <c r="V1865" t="str">
        <f>VLOOKUP(L1865,'[2]tabela de preços'!$A:$D,4,0)</f>
        <v>NORTON</v>
      </c>
      <c r="W1865" t="str">
        <f>VLOOKUP(L1865,'[2]tabela de preços'!$A:$F,6,0)</f>
        <v xml:space="preserve">DISCOS / LIXAS / ABRASIVOS </v>
      </c>
      <c r="X1865" t="str">
        <f>VLOOKUP(L1865,'[2]tabela de preços'!$A:$G,7,0)</f>
        <v>AUTOMOTIVO</v>
      </c>
    </row>
    <row r="1866" spans="1:24" x14ac:dyDescent="0.3">
      <c r="A1866" t="s">
        <v>2171</v>
      </c>
      <c r="C1866" t="s">
        <v>2199</v>
      </c>
      <c r="D1866" s="1">
        <v>46045</v>
      </c>
      <c r="E1866" t="s">
        <v>2200</v>
      </c>
      <c r="F1866">
        <v>9</v>
      </c>
      <c r="G1866">
        <v>230</v>
      </c>
      <c r="H1866" t="str">
        <f>VLOOKUP(G1866,[1]OPERADORES!$A:$B,2,0)</f>
        <v>SÔNIA</v>
      </c>
      <c r="I1866" t="s">
        <v>21</v>
      </c>
      <c r="J1866" t="s">
        <v>2174</v>
      </c>
      <c r="K1866" t="s">
        <v>2175</v>
      </c>
      <c r="L1866">
        <v>10243</v>
      </c>
      <c r="M1866" t="s">
        <v>83</v>
      </c>
      <c r="O1866" t="s">
        <v>11</v>
      </c>
      <c r="P1866">
        <v>5102</v>
      </c>
      <c r="Q1866">
        <v>10</v>
      </c>
      <c r="R1866">
        <v>2.79</v>
      </c>
      <c r="S1866">
        <v>27.9</v>
      </c>
      <c r="T1866">
        <v>19.3</v>
      </c>
      <c r="U1866">
        <v>30.82</v>
      </c>
      <c r="V1866" t="str">
        <f>VLOOKUP(L1866,'[2]tabela de preços'!$A:$D,4,0)</f>
        <v>NORTON</v>
      </c>
      <c r="W1866" t="str">
        <f>VLOOKUP(L1866,'[2]tabela de preços'!$A:$F,6,0)</f>
        <v xml:space="preserve">DISCOS / LIXAS / ABRASIVOS </v>
      </c>
      <c r="X1866" t="str">
        <f>VLOOKUP(L1866,'[2]tabela de preços'!$A:$G,7,0)</f>
        <v>AUTOMOTIVO</v>
      </c>
    </row>
    <row r="1867" spans="1:24" x14ac:dyDescent="0.3">
      <c r="A1867" t="s">
        <v>2171</v>
      </c>
      <c r="C1867" t="s">
        <v>2199</v>
      </c>
      <c r="D1867" s="1">
        <v>46045</v>
      </c>
      <c r="E1867" t="s">
        <v>2200</v>
      </c>
      <c r="F1867">
        <v>9</v>
      </c>
      <c r="G1867">
        <v>230</v>
      </c>
      <c r="H1867" t="str">
        <f>VLOOKUP(G1867,[1]OPERADORES!$A:$B,2,0)</f>
        <v>SÔNIA</v>
      </c>
      <c r="I1867" t="s">
        <v>21</v>
      </c>
      <c r="J1867" t="s">
        <v>2174</v>
      </c>
      <c r="K1867" t="s">
        <v>2175</v>
      </c>
      <c r="L1867">
        <v>10244</v>
      </c>
      <c r="M1867" t="s">
        <v>84</v>
      </c>
      <c r="O1867" t="s">
        <v>11</v>
      </c>
      <c r="P1867">
        <v>5102</v>
      </c>
      <c r="Q1867">
        <v>10</v>
      </c>
      <c r="R1867">
        <v>2.79</v>
      </c>
      <c r="S1867">
        <v>27.9</v>
      </c>
      <c r="T1867">
        <v>19.3</v>
      </c>
      <c r="U1867">
        <v>30.82</v>
      </c>
      <c r="V1867" t="str">
        <f>VLOOKUP(L1867,'[2]tabela de preços'!$A:$D,4,0)</f>
        <v>NORTON</v>
      </c>
      <c r="W1867" t="str">
        <f>VLOOKUP(L1867,'[2]tabela de preços'!$A:$F,6,0)</f>
        <v xml:space="preserve">DISCOS / LIXAS / ABRASIVOS </v>
      </c>
      <c r="X1867" t="str">
        <f>VLOOKUP(L1867,'[2]tabela de preços'!$A:$G,7,0)</f>
        <v>AUTOMOTIVO</v>
      </c>
    </row>
    <row r="1868" spans="1:24" x14ac:dyDescent="0.3">
      <c r="A1868" t="s">
        <v>2171</v>
      </c>
      <c r="C1868" t="s">
        <v>2199</v>
      </c>
      <c r="D1868" s="1">
        <v>46045</v>
      </c>
      <c r="E1868" t="s">
        <v>2200</v>
      </c>
      <c r="F1868">
        <v>9</v>
      </c>
      <c r="G1868">
        <v>230</v>
      </c>
      <c r="H1868" t="str">
        <f>VLOOKUP(G1868,[1]OPERADORES!$A:$B,2,0)</f>
        <v>SÔNIA</v>
      </c>
      <c r="I1868" t="s">
        <v>21</v>
      </c>
      <c r="J1868" t="s">
        <v>2174</v>
      </c>
      <c r="K1868" t="s">
        <v>2175</v>
      </c>
      <c r="L1868">
        <v>10245</v>
      </c>
      <c r="M1868" t="s">
        <v>195</v>
      </c>
      <c r="O1868" t="s">
        <v>11</v>
      </c>
      <c r="P1868">
        <v>5102</v>
      </c>
      <c r="Q1868">
        <v>5</v>
      </c>
      <c r="R1868">
        <v>2.79</v>
      </c>
      <c r="S1868">
        <v>13.95</v>
      </c>
      <c r="T1868">
        <v>9.65</v>
      </c>
      <c r="U1868">
        <v>30.82</v>
      </c>
      <c r="V1868" t="str">
        <f>VLOOKUP(L1868,'[2]tabela de preços'!$A:$D,4,0)</f>
        <v>NORTON</v>
      </c>
      <c r="W1868" t="str">
        <f>VLOOKUP(L1868,'[2]tabela de preços'!$A:$F,6,0)</f>
        <v xml:space="preserve">DISCOS / LIXAS / ABRASIVOS </v>
      </c>
      <c r="X1868" t="str">
        <f>VLOOKUP(L1868,'[2]tabela de preços'!$A:$G,7,0)</f>
        <v>AUTOMOTIVO</v>
      </c>
    </row>
    <row r="1869" spans="1:24" x14ac:dyDescent="0.3">
      <c r="A1869" t="s">
        <v>2171</v>
      </c>
      <c r="C1869" t="s">
        <v>2199</v>
      </c>
      <c r="D1869" s="1">
        <v>46045</v>
      </c>
      <c r="E1869" t="s">
        <v>2200</v>
      </c>
      <c r="F1869">
        <v>9</v>
      </c>
      <c r="G1869">
        <v>230</v>
      </c>
      <c r="H1869" t="str">
        <f>VLOOKUP(G1869,[1]OPERADORES!$A:$B,2,0)</f>
        <v>SÔNIA</v>
      </c>
      <c r="I1869" t="s">
        <v>21</v>
      </c>
      <c r="J1869" t="s">
        <v>2174</v>
      </c>
      <c r="K1869" t="s">
        <v>2175</v>
      </c>
      <c r="L1869">
        <v>23465</v>
      </c>
      <c r="M1869" t="s">
        <v>110</v>
      </c>
      <c r="O1869" t="s">
        <v>11</v>
      </c>
      <c r="P1869">
        <v>5102</v>
      </c>
      <c r="Q1869">
        <v>3</v>
      </c>
      <c r="R1869">
        <v>3.76</v>
      </c>
      <c r="S1869">
        <v>11.28</v>
      </c>
      <c r="T1869">
        <v>8.5500000000000007</v>
      </c>
      <c r="U1869">
        <v>24.2</v>
      </c>
      <c r="V1869" t="str">
        <f>VLOOKUP(L1869,'[2]tabela de preços'!$A:$D,4,0)</f>
        <v>3M</v>
      </c>
      <c r="W1869" t="str">
        <f>VLOOKUP(L1869,'[2]tabela de preços'!$A:$F,6,0)</f>
        <v>EPI´S</v>
      </c>
      <c r="X1869" t="str">
        <f>VLOOKUP(L1869,'[2]tabela de preços'!$A:$G,7,0)</f>
        <v>AUTOMOTIVO</v>
      </c>
    </row>
    <row r="1870" spans="1:24" x14ac:dyDescent="0.3">
      <c r="A1870" t="s">
        <v>2171</v>
      </c>
      <c r="C1870" t="s">
        <v>2199</v>
      </c>
      <c r="D1870" s="1">
        <v>46045</v>
      </c>
      <c r="E1870" t="s">
        <v>2200</v>
      </c>
      <c r="F1870">
        <v>9</v>
      </c>
      <c r="G1870">
        <v>230</v>
      </c>
      <c r="H1870" t="str">
        <f>VLOOKUP(G1870,[1]OPERADORES!$A:$B,2,0)</f>
        <v>SÔNIA</v>
      </c>
      <c r="I1870" t="s">
        <v>21</v>
      </c>
      <c r="J1870" t="s">
        <v>2174</v>
      </c>
      <c r="K1870" t="s">
        <v>2175</v>
      </c>
      <c r="L1870">
        <v>84658</v>
      </c>
      <c r="M1870" t="s">
        <v>100</v>
      </c>
      <c r="O1870" t="s">
        <v>11</v>
      </c>
      <c r="P1870">
        <v>5102</v>
      </c>
      <c r="Q1870">
        <v>1</v>
      </c>
      <c r="R1870">
        <v>40.840000000000003</v>
      </c>
      <c r="S1870">
        <v>40.840000000000003</v>
      </c>
      <c r="T1870">
        <v>31</v>
      </c>
      <c r="U1870">
        <v>24.09</v>
      </c>
      <c r="V1870" t="str">
        <f>VLOOKUP(L1870,'[2]tabela de preços'!$A:$D,4,0)</f>
        <v>ANJO</v>
      </c>
      <c r="W1870" t="str">
        <f>VLOOKUP(L1870,'[2]tabela de preços'!$A:$F,6,0)</f>
        <v>MASSA POLIÉSTER</v>
      </c>
      <c r="X1870" t="str">
        <f>VLOOKUP(L1870,'[2]tabela de preços'!$A:$G,7,0)</f>
        <v>AUTOMOTIVO</v>
      </c>
    </row>
    <row r="1871" spans="1:24" x14ac:dyDescent="0.3">
      <c r="A1871" t="s">
        <v>2171</v>
      </c>
      <c r="C1871" t="s">
        <v>2199</v>
      </c>
      <c r="D1871" s="1">
        <v>46045</v>
      </c>
      <c r="E1871" t="s">
        <v>2200</v>
      </c>
      <c r="F1871">
        <v>9</v>
      </c>
      <c r="G1871">
        <v>230</v>
      </c>
      <c r="H1871" t="str">
        <f>VLOOKUP(G1871,[1]OPERADORES!$A:$B,2,0)</f>
        <v>SÔNIA</v>
      </c>
      <c r="I1871" t="s">
        <v>21</v>
      </c>
      <c r="J1871" t="s">
        <v>2174</v>
      </c>
      <c r="K1871" t="s">
        <v>2175</v>
      </c>
      <c r="L1871">
        <v>10296</v>
      </c>
      <c r="M1871" t="s">
        <v>334</v>
      </c>
      <c r="O1871" t="s">
        <v>11</v>
      </c>
      <c r="P1871">
        <v>5102</v>
      </c>
      <c r="Q1871">
        <v>1</v>
      </c>
      <c r="R1871">
        <v>17.02</v>
      </c>
      <c r="S1871">
        <v>17.02</v>
      </c>
      <c r="T1871">
        <v>12.57</v>
      </c>
      <c r="U1871">
        <v>26.15</v>
      </c>
      <c r="V1871" t="str">
        <f>VLOOKUP(L1871,'[2]tabela de preços'!$A:$D,4,0)</f>
        <v>ANJO</v>
      </c>
      <c r="W1871" t="str">
        <f>VLOOKUP(L1871,'[2]tabela de preços'!$A:$F,6,0)</f>
        <v>DESENGRAXANTE</v>
      </c>
      <c r="X1871" t="str">
        <f>VLOOKUP(L1871,'[2]tabela de preços'!$A:$G,7,0)</f>
        <v>AUTOMOTIVO</v>
      </c>
    </row>
    <row r="1872" spans="1:24" x14ac:dyDescent="0.3">
      <c r="A1872" t="s">
        <v>2171</v>
      </c>
      <c r="C1872" t="s">
        <v>2199</v>
      </c>
      <c r="D1872" s="1">
        <v>46045</v>
      </c>
      <c r="E1872" t="s">
        <v>2200</v>
      </c>
      <c r="F1872">
        <v>9</v>
      </c>
      <c r="G1872">
        <v>230</v>
      </c>
      <c r="H1872" t="str">
        <f>VLOOKUP(G1872,[1]OPERADORES!$A:$B,2,0)</f>
        <v>SÔNIA</v>
      </c>
      <c r="I1872" t="s">
        <v>21</v>
      </c>
      <c r="J1872" t="s">
        <v>2174</v>
      </c>
      <c r="K1872" t="s">
        <v>2175</v>
      </c>
      <c r="L1872">
        <v>85363</v>
      </c>
      <c r="M1872" t="s">
        <v>237</v>
      </c>
      <c r="O1872" t="s">
        <v>11</v>
      </c>
      <c r="P1872">
        <v>5102</v>
      </c>
      <c r="Q1872">
        <v>1</v>
      </c>
      <c r="R1872">
        <v>23.95</v>
      </c>
      <c r="S1872">
        <v>23.95</v>
      </c>
      <c r="T1872">
        <v>18.18</v>
      </c>
      <c r="U1872">
        <v>24.09</v>
      </c>
      <c r="V1872" t="str">
        <f>VLOOKUP(L1872,'[2]tabela de preços'!$A:$D,4,0)</f>
        <v>BRASILUX</v>
      </c>
      <c r="W1872" t="str">
        <f>VLOOKUP(L1872,'[2]tabela de preços'!$A:$F,6,0)</f>
        <v>PRETO FOSCO VINÍLICO</v>
      </c>
      <c r="X1872" t="str">
        <f>VLOOKUP(L1872,'[2]tabela de preços'!$A:$G,7,0)</f>
        <v>AUTOMOTIVO</v>
      </c>
    </row>
    <row r="1873" spans="1:24" x14ac:dyDescent="0.3">
      <c r="A1873" t="s">
        <v>2236</v>
      </c>
      <c r="B1873" t="s">
        <v>2237</v>
      </c>
      <c r="C1873" t="s">
        <v>2243</v>
      </c>
      <c r="D1873" s="1">
        <v>46045</v>
      </c>
      <c r="E1873" t="s">
        <v>2244</v>
      </c>
      <c r="F1873">
        <v>9</v>
      </c>
      <c r="G1873">
        <v>236</v>
      </c>
      <c r="H1873" t="str">
        <f>VLOOKUP(G1873,[1]OPERADORES!$A:$B,2,0)</f>
        <v>DANIEL</v>
      </c>
      <c r="I1873" t="s">
        <v>21</v>
      </c>
      <c r="J1873" t="s">
        <v>2240</v>
      </c>
      <c r="K1873" t="s">
        <v>2241</v>
      </c>
      <c r="L1873">
        <v>21860</v>
      </c>
      <c r="M1873" t="s">
        <v>2038</v>
      </c>
      <c r="O1873" t="s">
        <v>11</v>
      </c>
      <c r="P1873">
        <v>5403</v>
      </c>
      <c r="Q1873">
        <v>3</v>
      </c>
      <c r="R1873">
        <v>63.48</v>
      </c>
      <c r="S1873">
        <v>190.44</v>
      </c>
      <c r="T1873">
        <v>139.62</v>
      </c>
      <c r="U1873">
        <v>26.69</v>
      </c>
      <c r="V1873" t="str">
        <f>VLOOKUP(L1873,'[2]tabela de preços'!$A:$D,4,0)</f>
        <v>SIKKENS</v>
      </c>
      <c r="W1873" t="str">
        <f>VLOOKUP(L1873,'[2]tabela de preços'!$A:$F,6,0)</f>
        <v>VERNIZ AUTOMOTIVO</v>
      </c>
      <c r="X1873" t="str">
        <f>VLOOKUP(L1873,'[2]tabela de preços'!$A:$G,7,0)</f>
        <v>AUTOMOTIVO</v>
      </c>
    </row>
    <row r="1874" spans="1:24" x14ac:dyDescent="0.3">
      <c r="A1874" t="s">
        <v>2236</v>
      </c>
      <c r="B1874" t="s">
        <v>2237</v>
      </c>
      <c r="C1874" t="s">
        <v>2243</v>
      </c>
      <c r="D1874" s="1">
        <v>46045</v>
      </c>
      <c r="E1874" t="s">
        <v>2244</v>
      </c>
      <c r="F1874">
        <v>9</v>
      </c>
      <c r="G1874">
        <v>236</v>
      </c>
      <c r="H1874" t="str">
        <f>VLOOKUP(G1874,[1]OPERADORES!$A:$B,2,0)</f>
        <v>DANIEL</v>
      </c>
      <c r="I1874" t="s">
        <v>21</v>
      </c>
      <c r="J1874" t="s">
        <v>2240</v>
      </c>
      <c r="K1874" t="s">
        <v>2241</v>
      </c>
      <c r="L1874">
        <v>21859</v>
      </c>
      <c r="M1874" t="s">
        <v>2245</v>
      </c>
      <c r="O1874" t="s">
        <v>11</v>
      </c>
      <c r="P1874">
        <v>5102</v>
      </c>
      <c r="Q1874">
        <v>1</v>
      </c>
      <c r="R1874">
        <v>26.23</v>
      </c>
      <c r="S1874">
        <v>26.23</v>
      </c>
      <c r="T1874">
        <v>19.23</v>
      </c>
      <c r="U1874">
        <v>26.69</v>
      </c>
      <c r="V1874" t="str">
        <f>VLOOKUP(L1874,'[2]tabela de preços'!$A:$D,4,0)</f>
        <v>SIKKENS</v>
      </c>
      <c r="W1874" t="str">
        <f>VLOOKUP(L1874,'[2]tabela de preços'!$A:$F,6,0)</f>
        <v>CATALISADORES INDIVIDUAS</v>
      </c>
      <c r="X1874" t="str">
        <f>VLOOKUP(L1874,'[2]tabela de preços'!$A:$G,7,0)</f>
        <v>AUTOMOTIVO</v>
      </c>
    </row>
    <row r="1875" spans="1:24" x14ac:dyDescent="0.3">
      <c r="A1875" t="s">
        <v>2236</v>
      </c>
      <c r="B1875" t="s">
        <v>2237</v>
      </c>
      <c r="C1875" t="s">
        <v>2243</v>
      </c>
      <c r="D1875" s="1">
        <v>46045</v>
      </c>
      <c r="E1875" t="s">
        <v>2244</v>
      </c>
      <c r="F1875">
        <v>9</v>
      </c>
      <c r="G1875">
        <v>236</v>
      </c>
      <c r="H1875" t="str">
        <f>VLOOKUP(G1875,[1]OPERADORES!$A:$B,2,0)</f>
        <v>DANIEL</v>
      </c>
      <c r="I1875" t="s">
        <v>21</v>
      </c>
      <c r="J1875" t="s">
        <v>2240</v>
      </c>
      <c r="K1875" t="s">
        <v>2241</v>
      </c>
      <c r="L1875">
        <v>21862</v>
      </c>
      <c r="M1875" t="s">
        <v>2040</v>
      </c>
      <c r="O1875" t="s">
        <v>11</v>
      </c>
      <c r="P1875">
        <v>5102</v>
      </c>
      <c r="Q1875">
        <v>3</v>
      </c>
      <c r="R1875">
        <v>29.63</v>
      </c>
      <c r="S1875">
        <v>88.89</v>
      </c>
      <c r="T1875">
        <v>65.16</v>
      </c>
      <c r="U1875">
        <v>26.7</v>
      </c>
      <c r="V1875" t="str">
        <f>VLOOKUP(L1875,'[2]tabela de preços'!$A:$D,4,0)</f>
        <v>SIKKENS</v>
      </c>
      <c r="W1875" t="str">
        <f>VLOOKUP(L1875,'[2]tabela de preços'!$A:$F,6,0)</f>
        <v>CATALISADORES INDIVIDUAS</v>
      </c>
      <c r="X1875" t="str">
        <f>VLOOKUP(L1875,'[2]tabela de preços'!$A:$G,7,0)</f>
        <v>AUTOMOTIVO</v>
      </c>
    </row>
    <row r="1876" spans="1:24" x14ac:dyDescent="0.3">
      <c r="A1876" t="s">
        <v>2236</v>
      </c>
      <c r="B1876" t="s">
        <v>2237</v>
      </c>
      <c r="C1876" t="s">
        <v>2243</v>
      </c>
      <c r="D1876" s="1">
        <v>46045</v>
      </c>
      <c r="E1876" t="s">
        <v>2244</v>
      </c>
      <c r="F1876">
        <v>9</v>
      </c>
      <c r="G1876">
        <v>236</v>
      </c>
      <c r="H1876" t="str">
        <f>VLOOKUP(G1876,[1]OPERADORES!$A:$B,2,0)</f>
        <v>DANIEL</v>
      </c>
      <c r="I1876" t="s">
        <v>21</v>
      </c>
      <c r="J1876" t="s">
        <v>2240</v>
      </c>
      <c r="K1876" t="s">
        <v>2241</v>
      </c>
      <c r="L1876">
        <v>10242</v>
      </c>
      <c r="M1876" t="s">
        <v>82</v>
      </c>
      <c r="O1876" t="s">
        <v>11</v>
      </c>
      <c r="P1876">
        <v>5102</v>
      </c>
      <c r="Q1876">
        <v>10</v>
      </c>
      <c r="R1876">
        <v>2.79</v>
      </c>
      <c r="S1876">
        <v>27.9</v>
      </c>
      <c r="T1876">
        <v>22.4</v>
      </c>
      <c r="U1876">
        <v>19.71</v>
      </c>
      <c r="V1876" t="str">
        <f>VLOOKUP(L1876,'[2]tabela de preços'!$A:$D,4,0)</f>
        <v>NORTON</v>
      </c>
      <c r="W1876" t="str">
        <f>VLOOKUP(L1876,'[2]tabela de preços'!$A:$F,6,0)</f>
        <v xml:space="preserve">DISCOS / LIXAS / ABRASIVOS </v>
      </c>
      <c r="X1876" t="str">
        <f>VLOOKUP(L1876,'[2]tabela de preços'!$A:$G,7,0)</f>
        <v>AUTOMOTIVO</v>
      </c>
    </row>
    <row r="1877" spans="1:24" x14ac:dyDescent="0.3">
      <c r="A1877" t="s">
        <v>2236</v>
      </c>
      <c r="B1877" t="s">
        <v>2237</v>
      </c>
      <c r="C1877" t="s">
        <v>2243</v>
      </c>
      <c r="D1877" s="1">
        <v>46045</v>
      </c>
      <c r="E1877" t="s">
        <v>2244</v>
      </c>
      <c r="F1877">
        <v>9</v>
      </c>
      <c r="G1877">
        <v>236</v>
      </c>
      <c r="H1877" t="str">
        <f>VLOOKUP(G1877,[1]OPERADORES!$A:$B,2,0)</f>
        <v>DANIEL</v>
      </c>
      <c r="I1877" t="s">
        <v>21</v>
      </c>
      <c r="J1877" t="s">
        <v>2240</v>
      </c>
      <c r="K1877" t="s">
        <v>2241</v>
      </c>
      <c r="L1877">
        <v>10243</v>
      </c>
      <c r="M1877" t="s">
        <v>83</v>
      </c>
      <c r="O1877" t="s">
        <v>11</v>
      </c>
      <c r="P1877">
        <v>5102</v>
      </c>
      <c r="Q1877">
        <v>30</v>
      </c>
      <c r="R1877">
        <v>2.79</v>
      </c>
      <c r="S1877">
        <v>83.7</v>
      </c>
      <c r="T1877">
        <v>57.9</v>
      </c>
      <c r="U1877">
        <v>30.82</v>
      </c>
      <c r="V1877" t="str">
        <f>VLOOKUP(L1877,'[2]tabela de preços'!$A:$D,4,0)</f>
        <v>NORTON</v>
      </c>
      <c r="W1877" t="str">
        <f>VLOOKUP(L1877,'[2]tabela de preços'!$A:$F,6,0)</f>
        <v xml:space="preserve">DISCOS / LIXAS / ABRASIVOS </v>
      </c>
      <c r="X1877" t="str">
        <f>VLOOKUP(L1877,'[2]tabela de preços'!$A:$G,7,0)</f>
        <v>AUTOMOTIVO</v>
      </c>
    </row>
    <row r="1878" spans="1:24" x14ac:dyDescent="0.3">
      <c r="A1878" t="s">
        <v>2236</v>
      </c>
      <c r="B1878" t="s">
        <v>2237</v>
      </c>
      <c r="C1878" t="s">
        <v>2243</v>
      </c>
      <c r="D1878" s="1">
        <v>46045</v>
      </c>
      <c r="E1878" t="s">
        <v>2244</v>
      </c>
      <c r="F1878">
        <v>9</v>
      </c>
      <c r="G1878">
        <v>236</v>
      </c>
      <c r="H1878" t="str">
        <f>VLOOKUP(G1878,[1]OPERADORES!$A:$B,2,0)</f>
        <v>DANIEL</v>
      </c>
      <c r="I1878" t="s">
        <v>21</v>
      </c>
      <c r="J1878" t="s">
        <v>2240</v>
      </c>
      <c r="K1878" t="s">
        <v>2241</v>
      </c>
      <c r="L1878">
        <v>21861</v>
      </c>
      <c r="M1878" t="s">
        <v>2246</v>
      </c>
      <c r="O1878" t="s">
        <v>11</v>
      </c>
      <c r="P1878">
        <v>5403</v>
      </c>
      <c r="Q1878">
        <v>1</v>
      </c>
      <c r="R1878">
        <v>59.22</v>
      </c>
      <c r="S1878">
        <v>59.22</v>
      </c>
      <c r="T1878">
        <v>43.41</v>
      </c>
      <c r="U1878">
        <v>26.7</v>
      </c>
      <c r="V1878" t="str">
        <f>VLOOKUP(L1878,'[2]tabela de preços'!$A:$D,4,0)</f>
        <v>SIKKENS</v>
      </c>
      <c r="W1878" t="str">
        <f>VLOOKUP(L1878,'[2]tabela de preços'!$A:$F,6,0)</f>
        <v>PRIMER AUTOMOTIVO</v>
      </c>
      <c r="X1878" t="str">
        <f>VLOOKUP(L1878,'[2]tabela de preços'!$A:$G,7,0)</f>
        <v>AUTOMOTIVO</v>
      </c>
    </row>
    <row r="1879" spans="1:24" x14ac:dyDescent="0.3">
      <c r="A1879" t="s">
        <v>2251</v>
      </c>
      <c r="C1879" t="s">
        <v>2252</v>
      </c>
      <c r="D1879" s="1">
        <v>46045</v>
      </c>
      <c r="E1879" t="s">
        <v>2253</v>
      </c>
      <c r="F1879">
        <v>9</v>
      </c>
      <c r="G1879">
        <v>197</v>
      </c>
      <c r="H1879" t="str">
        <f>VLOOKUP(G1879,[1]OPERADORES!$A:$B,2,0)</f>
        <v xml:space="preserve">POLIANA LORRANE DE AMORIM </v>
      </c>
      <c r="I1879" t="s">
        <v>282</v>
      </c>
      <c r="J1879" t="s">
        <v>1294</v>
      </c>
      <c r="K1879" t="s">
        <v>2254</v>
      </c>
      <c r="L1879">
        <v>84026</v>
      </c>
      <c r="M1879" t="s">
        <v>816</v>
      </c>
      <c r="O1879" t="s">
        <v>11</v>
      </c>
      <c r="P1879">
        <v>6102</v>
      </c>
      <c r="Q1879">
        <v>15</v>
      </c>
      <c r="R1879">
        <v>9.15</v>
      </c>
      <c r="S1879">
        <v>137.24</v>
      </c>
      <c r="T1879">
        <v>104.25</v>
      </c>
      <c r="U1879">
        <v>24.04</v>
      </c>
      <c r="V1879" t="str">
        <f>VLOOKUP(L1879,'[2]tabela de preços'!$A:$D,4,0)</f>
        <v>BRASILUX</v>
      </c>
      <c r="W1879" t="str">
        <f>VLOOKUP(L1879,'[2]tabela de preços'!$A:$F,6,0)</f>
        <v>CATALISADORES INDIVIDUAIS</v>
      </c>
      <c r="X1879" t="str">
        <f>VLOOKUP(L1879,'[2]tabela de preços'!$A:$G,7,0)</f>
        <v>IMOBILIÁRIO</v>
      </c>
    </row>
    <row r="1880" spans="1:24" x14ac:dyDescent="0.3">
      <c r="A1880" t="s">
        <v>2251</v>
      </c>
      <c r="C1880" t="s">
        <v>2252</v>
      </c>
      <c r="D1880" s="1">
        <v>46045</v>
      </c>
      <c r="E1880" t="s">
        <v>2253</v>
      </c>
      <c r="F1880">
        <v>9</v>
      </c>
      <c r="G1880">
        <v>197</v>
      </c>
      <c r="H1880" t="str">
        <f>VLOOKUP(G1880,[1]OPERADORES!$A:$B,2,0)</f>
        <v xml:space="preserve">POLIANA LORRANE DE AMORIM </v>
      </c>
      <c r="I1880" t="s">
        <v>282</v>
      </c>
      <c r="J1880" t="s">
        <v>1294</v>
      </c>
      <c r="K1880" t="s">
        <v>2254</v>
      </c>
      <c r="L1880">
        <v>84176</v>
      </c>
      <c r="M1880" t="s">
        <v>1550</v>
      </c>
      <c r="O1880" t="s">
        <v>11</v>
      </c>
      <c r="P1880">
        <v>6403</v>
      </c>
      <c r="Q1880">
        <v>2</v>
      </c>
      <c r="R1880">
        <v>97.75</v>
      </c>
      <c r="S1880">
        <v>195.51</v>
      </c>
      <c r="T1880">
        <v>140.16</v>
      </c>
      <c r="U1880">
        <v>28.31</v>
      </c>
      <c r="V1880" t="str">
        <f>VLOOKUP(L1880,'[2]tabela de preços'!$A:$D,4,0)</f>
        <v>BRASILUX</v>
      </c>
      <c r="W1880" t="str">
        <f>VLOOKUP(L1880,'[2]tabela de preços'!$A:$F,6,0)</f>
        <v>ESMALTES</v>
      </c>
      <c r="X1880" t="str">
        <f>VLOOKUP(L1880,'[2]tabela de preços'!$A:$G,7,0)</f>
        <v>INDUSTRIAL</v>
      </c>
    </row>
    <row r="1881" spans="1:24" x14ac:dyDescent="0.3">
      <c r="A1881" t="s">
        <v>2251</v>
      </c>
      <c r="C1881" t="s">
        <v>2252</v>
      </c>
      <c r="D1881" s="1">
        <v>46045</v>
      </c>
      <c r="E1881" t="s">
        <v>2253</v>
      </c>
      <c r="F1881">
        <v>9</v>
      </c>
      <c r="G1881">
        <v>197</v>
      </c>
      <c r="H1881" t="str">
        <f>VLOOKUP(G1881,[1]OPERADORES!$A:$B,2,0)</f>
        <v xml:space="preserve">POLIANA LORRANE DE AMORIM </v>
      </c>
      <c r="I1881" t="s">
        <v>282</v>
      </c>
      <c r="J1881" t="s">
        <v>1294</v>
      </c>
      <c r="K1881" t="s">
        <v>2254</v>
      </c>
      <c r="L1881">
        <v>84178</v>
      </c>
      <c r="M1881" t="s">
        <v>2255</v>
      </c>
      <c r="O1881" t="s">
        <v>11</v>
      </c>
      <c r="P1881">
        <v>6403</v>
      </c>
      <c r="Q1881">
        <v>8</v>
      </c>
      <c r="R1881">
        <v>25.63</v>
      </c>
      <c r="S1881">
        <v>205.03</v>
      </c>
      <c r="T1881">
        <v>150.32</v>
      </c>
      <c r="U1881">
        <v>26.68</v>
      </c>
      <c r="V1881" t="str">
        <f>VLOOKUP(L1881,'[2]tabela de preços'!$A:$D,4,0)</f>
        <v>BRASILUX</v>
      </c>
      <c r="W1881" t="str">
        <f>VLOOKUP(L1881,'[2]tabela de preços'!$A:$F,6,0)</f>
        <v>ESMALTES</v>
      </c>
      <c r="X1881" t="str">
        <f>VLOOKUP(L1881,'[2]tabela de preços'!$A:$G,7,0)</f>
        <v>INDUSTRIAL</v>
      </c>
    </row>
    <row r="1882" spans="1:24" x14ac:dyDescent="0.3">
      <c r="A1882" t="s">
        <v>2251</v>
      </c>
      <c r="C1882" t="s">
        <v>2252</v>
      </c>
      <c r="D1882" s="1">
        <v>46045</v>
      </c>
      <c r="E1882" t="s">
        <v>2253</v>
      </c>
      <c r="F1882">
        <v>9</v>
      </c>
      <c r="G1882">
        <v>197</v>
      </c>
      <c r="H1882" t="str">
        <f>VLOOKUP(G1882,[1]OPERADORES!$A:$B,2,0)</f>
        <v xml:space="preserve">POLIANA LORRANE DE AMORIM </v>
      </c>
      <c r="I1882" t="s">
        <v>282</v>
      </c>
      <c r="J1882" t="s">
        <v>1294</v>
      </c>
      <c r="K1882" t="s">
        <v>2254</v>
      </c>
      <c r="L1882">
        <v>85164</v>
      </c>
      <c r="M1882" t="s">
        <v>278</v>
      </c>
      <c r="O1882" t="s">
        <v>11</v>
      </c>
      <c r="P1882">
        <v>6102</v>
      </c>
      <c r="Q1882">
        <v>12</v>
      </c>
      <c r="R1882">
        <v>13.29</v>
      </c>
      <c r="S1882">
        <v>159.47</v>
      </c>
      <c r="T1882">
        <v>121.08</v>
      </c>
      <c r="U1882">
        <v>24.07</v>
      </c>
      <c r="V1882" t="str">
        <f>VLOOKUP(L1882,'[2]tabela de preços'!$A:$D,4,0)</f>
        <v>BRASILUX</v>
      </c>
      <c r="W1882" t="str">
        <f>VLOOKUP(L1882,'[2]tabela de preços'!$A:$F,6,0)</f>
        <v>QUEROSENE</v>
      </c>
      <c r="X1882" t="str">
        <f>VLOOKUP(L1882,'[2]tabela de preços'!$A:$G,7,0)</f>
        <v>AUTOMOTIVO</v>
      </c>
    </row>
    <row r="1883" spans="1:24" x14ac:dyDescent="0.3">
      <c r="A1883" t="s">
        <v>2251</v>
      </c>
      <c r="C1883" t="s">
        <v>2252</v>
      </c>
      <c r="D1883" s="1">
        <v>46045</v>
      </c>
      <c r="E1883" t="s">
        <v>2253</v>
      </c>
      <c r="F1883">
        <v>9</v>
      </c>
      <c r="G1883">
        <v>197</v>
      </c>
      <c r="H1883" t="str">
        <f>VLOOKUP(G1883,[1]OPERADORES!$A:$B,2,0)</f>
        <v xml:space="preserve">POLIANA LORRANE DE AMORIM </v>
      </c>
      <c r="I1883" t="s">
        <v>282</v>
      </c>
      <c r="J1883" t="s">
        <v>1294</v>
      </c>
      <c r="K1883" t="s">
        <v>2254</v>
      </c>
      <c r="L1883">
        <v>21968</v>
      </c>
      <c r="M1883" t="s">
        <v>2256</v>
      </c>
      <c r="O1883" t="s">
        <v>11</v>
      </c>
      <c r="P1883">
        <v>6403</v>
      </c>
      <c r="Q1883">
        <v>6</v>
      </c>
      <c r="R1883">
        <v>16.29</v>
      </c>
      <c r="S1883">
        <v>97.73</v>
      </c>
      <c r="T1883">
        <v>74.16</v>
      </c>
      <c r="U1883">
        <v>24.12</v>
      </c>
      <c r="V1883" t="str">
        <f>VLOOKUP(L1883,'[2]tabela de preços'!$A:$D,4,0)</f>
        <v>SHERWIN WILLIAMS</v>
      </c>
      <c r="W1883" t="str">
        <f>VLOOKUP(L1883,'[2]tabela de preços'!$A:$F,6,0)</f>
        <v xml:space="preserve">SPRAYS </v>
      </c>
      <c r="X1883" t="str">
        <f>VLOOKUP(L1883,'[2]tabela de preços'!$A:$G,7,0)</f>
        <v>AUTOMOTIVO</v>
      </c>
    </row>
    <row r="1884" spans="1:24" x14ac:dyDescent="0.3">
      <c r="A1884" t="s">
        <v>2251</v>
      </c>
      <c r="C1884" t="s">
        <v>2252</v>
      </c>
      <c r="D1884" s="1">
        <v>46045</v>
      </c>
      <c r="E1884" t="s">
        <v>2253</v>
      </c>
      <c r="F1884">
        <v>9</v>
      </c>
      <c r="G1884">
        <v>197</v>
      </c>
      <c r="H1884" t="str">
        <f>VLOOKUP(G1884,[1]OPERADORES!$A:$B,2,0)</f>
        <v xml:space="preserve">POLIANA LORRANE DE AMORIM </v>
      </c>
      <c r="I1884" t="s">
        <v>282</v>
      </c>
      <c r="J1884" t="s">
        <v>1294</v>
      </c>
      <c r="K1884" t="s">
        <v>2254</v>
      </c>
      <c r="L1884">
        <v>21755</v>
      </c>
      <c r="M1884" t="s">
        <v>2257</v>
      </c>
      <c r="O1884" t="s">
        <v>11</v>
      </c>
      <c r="P1884">
        <v>6403</v>
      </c>
      <c r="Q1884">
        <v>6</v>
      </c>
      <c r="R1884">
        <v>16.07</v>
      </c>
      <c r="S1884">
        <v>96.41</v>
      </c>
      <c r="T1884">
        <v>73.14</v>
      </c>
      <c r="U1884">
        <v>24.14</v>
      </c>
      <c r="V1884" t="str">
        <f>VLOOKUP(L1884,'[2]tabela de preços'!$A:$D,4,0)</f>
        <v>SHERWIN WILLIAMS</v>
      </c>
      <c r="W1884" t="str">
        <f>VLOOKUP(L1884,'[2]tabela de preços'!$A:$F,6,0)</f>
        <v xml:space="preserve">SPRAYS </v>
      </c>
      <c r="X1884" t="str">
        <f>VLOOKUP(L1884,'[2]tabela de preços'!$A:$G,7,0)</f>
        <v>AUTOMOTIVO</v>
      </c>
    </row>
    <row r="1885" spans="1:24" x14ac:dyDescent="0.3">
      <c r="A1885" t="s">
        <v>2251</v>
      </c>
      <c r="C1885" t="s">
        <v>2252</v>
      </c>
      <c r="D1885" s="1">
        <v>46045</v>
      </c>
      <c r="E1885" t="s">
        <v>2253</v>
      </c>
      <c r="F1885">
        <v>9</v>
      </c>
      <c r="G1885">
        <v>197</v>
      </c>
      <c r="H1885" t="str">
        <f>VLOOKUP(G1885,[1]OPERADORES!$A:$B,2,0)</f>
        <v xml:space="preserve">POLIANA LORRANE DE AMORIM </v>
      </c>
      <c r="I1885" t="s">
        <v>282</v>
      </c>
      <c r="J1885" t="s">
        <v>1294</v>
      </c>
      <c r="K1885" t="s">
        <v>2254</v>
      </c>
      <c r="L1885">
        <v>21758</v>
      </c>
      <c r="M1885" t="s">
        <v>2258</v>
      </c>
      <c r="O1885" t="s">
        <v>11</v>
      </c>
      <c r="P1885">
        <v>6403</v>
      </c>
      <c r="Q1885">
        <v>3</v>
      </c>
      <c r="R1885">
        <v>16.64</v>
      </c>
      <c r="S1885">
        <v>49.92</v>
      </c>
      <c r="T1885">
        <v>37.89</v>
      </c>
      <c r="U1885">
        <v>24.1</v>
      </c>
      <c r="V1885" t="str">
        <f>VLOOKUP(L1885,'[2]tabela de preços'!$A:$D,4,0)</f>
        <v>SHERWIN WILLIAMS</v>
      </c>
      <c r="W1885" t="str">
        <f>VLOOKUP(L1885,'[2]tabela de preços'!$A:$F,6,0)</f>
        <v xml:space="preserve">SPRAYS </v>
      </c>
      <c r="X1885" t="str">
        <f>VLOOKUP(L1885,'[2]tabela de preços'!$A:$G,7,0)</f>
        <v>AUTOMOTIVO</v>
      </c>
    </row>
    <row r="1886" spans="1:24" x14ac:dyDescent="0.3">
      <c r="A1886" t="s">
        <v>2251</v>
      </c>
      <c r="C1886" t="s">
        <v>2252</v>
      </c>
      <c r="D1886" s="1">
        <v>46045</v>
      </c>
      <c r="E1886" t="s">
        <v>2253</v>
      </c>
      <c r="F1886">
        <v>9</v>
      </c>
      <c r="G1886">
        <v>197</v>
      </c>
      <c r="H1886" t="str">
        <f>VLOOKUP(G1886,[1]OPERADORES!$A:$B,2,0)</f>
        <v xml:space="preserve">POLIANA LORRANE DE AMORIM </v>
      </c>
      <c r="I1886" t="s">
        <v>282</v>
      </c>
      <c r="J1886" t="s">
        <v>1294</v>
      </c>
      <c r="K1886" t="s">
        <v>2254</v>
      </c>
      <c r="L1886">
        <v>10297</v>
      </c>
      <c r="M1886" t="s">
        <v>41</v>
      </c>
      <c r="O1886" t="s">
        <v>11</v>
      </c>
      <c r="P1886">
        <v>6102</v>
      </c>
      <c r="Q1886">
        <v>12</v>
      </c>
      <c r="R1886">
        <v>10.89</v>
      </c>
      <c r="S1886">
        <v>130.68</v>
      </c>
      <c r="T1886">
        <v>110.04</v>
      </c>
      <c r="U1886">
        <v>15.79</v>
      </c>
      <c r="V1886" t="str">
        <f>VLOOKUP(L1886,'[2]tabela de preços'!$A:$D,4,0)</f>
        <v>ANJO</v>
      </c>
      <c r="W1886" t="str">
        <f>VLOOKUP(L1886,'[2]tabela de preços'!$A:$F,6,0)</f>
        <v>THINNER DE LIMPEZA</v>
      </c>
      <c r="X1886" t="str">
        <f>VLOOKUP(L1886,'[2]tabela de preços'!$A:$G,7,0)</f>
        <v>THINNER</v>
      </c>
    </row>
    <row r="1887" spans="1:24" x14ac:dyDescent="0.3">
      <c r="A1887" t="s">
        <v>2323</v>
      </c>
      <c r="C1887" t="s">
        <v>2324</v>
      </c>
      <c r="D1887" s="1">
        <v>46045</v>
      </c>
      <c r="E1887" t="s">
        <v>2325</v>
      </c>
      <c r="F1887">
        <v>9</v>
      </c>
      <c r="G1887">
        <v>174</v>
      </c>
      <c r="H1887" t="str">
        <f>VLOOKUP(G1887,[1]OPERADORES!$A:$B,2,0)</f>
        <v>MIRIÃ LOBATO RODRIGUES</v>
      </c>
      <c r="I1887" t="s">
        <v>21</v>
      </c>
      <c r="J1887" t="s">
        <v>550</v>
      </c>
      <c r="K1887" t="s">
        <v>2326</v>
      </c>
      <c r="L1887">
        <v>85698</v>
      </c>
      <c r="M1887" t="s">
        <v>1946</v>
      </c>
      <c r="O1887" t="s">
        <v>11</v>
      </c>
      <c r="P1887">
        <v>5102</v>
      </c>
      <c r="Q1887">
        <v>1</v>
      </c>
      <c r="R1887">
        <v>129.9</v>
      </c>
      <c r="S1887">
        <v>129.9</v>
      </c>
      <c r="T1887">
        <v>103.86</v>
      </c>
      <c r="U1887">
        <v>20.05</v>
      </c>
      <c r="V1887" t="str">
        <f>VLOOKUP(L1887,'[2]tabela de preços'!$A:$D,4,0)</f>
        <v>SIMAPPEL</v>
      </c>
      <c r="W1887" t="str">
        <f>VLOOKUP(L1887,'[2]tabela de preços'!$A:$F,6,0)</f>
        <v>PAPELAO ONDULADO</v>
      </c>
      <c r="X1887" t="str">
        <f>VLOOKUP(L1887,'[2]tabela de preços'!$A:$G,7,0)</f>
        <v>IMOBILIÁRIO</v>
      </c>
    </row>
    <row r="1888" spans="1:24" x14ac:dyDescent="0.3">
      <c r="A1888" t="s">
        <v>2327</v>
      </c>
      <c r="C1888" t="s">
        <v>2331</v>
      </c>
      <c r="D1888" s="1">
        <v>46045</v>
      </c>
      <c r="E1888" t="s">
        <v>2332</v>
      </c>
      <c r="F1888">
        <v>9</v>
      </c>
      <c r="G1888">
        <v>230</v>
      </c>
      <c r="H1888" t="str">
        <f>VLOOKUP(G1888,[1]OPERADORES!$A:$B,2,0)</f>
        <v>SÔNIA</v>
      </c>
      <c r="I1888" t="s">
        <v>21</v>
      </c>
      <c r="J1888" t="s">
        <v>66</v>
      </c>
      <c r="K1888" t="s">
        <v>2330</v>
      </c>
      <c r="L1888">
        <v>20484</v>
      </c>
      <c r="M1888" t="s">
        <v>817</v>
      </c>
      <c r="O1888" t="s">
        <v>11</v>
      </c>
      <c r="P1888">
        <v>5102</v>
      </c>
      <c r="Q1888">
        <v>1</v>
      </c>
      <c r="R1888">
        <v>10.17</v>
      </c>
      <c r="S1888">
        <v>10.17</v>
      </c>
      <c r="T1888">
        <v>7.72</v>
      </c>
      <c r="U1888">
        <v>24.09</v>
      </c>
      <c r="V1888" t="str">
        <f>VLOOKUP(L1888,'[2]tabela de preços'!$A:$D,4,0)</f>
        <v>3M</v>
      </c>
      <c r="W1888" t="str">
        <f>VLOOKUP(L1888,'[2]tabela de preços'!$A:$F,6,0)</f>
        <v>FITA DUPLA FACE</v>
      </c>
      <c r="X1888" t="str">
        <f>VLOOKUP(L1888,'[2]tabela de preços'!$A:$G,7,0)</f>
        <v>AUTOMOTIVO</v>
      </c>
    </row>
    <row r="1889" spans="1:24" x14ac:dyDescent="0.3">
      <c r="A1889" t="s">
        <v>186</v>
      </c>
      <c r="C1889" t="s">
        <v>203</v>
      </c>
      <c r="D1889" s="1">
        <v>46048</v>
      </c>
      <c r="E1889" t="s">
        <v>204</v>
      </c>
      <c r="F1889">
        <v>9</v>
      </c>
      <c r="G1889">
        <v>236</v>
      </c>
      <c r="H1889" t="str">
        <f>VLOOKUP(G1889,[1]OPERADORES!$A:$B,2,0)</f>
        <v>DANIEL</v>
      </c>
      <c r="I1889" t="s">
        <v>21</v>
      </c>
      <c r="J1889" t="s">
        <v>189</v>
      </c>
      <c r="K1889" t="s">
        <v>190</v>
      </c>
      <c r="L1889">
        <v>10236</v>
      </c>
      <c r="M1889" t="s">
        <v>133</v>
      </c>
      <c r="O1889" t="s">
        <v>11</v>
      </c>
      <c r="P1889">
        <v>5102</v>
      </c>
      <c r="Q1889">
        <v>5</v>
      </c>
      <c r="R1889">
        <v>2.79</v>
      </c>
      <c r="S1889">
        <v>13.95</v>
      </c>
      <c r="T1889">
        <v>11.6</v>
      </c>
      <c r="U1889">
        <v>16.850000000000001</v>
      </c>
      <c r="V1889" t="str">
        <f>VLOOKUP(L1889,'[2]tabela de preços'!$A:$D,4,0)</f>
        <v>NORTON</v>
      </c>
      <c r="W1889" t="str">
        <f>VLOOKUP(L1889,'[2]tabela de preços'!$A:$F,6,0)</f>
        <v xml:space="preserve">DISCOS / LIXAS / ABRASIVOS </v>
      </c>
      <c r="X1889" t="str">
        <f>VLOOKUP(L1889,'[2]tabela de preços'!$A:$G,7,0)</f>
        <v>AUTOMOTIVO</v>
      </c>
    </row>
    <row r="1890" spans="1:24" x14ac:dyDescent="0.3">
      <c r="A1890" t="s">
        <v>186</v>
      </c>
      <c r="C1890" t="s">
        <v>203</v>
      </c>
      <c r="D1890" s="1">
        <v>46048</v>
      </c>
      <c r="E1890" t="s">
        <v>204</v>
      </c>
      <c r="F1890">
        <v>9</v>
      </c>
      <c r="G1890">
        <v>236</v>
      </c>
      <c r="H1890" t="str">
        <f>VLOOKUP(G1890,[1]OPERADORES!$A:$B,2,0)</f>
        <v>DANIEL</v>
      </c>
      <c r="I1890" t="s">
        <v>21</v>
      </c>
      <c r="J1890" t="s">
        <v>189</v>
      </c>
      <c r="K1890" t="s">
        <v>190</v>
      </c>
      <c r="L1890">
        <v>10230</v>
      </c>
      <c r="M1890" t="s">
        <v>193</v>
      </c>
      <c r="O1890" t="s">
        <v>11</v>
      </c>
      <c r="P1890">
        <v>5102</v>
      </c>
      <c r="Q1890">
        <v>5</v>
      </c>
      <c r="R1890">
        <v>2.79</v>
      </c>
      <c r="S1890">
        <v>13.95</v>
      </c>
      <c r="T1890">
        <v>11.6</v>
      </c>
      <c r="U1890">
        <v>16.850000000000001</v>
      </c>
      <c r="V1890" t="str">
        <f>VLOOKUP(L1890,'[2]tabela de preços'!$A:$D,4,0)</f>
        <v>NORTON</v>
      </c>
      <c r="W1890" t="str">
        <f>VLOOKUP(L1890,'[2]tabela de preços'!$A:$F,6,0)</f>
        <v xml:space="preserve">DISCOS / LIXAS / ABRASIVOS </v>
      </c>
      <c r="X1890" t="str">
        <f>VLOOKUP(L1890,'[2]tabela de preços'!$A:$G,7,0)</f>
        <v>AUTOMOTIVO</v>
      </c>
    </row>
    <row r="1891" spans="1:24" x14ac:dyDescent="0.3">
      <c r="A1891" t="s">
        <v>186</v>
      </c>
      <c r="C1891" t="s">
        <v>203</v>
      </c>
      <c r="D1891" s="1">
        <v>46048</v>
      </c>
      <c r="E1891" t="s">
        <v>204</v>
      </c>
      <c r="F1891">
        <v>9</v>
      </c>
      <c r="G1891">
        <v>236</v>
      </c>
      <c r="H1891" t="str">
        <f>VLOOKUP(G1891,[1]OPERADORES!$A:$B,2,0)</f>
        <v>DANIEL</v>
      </c>
      <c r="I1891" t="s">
        <v>21</v>
      </c>
      <c r="J1891" t="s">
        <v>189</v>
      </c>
      <c r="K1891" t="s">
        <v>190</v>
      </c>
      <c r="L1891">
        <v>24248</v>
      </c>
      <c r="M1891" t="s">
        <v>107</v>
      </c>
      <c r="O1891" t="s">
        <v>11</v>
      </c>
      <c r="P1891">
        <v>5102</v>
      </c>
      <c r="Q1891">
        <v>3</v>
      </c>
      <c r="R1891">
        <v>8</v>
      </c>
      <c r="S1891">
        <v>24</v>
      </c>
      <c r="T1891">
        <v>19.5</v>
      </c>
      <c r="U1891">
        <v>18.75</v>
      </c>
      <c r="V1891" t="str">
        <f>VLOOKUP(L1891,'[2]tabela de preços'!$A:$D,4,0)</f>
        <v>SHERWIN WILLIAMS</v>
      </c>
      <c r="W1891" t="str">
        <f>VLOOKUP(L1891,'[2]tabela de preços'!$A:$F,6,0)</f>
        <v>PRIMER AUTOMOTIVO</v>
      </c>
      <c r="X1891" t="str">
        <f>VLOOKUP(L1891,'[2]tabela de preços'!$A:$G,7,0)</f>
        <v>AUTOMOTIVO</v>
      </c>
    </row>
    <row r="1892" spans="1:24" x14ac:dyDescent="0.3">
      <c r="A1892" t="s">
        <v>186</v>
      </c>
      <c r="C1892" t="s">
        <v>203</v>
      </c>
      <c r="D1892" s="1">
        <v>46048</v>
      </c>
      <c r="E1892" t="s">
        <v>204</v>
      </c>
      <c r="F1892">
        <v>9</v>
      </c>
      <c r="G1892">
        <v>236</v>
      </c>
      <c r="H1892" t="str">
        <f>VLOOKUP(G1892,[1]OPERADORES!$A:$B,2,0)</f>
        <v>DANIEL</v>
      </c>
      <c r="I1892" t="s">
        <v>21</v>
      </c>
      <c r="J1892" t="s">
        <v>189</v>
      </c>
      <c r="K1892" t="s">
        <v>190</v>
      </c>
      <c r="L1892">
        <v>22684</v>
      </c>
      <c r="M1892" t="s">
        <v>73</v>
      </c>
      <c r="O1892" t="s">
        <v>11</v>
      </c>
      <c r="P1892">
        <v>5102</v>
      </c>
      <c r="Q1892">
        <v>10</v>
      </c>
      <c r="R1892">
        <v>3.65</v>
      </c>
      <c r="S1892">
        <v>36.5</v>
      </c>
      <c r="T1892">
        <v>30.8</v>
      </c>
      <c r="U1892">
        <v>15.62</v>
      </c>
      <c r="V1892" t="str">
        <f>VLOOKUP(L1892,'[2]tabela de preços'!$A:$D,4,0)</f>
        <v>3M</v>
      </c>
      <c r="W1892" t="str">
        <f>VLOOKUP(L1892,'[2]tabela de preços'!$A:$F,6,0)</f>
        <v>FITA AUTOMOTIVA</v>
      </c>
      <c r="X1892" t="str">
        <f>VLOOKUP(L1892,'[2]tabela de preços'!$A:$G,7,0)</f>
        <v>AUTOMOTIVO</v>
      </c>
    </row>
    <row r="1893" spans="1:24" x14ac:dyDescent="0.3">
      <c r="A1893" t="s">
        <v>186</v>
      </c>
      <c r="C1893" t="s">
        <v>203</v>
      </c>
      <c r="D1893" s="1">
        <v>46048</v>
      </c>
      <c r="E1893" t="s">
        <v>204</v>
      </c>
      <c r="F1893">
        <v>9</v>
      </c>
      <c r="G1893">
        <v>236</v>
      </c>
      <c r="H1893" t="str">
        <f>VLOOKUP(G1893,[1]OPERADORES!$A:$B,2,0)</f>
        <v>DANIEL</v>
      </c>
      <c r="I1893" t="s">
        <v>21</v>
      </c>
      <c r="J1893" t="s">
        <v>189</v>
      </c>
      <c r="K1893" t="s">
        <v>190</v>
      </c>
      <c r="L1893">
        <v>85409</v>
      </c>
      <c r="M1893" t="s">
        <v>201</v>
      </c>
      <c r="O1893" t="s">
        <v>11</v>
      </c>
      <c r="P1893">
        <v>5403</v>
      </c>
      <c r="Q1893">
        <v>3</v>
      </c>
      <c r="R1893">
        <v>28.9</v>
      </c>
      <c r="S1893">
        <v>86.7</v>
      </c>
      <c r="T1893">
        <v>69.33</v>
      </c>
      <c r="U1893">
        <v>20.03</v>
      </c>
      <c r="V1893" t="str">
        <f>VLOOKUP(L1893,'[2]tabela de preços'!$A:$D,4,0)</f>
        <v>WANDA</v>
      </c>
      <c r="W1893" t="str">
        <f>VLOOKUP(L1893,'[2]tabela de preços'!$A:$F,6,0)</f>
        <v>PRIMER AUTOMOTIVO</v>
      </c>
      <c r="X1893" t="str">
        <f>VLOOKUP(L1893,'[2]tabela de preços'!$A:$G,7,0)</f>
        <v>AUTOMOTIVO</v>
      </c>
    </row>
    <row r="1894" spans="1:24" x14ac:dyDescent="0.3">
      <c r="A1894" t="s">
        <v>186</v>
      </c>
      <c r="C1894" t="s">
        <v>203</v>
      </c>
      <c r="D1894" s="1">
        <v>46048</v>
      </c>
      <c r="E1894" t="s">
        <v>204</v>
      </c>
      <c r="F1894">
        <v>9</v>
      </c>
      <c r="G1894">
        <v>236</v>
      </c>
      <c r="H1894" t="str">
        <f>VLOOKUP(G1894,[1]OPERADORES!$A:$B,2,0)</f>
        <v>DANIEL</v>
      </c>
      <c r="I1894" t="s">
        <v>21</v>
      </c>
      <c r="J1894" t="s">
        <v>189</v>
      </c>
      <c r="K1894" t="s">
        <v>190</v>
      </c>
      <c r="L1894">
        <v>20431</v>
      </c>
      <c r="M1894" t="s">
        <v>202</v>
      </c>
      <c r="O1894" t="s">
        <v>11</v>
      </c>
      <c r="P1894">
        <v>5403</v>
      </c>
      <c r="Q1894">
        <v>9</v>
      </c>
      <c r="R1894">
        <v>36.89</v>
      </c>
      <c r="S1894">
        <v>332.01</v>
      </c>
      <c r="T1894">
        <v>272.33999999999997</v>
      </c>
      <c r="U1894">
        <v>17.97</v>
      </c>
      <c r="V1894" t="str">
        <f>VLOOKUP(L1894,'[2]tabela de preços'!$A:$D,4,0)</f>
        <v>SHERWIN WILLIAMS</v>
      </c>
      <c r="W1894" t="str">
        <f>VLOOKUP(L1894,'[2]tabela de preços'!$A:$F,6,0)</f>
        <v>VERNIZ AUTOMOTIVO</v>
      </c>
      <c r="X1894" t="str">
        <f>VLOOKUP(L1894,'[2]tabela de preços'!$A:$G,7,0)</f>
        <v>AUTOMOTIVO</v>
      </c>
    </row>
    <row r="1895" spans="1:24" x14ac:dyDescent="0.3">
      <c r="A1895" t="s">
        <v>186</v>
      </c>
      <c r="C1895" t="s">
        <v>203</v>
      </c>
      <c r="D1895" s="1">
        <v>46048</v>
      </c>
      <c r="E1895" t="s">
        <v>204</v>
      </c>
      <c r="F1895">
        <v>9</v>
      </c>
      <c r="G1895">
        <v>236</v>
      </c>
      <c r="H1895" t="str">
        <f>VLOOKUP(G1895,[1]OPERADORES!$A:$B,2,0)</f>
        <v>DANIEL</v>
      </c>
      <c r="I1895" t="s">
        <v>21</v>
      </c>
      <c r="J1895" t="s">
        <v>189</v>
      </c>
      <c r="K1895" t="s">
        <v>190</v>
      </c>
      <c r="L1895">
        <v>13</v>
      </c>
      <c r="M1895" t="s">
        <v>152</v>
      </c>
      <c r="O1895" t="s">
        <v>11</v>
      </c>
      <c r="P1895">
        <v>5102</v>
      </c>
      <c r="Q1895">
        <v>5</v>
      </c>
      <c r="R1895">
        <v>5.79</v>
      </c>
      <c r="S1895">
        <v>28.95</v>
      </c>
      <c r="T1895">
        <v>20.8</v>
      </c>
      <c r="U1895">
        <v>28.15</v>
      </c>
      <c r="V1895" t="str">
        <f>VLOOKUP(L1895,'[2]tabela de preços'!$A:$D,4,0)</f>
        <v>3M</v>
      </c>
      <c r="W1895" t="str">
        <f>VLOOKUP(L1895,'[2]tabela de preços'!$A:$F,6,0)</f>
        <v>LIXA DÁGUA</v>
      </c>
      <c r="X1895" t="str">
        <f>VLOOKUP(L1895,'[2]tabela de preços'!$A:$G,7,0)</f>
        <v>AUTOMOTIVO</v>
      </c>
    </row>
    <row r="1896" spans="1:24" x14ac:dyDescent="0.3">
      <c r="A1896" t="s">
        <v>186</v>
      </c>
      <c r="C1896" t="s">
        <v>203</v>
      </c>
      <c r="D1896" s="1">
        <v>46048</v>
      </c>
      <c r="E1896" t="s">
        <v>204</v>
      </c>
      <c r="F1896">
        <v>9</v>
      </c>
      <c r="G1896">
        <v>236</v>
      </c>
      <c r="H1896" t="str">
        <f>VLOOKUP(G1896,[1]OPERADORES!$A:$B,2,0)</f>
        <v>DANIEL</v>
      </c>
      <c r="I1896" t="s">
        <v>21</v>
      </c>
      <c r="J1896" t="s">
        <v>189</v>
      </c>
      <c r="K1896" t="s">
        <v>190</v>
      </c>
      <c r="L1896">
        <v>15</v>
      </c>
      <c r="M1896" t="s">
        <v>205</v>
      </c>
      <c r="O1896" t="s">
        <v>11</v>
      </c>
      <c r="P1896">
        <v>5102</v>
      </c>
      <c r="Q1896">
        <v>5</v>
      </c>
      <c r="R1896">
        <v>5.79</v>
      </c>
      <c r="S1896">
        <v>28.95</v>
      </c>
      <c r="T1896">
        <v>20.8</v>
      </c>
      <c r="U1896">
        <v>28.15</v>
      </c>
      <c r="V1896" t="str">
        <f>VLOOKUP(L1896,'[2]tabela de preços'!$A:$D,4,0)</f>
        <v>3M</v>
      </c>
      <c r="W1896" t="str">
        <f>VLOOKUP(L1896,'[2]tabela de preços'!$A:$F,6,0)</f>
        <v>LIXA DÁGUA</v>
      </c>
      <c r="X1896" t="str">
        <f>VLOOKUP(L1896,'[2]tabela de preços'!$A:$G,7,0)</f>
        <v>AUTOMOTIVO</v>
      </c>
    </row>
    <row r="1897" spans="1:24" x14ac:dyDescent="0.3">
      <c r="A1897" t="s">
        <v>186</v>
      </c>
      <c r="C1897" t="s">
        <v>203</v>
      </c>
      <c r="D1897" s="1">
        <v>46048</v>
      </c>
      <c r="E1897" t="s">
        <v>204</v>
      </c>
      <c r="F1897">
        <v>9</v>
      </c>
      <c r="G1897">
        <v>236</v>
      </c>
      <c r="H1897" t="str">
        <f>VLOOKUP(G1897,[1]OPERADORES!$A:$B,2,0)</f>
        <v>DANIEL</v>
      </c>
      <c r="I1897" t="s">
        <v>21</v>
      </c>
      <c r="J1897" t="s">
        <v>189</v>
      </c>
      <c r="K1897" t="s">
        <v>190</v>
      </c>
      <c r="L1897">
        <v>16</v>
      </c>
      <c r="M1897" t="s">
        <v>122</v>
      </c>
      <c r="O1897" t="s">
        <v>11</v>
      </c>
      <c r="P1897">
        <v>5102</v>
      </c>
      <c r="Q1897">
        <v>5</v>
      </c>
      <c r="R1897">
        <v>2.9</v>
      </c>
      <c r="S1897">
        <v>14.5</v>
      </c>
      <c r="T1897">
        <v>11</v>
      </c>
      <c r="U1897">
        <v>24.14</v>
      </c>
      <c r="V1897" t="str">
        <f>VLOOKUP(L1897,'[2]tabela de preços'!$A:$D,4,0)</f>
        <v>3M</v>
      </c>
      <c r="W1897" t="str">
        <f>VLOOKUP(L1897,'[2]tabela de preços'!$A:$F,6,0)</f>
        <v>LIXA DÁGUA</v>
      </c>
      <c r="X1897" t="str">
        <f>VLOOKUP(L1897,'[2]tabela de preços'!$A:$G,7,0)</f>
        <v>AUTOMOTIVO</v>
      </c>
    </row>
    <row r="1898" spans="1:24" x14ac:dyDescent="0.3">
      <c r="A1898" t="s">
        <v>186</v>
      </c>
      <c r="C1898" t="s">
        <v>203</v>
      </c>
      <c r="D1898" s="1">
        <v>46048</v>
      </c>
      <c r="E1898" t="s">
        <v>204</v>
      </c>
      <c r="F1898">
        <v>9</v>
      </c>
      <c r="G1898">
        <v>236</v>
      </c>
      <c r="H1898" t="str">
        <f>VLOOKUP(G1898,[1]OPERADORES!$A:$B,2,0)</f>
        <v>DANIEL</v>
      </c>
      <c r="I1898" t="s">
        <v>21</v>
      </c>
      <c r="J1898" t="s">
        <v>189</v>
      </c>
      <c r="K1898" t="s">
        <v>190</v>
      </c>
      <c r="L1898">
        <v>10238</v>
      </c>
      <c r="M1898" t="s">
        <v>79</v>
      </c>
      <c r="O1898" t="s">
        <v>11</v>
      </c>
      <c r="P1898">
        <v>5102</v>
      </c>
      <c r="Q1898">
        <v>5</v>
      </c>
      <c r="R1898">
        <v>2.79</v>
      </c>
      <c r="S1898">
        <v>13.95</v>
      </c>
      <c r="T1898">
        <v>11.2</v>
      </c>
      <c r="U1898">
        <v>19.71</v>
      </c>
      <c r="V1898" t="str">
        <f>VLOOKUP(L1898,'[2]tabela de preços'!$A:$D,4,0)</f>
        <v>NORTON</v>
      </c>
      <c r="W1898" t="str">
        <f>VLOOKUP(L1898,'[2]tabela de preços'!$A:$F,6,0)</f>
        <v xml:space="preserve">DISCOS / LIXAS / ABRASIVOS </v>
      </c>
      <c r="X1898" t="str">
        <f>VLOOKUP(L1898,'[2]tabela de preços'!$A:$G,7,0)</f>
        <v>AUTOMOTIVO</v>
      </c>
    </row>
    <row r="1899" spans="1:24" x14ac:dyDescent="0.3">
      <c r="A1899" t="s">
        <v>186</v>
      </c>
      <c r="C1899" t="s">
        <v>203</v>
      </c>
      <c r="D1899" s="1">
        <v>46048</v>
      </c>
      <c r="E1899" t="s">
        <v>204</v>
      </c>
      <c r="F1899">
        <v>9</v>
      </c>
      <c r="G1899">
        <v>236</v>
      </c>
      <c r="H1899" t="str">
        <f>VLOOKUP(G1899,[1]OPERADORES!$A:$B,2,0)</f>
        <v>DANIEL</v>
      </c>
      <c r="I1899" t="s">
        <v>21</v>
      </c>
      <c r="J1899" t="s">
        <v>189</v>
      </c>
      <c r="K1899" t="s">
        <v>190</v>
      </c>
      <c r="L1899">
        <v>10243</v>
      </c>
      <c r="M1899" t="s">
        <v>83</v>
      </c>
      <c r="O1899" t="s">
        <v>11</v>
      </c>
      <c r="P1899">
        <v>5102</v>
      </c>
      <c r="Q1899">
        <v>5</v>
      </c>
      <c r="R1899">
        <v>2.79</v>
      </c>
      <c r="S1899">
        <v>13.95</v>
      </c>
      <c r="T1899">
        <v>9.65</v>
      </c>
      <c r="U1899">
        <v>30.82</v>
      </c>
      <c r="V1899" t="str">
        <f>VLOOKUP(L1899,'[2]tabela de preços'!$A:$D,4,0)</f>
        <v>NORTON</v>
      </c>
      <c r="W1899" t="str">
        <f>VLOOKUP(L1899,'[2]tabela de preços'!$A:$F,6,0)</f>
        <v xml:space="preserve">DISCOS / LIXAS / ABRASIVOS </v>
      </c>
      <c r="X1899" t="str">
        <f>VLOOKUP(L1899,'[2]tabela de preços'!$A:$G,7,0)</f>
        <v>AUTOMOTIVO</v>
      </c>
    </row>
    <row r="1900" spans="1:24" x14ac:dyDescent="0.3">
      <c r="A1900" t="s">
        <v>186</v>
      </c>
      <c r="C1900" t="s">
        <v>203</v>
      </c>
      <c r="D1900" s="1">
        <v>46048</v>
      </c>
      <c r="E1900" t="s">
        <v>204</v>
      </c>
      <c r="F1900">
        <v>9</v>
      </c>
      <c r="G1900">
        <v>236</v>
      </c>
      <c r="H1900" t="str">
        <f>VLOOKUP(G1900,[1]OPERADORES!$A:$B,2,0)</f>
        <v>DANIEL</v>
      </c>
      <c r="I1900" t="s">
        <v>21</v>
      </c>
      <c r="J1900" t="s">
        <v>189</v>
      </c>
      <c r="K1900" t="s">
        <v>190</v>
      </c>
      <c r="L1900">
        <v>10246</v>
      </c>
      <c r="M1900" t="s">
        <v>206</v>
      </c>
      <c r="O1900" t="s">
        <v>11</v>
      </c>
      <c r="P1900">
        <v>5102</v>
      </c>
      <c r="Q1900">
        <v>5</v>
      </c>
      <c r="R1900">
        <v>2.79</v>
      </c>
      <c r="S1900">
        <v>13.95</v>
      </c>
      <c r="T1900">
        <v>9.65</v>
      </c>
      <c r="U1900">
        <v>30.82</v>
      </c>
      <c r="V1900" t="str">
        <f>VLOOKUP(L1900,'[2]tabela de preços'!$A:$D,4,0)</f>
        <v>NORTON</v>
      </c>
      <c r="W1900" t="str">
        <f>VLOOKUP(L1900,'[2]tabela de preços'!$A:$F,6,0)</f>
        <v xml:space="preserve">DISCOS / LIXAS / ABRASIVOS </v>
      </c>
      <c r="X1900" t="str">
        <f>VLOOKUP(L1900,'[2]tabela de preços'!$A:$G,7,0)</f>
        <v>AUTOMOTIVO</v>
      </c>
    </row>
    <row r="1901" spans="1:24" x14ac:dyDescent="0.3">
      <c r="A1901" t="s">
        <v>186</v>
      </c>
      <c r="C1901" t="s">
        <v>203</v>
      </c>
      <c r="D1901" s="1">
        <v>46048</v>
      </c>
      <c r="E1901" t="s">
        <v>204</v>
      </c>
      <c r="F1901">
        <v>9</v>
      </c>
      <c r="G1901">
        <v>236</v>
      </c>
      <c r="H1901" t="str">
        <f>VLOOKUP(G1901,[1]OPERADORES!$A:$B,2,0)</f>
        <v>DANIEL</v>
      </c>
      <c r="I1901" t="s">
        <v>21</v>
      </c>
      <c r="J1901" t="s">
        <v>189</v>
      </c>
      <c r="K1901" t="s">
        <v>190</v>
      </c>
      <c r="L1901">
        <v>21077</v>
      </c>
      <c r="M1901" t="s">
        <v>207</v>
      </c>
      <c r="O1901" t="s">
        <v>11</v>
      </c>
      <c r="P1901">
        <v>5102</v>
      </c>
      <c r="Q1901">
        <v>1</v>
      </c>
      <c r="R1901">
        <v>44.68</v>
      </c>
      <c r="S1901">
        <v>44.68</v>
      </c>
      <c r="T1901">
        <v>33.92</v>
      </c>
      <c r="U1901">
        <v>24.08</v>
      </c>
      <c r="V1901" t="str">
        <f>VLOOKUP(L1901,'[2]tabela de preços'!$A:$D,4,0)</f>
        <v>SHERWIN WILLIAMS</v>
      </c>
      <c r="W1901" t="str">
        <f>VLOOKUP(L1901,'[2]tabela de preços'!$A:$F,6,0)</f>
        <v>MASSA POLIÉSTER</v>
      </c>
      <c r="X1901" t="str">
        <f>VLOOKUP(L1901,'[2]tabela de preços'!$A:$G,7,0)</f>
        <v>AUTOMOTIVO</v>
      </c>
    </row>
    <row r="1902" spans="1:24" x14ac:dyDescent="0.3">
      <c r="A1902" t="s">
        <v>186</v>
      </c>
      <c r="C1902" t="s">
        <v>203</v>
      </c>
      <c r="D1902" s="1">
        <v>46048</v>
      </c>
      <c r="E1902" t="s">
        <v>204</v>
      </c>
      <c r="F1902">
        <v>9</v>
      </c>
      <c r="G1902">
        <v>236</v>
      </c>
      <c r="H1902" t="str">
        <f>VLOOKUP(G1902,[1]OPERADORES!$A:$B,2,0)</f>
        <v>DANIEL</v>
      </c>
      <c r="I1902" t="s">
        <v>21</v>
      </c>
      <c r="J1902" t="s">
        <v>189</v>
      </c>
      <c r="K1902" t="s">
        <v>190</v>
      </c>
      <c r="L1902">
        <v>23584</v>
      </c>
      <c r="M1902" t="s">
        <v>196</v>
      </c>
      <c r="O1902" t="s">
        <v>11</v>
      </c>
      <c r="P1902">
        <v>5102</v>
      </c>
      <c r="Q1902">
        <v>2</v>
      </c>
      <c r="R1902">
        <v>23.04</v>
      </c>
      <c r="S1902">
        <v>46.08</v>
      </c>
      <c r="T1902">
        <v>34.979999999999997</v>
      </c>
      <c r="U1902">
        <v>24.09</v>
      </c>
      <c r="V1902" t="str">
        <f>VLOOKUP(L1902,'[2]tabela de preços'!$A:$D,4,0)</f>
        <v>MAXI RUBBER</v>
      </c>
      <c r="W1902" t="str">
        <f>VLOOKUP(L1902,'[2]tabela de preços'!$A:$F,6,0)</f>
        <v>MASSA POLIÉSTER</v>
      </c>
      <c r="X1902" t="str">
        <f>VLOOKUP(L1902,'[2]tabela de preços'!$A:$G,7,0)</f>
        <v>AUTOMOTIVO</v>
      </c>
    </row>
    <row r="1903" spans="1:24" x14ac:dyDescent="0.3">
      <c r="A1903" t="s">
        <v>186</v>
      </c>
      <c r="C1903" t="s">
        <v>203</v>
      </c>
      <c r="D1903" s="1">
        <v>46048</v>
      </c>
      <c r="E1903" t="s">
        <v>204</v>
      </c>
      <c r="F1903">
        <v>9</v>
      </c>
      <c r="G1903">
        <v>236</v>
      </c>
      <c r="H1903" t="str">
        <f>VLOOKUP(G1903,[1]OPERADORES!$A:$B,2,0)</f>
        <v>DANIEL</v>
      </c>
      <c r="I1903" t="s">
        <v>21</v>
      </c>
      <c r="J1903" t="s">
        <v>189</v>
      </c>
      <c r="K1903" t="s">
        <v>190</v>
      </c>
      <c r="L1903">
        <v>24247</v>
      </c>
      <c r="M1903" t="s">
        <v>160</v>
      </c>
      <c r="O1903" t="s">
        <v>11</v>
      </c>
      <c r="P1903">
        <v>5403</v>
      </c>
      <c r="Q1903">
        <v>3</v>
      </c>
      <c r="R1903">
        <v>21</v>
      </c>
      <c r="S1903">
        <v>63</v>
      </c>
      <c r="T1903">
        <v>50.61</v>
      </c>
      <c r="U1903">
        <v>19.670000000000002</v>
      </c>
      <c r="V1903" t="str">
        <f>VLOOKUP(L1903,'[2]tabela de preços'!$A:$D,4,0)</f>
        <v>SHERWIN WILLIAMS</v>
      </c>
      <c r="W1903" t="str">
        <f>VLOOKUP(L1903,'[2]tabela de preços'!$A:$F,6,0)</f>
        <v>PRIMER AUTOMOTIVO</v>
      </c>
      <c r="X1903" t="str">
        <f>VLOOKUP(L1903,'[2]tabela de preços'!$A:$G,7,0)</f>
        <v>AUTOMOTIVO</v>
      </c>
    </row>
    <row r="1904" spans="1:24" x14ac:dyDescent="0.3">
      <c r="A1904" t="s">
        <v>186</v>
      </c>
      <c r="C1904" t="s">
        <v>203</v>
      </c>
      <c r="D1904" s="1">
        <v>46048</v>
      </c>
      <c r="E1904" t="s">
        <v>204</v>
      </c>
      <c r="F1904">
        <v>9</v>
      </c>
      <c r="G1904">
        <v>236</v>
      </c>
      <c r="H1904" t="str">
        <f>VLOOKUP(G1904,[1]OPERADORES!$A:$B,2,0)</f>
        <v>DANIEL</v>
      </c>
      <c r="I1904" t="s">
        <v>21</v>
      </c>
      <c r="J1904" t="s">
        <v>189</v>
      </c>
      <c r="K1904" t="s">
        <v>190</v>
      </c>
      <c r="L1904">
        <v>10297</v>
      </c>
      <c r="M1904" t="s">
        <v>41</v>
      </c>
      <c r="O1904" t="s">
        <v>11</v>
      </c>
      <c r="P1904">
        <v>5102</v>
      </c>
      <c r="Q1904">
        <v>12</v>
      </c>
      <c r="R1904">
        <v>10.89</v>
      </c>
      <c r="S1904">
        <v>130.68</v>
      </c>
      <c r="T1904">
        <v>110.04</v>
      </c>
      <c r="U1904">
        <v>15.79</v>
      </c>
      <c r="V1904" t="str">
        <f>VLOOKUP(L1904,'[2]tabela de preços'!$A:$D,4,0)</f>
        <v>ANJO</v>
      </c>
      <c r="W1904" t="str">
        <f>VLOOKUP(L1904,'[2]tabela de preços'!$A:$F,6,0)</f>
        <v>THINNER DE LIMPEZA</v>
      </c>
      <c r="X1904" t="str">
        <f>VLOOKUP(L1904,'[2]tabela de preços'!$A:$G,7,0)</f>
        <v>THINNER</v>
      </c>
    </row>
    <row r="1905" spans="1:24" x14ac:dyDescent="0.3">
      <c r="A1905" t="s">
        <v>262</v>
      </c>
      <c r="C1905" t="s">
        <v>274</v>
      </c>
      <c r="D1905" s="1">
        <v>46048</v>
      </c>
      <c r="E1905" t="s">
        <v>275</v>
      </c>
      <c r="F1905">
        <v>9</v>
      </c>
      <c r="G1905">
        <v>197</v>
      </c>
      <c r="H1905" t="str">
        <f>VLOOKUP(G1905,[1]OPERADORES!$A:$B,2,0)</f>
        <v xml:space="preserve">POLIANA LORRANE DE AMORIM </v>
      </c>
      <c r="I1905" t="s">
        <v>21</v>
      </c>
      <c r="J1905" t="s">
        <v>265</v>
      </c>
      <c r="K1905" t="s">
        <v>266</v>
      </c>
      <c r="L1905">
        <v>24248</v>
      </c>
      <c r="M1905" t="s">
        <v>107</v>
      </c>
      <c r="O1905" t="s">
        <v>11</v>
      </c>
      <c r="P1905">
        <v>5102</v>
      </c>
      <c r="Q1905">
        <v>10</v>
      </c>
      <c r="R1905">
        <v>8</v>
      </c>
      <c r="S1905">
        <v>80</v>
      </c>
      <c r="T1905">
        <v>65</v>
      </c>
      <c r="U1905">
        <v>18.75</v>
      </c>
      <c r="V1905" t="str">
        <f>VLOOKUP(L1905,'[2]tabela de preços'!$A:$D,4,0)</f>
        <v>SHERWIN WILLIAMS</v>
      </c>
      <c r="W1905" t="str">
        <f>VLOOKUP(L1905,'[2]tabela de preços'!$A:$F,6,0)</f>
        <v>PRIMER AUTOMOTIVO</v>
      </c>
      <c r="X1905" t="str">
        <f>VLOOKUP(L1905,'[2]tabela de preços'!$A:$G,7,0)</f>
        <v>AUTOMOTIVO</v>
      </c>
    </row>
    <row r="1906" spans="1:24" x14ac:dyDescent="0.3">
      <c r="A1906" t="s">
        <v>262</v>
      </c>
      <c r="C1906" t="s">
        <v>274</v>
      </c>
      <c r="D1906" s="1">
        <v>46048</v>
      </c>
      <c r="E1906" t="s">
        <v>275</v>
      </c>
      <c r="F1906">
        <v>9</v>
      </c>
      <c r="G1906">
        <v>197</v>
      </c>
      <c r="H1906" t="str">
        <f>VLOOKUP(G1906,[1]OPERADORES!$A:$B,2,0)</f>
        <v xml:space="preserve">POLIANA LORRANE DE AMORIM </v>
      </c>
      <c r="I1906" t="s">
        <v>21</v>
      </c>
      <c r="J1906" t="s">
        <v>265</v>
      </c>
      <c r="K1906" t="s">
        <v>266</v>
      </c>
      <c r="L1906">
        <v>86995</v>
      </c>
      <c r="M1906" t="s">
        <v>37</v>
      </c>
      <c r="O1906" t="s">
        <v>11</v>
      </c>
      <c r="P1906">
        <v>5102</v>
      </c>
      <c r="Q1906">
        <v>10</v>
      </c>
      <c r="R1906">
        <v>7.29</v>
      </c>
      <c r="S1906">
        <v>72.900000000000006</v>
      </c>
      <c r="T1906">
        <v>58.3</v>
      </c>
      <c r="U1906">
        <v>20.03</v>
      </c>
      <c r="V1906" t="str">
        <f>VLOOKUP(L1906,'[2]tabela de preços'!$A:$D,4,0)</f>
        <v>AUTOAMERICA</v>
      </c>
      <c r="W1906" t="str">
        <f>VLOOKUP(L1906,'[2]tabela de preços'!$A:$F,6,0)</f>
        <v>FLANELAS / PANOS</v>
      </c>
      <c r="X1906" t="str">
        <f>VLOOKUP(L1906,'[2]tabela de preços'!$A:$G,7,0)</f>
        <v>AUTOMOTIVO</v>
      </c>
    </row>
    <row r="1907" spans="1:24" x14ac:dyDescent="0.3">
      <c r="A1907" t="s">
        <v>262</v>
      </c>
      <c r="C1907" t="s">
        <v>274</v>
      </c>
      <c r="D1907" s="1">
        <v>46048</v>
      </c>
      <c r="E1907" t="s">
        <v>275</v>
      </c>
      <c r="F1907">
        <v>9</v>
      </c>
      <c r="G1907">
        <v>197</v>
      </c>
      <c r="H1907" t="str">
        <f>VLOOKUP(G1907,[1]OPERADORES!$A:$B,2,0)</f>
        <v xml:space="preserve">POLIANA LORRANE DE AMORIM </v>
      </c>
      <c r="I1907" t="s">
        <v>21</v>
      </c>
      <c r="J1907" t="s">
        <v>265</v>
      </c>
      <c r="K1907" t="s">
        <v>266</v>
      </c>
      <c r="L1907">
        <v>13</v>
      </c>
      <c r="M1907" t="s">
        <v>152</v>
      </c>
      <c r="O1907" t="s">
        <v>11</v>
      </c>
      <c r="P1907">
        <v>5102</v>
      </c>
      <c r="Q1907">
        <v>20</v>
      </c>
      <c r="R1907">
        <v>5.79</v>
      </c>
      <c r="S1907">
        <v>115.8</v>
      </c>
      <c r="T1907">
        <v>83.2</v>
      </c>
      <c r="U1907">
        <v>28.15</v>
      </c>
      <c r="V1907" t="str">
        <f>VLOOKUP(L1907,'[2]tabela de preços'!$A:$D,4,0)</f>
        <v>3M</v>
      </c>
      <c r="W1907" t="str">
        <f>VLOOKUP(L1907,'[2]tabela de preços'!$A:$F,6,0)</f>
        <v>LIXA DÁGUA</v>
      </c>
      <c r="X1907" t="str">
        <f>VLOOKUP(L1907,'[2]tabela de preços'!$A:$G,7,0)</f>
        <v>AUTOMOTIVO</v>
      </c>
    </row>
    <row r="1908" spans="1:24" x14ac:dyDescent="0.3">
      <c r="A1908" t="s">
        <v>262</v>
      </c>
      <c r="C1908" t="s">
        <v>274</v>
      </c>
      <c r="D1908" s="1">
        <v>46048</v>
      </c>
      <c r="E1908" t="s">
        <v>275</v>
      </c>
      <c r="F1908">
        <v>9</v>
      </c>
      <c r="G1908">
        <v>197</v>
      </c>
      <c r="H1908" t="str">
        <f>VLOOKUP(G1908,[1]OPERADORES!$A:$B,2,0)</f>
        <v xml:space="preserve">POLIANA LORRANE DE AMORIM </v>
      </c>
      <c r="I1908" t="s">
        <v>21</v>
      </c>
      <c r="J1908" t="s">
        <v>265</v>
      </c>
      <c r="K1908" t="s">
        <v>266</v>
      </c>
      <c r="L1908">
        <v>20021</v>
      </c>
      <c r="M1908" t="s">
        <v>276</v>
      </c>
      <c r="O1908" t="s">
        <v>11</v>
      </c>
      <c r="P1908">
        <v>5102</v>
      </c>
      <c r="Q1908">
        <v>20</v>
      </c>
      <c r="R1908">
        <v>3.43</v>
      </c>
      <c r="S1908">
        <v>68.599999999999994</v>
      </c>
      <c r="T1908">
        <v>52</v>
      </c>
      <c r="U1908">
        <v>24.2</v>
      </c>
      <c r="V1908" t="str">
        <f>VLOOKUP(L1908,'[2]tabela de preços'!$A:$D,4,0)</f>
        <v>3M</v>
      </c>
      <c r="W1908" t="str">
        <f>VLOOKUP(L1908,'[2]tabela de preços'!$A:$F,6,0)</f>
        <v>LIXA DÁGUA</v>
      </c>
      <c r="X1908" t="str">
        <f>VLOOKUP(L1908,'[2]tabela de preços'!$A:$G,7,0)</f>
        <v>AUTOMOTIVO</v>
      </c>
    </row>
    <row r="1909" spans="1:24" x14ac:dyDescent="0.3">
      <c r="A1909" t="s">
        <v>262</v>
      </c>
      <c r="C1909" t="s">
        <v>274</v>
      </c>
      <c r="D1909" s="1">
        <v>46048</v>
      </c>
      <c r="E1909" t="s">
        <v>275</v>
      </c>
      <c r="F1909">
        <v>9</v>
      </c>
      <c r="G1909">
        <v>197</v>
      </c>
      <c r="H1909" t="str">
        <f>VLOOKUP(G1909,[1]OPERADORES!$A:$B,2,0)</f>
        <v xml:space="preserve">POLIANA LORRANE DE AMORIM </v>
      </c>
      <c r="I1909" t="s">
        <v>21</v>
      </c>
      <c r="J1909" t="s">
        <v>265</v>
      </c>
      <c r="K1909" t="s">
        <v>266</v>
      </c>
      <c r="L1909">
        <v>10238</v>
      </c>
      <c r="M1909" t="s">
        <v>79</v>
      </c>
      <c r="O1909" t="s">
        <v>11</v>
      </c>
      <c r="P1909">
        <v>5102</v>
      </c>
      <c r="Q1909">
        <v>60</v>
      </c>
      <c r="R1909">
        <v>2.79</v>
      </c>
      <c r="S1909">
        <v>167.4</v>
      </c>
      <c r="T1909">
        <v>134.4</v>
      </c>
      <c r="U1909">
        <v>19.71</v>
      </c>
      <c r="V1909" t="str">
        <f>VLOOKUP(L1909,'[2]tabela de preços'!$A:$D,4,0)</f>
        <v>NORTON</v>
      </c>
      <c r="W1909" t="str">
        <f>VLOOKUP(L1909,'[2]tabela de preços'!$A:$F,6,0)</f>
        <v xml:space="preserve">DISCOS / LIXAS / ABRASIVOS </v>
      </c>
      <c r="X1909" t="str">
        <f>VLOOKUP(L1909,'[2]tabela de preços'!$A:$G,7,0)</f>
        <v>AUTOMOTIVO</v>
      </c>
    </row>
    <row r="1910" spans="1:24" x14ac:dyDescent="0.3">
      <c r="A1910" t="s">
        <v>262</v>
      </c>
      <c r="C1910" t="s">
        <v>274</v>
      </c>
      <c r="D1910" s="1">
        <v>46048</v>
      </c>
      <c r="E1910" t="s">
        <v>275</v>
      </c>
      <c r="F1910">
        <v>9</v>
      </c>
      <c r="G1910">
        <v>197</v>
      </c>
      <c r="H1910" t="str">
        <f>VLOOKUP(G1910,[1]OPERADORES!$A:$B,2,0)</f>
        <v xml:space="preserve">POLIANA LORRANE DE AMORIM </v>
      </c>
      <c r="I1910" t="s">
        <v>21</v>
      </c>
      <c r="J1910" t="s">
        <v>265</v>
      </c>
      <c r="K1910" t="s">
        <v>266</v>
      </c>
      <c r="L1910">
        <v>10240</v>
      </c>
      <c r="M1910" t="s">
        <v>81</v>
      </c>
      <c r="O1910" t="s">
        <v>11</v>
      </c>
      <c r="P1910">
        <v>5102</v>
      </c>
      <c r="Q1910">
        <v>20</v>
      </c>
      <c r="R1910">
        <v>2.79</v>
      </c>
      <c r="S1910">
        <v>55.8</v>
      </c>
      <c r="T1910">
        <v>44.8</v>
      </c>
      <c r="U1910">
        <v>19.71</v>
      </c>
      <c r="V1910" t="str">
        <f>VLOOKUP(L1910,'[2]tabela de preços'!$A:$D,4,0)</f>
        <v>NORTON</v>
      </c>
      <c r="W1910" t="str">
        <f>VLOOKUP(L1910,'[2]tabela de preços'!$A:$F,6,0)</f>
        <v xml:space="preserve">DISCOS / LIXAS / ABRASIVOS </v>
      </c>
      <c r="X1910" t="str">
        <f>VLOOKUP(L1910,'[2]tabela de preços'!$A:$G,7,0)</f>
        <v>AUTOMOTIVO</v>
      </c>
    </row>
    <row r="1911" spans="1:24" x14ac:dyDescent="0.3">
      <c r="A1911" t="s">
        <v>262</v>
      </c>
      <c r="C1911" t="s">
        <v>274</v>
      </c>
      <c r="D1911" s="1">
        <v>46048</v>
      </c>
      <c r="E1911" t="s">
        <v>275</v>
      </c>
      <c r="F1911">
        <v>9</v>
      </c>
      <c r="G1911">
        <v>197</v>
      </c>
      <c r="H1911" t="str">
        <f>VLOOKUP(G1911,[1]OPERADORES!$A:$B,2,0)</f>
        <v xml:space="preserve">POLIANA LORRANE DE AMORIM </v>
      </c>
      <c r="I1911" t="s">
        <v>21</v>
      </c>
      <c r="J1911" t="s">
        <v>265</v>
      </c>
      <c r="K1911" t="s">
        <v>266</v>
      </c>
      <c r="L1911">
        <v>10243</v>
      </c>
      <c r="M1911" t="s">
        <v>83</v>
      </c>
      <c r="O1911" t="s">
        <v>11</v>
      </c>
      <c r="P1911">
        <v>5102</v>
      </c>
      <c r="Q1911">
        <v>60</v>
      </c>
      <c r="R1911">
        <v>2.79</v>
      </c>
      <c r="S1911">
        <v>167.4</v>
      </c>
      <c r="T1911">
        <v>115.8</v>
      </c>
      <c r="U1911">
        <v>30.82</v>
      </c>
      <c r="V1911" t="str">
        <f>VLOOKUP(L1911,'[2]tabela de preços'!$A:$D,4,0)</f>
        <v>NORTON</v>
      </c>
      <c r="W1911" t="str">
        <f>VLOOKUP(L1911,'[2]tabela de preços'!$A:$F,6,0)</f>
        <v xml:space="preserve">DISCOS / LIXAS / ABRASIVOS </v>
      </c>
      <c r="X1911" t="str">
        <f>VLOOKUP(L1911,'[2]tabela de preços'!$A:$G,7,0)</f>
        <v>AUTOMOTIVO</v>
      </c>
    </row>
    <row r="1912" spans="1:24" x14ac:dyDescent="0.3">
      <c r="A1912" t="s">
        <v>262</v>
      </c>
      <c r="C1912" t="s">
        <v>274</v>
      </c>
      <c r="D1912" s="1">
        <v>46048</v>
      </c>
      <c r="E1912" t="s">
        <v>275</v>
      </c>
      <c r="F1912">
        <v>9</v>
      </c>
      <c r="G1912">
        <v>197</v>
      </c>
      <c r="H1912" t="str">
        <f>VLOOKUP(G1912,[1]OPERADORES!$A:$B,2,0)</f>
        <v xml:space="preserve">POLIANA LORRANE DE AMORIM </v>
      </c>
      <c r="I1912" t="s">
        <v>21</v>
      </c>
      <c r="J1912" t="s">
        <v>265</v>
      </c>
      <c r="K1912" t="s">
        <v>266</v>
      </c>
      <c r="L1912">
        <v>10245</v>
      </c>
      <c r="M1912" t="s">
        <v>195</v>
      </c>
      <c r="O1912" t="s">
        <v>11</v>
      </c>
      <c r="P1912">
        <v>5102</v>
      </c>
      <c r="Q1912">
        <v>20</v>
      </c>
      <c r="R1912">
        <v>2.79</v>
      </c>
      <c r="S1912">
        <v>55.8</v>
      </c>
      <c r="T1912">
        <v>38.6</v>
      </c>
      <c r="U1912">
        <v>30.82</v>
      </c>
      <c r="V1912" t="str">
        <f>VLOOKUP(L1912,'[2]tabela de preços'!$A:$D,4,0)</f>
        <v>NORTON</v>
      </c>
      <c r="W1912" t="str">
        <f>VLOOKUP(L1912,'[2]tabela de preços'!$A:$F,6,0)</f>
        <v xml:space="preserve">DISCOS / LIXAS / ABRASIVOS </v>
      </c>
      <c r="X1912" t="str">
        <f>VLOOKUP(L1912,'[2]tabela de preços'!$A:$G,7,0)</f>
        <v>AUTOMOTIVO</v>
      </c>
    </row>
    <row r="1913" spans="1:24" x14ac:dyDescent="0.3">
      <c r="A1913" t="s">
        <v>262</v>
      </c>
      <c r="C1913" t="s">
        <v>274</v>
      </c>
      <c r="D1913" s="1">
        <v>46048</v>
      </c>
      <c r="E1913" t="s">
        <v>275</v>
      </c>
      <c r="F1913">
        <v>9</v>
      </c>
      <c r="G1913">
        <v>197</v>
      </c>
      <c r="H1913" t="str">
        <f>VLOOKUP(G1913,[1]OPERADORES!$A:$B,2,0)</f>
        <v xml:space="preserve">POLIANA LORRANE DE AMORIM </v>
      </c>
      <c r="I1913" t="s">
        <v>21</v>
      </c>
      <c r="J1913" t="s">
        <v>265</v>
      </c>
      <c r="K1913" t="s">
        <v>266</v>
      </c>
      <c r="L1913">
        <v>84695</v>
      </c>
      <c r="M1913" t="s">
        <v>277</v>
      </c>
      <c r="O1913" t="s">
        <v>11</v>
      </c>
      <c r="P1913">
        <v>5102</v>
      </c>
      <c r="Q1913">
        <v>3</v>
      </c>
      <c r="R1913">
        <v>5.54</v>
      </c>
      <c r="S1913">
        <v>16.62</v>
      </c>
      <c r="T1913">
        <v>12.18</v>
      </c>
      <c r="U1913">
        <v>26.71</v>
      </c>
      <c r="V1913" t="str">
        <f>VLOOKUP(L1913,'[2]tabela de preços'!$A:$D,4,0)</f>
        <v>BRASILUX</v>
      </c>
      <c r="W1913" t="str">
        <f>VLOOKUP(L1913,'[2]tabela de preços'!$A:$F,6,0)</f>
        <v>LINHA MOVELEIRA</v>
      </c>
      <c r="X1913" t="str">
        <f>VLOOKUP(L1913,'[2]tabela de preços'!$A:$G,7,0)</f>
        <v>MOVELEIRA</v>
      </c>
    </row>
    <row r="1914" spans="1:24" x14ac:dyDescent="0.3">
      <c r="A1914" t="s">
        <v>262</v>
      </c>
      <c r="C1914" t="s">
        <v>274</v>
      </c>
      <c r="D1914" s="1">
        <v>46048</v>
      </c>
      <c r="E1914" t="s">
        <v>275</v>
      </c>
      <c r="F1914">
        <v>9</v>
      </c>
      <c r="G1914">
        <v>197</v>
      </c>
      <c r="H1914" t="str">
        <f>VLOOKUP(G1914,[1]OPERADORES!$A:$B,2,0)</f>
        <v xml:space="preserve">POLIANA LORRANE DE AMORIM </v>
      </c>
      <c r="I1914" t="s">
        <v>21</v>
      </c>
      <c r="J1914" t="s">
        <v>265</v>
      </c>
      <c r="K1914" t="s">
        <v>266</v>
      </c>
      <c r="L1914">
        <v>24247</v>
      </c>
      <c r="M1914" t="s">
        <v>160</v>
      </c>
      <c r="O1914" t="s">
        <v>11</v>
      </c>
      <c r="P1914">
        <v>5403</v>
      </c>
      <c r="Q1914">
        <v>10</v>
      </c>
      <c r="R1914">
        <v>21</v>
      </c>
      <c r="S1914">
        <v>210</v>
      </c>
      <c r="T1914">
        <v>168.7</v>
      </c>
      <c r="U1914">
        <v>19.670000000000002</v>
      </c>
      <c r="V1914" t="str">
        <f>VLOOKUP(L1914,'[2]tabela de preços'!$A:$D,4,0)</f>
        <v>SHERWIN WILLIAMS</v>
      </c>
      <c r="W1914" t="str">
        <f>VLOOKUP(L1914,'[2]tabela de preços'!$A:$F,6,0)</f>
        <v>PRIMER AUTOMOTIVO</v>
      </c>
      <c r="X1914" t="str">
        <f>VLOOKUP(L1914,'[2]tabela de preços'!$A:$G,7,0)</f>
        <v>AUTOMOTIVO</v>
      </c>
    </row>
    <row r="1915" spans="1:24" x14ac:dyDescent="0.3">
      <c r="A1915" t="s">
        <v>262</v>
      </c>
      <c r="C1915" t="s">
        <v>274</v>
      </c>
      <c r="D1915" s="1">
        <v>46048</v>
      </c>
      <c r="E1915" t="s">
        <v>275</v>
      </c>
      <c r="F1915">
        <v>9</v>
      </c>
      <c r="G1915">
        <v>197</v>
      </c>
      <c r="H1915" t="str">
        <f>VLOOKUP(G1915,[1]OPERADORES!$A:$B,2,0)</f>
        <v xml:space="preserve">POLIANA LORRANE DE AMORIM </v>
      </c>
      <c r="I1915" t="s">
        <v>21</v>
      </c>
      <c r="J1915" t="s">
        <v>265</v>
      </c>
      <c r="K1915" t="s">
        <v>266</v>
      </c>
      <c r="L1915">
        <v>85164</v>
      </c>
      <c r="M1915" t="s">
        <v>278</v>
      </c>
      <c r="O1915" t="s">
        <v>11</v>
      </c>
      <c r="P1915">
        <v>5102</v>
      </c>
      <c r="Q1915">
        <v>12</v>
      </c>
      <c r="R1915">
        <v>13.29</v>
      </c>
      <c r="S1915">
        <v>159.47999999999999</v>
      </c>
      <c r="T1915">
        <v>121.08</v>
      </c>
      <c r="U1915">
        <v>24.08</v>
      </c>
      <c r="V1915" t="str">
        <f>VLOOKUP(L1915,'[2]tabela de preços'!$A:$D,4,0)</f>
        <v>BRASILUX</v>
      </c>
      <c r="W1915" t="str">
        <f>VLOOKUP(L1915,'[2]tabela de preços'!$A:$F,6,0)</f>
        <v>QUEROSENE</v>
      </c>
      <c r="X1915" t="str">
        <f>VLOOKUP(L1915,'[2]tabela de preços'!$A:$G,7,0)</f>
        <v>AUTOMOTIVO</v>
      </c>
    </row>
    <row r="1916" spans="1:24" x14ac:dyDescent="0.3">
      <c r="A1916" t="s">
        <v>262</v>
      </c>
      <c r="C1916" t="s">
        <v>274</v>
      </c>
      <c r="D1916" s="1">
        <v>46048</v>
      </c>
      <c r="E1916" t="s">
        <v>275</v>
      </c>
      <c r="F1916">
        <v>9</v>
      </c>
      <c r="G1916">
        <v>197</v>
      </c>
      <c r="H1916" t="str">
        <f>VLOOKUP(G1916,[1]OPERADORES!$A:$B,2,0)</f>
        <v xml:space="preserve">POLIANA LORRANE DE AMORIM </v>
      </c>
      <c r="I1916" t="s">
        <v>21</v>
      </c>
      <c r="J1916" t="s">
        <v>265</v>
      </c>
      <c r="K1916" t="s">
        <v>266</v>
      </c>
      <c r="L1916">
        <v>10297</v>
      </c>
      <c r="M1916" t="s">
        <v>41</v>
      </c>
      <c r="O1916" t="s">
        <v>11</v>
      </c>
      <c r="P1916">
        <v>5102</v>
      </c>
      <c r="Q1916">
        <v>36</v>
      </c>
      <c r="R1916">
        <v>10.49</v>
      </c>
      <c r="S1916">
        <v>377.64</v>
      </c>
      <c r="T1916">
        <v>330.12</v>
      </c>
      <c r="U1916">
        <v>12.58</v>
      </c>
      <c r="V1916" t="str">
        <f>VLOOKUP(L1916,'[2]tabela de preços'!$A:$D,4,0)</f>
        <v>ANJO</v>
      </c>
      <c r="W1916" t="str">
        <f>VLOOKUP(L1916,'[2]tabela de preços'!$A:$F,6,0)</f>
        <v>THINNER DE LIMPEZA</v>
      </c>
      <c r="X1916" t="str">
        <f>VLOOKUP(L1916,'[2]tabela de preços'!$A:$G,7,0)</f>
        <v>THINNER</v>
      </c>
    </row>
    <row r="1917" spans="1:24" x14ac:dyDescent="0.3">
      <c r="A1917" t="s">
        <v>528</v>
      </c>
      <c r="C1917" t="s">
        <v>539</v>
      </c>
      <c r="D1917" s="1">
        <v>46048</v>
      </c>
      <c r="E1917" t="s">
        <v>540</v>
      </c>
      <c r="F1917">
        <v>9</v>
      </c>
      <c r="G1917">
        <v>231</v>
      </c>
      <c r="H1917" t="str">
        <f>VLOOKUP(G1917,[1]OPERADORES!$A:$B,2,0)</f>
        <v>EDIJANE</v>
      </c>
      <c r="I1917" t="s">
        <v>21</v>
      </c>
      <c r="J1917" t="s">
        <v>531</v>
      </c>
      <c r="K1917" t="s">
        <v>532</v>
      </c>
      <c r="L1917">
        <v>84498</v>
      </c>
      <c r="M1917" t="s">
        <v>533</v>
      </c>
      <c r="O1917" t="s">
        <v>11</v>
      </c>
      <c r="P1917">
        <v>5403</v>
      </c>
      <c r="Q1917">
        <v>3</v>
      </c>
      <c r="R1917">
        <v>412.35</v>
      </c>
      <c r="S1917" s="2">
        <v>1237.05</v>
      </c>
      <c r="T1917">
        <v>938.94</v>
      </c>
      <c r="U1917">
        <v>24.1</v>
      </c>
      <c r="V1917" t="str">
        <f>VLOOKUP(L1917,'[2]tabela de preços'!$A:$D,4,0)</f>
        <v>BRASILUX</v>
      </c>
      <c r="W1917" t="str">
        <f>VLOOKUP(L1917,'[2]tabela de preços'!$A:$F,6,0)</f>
        <v>ESMALTES</v>
      </c>
      <c r="X1917" t="str">
        <f>VLOOKUP(L1917,'[2]tabela de preços'!$A:$G,7,0)</f>
        <v>INDUSTRIAL</v>
      </c>
    </row>
    <row r="1918" spans="1:24" x14ac:dyDescent="0.3">
      <c r="A1918" t="s">
        <v>528</v>
      </c>
      <c r="C1918" t="s">
        <v>539</v>
      </c>
      <c r="D1918" s="1">
        <v>46048</v>
      </c>
      <c r="E1918" t="s">
        <v>540</v>
      </c>
      <c r="F1918">
        <v>9</v>
      </c>
      <c r="G1918">
        <v>231</v>
      </c>
      <c r="H1918" t="str">
        <f>VLOOKUP(G1918,[1]OPERADORES!$A:$B,2,0)</f>
        <v>EDIJANE</v>
      </c>
      <c r="I1918" t="s">
        <v>21</v>
      </c>
      <c r="J1918" t="s">
        <v>531</v>
      </c>
      <c r="K1918" t="s">
        <v>532</v>
      </c>
      <c r="L1918">
        <v>84499</v>
      </c>
      <c r="M1918" t="s">
        <v>534</v>
      </c>
      <c r="O1918" t="s">
        <v>11</v>
      </c>
      <c r="P1918">
        <v>5102</v>
      </c>
      <c r="Q1918">
        <v>3</v>
      </c>
      <c r="R1918">
        <v>176.61</v>
      </c>
      <c r="S1918">
        <v>529.83000000000004</v>
      </c>
      <c r="T1918">
        <v>402.15</v>
      </c>
      <c r="U1918">
        <v>24.1</v>
      </c>
      <c r="V1918" t="str">
        <f>VLOOKUP(L1918,'[2]tabela de preços'!$A:$D,4,0)</f>
        <v>BRASILUX</v>
      </c>
      <c r="W1918" t="str">
        <f>VLOOKUP(L1918,'[2]tabela de preços'!$A:$F,6,0)</f>
        <v>THINNER DE LIMPEZA</v>
      </c>
      <c r="X1918" t="str">
        <f>VLOOKUP(L1918,'[2]tabela de preços'!$A:$G,7,0)</f>
        <v>THINNER</v>
      </c>
    </row>
    <row r="1919" spans="1:24" x14ac:dyDescent="0.3">
      <c r="A1919" t="s">
        <v>626</v>
      </c>
      <c r="B1919" t="s">
        <v>627</v>
      </c>
      <c r="C1919" t="s">
        <v>679</v>
      </c>
      <c r="D1919" s="1">
        <v>46048</v>
      </c>
      <c r="F1919">
        <v>9</v>
      </c>
      <c r="G1919">
        <v>174</v>
      </c>
      <c r="H1919" t="str">
        <f>VLOOKUP(G1919,[1]OPERADORES!$A:$B,2,0)</f>
        <v>MIRIÃ LOBATO RODRIGUES</v>
      </c>
      <c r="I1919" t="s">
        <v>21</v>
      </c>
      <c r="J1919" t="s">
        <v>630</v>
      </c>
      <c r="K1919" t="s">
        <v>631</v>
      </c>
      <c r="L1919">
        <v>85559</v>
      </c>
      <c r="M1919" t="s">
        <v>680</v>
      </c>
      <c r="N1919" t="s">
        <v>681</v>
      </c>
      <c r="O1919" t="s">
        <v>11</v>
      </c>
      <c r="P1919">
        <v>1202</v>
      </c>
      <c r="Q1919">
        <v>-7</v>
      </c>
      <c r="R1919">
        <v>6.88</v>
      </c>
      <c r="S1919">
        <v>-48.16</v>
      </c>
      <c r="T1919">
        <v>-31.08</v>
      </c>
      <c r="U1919">
        <v>35.47</v>
      </c>
      <c r="V1919" t="str">
        <f>VLOOKUP(L1919,'[2]tabela de preços'!$A:$D,4,0)</f>
        <v>NORTON</v>
      </c>
      <c r="W1919" t="str">
        <f>VLOOKUP(L1919,'[2]tabela de preços'!$A:$F,6,0)</f>
        <v xml:space="preserve">OUTROS DISCOS </v>
      </c>
      <c r="X1919" t="str">
        <f>VLOOKUP(L1919,'[2]tabela de preços'!$A:$G,7,0)</f>
        <v>AUTOMOTIVO</v>
      </c>
    </row>
    <row r="1920" spans="1:24" x14ac:dyDescent="0.3">
      <c r="A1920" t="s">
        <v>626</v>
      </c>
      <c r="B1920" t="s">
        <v>627</v>
      </c>
      <c r="C1920" t="s">
        <v>679</v>
      </c>
      <c r="D1920" s="1">
        <v>46048</v>
      </c>
      <c r="F1920">
        <v>9</v>
      </c>
      <c r="G1920">
        <v>174</v>
      </c>
      <c r="H1920" t="str">
        <f>VLOOKUP(G1920,[1]OPERADORES!$A:$B,2,0)</f>
        <v>MIRIÃ LOBATO RODRIGUES</v>
      </c>
      <c r="I1920" t="s">
        <v>21</v>
      </c>
      <c r="J1920" t="s">
        <v>630</v>
      </c>
      <c r="K1920" t="s">
        <v>631</v>
      </c>
      <c r="L1920">
        <v>85703</v>
      </c>
      <c r="M1920" t="s">
        <v>682</v>
      </c>
      <c r="N1920" t="s">
        <v>683</v>
      </c>
      <c r="O1920" t="s">
        <v>11</v>
      </c>
      <c r="P1920">
        <v>1202</v>
      </c>
      <c r="Q1920">
        <v>-1</v>
      </c>
      <c r="R1920">
        <v>14.25</v>
      </c>
      <c r="S1920">
        <v>-14.25</v>
      </c>
      <c r="T1920">
        <v>-10.81</v>
      </c>
      <c r="U1920">
        <v>24.14</v>
      </c>
      <c r="V1920" t="str">
        <f>VLOOKUP(L1920,'[2]tabela de preços'!$A:$D,4,0)</f>
        <v>NEW PAD</v>
      </c>
      <c r="W1920" t="str">
        <f>VLOOKUP(L1920,'[2]tabela de preços'!$A:$F,6,0)</f>
        <v>APLICADORES / ADAPTADORES / ENGATES / SUPORTES</v>
      </c>
      <c r="X1920" t="str">
        <f>VLOOKUP(L1920,'[2]tabela de preços'!$A:$G,7,0)</f>
        <v>AUTOMOTIVO</v>
      </c>
    </row>
    <row r="1921" spans="1:24" x14ac:dyDescent="0.3">
      <c r="A1921" t="s">
        <v>626</v>
      </c>
      <c r="B1921" t="s">
        <v>627</v>
      </c>
      <c r="C1921" t="s">
        <v>679</v>
      </c>
      <c r="D1921" s="1">
        <v>46048</v>
      </c>
      <c r="F1921">
        <v>9</v>
      </c>
      <c r="G1921">
        <v>174</v>
      </c>
      <c r="H1921" t="str">
        <f>VLOOKUP(G1921,[1]OPERADORES!$A:$B,2,0)</f>
        <v>MIRIÃ LOBATO RODRIGUES</v>
      </c>
      <c r="I1921" t="s">
        <v>21</v>
      </c>
      <c r="J1921" t="s">
        <v>630</v>
      </c>
      <c r="K1921" t="s">
        <v>631</v>
      </c>
      <c r="L1921">
        <v>20154</v>
      </c>
      <c r="M1921" t="s">
        <v>523</v>
      </c>
      <c r="N1921" t="s">
        <v>684</v>
      </c>
      <c r="O1921" t="s">
        <v>11</v>
      </c>
      <c r="P1921">
        <v>1202</v>
      </c>
      <c r="Q1921">
        <v>-1</v>
      </c>
      <c r="R1921">
        <v>15.86</v>
      </c>
      <c r="S1921">
        <v>-15.86</v>
      </c>
      <c r="T1921">
        <v>-10.23</v>
      </c>
      <c r="U1921">
        <v>35.5</v>
      </c>
      <c r="V1921" t="str">
        <f>VLOOKUP(L1921,'[2]tabela de preços'!$A:$D,4,0)</f>
        <v>PURPLEX</v>
      </c>
      <c r="W1921" t="str">
        <f>VLOOKUP(L1921,'[2]tabela de preços'!$A:$F,6,0)</f>
        <v>TACO LIXADOR</v>
      </c>
      <c r="X1921" t="str">
        <f>VLOOKUP(L1921,'[2]tabela de preços'!$A:$G,7,0)</f>
        <v>AUTOMOTIVO</v>
      </c>
    </row>
    <row r="1922" spans="1:24" x14ac:dyDescent="0.3">
      <c r="A1922" t="s">
        <v>626</v>
      </c>
      <c r="B1922" t="s">
        <v>627</v>
      </c>
      <c r="C1922" t="s">
        <v>679</v>
      </c>
      <c r="D1922" s="1">
        <v>46048</v>
      </c>
      <c r="F1922">
        <v>9</v>
      </c>
      <c r="G1922">
        <v>174</v>
      </c>
      <c r="H1922" t="str">
        <f>VLOOKUP(G1922,[1]OPERADORES!$A:$B,2,0)</f>
        <v>MIRIÃ LOBATO RODRIGUES</v>
      </c>
      <c r="I1922" t="s">
        <v>21</v>
      </c>
      <c r="J1922" t="s">
        <v>630</v>
      </c>
      <c r="K1922" t="s">
        <v>631</v>
      </c>
      <c r="L1922">
        <v>85640</v>
      </c>
      <c r="M1922" t="s">
        <v>475</v>
      </c>
      <c r="N1922" t="s">
        <v>685</v>
      </c>
      <c r="O1922" t="s">
        <v>11</v>
      </c>
      <c r="P1922">
        <v>1411</v>
      </c>
      <c r="Q1922">
        <v>-5</v>
      </c>
      <c r="R1922">
        <v>9.1199999999999992</v>
      </c>
      <c r="S1922">
        <v>-45.6</v>
      </c>
      <c r="T1922">
        <v>-34.6</v>
      </c>
      <c r="U1922">
        <v>24.12</v>
      </c>
      <c r="V1922" t="str">
        <f>VLOOKUP(L1922,'[2]tabela de preços'!$A:$D,4,0)</f>
        <v>UNIPEGA</v>
      </c>
      <c r="W1922" t="str">
        <f>VLOOKUP(L1922,'[2]tabela de preços'!$A:$F,6,0)</f>
        <v xml:space="preserve">SPRAYS </v>
      </c>
      <c r="X1922" t="str">
        <f>VLOOKUP(L1922,'[2]tabela de preços'!$A:$G,7,0)</f>
        <v>AUTOMOTIVO</v>
      </c>
    </row>
    <row r="1923" spans="1:24" x14ac:dyDescent="0.3">
      <c r="A1923" t="s">
        <v>626</v>
      </c>
      <c r="B1923" t="s">
        <v>627</v>
      </c>
      <c r="C1923" t="s">
        <v>679</v>
      </c>
      <c r="D1923" s="1">
        <v>46048</v>
      </c>
      <c r="F1923">
        <v>9</v>
      </c>
      <c r="G1923">
        <v>174</v>
      </c>
      <c r="H1923" t="str">
        <f>VLOOKUP(G1923,[1]OPERADORES!$A:$B,2,0)</f>
        <v>MIRIÃ LOBATO RODRIGUES</v>
      </c>
      <c r="I1923" t="s">
        <v>21</v>
      </c>
      <c r="J1923" t="s">
        <v>630</v>
      </c>
      <c r="K1923" t="s">
        <v>631</v>
      </c>
      <c r="L1923">
        <v>85642</v>
      </c>
      <c r="M1923" t="s">
        <v>686</v>
      </c>
      <c r="N1923" t="s">
        <v>685</v>
      </c>
      <c r="O1923" t="s">
        <v>11</v>
      </c>
      <c r="P1923">
        <v>1411</v>
      </c>
      <c r="Q1923">
        <v>-2</v>
      </c>
      <c r="R1923">
        <v>9.1199999999999992</v>
      </c>
      <c r="S1923">
        <v>-18.239999999999998</v>
      </c>
      <c r="T1923">
        <v>-13.84</v>
      </c>
      <c r="U1923">
        <v>24.12</v>
      </c>
      <c r="V1923" t="str">
        <f>VLOOKUP(L1923,'[2]tabela de preços'!$A:$D,4,0)</f>
        <v>UNIPEGA</v>
      </c>
      <c r="W1923" t="str">
        <f>VLOOKUP(L1923,'[2]tabela de preços'!$A:$F,6,0)</f>
        <v xml:space="preserve">SPRAYS </v>
      </c>
      <c r="X1923" t="str">
        <f>VLOOKUP(L1923,'[2]tabela de preços'!$A:$G,7,0)</f>
        <v>AUTOMOTIVO</v>
      </c>
    </row>
    <row r="1924" spans="1:24" x14ac:dyDescent="0.3">
      <c r="A1924" t="s">
        <v>626</v>
      </c>
      <c r="B1924" t="s">
        <v>627</v>
      </c>
      <c r="C1924" t="s">
        <v>679</v>
      </c>
      <c r="D1924" s="1">
        <v>46048</v>
      </c>
      <c r="F1924">
        <v>9</v>
      </c>
      <c r="G1924">
        <v>174</v>
      </c>
      <c r="H1924" t="str">
        <f>VLOOKUP(G1924,[1]OPERADORES!$A:$B,2,0)</f>
        <v>MIRIÃ LOBATO RODRIGUES</v>
      </c>
      <c r="I1924" t="s">
        <v>21</v>
      </c>
      <c r="J1924" t="s">
        <v>630</v>
      </c>
      <c r="K1924" t="s">
        <v>631</v>
      </c>
      <c r="L1924">
        <v>85641</v>
      </c>
      <c r="M1924" t="s">
        <v>687</v>
      </c>
      <c r="N1924" t="s">
        <v>688</v>
      </c>
      <c r="O1924" t="s">
        <v>11</v>
      </c>
      <c r="P1924">
        <v>1411</v>
      </c>
      <c r="Q1924">
        <v>-1</v>
      </c>
      <c r="R1924">
        <v>9.1199999999999992</v>
      </c>
      <c r="S1924">
        <v>-9.1199999999999992</v>
      </c>
      <c r="T1924">
        <v>-6.92</v>
      </c>
      <c r="U1924">
        <v>24.12</v>
      </c>
      <c r="V1924" t="str">
        <f>VLOOKUP(L1924,'[2]tabela de preços'!$A:$D,4,0)</f>
        <v>UNIPEGA</v>
      </c>
      <c r="W1924" t="str">
        <f>VLOOKUP(L1924,'[2]tabela de preços'!$A:$F,6,0)</f>
        <v xml:space="preserve">SPRAYS </v>
      </c>
      <c r="X1924" t="str">
        <f>VLOOKUP(L1924,'[2]tabela de preços'!$A:$G,7,0)</f>
        <v>AUTOMOTIVO</v>
      </c>
    </row>
    <row r="1925" spans="1:24" x14ac:dyDescent="0.3">
      <c r="A1925" t="s">
        <v>626</v>
      </c>
      <c r="B1925" t="s">
        <v>627</v>
      </c>
      <c r="C1925" t="s">
        <v>679</v>
      </c>
      <c r="D1925" s="1">
        <v>46048</v>
      </c>
      <c r="F1925">
        <v>9</v>
      </c>
      <c r="G1925">
        <v>174</v>
      </c>
      <c r="H1925" t="str">
        <f>VLOOKUP(G1925,[1]OPERADORES!$A:$B,2,0)</f>
        <v>MIRIÃ LOBATO RODRIGUES</v>
      </c>
      <c r="I1925" t="s">
        <v>21</v>
      </c>
      <c r="J1925" t="s">
        <v>630</v>
      </c>
      <c r="K1925" t="s">
        <v>631</v>
      </c>
      <c r="L1925">
        <v>85644</v>
      </c>
      <c r="M1925" t="s">
        <v>689</v>
      </c>
      <c r="N1925" t="s">
        <v>688</v>
      </c>
      <c r="O1925" t="s">
        <v>11</v>
      </c>
      <c r="P1925">
        <v>1411</v>
      </c>
      <c r="Q1925">
        <v>-2</v>
      </c>
      <c r="R1925">
        <v>8.84</v>
      </c>
      <c r="S1925">
        <v>-17.68</v>
      </c>
      <c r="T1925">
        <v>-13.42</v>
      </c>
      <c r="U1925">
        <v>24.1</v>
      </c>
      <c r="V1925" t="str">
        <f>VLOOKUP(L1925,'[2]tabela de preços'!$A:$D,4,0)</f>
        <v>UNIPEGA</v>
      </c>
      <c r="W1925" t="str">
        <f>VLOOKUP(L1925,'[2]tabela de preços'!$A:$F,6,0)</f>
        <v xml:space="preserve">SPRAYS </v>
      </c>
      <c r="X1925" t="str">
        <f>VLOOKUP(L1925,'[2]tabela de preços'!$A:$G,7,0)</f>
        <v>AUTOMOTIVO</v>
      </c>
    </row>
    <row r="1926" spans="1:24" x14ac:dyDescent="0.3">
      <c r="A1926" t="s">
        <v>626</v>
      </c>
      <c r="B1926" t="s">
        <v>627</v>
      </c>
      <c r="C1926" t="s">
        <v>690</v>
      </c>
      <c r="D1926" s="1">
        <v>46048</v>
      </c>
      <c r="E1926" t="s">
        <v>691</v>
      </c>
      <c r="F1926">
        <v>9</v>
      </c>
      <c r="G1926">
        <v>174</v>
      </c>
      <c r="H1926" t="str">
        <f>VLOOKUP(G1926,[1]OPERADORES!$A:$B,2,0)</f>
        <v>MIRIÃ LOBATO RODRIGUES</v>
      </c>
      <c r="I1926" t="s">
        <v>21</v>
      </c>
      <c r="J1926" t="s">
        <v>630</v>
      </c>
      <c r="K1926" t="s">
        <v>631</v>
      </c>
      <c r="L1926">
        <v>85259</v>
      </c>
      <c r="M1926" t="s">
        <v>692</v>
      </c>
      <c r="O1926" t="s">
        <v>11</v>
      </c>
      <c r="P1926">
        <v>5102</v>
      </c>
      <c r="Q1926">
        <v>3</v>
      </c>
      <c r="R1926">
        <v>6.4</v>
      </c>
      <c r="S1926">
        <v>19.2</v>
      </c>
      <c r="T1926">
        <v>13.77</v>
      </c>
      <c r="U1926">
        <v>28.28</v>
      </c>
      <c r="V1926" t="str">
        <f>VLOOKUP(L1926,'[2]tabela de preços'!$A:$D,4,0)</f>
        <v>NORTON</v>
      </c>
      <c r="W1926" t="str">
        <f>VLOOKUP(L1926,'[2]tabela de preços'!$A:$F,6,0)</f>
        <v xml:space="preserve">DISCOS / LIXAS / ABRASIVOS </v>
      </c>
      <c r="X1926" t="str">
        <f>VLOOKUP(L1926,'[2]tabela de preços'!$A:$G,7,0)</f>
        <v>AUTOMOTIVO</v>
      </c>
    </row>
    <row r="1927" spans="1:24" x14ac:dyDescent="0.3">
      <c r="A1927" t="s">
        <v>626</v>
      </c>
      <c r="B1927" t="s">
        <v>627</v>
      </c>
      <c r="C1927" t="s">
        <v>690</v>
      </c>
      <c r="D1927" s="1">
        <v>46048</v>
      </c>
      <c r="E1927" t="s">
        <v>691</v>
      </c>
      <c r="F1927">
        <v>9</v>
      </c>
      <c r="G1927">
        <v>174</v>
      </c>
      <c r="H1927" t="str">
        <f>VLOOKUP(G1927,[1]OPERADORES!$A:$B,2,0)</f>
        <v>MIRIÃ LOBATO RODRIGUES</v>
      </c>
      <c r="I1927" t="s">
        <v>21</v>
      </c>
      <c r="J1927" t="s">
        <v>630</v>
      </c>
      <c r="K1927" t="s">
        <v>631</v>
      </c>
      <c r="L1927">
        <v>85649</v>
      </c>
      <c r="M1927" t="s">
        <v>478</v>
      </c>
      <c r="O1927" t="s">
        <v>11</v>
      </c>
      <c r="P1927">
        <v>5403</v>
      </c>
      <c r="Q1927">
        <v>8</v>
      </c>
      <c r="R1927">
        <v>9.1199999999999992</v>
      </c>
      <c r="S1927">
        <v>72.959999999999994</v>
      </c>
      <c r="T1927">
        <v>55.36</v>
      </c>
      <c r="U1927">
        <v>24.12</v>
      </c>
      <c r="V1927" t="str">
        <f>VLOOKUP(L1927,'[2]tabela de preços'!$A:$D,4,0)</f>
        <v>UNIPEGA</v>
      </c>
      <c r="W1927" t="str">
        <f>VLOOKUP(L1927,'[2]tabela de preços'!$A:$F,6,0)</f>
        <v xml:space="preserve">SPRAYS </v>
      </c>
      <c r="X1927" t="str">
        <f>VLOOKUP(L1927,'[2]tabela de preços'!$A:$G,7,0)</f>
        <v>AUTOMOTIVO</v>
      </c>
    </row>
    <row r="1928" spans="1:24" x14ac:dyDescent="0.3">
      <c r="A1928" t="s">
        <v>626</v>
      </c>
      <c r="B1928" t="s">
        <v>627</v>
      </c>
      <c r="C1928" t="s">
        <v>690</v>
      </c>
      <c r="D1928" s="1">
        <v>46048</v>
      </c>
      <c r="E1928" t="s">
        <v>691</v>
      </c>
      <c r="F1928">
        <v>9</v>
      </c>
      <c r="G1928">
        <v>174</v>
      </c>
      <c r="H1928" t="str">
        <f>VLOOKUP(G1928,[1]OPERADORES!$A:$B,2,0)</f>
        <v>MIRIÃ LOBATO RODRIGUES</v>
      </c>
      <c r="I1928" t="s">
        <v>21</v>
      </c>
      <c r="J1928" t="s">
        <v>630</v>
      </c>
      <c r="K1928" t="s">
        <v>631</v>
      </c>
      <c r="L1928">
        <v>85650</v>
      </c>
      <c r="M1928" t="s">
        <v>439</v>
      </c>
      <c r="O1928" t="s">
        <v>11</v>
      </c>
      <c r="P1928">
        <v>5403</v>
      </c>
      <c r="Q1928">
        <v>8</v>
      </c>
      <c r="R1928">
        <v>9.1199999999999992</v>
      </c>
      <c r="S1928">
        <v>72.959999999999994</v>
      </c>
      <c r="T1928">
        <v>55.36</v>
      </c>
      <c r="U1928">
        <v>24.12</v>
      </c>
      <c r="V1928" t="str">
        <f>VLOOKUP(L1928,'[2]tabela de preços'!$A:$D,4,0)</f>
        <v>UNIPEGA</v>
      </c>
      <c r="W1928" t="str">
        <f>VLOOKUP(L1928,'[2]tabela de preços'!$A:$F,6,0)</f>
        <v xml:space="preserve">SPRAYS </v>
      </c>
      <c r="X1928" t="str">
        <f>VLOOKUP(L1928,'[2]tabela de preços'!$A:$G,7,0)</f>
        <v>AUTOMOTIVO</v>
      </c>
    </row>
    <row r="1929" spans="1:24" x14ac:dyDescent="0.3">
      <c r="A1929" t="s">
        <v>770</v>
      </c>
      <c r="C1929" t="s">
        <v>801</v>
      </c>
      <c r="D1929" s="1">
        <v>46048</v>
      </c>
      <c r="E1929" t="s">
        <v>802</v>
      </c>
      <c r="F1929">
        <v>9</v>
      </c>
      <c r="G1929">
        <v>230</v>
      </c>
      <c r="H1929" t="str">
        <f>VLOOKUP(G1929,[1]OPERADORES!$A:$B,2,0)</f>
        <v>SÔNIA</v>
      </c>
      <c r="I1929" t="s">
        <v>21</v>
      </c>
      <c r="J1929" t="s">
        <v>397</v>
      </c>
      <c r="K1929" t="s">
        <v>773</v>
      </c>
      <c r="L1929">
        <v>84108</v>
      </c>
      <c r="M1929" t="s">
        <v>144</v>
      </c>
      <c r="O1929" t="s">
        <v>11</v>
      </c>
      <c r="P1929">
        <v>5403</v>
      </c>
      <c r="Q1929">
        <v>1</v>
      </c>
      <c r="R1929">
        <v>27.29</v>
      </c>
      <c r="S1929">
        <v>27.29</v>
      </c>
      <c r="T1929">
        <v>20.71</v>
      </c>
      <c r="U1929">
        <v>24.11</v>
      </c>
      <c r="V1929" t="str">
        <f>VLOOKUP(L1929,'[2]tabela de preços'!$A:$D,4,0)</f>
        <v>BRASILUX</v>
      </c>
      <c r="W1929" t="str">
        <f>VLOOKUP(L1929,'[2]tabela de preços'!$A:$F,6,0)</f>
        <v>TINTAS LACA</v>
      </c>
      <c r="X1929" t="str">
        <f>VLOOKUP(L1929,'[2]tabela de preços'!$A:$G,7,0)</f>
        <v>AUTOMOTIVO</v>
      </c>
    </row>
    <row r="1930" spans="1:24" x14ac:dyDescent="0.3">
      <c r="A1930" t="s">
        <v>770</v>
      </c>
      <c r="C1930" t="s">
        <v>801</v>
      </c>
      <c r="D1930" s="1">
        <v>46048</v>
      </c>
      <c r="E1930" t="s">
        <v>802</v>
      </c>
      <c r="F1930">
        <v>9</v>
      </c>
      <c r="G1930">
        <v>230</v>
      </c>
      <c r="H1930" t="str">
        <f>VLOOKUP(G1930,[1]OPERADORES!$A:$B,2,0)</f>
        <v>SÔNIA</v>
      </c>
      <c r="I1930" t="s">
        <v>21</v>
      </c>
      <c r="J1930" t="s">
        <v>397</v>
      </c>
      <c r="K1930" t="s">
        <v>773</v>
      </c>
      <c r="L1930">
        <v>23406</v>
      </c>
      <c r="M1930" t="s">
        <v>803</v>
      </c>
      <c r="O1930" t="s">
        <v>11</v>
      </c>
      <c r="P1930">
        <v>5102</v>
      </c>
      <c r="Q1930">
        <v>5</v>
      </c>
      <c r="R1930">
        <v>13.8</v>
      </c>
      <c r="S1930">
        <v>69</v>
      </c>
      <c r="T1930">
        <v>52.35</v>
      </c>
      <c r="U1930">
        <v>24.13</v>
      </c>
      <c r="V1930" t="str">
        <f>VLOOKUP(L1930,'[2]tabela de preços'!$A:$D,4,0)</f>
        <v>NORTON</v>
      </c>
      <c r="W1930" t="str">
        <f>VLOOKUP(L1930,'[2]tabela de preços'!$A:$F,6,0)</f>
        <v xml:space="preserve">OUTROS DISCOS </v>
      </c>
      <c r="X1930" t="str">
        <f>VLOOKUP(L1930,'[2]tabela de preços'!$A:$G,7,0)</f>
        <v>AUTOMOTIVO</v>
      </c>
    </row>
    <row r="1931" spans="1:24" x14ac:dyDescent="0.3">
      <c r="A1931" t="s">
        <v>770</v>
      </c>
      <c r="C1931" t="s">
        <v>801</v>
      </c>
      <c r="D1931" s="1">
        <v>46048</v>
      </c>
      <c r="E1931" t="s">
        <v>802</v>
      </c>
      <c r="F1931">
        <v>9</v>
      </c>
      <c r="G1931">
        <v>230</v>
      </c>
      <c r="H1931" t="str">
        <f>VLOOKUP(G1931,[1]OPERADORES!$A:$B,2,0)</f>
        <v>SÔNIA</v>
      </c>
      <c r="I1931" t="s">
        <v>21</v>
      </c>
      <c r="J1931" t="s">
        <v>397</v>
      </c>
      <c r="K1931" t="s">
        <v>773</v>
      </c>
      <c r="L1931">
        <v>22173</v>
      </c>
      <c r="M1931" t="s">
        <v>194</v>
      </c>
      <c r="O1931" t="s">
        <v>11</v>
      </c>
      <c r="P1931">
        <v>5102</v>
      </c>
      <c r="Q1931">
        <v>10</v>
      </c>
      <c r="R1931">
        <v>4.58</v>
      </c>
      <c r="S1931">
        <v>45.8</v>
      </c>
      <c r="T1931">
        <v>34.799999999999997</v>
      </c>
      <c r="U1931">
        <v>24.02</v>
      </c>
      <c r="V1931" t="str">
        <f>VLOOKUP(L1931,'[2]tabela de preços'!$A:$D,4,0)</f>
        <v>3M</v>
      </c>
      <c r="W1931" t="str">
        <f>VLOOKUP(L1931,'[2]tabela de preços'!$A:$F,6,0)</f>
        <v>FITA AUTOMOTIVA</v>
      </c>
      <c r="X1931" t="str">
        <f>VLOOKUP(L1931,'[2]tabela de preços'!$A:$G,7,0)</f>
        <v>AUTOMOTIVO</v>
      </c>
    </row>
    <row r="1932" spans="1:24" x14ac:dyDescent="0.3">
      <c r="A1932" t="s">
        <v>770</v>
      </c>
      <c r="C1932" t="s">
        <v>801</v>
      </c>
      <c r="D1932" s="1">
        <v>46048</v>
      </c>
      <c r="E1932" t="s">
        <v>802</v>
      </c>
      <c r="F1932">
        <v>9</v>
      </c>
      <c r="G1932">
        <v>230</v>
      </c>
      <c r="H1932" t="str">
        <f>VLOOKUP(G1932,[1]OPERADORES!$A:$B,2,0)</f>
        <v>SÔNIA</v>
      </c>
      <c r="I1932" t="s">
        <v>21</v>
      </c>
      <c r="J1932" t="s">
        <v>397</v>
      </c>
      <c r="K1932" t="s">
        <v>773</v>
      </c>
      <c r="L1932">
        <v>22188</v>
      </c>
      <c r="M1932" t="s">
        <v>78</v>
      </c>
      <c r="O1932" t="s">
        <v>11</v>
      </c>
      <c r="P1932">
        <v>5102</v>
      </c>
      <c r="Q1932">
        <v>1</v>
      </c>
      <c r="R1932">
        <v>14.35</v>
      </c>
      <c r="S1932">
        <v>14.35</v>
      </c>
      <c r="T1932">
        <v>10.89</v>
      </c>
      <c r="U1932">
        <v>24.11</v>
      </c>
      <c r="V1932" t="str">
        <f>VLOOKUP(L1932,'[2]tabela de preços'!$A:$D,4,0)</f>
        <v>3M</v>
      </c>
      <c r="W1932" t="str">
        <f>VLOOKUP(L1932,'[2]tabela de preços'!$A:$F,6,0)</f>
        <v>FITA AUTOMOTIVA</v>
      </c>
      <c r="X1932" t="str">
        <f>VLOOKUP(L1932,'[2]tabela de preços'!$A:$G,7,0)</f>
        <v>AUTOMOTIVO</v>
      </c>
    </row>
    <row r="1933" spans="1:24" x14ac:dyDescent="0.3">
      <c r="A1933" t="s">
        <v>770</v>
      </c>
      <c r="C1933" t="s">
        <v>801</v>
      </c>
      <c r="D1933" s="1">
        <v>46048</v>
      </c>
      <c r="E1933" t="s">
        <v>802</v>
      </c>
      <c r="F1933">
        <v>9</v>
      </c>
      <c r="G1933">
        <v>230</v>
      </c>
      <c r="H1933" t="str">
        <f>VLOOKUP(G1933,[1]OPERADORES!$A:$B,2,0)</f>
        <v>SÔNIA</v>
      </c>
      <c r="I1933" t="s">
        <v>21</v>
      </c>
      <c r="J1933" t="s">
        <v>397</v>
      </c>
      <c r="K1933" t="s">
        <v>773</v>
      </c>
      <c r="L1933">
        <v>10298</v>
      </c>
      <c r="M1933" t="s">
        <v>85</v>
      </c>
      <c r="O1933" t="s">
        <v>11</v>
      </c>
      <c r="P1933">
        <v>5102</v>
      </c>
      <c r="Q1933">
        <v>2</v>
      </c>
      <c r="R1933">
        <v>56.89</v>
      </c>
      <c r="S1933">
        <v>113.78</v>
      </c>
      <c r="T1933">
        <v>94.76</v>
      </c>
      <c r="U1933">
        <v>16.72</v>
      </c>
      <c r="V1933" t="str">
        <f>VLOOKUP(L1933,'[2]tabela de preços'!$A:$D,4,0)</f>
        <v>ANJO</v>
      </c>
      <c r="W1933" t="str">
        <f>VLOOKUP(L1933,'[2]tabela de preços'!$A:$F,6,0)</f>
        <v>THINNER DE LIMPEZA</v>
      </c>
      <c r="X1933" t="str">
        <f>VLOOKUP(L1933,'[2]tabela de preços'!$A:$G,7,0)</f>
        <v>THINNER</v>
      </c>
    </row>
    <row r="1934" spans="1:24" x14ac:dyDescent="0.3">
      <c r="A1934" t="s">
        <v>770</v>
      </c>
      <c r="C1934" t="s">
        <v>801</v>
      </c>
      <c r="D1934" s="1">
        <v>46048</v>
      </c>
      <c r="E1934" t="s">
        <v>802</v>
      </c>
      <c r="F1934">
        <v>9</v>
      </c>
      <c r="G1934">
        <v>230</v>
      </c>
      <c r="H1934" t="str">
        <f>VLOOKUP(G1934,[1]OPERADORES!$A:$B,2,0)</f>
        <v>SÔNIA</v>
      </c>
      <c r="I1934" t="s">
        <v>21</v>
      </c>
      <c r="J1934" t="s">
        <v>397</v>
      </c>
      <c r="K1934" t="s">
        <v>773</v>
      </c>
      <c r="L1934">
        <v>20414</v>
      </c>
      <c r="M1934" t="s">
        <v>112</v>
      </c>
      <c r="O1934" t="s">
        <v>11</v>
      </c>
      <c r="P1934">
        <v>5102</v>
      </c>
      <c r="Q1934">
        <v>2</v>
      </c>
      <c r="R1934">
        <v>21.89</v>
      </c>
      <c r="S1934">
        <v>43.78</v>
      </c>
      <c r="T1934">
        <v>36</v>
      </c>
      <c r="U1934">
        <v>17.77</v>
      </c>
      <c r="V1934" t="str">
        <f>VLOOKUP(L1934,'[2]tabela de preços'!$A:$D,4,0)</f>
        <v>SHERWIN WILLIAMS</v>
      </c>
      <c r="W1934" t="str">
        <f>VLOOKUP(L1934,'[2]tabela de preços'!$A:$F,6,0)</f>
        <v>DILUENTE</v>
      </c>
      <c r="X1934" t="str">
        <f>VLOOKUP(L1934,'[2]tabela de preços'!$A:$G,7,0)</f>
        <v>AUTOMOTIVO</v>
      </c>
    </row>
    <row r="1935" spans="1:24" x14ac:dyDescent="0.3">
      <c r="A1935" t="s">
        <v>828</v>
      </c>
      <c r="C1935" t="s">
        <v>837</v>
      </c>
      <c r="D1935" s="1">
        <v>46048</v>
      </c>
      <c r="E1935" t="s">
        <v>838</v>
      </c>
      <c r="F1935">
        <v>9</v>
      </c>
      <c r="G1935">
        <v>231</v>
      </c>
      <c r="H1935" t="str">
        <f>VLOOKUP(G1935,[1]OPERADORES!$A:$B,2,0)</f>
        <v>EDIJANE</v>
      </c>
      <c r="I1935" t="s">
        <v>21</v>
      </c>
      <c r="J1935" t="s">
        <v>372</v>
      </c>
      <c r="K1935" t="s">
        <v>831</v>
      </c>
      <c r="L1935">
        <v>85344</v>
      </c>
      <c r="M1935" t="s">
        <v>839</v>
      </c>
      <c r="O1935" t="s">
        <v>11</v>
      </c>
      <c r="P1935">
        <v>5102</v>
      </c>
      <c r="Q1935">
        <v>15</v>
      </c>
      <c r="R1935">
        <v>35.74</v>
      </c>
      <c r="S1935">
        <v>536.1</v>
      </c>
      <c r="T1935">
        <v>406.95</v>
      </c>
      <c r="U1935">
        <v>24.09</v>
      </c>
      <c r="V1935" t="str">
        <f>VLOOKUP(L1935,'[2]tabela de preços'!$A:$D,4,0)</f>
        <v>DÁVILA  INOVE</v>
      </c>
      <c r="W1935" t="str">
        <f>VLOOKUP(L1935,'[2]tabela de preços'!$A:$F,6,0)</f>
        <v>MASSA CORRIDA / ACRÍLICA</v>
      </c>
      <c r="X1935" t="str">
        <f>VLOOKUP(L1935,'[2]tabela de preços'!$A:$G,7,0)</f>
        <v>IMOBILIÁRIO</v>
      </c>
    </row>
    <row r="1936" spans="1:24" x14ac:dyDescent="0.3">
      <c r="A1936" t="s">
        <v>1080</v>
      </c>
      <c r="C1936" t="s">
        <v>1087</v>
      </c>
      <c r="D1936" s="1">
        <v>46048</v>
      </c>
      <c r="E1936" t="s">
        <v>1088</v>
      </c>
      <c r="F1936">
        <v>9</v>
      </c>
      <c r="G1936">
        <v>230</v>
      </c>
      <c r="H1936" t="str">
        <f>VLOOKUP(G1936,[1]OPERADORES!$A:$B,2,0)</f>
        <v>SÔNIA</v>
      </c>
      <c r="I1936" t="s">
        <v>715</v>
      </c>
      <c r="J1936" t="s">
        <v>1083</v>
      </c>
      <c r="K1936" t="s">
        <v>1084</v>
      </c>
      <c r="L1936">
        <v>24248</v>
      </c>
      <c r="M1936" t="s">
        <v>107</v>
      </c>
      <c r="O1936" t="s">
        <v>11</v>
      </c>
      <c r="P1936">
        <v>6102</v>
      </c>
      <c r="Q1936">
        <v>12</v>
      </c>
      <c r="R1936">
        <v>8</v>
      </c>
      <c r="S1936">
        <v>96</v>
      </c>
      <c r="T1936">
        <v>78</v>
      </c>
      <c r="U1936">
        <v>18.75</v>
      </c>
      <c r="V1936" t="str">
        <f>VLOOKUP(L1936,'[2]tabela de preços'!$A:$D,4,0)</f>
        <v>SHERWIN WILLIAMS</v>
      </c>
      <c r="W1936" t="str">
        <f>VLOOKUP(L1936,'[2]tabela de preços'!$A:$F,6,0)</f>
        <v>PRIMER AUTOMOTIVO</v>
      </c>
      <c r="X1936" t="str">
        <f>VLOOKUP(L1936,'[2]tabela de preços'!$A:$G,7,0)</f>
        <v>AUTOMOTIVO</v>
      </c>
    </row>
    <row r="1937" spans="1:24" x14ac:dyDescent="0.3">
      <c r="A1937" t="s">
        <v>1080</v>
      </c>
      <c r="C1937" t="s">
        <v>1087</v>
      </c>
      <c r="D1937" s="1">
        <v>46048</v>
      </c>
      <c r="E1937" t="s">
        <v>1088</v>
      </c>
      <c r="F1937">
        <v>9</v>
      </c>
      <c r="G1937">
        <v>230</v>
      </c>
      <c r="H1937" t="str">
        <f>VLOOKUP(G1937,[1]OPERADORES!$A:$B,2,0)</f>
        <v>SÔNIA</v>
      </c>
      <c r="I1937" t="s">
        <v>715</v>
      </c>
      <c r="J1937" t="s">
        <v>1083</v>
      </c>
      <c r="K1937" t="s">
        <v>1084</v>
      </c>
      <c r="L1937">
        <v>24240</v>
      </c>
      <c r="M1937" t="s">
        <v>240</v>
      </c>
      <c r="O1937" t="s">
        <v>11</v>
      </c>
      <c r="P1937">
        <v>6102</v>
      </c>
      <c r="Q1937">
        <v>60</v>
      </c>
      <c r="R1937">
        <v>3.81</v>
      </c>
      <c r="S1937">
        <v>228.6</v>
      </c>
      <c r="T1937">
        <v>196.8</v>
      </c>
      <c r="U1937">
        <v>13.91</v>
      </c>
      <c r="V1937" t="str">
        <f>VLOOKUP(L1937,'[2]tabela de preços'!$A:$D,4,0)</f>
        <v>ADERE</v>
      </c>
      <c r="W1937" t="str">
        <f>VLOOKUP(L1937,'[2]tabela de preços'!$A:$F,6,0)</f>
        <v>FITA AUTOMOTIVA</v>
      </c>
      <c r="X1937" t="str">
        <f>VLOOKUP(L1937,'[2]tabela de preços'!$A:$G,7,0)</f>
        <v>AUTOMOTIVO</v>
      </c>
    </row>
    <row r="1938" spans="1:24" x14ac:dyDescent="0.3">
      <c r="A1938" t="s">
        <v>1080</v>
      </c>
      <c r="C1938" t="s">
        <v>1087</v>
      </c>
      <c r="D1938" s="1">
        <v>46048</v>
      </c>
      <c r="E1938" t="s">
        <v>1088</v>
      </c>
      <c r="F1938">
        <v>9</v>
      </c>
      <c r="G1938">
        <v>230</v>
      </c>
      <c r="H1938" t="str">
        <f>VLOOKUP(G1938,[1]OPERADORES!$A:$B,2,0)</f>
        <v>SÔNIA</v>
      </c>
      <c r="I1938" t="s">
        <v>715</v>
      </c>
      <c r="J1938" t="s">
        <v>1083</v>
      </c>
      <c r="K1938" t="s">
        <v>1084</v>
      </c>
      <c r="L1938">
        <v>57</v>
      </c>
      <c r="M1938" t="s">
        <v>1089</v>
      </c>
      <c r="O1938" t="s">
        <v>11</v>
      </c>
      <c r="P1938">
        <v>6102</v>
      </c>
      <c r="Q1938">
        <v>100</v>
      </c>
      <c r="R1938">
        <v>0.96</v>
      </c>
      <c r="S1938">
        <v>96</v>
      </c>
      <c r="T1938">
        <v>73</v>
      </c>
      <c r="U1938">
        <v>23.96</v>
      </c>
      <c r="V1938" t="str">
        <f>VLOOKUP(L1938,'[2]tabela de preços'!$A:$D,4,0)</f>
        <v>3M</v>
      </c>
      <c r="W1938" t="str">
        <f>VLOOKUP(L1938,'[2]tabela de preços'!$A:$F,6,0)</f>
        <v>LIXA DÁGUA</v>
      </c>
      <c r="X1938" t="str">
        <f>VLOOKUP(L1938,'[2]tabela de preços'!$A:$G,7,0)</f>
        <v>AUTOMOTIVO</v>
      </c>
    </row>
    <row r="1939" spans="1:24" x14ac:dyDescent="0.3">
      <c r="A1939" t="s">
        <v>1080</v>
      </c>
      <c r="C1939" t="s">
        <v>1087</v>
      </c>
      <c r="D1939" s="1">
        <v>46048</v>
      </c>
      <c r="E1939" t="s">
        <v>1088</v>
      </c>
      <c r="F1939">
        <v>9</v>
      </c>
      <c r="G1939">
        <v>230</v>
      </c>
      <c r="H1939" t="str">
        <f>VLOOKUP(G1939,[1]OPERADORES!$A:$B,2,0)</f>
        <v>SÔNIA</v>
      </c>
      <c r="I1939" t="s">
        <v>715</v>
      </c>
      <c r="J1939" t="s">
        <v>1083</v>
      </c>
      <c r="K1939" t="s">
        <v>1084</v>
      </c>
      <c r="L1939">
        <v>58</v>
      </c>
      <c r="M1939" t="s">
        <v>389</v>
      </c>
      <c r="O1939" t="s">
        <v>11</v>
      </c>
      <c r="P1939">
        <v>6102</v>
      </c>
      <c r="Q1939">
        <v>100</v>
      </c>
      <c r="R1939">
        <v>1.01</v>
      </c>
      <c r="S1939">
        <v>101</v>
      </c>
      <c r="T1939">
        <v>77</v>
      </c>
      <c r="U1939">
        <v>23.76</v>
      </c>
      <c r="V1939" t="str">
        <f>VLOOKUP(L1939,'[2]tabela de preços'!$A:$D,4,0)</f>
        <v>3M</v>
      </c>
      <c r="W1939" t="str">
        <f>VLOOKUP(L1939,'[2]tabela de preços'!$A:$F,6,0)</f>
        <v>LIXA DÁGUA</v>
      </c>
      <c r="X1939" t="str">
        <f>VLOOKUP(L1939,'[2]tabela de preços'!$A:$G,7,0)</f>
        <v>AUTOMOTIVO</v>
      </c>
    </row>
    <row r="1940" spans="1:24" x14ac:dyDescent="0.3">
      <c r="A1940" t="s">
        <v>1080</v>
      </c>
      <c r="C1940" t="s">
        <v>1087</v>
      </c>
      <c r="D1940" s="1">
        <v>46048</v>
      </c>
      <c r="E1940" t="s">
        <v>1088</v>
      </c>
      <c r="F1940">
        <v>9</v>
      </c>
      <c r="G1940">
        <v>230</v>
      </c>
      <c r="H1940" t="str">
        <f>VLOOKUP(G1940,[1]OPERADORES!$A:$B,2,0)</f>
        <v>SÔNIA</v>
      </c>
      <c r="I1940" t="s">
        <v>715</v>
      </c>
      <c r="J1940" t="s">
        <v>1083</v>
      </c>
      <c r="K1940" t="s">
        <v>1084</v>
      </c>
      <c r="L1940">
        <v>21077</v>
      </c>
      <c r="M1940" t="s">
        <v>207</v>
      </c>
      <c r="O1940" t="s">
        <v>11</v>
      </c>
      <c r="P1940">
        <v>6102</v>
      </c>
      <c r="Q1940">
        <v>12</v>
      </c>
      <c r="R1940">
        <v>44.68</v>
      </c>
      <c r="S1940">
        <v>536.16</v>
      </c>
      <c r="T1940">
        <v>407.04</v>
      </c>
      <c r="U1940">
        <v>24.08</v>
      </c>
      <c r="V1940" t="str">
        <f>VLOOKUP(L1940,'[2]tabela de preços'!$A:$D,4,0)</f>
        <v>SHERWIN WILLIAMS</v>
      </c>
      <c r="W1940" t="str">
        <f>VLOOKUP(L1940,'[2]tabela de preços'!$A:$F,6,0)</f>
        <v>MASSA POLIÉSTER</v>
      </c>
      <c r="X1940" t="str">
        <f>VLOOKUP(L1940,'[2]tabela de preços'!$A:$G,7,0)</f>
        <v>AUTOMOTIVO</v>
      </c>
    </row>
    <row r="1941" spans="1:24" x14ac:dyDescent="0.3">
      <c r="A1941" t="s">
        <v>1080</v>
      </c>
      <c r="C1941" t="s">
        <v>1087</v>
      </c>
      <c r="D1941" s="1">
        <v>46048</v>
      </c>
      <c r="E1941" t="s">
        <v>1088</v>
      </c>
      <c r="F1941">
        <v>9</v>
      </c>
      <c r="G1941">
        <v>230</v>
      </c>
      <c r="H1941" t="str">
        <f>VLOOKUP(G1941,[1]OPERADORES!$A:$B,2,0)</f>
        <v>SÔNIA</v>
      </c>
      <c r="I1941" t="s">
        <v>715</v>
      </c>
      <c r="J1941" t="s">
        <v>1083</v>
      </c>
      <c r="K1941" t="s">
        <v>1084</v>
      </c>
      <c r="L1941">
        <v>22180</v>
      </c>
      <c r="M1941" t="s">
        <v>404</v>
      </c>
      <c r="O1941" t="s">
        <v>11</v>
      </c>
      <c r="P1941">
        <v>6102</v>
      </c>
      <c r="Q1941">
        <v>10</v>
      </c>
      <c r="R1941">
        <v>19.29</v>
      </c>
      <c r="S1941">
        <v>192.9</v>
      </c>
      <c r="T1941">
        <v>146.4</v>
      </c>
      <c r="U1941">
        <v>24.11</v>
      </c>
      <c r="V1941" t="str">
        <f>VLOOKUP(L1941,'[2]tabela de preços'!$A:$D,4,0)</f>
        <v>MADRUGA</v>
      </c>
      <c r="W1941" t="str">
        <f>VLOOKUP(L1941,'[2]tabela de preços'!$A:$F,6,0)</f>
        <v>PAPEL DE MASCARAMENTO</v>
      </c>
      <c r="X1941" t="str">
        <f>VLOOKUP(L1941,'[2]tabela de preços'!$A:$G,7,0)</f>
        <v>AUTOMOTIVO</v>
      </c>
    </row>
    <row r="1942" spans="1:24" x14ac:dyDescent="0.3">
      <c r="A1942" t="s">
        <v>1080</v>
      </c>
      <c r="C1942" t="s">
        <v>1087</v>
      </c>
      <c r="D1942" s="1">
        <v>46048</v>
      </c>
      <c r="E1942" t="s">
        <v>1088</v>
      </c>
      <c r="F1942">
        <v>9</v>
      </c>
      <c r="G1942">
        <v>230</v>
      </c>
      <c r="H1942" t="str">
        <f>VLOOKUP(G1942,[1]OPERADORES!$A:$B,2,0)</f>
        <v>SÔNIA</v>
      </c>
      <c r="I1942" t="s">
        <v>715</v>
      </c>
      <c r="J1942" t="s">
        <v>1083</v>
      </c>
      <c r="K1942" t="s">
        <v>1084</v>
      </c>
      <c r="L1942">
        <v>24247</v>
      </c>
      <c r="M1942" t="s">
        <v>160</v>
      </c>
      <c r="O1942" t="s">
        <v>11</v>
      </c>
      <c r="P1942">
        <v>6403</v>
      </c>
      <c r="Q1942">
        <v>12</v>
      </c>
      <c r="R1942">
        <v>21</v>
      </c>
      <c r="S1942">
        <v>252</v>
      </c>
      <c r="T1942">
        <v>202.44</v>
      </c>
      <c r="U1942">
        <v>19.670000000000002</v>
      </c>
      <c r="V1942" t="str">
        <f>VLOOKUP(L1942,'[2]tabela de preços'!$A:$D,4,0)</f>
        <v>SHERWIN WILLIAMS</v>
      </c>
      <c r="W1942" t="str">
        <f>VLOOKUP(L1942,'[2]tabela de preços'!$A:$F,6,0)</f>
        <v>PRIMER AUTOMOTIVO</v>
      </c>
      <c r="X1942" t="str">
        <f>VLOOKUP(L1942,'[2]tabela de preços'!$A:$G,7,0)</f>
        <v>AUTOMOTIVO</v>
      </c>
    </row>
    <row r="1943" spans="1:24" x14ac:dyDescent="0.3">
      <c r="A1943" t="s">
        <v>1080</v>
      </c>
      <c r="C1943" t="s">
        <v>1087</v>
      </c>
      <c r="D1943" s="1">
        <v>46048</v>
      </c>
      <c r="E1943" t="s">
        <v>1088</v>
      </c>
      <c r="F1943">
        <v>9</v>
      </c>
      <c r="G1943">
        <v>230</v>
      </c>
      <c r="H1943" t="str">
        <f>VLOOKUP(G1943,[1]OPERADORES!$A:$B,2,0)</f>
        <v>SÔNIA</v>
      </c>
      <c r="I1943" t="s">
        <v>715</v>
      </c>
      <c r="J1943" t="s">
        <v>1083</v>
      </c>
      <c r="K1943" t="s">
        <v>1084</v>
      </c>
      <c r="L1943">
        <v>10298</v>
      </c>
      <c r="M1943" t="s">
        <v>85</v>
      </c>
      <c r="O1943" t="s">
        <v>11</v>
      </c>
      <c r="P1943">
        <v>6102</v>
      </c>
      <c r="Q1943">
        <v>5</v>
      </c>
      <c r="R1943">
        <v>56.89</v>
      </c>
      <c r="S1943">
        <v>284.45</v>
      </c>
      <c r="T1943">
        <v>236.9</v>
      </c>
      <c r="U1943">
        <v>16.72</v>
      </c>
      <c r="V1943" t="str">
        <f>VLOOKUP(L1943,'[2]tabela de preços'!$A:$D,4,0)</f>
        <v>ANJO</v>
      </c>
      <c r="W1943" t="str">
        <f>VLOOKUP(L1943,'[2]tabela de preços'!$A:$F,6,0)</f>
        <v>THINNER DE LIMPEZA</v>
      </c>
      <c r="X1943" t="str">
        <f>VLOOKUP(L1943,'[2]tabela de preços'!$A:$G,7,0)</f>
        <v>THINNER</v>
      </c>
    </row>
    <row r="1944" spans="1:24" x14ac:dyDescent="0.3">
      <c r="A1944" t="s">
        <v>1080</v>
      </c>
      <c r="C1944" t="s">
        <v>1087</v>
      </c>
      <c r="D1944" s="1">
        <v>46048</v>
      </c>
      <c r="E1944" t="s">
        <v>1088</v>
      </c>
      <c r="F1944">
        <v>9</v>
      </c>
      <c r="G1944">
        <v>230</v>
      </c>
      <c r="H1944" t="str">
        <f>VLOOKUP(G1944,[1]OPERADORES!$A:$B,2,0)</f>
        <v>SÔNIA</v>
      </c>
      <c r="I1944" t="s">
        <v>715</v>
      </c>
      <c r="J1944" t="s">
        <v>1083</v>
      </c>
      <c r="K1944" t="s">
        <v>1084</v>
      </c>
      <c r="L1944">
        <v>20414</v>
      </c>
      <c r="M1944" t="s">
        <v>112</v>
      </c>
      <c r="O1944" t="s">
        <v>11</v>
      </c>
      <c r="P1944">
        <v>6102</v>
      </c>
      <c r="Q1944">
        <v>10</v>
      </c>
      <c r="R1944">
        <v>21.89</v>
      </c>
      <c r="S1944">
        <v>218.9</v>
      </c>
      <c r="T1944">
        <v>180</v>
      </c>
      <c r="U1944">
        <v>17.77</v>
      </c>
      <c r="V1944" t="str">
        <f>VLOOKUP(L1944,'[2]tabela de preços'!$A:$D,4,0)</f>
        <v>SHERWIN WILLIAMS</v>
      </c>
      <c r="W1944" t="str">
        <f>VLOOKUP(L1944,'[2]tabela de preços'!$A:$F,6,0)</f>
        <v>DILUENTE</v>
      </c>
      <c r="X1944" t="str">
        <f>VLOOKUP(L1944,'[2]tabela de preços'!$A:$G,7,0)</f>
        <v>AUTOMOTIVO</v>
      </c>
    </row>
    <row r="1945" spans="1:24" x14ac:dyDescent="0.3">
      <c r="A1945" t="s">
        <v>1135</v>
      </c>
      <c r="C1945" t="s">
        <v>1147</v>
      </c>
      <c r="D1945" s="1">
        <v>46048</v>
      </c>
      <c r="E1945" t="s">
        <v>1148</v>
      </c>
      <c r="F1945">
        <v>9</v>
      </c>
      <c r="G1945">
        <v>230</v>
      </c>
      <c r="H1945" t="str">
        <f>VLOOKUP(G1945,[1]OPERADORES!$A:$B,2,0)</f>
        <v>SÔNIA</v>
      </c>
      <c r="I1945" t="s">
        <v>1138</v>
      </c>
      <c r="J1945" t="s">
        <v>1139</v>
      </c>
      <c r="K1945" t="s">
        <v>1140</v>
      </c>
      <c r="L1945">
        <v>84325</v>
      </c>
      <c r="M1945" t="s">
        <v>678</v>
      </c>
      <c r="O1945" t="s">
        <v>11</v>
      </c>
      <c r="P1945">
        <v>6403</v>
      </c>
      <c r="Q1945">
        <v>1</v>
      </c>
      <c r="R1945">
        <v>64.180000000000007</v>
      </c>
      <c r="S1945">
        <v>64.180000000000007</v>
      </c>
      <c r="T1945">
        <v>52</v>
      </c>
      <c r="U1945">
        <v>18.98</v>
      </c>
      <c r="V1945" t="str">
        <f>VLOOKUP(L1945,'[2]tabela de preços'!$A:$D,4,0)</f>
        <v>BRASILUX</v>
      </c>
      <c r="W1945" t="str">
        <f>VLOOKUP(L1945,'[2]tabela de preços'!$A:$F,6,0)</f>
        <v>ESMALTES</v>
      </c>
      <c r="X1945" t="str">
        <f>VLOOKUP(L1945,'[2]tabela de preços'!$A:$G,7,0)</f>
        <v>INDUSTRIAL</v>
      </c>
    </row>
    <row r="1946" spans="1:24" x14ac:dyDescent="0.3">
      <c r="A1946" t="s">
        <v>1135</v>
      </c>
      <c r="C1946" t="s">
        <v>1147</v>
      </c>
      <c r="D1946" s="1">
        <v>46048</v>
      </c>
      <c r="E1946" t="s">
        <v>1148</v>
      </c>
      <c r="F1946">
        <v>9</v>
      </c>
      <c r="G1946">
        <v>230</v>
      </c>
      <c r="H1946" t="str">
        <f>VLOOKUP(G1946,[1]OPERADORES!$A:$B,2,0)</f>
        <v>SÔNIA</v>
      </c>
      <c r="I1946" t="s">
        <v>1138</v>
      </c>
      <c r="J1946" t="s">
        <v>1139</v>
      </c>
      <c r="K1946" t="s">
        <v>1140</v>
      </c>
      <c r="L1946">
        <v>84329</v>
      </c>
      <c r="M1946" t="s">
        <v>285</v>
      </c>
      <c r="O1946" t="s">
        <v>11</v>
      </c>
      <c r="P1946">
        <v>6403</v>
      </c>
      <c r="Q1946">
        <v>1</v>
      </c>
      <c r="R1946">
        <v>64.180000000000007</v>
      </c>
      <c r="S1946">
        <v>64.180000000000007</v>
      </c>
      <c r="T1946">
        <v>48.27</v>
      </c>
      <c r="U1946">
        <v>24.79</v>
      </c>
      <c r="V1946" t="str">
        <f>VLOOKUP(L1946,'[2]tabela de preços'!$A:$D,4,0)</f>
        <v>BRASILUX</v>
      </c>
      <c r="W1946" t="str">
        <f>VLOOKUP(L1946,'[2]tabela de preços'!$A:$F,6,0)</f>
        <v>ESMALTES</v>
      </c>
      <c r="X1946" t="str">
        <f>VLOOKUP(L1946,'[2]tabela de preços'!$A:$G,7,0)</f>
        <v>INDUSTRIAL</v>
      </c>
    </row>
    <row r="1947" spans="1:24" x14ac:dyDescent="0.3">
      <c r="A1947" t="s">
        <v>1135</v>
      </c>
      <c r="C1947" t="s">
        <v>1147</v>
      </c>
      <c r="D1947" s="1">
        <v>46048</v>
      </c>
      <c r="E1947" t="s">
        <v>1148</v>
      </c>
      <c r="F1947">
        <v>9</v>
      </c>
      <c r="G1947">
        <v>230</v>
      </c>
      <c r="H1947" t="str">
        <f>VLOOKUP(G1947,[1]OPERADORES!$A:$B,2,0)</f>
        <v>SÔNIA</v>
      </c>
      <c r="I1947" t="s">
        <v>1138</v>
      </c>
      <c r="J1947" t="s">
        <v>1139</v>
      </c>
      <c r="K1947" t="s">
        <v>1140</v>
      </c>
      <c r="L1947">
        <v>84331</v>
      </c>
      <c r="M1947" t="s">
        <v>497</v>
      </c>
      <c r="O1947" t="s">
        <v>11</v>
      </c>
      <c r="P1947">
        <v>6403</v>
      </c>
      <c r="Q1947">
        <v>2</v>
      </c>
      <c r="R1947">
        <v>64.180000000000007</v>
      </c>
      <c r="S1947">
        <v>128.36000000000001</v>
      </c>
      <c r="T1947">
        <v>104</v>
      </c>
      <c r="U1947">
        <v>18.98</v>
      </c>
      <c r="V1947" t="str">
        <f>VLOOKUP(L1947,'[2]tabela de preços'!$A:$D,4,0)</f>
        <v>BRASILUX</v>
      </c>
      <c r="W1947" t="str">
        <f>VLOOKUP(L1947,'[2]tabela de preços'!$A:$F,6,0)</f>
        <v>ESMALTES</v>
      </c>
      <c r="X1947" t="str">
        <f>VLOOKUP(L1947,'[2]tabela de preços'!$A:$G,7,0)</f>
        <v>INDUSTRIAL</v>
      </c>
    </row>
    <row r="1948" spans="1:24" x14ac:dyDescent="0.3">
      <c r="A1948" t="s">
        <v>1135</v>
      </c>
      <c r="C1948" t="s">
        <v>1147</v>
      </c>
      <c r="D1948" s="1">
        <v>46048</v>
      </c>
      <c r="E1948" t="s">
        <v>1148</v>
      </c>
      <c r="F1948">
        <v>9</v>
      </c>
      <c r="G1948">
        <v>230</v>
      </c>
      <c r="H1948" t="str">
        <f>VLOOKUP(G1948,[1]OPERADORES!$A:$B,2,0)</f>
        <v>SÔNIA</v>
      </c>
      <c r="I1948" t="s">
        <v>1138</v>
      </c>
      <c r="J1948" t="s">
        <v>1139</v>
      </c>
      <c r="K1948" t="s">
        <v>1140</v>
      </c>
      <c r="L1948">
        <v>84338</v>
      </c>
      <c r="M1948" t="s">
        <v>752</v>
      </c>
      <c r="O1948" t="s">
        <v>11</v>
      </c>
      <c r="P1948">
        <v>6403</v>
      </c>
      <c r="Q1948">
        <v>1</v>
      </c>
      <c r="R1948">
        <v>64.180000000000007</v>
      </c>
      <c r="S1948">
        <v>64.180000000000007</v>
      </c>
      <c r="T1948">
        <v>52</v>
      </c>
      <c r="U1948">
        <v>18.98</v>
      </c>
      <c r="V1948" t="str">
        <f>VLOOKUP(L1948,'[2]tabela de preços'!$A:$D,4,0)</f>
        <v>BRASILUX</v>
      </c>
      <c r="W1948" t="str">
        <f>VLOOKUP(L1948,'[2]tabela de preços'!$A:$F,6,0)</f>
        <v>ESMALTES</v>
      </c>
      <c r="X1948" t="str">
        <f>VLOOKUP(L1948,'[2]tabela de preços'!$A:$G,7,0)</f>
        <v>INDUSTRIAL</v>
      </c>
    </row>
    <row r="1949" spans="1:24" x14ac:dyDescent="0.3">
      <c r="A1949" t="s">
        <v>1135</v>
      </c>
      <c r="C1949" t="s">
        <v>1147</v>
      </c>
      <c r="D1949" s="1">
        <v>46048</v>
      </c>
      <c r="E1949" t="s">
        <v>1148</v>
      </c>
      <c r="F1949">
        <v>9</v>
      </c>
      <c r="G1949">
        <v>230</v>
      </c>
      <c r="H1949" t="str">
        <f>VLOOKUP(G1949,[1]OPERADORES!$A:$B,2,0)</f>
        <v>SÔNIA</v>
      </c>
      <c r="I1949" t="s">
        <v>1138</v>
      </c>
      <c r="J1949" t="s">
        <v>1139</v>
      </c>
      <c r="K1949" t="s">
        <v>1140</v>
      </c>
      <c r="L1949">
        <v>85499</v>
      </c>
      <c r="M1949" t="s">
        <v>1149</v>
      </c>
      <c r="O1949" t="s">
        <v>11</v>
      </c>
      <c r="P1949">
        <v>6403</v>
      </c>
      <c r="Q1949">
        <v>1</v>
      </c>
      <c r="R1949">
        <v>64.180000000000007</v>
      </c>
      <c r="S1949">
        <v>64.180000000000007</v>
      </c>
      <c r="T1949">
        <v>47.75</v>
      </c>
      <c r="U1949">
        <v>25.6</v>
      </c>
      <c r="V1949" t="str">
        <f>VLOOKUP(L1949,'[2]tabela de preços'!$A:$D,4,0)</f>
        <v>BRASILUX</v>
      </c>
      <c r="W1949" t="str">
        <f>VLOOKUP(L1949,'[2]tabela de preços'!$A:$F,6,0)</f>
        <v>ESMALTES</v>
      </c>
      <c r="X1949" t="str">
        <f>VLOOKUP(L1949,'[2]tabela de preços'!$A:$G,7,0)</f>
        <v>INDUSTRIAL</v>
      </c>
    </row>
    <row r="1950" spans="1:24" x14ac:dyDescent="0.3">
      <c r="A1950" t="s">
        <v>1135</v>
      </c>
      <c r="C1950" t="s">
        <v>1147</v>
      </c>
      <c r="D1950" s="1">
        <v>46048</v>
      </c>
      <c r="E1950" t="s">
        <v>1148</v>
      </c>
      <c r="F1950">
        <v>9</v>
      </c>
      <c r="G1950">
        <v>230</v>
      </c>
      <c r="H1950" t="str">
        <f>VLOOKUP(G1950,[1]OPERADORES!$A:$B,2,0)</f>
        <v>SÔNIA</v>
      </c>
      <c r="I1950" t="s">
        <v>1138</v>
      </c>
      <c r="J1950" t="s">
        <v>1139</v>
      </c>
      <c r="K1950" t="s">
        <v>1140</v>
      </c>
      <c r="L1950">
        <v>84347</v>
      </c>
      <c r="M1950" t="s">
        <v>1150</v>
      </c>
      <c r="O1950" t="s">
        <v>11</v>
      </c>
      <c r="P1950">
        <v>6403</v>
      </c>
      <c r="Q1950">
        <v>1</v>
      </c>
      <c r="R1950">
        <v>64.180000000000007</v>
      </c>
      <c r="S1950">
        <v>64.180000000000007</v>
      </c>
      <c r="T1950">
        <v>52</v>
      </c>
      <c r="U1950">
        <v>18.98</v>
      </c>
      <c r="V1950" t="str">
        <f>VLOOKUP(L1950,'[2]tabela de preços'!$A:$D,4,0)</f>
        <v>BRASILUX</v>
      </c>
      <c r="W1950" t="str">
        <f>VLOOKUP(L1950,'[2]tabela de preços'!$A:$F,6,0)</f>
        <v>ESMALTES</v>
      </c>
      <c r="X1950" t="str">
        <f>VLOOKUP(L1950,'[2]tabela de preços'!$A:$G,7,0)</f>
        <v>INDUSTRIAL</v>
      </c>
    </row>
    <row r="1951" spans="1:24" x14ac:dyDescent="0.3">
      <c r="A1951" t="s">
        <v>1135</v>
      </c>
      <c r="C1951" t="s">
        <v>1147</v>
      </c>
      <c r="D1951" s="1">
        <v>46048</v>
      </c>
      <c r="E1951" t="s">
        <v>1148</v>
      </c>
      <c r="F1951">
        <v>9</v>
      </c>
      <c r="G1951">
        <v>230</v>
      </c>
      <c r="H1951" t="str">
        <f>VLOOKUP(G1951,[1]OPERADORES!$A:$B,2,0)</f>
        <v>SÔNIA</v>
      </c>
      <c r="I1951" t="s">
        <v>1138</v>
      </c>
      <c r="J1951" t="s">
        <v>1139</v>
      </c>
      <c r="K1951" t="s">
        <v>1140</v>
      </c>
      <c r="L1951">
        <v>85243</v>
      </c>
      <c r="M1951" t="s">
        <v>1151</v>
      </c>
      <c r="O1951" t="s">
        <v>11</v>
      </c>
      <c r="P1951">
        <v>6403</v>
      </c>
      <c r="Q1951">
        <v>1</v>
      </c>
      <c r="R1951">
        <v>104.26</v>
      </c>
      <c r="S1951">
        <v>104.26</v>
      </c>
      <c r="T1951">
        <v>74.34</v>
      </c>
      <c r="U1951">
        <v>28.7</v>
      </c>
      <c r="V1951" t="str">
        <f>VLOOKUP(L1951,'[2]tabela de preços'!$A:$D,4,0)</f>
        <v>BRASILUX</v>
      </c>
      <c r="W1951" t="str">
        <f>VLOOKUP(L1951,'[2]tabela de preços'!$A:$F,6,0)</f>
        <v>ESMALTES</v>
      </c>
      <c r="X1951" t="str">
        <f>VLOOKUP(L1951,'[2]tabela de preços'!$A:$G,7,0)</f>
        <v>INDUSTRIAL</v>
      </c>
    </row>
    <row r="1952" spans="1:24" x14ac:dyDescent="0.3">
      <c r="A1952" t="s">
        <v>1135</v>
      </c>
      <c r="C1952" t="s">
        <v>1147</v>
      </c>
      <c r="D1952" s="1">
        <v>46048</v>
      </c>
      <c r="E1952" t="s">
        <v>1148</v>
      </c>
      <c r="F1952">
        <v>9</v>
      </c>
      <c r="G1952">
        <v>230</v>
      </c>
      <c r="H1952" t="str">
        <f>VLOOKUP(G1952,[1]OPERADORES!$A:$B,2,0)</f>
        <v>SÔNIA</v>
      </c>
      <c r="I1952" t="s">
        <v>1138</v>
      </c>
      <c r="J1952" t="s">
        <v>1139</v>
      </c>
      <c r="K1952" t="s">
        <v>1140</v>
      </c>
      <c r="L1952">
        <v>84014</v>
      </c>
      <c r="M1952" t="s">
        <v>1152</v>
      </c>
      <c r="O1952" t="s">
        <v>11</v>
      </c>
      <c r="P1952">
        <v>6102</v>
      </c>
      <c r="Q1952">
        <v>15</v>
      </c>
      <c r="R1952">
        <v>2.2000000000000002</v>
      </c>
      <c r="S1952">
        <v>33</v>
      </c>
      <c r="T1952">
        <v>25.05</v>
      </c>
      <c r="U1952">
        <v>24.09</v>
      </c>
      <c r="V1952" t="str">
        <f>VLOOKUP(L1952,'[2]tabela de preços'!$A:$D,4,0)</f>
        <v>3M</v>
      </c>
      <c r="W1952" t="str">
        <f>VLOOKUP(L1952,'[2]tabela de preços'!$A:$F,6,0)</f>
        <v>LIXA FERRO</v>
      </c>
      <c r="X1952" t="str">
        <f>VLOOKUP(L1952,'[2]tabela de preços'!$A:$G,7,0)</f>
        <v>IMOBILIÁRIO</v>
      </c>
    </row>
    <row r="1953" spans="1:24" x14ac:dyDescent="0.3">
      <c r="A1953" t="s">
        <v>1135</v>
      </c>
      <c r="C1953" t="s">
        <v>1147</v>
      </c>
      <c r="D1953" s="1">
        <v>46048</v>
      </c>
      <c r="E1953" t="s">
        <v>1148</v>
      </c>
      <c r="F1953">
        <v>9</v>
      </c>
      <c r="G1953">
        <v>230</v>
      </c>
      <c r="H1953" t="str">
        <f>VLOOKUP(G1953,[1]OPERADORES!$A:$B,2,0)</f>
        <v>SÔNIA</v>
      </c>
      <c r="I1953" t="s">
        <v>1138</v>
      </c>
      <c r="J1953" t="s">
        <v>1139</v>
      </c>
      <c r="K1953" t="s">
        <v>1140</v>
      </c>
      <c r="L1953">
        <v>10298</v>
      </c>
      <c r="M1953" t="s">
        <v>85</v>
      </c>
      <c r="O1953" t="s">
        <v>11</v>
      </c>
      <c r="P1953">
        <v>6102</v>
      </c>
      <c r="Q1953">
        <v>1</v>
      </c>
      <c r="R1953">
        <v>56.89</v>
      </c>
      <c r="S1953">
        <v>56.89</v>
      </c>
      <c r="T1953">
        <v>47.38</v>
      </c>
      <c r="U1953">
        <v>16.72</v>
      </c>
      <c r="V1953" t="str">
        <f>VLOOKUP(L1953,'[2]tabela de preços'!$A:$D,4,0)</f>
        <v>ANJO</v>
      </c>
      <c r="W1953" t="str">
        <f>VLOOKUP(L1953,'[2]tabela de preços'!$A:$F,6,0)</f>
        <v>THINNER DE LIMPEZA</v>
      </c>
      <c r="X1953" t="str">
        <f>VLOOKUP(L1953,'[2]tabela de preços'!$A:$G,7,0)</f>
        <v>THINNER</v>
      </c>
    </row>
    <row r="1954" spans="1:24" x14ac:dyDescent="0.3">
      <c r="A1954" t="s">
        <v>1163</v>
      </c>
      <c r="B1954" t="s">
        <v>1164</v>
      </c>
      <c r="C1954" t="s">
        <v>1168</v>
      </c>
      <c r="D1954" s="1">
        <v>46048</v>
      </c>
      <c r="E1954" t="s">
        <v>1169</v>
      </c>
      <c r="F1954">
        <v>9</v>
      </c>
      <c r="G1954">
        <v>230</v>
      </c>
      <c r="H1954" t="str">
        <f>VLOOKUP(G1954,[1]OPERADORES!$A:$B,2,0)</f>
        <v>SÔNIA</v>
      </c>
      <c r="I1954" t="s">
        <v>21</v>
      </c>
      <c r="J1954" t="s">
        <v>211</v>
      </c>
      <c r="K1954" t="s">
        <v>1167</v>
      </c>
      <c r="L1954">
        <v>23715</v>
      </c>
      <c r="M1954" t="s">
        <v>978</v>
      </c>
      <c r="O1954" t="s">
        <v>11</v>
      </c>
      <c r="P1954">
        <v>5102</v>
      </c>
      <c r="Q1954">
        <v>4</v>
      </c>
      <c r="R1954">
        <v>40.71</v>
      </c>
      <c r="S1954">
        <v>162.84</v>
      </c>
      <c r="T1954">
        <v>123.6</v>
      </c>
      <c r="U1954">
        <v>24.1</v>
      </c>
      <c r="V1954" t="str">
        <f>VLOOKUP(L1954,'[2]tabela de preços'!$A:$D,4,0)</f>
        <v>NEW PAD</v>
      </c>
      <c r="W1954" t="str">
        <f>VLOOKUP(L1954,'[2]tabela de preços'!$A:$F,6,0)</f>
        <v>BOINAS PARA POLIMENTO</v>
      </c>
      <c r="X1954" t="str">
        <f>VLOOKUP(L1954,'[2]tabela de preços'!$A:$G,7,0)</f>
        <v>AUTOMOTIVO</v>
      </c>
    </row>
    <row r="1955" spans="1:24" x14ac:dyDescent="0.3">
      <c r="A1955" t="s">
        <v>1163</v>
      </c>
      <c r="B1955" t="s">
        <v>1164</v>
      </c>
      <c r="C1955" t="s">
        <v>1168</v>
      </c>
      <c r="D1955" s="1">
        <v>46048</v>
      </c>
      <c r="E1955" t="s">
        <v>1169</v>
      </c>
      <c r="F1955">
        <v>9</v>
      </c>
      <c r="G1955">
        <v>230</v>
      </c>
      <c r="H1955" t="str">
        <f>VLOOKUP(G1955,[1]OPERADORES!$A:$B,2,0)</f>
        <v>SÔNIA</v>
      </c>
      <c r="I1955" t="s">
        <v>21</v>
      </c>
      <c r="J1955" t="s">
        <v>211</v>
      </c>
      <c r="K1955" t="s">
        <v>1167</v>
      </c>
      <c r="L1955">
        <v>20817</v>
      </c>
      <c r="M1955" t="s">
        <v>153</v>
      </c>
      <c r="O1955" t="s">
        <v>11</v>
      </c>
      <c r="P1955">
        <v>5102</v>
      </c>
      <c r="Q1955">
        <v>6</v>
      </c>
      <c r="R1955">
        <v>22.89</v>
      </c>
      <c r="S1955">
        <v>137.34</v>
      </c>
      <c r="T1955">
        <v>111.72</v>
      </c>
      <c r="U1955">
        <v>18.649999999999999</v>
      </c>
      <c r="V1955" t="str">
        <f>VLOOKUP(L1955,'[2]tabela de preços'!$A:$D,4,0)</f>
        <v>AUTO AMERICA</v>
      </c>
      <c r="W1955" t="str">
        <f>VLOOKUP(L1955,'[2]tabela de preços'!$A:$F,6,0)</f>
        <v>MASSA DE POLIR</v>
      </c>
      <c r="X1955" t="str">
        <f>VLOOKUP(L1955,'[2]tabela de preços'!$A:$G,7,0)</f>
        <v>AUTOMOTIVO</v>
      </c>
    </row>
    <row r="1956" spans="1:24" x14ac:dyDescent="0.3">
      <c r="A1956" t="s">
        <v>1163</v>
      </c>
      <c r="B1956" t="s">
        <v>1164</v>
      </c>
      <c r="C1956" t="s">
        <v>1168</v>
      </c>
      <c r="D1956" s="1">
        <v>46048</v>
      </c>
      <c r="E1956" t="s">
        <v>1169</v>
      </c>
      <c r="F1956">
        <v>9</v>
      </c>
      <c r="G1956">
        <v>230</v>
      </c>
      <c r="H1956" t="str">
        <f>VLOOKUP(G1956,[1]OPERADORES!$A:$B,2,0)</f>
        <v>SÔNIA</v>
      </c>
      <c r="I1956" t="s">
        <v>21</v>
      </c>
      <c r="J1956" t="s">
        <v>211</v>
      </c>
      <c r="K1956" t="s">
        <v>1167</v>
      </c>
      <c r="L1956">
        <v>23267</v>
      </c>
      <c r="M1956" t="s">
        <v>164</v>
      </c>
      <c r="O1956" t="s">
        <v>11</v>
      </c>
      <c r="P1956">
        <v>5102</v>
      </c>
      <c r="Q1956">
        <v>6</v>
      </c>
      <c r="R1956">
        <v>22.89</v>
      </c>
      <c r="S1956">
        <v>137.34</v>
      </c>
      <c r="T1956">
        <v>117.24</v>
      </c>
      <c r="U1956">
        <v>14.64</v>
      </c>
      <c r="V1956" t="str">
        <f>VLOOKUP(L1956,'[2]tabela de preços'!$A:$D,4,0)</f>
        <v>ANJO</v>
      </c>
      <c r="W1956" t="str">
        <f>VLOOKUP(L1956,'[2]tabela de preços'!$A:$F,6,0)</f>
        <v>MASSA POLIÉSTER</v>
      </c>
      <c r="X1956" t="str">
        <f>VLOOKUP(L1956,'[2]tabela de preços'!$A:$G,7,0)</f>
        <v>AUTOMOTIVO</v>
      </c>
    </row>
    <row r="1957" spans="1:24" x14ac:dyDescent="0.3">
      <c r="A1957" t="s">
        <v>1185</v>
      </c>
      <c r="C1957" t="s">
        <v>1186</v>
      </c>
      <c r="D1957" s="1">
        <v>46048</v>
      </c>
      <c r="E1957" t="s">
        <v>1187</v>
      </c>
      <c r="F1957">
        <v>9</v>
      </c>
      <c r="G1957">
        <v>197</v>
      </c>
      <c r="H1957" t="str">
        <f>VLOOKUP(G1957,[1]OPERADORES!$A:$B,2,0)</f>
        <v xml:space="preserve">POLIANA LORRANE DE AMORIM </v>
      </c>
      <c r="I1957" t="s">
        <v>21</v>
      </c>
      <c r="J1957" t="s">
        <v>1188</v>
      </c>
      <c r="K1957" t="s">
        <v>1189</v>
      </c>
      <c r="L1957">
        <v>9804</v>
      </c>
      <c r="M1957" t="s">
        <v>1190</v>
      </c>
      <c r="O1957" t="s">
        <v>11</v>
      </c>
      <c r="P1957">
        <v>5102</v>
      </c>
      <c r="Q1957">
        <v>1</v>
      </c>
      <c r="R1957">
        <v>39.29</v>
      </c>
      <c r="S1957">
        <v>39.29</v>
      </c>
      <c r="T1957">
        <v>28.16</v>
      </c>
      <c r="U1957">
        <v>28.33</v>
      </c>
      <c r="V1957" t="str">
        <f>VLOOKUP(L1957,'[2]tabela de preços'!$A:$D,4,0)</f>
        <v>WANDA</v>
      </c>
      <c r="W1957" t="str">
        <f>VLOOKUP(L1957,'[2]tabela de preços'!$A:$F,6,0)</f>
        <v>DESENGRAXANTE</v>
      </c>
      <c r="X1957" t="str">
        <f>VLOOKUP(L1957,'[2]tabela de preços'!$A:$G,7,0)</f>
        <v>AUTOMOTIVO</v>
      </c>
    </row>
    <row r="1958" spans="1:24" x14ac:dyDescent="0.3">
      <c r="A1958" t="s">
        <v>1185</v>
      </c>
      <c r="C1958" t="s">
        <v>1186</v>
      </c>
      <c r="D1958" s="1">
        <v>46048</v>
      </c>
      <c r="E1958" t="s">
        <v>1187</v>
      </c>
      <c r="F1958">
        <v>9</v>
      </c>
      <c r="G1958">
        <v>197</v>
      </c>
      <c r="H1958" t="str">
        <f>VLOOKUP(G1958,[1]OPERADORES!$A:$B,2,0)</f>
        <v xml:space="preserve">POLIANA LORRANE DE AMORIM </v>
      </c>
      <c r="I1958" t="s">
        <v>21</v>
      </c>
      <c r="J1958" t="s">
        <v>1188</v>
      </c>
      <c r="K1958" t="s">
        <v>1189</v>
      </c>
      <c r="L1958">
        <v>85402</v>
      </c>
      <c r="M1958" t="s">
        <v>1182</v>
      </c>
      <c r="O1958" t="s">
        <v>11</v>
      </c>
      <c r="P1958">
        <v>5102</v>
      </c>
      <c r="Q1958">
        <v>1</v>
      </c>
      <c r="R1958">
        <v>564.86</v>
      </c>
      <c r="S1958">
        <v>564.86</v>
      </c>
      <c r="T1958">
        <v>393.5</v>
      </c>
      <c r="U1958">
        <v>30.34</v>
      </c>
      <c r="V1958" t="str">
        <f>VLOOKUP(L1958,'[2]tabela de preços'!$A:$D,4,0)</f>
        <v>BRASILUX</v>
      </c>
      <c r="W1958" t="str">
        <f>VLOOKUP(L1958,'[2]tabela de preços'!$A:$F,6,0)</f>
        <v>TINTA EM PÓ</v>
      </c>
      <c r="X1958" t="str">
        <f>VLOOKUP(L1958,'[2]tabela de preços'!$A:$G,7,0)</f>
        <v>INDUSTRIAL</v>
      </c>
    </row>
    <row r="1959" spans="1:24" x14ac:dyDescent="0.3">
      <c r="A1959" t="s">
        <v>1479</v>
      </c>
      <c r="B1959" t="s">
        <v>1480</v>
      </c>
      <c r="C1959" t="s">
        <v>1481</v>
      </c>
      <c r="D1959" s="1">
        <v>46048</v>
      </c>
      <c r="E1959" t="s">
        <v>1482</v>
      </c>
      <c r="F1959">
        <v>9</v>
      </c>
      <c r="G1959">
        <v>236</v>
      </c>
      <c r="H1959" t="str">
        <f>VLOOKUP(G1959,[1]OPERADORES!$A:$B,2,0)</f>
        <v>DANIEL</v>
      </c>
      <c r="I1959" t="s">
        <v>21</v>
      </c>
      <c r="J1959" t="s">
        <v>1483</v>
      </c>
      <c r="K1959" t="s">
        <v>1484</v>
      </c>
      <c r="L1959">
        <v>84214</v>
      </c>
      <c r="M1959" t="s">
        <v>1485</v>
      </c>
      <c r="O1959" t="s">
        <v>11</v>
      </c>
      <c r="P1959">
        <v>5403</v>
      </c>
      <c r="Q1959">
        <v>1</v>
      </c>
      <c r="R1959">
        <v>242.61</v>
      </c>
      <c r="S1959">
        <v>242.61</v>
      </c>
      <c r="T1959">
        <v>184.14</v>
      </c>
      <c r="U1959">
        <v>24.1</v>
      </c>
      <c r="V1959" t="str">
        <f>VLOOKUP(L1959,'[2]tabela de preços'!$A:$D,4,0)</f>
        <v>BRASILUX</v>
      </c>
      <c r="W1959" t="str">
        <f>VLOOKUP(L1959,'[2]tabela de preços'!$A:$F,6,0)</f>
        <v>ESMALTES</v>
      </c>
      <c r="X1959" t="str">
        <f>VLOOKUP(L1959,'[2]tabela de preços'!$A:$G,7,0)</f>
        <v>INDUSTRIAL</v>
      </c>
    </row>
    <row r="1960" spans="1:24" x14ac:dyDescent="0.3">
      <c r="A1960" t="s">
        <v>1486</v>
      </c>
      <c r="C1960" t="s">
        <v>1513</v>
      </c>
      <c r="D1960" s="1">
        <v>46048</v>
      </c>
      <c r="E1960" t="s">
        <v>1514</v>
      </c>
      <c r="F1960">
        <v>9</v>
      </c>
      <c r="G1960">
        <v>236</v>
      </c>
      <c r="H1960" t="str">
        <f>VLOOKUP(G1960,[1]OPERADORES!$A:$B,2,0)</f>
        <v>DANIEL</v>
      </c>
      <c r="I1960" t="s">
        <v>1489</v>
      </c>
      <c r="J1960" t="s">
        <v>1490</v>
      </c>
      <c r="K1960" t="s">
        <v>1491</v>
      </c>
      <c r="L1960">
        <v>23016</v>
      </c>
      <c r="M1960" t="s">
        <v>1515</v>
      </c>
      <c r="O1960" t="s">
        <v>11</v>
      </c>
      <c r="P1960">
        <v>6403</v>
      </c>
      <c r="Q1960">
        <v>1</v>
      </c>
      <c r="R1960">
        <v>815.33</v>
      </c>
      <c r="S1960">
        <v>815.33</v>
      </c>
      <c r="T1960">
        <v>581.34</v>
      </c>
      <c r="U1960">
        <v>28.7</v>
      </c>
      <c r="V1960" t="str">
        <f>VLOOKUP(L1960,'[2]tabela de preços'!$A:$D,4,0)</f>
        <v>WANDA</v>
      </c>
      <c r="W1960" t="str">
        <f>VLOOKUP(L1960,'[2]tabela de preços'!$A:$F,6,0)</f>
        <v>BASES PU</v>
      </c>
      <c r="X1960" t="str">
        <f>VLOOKUP(L1960,'[2]tabela de preços'!$A:$G,7,0)</f>
        <v>AUTOMOTIVO</v>
      </c>
    </row>
    <row r="1961" spans="1:24" x14ac:dyDescent="0.3">
      <c r="A1961" t="s">
        <v>1606</v>
      </c>
      <c r="C1961" t="s">
        <v>1618</v>
      </c>
      <c r="D1961" s="1">
        <v>46048</v>
      </c>
      <c r="E1961" t="s">
        <v>1619</v>
      </c>
      <c r="F1961">
        <v>9</v>
      </c>
      <c r="G1961">
        <v>230</v>
      </c>
      <c r="H1961" t="str">
        <f>VLOOKUP(G1961,[1]OPERADORES!$A:$B,2,0)</f>
        <v>SÔNIA</v>
      </c>
      <c r="I1961" t="s">
        <v>21</v>
      </c>
      <c r="J1961" t="s">
        <v>397</v>
      </c>
      <c r="K1961" t="s">
        <v>1609</v>
      </c>
      <c r="L1961">
        <v>84489</v>
      </c>
      <c r="M1961" t="s">
        <v>1610</v>
      </c>
      <c r="O1961" t="s">
        <v>11</v>
      </c>
      <c r="P1961">
        <v>5403</v>
      </c>
      <c r="Q1961">
        <v>1</v>
      </c>
      <c r="R1961">
        <v>480.28</v>
      </c>
      <c r="S1961">
        <v>480.28</v>
      </c>
      <c r="T1961">
        <v>364.54</v>
      </c>
      <c r="U1961">
        <v>24.1</v>
      </c>
      <c r="V1961" t="str">
        <f>VLOOKUP(L1961,'[2]tabela de preços'!$A:$D,4,0)</f>
        <v>BRASILUX</v>
      </c>
      <c r="W1961" t="str">
        <f>VLOOKUP(L1961,'[2]tabela de preços'!$A:$F,6,0)</f>
        <v xml:space="preserve">BASES SISTEMA NO MACHINE </v>
      </c>
      <c r="X1961" t="str">
        <f>VLOOKUP(L1961,'[2]tabela de preços'!$A:$G,7,0)</f>
        <v>INDUSTRIAL</v>
      </c>
    </row>
    <row r="1962" spans="1:24" x14ac:dyDescent="0.3">
      <c r="A1962" t="s">
        <v>1606</v>
      </c>
      <c r="C1962" t="s">
        <v>1618</v>
      </c>
      <c r="D1962" s="1">
        <v>46048</v>
      </c>
      <c r="E1962" t="s">
        <v>1619</v>
      </c>
      <c r="F1962">
        <v>9</v>
      </c>
      <c r="G1962">
        <v>230</v>
      </c>
      <c r="H1962" t="str">
        <f>VLOOKUP(G1962,[1]OPERADORES!$A:$B,2,0)</f>
        <v>SÔNIA</v>
      </c>
      <c r="I1962" t="s">
        <v>21</v>
      </c>
      <c r="J1962" t="s">
        <v>397</v>
      </c>
      <c r="K1962" t="s">
        <v>1609</v>
      </c>
      <c r="L1962">
        <v>84624</v>
      </c>
      <c r="M1962" t="s">
        <v>1611</v>
      </c>
      <c r="O1962" t="s">
        <v>11</v>
      </c>
      <c r="P1962">
        <v>5403</v>
      </c>
      <c r="Q1962">
        <v>2</v>
      </c>
      <c r="R1962">
        <v>82.09</v>
      </c>
      <c r="S1962">
        <v>164.18</v>
      </c>
      <c r="T1962">
        <v>124.62</v>
      </c>
      <c r="U1962">
        <v>24.1</v>
      </c>
      <c r="V1962" t="str">
        <f>VLOOKUP(L1962,'[2]tabela de preços'!$A:$D,4,0)</f>
        <v>BRASILUX</v>
      </c>
      <c r="W1962" t="str">
        <f>VLOOKUP(L1962,'[2]tabela de preços'!$A:$F,6,0)</f>
        <v xml:space="preserve">BASES SISTEMA NO MACHINE </v>
      </c>
      <c r="X1962" t="str">
        <f>VLOOKUP(L1962,'[2]tabela de preços'!$A:$G,7,0)</f>
        <v>INDUSTRIAL</v>
      </c>
    </row>
    <row r="1963" spans="1:24" x14ac:dyDescent="0.3">
      <c r="A1963" t="s">
        <v>1606</v>
      </c>
      <c r="C1963" t="s">
        <v>1618</v>
      </c>
      <c r="D1963" s="1">
        <v>46048</v>
      </c>
      <c r="E1963" t="s">
        <v>1619</v>
      </c>
      <c r="F1963">
        <v>9</v>
      </c>
      <c r="G1963">
        <v>230</v>
      </c>
      <c r="H1963" t="str">
        <f>VLOOKUP(G1963,[1]OPERADORES!$A:$B,2,0)</f>
        <v>SÔNIA</v>
      </c>
      <c r="I1963" t="s">
        <v>21</v>
      </c>
      <c r="J1963" t="s">
        <v>397</v>
      </c>
      <c r="K1963" t="s">
        <v>1609</v>
      </c>
      <c r="L1963">
        <v>84629</v>
      </c>
      <c r="M1963" t="s">
        <v>1613</v>
      </c>
      <c r="O1963" t="s">
        <v>11</v>
      </c>
      <c r="P1963">
        <v>5403</v>
      </c>
      <c r="Q1963">
        <v>2</v>
      </c>
      <c r="R1963">
        <v>53.43</v>
      </c>
      <c r="S1963">
        <v>106.86</v>
      </c>
      <c r="T1963">
        <v>81.099999999999994</v>
      </c>
      <c r="U1963">
        <v>24.11</v>
      </c>
      <c r="V1963" t="str">
        <f>VLOOKUP(L1963,'[2]tabela de preços'!$A:$D,4,0)</f>
        <v>BRASILUX</v>
      </c>
      <c r="W1963" t="str">
        <f>VLOOKUP(L1963,'[2]tabela de preços'!$A:$F,6,0)</f>
        <v xml:space="preserve">BASES SISTEMA NO MACHINE </v>
      </c>
      <c r="X1963" t="str">
        <f>VLOOKUP(L1963,'[2]tabela de preços'!$A:$G,7,0)</f>
        <v>INDUSTRIAL</v>
      </c>
    </row>
    <row r="1964" spans="1:24" x14ac:dyDescent="0.3">
      <c r="A1964" t="s">
        <v>1623</v>
      </c>
      <c r="C1964" t="s">
        <v>1628</v>
      </c>
      <c r="D1964" s="1">
        <v>46048</v>
      </c>
      <c r="E1964" t="s">
        <v>1629</v>
      </c>
      <c r="F1964">
        <v>9</v>
      </c>
      <c r="G1964">
        <v>231</v>
      </c>
      <c r="H1964" t="str">
        <f>VLOOKUP(G1964,[1]OPERADORES!$A:$B,2,0)</f>
        <v>EDIJANE</v>
      </c>
      <c r="I1964" t="s">
        <v>21</v>
      </c>
      <c r="J1964" t="s">
        <v>531</v>
      </c>
      <c r="K1964" t="s">
        <v>1626</v>
      </c>
      <c r="L1964">
        <v>85401</v>
      </c>
      <c r="M1964" t="s">
        <v>261</v>
      </c>
      <c r="O1964" t="s">
        <v>11</v>
      </c>
      <c r="P1964">
        <v>5102</v>
      </c>
      <c r="Q1964">
        <v>6</v>
      </c>
      <c r="R1964">
        <v>633.42999999999995</v>
      </c>
      <c r="S1964" s="2">
        <v>3800.58</v>
      </c>
      <c r="T1964" s="2">
        <v>2709.84</v>
      </c>
      <c r="U1964">
        <v>28.7</v>
      </c>
      <c r="V1964" t="str">
        <f>VLOOKUP(L1964,'[2]tabela de preços'!$A:$D,4,0)</f>
        <v>BRASILUX</v>
      </c>
      <c r="W1964" t="str">
        <f>VLOOKUP(L1964,'[2]tabela de preços'!$A:$F,6,0)</f>
        <v>TINTA EM PÓ</v>
      </c>
      <c r="X1964" t="str">
        <f>VLOOKUP(L1964,'[2]tabela de preços'!$A:$G,7,0)</f>
        <v>INDUSTRIAL</v>
      </c>
    </row>
    <row r="1965" spans="1:24" x14ac:dyDescent="0.3">
      <c r="A1965" t="s">
        <v>1859</v>
      </c>
      <c r="B1965" t="s">
        <v>1860</v>
      </c>
      <c r="C1965" t="s">
        <v>1861</v>
      </c>
      <c r="D1965" s="1">
        <v>46048</v>
      </c>
      <c r="E1965" t="s">
        <v>1862</v>
      </c>
      <c r="F1965">
        <v>9</v>
      </c>
      <c r="G1965">
        <v>174</v>
      </c>
      <c r="H1965" t="str">
        <f>VLOOKUP(G1965,[1]OPERADORES!$A:$B,2,0)</f>
        <v>MIRIÃ LOBATO RODRIGUES</v>
      </c>
      <c r="I1965" t="s">
        <v>21</v>
      </c>
      <c r="J1965" t="s">
        <v>1188</v>
      </c>
      <c r="K1965" t="s">
        <v>1863</v>
      </c>
      <c r="L1965">
        <v>24248</v>
      </c>
      <c r="M1965" t="s">
        <v>107</v>
      </c>
      <c r="O1965" t="s">
        <v>11</v>
      </c>
      <c r="P1965">
        <v>5102</v>
      </c>
      <c r="Q1965">
        <v>12</v>
      </c>
      <c r="R1965">
        <v>8</v>
      </c>
      <c r="S1965">
        <v>96</v>
      </c>
      <c r="T1965">
        <v>78</v>
      </c>
      <c r="U1965">
        <v>18.75</v>
      </c>
      <c r="V1965" t="str">
        <f>VLOOKUP(L1965,'[2]tabela de preços'!$A:$D,4,0)</f>
        <v>SHERWIN WILLIAMS</v>
      </c>
      <c r="W1965" t="str">
        <f>VLOOKUP(L1965,'[2]tabela de preços'!$A:$F,6,0)</f>
        <v>PRIMER AUTOMOTIVO</v>
      </c>
      <c r="X1965" t="str">
        <f>VLOOKUP(L1965,'[2]tabela de preços'!$A:$G,7,0)</f>
        <v>AUTOMOTIVO</v>
      </c>
    </row>
    <row r="1966" spans="1:24" x14ac:dyDescent="0.3">
      <c r="A1966" t="s">
        <v>1859</v>
      </c>
      <c r="B1966" t="s">
        <v>1860</v>
      </c>
      <c r="C1966" t="s">
        <v>1861</v>
      </c>
      <c r="D1966" s="1">
        <v>46048</v>
      </c>
      <c r="E1966" t="s">
        <v>1862</v>
      </c>
      <c r="F1966">
        <v>9</v>
      </c>
      <c r="G1966">
        <v>174</v>
      </c>
      <c r="H1966" t="str">
        <f>VLOOKUP(G1966,[1]OPERADORES!$A:$B,2,0)</f>
        <v>MIRIÃ LOBATO RODRIGUES</v>
      </c>
      <c r="I1966" t="s">
        <v>21</v>
      </c>
      <c r="J1966" t="s">
        <v>1188</v>
      </c>
      <c r="K1966" t="s">
        <v>1863</v>
      </c>
      <c r="L1966">
        <v>22684</v>
      </c>
      <c r="M1966" t="s">
        <v>73</v>
      </c>
      <c r="O1966" t="s">
        <v>11</v>
      </c>
      <c r="P1966">
        <v>5102</v>
      </c>
      <c r="Q1966">
        <v>80</v>
      </c>
      <c r="R1966">
        <v>3.65</v>
      </c>
      <c r="S1966">
        <v>292</v>
      </c>
      <c r="T1966">
        <v>246.4</v>
      </c>
      <c r="U1966">
        <v>15.62</v>
      </c>
      <c r="V1966" t="str">
        <f>VLOOKUP(L1966,'[2]tabela de preços'!$A:$D,4,0)</f>
        <v>3M</v>
      </c>
      <c r="W1966" t="str">
        <f>VLOOKUP(L1966,'[2]tabela de preços'!$A:$F,6,0)</f>
        <v>FITA AUTOMOTIVA</v>
      </c>
      <c r="X1966" t="str">
        <f>VLOOKUP(L1966,'[2]tabela de preços'!$A:$G,7,0)</f>
        <v>AUTOMOTIVO</v>
      </c>
    </row>
    <row r="1967" spans="1:24" x14ac:dyDescent="0.3">
      <c r="A1967" t="s">
        <v>1859</v>
      </c>
      <c r="B1967" t="s">
        <v>1860</v>
      </c>
      <c r="C1967" t="s">
        <v>1861</v>
      </c>
      <c r="D1967" s="1">
        <v>46048</v>
      </c>
      <c r="E1967" t="s">
        <v>1862</v>
      </c>
      <c r="F1967">
        <v>9</v>
      </c>
      <c r="G1967">
        <v>174</v>
      </c>
      <c r="H1967" t="str">
        <f>VLOOKUP(G1967,[1]OPERADORES!$A:$B,2,0)</f>
        <v>MIRIÃ LOBATO RODRIGUES</v>
      </c>
      <c r="I1967" t="s">
        <v>21</v>
      </c>
      <c r="J1967" t="s">
        <v>1188</v>
      </c>
      <c r="K1967" t="s">
        <v>1863</v>
      </c>
      <c r="L1967">
        <v>86995</v>
      </c>
      <c r="M1967" t="s">
        <v>37</v>
      </c>
      <c r="O1967" t="s">
        <v>11</v>
      </c>
      <c r="P1967">
        <v>5102</v>
      </c>
      <c r="Q1967">
        <v>10</v>
      </c>
      <c r="R1967">
        <v>7.29</v>
      </c>
      <c r="S1967">
        <v>72.900000000000006</v>
      </c>
      <c r="T1967">
        <v>58.3</v>
      </c>
      <c r="U1967">
        <v>20.03</v>
      </c>
      <c r="V1967" t="str">
        <f>VLOOKUP(L1967,'[2]tabela de preços'!$A:$D,4,0)</f>
        <v>AUTOAMERICA</v>
      </c>
      <c r="W1967" t="str">
        <f>VLOOKUP(L1967,'[2]tabela de preços'!$A:$F,6,0)</f>
        <v>FLANELAS / PANOS</v>
      </c>
      <c r="X1967" t="str">
        <f>VLOOKUP(L1967,'[2]tabela de preços'!$A:$G,7,0)</f>
        <v>AUTOMOTIVO</v>
      </c>
    </row>
    <row r="1968" spans="1:24" x14ac:dyDescent="0.3">
      <c r="A1968" t="s">
        <v>1859</v>
      </c>
      <c r="B1968" t="s">
        <v>1860</v>
      </c>
      <c r="C1968" t="s">
        <v>1861</v>
      </c>
      <c r="D1968" s="1">
        <v>46048</v>
      </c>
      <c r="E1968" t="s">
        <v>1862</v>
      </c>
      <c r="F1968">
        <v>9</v>
      </c>
      <c r="G1968">
        <v>174</v>
      </c>
      <c r="H1968" t="str">
        <f>VLOOKUP(G1968,[1]OPERADORES!$A:$B,2,0)</f>
        <v>MIRIÃ LOBATO RODRIGUES</v>
      </c>
      <c r="I1968" t="s">
        <v>21</v>
      </c>
      <c r="J1968" t="s">
        <v>1188</v>
      </c>
      <c r="K1968" t="s">
        <v>1863</v>
      </c>
      <c r="L1968">
        <v>23364</v>
      </c>
      <c r="M1968" t="s">
        <v>55</v>
      </c>
      <c r="O1968" t="s">
        <v>11</v>
      </c>
      <c r="P1968">
        <v>5102</v>
      </c>
      <c r="Q1968">
        <v>10</v>
      </c>
      <c r="R1968">
        <v>6.19</v>
      </c>
      <c r="S1968">
        <v>61.9</v>
      </c>
      <c r="T1968">
        <v>49.1</v>
      </c>
      <c r="U1968">
        <v>20.68</v>
      </c>
      <c r="V1968" t="str">
        <f>VLOOKUP(L1968,'[2]tabela de preços'!$A:$D,4,0)</f>
        <v>AUTO AMERICA</v>
      </c>
      <c r="W1968" t="str">
        <f>VLOOKUP(L1968,'[2]tabela de preços'!$A:$F,6,0)</f>
        <v>FLANELAS / PANOS</v>
      </c>
      <c r="X1968" t="str">
        <f>VLOOKUP(L1968,'[2]tabela de preços'!$A:$G,7,0)</f>
        <v>AUTOMOTIVO</v>
      </c>
    </row>
    <row r="1969" spans="1:24" x14ac:dyDescent="0.3">
      <c r="A1969" t="s">
        <v>1859</v>
      </c>
      <c r="B1969" t="s">
        <v>1860</v>
      </c>
      <c r="C1969" t="s">
        <v>1861</v>
      </c>
      <c r="D1969" s="1">
        <v>46048</v>
      </c>
      <c r="E1969" t="s">
        <v>1862</v>
      </c>
      <c r="F1969">
        <v>9</v>
      </c>
      <c r="G1969">
        <v>174</v>
      </c>
      <c r="H1969" t="str">
        <f>VLOOKUP(G1969,[1]OPERADORES!$A:$B,2,0)</f>
        <v>MIRIÃ LOBATO RODRIGUES</v>
      </c>
      <c r="I1969" t="s">
        <v>21</v>
      </c>
      <c r="J1969" t="s">
        <v>1188</v>
      </c>
      <c r="K1969" t="s">
        <v>1863</v>
      </c>
      <c r="L1969">
        <v>23602</v>
      </c>
      <c r="M1969" t="s">
        <v>215</v>
      </c>
      <c r="O1969" t="s">
        <v>11</v>
      </c>
      <c r="P1969">
        <v>5403</v>
      </c>
      <c r="Q1969">
        <v>9</v>
      </c>
      <c r="R1969">
        <v>35.89</v>
      </c>
      <c r="S1969">
        <v>323.01</v>
      </c>
      <c r="T1969">
        <v>263.25</v>
      </c>
      <c r="U1969">
        <v>18.5</v>
      </c>
      <c r="V1969" t="str">
        <f>VLOOKUP(L1969,'[2]tabela de preços'!$A:$D,4,0)</f>
        <v>SHERWIN WILLIAMS</v>
      </c>
      <c r="W1969" t="str">
        <f>VLOOKUP(L1969,'[2]tabela de preços'!$A:$F,6,0)</f>
        <v>VERNIZ AUTOMOTIVO</v>
      </c>
      <c r="X1969" t="str">
        <f>VLOOKUP(L1969,'[2]tabela de preços'!$A:$G,7,0)</f>
        <v>AUTOMOTIVO</v>
      </c>
    </row>
    <row r="1970" spans="1:24" x14ac:dyDescent="0.3">
      <c r="A1970" t="s">
        <v>1859</v>
      </c>
      <c r="B1970" t="s">
        <v>1860</v>
      </c>
      <c r="C1970" t="s">
        <v>1861</v>
      </c>
      <c r="D1970" s="1">
        <v>46048</v>
      </c>
      <c r="E1970" t="s">
        <v>1862</v>
      </c>
      <c r="F1970">
        <v>9</v>
      </c>
      <c r="G1970">
        <v>174</v>
      </c>
      <c r="H1970" t="str">
        <f>VLOOKUP(G1970,[1]OPERADORES!$A:$B,2,0)</f>
        <v>MIRIÃ LOBATO RODRIGUES</v>
      </c>
      <c r="I1970" t="s">
        <v>21</v>
      </c>
      <c r="J1970" t="s">
        <v>1188</v>
      </c>
      <c r="K1970" t="s">
        <v>1863</v>
      </c>
      <c r="L1970">
        <v>20431</v>
      </c>
      <c r="M1970" t="s">
        <v>202</v>
      </c>
      <c r="O1970" t="s">
        <v>11</v>
      </c>
      <c r="P1970">
        <v>5403</v>
      </c>
      <c r="Q1970">
        <v>9</v>
      </c>
      <c r="R1970">
        <v>36.89</v>
      </c>
      <c r="S1970">
        <v>332.01</v>
      </c>
      <c r="T1970">
        <v>272.33999999999997</v>
      </c>
      <c r="U1970">
        <v>17.97</v>
      </c>
      <c r="V1970" t="str">
        <f>VLOOKUP(L1970,'[2]tabela de preços'!$A:$D,4,0)</f>
        <v>SHERWIN WILLIAMS</v>
      </c>
      <c r="W1970" t="str">
        <f>VLOOKUP(L1970,'[2]tabela de preços'!$A:$F,6,0)</f>
        <v>VERNIZ AUTOMOTIVO</v>
      </c>
      <c r="X1970" t="str">
        <f>VLOOKUP(L1970,'[2]tabela de preços'!$A:$G,7,0)</f>
        <v>AUTOMOTIVO</v>
      </c>
    </row>
    <row r="1971" spans="1:24" x14ac:dyDescent="0.3">
      <c r="A1971" t="s">
        <v>1859</v>
      </c>
      <c r="B1971" t="s">
        <v>1860</v>
      </c>
      <c r="C1971" t="s">
        <v>1861</v>
      </c>
      <c r="D1971" s="1">
        <v>46048</v>
      </c>
      <c r="E1971" t="s">
        <v>1862</v>
      </c>
      <c r="F1971">
        <v>9</v>
      </c>
      <c r="G1971">
        <v>174</v>
      </c>
      <c r="H1971" t="str">
        <f>VLOOKUP(G1971,[1]OPERADORES!$A:$B,2,0)</f>
        <v>MIRIÃ LOBATO RODRIGUES</v>
      </c>
      <c r="I1971" t="s">
        <v>21</v>
      </c>
      <c r="J1971" t="s">
        <v>1188</v>
      </c>
      <c r="K1971" t="s">
        <v>1863</v>
      </c>
      <c r="L1971">
        <v>10238</v>
      </c>
      <c r="M1971" t="s">
        <v>79</v>
      </c>
      <c r="O1971" t="s">
        <v>11</v>
      </c>
      <c r="P1971">
        <v>5102</v>
      </c>
      <c r="Q1971">
        <v>50</v>
      </c>
      <c r="R1971">
        <v>2.79</v>
      </c>
      <c r="S1971">
        <v>139.5</v>
      </c>
      <c r="T1971">
        <v>112</v>
      </c>
      <c r="U1971">
        <v>19.71</v>
      </c>
      <c r="V1971" t="str">
        <f>VLOOKUP(L1971,'[2]tabela de preços'!$A:$D,4,0)</f>
        <v>NORTON</v>
      </c>
      <c r="W1971" t="str">
        <f>VLOOKUP(L1971,'[2]tabela de preços'!$A:$F,6,0)</f>
        <v xml:space="preserve">DISCOS / LIXAS / ABRASIVOS </v>
      </c>
      <c r="X1971" t="str">
        <f>VLOOKUP(L1971,'[2]tabela de preços'!$A:$G,7,0)</f>
        <v>AUTOMOTIVO</v>
      </c>
    </row>
    <row r="1972" spans="1:24" x14ac:dyDescent="0.3">
      <c r="A1972" t="s">
        <v>1859</v>
      </c>
      <c r="B1972" t="s">
        <v>1860</v>
      </c>
      <c r="C1972" t="s">
        <v>1861</v>
      </c>
      <c r="D1972" s="1">
        <v>46048</v>
      </c>
      <c r="E1972" t="s">
        <v>1862</v>
      </c>
      <c r="F1972">
        <v>9</v>
      </c>
      <c r="G1972">
        <v>174</v>
      </c>
      <c r="H1972" t="str">
        <f>VLOOKUP(G1972,[1]OPERADORES!$A:$B,2,0)</f>
        <v>MIRIÃ LOBATO RODRIGUES</v>
      </c>
      <c r="I1972" t="s">
        <v>21</v>
      </c>
      <c r="J1972" t="s">
        <v>1188</v>
      </c>
      <c r="K1972" t="s">
        <v>1863</v>
      </c>
      <c r="L1972">
        <v>10243</v>
      </c>
      <c r="M1972" t="s">
        <v>83</v>
      </c>
      <c r="O1972" t="s">
        <v>11</v>
      </c>
      <c r="P1972">
        <v>5102</v>
      </c>
      <c r="Q1972">
        <v>50</v>
      </c>
      <c r="R1972">
        <v>2.79</v>
      </c>
      <c r="S1972">
        <v>139.5</v>
      </c>
      <c r="T1972">
        <v>96.5</v>
      </c>
      <c r="U1972">
        <v>30.82</v>
      </c>
      <c r="V1972" t="str">
        <f>VLOOKUP(L1972,'[2]tabela de preços'!$A:$D,4,0)</f>
        <v>NORTON</v>
      </c>
      <c r="W1972" t="str">
        <f>VLOOKUP(L1972,'[2]tabela de preços'!$A:$F,6,0)</f>
        <v xml:space="preserve">DISCOS / LIXAS / ABRASIVOS </v>
      </c>
      <c r="X1972" t="str">
        <f>VLOOKUP(L1972,'[2]tabela de preços'!$A:$G,7,0)</f>
        <v>AUTOMOTIVO</v>
      </c>
    </row>
    <row r="1973" spans="1:24" x14ac:dyDescent="0.3">
      <c r="A1973" t="s">
        <v>1859</v>
      </c>
      <c r="B1973" t="s">
        <v>1860</v>
      </c>
      <c r="C1973" t="s">
        <v>1861</v>
      </c>
      <c r="D1973" s="1">
        <v>46048</v>
      </c>
      <c r="E1973" t="s">
        <v>1862</v>
      </c>
      <c r="F1973">
        <v>9</v>
      </c>
      <c r="G1973">
        <v>174</v>
      </c>
      <c r="H1973" t="str">
        <f>VLOOKUP(G1973,[1]OPERADORES!$A:$B,2,0)</f>
        <v>MIRIÃ LOBATO RODRIGUES</v>
      </c>
      <c r="I1973" t="s">
        <v>21</v>
      </c>
      <c r="J1973" t="s">
        <v>1188</v>
      </c>
      <c r="K1973" t="s">
        <v>1863</v>
      </c>
      <c r="L1973">
        <v>10244</v>
      </c>
      <c r="M1973" t="s">
        <v>84</v>
      </c>
      <c r="O1973" t="s">
        <v>11</v>
      </c>
      <c r="P1973">
        <v>5102</v>
      </c>
      <c r="Q1973">
        <v>50</v>
      </c>
      <c r="R1973">
        <v>2.79</v>
      </c>
      <c r="S1973">
        <v>139.5</v>
      </c>
      <c r="T1973">
        <v>96.5</v>
      </c>
      <c r="U1973">
        <v>30.82</v>
      </c>
      <c r="V1973" t="str">
        <f>VLOOKUP(L1973,'[2]tabela de preços'!$A:$D,4,0)</f>
        <v>NORTON</v>
      </c>
      <c r="W1973" t="str">
        <f>VLOOKUP(L1973,'[2]tabela de preços'!$A:$F,6,0)</f>
        <v xml:space="preserve">DISCOS / LIXAS / ABRASIVOS </v>
      </c>
      <c r="X1973" t="str">
        <f>VLOOKUP(L1973,'[2]tabela de preços'!$A:$G,7,0)</f>
        <v>AUTOMOTIVO</v>
      </c>
    </row>
    <row r="1974" spans="1:24" x14ac:dyDescent="0.3">
      <c r="A1974" t="s">
        <v>1859</v>
      </c>
      <c r="B1974" t="s">
        <v>1860</v>
      </c>
      <c r="C1974" t="s">
        <v>1861</v>
      </c>
      <c r="D1974" s="1">
        <v>46048</v>
      </c>
      <c r="E1974" t="s">
        <v>1862</v>
      </c>
      <c r="F1974">
        <v>9</v>
      </c>
      <c r="G1974">
        <v>174</v>
      </c>
      <c r="H1974" t="str">
        <f>VLOOKUP(G1974,[1]OPERADORES!$A:$B,2,0)</f>
        <v>MIRIÃ LOBATO RODRIGUES</v>
      </c>
      <c r="I1974" t="s">
        <v>21</v>
      </c>
      <c r="J1974" t="s">
        <v>1188</v>
      </c>
      <c r="K1974" t="s">
        <v>1863</v>
      </c>
      <c r="L1974">
        <v>10246</v>
      </c>
      <c r="M1974" t="s">
        <v>206</v>
      </c>
      <c r="O1974" t="s">
        <v>11</v>
      </c>
      <c r="P1974">
        <v>5102</v>
      </c>
      <c r="Q1974">
        <v>50</v>
      </c>
      <c r="R1974">
        <v>2.79</v>
      </c>
      <c r="S1974">
        <v>139.5</v>
      </c>
      <c r="T1974">
        <v>96.5</v>
      </c>
      <c r="U1974">
        <v>30.82</v>
      </c>
      <c r="V1974" t="str">
        <f>VLOOKUP(L1974,'[2]tabela de preços'!$A:$D,4,0)</f>
        <v>NORTON</v>
      </c>
      <c r="W1974" t="str">
        <f>VLOOKUP(L1974,'[2]tabela de preços'!$A:$F,6,0)</f>
        <v xml:space="preserve">DISCOS / LIXAS / ABRASIVOS </v>
      </c>
      <c r="X1974" t="str">
        <f>VLOOKUP(L1974,'[2]tabela de preços'!$A:$G,7,0)</f>
        <v>AUTOMOTIVO</v>
      </c>
    </row>
    <row r="1975" spans="1:24" x14ac:dyDescent="0.3">
      <c r="A1975" t="s">
        <v>1859</v>
      </c>
      <c r="B1975" t="s">
        <v>1860</v>
      </c>
      <c r="C1975" t="s">
        <v>1861</v>
      </c>
      <c r="D1975" s="1">
        <v>46048</v>
      </c>
      <c r="E1975" t="s">
        <v>1862</v>
      </c>
      <c r="F1975">
        <v>9</v>
      </c>
      <c r="G1975">
        <v>174</v>
      </c>
      <c r="H1975" t="str">
        <f>VLOOKUP(G1975,[1]OPERADORES!$A:$B,2,0)</f>
        <v>MIRIÃ LOBATO RODRIGUES</v>
      </c>
      <c r="I1975" t="s">
        <v>21</v>
      </c>
      <c r="J1975" t="s">
        <v>1188</v>
      </c>
      <c r="K1975" t="s">
        <v>1863</v>
      </c>
      <c r="L1975">
        <v>20817</v>
      </c>
      <c r="M1975" t="s">
        <v>153</v>
      </c>
      <c r="O1975" t="s">
        <v>11</v>
      </c>
      <c r="P1975">
        <v>5102</v>
      </c>
      <c r="Q1975">
        <v>6</v>
      </c>
      <c r="R1975">
        <v>22.89</v>
      </c>
      <c r="S1975">
        <v>137.34</v>
      </c>
      <c r="T1975">
        <v>111.72</v>
      </c>
      <c r="U1975">
        <v>18.649999999999999</v>
      </c>
      <c r="V1975" t="str">
        <f>VLOOKUP(L1975,'[2]tabela de preços'!$A:$D,4,0)</f>
        <v>AUTO AMERICA</v>
      </c>
      <c r="W1975" t="str">
        <f>VLOOKUP(L1975,'[2]tabela de preços'!$A:$F,6,0)</f>
        <v>MASSA DE POLIR</v>
      </c>
      <c r="X1975" t="str">
        <f>VLOOKUP(L1975,'[2]tabela de preços'!$A:$G,7,0)</f>
        <v>AUTOMOTIVO</v>
      </c>
    </row>
    <row r="1976" spans="1:24" x14ac:dyDescent="0.3">
      <c r="A1976" t="s">
        <v>1859</v>
      </c>
      <c r="B1976" t="s">
        <v>1860</v>
      </c>
      <c r="C1976" t="s">
        <v>1861</v>
      </c>
      <c r="D1976" s="1">
        <v>46048</v>
      </c>
      <c r="E1976" t="s">
        <v>1862</v>
      </c>
      <c r="F1976">
        <v>9</v>
      </c>
      <c r="G1976">
        <v>174</v>
      </c>
      <c r="H1976" t="str">
        <f>VLOOKUP(G1976,[1]OPERADORES!$A:$B,2,0)</f>
        <v>MIRIÃ LOBATO RODRIGUES</v>
      </c>
      <c r="I1976" t="s">
        <v>21</v>
      </c>
      <c r="J1976" t="s">
        <v>1188</v>
      </c>
      <c r="K1976" t="s">
        <v>1863</v>
      </c>
      <c r="L1976">
        <v>87043</v>
      </c>
      <c r="M1976" t="s">
        <v>217</v>
      </c>
      <c r="O1976" t="s">
        <v>11</v>
      </c>
      <c r="P1976">
        <v>5102</v>
      </c>
      <c r="Q1976">
        <v>16</v>
      </c>
      <c r="R1976">
        <v>21.95</v>
      </c>
      <c r="S1976">
        <v>351.2</v>
      </c>
      <c r="T1976">
        <v>288.32</v>
      </c>
      <c r="U1976">
        <v>17.899999999999999</v>
      </c>
      <c r="V1976" t="str">
        <f>VLOOKUP(L1976,'[2]tabela de preços'!$A:$D,4,0)</f>
        <v>ROBERLO</v>
      </c>
      <c r="W1976" t="str">
        <f>VLOOKUP(L1976,'[2]tabela de preços'!$A:$F,6,0)</f>
        <v>MASSA POLIÉSTER</v>
      </c>
      <c r="X1976" t="str">
        <f>VLOOKUP(L1976,'[2]tabela de preços'!$A:$G,7,0)</f>
        <v>AUTOMOTIVO</v>
      </c>
    </row>
    <row r="1977" spans="1:24" x14ac:dyDescent="0.3">
      <c r="A1977" t="s">
        <v>1859</v>
      </c>
      <c r="B1977" t="s">
        <v>1860</v>
      </c>
      <c r="C1977" t="s">
        <v>1861</v>
      </c>
      <c r="D1977" s="1">
        <v>46048</v>
      </c>
      <c r="E1977" t="s">
        <v>1862</v>
      </c>
      <c r="F1977">
        <v>9</v>
      </c>
      <c r="G1977">
        <v>174</v>
      </c>
      <c r="H1977" t="str">
        <f>VLOOKUP(G1977,[1]OPERADORES!$A:$B,2,0)</f>
        <v>MIRIÃ LOBATO RODRIGUES</v>
      </c>
      <c r="I1977" t="s">
        <v>21</v>
      </c>
      <c r="J1977" t="s">
        <v>1188</v>
      </c>
      <c r="K1977" t="s">
        <v>1863</v>
      </c>
      <c r="L1977">
        <v>24247</v>
      </c>
      <c r="M1977" t="s">
        <v>160</v>
      </c>
      <c r="O1977" t="s">
        <v>11</v>
      </c>
      <c r="P1977">
        <v>5403</v>
      </c>
      <c r="Q1977">
        <v>12</v>
      </c>
      <c r="R1977">
        <v>21</v>
      </c>
      <c r="S1977">
        <v>252</v>
      </c>
      <c r="T1977">
        <v>202.44</v>
      </c>
      <c r="U1977">
        <v>19.670000000000002</v>
      </c>
      <c r="V1977" t="str">
        <f>VLOOKUP(L1977,'[2]tabela de preços'!$A:$D,4,0)</f>
        <v>SHERWIN WILLIAMS</v>
      </c>
      <c r="W1977" t="str">
        <f>VLOOKUP(L1977,'[2]tabela de preços'!$A:$F,6,0)</f>
        <v>PRIMER AUTOMOTIVO</v>
      </c>
      <c r="X1977" t="str">
        <f>VLOOKUP(L1977,'[2]tabela de preços'!$A:$G,7,0)</f>
        <v>AUTOMOTIVO</v>
      </c>
    </row>
    <row r="1978" spans="1:24" x14ac:dyDescent="0.3">
      <c r="A1978" t="s">
        <v>1859</v>
      </c>
      <c r="B1978" t="s">
        <v>1860</v>
      </c>
      <c r="C1978" t="s">
        <v>1861</v>
      </c>
      <c r="D1978" s="1">
        <v>46048</v>
      </c>
      <c r="E1978" t="s">
        <v>1862</v>
      </c>
      <c r="F1978">
        <v>9</v>
      </c>
      <c r="G1978">
        <v>174</v>
      </c>
      <c r="H1978" t="str">
        <f>VLOOKUP(G1978,[1]OPERADORES!$A:$B,2,0)</f>
        <v>MIRIÃ LOBATO RODRIGUES</v>
      </c>
      <c r="I1978" t="s">
        <v>21</v>
      </c>
      <c r="J1978" t="s">
        <v>1188</v>
      </c>
      <c r="K1978" t="s">
        <v>1863</v>
      </c>
      <c r="L1978">
        <v>10297</v>
      </c>
      <c r="M1978" t="s">
        <v>41</v>
      </c>
      <c r="O1978" t="s">
        <v>11</v>
      </c>
      <c r="P1978">
        <v>5102</v>
      </c>
      <c r="Q1978">
        <v>12</v>
      </c>
      <c r="R1978">
        <v>10.89</v>
      </c>
      <c r="S1978">
        <v>130.68</v>
      </c>
      <c r="T1978">
        <v>110.04</v>
      </c>
      <c r="U1978">
        <v>15.79</v>
      </c>
      <c r="V1978" t="str">
        <f>VLOOKUP(L1978,'[2]tabela de preços'!$A:$D,4,0)</f>
        <v>ANJO</v>
      </c>
      <c r="W1978" t="str">
        <f>VLOOKUP(L1978,'[2]tabela de preços'!$A:$F,6,0)</f>
        <v>THINNER DE LIMPEZA</v>
      </c>
      <c r="X1978" t="str">
        <f>VLOOKUP(L1978,'[2]tabela de preços'!$A:$G,7,0)</f>
        <v>THINNER</v>
      </c>
    </row>
    <row r="1979" spans="1:24" x14ac:dyDescent="0.3">
      <c r="A1979" t="s">
        <v>1859</v>
      </c>
      <c r="B1979" t="s">
        <v>1860</v>
      </c>
      <c r="C1979" t="s">
        <v>1861</v>
      </c>
      <c r="D1979" s="1">
        <v>46048</v>
      </c>
      <c r="E1979" t="s">
        <v>1862</v>
      </c>
      <c r="F1979">
        <v>9</v>
      </c>
      <c r="G1979">
        <v>174</v>
      </c>
      <c r="H1979" t="str">
        <f>VLOOKUP(G1979,[1]OPERADORES!$A:$B,2,0)</f>
        <v>MIRIÃ LOBATO RODRIGUES</v>
      </c>
      <c r="I1979" t="s">
        <v>21</v>
      </c>
      <c r="J1979" t="s">
        <v>1188</v>
      </c>
      <c r="K1979" t="s">
        <v>1863</v>
      </c>
      <c r="L1979">
        <v>84497</v>
      </c>
      <c r="M1979" t="s">
        <v>1159</v>
      </c>
      <c r="O1979" t="s">
        <v>11</v>
      </c>
      <c r="P1979">
        <v>5102</v>
      </c>
      <c r="Q1979">
        <v>12</v>
      </c>
      <c r="R1979">
        <v>9.99</v>
      </c>
      <c r="S1979">
        <v>119.88</v>
      </c>
      <c r="T1979">
        <v>97.68</v>
      </c>
      <c r="U1979">
        <v>18.52</v>
      </c>
      <c r="V1979" t="str">
        <f>VLOOKUP(L1979,'[2]tabela de preços'!$A:$D,4,0)</f>
        <v>BRASILUX</v>
      </c>
      <c r="W1979" t="str">
        <f>VLOOKUP(L1979,'[2]tabela de preços'!$A:$F,6,0)</f>
        <v>THINNER DE LIMPEZA</v>
      </c>
      <c r="X1979" t="str">
        <f>VLOOKUP(L1979,'[2]tabela de preços'!$A:$G,7,0)</f>
        <v>THINNER</v>
      </c>
    </row>
    <row r="1980" spans="1:24" x14ac:dyDescent="0.3">
      <c r="A1980" t="s">
        <v>1859</v>
      </c>
      <c r="B1980" t="s">
        <v>1860</v>
      </c>
      <c r="C1980" t="s">
        <v>1861</v>
      </c>
      <c r="D1980" s="1">
        <v>46048</v>
      </c>
      <c r="E1980" t="s">
        <v>1862</v>
      </c>
      <c r="F1980">
        <v>9</v>
      </c>
      <c r="G1980">
        <v>174</v>
      </c>
      <c r="H1980" t="str">
        <f>VLOOKUP(G1980,[1]OPERADORES!$A:$B,2,0)</f>
        <v>MIRIÃ LOBATO RODRIGUES</v>
      </c>
      <c r="I1980" t="s">
        <v>21</v>
      </c>
      <c r="J1980" t="s">
        <v>1188</v>
      </c>
      <c r="K1980" t="s">
        <v>1863</v>
      </c>
      <c r="L1980">
        <v>84825</v>
      </c>
      <c r="M1980" t="s">
        <v>1864</v>
      </c>
      <c r="O1980" t="s">
        <v>11</v>
      </c>
      <c r="P1980">
        <v>5102</v>
      </c>
      <c r="Q1980">
        <v>4</v>
      </c>
      <c r="R1980">
        <v>198.75</v>
      </c>
      <c r="S1980">
        <v>795</v>
      </c>
      <c r="T1980">
        <v>603.4</v>
      </c>
      <c r="U1980">
        <v>24.1</v>
      </c>
      <c r="V1980" t="str">
        <f>VLOOKUP(L1980,'[2]tabela de preços'!$A:$D,4,0)</f>
        <v>BRASILUX</v>
      </c>
      <c r="W1980" t="str">
        <f>VLOOKUP(L1980,'[2]tabela de preços'!$A:$F,6,0)</f>
        <v>DILUENTE</v>
      </c>
      <c r="X1980" t="str">
        <f>VLOOKUP(L1980,'[2]tabela de preços'!$A:$G,7,0)</f>
        <v>AUTOMOTIVO</v>
      </c>
    </row>
    <row r="1981" spans="1:24" x14ac:dyDescent="0.3">
      <c r="A1981" t="s">
        <v>1859</v>
      </c>
      <c r="B1981" t="s">
        <v>1860</v>
      </c>
      <c r="C1981" t="s">
        <v>1861</v>
      </c>
      <c r="D1981" s="1">
        <v>46048</v>
      </c>
      <c r="E1981" t="s">
        <v>1862</v>
      </c>
      <c r="F1981">
        <v>9</v>
      </c>
      <c r="G1981">
        <v>174</v>
      </c>
      <c r="H1981" t="str">
        <f>VLOOKUP(G1981,[1]OPERADORES!$A:$B,2,0)</f>
        <v>MIRIÃ LOBATO RODRIGUES</v>
      </c>
      <c r="I1981" t="s">
        <v>21</v>
      </c>
      <c r="J1981" t="s">
        <v>1188</v>
      </c>
      <c r="K1981" t="s">
        <v>1863</v>
      </c>
      <c r="L1981">
        <v>21321</v>
      </c>
      <c r="M1981" t="s">
        <v>272</v>
      </c>
      <c r="O1981" t="s">
        <v>11</v>
      </c>
      <c r="P1981">
        <v>5102</v>
      </c>
      <c r="Q1981">
        <v>3</v>
      </c>
      <c r="R1981">
        <v>20.239999999999998</v>
      </c>
      <c r="S1981">
        <v>60.72</v>
      </c>
      <c r="T1981">
        <v>46.08</v>
      </c>
      <c r="U1981">
        <v>24.11</v>
      </c>
      <c r="V1981" t="str">
        <f>VLOOKUP(L1981,'[2]tabela de preços'!$A:$D,4,0)</f>
        <v>AUTO AMERICA</v>
      </c>
      <c r="W1981" t="str">
        <f>VLOOKUP(L1981,'[2]tabela de preços'!$A:$F,6,0)</f>
        <v>CERA  / LIMPEZA /  POLIMENTO VEICULAR</v>
      </c>
      <c r="X1981" t="str">
        <f>VLOOKUP(L1981,'[2]tabela de preços'!$A:$G,7,0)</f>
        <v>AUTOMOTIVO</v>
      </c>
    </row>
    <row r="1982" spans="1:24" x14ac:dyDescent="0.3">
      <c r="A1982" t="s">
        <v>1859</v>
      </c>
      <c r="B1982" t="s">
        <v>1860</v>
      </c>
      <c r="C1982" t="s">
        <v>1861</v>
      </c>
      <c r="D1982" s="1">
        <v>46048</v>
      </c>
      <c r="E1982" t="s">
        <v>1862</v>
      </c>
      <c r="F1982">
        <v>9</v>
      </c>
      <c r="G1982">
        <v>174</v>
      </c>
      <c r="H1982" t="str">
        <f>VLOOKUP(G1982,[1]OPERADORES!$A:$B,2,0)</f>
        <v>MIRIÃ LOBATO RODRIGUES</v>
      </c>
      <c r="I1982" t="s">
        <v>21</v>
      </c>
      <c r="J1982" t="s">
        <v>1188</v>
      </c>
      <c r="K1982" t="s">
        <v>1863</v>
      </c>
      <c r="L1982">
        <v>10404</v>
      </c>
      <c r="M1982" t="s">
        <v>130</v>
      </c>
      <c r="O1982" t="s">
        <v>11</v>
      </c>
      <c r="P1982">
        <v>5102</v>
      </c>
      <c r="Q1982">
        <v>24</v>
      </c>
      <c r="R1982">
        <v>16.29</v>
      </c>
      <c r="S1982">
        <v>390.96</v>
      </c>
      <c r="T1982">
        <v>300.24</v>
      </c>
      <c r="U1982">
        <v>23.2</v>
      </c>
      <c r="V1982" t="str">
        <f>VLOOKUP(L1982,'[2]tabela de preços'!$A:$D,4,0)</f>
        <v>MAXI RUBBER</v>
      </c>
      <c r="W1982" t="str">
        <f>VLOOKUP(L1982,'[2]tabela de preços'!$A:$F,6,0)</f>
        <v>VEDADORES / SELANTES</v>
      </c>
      <c r="X1982" t="str">
        <f>VLOOKUP(L1982,'[2]tabela de preços'!$A:$G,7,0)</f>
        <v>AUTOMOTIVO</v>
      </c>
    </row>
    <row r="1983" spans="1:24" x14ac:dyDescent="0.3">
      <c r="A1983" t="s">
        <v>1969</v>
      </c>
      <c r="C1983" t="s">
        <v>1976</v>
      </c>
      <c r="D1983" s="1">
        <v>46048</v>
      </c>
      <c r="E1983" t="s">
        <v>1977</v>
      </c>
      <c r="F1983">
        <v>9</v>
      </c>
      <c r="G1983">
        <v>230</v>
      </c>
      <c r="H1983" t="str">
        <f>VLOOKUP(G1983,[1]OPERADORES!$A:$B,2,0)</f>
        <v>SÔNIA</v>
      </c>
      <c r="I1983" t="s">
        <v>715</v>
      </c>
      <c r="J1983" t="s">
        <v>1972</v>
      </c>
      <c r="K1983" t="s">
        <v>1973</v>
      </c>
      <c r="L1983">
        <v>20431</v>
      </c>
      <c r="M1983" t="s">
        <v>202</v>
      </c>
      <c r="O1983" t="s">
        <v>11</v>
      </c>
      <c r="P1983">
        <v>6403</v>
      </c>
      <c r="Q1983">
        <v>6</v>
      </c>
      <c r="R1983">
        <v>36.89</v>
      </c>
      <c r="S1983">
        <v>221.34</v>
      </c>
      <c r="T1983">
        <v>181.56</v>
      </c>
      <c r="U1983">
        <v>17.97</v>
      </c>
      <c r="V1983" t="str">
        <f>VLOOKUP(L1983,'[2]tabela de preços'!$A:$D,4,0)</f>
        <v>SHERWIN WILLIAMS</v>
      </c>
      <c r="W1983" t="str">
        <f>VLOOKUP(L1983,'[2]tabela de preços'!$A:$F,6,0)</f>
        <v>VERNIZ AUTOMOTIVO</v>
      </c>
      <c r="X1983" t="str">
        <f>VLOOKUP(L1983,'[2]tabela de preços'!$A:$G,7,0)</f>
        <v>AUTOMOTIVO</v>
      </c>
    </row>
    <row r="1984" spans="1:24" x14ac:dyDescent="0.3">
      <c r="A1984" t="s">
        <v>1969</v>
      </c>
      <c r="C1984" t="s">
        <v>1976</v>
      </c>
      <c r="D1984" s="1">
        <v>46048</v>
      </c>
      <c r="E1984" t="s">
        <v>1977</v>
      </c>
      <c r="F1984">
        <v>9</v>
      </c>
      <c r="G1984">
        <v>230</v>
      </c>
      <c r="H1984" t="str">
        <f>VLOOKUP(G1984,[1]OPERADORES!$A:$B,2,0)</f>
        <v>SÔNIA</v>
      </c>
      <c r="I1984" t="s">
        <v>715</v>
      </c>
      <c r="J1984" t="s">
        <v>1972</v>
      </c>
      <c r="K1984" t="s">
        <v>1973</v>
      </c>
      <c r="L1984">
        <v>24067</v>
      </c>
      <c r="M1984" t="s">
        <v>1978</v>
      </c>
      <c r="O1984" t="s">
        <v>11</v>
      </c>
      <c r="P1984">
        <v>6403</v>
      </c>
      <c r="Q1984">
        <v>19</v>
      </c>
      <c r="R1984">
        <v>65.180000000000007</v>
      </c>
      <c r="S1984" s="2">
        <v>1238.42</v>
      </c>
      <c r="T1984">
        <v>998.64</v>
      </c>
      <c r="U1984">
        <v>19.36</v>
      </c>
      <c r="V1984" t="str">
        <f>VLOOKUP(L1984,'[2]tabela de preços'!$A:$D,4,0)</f>
        <v>SKY</v>
      </c>
      <c r="W1984" t="str">
        <f>VLOOKUP(L1984,'[2]tabela de preços'!$A:$F,6,0)</f>
        <v>VERNIZ AUTOMOTIVO</v>
      </c>
      <c r="X1984" t="str">
        <f>VLOOKUP(L1984,'[2]tabela de preços'!$A:$G,7,0)</f>
        <v>AUTOMOTIVO</v>
      </c>
    </row>
    <row r="1985" spans="1:24" x14ac:dyDescent="0.3">
      <c r="A1985" t="s">
        <v>2046</v>
      </c>
      <c r="C1985" t="s">
        <v>2053</v>
      </c>
      <c r="D1985" s="1">
        <v>46048</v>
      </c>
      <c r="E1985" t="s">
        <v>2054</v>
      </c>
      <c r="F1985">
        <v>9</v>
      </c>
      <c r="G1985">
        <v>236</v>
      </c>
      <c r="H1985" t="str">
        <f>VLOOKUP(G1985,[1]OPERADORES!$A:$B,2,0)</f>
        <v>DANIEL</v>
      </c>
      <c r="I1985" t="s">
        <v>21</v>
      </c>
      <c r="J1985" t="s">
        <v>614</v>
      </c>
      <c r="K1985" t="s">
        <v>2049</v>
      </c>
      <c r="L1985">
        <v>20099</v>
      </c>
      <c r="M1985" t="s">
        <v>1308</v>
      </c>
      <c r="O1985" t="s">
        <v>11</v>
      </c>
      <c r="P1985">
        <v>5403</v>
      </c>
      <c r="Q1985">
        <v>12</v>
      </c>
      <c r="R1985">
        <v>16.46</v>
      </c>
      <c r="S1985">
        <v>197.52</v>
      </c>
      <c r="T1985">
        <v>144.84</v>
      </c>
      <c r="U1985">
        <v>26.67</v>
      </c>
      <c r="V1985" t="str">
        <f>VLOOKUP(L1985,'[2]tabela de preços'!$A:$D,4,0)</f>
        <v>MAXI RUBBER</v>
      </c>
      <c r="W1985" t="str">
        <f>VLOOKUP(L1985,'[2]tabela de preços'!$A:$F,6,0)</f>
        <v>BATIDA DE PEDRA</v>
      </c>
      <c r="X1985" t="str">
        <f>VLOOKUP(L1985,'[2]tabela de preços'!$A:$G,7,0)</f>
        <v>AUTOMOTIVO</v>
      </c>
    </row>
    <row r="1986" spans="1:24" x14ac:dyDescent="0.3">
      <c r="A1986" t="s">
        <v>2046</v>
      </c>
      <c r="C1986" t="s">
        <v>2053</v>
      </c>
      <c r="D1986" s="1">
        <v>46048</v>
      </c>
      <c r="E1986" t="s">
        <v>2054</v>
      </c>
      <c r="F1986">
        <v>9</v>
      </c>
      <c r="G1986">
        <v>236</v>
      </c>
      <c r="H1986" t="str">
        <f>VLOOKUP(G1986,[1]OPERADORES!$A:$B,2,0)</f>
        <v>DANIEL</v>
      </c>
      <c r="I1986" t="s">
        <v>21</v>
      </c>
      <c r="J1986" t="s">
        <v>614</v>
      </c>
      <c r="K1986" t="s">
        <v>2049</v>
      </c>
      <c r="L1986">
        <v>23716</v>
      </c>
      <c r="M1986" t="s">
        <v>220</v>
      </c>
      <c r="O1986" t="s">
        <v>11</v>
      </c>
      <c r="P1986">
        <v>5102</v>
      </c>
      <c r="Q1986">
        <v>3</v>
      </c>
      <c r="R1986">
        <v>42.14</v>
      </c>
      <c r="S1986">
        <v>126.42</v>
      </c>
      <c r="T1986">
        <v>92.7</v>
      </c>
      <c r="U1986">
        <v>26.67</v>
      </c>
      <c r="V1986" t="str">
        <f>VLOOKUP(L1986,'[2]tabela de preços'!$A:$D,4,0)</f>
        <v>NEW PAD</v>
      </c>
      <c r="W1986" t="str">
        <f>VLOOKUP(L1986,'[2]tabela de preços'!$A:$F,6,0)</f>
        <v>BOINAS PARA POLIMENTO</v>
      </c>
      <c r="X1986" t="str">
        <f>VLOOKUP(L1986,'[2]tabela de preços'!$A:$G,7,0)</f>
        <v>AUTOMOTIVO</v>
      </c>
    </row>
    <row r="1987" spans="1:24" x14ac:dyDescent="0.3">
      <c r="A1987" t="s">
        <v>2046</v>
      </c>
      <c r="C1987" t="s">
        <v>2053</v>
      </c>
      <c r="D1987" s="1">
        <v>46048</v>
      </c>
      <c r="E1987" t="s">
        <v>2054</v>
      </c>
      <c r="F1987">
        <v>9</v>
      </c>
      <c r="G1987">
        <v>236</v>
      </c>
      <c r="H1987" t="str">
        <f>VLOOKUP(G1987,[1]OPERADORES!$A:$B,2,0)</f>
        <v>DANIEL</v>
      </c>
      <c r="I1987" t="s">
        <v>21</v>
      </c>
      <c r="J1987" t="s">
        <v>614</v>
      </c>
      <c r="K1987" t="s">
        <v>2049</v>
      </c>
      <c r="L1987">
        <v>10067</v>
      </c>
      <c r="M1987" t="s">
        <v>177</v>
      </c>
      <c r="O1987" t="s">
        <v>11</v>
      </c>
      <c r="P1987">
        <v>5102</v>
      </c>
      <c r="Q1987">
        <v>1</v>
      </c>
      <c r="R1987">
        <v>100.36</v>
      </c>
      <c r="S1987">
        <v>100.36</v>
      </c>
      <c r="T1987">
        <v>73.58</v>
      </c>
      <c r="U1987">
        <v>26.68</v>
      </c>
      <c r="V1987" t="str">
        <f>VLOOKUP(L1987,'[2]tabela de preços'!$A:$D,4,0)</f>
        <v>3M</v>
      </c>
      <c r="W1987" t="str">
        <f>VLOOKUP(L1987,'[2]tabela de preços'!$A:$F,6,0)</f>
        <v>BOINAS PARA POLIMENTO</v>
      </c>
      <c r="X1987" t="str">
        <f>VLOOKUP(L1987,'[2]tabela de preços'!$A:$G,7,0)</f>
        <v>AUTOMOTIVO</v>
      </c>
    </row>
    <row r="1988" spans="1:24" x14ac:dyDescent="0.3">
      <c r="A1988" t="s">
        <v>2046</v>
      </c>
      <c r="C1988" t="s">
        <v>2053</v>
      </c>
      <c r="D1988" s="1">
        <v>46048</v>
      </c>
      <c r="E1988" t="s">
        <v>2054</v>
      </c>
      <c r="F1988">
        <v>9</v>
      </c>
      <c r="G1988">
        <v>236</v>
      </c>
      <c r="H1988" t="str">
        <f>VLOOKUP(G1988,[1]OPERADORES!$A:$B,2,0)</f>
        <v>DANIEL</v>
      </c>
      <c r="I1988" t="s">
        <v>21</v>
      </c>
      <c r="J1988" t="s">
        <v>614</v>
      </c>
      <c r="K1988" t="s">
        <v>2049</v>
      </c>
      <c r="L1988">
        <v>23715</v>
      </c>
      <c r="M1988" t="s">
        <v>978</v>
      </c>
      <c r="O1988" t="s">
        <v>11</v>
      </c>
      <c r="P1988">
        <v>5102</v>
      </c>
      <c r="Q1988">
        <v>3</v>
      </c>
      <c r="R1988">
        <v>42.14</v>
      </c>
      <c r="S1988">
        <v>126.42</v>
      </c>
      <c r="T1988">
        <v>92.7</v>
      </c>
      <c r="U1988">
        <v>26.67</v>
      </c>
      <c r="V1988" t="str">
        <f>VLOOKUP(L1988,'[2]tabela de preços'!$A:$D,4,0)</f>
        <v>NEW PAD</v>
      </c>
      <c r="W1988" t="str">
        <f>VLOOKUP(L1988,'[2]tabela de preços'!$A:$F,6,0)</f>
        <v>BOINAS PARA POLIMENTO</v>
      </c>
      <c r="X1988" t="str">
        <f>VLOOKUP(L1988,'[2]tabela de preços'!$A:$G,7,0)</f>
        <v>AUTOMOTIVO</v>
      </c>
    </row>
    <row r="1989" spans="1:24" x14ac:dyDescent="0.3">
      <c r="A1989" t="s">
        <v>2046</v>
      </c>
      <c r="C1989" t="s">
        <v>2053</v>
      </c>
      <c r="D1989" s="1">
        <v>46048</v>
      </c>
      <c r="E1989" t="s">
        <v>2054</v>
      </c>
      <c r="F1989">
        <v>9</v>
      </c>
      <c r="G1989">
        <v>236</v>
      </c>
      <c r="H1989" t="str">
        <f>VLOOKUP(G1989,[1]OPERADORES!$A:$B,2,0)</f>
        <v>DANIEL</v>
      </c>
      <c r="I1989" t="s">
        <v>21</v>
      </c>
      <c r="J1989" t="s">
        <v>614</v>
      </c>
      <c r="K1989" t="s">
        <v>2049</v>
      </c>
      <c r="L1989">
        <v>23375</v>
      </c>
      <c r="M1989" t="s">
        <v>2055</v>
      </c>
      <c r="O1989" t="s">
        <v>11</v>
      </c>
      <c r="P1989">
        <v>5403</v>
      </c>
      <c r="Q1989">
        <v>6</v>
      </c>
      <c r="R1989">
        <v>42.95</v>
      </c>
      <c r="S1989">
        <v>257.7</v>
      </c>
      <c r="T1989">
        <v>195.6</v>
      </c>
      <c r="U1989">
        <v>24.1</v>
      </c>
      <c r="V1989" t="str">
        <f>VLOOKUP(L1989,'[2]tabela de preços'!$A:$D,4,0)</f>
        <v>WANDA</v>
      </c>
      <c r="W1989" t="str">
        <f>VLOOKUP(L1989,'[2]tabela de preços'!$A:$F,6,0)</f>
        <v>TINTAS POLIÉSTER</v>
      </c>
      <c r="X1989" t="str">
        <f>VLOOKUP(L1989,'[2]tabela de preços'!$A:$G,7,0)</f>
        <v>AUTOMOTIVO</v>
      </c>
    </row>
    <row r="1990" spans="1:24" x14ac:dyDescent="0.3">
      <c r="A1990" t="s">
        <v>2046</v>
      </c>
      <c r="C1990" t="s">
        <v>2053</v>
      </c>
      <c r="D1990" s="1">
        <v>46048</v>
      </c>
      <c r="E1990" t="s">
        <v>2054</v>
      </c>
      <c r="F1990">
        <v>9</v>
      </c>
      <c r="G1990">
        <v>236</v>
      </c>
      <c r="H1990" t="str">
        <f>VLOOKUP(G1990,[1]OPERADORES!$A:$B,2,0)</f>
        <v>DANIEL</v>
      </c>
      <c r="I1990" t="s">
        <v>21</v>
      </c>
      <c r="J1990" t="s">
        <v>614</v>
      </c>
      <c r="K1990" t="s">
        <v>2049</v>
      </c>
      <c r="L1990">
        <v>23076</v>
      </c>
      <c r="M1990" t="s">
        <v>97</v>
      </c>
      <c r="O1990" t="s">
        <v>11</v>
      </c>
      <c r="P1990">
        <v>5403</v>
      </c>
      <c r="Q1990">
        <v>30</v>
      </c>
      <c r="R1990">
        <v>34.89</v>
      </c>
      <c r="S1990" s="2">
        <v>1046.7</v>
      </c>
      <c r="T1990">
        <v>795.9</v>
      </c>
      <c r="U1990">
        <v>23.96</v>
      </c>
      <c r="V1990" t="str">
        <f>VLOOKUP(L1990,'[2]tabela de preços'!$A:$D,4,0)</f>
        <v>WANDA</v>
      </c>
      <c r="W1990" t="str">
        <f>VLOOKUP(L1990,'[2]tabela de preços'!$A:$F,6,0)</f>
        <v>PRIMER AUTOMOTIVO</v>
      </c>
      <c r="X1990" t="str">
        <f>VLOOKUP(L1990,'[2]tabela de preços'!$A:$G,7,0)</f>
        <v>AUTOMOTIVO</v>
      </c>
    </row>
    <row r="1991" spans="1:24" x14ac:dyDescent="0.3">
      <c r="A1991" t="s">
        <v>2046</v>
      </c>
      <c r="C1991" t="s">
        <v>2053</v>
      </c>
      <c r="D1991" s="1">
        <v>46048</v>
      </c>
      <c r="E1991" t="s">
        <v>2054</v>
      </c>
      <c r="F1991">
        <v>9</v>
      </c>
      <c r="G1991">
        <v>236</v>
      </c>
      <c r="H1991" t="str">
        <f>VLOOKUP(G1991,[1]OPERADORES!$A:$B,2,0)</f>
        <v>DANIEL</v>
      </c>
      <c r="I1991" t="s">
        <v>21</v>
      </c>
      <c r="J1991" t="s">
        <v>614</v>
      </c>
      <c r="K1991" t="s">
        <v>2049</v>
      </c>
      <c r="L1991">
        <v>20431</v>
      </c>
      <c r="M1991" t="s">
        <v>202</v>
      </c>
      <c r="O1991" t="s">
        <v>11</v>
      </c>
      <c r="P1991">
        <v>5403</v>
      </c>
      <c r="Q1991">
        <v>9</v>
      </c>
      <c r="R1991">
        <v>36.89</v>
      </c>
      <c r="S1991">
        <v>332.01</v>
      </c>
      <c r="T1991">
        <v>272.33999999999997</v>
      </c>
      <c r="U1991">
        <v>17.97</v>
      </c>
      <c r="V1991" t="str">
        <f>VLOOKUP(L1991,'[2]tabela de preços'!$A:$D,4,0)</f>
        <v>SHERWIN WILLIAMS</v>
      </c>
      <c r="W1991" t="str">
        <f>VLOOKUP(L1991,'[2]tabela de preços'!$A:$F,6,0)</f>
        <v>VERNIZ AUTOMOTIVO</v>
      </c>
      <c r="X1991" t="str">
        <f>VLOOKUP(L1991,'[2]tabela de preços'!$A:$G,7,0)</f>
        <v>AUTOMOTIVO</v>
      </c>
    </row>
    <row r="1992" spans="1:24" x14ac:dyDescent="0.3">
      <c r="A1992" t="s">
        <v>2046</v>
      </c>
      <c r="C1992" t="s">
        <v>2053</v>
      </c>
      <c r="D1992" s="1">
        <v>46048</v>
      </c>
      <c r="E1992" t="s">
        <v>2054</v>
      </c>
      <c r="F1992">
        <v>9</v>
      </c>
      <c r="G1992">
        <v>236</v>
      </c>
      <c r="H1992" t="str">
        <f>VLOOKUP(G1992,[1]OPERADORES!$A:$B,2,0)</f>
        <v>DANIEL</v>
      </c>
      <c r="I1992" t="s">
        <v>21</v>
      </c>
      <c r="J1992" t="s">
        <v>614</v>
      </c>
      <c r="K1992" t="s">
        <v>2049</v>
      </c>
      <c r="L1992">
        <v>20375</v>
      </c>
      <c r="M1992" t="s">
        <v>148</v>
      </c>
      <c r="O1992" t="s">
        <v>11</v>
      </c>
      <c r="P1992">
        <v>5403</v>
      </c>
      <c r="Q1992">
        <v>6</v>
      </c>
      <c r="R1992">
        <v>35.69</v>
      </c>
      <c r="S1992">
        <v>214.14</v>
      </c>
      <c r="T1992">
        <v>152.69999999999999</v>
      </c>
      <c r="U1992">
        <v>28.69</v>
      </c>
      <c r="V1992" t="str">
        <f>VLOOKUP(L1992,'[2]tabela de preços'!$A:$D,4,0)</f>
        <v>SHERWIN WILLIAMS</v>
      </c>
      <c r="W1992" t="str">
        <f>VLOOKUP(L1992,'[2]tabela de preços'!$A:$F,6,0)</f>
        <v>TINTAS POLIÉSTER</v>
      </c>
      <c r="X1992" t="str">
        <f>VLOOKUP(L1992,'[2]tabela de preços'!$A:$G,7,0)</f>
        <v>AUTOMOTIVO</v>
      </c>
    </row>
    <row r="1993" spans="1:24" x14ac:dyDescent="0.3">
      <c r="A1993" t="s">
        <v>2046</v>
      </c>
      <c r="C1993" t="s">
        <v>2053</v>
      </c>
      <c r="D1993" s="1">
        <v>46048</v>
      </c>
      <c r="E1993" t="s">
        <v>2054</v>
      </c>
      <c r="F1993">
        <v>9</v>
      </c>
      <c r="G1993">
        <v>236</v>
      </c>
      <c r="H1993" t="str">
        <f>VLOOKUP(G1993,[1]OPERADORES!$A:$B,2,0)</f>
        <v>DANIEL</v>
      </c>
      <c r="I1993" t="s">
        <v>21</v>
      </c>
      <c r="J1993" t="s">
        <v>614</v>
      </c>
      <c r="K1993" t="s">
        <v>2049</v>
      </c>
      <c r="L1993">
        <v>21820</v>
      </c>
      <c r="M1993" t="s">
        <v>149</v>
      </c>
      <c r="O1993" t="s">
        <v>11</v>
      </c>
      <c r="P1993">
        <v>5403</v>
      </c>
      <c r="Q1993">
        <v>6</v>
      </c>
      <c r="R1993">
        <v>38.61</v>
      </c>
      <c r="S1993">
        <v>231.66</v>
      </c>
      <c r="T1993">
        <v>165.18</v>
      </c>
      <c r="U1993">
        <v>28.7</v>
      </c>
      <c r="V1993" t="str">
        <f>VLOOKUP(L1993,'[2]tabela de preços'!$A:$D,4,0)</f>
        <v>SHERWIN WILLIAMS</v>
      </c>
      <c r="W1993" t="str">
        <f>VLOOKUP(L1993,'[2]tabela de preços'!$A:$F,6,0)</f>
        <v>TINTAS PU</v>
      </c>
      <c r="X1993" t="str">
        <f>VLOOKUP(L1993,'[2]tabela de preços'!$A:$G,7,0)</f>
        <v>AUTOMOTIVO</v>
      </c>
    </row>
    <row r="1994" spans="1:24" x14ac:dyDescent="0.3">
      <c r="A1994" t="s">
        <v>2046</v>
      </c>
      <c r="C1994" t="s">
        <v>2053</v>
      </c>
      <c r="D1994" s="1">
        <v>46048</v>
      </c>
      <c r="E1994" t="s">
        <v>2054</v>
      </c>
      <c r="F1994">
        <v>9</v>
      </c>
      <c r="G1994">
        <v>236</v>
      </c>
      <c r="H1994" t="str">
        <f>VLOOKUP(G1994,[1]OPERADORES!$A:$B,2,0)</f>
        <v>DANIEL</v>
      </c>
      <c r="I1994" t="s">
        <v>21</v>
      </c>
      <c r="J1994" t="s">
        <v>614</v>
      </c>
      <c r="K1994" t="s">
        <v>2049</v>
      </c>
      <c r="L1994">
        <v>13</v>
      </c>
      <c r="M1994" t="s">
        <v>152</v>
      </c>
      <c r="O1994" t="s">
        <v>11</v>
      </c>
      <c r="P1994">
        <v>5102</v>
      </c>
      <c r="Q1994">
        <v>50</v>
      </c>
      <c r="R1994">
        <v>5.79</v>
      </c>
      <c r="S1994">
        <v>289.5</v>
      </c>
      <c r="T1994">
        <v>208</v>
      </c>
      <c r="U1994">
        <v>28.15</v>
      </c>
      <c r="V1994" t="str">
        <f>VLOOKUP(L1994,'[2]tabela de preços'!$A:$D,4,0)</f>
        <v>3M</v>
      </c>
      <c r="W1994" t="str">
        <f>VLOOKUP(L1994,'[2]tabela de preços'!$A:$F,6,0)</f>
        <v>LIXA DÁGUA</v>
      </c>
      <c r="X1994" t="str">
        <f>VLOOKUP(L1994,'[2]tabela de preços'!$A:$G,7,0)</f>
        <v>AUTOMOTIVO</v>
      </c>
    </row>
    <row r="1995" spans="1:24" x14ac:dyDescent="0.3">
      <c r="A1995" t="s">
        <v>2046</v>
      </c>
      <c r="C1995" t="s">
        <v>2053</v>
      </c>
      <c r="D1995" s="1">
        <v>46048</v>
      </c>
      <c r="E1995" t="s">
        <v>2054</v>
      </c>
      <c r="F1995">
        <v>9</v>
      </c>
      <c r="G1995">
        <v>236</v>
      </c>
      <c r="H1995" t="str">
        <f>VLOOKUP(G1995,[1]OPERADORES!$A:$B,2,0)</f>
        <v>DANIEL</v>
      </c>
      <c r="I1995" t="s">
        <v>21</v>
      </c>
      <c r="J1995" t="s">
        <v>614</v>
      </c>
      <c r="K1995" t="s">
        <v>2049</v>
      </c>
      <c r="L1995">
        <v>9764</v>
      </c>
      <c r="M1995" t="s">
        <v>173</v>
      </c>
      <c r="O1995" t="s">
        <v>11</v>
      </c>
      <c r="P1995">
        <v>5102</v>
      </c>
      <c r="Q1995">
        <v>2</v>
      </c>
      <c r="R1995">
        <v>33.54</v>
      </c>
      <c r="S1995">
        <v>67.08</v>
      </c>
      <c r="T1995">
        <v>50.92</v>
      </c>
      <c r="U1995">
        <v>24.09</v>
      </c>
      <c r="V1995" t="str">
        <f>VLOOKUP(L1995,'[2]tabela de preços'!$A:$D,4,0)</f>
        <v>SIKKENS</v>
      </c>
      <c r="W1995" t="str">
        <f>VLOOKUP(L1995,'[2]tabela de preços'!$A:$F,6,0)</f>
        <v>MASSA DE PEQUENOS REPAROS</v>
      </c>
      <c r="X1995" t="str">
        <f>VLOOKUP(L1995,'[2]tabela de preços'!$A:$G,7,0)</f>
        <v>AUTOMOTIVO</v>
      </c>
    </row>
    <row r="1996" spans="1:24" x14ac:dyDescent="0.3">
      <c r="A1996" t="s">
        <v>2046</v>
      </c>
      <c r="C1996" t="s">
        <v>2053</v>
      </c>
      <c r="D1996" s="1">
        <v>46048</v>
      </c>
      <c r="E1996" t="s">
        <v>2054</v>
      </c>
      <c r="F1996">
        <v>9</v>
      </c>
      <c r="G1996">
        <v>236</v>
      </c>
      <c r="H1996" t="str">
        <f>VLOOKUP(G1996,[1]OPERADORES!$A:$B,2,0)</f>
        <v>DANIEL</v>
      </c>
      <c r="I1996" t="s">
        <v>21</v>
      </c>
      <c r="J1996" t="s">
        <v>614</v>
      </c>
      <c r="K1996" t="s">
        <v>2049</v>
      </c>
      <c r="L1996">
        <v>22180</v>
      </c>
      <c r="M1996" t="s">
        <v>404</v>
      </c>
      <c r="O1996" t="s">
        <v>11</v>
      </c>
      <c r="P1996">
        <v>5102</v>
      </c>
      <c r="Q1996">
        <v>5</v>
      </c>
      <c r="R1996">
        <v>19.29</v>
      </c>
      <c r="S1996">
        <v>96.45</v>
      </c>
      <c r="T1996">
        <v>73.2</v>
      </c>
      <c r="U1996">
        <v>24.11</v>
      </c>
      <c r="V1996" t="str">
        <f>VLOOKUP(L1996,'[2]tabela de preços'!$A:$D,4,0)</f>
        <v>MADRUGA</v>
      </c>
      <c r="W1996" t="str">
        <f>VLOOKUP(L1996,'[2]tabela de preços'!$A:$F,6,0)</f>
        <v>PAPEL DE MASCARAMENTO</v>
      </c>
      <c r="X1996" t="str">
        <f>VLOOKUP(L1996,'[2]tabela de preços'!$A:$G,7,0)</f>
        <v>AUTOMOTIVO</v>
      </c>
    </row>
    <row r="1997" spans="1:24" x14ac:dyDescent="0.3">
      <c r="A1997" t="s">
        <v>2046</v>
      </c>
      <c r="C1997" t="s">
        <v>2053</v>
      </c>
      <c r="D1997" s="1">
        <v>46048</v>
      </c>
      <c r="E1997" t="s">
        <v>2054</v>
      </c>
      <c r="F1997">
        <v>9</v>
      </c>
      <c r="G1997">
        <v>236</v>
      </c>
      <c r="H1997" t="str">
        <f>VLOOKUP(G1997,[1]OPERADORES!$A:$B,2,0)</f>
        <v>DANIEL</v>
      </c>
      <c r="I1997" t="s">
        <v>21</v>
      </c>
      <c r="J1997" t="s">
        <v>614</v>
      </c>
      <c r="K1997" t="s">
        <v>2049</v>
      </c>
      <c r="L1997">
        <v>10296</v>
      </c>
      <c r="M1997" t="s">
        <v>334</v>
      </c>
      <c r="O1997" t="s">
        <v>11</v>
      </c>
      <c r="P1997">
        <v>5102</v>
      </c>
      <c r="Q1997">
        <v>12</v>
      </c>
      <c r="R1997">
        <v>17.02</v>
      </c>
      <c r="S1997">
        <v>204.24</v>
      </c>
      <c r="T1997">
        <v>150.84</v>
      </c>
      <c r="U1997">
        <v>26.15</v>
      </c>
      <c r="V1997" t="str">
        <f>VLOOKUP(L1997,'[2]tabela de preços'!$A:$D,4,0)</f>
        <v>ANJO</v>
      </c>
      <c r="W1997" t="str">
        <f>VLOOKUP(L1997,'[2]tabela de preços'!$A:$F,6,0)</f>
        <v>DESENGRAXANTE</v>
      </c>
      <c r="X1997" t="str">
        <f>VLOOKUP(L1997,'[2]tabela de preços'!$A:$G,7,0)</f>
        <v>AUTOMOTIVO</v>
      </c>
    </row>
    <row r="1998" spans="1:24" x14ac:dyDescent="0.3">
      <c r="A1998" t="s">
        <v>2046</v>
      </c>
      <c r="C1998" t="s">
        <v>2053</v>
      </c>
      <c r="D1998" s="1">
        <v>46048</v>
      </c>
      <c r="E1998" t="s">
        <v>2054</v>
      </c>
      <c r="F1998">
        <v>9</v>
      </c>
      <c r="G1998">
        <v>236</v>
      </c>
      <c r="H1998" t="str">
        <f>VLOOKUP(G1998,[1]OPERADORES!$A:$B,2,0)</f>
        <v>DANIEL</v>
      </c>
      <c r="I1998" t="s">
        <v>21</v>
      </c>
      <c r="J1998" t="s">
        <v>614</v>
      </c>
      <c r="K1998" t="s">
        <v>2049</v>
      </c>
      <c r="L1998">
        <v>10297</v>
      </c>
      <c r="M1998" t="s">
        <v>41</v>
      </c>
      <c r="O1998" t="s">
        <v>11</v>
      </c>
      <c r="P1998">
        <v>5102</v>
      </c>
      <c r="Q1998">
        <v>24</v>
      </c>
      <c r="R1998">
        <v>10.89</v>
      </c>
      <c r="S1998">
        <v>261.36</v>
      </c>
      <c r="T1998">
        <v>220.08</v>
      </c>
      <c r="U1998">
        <v>15.79</v>
      </c>
      <c r="V1998" t="str">
        <f>VLOOKUP(L1998,'[2]tabela de preços'!$A:$D,4,0)</f>
        <v>ANJO</v>
      </c>
      <c r="W1998" t="str">
        <f>VLOOKUP(L1998,'[2]tabela de preços'!$A:$F,6,0)</f>
        <v>THINNER DE LIMPEZA</v>
      </c>
      <c r="X1998" t="str">
        <f>VLOOKUP(L1998,'[2]tabela de preços'!$A:$G,7,0)</f>
        <v>THINNER</v>
      </c>
    </row>
    <row r="1999" spans="1:24" x14ac:dyDescent="0.3">
      <c r="A1999" t="s">
        <v>2140</v>
      </c>
      <c r="C1999" t="s">
        <v>2141</v>
      </c>
      <c r="D1999" s="1">
        <v>46048</v>
      </c>
      <c r="E1999" t="s">
        <v>2142</v>
      </c>
      <c r="F1999">
        <v>9</v>
      </c>
      <c r="G1999">
        <v>236</v>
      </c>
      <c r="H1999" t="str">
        <f>VLOOKUP(G1999,[1]OPERADORES!$A:$B,2,0)</f>
        <v>DANIEL</v>
      </c>
      <c r="I1999" t="s">
        <v>21</v>
      </c>
      <c r="J1999" t="s">
        <v>550</v>
      </c>
      <c r="K1999" t="s">
        <v>2143</v>
      </c>
      <c r="L1999">
        <v>86542</v>
      </c>
      <c r="M1999" t="s">
        <v>352</v>
      </c>
      <c r="O1999" t="s">
        <v>11</v>
      </c>
      <c r="P1999">
        <v>5102</v>
      </c>
      <c r="Q1999">
        <v>3</v>
      </c>
      <c r="R1999">
        <v>78.900000000000006</v>
      </c>
      <c r="S1999">
        <v>236.7</v>
      </c>
      <c r="T1999">
        <v>207.48</v>
      </c>
      <c r="U1999">
        <v>12.34</v>
      </c>
      <c r="V1999" t="str">
        <f>VLOOKUP(L1999,'[2]tabela de preços'!$A:$D,4,0)</f>
        <v>CORAL</v>
      </c>
      <c r="W1999" t="str">
        <f>VLOOKUP(L1999,'[2]tabela de preços'!$A:$F,6,0)</f>
        <v>MASSA CORRIDA / ACRÍLICA</v>
      </c>
      <c r="X1999" t="str">
        <f>VLOOKUP(L1999,'[2]tabela de preços'!$A:$G,7,0)</f>
        <v>IMOBILIÁRIO</v>
      </c>
    </row>
    <row r="2000" spans="1:24" x14ac:dyDescent="0.3">
      <c r="A2000" t="s">
        <v>2140</v>
      </c>
      <c r="C2000" t="s">
        <v>2144</v>
      </c>
      <c r="D2000" s="1">
        <v>46048</v>
      </c>
      <c r="E2000" t="s">
        <v>2145</v>
      </c>
      <c r="F2000">
        <v>9</v>
      </c>
      <c r="G2000">
        <v>236</v>
      </c>
      <c r="H2000" t="str">
        <f>VLOOKUP(G2000,[1]OPERADORES!$A:$B,2,0)</f>
        <v>DANIEL</v>
      </c>
      <c r="I2000" t="s">
        <v>21</v>
      </c>
      <c r="J2000" t="s">
        <v>550</v>
      </c>
      <c r="K2000" t="s">
        <v>2143</v>
      </c>
      <c r="L2000">
        <v>86943</v>
      </c>
      <c r="M2000" t="s">
        <v>1111</v>
      </c>
      <c r="O2000" t="s">
        <v>11</v>
      </c>
      <c r="P2000">
        <v>5403</v>
      </c>
      <c r="Q2000">
        <v>1</v>
      </c>
      <c r="R2000">
        <v>123.5</v>
      </c>
      <c r="S2000">
        <v>123.5</v>
      </c>
      <c r="T2000">
        <v>90.54</v>
      </c>
      <c r="U2000">
        <v>26.69</v>
      </c>
      <c r="V2000" t="str">
        <f>VLOOKUP(L2000,'[2]tabela de preços'!$A:$D,4,0)</f>
        <v>BRASILUX</v>
      </c>
      <c r="W2000" t="str">
        <f>VLOOKUP(L2000,'[2]tabela de preços'!$A:$F,6,0)</f>
        <v>IMPERMEABILIZANTES</v>
      </c>
      <c r="X2000" t="str">
        <f>VLOOKUP(L2000,'[2]tabela de preços'!$A:$G,7,0)</f>
        <v>IMOBILIÁRIO</v>
      </c>
    </row>
    <row r="2001" spans="1:24" x14ac:dyDescent="0.3">
      <c r="A2001" t="s">
        <v>2140</v>
      </c>
      <c r="C2001" t="s">
        <v>2144</v>
      </c>
      <c r="D2001" s="1">
        <v>46048</v>
      </c>
      <c r="E2001" t="s">
        <v>2146</v>
      </c>
      <c r="F2001">
        <v>9</v>
      </c>
      <c r="G2001">
        <v>236</v>
      </c>
      <c r="H2001" t="str">
        <f>VLOOKUP(G2001,[1]OPERADORES!$A:$B,2,0)</f>
        <v>DANIEL</v>
      </c>
      <c r="I2001" t="s">
        <v>21</v>
      </c>
      <c r="J2001" t="s">
        <v>550</v>
      </c>
      <c r="K2001" t="s">
        <v>2143</v>
      </c>
      <c r="L2001">
        <v>84020</v>
      </c>
      <c r="M2001" t="s">
        <v>518</v>
      </c>
      <c r="O2001" t="s">
        <v>11</v>
      </c>
      <c r="P2001">
        <v>5102</v>
      </c>
      <c r="Q2001">
        <v>10</v>
      </c>
      <c r="R2001">
        <v>1.07</v>
      </c>
      <c r="S2001">
        <v>10.7</v>
      </c>
      <c r="T2001">
        <v>6.9</v>
      </c>
      <c r="U2001">
        <v>35.51</v>
      </c>
      <c r="V2001" t="str">
        <f>VLOOKUP(L2001,'[2]tabela de preços'!$A:$D,4,0)</f>
        <v>3M</v>
      </c>
      <c r="W2001" t="str">
        <f>VLOOKUP(L2001,'[2]tabela de preços'!$A:$F,6,0)</f>
        <v>LIXA MASSA  /MADEIRA / PAREDE</v>
      </c>
      <c r="X2001" t="str">
        <f>VLOOKUP(L2001,'[2]tabela de preços'!$A:$G,7,0)</f>
        <v>IMOBILIÁRIO</v>
      </c>
    </row>
    <row r="2002" spans="1:24" x14ac:dyDescent="0.3">
      <c r="A2002" t="s">
        <v>2236</v>
      </c>
      <c r="B2002" t="s">
        <v>2237</v>
      </c>
      <c r="C2002" t="s">
        <v>2247</v>
      </c>
      <c r="D2002" s="1">
        <v>46048</v>
      </c>
      <c r="F2002">
        <v>9</v>
      </c>
      <c r="G2002">
        <v>236</v>
      </c>
      <c r="H2002" t="str">
        <f>VLOOKUP(G2002,[1]OPERADORES!$A:$B,2,0)</f>
        <v>DANIEL</v>
      </c>
      <c r="I2002" t="s">
        <v>21</v>
      </c>
      <c r="J2002" t="s">
        <v>2240</v>
      </c>
      <c r="K2002" t="s">
        <v>2241</v>
      </c>
      <c r="L2002">
        <v>10242</v>
      </c>
      <c r="M2002" t="s">
        <v>82</v>
      </c>
      <c r="N2002" t="s">
        <v>2248</v>
      </c>
      <c r="O2002" t="s">
        <v>11</v>
      </c>
      <c r="P2002">
        <v>1202</v>
      </c>
      <c r="Q2002">
        <v>-10</v>
      </c>
      <c r="R2002">
        <v>2.79</v>
      </c>
      <c r="S2002">
        <v>-27.9</v>
      </c>
      <c r="T2002">
        <v>-22.4</v>
      </c>
      <c r="U2002">
        <v>19.71</v>
      </c>
      <c r="V2002" t="str">
        <f>VLOOKUP(L2002,'[2]tabela de preços'!$A:$D,4,0)</f>
        <v>NORTON</v>
      </c>
      <c r="W2002" t="str">
        <f>VLOOKUP(L2002,'[2]tabela de preços'!$A:$F,6,0)</f>
        <v xml:space="preserve">DISCOS / LIXAS / ABRASIVOS </v>
      </c>
      <c r="X2002" t="str">
        <f>VLOOKUP(L2002,'[2]tabela de preços'!$A:$G,7,0)</f>
        <v>AUTOMOTIVO</v>
      </c>
    </row>
    <row r="2003" spans="1:24" x14ac:dyDescent="0.3">
      <c r="A2003" t="s">
        <v>2236</v>
      </c>
      <c r="B2003" t="s">
        <v>2237</v>
      </c>
      <c r="C2003" t="s">
        <v>2247</v>
      </c>
      <c r="D2003" s="1">
        <v>46048</v>
      </c>
      <c r="F2003">
        <v>9</v>
      </c>
      <c r="G2003">
        <v>236</v>
      </c>
      <c r="H2003" t="str">
        <f>VLOOKUP(G2003,[1]OPERADORES!$A:$B,2,0)</f>
        <v>DANIEL</v>
      </c>
      <c r="I2003" t="s">
        <v>21</v>
      </c>
      <c r="J2003" t="s">
        <v>2240</v>
      </c>
      <c r="K2003" t="s">
        <v>2241</v>
      </c>
      <c r="L2003">
        <v>10243</v>
      </c>
      <c r="M2003" t="s">
        <v>83</v>
      </c>
      <c r="N2003" t="s">
        <v>2248</v>
      </c>
      <c r="O2003" t="s">
        <v>11</v>
      </c>
      <c r="P2003">
        <v>1202</v>
      </c>
      <c r="Q2003">
        <v>-30</v>
      </c>
      <c r="R2003">
        <v>2.79</v>
      </c>
      <c r="S2003">
        <v>-83.7</v>
      </c>
      <c r="T2003">
        <v>-57.9</v>
      </c>
      <c r="U2003">
        <v>30.82</v>
      </c>
      <c r="V2003" t="str">
        <f>VLOOKUP(L2003,'[2]tabela de preços'!$A:$D,4,0)</f>
        <v>NORTON</v>
      </c>
      <c r="W2003" t="str">
        <f>VLOOKUP(L2003,'[2]tabela de preços'!$A:$F,6,0)</f>
        <v xml:space="preserve">DISCOS / LIXAS / ABRASIVOS </v>
      </c>
      <c r="X2003" t="str">
        <f>VLOOKUP(L2003,'[2]tabela de preços'!$A:$G,7,0)</f>
        <v>AUTOMOTIVO</v>
      </c>
    </row>
    <row r="2004" spans="1:24" x14ac:dyDescent="0.3">
      <c r="A2004" t="s">
        <v>2236</v>
      </c>
      <c r="B2004" t="s">
        <v>2237</v>
      </c>
      <c r="C2004" t="s">
        <v>2249</v>
      </c>
      <c r="D2004" s="1">
        <v>46048</v>
      </c>
      <c r="E2004" t="s">
        <v>2250</v>
      </c>
      <c r="F2004">
        <v>9</v>
      </c>
      <c r="G2004">
        <v>236</v>
      </c>
      <c r="H2004" t="str">
        <f>VLOOKUP(G2004,[1]OPERADORES!$A:$B,2,0)</f>
        <v>DANIEL</v>
      </c>
      <c r="I2004" t="s">
        <v>21</v>
      </c>
      <c r="J2004" t="s">
        <v>2240</v>
      </c>
      <c r="K2004" t="s">
        <v>2241</v>
      </c>
      <c r="L2004">
        <v>10230</v>
      </c>
      <c r="M2004" t="s">
        <v>193</v>
      </c>
      <c r="O2004" t="s">
        <v>11</v>
      </c>
      <c r="P2004">
        <v>5102</v>
      </c>
      <c r="Q2004">
        <v>10</v>
      </c>
      <c r="R2004">
        <v>2.79</v>
      </c>
      <c r="S2004">
        <v>27.9</v>
      </c>
      <c r="T2004">
        <v>23.2</v>
      </c>
      <c r="U2004">
        <v>16.850000000000001</v>
      </c>
      <c r="V2004" t="str">
        <f>VLOOKUP(L2004,'[2]tabela de preços'!$A:$D,4,0)</f>
        <v>NORTON</v>
      </c>
      <c r="W2004" t="str">
        <f>VLOOKUP(L2004,'[2]tabela de preços'!$A:$F,6,0)</f>
        <v xml:space="preserve">DISCOS / LIXAS / ABRASIVOS </v>
      </c>
      <c r="X2004" t="str">
        <f>VLOOKUP(L2004,'[2]tabela de preços'!$A:$G,7,0)</f>
        <v>AUTOMOTIVO</v>
      </c>
    </row>
    <row r="2005" spans="1:24" x14ac:dyDescent="0.3">
      <c r="A2005" t="s">
        <v>2236</v>
      </c>
      <c r="B2005" t="s">
        <v>2237</v>
      </c>
      <c r="C2005" t="s">
        <v>2249</v>
      </c>
      <c r="D2005" s="1">
        <v>46048</v>
      </c>
      <c r="E2005" t="s">
        <v>2250</v>
      </c>
      <c r="F2005">
        <v>9</v>
      </c>
      <c r="G2005">
        <v>236</v>
      </c>
      <c r="H2005" t="str">
        <f>VLOOKUP(G2005,[1]OPERADORES!$A:$B,2,0)</f>
        <v>DANIEL</v>
      </c>
      <c r="I2005" t="s">
        <v>21</v>
      </c>
      <c r="J2005" t="s">
        <v>2240</v>
      </c>
      <c r="K2005" t="s">
        <v>2241</v>
      </c>
      <c r="L2005">
        <v>10232</v>
      </c>
      <c r="M2005" t="s">
        <v>134</v>
      </c>
      <c r="O2005" t="s">
        <v>11</v>
      </c>
      <c r="P2005">
        <v>5102</v>
      </c>
      <c r="Q2005">
        <v>30</v>
      </c>
      <c r="R2005">
        <v>2.79</v>
      </c>
      <c r="S2005">
        <v>83.7</v>
      </c>
      <c r="T2005">
        <v>67.5</v>
      </c>
      <c r="U2005">
        <v>19.350000000000001</v>
      </c>
      <c r="V2005" t="str">
        <f>VLOOKUP(L2005,'[2]tabela de preços'!$A:$D,4,0)</f>
        <v>NORTON</v>
      </c>
      <c r="W2005" t="str">
        <f>VLOOKUP(L2005,'[2]tabela de preços'!$A:$F,6,0)</f>
        <v xml:space="preserve">DISCOS / LIXAS / ABRASIVOS </v>
      </c>
      <c r="X2005" t="str">
        <f>VLOOKUP(L2005,'[2]tabela de preços'!$A:$G,7,0)</f>
        <v>AUTOMOTIVO</v>
      </c>
    </row>
    <row r="2006" spans="1:24" x14ac:dyDescent="0.3">
      <c r="A2006" t="s">
        <v>308</v>
      </c>
      <c r="C2006" t="s">
        <v>309</v>
      </c>
      <c r="D2006" s="1">
        <v>46049</v>
      </c>
      <c r="E2006" t="s">
        <v>310</v>
      </c>
      <c r="F2006">
        <v>9</v>
      </c>
      <c r="G2006">
        <v>236</v>
      </c>
      <c r="H2006" t="str">
        <f>VLOOKUP(G2006,[1]OPERADORES!$A:$B,2,0)</f>
        <v>DANIEL</v>
      </c>
      <c r="I2006" t="s">
        <v>21</v>
      </c>
      <c r="J2006" t="s">
        <v>311</v>
      </c>
      <c r="K2006" t="s">
        <v>312</v>
      </c>
      <c r="L2006">
        <v>22684</v>
      </c>
      <c r="M2006" t="s">
        <v>73</v>
      </c>
      <c r="O2006" t="s">
        <v>11</v>
      </c>
      <c r="P2006">
        <v>5102</v>
      </c>
      <c r="Q2006">
        <v>160</v>
      </c>
      <c r="R2006">
        <v>3.65</v>
      </c>
      <c r="S2006">
        <v>584</v>
      </c>
      <c r="T2006">
        <v>492.8</v>
      </c>
      <c r="U2006">
        <v>15.62</v>
      </c>
      <c r="V2006" t="str">
        <f>VLOOKUP(L2006,'[2]tabela de preços'!$A:$D,4,0)</f>
        <v>3M</v>
      </c>
      <c r="W2006" t="str">
        <f>VLOOKUP(L2006,'[2]tabela de preços'!$A:$F,6,0)</f>
        <v>FITA AUTOMOTIVA</v>
      </c>
      <c r="X2006" t="str">
        <f>VLOOKUP(L2006,'[2]tabela de preços'!$A:$G,7,0)</f>
        <v>AUTOMOTIVO</v>
      </c>
    </row>
    <row r="2007" spans="1:24" x14ac:dyDescent="0.3">
      <c r="A2007" t="s">
        <v>617</v>
      </c>
      <c r="C2007" t="s">
        <v>618</v>
      </c>
      <c r="D2007" s="1">
        <v>46049</v>
      </c>
      <c r="E2007" t="s">
        <v>619</v>
      </c>
      <c r="F2007">
        <v>9</v>
      </c>
      <c r="G2007">
        <v>231</v>
      </c>
      <c r="H2007" t="str">
        <f>VLOOKUP(G2007,[1]OPERADORES!$A:$B,2,0)</f>
        <v>EDIJANE</v>
      </c>
      <c r="I2007" t="s">
        <v>620</v>
      </c>
      <c r="J2007" t="s">
        <v>621</v>
      </c>
      <c r="K2007" t="s">
        <v>622</v>
      </c>
      <c r="L2007">
        <v>85693</v>
      </c>
      <c r="M2007" t="s">
        <v>526</v>
      </c>
      <c r="O2007" t="s">
        <v>11</v>
      </c>
      <c r="P2007">
        <v>5102</v>
      </c>
      <c r="Q2007">
        <v>10</v>
      </c>
      <c r="R2007">
        <v>7.89</v>
      </c>
      <c r="S2007">
        <v>78.900000000000006</v>
      </c>
      <c r="T2007">
        <v>65.099999999999994</v>
      </c>
      <c r="U2007">
        <v>17.489999999999998</v>
      </c>
      <c r="V2007" t="str">
        <f>VLOOKUP(L2007,'[2]tabela de preços'!$A:$D,4,0)</f>
        <v>UNIPEGA</v>
      </c>
      <c r="W2007" t="str">
        <f>VLOOKUP(L2007,'[2]tabela de preços'!$A:$F,6,0)</f>
        <v>PU 40</v>
      </c>
      <c r="X2007" t="str">
        <f>VLOOKUP(L2007,'[2]tabela de preços'!$A:$G,7,0)</f>
        <v>IMOBILIÁRIO</v>
      </c>
    </row>
    <row r="2008" spans="1:24" x14ac:dyDescent="0.3">
      <c r="A2008" t="s">
        <v>617</v>
      </c>
      <c r="C2008" t="s">
        <v>618</v>
      </c>
      <c r="D2008" s="1">
        <v>46049</v>
      </c>
      <c r="E2008" t="s">
        <v>619</v>
      </c>
      <c r="F2008">
        <v>9</v>
      </c>
      <c r="G2008">
        <v>231</v>
      </c>
      <c r="H2008" t="str">
        <f>VLOOKUP(G2008,[1]OPERADORES!$A:$B,2,0)</f>
        <v>EDIJANE</v>
      </c>
      <c r="I2008" t="s">
        <v>620</v>
      </c>
      <c r="J2008" t="s">
        <v>621</v>
      </c>
      <c r="K2008" t="s">
        <v>622</v>
      </c>
      <c r="L2008">
        <v>86875</v>
      </c>
      <c r="M2008" t="s">
        <v>512</v>
      </c>
      <c r="O2008" t="s">
        <v>11</v>
      </c>
      <c r="P2008">
        <v>5102</v>
      </c>
      <c r="Q2008">
        <v>2</v>
      </c>
      <c r="R2008">
        <v>33.799999999999997</v>
      </c>
      <c r="S2008">
        <v>67.599999999999994</v>
      </c>
      <c r="T2008">
        <v>51.3</v>
      </c>
      <c r="U2008">
        <v>24.11</v>
      </c>
      <c r="V2008" t="str">
        <f>VLOOKUP(L2008,'[2]tabela de preços'!$A:$D,4,0)</f>
        <v>UNIFORTE</v>
      </c>
      <c r="W2008" t="str">
        <f>VLOOKUP(L2008,'[2]tabela de preços'!$A:$F,6,0)</f>
        <v>ASSENTOS / SIFÕES</v>
      </c>
      <c r="X2008" t="str">
        <f>VLOOKUP(L2008,'[2]tabela de preços'!$A:$G,7,0)</f>
        <v>IMOBILIÁRIO</v>
      </c>
    </row>
    <row r="2009" spans="1:24" x14ac:dyDescent="0.3">
      <c r="A2009" t="s">
        <v>617</v>
      </c>
      <c r="C2009" t="s">
        <v>618</v>
      </c>
      <c r="D2009" s="1">
        <v>46049</v>
      </c>
      <c r="E2009" t="s">
        <v>619</v>
      </c>
      <c r="F2009">
        <v>9</v>
      </c>
      <c r="G2009">
        <v>231</v>
      </c>
      <c r="H2009" t="str">
        <f>VLOOKUP(G2009,[1]OPERADORES!$A:$B,2,0)</f>
        <v>EDIJANE</v>
      </c>
      <c r="I2009" t="s">
        <v>620</v>
      </c>
      <c r="J2009" t="s">
        <v>621</v>
      </c>
      <c r="K2009" t="s">
        <v>622</v>
      </c>
      <c r="L2009">
        <v>86874</v>
      </c>
      <c r="M2009" t="s">
        <v>513</v>
      </c>
      <c r="O2009" t="s">
        <v>11</v>
      </c>
      <c r="P2009">
        <v>5102</v>
      </c>
      <c r="Q2009">
        <v>5</v>
      </c>
      <c r="R2009">
        <v>17.510000000000002</v>
      </c>
      <c r="S2009">
        <v>87.55</v>
      </c>
      <c r="T2009">
        <v>66.45</v>
      </c>
      <c r="U2009">
        <v>24.1</v>
      </c>
      <c r="V2009" t="str">
        <f>VLOOKUP(L2009,'[2]tabela de preços'!$A:$D,4,0)</f>
        <v>UNIFORTE</v>
      </c>
      <c r="W2009" t="str">
        <f>VLOOKUP(L2009,'[2]tabela de preços'!$A:$F,6,0)</f>
        <v>ASSENTOS / SIFÕES</v>
      </c>
      <c r="X2009" t="str">
        <f>VLOOKUP(L2009,'[2]tabela de preços'!$A:$G,7,0)</f>
        <v>IMOBILIÁRIO</v>
      </c>
    </row>
    <row r="2010" spans="1:24" x14ac:dyDescent="0.3">
      <c r="A2010" t="s">
        <v>617</v>
      </c>
      <c r="C2010" t="s">
        <v>618</v>
      </c>
      <c r="D2010" s="1">
        <v>46049</v>
      </c>
      <c r="E2010" t="s">
        <v>619</v>
      </c>
      <c r="F2010">
        <v>9</v>
      </c>
      <c r="G2010">
        <v>231</v>
      </c>
      <c r="H2010" t="str">
        <f>VLOOKUP(G2010,[1]OPERADORES!$A:$B,2,0)</f>
        <v>EDIJANE</v>
      </c>
      <c r="I2010" t="s">
        <v>620</v>
      </c>
      <c r="J2010" t="s">
        <v>621</v>
      </c>
      <c r="K2010" t="s">
        <v>622</v>
      </c>
      <c r="L2010">
        <v>84411</v>
      </c>
      <c r="M2010" t="s">
        <v>35</v>
      </c>
      <c r="O2010" t="s">
        <v>11</v>
      </c>
      <c r="P2010">
        <v>5102</v>
      </c>
      <c r="Q2010">
        <v>10</v>
      </c>
      <c r="R2010">
        <v>4.29</v>
      </c>
      <c r="S2010">
        <v>42.9</v>
      </c>
      <c r="T2010">
        <v>35.4</v>
      </c>
      <c r="U2010">
        <v>17.48</v>
      </c>
      <c r="V2010" t="str">
        <f>VLOOKUP(L2010,'[2]tabela de preços'!$A:$D,4,0)</f>
        <v>ADERE</v>
      </c>
      <c r="W2010" t="str">
        <f>VLOOKUP(L2010,'[2]tabela de preços'!$A:$F,6,0)</f>
        <v xml:space="preserve">FITA DE USO GERAL </v>
      </c>
      <c r="X2010" t="str">
        <f>VLOOKUP(L2010,'[2]tabela de preços'!$A:$G,7,0)</f>
        <v>IMOBILIÁRIO</v>
      </c>
    </row>
    <row r="2011" spans="1:24" x14ac:dyDescent="0.3">
      <c r="A2011" t="s">
        <v>617</v>
      </c>
      <c r="C2011" t="s">
        <v>618</v>
      </c>
      <c r="D2011" s="1">
        <v>46049</v>
      </c>
      <c r="E2011" t="s">
        <v>619</v>
      </c>
      <c r="F2011">
        <v>9</v>
      </c>
      <c r="G2011">
        <v>231</v>
      </c>
      <c r="H2011" t="str">
        <f>VLOOKUP(G2011,[1]OPERADORES!$A:$B,2,0)</f>
        <v>EDIJANE</v>
      </c>
      <c r="I2011" t="s">
        <v>620</v>
      </c>
      <c r="J2011" t="s">
        <v>621</v>
      </c>
      <c r="K2011" t="s">
        <v>622</v>
      </c>
      <c r="L2011">
        <v>85616</v>
      </c>
      <c r="M2011" t="s">
        <v>471</v>
      </c>
      <c r="O2011" t="s">
        <v>11</v>
      </c>
      <c r="P2011">
        <v>5102</v>
      </c>
      <c r="Q2011">
        <v>8</v>
      </c>
      <c r="R2011">
        <v>2.79</v>
      </c>
      <c r="S2011">
        <v>22.32</v>
      </c>
      <c r="T2011">
        <v>18.239999999999998</v>
      </c>
      <c r="U2011">
        <v>18.28</v>
      </c>
      <c r="V2011" t="str">
        <f>VLOOKUP(L2011,'[2]tabela de preços'!$A:$D,4,0)</f>
        <v>ADERE</v>
      </c>
      <c r="W2011" t="str">
        <f>VLOOKUP(L2011,'[2]tabela de preços'!$A:$F,6,0)</f>
        <v xml:space="preserve">FITA DE USO GERAL </v>
      </c>
      <c r="X2011" t="str">
        <f>VLOOKUP(L2011,'[2]tabela de preços'!$A:$G,7,0)</f>
        <v>IMOBILIÁRIO</v>
      </c>
    </row>
    <row r="2012" spans="1:24" x14ac:dyDescent="0.3">
      <c r="A2012" t="s">
        <v>617</v>
      </c>
      <c r="C2012" t="s">
        <v>618</v>
      </c>
      <c r="D2012" s="1">
        <v>46049</v>
      </c>
      <c r="E2012" t="s">
        <v>619</v>
      </c>
      <c r="F2012">
        <v>9</v>
      </c>
      <c r="G2012">
        <v>231</v>
      </c>
      <c r="H2012" t="str">
        <f>VLOOKUP(G2012,[1]OPERADORES!$A:$B,2,0)</f>
        <v>EDIJANE</v>
      </c>
      <c r="I2012" t="s">
        <v>620</v>
      </c>
      <c r="J2012" t="s">
        <v>621</v>
      </c>
      <c r="K2012" t="s">
        <v>622</v>
      </c>
      <c r="L2012">
        <v>84417</v>
      </c>
      <c r="M2012" t="s">
        <v>623</v>
      </c>
      <c r="O2012" t="s">
        <v>11</v>
      </c>
      <c r="P2012">
        <v>5102</v>
      </c>
      <c r="Q2012">
        <v>20</v>
      </c>
      <c r="R2012">
        <v>3.49</v>
      </c>
      <c r="S2012">
        <v>69.8</v>
      </c>
      <c r="T2012">
        <v>53</v>
      </c>
      <c r="U2012">
        <v>24.07</v>
      </c>
      <c r="V2012" t="str">
        <f>VLOOKUP(L2012,'[2]tabela de preços'!$A:$D,4,0)</f>
        <v>3M</v>
      </c>
      <c r="W2012" t="str">
        <f>VLOOKUP(L2012,'[2]tabela de preços'!$A:$F,6,0)</f>
        <v>FITA ISOLANTE</v>
      </c>
      <c r="X2012" t="str">
        <f>VLOOKUP(L2012,'[2]tabela de preços'!$A:$G,7,0)</f>
        <v>IMOBILIÁRIO</v>
      </c>
    </row>
    <row r="2013" spans="1:24" x14ac:dyDescent="0.3">
      <c r="A2013" t="s">
        <v>617</v>
      </c>
      <c r="C2013" t="s">
        <v>618</v>
      </c>
      <c r="D2013" s="1">
        <v>46049</v>
      </c>
      <c r="E2013" t="s">
        <v>619</v>
      </c>
      <c r="F2013">
        <v>9</v>
      </c>
      <c r="G2013">
        <v>231</v>
      </c>
      <c r="H2013" t="str">
        <f>VLOOKUP(G2013,[1]OPERADORES!$A:$B,2,0)</f>
        <v>EDIJANE</v>
      </c>
      <c r="I2013" t="s">
        <v>620</v>
      </c>
      <c r="J2013" t="s">
        <v>621</v>
      </c>
      <c r="K2013" t="s">
        <v>622</v>
      </c>
      <c r="L2013">
        <v>84558</v>
      </c>
      <c r="M2013" t="s">
        <v>432</v>
      </c>
      <c r="O2013" t="s">
        <v>11</v>
      </c>
      <c r="P2013">
        <v>5102</v>
      </c>
      <c r="Q2013">
        <v>10</v>
      </c>
      <c r="R2013">
        <v>6.25</v>
      </c>
      <c r="S2013">
        <v>62.5</v>
      </c>
      <c r="T2013">
        <v>47.4</v>
      </c>
      <c r="U2013">
        <v>24.16</v>
      </c>
      <c r="V2013" t="str">
        <f>VLOOKUP(L2013,'[2]tabela de preços'!$A:$D,4,0)</f>
        <v>3M</v>
      </c>
      <c r="W2013" t="str">
        <f>VLOOKUP(L2013,'[2]tabela de preços'!$A:$F,6,0)</f>
        <v>FITA ISOLANTE</v>
      </c>
      <c r="X2013" t="str">
        <f>VLOOKUP(L2013,'[2]tabela de preços'!$A:$G,7,0)</f>
        <v>IMOBILIÁRIO</v>
      </c>
    </row>
    <row r="2014" spans="1:24" x14ac:dyDescent="0.3">
      <c r="A2014" t="s">
        <v>617</v>
      </c>
      <c r="C2014" t="s">
        <v>618</v>
      </c>
      <c r="D2014" s="1">
        <v>46049</v>
      </c>
      <c r="E2014" t="s">
        <v>619</v>
      </c>
      <c r="F2014">
        <v>9</v>
      </c>
      <c r="G2014">
        <v>231</v>
      </c>
      <c r="H2014" t="str">
        <f>VLOOKUP(G2014,[1]OPERADORES!$A:$B,2,0)</f>
        <v>EDIJANE</v>
      </c>
      <c r="I2014" t="s">
        <v>620</v>
      </c>
      <c r="J2014" t="s">
        <v>621</v>
      </c>
      <c r="K2014" t="s">
        <v>622</v>
      </c>
      <c r="L2014">
        <v>86887</v>
      </c>
      <c r="M2014" t="s">
        <v>624</v>
      </c>
      <c r="O2014" t="s">
        <v>11</v>
      </c>
      <c r="P2014">
        <v>5102</v>
      </c>
      <c r="Q2014">
        <v>5</v>
      </c>
      <c r="R2014">
        <v>9.6999999999999993</v>
      </c>
      <c r="S2014">
        <v>48.5</v>
      </c>
      <c r="T2014">
        <v>39.75</v>
      </c>
      <c r="U2014">
        <v>18.04</v>
      </c>
      <c r="V2014" t="str">
        <f>VLOOKUP(L2014,'[2]tabela de preços'!$A:$D,4,0)</f>
        <v>VEDACIT</v>
      </c>
      <c r="W2014" t="str">
        <f>VLOOKUP(L2014,'[2]tabela de preços'!$A:$F,6,0)</f>
        <v>IMPERMEABILIZANTES</v>
      </c>
      <c r="X2014" t="str">
        <f>VLOOKUP(L2014,'[2]tabela de preços'!$A:$G,7,0)</f>
        <v>IMOBILIÁRIO</v>
      </c>
    </row>
    <row r="2015" spans="1:24" x14ac:dyDescent="0.3">
      <c r="A2015" t="s">
        <v>617</v>
      </c>
      <c r="C2015" t="s">
        <v>618</v>
      </c>
      <c r="D2015" s="1">
        <v>46049</v>
      </c>
      <c r="E2015" t="s">
        <v>619</v>
      </c>
      <c r="F2015">
        <v>9</v>
      </c>
      <c r="G2015">
        <v>231</v>
      </c>
      <c r="H2015" t="str">
        <f>VLOOKUP(G2015,[1]OPERADORES!$A:$B,2,0)</f>
        <v>EDIJANE</v>
      </c>
      <c r="I2015" t="s">
        <v>620</v>
      </c>
      <c r="J2015" t="s">
        <v>621</v>
      </c>
      <c r="K2015" t="s">
        <v>622</v>
      </c>
      <c r="L2015">
        <v>85140</v>
      </c>
      <c r="M2015" t="s">
        <v>625</v>
      </c>
      <c r="O2015" t="s">
        <v>46</v>
      </c>
      <c r="P2015">
        <v>5405</v>
      </c>
      <c r="Q2015">
        <v>1</v>
      </c>
      <c r="R2015">
        <v>206.54</v>
      </c>
      <c r="S2015">
        <v>206.54</v>
      </c>
      <c r="T2015">
        <v>156.77000000000001</v>
      </c>
      <c r="U2015">
        <v>24.1</v>
      </c>
      <c r="V2015" t="str">
        <f>VLOOKUP(L2015,'[2]tabela de preços'!$A:$D,4,0)</f>
        <v>MULTILONA</v>
      </c>
      <c r="W2015" t="str">
        <f>VLOOKUP(L2015,'[2]tabela de preços'!$A:$F,6,0)</f>
        <v>LONAS</v>
      </c>
      <c r="X2015" t="str">
        <f>VLOOKUP(L2015,'[2]tabela de preços'!$A:$G,7,0)</f>
        <v>IMOBILIÁRIO</v>
      </c>
    </row>
    <row r="2016" spans="1:24" x14ac:dyDescent="0.3">
      <c r="A2016" t="s">
        <v>617</v>
      </c>
      <c r="C2016" t="s">
        <v>618</v>
      </c>
      <c r="D2016" s="1">
        <v>46049</v>
      </c>
      <c r="E2016" t="s">
        <v>619</v>
      </c>
      <c r="F2016">
        <v>9</v>
      </c>
      <c r="G2016">
        <v>231</v>
      </c>
      <c r="H2016" t="str">
        <f>VLOOKUP(G2016,[1]OPERADORES!$A:$B,2,0)</f>
        <v>EDIJANE</v>
      </c>
      <c r="I2016" t="s">
        <v>620</v>
      </c>
      <c r="J2016" t="s">
        <v>621</v>
      </c>
      <c r="K2016" t="s">
        <v>622</v>
      </c>
      <c r="L2016">
        <v>10297</v>
      </c>
      <c r="M2016" t="s">
        <v>41</v>
      </c>
      <c r="O2016" t="s">
        <v>11</v>
      </c>
      <c r="P2016">
        <v>5102</v>
      </c>
      <c r="Q2016">
        <v>12</v>
      </c>
      <c r="R2016">
        <v>10.89</v>
      </c>
      <c r="S2016">
        <v>130.68</v>
      </c>
      <c r="T2016">
        <v>110.04</v>
      </c>
      <c r="U2016">
        <v>15.79</v>
      </c>
      <c r="V2016" t="str">
        <f>VLOOKUP(L2016,'[2]tabela de preços'!$A:$D,4,0)</f>
        <v>ANJO</v>
      </c>
      <c r="W2016" t="str">
        <f>VLOOKUP(L2016,'[2]tabela de preços'!$A:$F,6,0)</f>
        <v>THINNER DE LIMPEZA</v>
      </c>
      <c r="X2016" t="str">
        <f>VLOOKUP(L2016,'[2]tabela de preços'!$A:$G,7,0)</f>
        <v>THINNER</v>
      </c>
    </row>
    <row r="2017" spans="1:24" x14ac:dyDescent="0.3">
      <c r="A2017" t="s">
        <v>626</v>
      </c>
      <c r="B2017" t="s">
        <v>627</v>
      </c>
      <c r="C2017" t="s">
        <v>693</v>
      </c>
      <c r="D2017" s="1">
        <v>46049</v>
      </c>
      <c r="E2017" t="s">
        <v>694</v>
      </c>
      <c r="F2017">
        <v>9</v>
      </c>
      <c r="G2017">
        <v>174</v>
      </c>
      <c r="H2017" t="str">
        <f>VLOOKUP(G2017,[1]OPERADORES!$A:$B,2,0)</f>
        <v>MIRIÃ LOBATO RODRIGUES</v>
      </c>
      <c r="I2017" t="s">
        <v>21</v>
      </c>
      <c r="J2017" t="s">
        <v>630</v>
      </c>
      <c r="K2017" t="s">
        <v>631</v>
      </c>
      <c r="L2017">
        <v>23716</v>
      </c>
      <c r="M2017" t="s">
        <v>220</v>
      </c>
      <c r="O2017" t="s">
        <v>11</v>
      </c>
      <c r="P2017">
        <v>5102</v>
      </c>
      <c r="Q2017">
        <v>1</v>
      </c>
      <c r="R2017">
        <v>40.71</v>
      </c>
      <c r="S2017">
        <v>40.71</v>
      </c>
      <c r="T2017">
        <v>30.9</v>
      </c>
      <c r="U2017">
        <v>24.1</v>
      </c>
      <c r="V2017" t="str">
        <f>VLOOKUP(L2017,'[2]tabela de preços'!$A:$D,4,0)</f>
        <v>NEW PAD</v>
      </c>
      <c r="W2017" t="str">
        <f>VLOOKUP(L2017,'[2]tabela de preços'!$A:$F,6,0)</f>
        <v>BOINAS PARA POLIMENTO</v>
      </c>
      <c r="X2017" t="str">
        <f>VLOOKUP(L2017,'[2]tabela de preços'!$A:$G,7,0)</f>
        <v>AUTOMOTIVO</v>
      </c>
    </row>
    <row r="2018" spans="1:24" x14ac:dyDescent="0.3">
      <c r="A2018" t="s">
        <v>626</v>
      </c>
      <c r="B2018" t="s">
        <v>627</v>
      </c>
      <c r="C2018" t="s">
        <v>693</v>
      </c>
      <c r="D2018" s="1">
        <v>46049</v>
      </c>
      <c r="E2018" t="s">
        <v>694</v>
      </c>
      <c r="F2018">
        <v>9</v>
      </c>
      <c r="G2018">
        <v>174</v>
      </c>
      <c r="H2018" t="str">
        <f>VLOOKUP(G2018,[1]OPERADORES!$A:$B,2,0)</f>
        <v>MIRIÃ LOBATO RODRIGUES</v>
      </c>
      <c r="I2018" t="s">
        <v>21</v>
      </c>
      <c r="J2018" t="s">
        <v>630</v>
      </c>
      <c r="K2018" t="s">
        <v>631</v>
      </c>
      <c r="L2018">
        <v>21272</v>
      </c>
      <c r="M2018" t="s">
        <v>695</v>
      </c>
      <c r="O2018" t="s">
        <v>11</v>
      </c>
      <c r="P2018">
        <v>5403</v>
      </c>
      <c r="Q2018">
        <v>1</v>
      </c>
      <c r="R2018">
        <v>34.299999999999997</v>
      </c>
      <c r="S2018">
        <v>34.299999999999997</v>
      </c>
      <c r="T2018">
        <v>26.03</v>
      </c>
      <c r="U2018">
        <v>24.11</v>
      </c>
      <c r="V2018" t="str">
        <f>VLOOKUP(L2018,'[2]tabela de preços'!$A:$D,4,0)</f>
        <v>WANDA</v>
      </c>
      <c r="W2018" t="str">
        <f>VLOOKUP(L2018,'[2]tabela de preços'!$A:$F,6,0)</f>
        <v>TINTAS POLIÉSTER</v>
      </c>
      <c r="X2018" t="str">
        <f>VLOOKUP(L2018,'[2]tabela de preços'!$A:$G,7,0)</f>
        <v>AUTOMOTIVO</v>
      </c>
    </row>
    <row r="2019" spans="1:24" x14ac:dyDescent="0.3">
      <c r="A2019" t="s">
        <v>626</v>
      </c>
      <c r="B2019" t="s">
        <v>627</v>
      </c>
      <c r="C2019" t="s">
        <v>693</v>
      </c>
      <c r="D2019" s="1">
        <v>46049</v>
      </c>
      <c r="E2019" t="s">
        <v>694</v>
      </c>
      <c r="F2019">
        <v>9</v>
      </c>
      <c r="G2019">
        <v>174</v>
      </c>
      <c r="H2019" t="str">
        <f>VLOOKUP(G2019,[1]OPERADORES!$A:$B,2,0)</f>
        <v>MIRIÃ LOBATO RODRIGUES</v>
      </c>
      <c r="I2019" t="s">
        <v>21</v>
      </c>
      <c r="J2019" t="s">
        <v>630</v>
      </c>
      <c r="K2019" t="s">
        <v>631</v>
      </c>
      <c r="L2019">
        <v>23110</v>
      </c>
      <c r="M2019" t="s">
        <v>409</v>
      </c>
      <c r="O2019" t="s">
        <v>11</v>
      </c>
      <c r="P2019">
        <v>5102</v>
      </c>
      <c r="Q2019">
        <v>50</v>
      </c>
      <c r="R2019">
        <v>2.35</v>
      </c>
      <c r="S2019">
        <v>117.5</v>
      </c>
      <c r="T2019">
        <v>92.5</v>
      </c>
      <c r="U2019">
        <v>21.28</v>
      </c>
      <c r="V2019" t="str">
        <f>VLOOKUP(L2019,'[2]tabela de preços'!$A:$D,4,0)</f>
        <v>3M</v>
      </c>
      <c r="W2019" t="str">
        <f>VLOOKUP(L2019,'[2]tabela de preços'!$A:$F,6,0)</f>
        <v xml:space="preserve">DISCOS / LIXAS / ABRASIVOS </v>
      </c>
      <c r="X2019" t="str">
        <f>VLOOKUP(L2019,'[2]tabela de preços'!$A:$G,7,0)</f>
        <v>AUTOMOTIVO</v>
      </c>
    </row>
    <row r="2020" spans="1:24" x14ac:dyDescent="0.3">
      <c r="A2020" t="s">
        <v>626</v>
      </c>
      <c r="B2020" t="s">
        <v>627</v>
      </c>
      <c r="C2020" t="s">
        <v>693</v>
      </c>
      <c r="D2020" s="1">
        <v>46049</v>
      </c>
      <c r="E2020" t="s">
        <v>694</v>
      </c>
      <c r="F2020">
        <v>9</v>
      </c>
      <c r="G2020">
        <v>174</v>
      </c>
      <c r="H2020" t="str">
        <f>VLOOKUP(G2020,[1]OPERADORES!$A:$B,2,0)</f>
        <v>MIRIÃ LOBATO RODRIGUES</v>
      </c>
      <c r="I2020" t="s">
        <v>21</v>
      </c>
      <c r="J2020" t="s">
        <v>630</v>
      </c>
      <c r="K2020" t="s">
        <v>631</v>
      </c>
      <c r="L2020">
        <v>24248</v>
      </c>
      <c r="M2020" t="s">
        <v>107</v>
      </c>
      <c r="O2020" t="s">
        <v>11</v>
      </c>
      <c r="P2020">
        <v>5102</v>
      </c>
      <c r="Q2020">
        <v>6</v>
      </c>
      <c r="R2020">
        <v>8</v>
      </c>
      <c r="S2020">
        <v>48</v>
      </c>
      <c r="T2020">
        <v>39</v>
      </c>
      <c r="U2020">
        <v>18.75</v>
      </c>
      <c r="V2020" t="str">
        <f>VLOOKUP(L2020,'[2]tabela de preços'!$A:$D,4,0)</f>
        <v>SHERWIN WILLIAMS</v>
      </c>
      <c r="W2020" t="str">
        <f>VLOOKUP(L2020,'[2]tabela de preços'!$A:$F,6,0)</f>
        <v>PRIMER AUTOMOTIVO</v>
      </c>
      <c r="X2020" t="str">
        <f>VLOOKUP(L2020,'[2]tabela de preços'!$A:$G,7,0)</f>
        <v>AUTOMOTIVO</v>
      </c>
    </row>
    <row r="2021" spans="1:24" x14ac:dyDescent="0.3">
      <c r="A2021" t="s">
        <v>626</v>
      </c>
      <c r="B2021" t="s">
        <v>627</v>
      </c>
      <c r="C2021" t="s">
        <v>693</v>
      </c>
      <c r="D2021" s="1">
        <v>46049</v>
      </c>
      <c r="E2021" t="s">
        <v>694</v>
      </c>
      <c r="F2021">
        <v>9</v>
      </c>
      <c r="G2021">
        <v>174</v>
      </c>
      <c r="H2021" t="str">
        <f>VLOOKUP(G2021,[1]OPERADORES!$A:$B,2,0)</f>
        <v>MIRIÃ LOBATO RODRIGUES</v>
      </c>
      <c r="I2021" t="s">
        <v>21</v>
      </c>
      <c r="J2021" t="s">
        <v>630</v>
      </c>
      <c r="K2021" t="s">
        <v>631</v>
      </c>
      <c r="L2021">
        <v>85636</v>
      </c>
      <c r="M2021" t="s">
        <v>696</v>
      </c>
      <c r="O2021" t="s">
        <v>11</v>
      </c>
      <c r="P2021">
        <v>5102</v>
      </c>
      <c r="Q2021">
        <v>14</v>
      </c>
      <c r="R2021">
        <v>7.36</v>
      </c>
      <c r="S2021">
        <v>103.04</v>
      </c>
      <c r="T2021">
        <v>78.260000000000005</v>
      </c>
      <c r="U2021">
        <v>24.05</v>
      </c>
      <c r="V2021" t="str">
        <f>VLOOKUP(L2021,'[2]tabela de preços'!$A:$D,4,0)</f>
        <v>UNIPEGA</v>
      </c>
      <c r="W2021" t="str">
        <f>VLOOKUP(L2021,'[2]tabela de preços'!$A:$F,6,0)</f>
        <v>DESENGRIPANTE</v>
      </c>
      <c r="X2021" t="str">
        <f>VLOOKUP(L2021,'[2]tabela de preços'!$A:$G,7,0)</f>
        <v>AUTOMOTIVO</v>
      </c>
    </row>
    <row r="2022" spans="1:24" x14ac:dyDescent="0.3">
      <c r="A2022" t="s">
        <v>626</v>
      </c>
      <c r="B2022" t="s">
        <v>627</v>
      </c>
      <c r="C2022" t="s">
        <v>693</v>
      </c>
      <c r="D2022" s="1">
        <v>46049</v>
      </c>
      <c r="E2022" t="s">
        <v>694</v>
      </c>
      <c r="F2022">
        <v>9</v>
      </c>
      <c r="G2022">
        <v>174</v>
      </c>
      <c r="H2022" t="str">
        <f>VLOOKUP(G2022,[1]OPERADORES!$A:$B,2,0)</f>
        <v>MIRIÃ LOBATO RODRIGUES</v>
      </c>
      <c r="I2022" t="s">
        <v>21</v>
      </c>
      <c r="J2022" t="s">
        <v>630</v>
      </c>
      <c r="K2022" t="s">
        <v>631</v>
      </c>
      <c r="L2022">
        <v>23076</v>
      </c>
      <c r="M2022" t="s">
        <v>97</v>
      </c>
      <c r="O2022" t="s">
        <v>11</v>
      </c>
      <c r="P2022">
        <v>5403</v>
      </c>
      <c r="Q2022">
        <v>6</v>
      </c>
      <c r="R2022">
        <v>34.89</v>
      </c>
      <c r="S2022">
        <v>209.34</v>
      </c>
      <c r="T2022">
        <v>159.18</v>
      </c>
      <c r="U2022">
        <v>23.96</v>
      </c>
      <c r="V2022" t="str">
        <f>VLOOKUP(L2022,'[2]tabela de preços'!$A:$D,4,0)</f>
        <v>WANDA</v>
      </c>
      <c r="W2022" t="str">
        <f>VLOOKUP(L2022,'[2]tabela de preços'!$A:$F,6,0)</f>
        <v>PRIMER AUTOMOTIVO</v>
      </c>
      <c r="X2022" t="str">
        <f>VLOOKUP(L2022,'[2]tabela de preços'!$A:$G,7,0)</f>
        <v>AUTOMOTIVO</v>
      </c>
    </row>
    <row r="2023" spans="1:24" x14ac:dyDescent="0.3">
      <c r="A2023" t="s">
        <v>626</v>
      </c>
      <c r="B2023" t="s">
        <v>627</v>
      </c>
      <c r="C2023" t="s">
        <v>693</v>
      </c>
      <c r="D2023" s="1">
        <v>46049</v>
      </c>
      <c r="E2023" t="s">
        <v>694</v>
      </c>
      <c r="F2023">
        <v>9</v>
      </c>
      <c r="G2023">
        <v>174</v>
      </c>
      <c r="H2023" t="str">
        <f>VLOOKUP(G2023,[1]OPERADORES!$A:$B,2,0)</f>
        <v>MIRIÃ LOBATO RODRIGUES</v>
      </c>
      <c r="I2023" t="s">
        <v>21</v>
      </c>
      <c r="J2023" t="s">
        <v>630</v>
      </c>
      <c r="K2023" t="s">
        <v>631</v>
      </c>
      <c r="L2023">
        <v>23602</v>
      </c>
      <c r="M2023" t="s">
        <v>215</v>
      </c>
      <c r="O2023" t="s">
        <v>11</v>
      </c>
      <c r="P2023">
        <v>5403</v>
      </c>
      <c r="Q2023">
        <v>4</v>
      </c>
      <c r="R2023">
        <v>35.89</v>
      </c>
      <c r="S2023">
        <v>143.56</v>
      </c>
      <c r="T2023">
        <v>117</v>
      </c>
      <c r="U2023">
        <v>18.5</v>
      </c>
      <c r="V2023" t="str">
        <f>VLOOKUP(L2023,'[2]tabela de preços'!$A:$D,4,0)</f>
        <v>SHERWIN WILLIAMS</v>
      </c>
      <c r="W2023" t="str">
        <f>VLOOKUP(L2023,'[2]tabela de preços'!$A:$F,6,0)</f>
        <v>VERNIZ AUTOMOTIVO</v>
      </c>
      <c r="X2023" t="str">
        <f>VLOOKUP(L2023,'[2]tabela de preços'!$A:$G,7,0)</f>
        <v>AUTOMOTIVO</v>
      </c>
    </row>
    <row r="2024" spans="1:24" x14ac:dyDescent="0.3">
      <c r="A2024" t="s">
        <v>626</v>
      </c>
      <c r="B2024" t="s">
        <v>627</v>
      </c>
      <c r="C2024" t="s">
        <v>693</v>
      </c>
      <c r="D2024" s="1">
        <v>46049</v>
      </c>
      <c r="E2024" t="s">
        <v>694</v>
      </c>
      <c r="F2024">
        <v>9</v>
      </c>
      <c r="G2024">
        <v>174</v>
      </c>
      <c r="H2024" t="str">
        <f>VLOOKUP(G2024,[1]OPERADORES!$A:$B,2,0)</f>
        <v>MIRIÃ LOBATO RODRIGUES</v>
      </c>
      <c r="I2024" t="s">
        <v>21</v>
      </c>
      <c r="J2024" t="s">
        <v>630</v>
      </c>
      <c r="K2024" t="s">
        <v>631</v>
      </c>
      <c r="L2024">
        <v>20318</v>
      </c>
      <c r="M2024" t="s">
        <v>136</v>
      </c>
      <c r="O2024" t="s">
        <v>11</v>
      </c>
      <c r="P2024">
        <v>5403</v>
      </c>
      <c r="Q2024">
        <v>3</v>
      </c>
      <c r="R2024">
        <v>33.4</v>
      </c>
      <c r="S2024">
        <v>100.2</v>
      </c>
      <c r="T2024">
        <v>71.430000000000007</v>
      </c>
      <c r="U2024">
        <v>28.71</v>
      </c>
      <c r="V2024" t="str">
        <f>VLOOKUP(L2024,'[2]tabela de preços'!$A:$D,4,0)</f>
        <v>SHERWIN WILLIAMS</v>
      </c>
      <c r="W2024" t="str">
        <f>VLOOKUP(L2024,'[2]tabela de preços'!$A:$F,6,0)</f>
        <v>TINTAS POLIÉSTER</v>
      </c>
      <c r="X2024" t="str">
        <f>VLOOKUP(L2024,'[2]tabela de preços'!$A:$G,7,0)</f>
        <v>AUTOMOTIVO</v>
      </c>
    </row>
    <row r="2025" spans="1:24" x14ac:dyDescent="0.3">
      <c r="A2025" t="s">
        <v>626</v>
      </c>
      <c r="B2025" t="s">
        <v>627</v>
      </c>
      <c r="C2025" t="s">
        <v>693</v>
      </c>
      <c r="D2025" s="1">
        <v>46049</v>
      </c>
      <c r="E2025" t="s">
        <v>694</v>
      </c>
      <c r="F2025">
        <v>9</v>
      </c>
      <c r="G2025">
        <v>174</v>
      </c>
      <c r="H2025" t="str">
        <f>VLOOKUP(G2025,[1]OPERADORES!$A:$B,2,0)</f>
        <v>MIRIÃ LOBATO RODRIGUES</v>
      </c>
      <c r="I2025" t="s">
        <v>21</v>
      </c>
      <c r="J2025" t="s">
        <v>630</v>
      </c>
      <c r="K2025" t="s">
        <v>631</v>
      </c>
      <c r="L2025">
        <v>23458</v>
      </c>
      <c r="M2025" t="s">
        <v>697</v>
      </c>
      <c r="O2025" t="s">
        <v>11</v>
      </c>
      <c r="P2025">
        <v>5102</v>
      </c>
      <c r="Q2025">
        <v>1</v>
      </c>
      <c r="R2025">
        <v>58</v>
      </c>
      <c r="S2025">
        <v>58</v>
      </c>
      <c r="T2025">
        <v>44.04</v>
      </c>
      <c r="U2025">
        <v>24.07</v>
      </c>
      <c r="V2025" t="str">
        <f>VLOOKUP(L2025,'[2]tabela de preços'!$A:$D,4,0)</f>
        <v>3M</v>
      </c>
      <c r="W2025" t="str">
        <f>VLOOKUP(L2025,'[2]tabela de preços'!$A:$F,6,0)</f>
        <v xml:space="preserve">LÍQUIDOS P/ POLIMENTO </v>
      </c>
      <c r="X2025" t="str">
        <f>VLOOKUP(L2025,'[2]tabela de preços'!$A:$G,7,0)</f>
        <v>AUTOMOTIVO</v>
      </c>
    </row>
    <row r="2026" spans="1:24" x14ac:dyDescent="0.3">
      <c r="A2026" t="s">
        <v>626</v>
      </c>
      <c r="B2026" t="s">
        <v>627</v>
      </c>
      <c r="C2026" t="s">
        <v>693</v>
      </c>
      <c r="D2026" s="1">
        <v>46049</v>
      </c>
      <c r="E2026" t="s">
        <v>694</v>
      </c>
      <c r="F2026">
        <v>9</v>
      </c>
      <c r="G2026">
        <v>174</v>
      </c>
      <c r="H2026" t="str">
        <f>VLOOKUP(G2026,[1]OPERADORES!$A:$B,2,0)</f>
        <v>MIRIÃ LOBATO RODRIGUES</v>
      </c>
      <c r="I2026" t="s">
        <v>21</v>
      </c>
      <c r="J2026" t="s">
        <v>630</v>
      </c>
      <c r="K2026" t="s">
        <v>631</v>
      </c>
      <c r="L2026">
        <v>24247</v>
      </c>
      <c r="M2026" t="s">
        <v>160</v>
      </c>
      <c r="O2026" t="s">
        <v>11</v>
      </c>
      <c r="P2026">
        <v>5403</v>
      </c>
      <c r="Q2026">
        <v>6</v>
      </c>
      <c r="R2026">
        <v>21</v>
      </c>
      <c r="S2026">
        <v>126</v>
      </c>
      <c r="T2026">
        <v>101.22</v>
      </c>
      <c r="U2026">
        <v>19.670000000000002</v>
      </c>
      <c r="V2026" t="str">
        <f>VLOOKUP(L2026,'[2]tabela de preços'!$A:$D,4,0)</f>
        <v>SHERWIN WILLIAMS</v>
      </c>
      <c r="W2026" t="str">
        <f>VLOOKUP(L2026,'[2]tabela de preços'!$A:$F,6,0)</f>
        <v>PRIMER AUTOMOTIVO</v>
      </c>
      <c r="X2026" t="str">
        <f>VLOOKUP(L2026,'[2]tabela de preços'!$A:$G,7,0)</f>
        <v>AUTOMOTIVO</v>
      </c>
    </row>
    <row r="2027" spans="1:24" x14ac:dyDescent="0.3">
      <c r="A2027" t="s">
        <v>626</v>
      </c>
      <c r="B2027" t="s">
        <v>627</v>
      </c>
      <c r="C2027" t="s">
        <v>698</v>
      </c>
      <c r="D2027" s="1">
        <v>46049</v>
      </c>
      <c r="E2027" t="s">
        <v>699</v>
      </c>
      <c r="F2027">
        <v>9</v>
      </c>
      <c r="G2027">
        <v>174</v>
      </c>
      <c r="H2027" t="str">
        <f>VLOOKUP(G2027,[1]OPERADORES!$A:$B,2,0)</f>
        <v>MIRIÃ LOBATO RODRIGUES</v>
      </c>
      <c r="I2027" t="s">
        <v>21</v>
      </c>
      <c r="J2027" t="s">
        <v>630</v>
      </c>
      <c r="K2027" t="s">
        <v>631</v>
      </c>
      <c r="L2027">
        <v>23713</v>
      </c>
      <c r="M2027" t="s">
        <v>192</v>
      </c>
      <c r="O2027" t="s">
        <v>11</v>
      </c>
      <c r="P2027">
        <v>5102</v>
      </c>
      <c r="Q2027">
        <v>1</v>
      </c>
      <c r="R2027">
        <v>40.71</v>
      </c>
      <c r="S2027">
        <v>40.71</v>
      </c>
      <c r="T2027">
        <v>30.9</v>
      </c>
      <c r="U2027">
        <v>24.1</v>
      </c>
      <c r="V2027" t="str">
        <f>VLOOKUP(L2027,'[2]tabela de preços'!$A:$D,4,0)</f>
        <v>NEW PAD</v>
      </c>
      <c r="W2027" t="str">
        <f>VLOOKUP(L2027,'[2]tabela de preços'!$A:$F,6,0)</f>
        <v>BOINAS PARA POLIMENTO</v>
      </c>
      <c r="X2027" t="str">
        <f>VLOOKUP(L2027,'[2]tabela de preços'!$A:$G,7,0)</f>
        <v>AUTOMOTIVO</v>
      </c>
    </row>
    <row r="2028" spans="1:24" x14ac:dyDescent="0.3">
      <c r="A2028" t="s">
        <v>626</v>
      </c>
      <c r="B2028" t="s">
        <v>627</v>
      </c>
      <c r="C2028" t="s">
        <v>698</v>
      </c>
      <c r="D2028" s="1">
        <v>46049</v>
      </c>
      <c r="E2028" t="s">
        <v>699</v>
      </c>
      <c r="F2028">
        <v>9</v>
      </c>
      <c r="G2028">
        <v>174</v>
      </c>
      <c r="H2028" t="str">
        <f>VLOOKUP(G2028,[1]OPERADORES!$A:$B,2,0)</f>
        <v>MIRIÃ LOBATO RODRIGUES</v>
      </c>
      <c r="I2028" t="s">
        <v>21</v>
      </c>
      <c r="J2028" t="s">
        <v>630</v>
      </c>
      <c r="K2028" t="s">
        <v>631</v>
      </c>
      <c r="L2028">
        <v>84487</v>
      </c>
      <c r="M2028" t="s">
        <v>633</v>
      </c>
      <c r="O2028" t="s">
        <v>11</v>
      </c>
      <c r="P2028">
        <v>5403</v>
      </c>
      <c r="Q2028">
        <v>2</v>
      </c>
      <c r="R2028">
        <v>29.01</v>
      </c>
      <c r="S2028">
        <v>58.02</v>
      </c>
      <c r="T2028">
        <v>43.78</v>
      </c>
      <c r="U2028">
        <v>24.54</v>
      </c>
      <c r="V2028" t="str">
        <f>VLOOKUP(L2028,'[2]tabela de preços'!$A:$D,4,0)</f>
        <v>BRASILUX</v>
      </c>
      <c r="W2028" t="str">
        <f>VLOOKUP(L2028,'[2]tabela de preços'!$A:$F,6,0)</f>
        <v>TINTAS LACA</v>
      </c>
      <c r="X2028" t="str">
        <f>VLOOKUP(L2028,'[2]tabela de preços'!$A:$G,7,0)</f>
        <v>AUTOMOTIVO</v>
      </c>
    </row>
    <row r="2029" spans="1:24" x14ac:dyDescent="0.3">
      <c r="A2029" t="s">
        <v>626</v>
      </c>
      <c r="B2029" t="s">
        <v>627</v>
      </c>
      <c r="C2029" t="s">
        <v>698</v>
      </c>
      <c r="D2029" s="1">
        <v>46049</v>
      </c>
      <c r="E2029" t="s">
        <v>699</v>
      </c>
      <c r="F2029">
        <v>9</v>
      </c>
      <c r="G2029">
        <v>174</v>
      </c>
      <c r="H2029" t="str">
        <f>VLOOKUP(G2029,[1]OPERADORES!$A:$B,2,0)</f>
        <v>MIRIÃ LOBATO RODRIGUES</v>
      </c>
      <c r="I2029" t="s">
        <v>21</v>
      </c>
      <c r="J2029" t="s">
        <v>630</v>
      </c>
      <c r="K2029" t="s">
        <v>631</v>
      </c>
      <c r="L2029">
        <v>5</v>
      </c>
      <c r="M2029" t="s">
        <v>147</v>
      </c>
      <c r="O2029" t="s">
        <v>11</v>
      </c>
      <c r="P2029">
        <v>5102</v>
      </c>
      <c r="Q2029">
        <v>5</v>
      </c>
      <c r="R2029">
        <v>5.15</v>
      </c>
      <c r="S2029">
        <v>25.75</v>
      </c>
      <c r="T2029">
        <v>19.55</v>
      </c>
      <c r="U2029">
        <v>24.08</v>
      </c>
      <c r="V2029" t="str">
        <f>VLOOKUP(L2029,'[2]tabela de preços'!$A:$D,4,0)</f>
        <v>BRILHO ESTOPA</v>
      </c>
      <c r="W2029" t="str">
        <f>VLOOKUP(L2029,'[2]tabela de preços'!$A:$F,6,0)</f>
        <v>ESTOPAS</v>
      </c>
      <c r="X2029" t="str">
        <f>VLOOKUP(L2029,'[2]tabela de preços'!$A:$G,7,0)</f>
        <v>AUTOMOTIVO</v>
      </c>
    </row>
    <row r="2030" spans="1:24" x14ac:dyDescent="0.3">
      <c r="A2030" t="s">
        <v>626</v>
      </c>
      <c r="B2030" t="s">
        <v>627</v>
      </c>
      <c r="C2030" t="s">
        <v>698</v>
      </c>
      <c r="D2030" s="1">
        <v>46049</v>
      </c>
      <c r="E2030" t="s">
        <v>699</v>
      </c>
      <c r="F2030">
        <v>9</v>
      </c>
      <c r="G2030">
        <v>174</v>
      </c>
      <c r="H2030" t="str">
        <f>VLOOKUP(G2030,[1]OPERADORES!$A:$B,2,0)</f>
        <v>MIRIÃ LOBATO RODRIGUES</v>
      </c>
      <c r="I2030" t="s">
        <v>21</v>
      </c>
      <c r="J2030" t="s">
        <v>630</v>
      </c>
      <c r="K2030" t="s">
        <v>631</v>
      </c>
      <c r="L2030">
        <v>23364</v>
      </c>
      <c r="M2030" t="s">
        <v>55</v>
      </c>
      <c r="O2030" t="s">
        <v>11</v>
      </c>
      <c r="P2030">
        <v>5102</v>
      </c>
      <c r="Q2030">
        <v>53</v>
      </c>
      <c r="R2030">
        <v>6.19</v>
      </c>
      <c r="S2030">
        <v>328.07</v>
      </c>
      <c r="T2030">
        <v>260.23</v>
      </c>
      <c r="U2030">
        <v>20.68</v>
      </c>
      <c r="V2030" t="str">
        <f>VLOOKUP(L2030,'[2]tabela de preços'!$A:$D,4,0)</f>
        <v>AUTO AMERICA</v>
      </c>
      <c r="W2030" t="str">
        <f>VLOOKUP(L2030,'[2]tabela de preços'!$A:$F,6,0)</f>
        <v>FLANELAS / PANOS</v>
      </c>
      <c r="X2030" t="str">
        <f>VLOOKUP(L2030,'[2]tabela de preços'!$A:$G,7,0)</f>
        <v>AUTOMOTIVO</v>
      </c>
    </row>
    <row r="2031" spans="1:24" x14ac:dyDescent="0.3">
      <c r="A2031" t="s">
        <v>626</v>
      </c>
      <c r="B2031" t="s">
        <v>627</v>
      </c>
      <c r="C2031" t="s">
        <v>698</v>
      </c>
      <c r="D2031" s="1">
        <v>46049</v>
      </c>
      <c r="E2031" t="s">
        <v>699</v>
      </c>
      <c r="F2031">
        <v>9</v>
      </c>
      <c r="G2031">
        <v>174</v>
      </c>
      <c r="H2031" t="str">
        <f>VLOOKUP(G2031,[1]OPERADORES!$A:$B,2,0)</f>
        <v>MIRIÃ LOBATO RODRIGUES</v>
      </c>
      <c r="I2031" t="s">
        <v>21</v>
      </c>
      <c r="J2031" t="s">
        <v>630</v>
      </c>
      <c r="K2031" t="s">
        <v>631</v>
      </c>
      <c r="L2031">
        <v>20817</v>
      </c>
      <c r="M2031" t="s">
        <v>153</v>
      </c>
      <c r="O2031" t="s">
        <v>11</v>
      </c>
      <c r="P2031">
        <v>5102</v>
      </c>
      <c r="Q2031">
        <v>3</v>
      </c>
      <c r="R2031">
        <v>22.89</v>
      </c>
      <c r="S2031">
        <v>68.67</v>
      </c>
      <c r="T2031">
        <v>55.86</v>
      </c>
      <c r="U2031">
        <v>18.649999999999999</v>
      </c>
      <c r="V2031" t="str">
        <f>VLOOKUP(L2031,'[2]tabela de preços'!$A:$D,4,0)</f>
        <v>AUTO AMERICA</v>
      </c>
      <c r="W2031" t="str">
        <f>VLOOKUP(L2031,'[2]tabela de preços'!$A:$F,6,0)</f>
        <v>MASSA DE POLIR</v>
      </c>
      <c r="X2031" t="str">
        <f>VLOOKUP(L2031,'[2]tabela de preços'!$A:$G,7,0)</f>
        <v>AUTOMOTIVO</v>
      </c>
    </row>
    <row r="2032" spans="1:24" x14ac:dyDescent="0.3">
      <c r="A2032" t="s">
        <v>626</v>
      </c>
      <c r="B2032" t="s">
        <v>627</v>
      </c>
      <c r="C2032" t="s">
        <v>698</v>
      </c>
      <c r="D2032" s="1">
        <v>46049</v>
      </c>
      <c r="E2032" t="s">
        <v>699</v>
      </c>
      <c r="F2032">
        <v>9</v>
      </c>
      <c r="G2032">
        <v>174</v>
      </c>
      <c r="H2032" t="str">
        <f>VLOOKUP(G2032,[1]OPERADORES!$A:$B,2,0)</f>
        <v>MIRIÃ LOBATO RODRIGUES</v>
      </c>
      <c r="I2032" t="s">
        <v>21</v>
      </c>
      <c r="J2032" t="s">
        <v>630</v>
      </c>
      <c r="K2032" t="s">
        <v>631</v>
      </c>
      <c r="L2032">
        <v>21067</v>
      </c>
      <c r="M2032" t="s">
        <v>640</v>
      </c>
      <c r="O2032" t="s">
        <v>11</v>
      </c>
      <c r="P2032">
        <v>5102</v>
      </c>
      <c r="Q2032">
        <v>2</v>
      </c>
      <c r="R2032">
        <v>36.07</v>
      </c>
      <c r="S2032">
        <v>72.14</v>
      </c>
      <c r="T2032">
        <v>54.76</v>
      </c>
      <c r="U2032">
        <v>24.09</v>
      </c>
      <c r="V2032" t="str">
        <f>VLOOKUP(L2032,'[2]tabela de preços'!$A:$D,4,0)</f>
        <v>SIKKENS</v>
      </c>
      <c r="W2032" t="str">
        <f>VLOOKUP(L2032,'[2]tabela de preços'!$A:$F,6,0)</f>
        <v>DILUENTE</v>
      </c>
      <c r="X2032" t="str">
        <f>VLOOKUP(L2032,'[2]tabela de preços'!$A:$G,7,0)</f>
        <v>AUTOMOTIVO</v>
      </c>
    </row>
    <row r="2033" spans="1:24" x14ac:dyDescent="0.3">
      <c r="A2033" t="s">
        <v>626</v>
      </c>
      <c r="B2033" t="s">
        <v>627</v>
      </c>
      <c r="C2033" t="s">
        <v>698</v>
      </c>
      <c r="D2033" s="1">
        <v>46049</v>
      </c>
      <c r="E2033" t="s">
        <v>699</v>
      </c>
      <c r="F2033">
        <v>9</v>
      </c>
      <c r="G2033">
        <v>174</v>
      </c>
      <c r="H2033" t="str">
        <f>VLOOKUP(G2033,[1]OPERADORES!$A:$B,2,0)</f>
        <v>MIRIÃ LOBATO RODRIGUES</v>
      </c>
      <c r="I2033" t="s">
        <v>21</v>
      </c>
      <c r="J2033" t="s">
        <v>630</v>
      </c>
      <c r="K2033" t="s">
        <v>631</v>
      </c>
      <c r="L2033">
        <v>84460</v>
      </c>
      <c r="M2033" t="s">
        <v>322</v>
      </c>
      <c r="O2033" t="s">
        <v>11</v>
      </c>
      <c r="P2033">
        <v>5102</v>
      </c>
      <c r="Q2033">
        <v>2</v>
      </c>
      <c r="R2033">
        <v>31.07</v>
      </c>
      <c r="S2033">
        <v>62.14</v>
      </c>
      <c r="T2033">
        <v>47.16</v>
      </c>
      <c r="U2033">
        <v>24.11</v>
      </c>
      <c r="V2033" t="str">
        <f>VLOOKUP(L2033,'[2]tabela de preços'!$A:$D,4,0)</f>
        <v>BRASILUX</v>
      </c>
      <c r="W2033" t="str">
        <f>VLOOKUP(L2033,'[2]tabela de preços'!$A:$F,6,0)</f>
        <v>VEDADORES / SELANTES</v>
      </c>
      <c r="X2033" t="str">
        <f>VLOOKUP(L2033,'[2]tabela de preços'!$A:$G,7,0)</f>
        <v>AUTOMOTIVO</v>
      </c>
    </row>
    <row r="2034" spans="1:24" x14ac:dyDescent="0.3">
      <c r="A2034" t="s">
        <v>626</v>
      </c>
      <c r="B2034" t="s">
        <v>627</v>
      </c>
      <c r="C2034" t="s">
        <v>698</v>
      </c>
      <c r="D2034" s="1">
        <v>46049</v>
      </c>
      <c r="E2034" t="s">
        <v>699</v>
      </c>
      <c r="F2034">
        <v>9</v>
      </c>
      <c r="G2034">
        <v>174</v>
      </c>
      <c r="H2034" t="str">
        <f>VLOOKUP(G2034,[1]OPERADORES!$A:$B,2,0)</f>
        <v>MIRIÃ LOBATO RODRIGUES</v>
      </c>
      <c r="I2034" t="s">
        <v>21</v>
      </c>
      <c r="J2034" t="s">
        <v>630</v>
      </c>
      <c r="K2034" t="s">
        <v>631</v>
      </c>
      <c r="L2034">
        <v>10404</v>
      </c>
      <c r="M2034" t="s">
        <v>130</v>
      </c>
      <c r="O2034" t="s">
        <v>11</v>
      </c>
      <c r="P2034">
        <v>5102</v>
      </c>
      <c r="Q2034">
        <v>6</v>
      </c>
      <c r="R2034">
        <v>16.29</v>
      </c>
      <c r="S2034">
        <v>97.74</v>
      </c>
      <c r="T2034">
        <v>75.06</v>
      </c>
      <c r="U2034">
        <v>23.2</v>
      </c>
      <c r="V2034" t="str">
        <f>VLOOKUP(L2034,'[2]tabela de preços'!$A:$D,4,0)</f>
        <v>MAXI RUBBER</v>
      </c>
      <c r="W2034" t="str">
        <f>VLOOKUP(L2034,'[2]tabela de preços'!$A:$F,6,0)</f>
        <v>VEDADORES / SELANTES</v>
      </c>
      <c r="X2034" t="str">
        <f>VLOOKUP(L2034,'[2]tabela de preços'!$A:$G,7,0)</f>
        <v>AUTOMOTIVO</v>
      </c>
    </row>
    <row r="2035" spans="1:24" x14ac:dyDescent="0.3">
      <c r="A2035" t="s">
        <v>770</v>
      </c>
      <c r="C2035" t="s">
        <v>804</v>
      </c>
      <c r="D2035" s="1">
        <v>46049</v>
      </c>
      <c r="E2035" t="s">
        <v>805</v>
      </c>
      <c r="F2035">
        <v>9</v>
      </c>
      <c r="G2035">
        <v>230</v>
      </c>
      <c r="H2035" t="str">
        <f>VLOOKUP(G2035,[1]OPERADORES!$A:$B,2,0)</f>
        <v>SÔNIA</v>
      </c>
      <c r="I2035" t="s">
        <v>21</v>
      </c>
      <c r="J2035" t="s">
        <v>397</v>
      </c>
      <c r="K2035" t="s">
        <v>773</v>
      </c>
      <c r="L2035">
        <v>20327</v>
      </c>
      <c r="M2035" t="s">
        <v>216</v>
      </c>
      <c r="O2035" t="s">
        <v>11</v>
      </c>
      <c r="P2035">
        <v>5102</v>
      </c>
      <c r="Q2035">
        <v>2</v>
      </c>
      <c r="R2035">
        <v>33.119999999999997</v>
      </c>
      <c r="S2035">
        <v>66.239999999999995</v>
      </c>
      <c r="T2035">
        <v>47.24</v>
      </c>
      <c r="U2035">
        <v>28.68</v>
      </c>
      <c r="V2035" t="str">
        <f>VLOOKUP(L2035,'[2]tabela de preços'!$A:$D,4,0)</f>
        <v>SHERWIN WILLIAMS</v>
      </c>
      <c r="W2035" t="str">
        <f>VLOOKUP(L2035,'[2]tabela de preços'!$A:$F,6,0)</f>
        <v>TINTAS PU</v>
      </c>
      <c r="X2035" t="str">
        <f>VLOOKUP(L2035,'[2]tabela de preços'!$A:$G,7,0)</f>
        <v>AUTOMOTIVO</v>
      </c>
    </row>
    <row r="2036" spans="1:24" x14ac:dyDescent="0.3">
      <c r="A2036" t="s">
        <v>896</v>
      </c>
      <c r="C2036" t="s">
        <v>897</v>
      </c>
      <c r="D2036" s="1">
        <v>46049</v>
      </c>
      <c r="E2036" t="s">
        <v>898</v>
      </c>
      <c r="F2036">
        <v>9</v>
      </c>
      <c r="G2036">
        <v>174</v>
      </c>
      <c r="H2036" t="str">
        <f>VLOOKUP(G2036,[1]OPERADORES!$A:$B,2,0)</f>
        <v>MIRIÃ LOBATO RODRIGUES</v>
      </c>
      <c r="I2036" t="s">
        <v>21</v>
      </c>
      <c r="J2036" t="s">
        <v>339</v>
      </c>
      <c r="K2036" t="s">
        <v>899</v>
      </c>
      <c r="L2036">
        <v>84030</v>
      </c>
      <c r="M2036" t="s">
        <v>900</v>
      </c>
      <c r="O2036" t="s">
        <v>11</v>
      </c>
      <c r="P2036">
        <v>5102</v>
      </c>
      <c r="Q2036">
        <v>4</v>
      </c>
      <c r="R2036">
        <v>55.81</v>
      </c>
      <c r="S2036">
        <v>223.24</v>
      </c>
      <c r="T2036">
        <v>169.44</v>
      </c>
      <c r="U2036">
        <v>24.1</v>
      </c>
      <c r="V2036" t="str">
        <f>VLOOKUP(L2036,'[2]tabela de preços'!$A:$D,4,0)</f>
        <v>BRASILUX</v>
      </c>
      <c r="W2036" t="str">
        <f>VLOOKUP(L2036,'[2]tabela de preços'!$A:$F,6,0)</f>
        <v>AGUARRAS</v>
      </c>
      <c r="X2036" t="str">
        <f>VLOOKUP(L2036,'[2]tabela de preços'!$A:$G,7,0)</f>
        <v>IMOBILIÁRIO</v>
      </c>
    </row>
    <row r="2037" spans="1:24" x14ac:dyDescent="0.3">
      <c r="A2037" t="s">
        <v>1020</v>
      </c>
      <c r="C2037" t="s">
        <v>1029</v>
      </c>
      <c r="D2037" s="1">
        <v>46049</v>
      </c>
      <c r="E2037" t="s">
        <v>1030</v>
      </c>
      <c r="F2037">
        <v>9</v>
      </c>
      <c r="G2037">
        <v>174</v>
      </c>
      <c r="H2037" t="str">
        <f>VLOOKUP(G2037,[1]OPERADORES!$A:$B,2,0)</f>
        <v>MIRIÃ LOBATO RODRIGUES</v>
      </c>
      <c r="I2037" t="s">
        <v>21</v>
      </c>
      <c r="J2037" t="s">
        <v>550</v>
      </c>
      <c r="K2037" t="s">
        <v>1023</v>
      </c>
      <c r="L2037">
        <v>84334</v>
      </c>
      <c r="M2037" t="s">
        <v>895</v>
      </c>
      <c r="O2037" t="s">
        <v>11</v>
      </c>
      <c r="P2037">
        <v>5403</v>
      </c>
      <c r="Q2037">
        <v>1</v>
      </c>
      <c r="R2037">
        <v>59.98</v>
      </c>
      <c r="S2037">
        <v>59.98</v>
      </c>
      <c r="T2037">
        <v>47.66</v>
      </c>
      <c r="U2037">
        <v>20.54</v>
      </c>
      <c r="V2037" t="str">
        <f>VLOOKUP(L2037,'[2]tabela de preços'!$A:$D,4,0)</f>
        <v>BRASILUX</v>
      </c>
      <c r="W2037" t="str">
        <f>VLOOKUP(L2037,'[2]tabela de preços'!$A:$F,6,0)</f>
        <v>ESMALTES</v>
      </c>
      <c r="X2037" t="str">
        <f>VLOOKUP(L2037,'[2]tabela de preços'!$A:$G,7,0)</f>
        <v>INDUSTRIAL</v>
      </c>
    </row>
    <row r="2038" spans="1:24" x14ac:dyDescent="0.3">
      <c r="A2038" t="s">
        <v>1020</v>
      </c>
      <c r="C2038" t="s">
        <v>1029</v>
      </c>
      <c r="D2038" s="1">
        <v>46049</v>
      </c>
      <c r="E2038" t="s">
        <v>1030</v>
      </c>
      <c r="F2038">
        <v>9</v>
      </c>
      <c r="G2038">
        <v>174</v>
      </c>
      <c r="H2038" t="str">
        <f>VLOOKUP(G2038,[1]OPERADORES!$A:$B,2,0)</f>
        <v>MIRIÃ LOBATO RODRIGUES</v>
      </c>
      <c r="I2038" t="s">
        <v>21</v>
      </c>
      <c r="J2038" t="s">
        <v>550</v>
      </c>
      <c r="K2038" t="s">
        <v>1023</v>
      </c>
      <c r="L2038">
        <v>84462</v>
      </c>
      <c r="M2038" t="s">
        <v>1026</v>
      </c>
      <c r="O2038" t="s">
        <v>11</v>
      </c>
      <c r="P2038">
        <v>5403</v>
      </c>
      <c r="Q2038">
        <v>3</v>
      </c>
      <c r="R2038">
        <v>105.56</v>
      </c>
      <c r="S2038">
        <v>316.68</v>
      </c>
      <c r="T2038">
        <v>240.36</v>
      </c>
      <c r="U2038">
        <v>24.1</v>
      </c>
      <c r="V2038" t="str">
        <f>VLOOKUP(L2038,'[2]tabela de preços'!$A:$D,4,0)</f>
        <v>BRASILUX</v>
      </c>
      <c r="W2038" t="str">
        <f>VLOOKUP(L2038,'[2]tabela de preços'!$A:$F,6,0)</f>
        <v>ESMALTES</v>
      </c>
      <c r="X2038" t="str">
        <f>VLOOKUP(L2038,'[2]tabela de preços'!$A:$G,7,0)</f>
        <v>INDUSTRIAL</v>
      </c>
    </row>
    <row r="2039" spans="1:24" x14ac:dyDescent="0.3">
      <c r="A2039" t="s">
        <v>1020</v>
      </c>
      <c r="C2039" t="s">
        <v>1029</v>
      </c>
      <c r="D2039" s="1">
        <v>46049</v>
      </c>
      <c r="E2039" t="s">
        <v>1030</v>
      </c>
      <c r="F2039">
        <v>9</v>
      </c>
      <c r="G2039">
        <v>174</v>
      </c>
      <c r="H2039" t="str">
        <f>VLOOKUP(G2039,[1]OPERADORES!$A:$B,2,0)</f>
        <v>MIRIÃ LOBATO RODRIGUES</v>
      </c>
      <c r="I2039" t="s">
        <v>21</v>
      </c>
      <c r="J2039" t="s">
        <v>550</v>
      </c>
      <c r="K2039" t="s">
        <v>1023</v>
      </c>
      <c r="L2039">
        <v>10298</v>
      </c>
      <c r="M2039" t="s">
        <v>85</v>
      </c>
      <c r="O2039" t="s">
        <v>11</v>
      </c>
      <c r="P2039">
        <v>5102</v>
      </c>
      <c r="Q2039">
        <v>2</v>
      </c>
      <c r="R2039">
        <v>56.89</v>
      </c>
      <c r="S2039">
        <v>113.78</v>
      </c>
      <c r="T2039">
        <v>94.76</v>
      </c>
      <c r="U2039">
        <v>16.72</v>
      </c>
      <c r="V2039" t="str">
        <f>VLOOKUP(L2039,'[2]tabela de preços'!$A:$D,4,0)</f>
        <v>ANJO</v>
      </c>
      <c r="W2039" t="str">
        <f>VLOOKUP(L2039,'[2]tabela de preços'!$A:$F,6,0)</f>
        <v>THINNER DE LIMPEZA</v>
      </c>
      <c r="X2039" t="str">
        <f>VLOOKUP(L2039,'[2]tabela de preços'!$A:$G,7,0)</f>
        <v>THINNER</v>
      </c>
    </row>
    <row r="2040" spans="1:24" x14ac:dyDescent="0.3">
      <c r="A2040" t="s">
        <v>1125</v>
      </c>
      <c r="C2040" t="s">
        <v>1126</v>
      </c>
      <c r="D2040" s="1">
        <v>46049</v>
      </c>
      <c r="E2040" t="s">
        <v>1127</v>
      </c>
      <c r="F2040">
        <v>9</v>
      </c>
      <c r="G2040">
        <v>174</v>
      </c>
      <c r="H2040" t="str">
        <f>VLOOKUP(G2040,[1]OPERADORES!$A:$B,2,0)</f>
        <v>MIRIÃ LOBATO RODRIGUES</v>
      </c>
      <c r="I2040" t="s">
        <v>21</v>
      </c>
      <c r="J2040" t="s">
        <v>1128</v>
      </c>
      <c r="K2040" t="s">
        <v>1129</v>
      </c>
      <c r="L2040">
        <v>84344</v>
      </c>
      <c r="M2040" t="s">
        <v>1000</v>
      </c>
      <c r="O2040" t="s">
        <v>11</v>
      </c>
      <c r="P2040">
        <v>5403</v>
      </c>
      <c r="Q2040">
        <v>3</v>
      </c>
      <c r="R2040">
        <v>59.98</v>
      </c>
      <c r="S2040">
        <v>179.94</v>
      </c>
      <c r="T2040">
        <v>148.97999999999999</v>
      </c>
      <c r="U2040">
        <v>17.21</v>
      </c>
      <c r="V2040" t="str">
        <f>VLOOKUP(L2040,'[2]tabela de preços'!$A:$D,4,0)</f>
        <v>BRASILUX</v>
      </c>
      <c r="W2040" t="str">
        <f>VLOOKUP(L2040,'[2]tabela de preços'!$A:$F,6,0)</f>
        <v>ESMALTES</v>
      </c>
      <c r="X2040" t="str">
        <f>VLOOKUP(L2040,'[2]tabela de preços'!$A:$G,7,0)</f>
        <v>INDUSTRIAL</v>
      </c>
    </row>
    <row r="2041" spans="1:24" x14ac:dyDescent="0.3">
      <c r="A2041" t="s">
        <v>1125</v>
      </c>
      <c r="C2041" t="s">
        <v>1126</v>
      </c>
      <c r="D2041" s="1">
        <v>46049</v>
      </c>
      <c r="E2041" t="s">
        <v>1127</v>
      </c>
      <c r="F2041">
        <v>9</v>
      </c>
      <c r="G2041">
        <v>174</v>
      </c>
      <c r="H2041" t="str">
        <f>VLOOKUP(G2041,[1]OPERADORES!$A:$B,2,0)</f>
        <v>MIRIÃ LOBATO RODRIGUES</v>
      </c>
      <c r="I2041" t="s">
        <v>21</v>
      </c>
      <c r="J2041" t="s">
        <v>1128</v>
      </c>
      <c r="K2041" t="s">
        <v>1129</v>
      </c>
      <c r="L2041">
        <v>5</v>
      </c>
      <c r="M2041" t="s">
        <v>147</v>
      </c>
      <c r="O2041" t="s">
        <v>11</v>
      </c>
      <c r="P2041">
        <v>5102</v>
      </c>
      <c r="Q2041">
        <v>2</v>
      </c>
      <c r="R2041">
        <v>6.06</v>
      </c>
      <c r="S2041">
        <v>12.12</v>
      </c>
      <c r="T2041">
        <v>7.82</v>
      </c>
      <c r="U2041">
        <v>35.479999999999997</v>
      </c>
      <c r="V2041" t="str">
        <f>VLOOKUP(L2041,'[2]tabela de preços'!$A:$D,4,0)</f>
        <v>BRILHO ESTOPA</v>
      </c>
      <c r="W2041" t="str">
        <f>VLOOKUP(L2041,'[2]tabela de preços'!$A:$F,6,0)</f>
        <v>ESTOPAS</v>
      </c>
      <c r="X2041" t="str">
        <f>VLOOKUP(L2041,'[2]tabela de preços'!$A:$G,7,0)</f>
        <v>AUTOMOTIVO</v>
      </c>
    </row>
    <row r="2042" spans="1:24" x14ac:dyDescent="0.3">
      <c r="A2042" t="s">
        <v>1125</v>
      </c>
      <c r="C2042" t="s">
        <v>1126</v>
      </c>
      <c r="D2042" s="1">
        <v>46049</v>
      </c>
      <c r="E2042" t="s">
        <v>1127</v>
      </c>
      <c r="F2042">
        <v>9</v>
      </c>
      <c r="G2042">
        <v>174</v>
      </c>
      <c r="H2042" t="str">
        <f>VLOOKUP(G2042,[1]OPERADORES!$A:$B,2,0)</f>
        <v>MIRIÃ LOBATO RODRIGUES</v>
      </c>
      <c r="I2042" t="s">
        <v>21</v>
      </c>
      <c r="J2042" t="s">
        <v>1128</v>
      </c>
      <c r="K2042" t="s">
        <v>1129</v>
      </c>
      <c r="L2042">
        <v>84421</v>
      </c>
      <c r="M2042" t="s">
        <v>568</v>
      </c>
      <c r="O2042" t="s">
        <v>11</v>
      </c>
      <c r="P2042">
        <v>5102</v>
      </c>
      <c r="Q2042">
        <v>2</v>
      </c>
      <c r="R2042">
        <v>6.35</v>
      </c>
      <c r="S2042">
        <v>12.7</v>
      </c>
      <c r="T2042">
        <v>9.64</v>
      </c>
      <c r="U2042">
        <v>24.09</v>
      </c>
      <c r="V2042" t="str">
        <f>VLOOKUP(L2042,'[2]tabela de preços'!$A:$D,4,0)</f>
        <v>ATLAS</v>
      </c>
      <c r="W2042" t="str">
        <f>VLOOKUP(L2042,'[2]tabela de preços'!$A:$F,6,0)</f>
        <v>ROLOS / TRINCHAS / PINCÉIS / ESPÁTULAS</v>
      </c>
      <c r="X2042" t="str">
        <f>VLOOKUP(L2042,'[2]tabela de preços'!$A:$G,7,0)</f>
        <v>IMOBILIÁRIO</v>
      </c>
    </row>
    <row r="2043" spans="1:24" x14ac:dyDescent="0.3">
      <c r="A2043" t="s">
        <v>1125</v>
      </c>
      <c r="C2043" t="s">
        <v>1126</v>
      </c>
      <c r="D2043" s="1">
        <v>46049</v>
      </c>
      <c r="E2043" t="s">
        <v>1127</v>
      </c>
      <c r="F2043">
        <v>9</v>
      </c>
      <c r="G2043">
        <v>174</v>
      </c>
      <c r="H2043" t="str">
        <f>VLOOKUP(G2043,[1]OPERADORES!$A:$B,2,0)</f>
        <v>MIRIÃ LOBATO RODRIGUES</v>
      </c>
      <c r="I2043" t="s">
        <v>21</v>
      </c>
      <c r="J2043" t="s">
        <v>1128</v>
      </c>
      <c r="K2043" t="s">
        <v>1129</v>
      </c>
      <c r="L2043">
        <v>84422</v>
      </c>
      <c r="M2043" t="s">
        <v>569</v>
      </c>
      <c r="O2043" t="s">
        <v>11</v>
      </c>
      <c r="P2043">
        <v>5102</v>
      </c>
      <c r="Q2043">
        <v>2</v>
      </c>
      <c r="R2043">
        <v>9.32</v>
      </c>
      <c r="S2043">
        <v>18.64</v>
      </c>
      <c r="T2043">
        <v>14.16</v>
      </c>
      <c r="U2043">
        <v>24.03</v>
      </c>
      <c r="V2043" t="str">
        <f>VLOOKUP(L2043,'[2]tabela de preços'!$A:$D,4,0)</f>
        <v>ATLAS</v>
      </c>
      <c r="W2043" t="str">
        <f>VLOOKUP(L2043,'[2]tabela de preços'!$A:$F,6,0)</f>
        <v>ROLOS / TRINCHAS / PINCÉIS / ESPÁTULAS</v>
      </c>
      <c r="X2043" t="str">
        <f>VLOOKUP(L2043,'[2]tabela de preços'!$A:$G,7,0)</f>
        <v>IMOBILIÁRIO</v>
      </c>
    </row>
    <row r="2044" spans="1:24" x14ac:dyDescent="0.3">
      <c r="A2044" t="s">
        <v>1125</v>
      </c>
      <c r="C2044" t="s">
        <v>1126</v>
      </c>
      <c r="D2044" s="1">
        <v>46049</v>
      </c>
      <c r="E2044" t="s">
        <v>1127</v>
      </c>
      <c r="F2044">
        <v>9</v>
      </c>
      <c r="G2044">
        <v>174</v>
      </c>
      <c r="H2044" t="str">
        <f>VLOOKUP(G2044,[1]OPERADORES!$A:$B,2,0)</f>
        <v>MIRIÃ LOBATO RODRIGUES</v>
      </c>
      <c r="I2044" t="s">
        <v>21</v>
      </c>
      <c r="J2044" t="s">
        <v>1128</v>
      </c>
      <c r="K2044" t="s">
        <v>1129</v>
      </c>
      <c r="L2044">
        <v>84560</v>
      </c>
      <c r="M2044" t="s">
        <v>118</v>
      </c>
      <c r="O2044" t="s">
        <v>11</v>
      </c>
      <c r="P2044">
        <v>5102</v>
      </c>
      <c r="Q2044">
        <v>1</v>
      </c>
      <c r="R2044">
        <v>47.89</v>
      </c>
      <c r="S2044">
        <v>47.89</v>
      </c>
      <c r="T2044">
        <v>39.159999999999997</v>
      </c>
      <c r="U2044">
        <v>18.23</v>
      </c>
      <c r="V2044" t="str">
        <f>VLOOKUP(L2044,'[2]tabela de preços'!$A:$D,4,0)</f>
        <v>BRASILUX</v>
      </c>
      <c r="W2044" t="str">
        <f>VLOOKUP(L2044,'[2]tabela de preços'!$A:$F,6,0)</f>
        <v>THINNER DE LIMPEZA</v>
      </c>
      <c r="X2044" t="str">
        <f>VLOOKUP(L2044,'[2]tabela de preços'!$A:$G,7,0)</f>
        <v>THINNER</v>
      </c>
    </row>
    <row r="2045" spans="1:24" x14ac:dyDescent="0.3">
      <c r="A2045" t="s">
        <v>1125</v>
      </c>
      <c r="C2045" t="s">
        <v>1126</v>
      </c>
      <c r="D2045" s="1">
        <v>46049</v>
      </c>
      <c r="E2045" t="s">
        <v>1127</v>
      </c>
      <c r="F2045">
        <v>9</v>
      </c>
      <c r="G2045">
        <v>174</v>
      </c>
      <c r="H2045" t="str">
        <f>VLOOKUP(G2045,[1]OPERADORES!$A:$B,2,0)</f>
        <v>MIRIÃ LOBATO RODRIGUES</v>
      </c>
      <c r="I2045" t="s">
        <v>21</v>
      </c>
      <c r="J2045" t="s">
        <v>1128</v>
      </c>
      <c r="K2045" t="s">
        <v>1129</v>
      </c>
      <c r="L2045">
        <v>85037</v>
      </c>
      <c r="M2045" t="s">
        <v>60</v>
      </c>
      <c r="O2045" t="s">
        <v>11</v>
      </c>
      <c r="P2045">
        <v>5102</v>
      </c>
      <c r="Q2045">
        <v>2</v>
      </c>
      <c r="R2045">
        <v>7.04</v>
      </c>
      <c r="S2045">
        <v>14.08</v>
      </c>
      <c r="T2045">
        <v>9.08</v>
      </c>
      <c r="U2045">
        <v>35.51</v>
      </c>
      <c r="V2045" t="str">
        <f>VLOOKUP(L2045,'[2]tabela de preços'!$A:$D,4,0)</f>
        <v>ATLAS</v>
      </c>
      <c r="W2045" t="str">
        <f>VLOOKUP(L2045,'[2]tabela de preços'!$A:$F,6,0)</f>
        <v>ROLOS / TRINCHAS / PINCÉIS / ESPÁTULAS</v>
      </c>
      <c r="X2045" t="str">
        <f>VLOOKUP(L2045,'[2]tabela de preços'!$A:$G,7,0)</f>
        <v>IMOBILIÁRIO</v>
      </c>
    </row>
    <row r="2046" spans="1:24" x14ac:dyDescent="0.3">
      <c r="A2046" t="s">
        <v>1185</v>
      </c>
      <c r="C2046" t="s">
        <v>1191</v>
      </c>
      <c r="D2046" s="1">
        <v>46049</v>
      </c>
      <c r="E2046" t="s">
        <v>1192</v>
      </c>
      <c r="F2046">
        <v>9</v>
      </c>
      <c r="G2046">
        <v>197</v>
      </c>
      <c r="H2046" t="str">
        <f>VLOOKUP(G2046,[1]OPERADORES!$A:$B,2,0)</f>
        <v xml:space="preserve">POLIANA LORRANE DE AMORIM </v>
      </c>
      <c r="I2046" t="s">
        <v>21</v>
      </c>
      <c r="J2046" t="s">
        <v>1188</v>
      </c>
      <c r="K2046" t="s">
        <v>1189</v>
      </c>
      <c r="L2046">
        <v>23364</v>
      </c>
      <c r="M2046" t="s">
        <v>55</v>
      </c>
      <c r="O2046" t="s">
        <v>11</v>
      </c>
      <c r="P2046">
        <v>5102</v>
      </c>
      <c r="Q2046">
        <v>6</v>
      </c>
      <c r="R2046">
        <v>6.19</v>
      </c>
      <c r="S2046">
        <v>37.14</v>
      </c>
      <c r="T2046">
        <v>29.46</v>
      </c>
      <c r="U2046">
        <v>20.68</v>
      </c>
      <c r="V2046" t="str">
        <f>VLOOKUP(L2046,'[2]tabela de preços'!$A:$D,4,0)</f>
        <v>AUTO AMERICA</v>
      </c>
      <c r="W2046" t="str">
        <f>VLOOKUP(L2046,'[2]tabela de preços'!$A:$F,6,0)</f>
        <v>FLANELAS / PANOS</v>
      </c>
      <c r="X2046" t="str">
        <f>VLOOKUP(L2046,'[2]tabela de preços'!$A:$G,7,0)</f>
        <v>AUTOMOTIVO</v>
      </c>
    </row>
    <row r="2047" spans="1:24" x14ac:dyDescent="0.3">
      <c r="A2047" t="s">
        <v>1185</v>
      </c>
      <c r="C2047" t="s">
        <v>1191</v>
      </c>
      <c r="D2047" s="1">
        <v>46049</v>
      </c>
      <c r="E2047" t="s">
        <v>1192</v>
      </c>
      <c r="F2047">
        <v>9</v>
      </c>
      <c r="G2047">
        <v>197</v>
      </c>
      <c r="H2047" t="str">
        <f>VLOOKUP(G2047,[1]OPERADORES!$A:$B,2,0)</f>
        <v xml:space="preserve">POLIANA LORRANE DE AMORIM </v>
      </c>
      <c r="I2047" t="s">
        <v>21</v>
      </c>
      <c r="J2047" t="s">
        <v>1188</v>
      </c>
      <c r="K2047" t="s">
        <v>1189</v>
      </c>
      <c r="L2047">
        <v>84560</v>
      </c>
      <c r="M2047" t="s">
        <v>118</v>
      </c>
      <c r="O2047" t="s">
        <v>11</v>
      </c>
      <c r="P2047">
        <v>5102</v>
      </c>
      <c r="Q2047">
        <v>1</v>
      </c>
      <c r="R2047">
        <v>47.89</v>
      </c>
      <c r="S2047">
        <v>47.89</v>
      </c>
      <c r="T2047">
        <v>39.159999999999997</v>
      </c>
      <c r="U2047">
        <v>18.23</v>
      </c>
      <c r="V2047" t="str">
        <f>VLOOKUP(L2047,'[2]tabela de preços'!$A:$D,4,0)</f>
        <v>BRASILUX</v>
      </c>
      <c r="W2047" t="str">
        <f>VLOOKUP(L2047,'[2]tabela de preços'!$A:$F,6,0)</f>
        <v>THINNER DE LIMPEZA</v>
      </c>
      <c r="X2047" t="str">
        <f>VLOOKUP(L2047,'[2]tabela de preços'!$A:$G,7,0)</f>
        <v>THINNER</v>
      </c>
    </row>
    <row r="2048" spans="1:24" x14ac:dyDescent="0.3">
      <c r="A2048" t="s">
        <v>1381</v>
      </c>
      <c r="C2048" t="s">
        <v>1386</v>
      </c>
      <c r="D2048" s="1">
        <v>46049</v>
      </c>
      <c r="E2048" t="s">
        <v>1387</v>
      </c>
      <c r="F2048">
        <v>9</v>
      </c>
      <c r="G2048">
        <v>231</v>
      </c>
      <c r="H2048" t="str">
        <f>VLOOKUP(G2048,[1]OPERADORES!$A:$B,2,0)</f>
        <v>EDIJANE</v>
      </c>
      <c r="I2048" t="s">
        <v>168</v>
      </c>
      <c r="J2048" t="s">
        <v>1384</v>
      </c>
      <c r="K2048" t="s">
        <v>1385</v>
      </c>
      <c r="L2048">
        <v>85319</v>
      </c>
      <c r="M2048" t="s">
        <v>1388</v>
      </c>
      <c r="O2048" t="s">
        <v>11</v>
      </c>
      <c r="P2048">
        <v>6102</v>
      </c>
      <c r="Q2048">
        <v>1</v>
      </c>
      <c r="R2048" s="2">
        <v>1436.71</v>
      </c>
      <c r="S2048" s="2">
        <v>1436.71</v>
      </c>
      <c r="T2048" s="2">
        <v>1049.08</v>
      </c>
      <c r="U2048">
        <v>26.98</v>
      </c>
      <c r="V2048" t="str">
        <f>VLOOKUP(L2048,'[2]tabela de preços'!$A:$D,4,0)</f>
        <v>BRASILUX</v>
      </c>
      <c r="W2048" t="str">
        <f>VLOOKUP(L2048,'[2]tabela de preços'!$A:$F,6,0)</f>
        <v>TINTA EM PÓ</v>
      </c>
      <c r="X2048" t="str">
        <f>VLOOKUP(L2048,'[2]tabela de preços'!$A:$G,7,0)</f>
        <v>INDUSTRIAL</v>
      </c>
    </row>
    <row r="2049" spans="1:24" x14ac:dyDescent="0.3">
      <c r="A2049" t="s">
        <v>1561</v>
      </c>
      <c r="C2049" t="s">
        <v>1600</v>
      </c>
      <c r="D2049" s="1">
        <v>46049</v>
      </c>
      <c r="E2049" t="s">
        <v>1601</v>
      </c>
      <c r="F2049">
        <v>9</v>
      </c>
      <c r="G2049">
        <v>174</v>
      </c>
      <c r="H2049" t="str">
        <f>VLOOKUP(G2049,[1]OPERADORES!$A:$B,2,0)</f>
        <v>MIRIÃ LOBATO RODRIGUES</v>
      </c>
      <c r="I2049" t="s">
        <v>21</v>
      </c>
      <c r="J2049" t="s">
        <v>1564</v>
      </c>
      <c r="K2049" t="s">
        <v>1565</v>
      </c>
      <c r="L2049">
        <v>84268</v>
      </c>
      <c r="M2049" t="s">
        <v>1566</v>
      </c>
      <c r="O2049" t="s">
        <v>11</v>
      </c>
      <c r="P2049">
        <v>5403</v>
      </c>
      <c r="Q2049">
        <v>3</v>
      </c>
      <c r="R2049">
        <v>193.92</v>
      </c>
      <c r="S2049">
        <v>581.76</v>
      </c>
      <c r="T2049">
        <v>441.57</v>
      </c>
      <c r="U2049">
        <v>24.1</v>
      </c>
      <c r="V2049" t="str">
        <f>VLOOKUP(L2049,'[2]tabela de preços'!$A:$D,4,0)</f>
        <v>BRASILUX</v>
      </c>
      <c r="W2049" t="str">
        <f>VLOOKUP(L2049,'[2]tabela de preços'!$A:$F,6,0)</f>
        <v>TINTA PAREDE</v>
      </c>
      <c r="X2049" t="str">
        <f>VLOOKUP(L2049,'[2]tabela de preços'!$A:$G,7,0)</f>
        <v>IMOBILIÁRIO</v>
      </c>
    </row>
    <row r="2050" spans="1:24" x14ac:dyDescent="0.3">
      <c r="A2050" t="s">
        <v>1676</v>
      </c>
      <c r="C2050" t="s">
        <v>1680</v>
      </c>
      <c r="D2050" s="1">
        <v>46049</v>
      </c>
      <c r="E2050" t="s">
        <v>1681</v>
      </c>
      <c r="F2050">
        <v>9</v>
      </c>
      <c r="G2050">
        <v>174</v>
      </c>
      <c r="H2050" t="str">
        <f>VLOOKUP(G2050,[1]OPERADORES!$A:$B,2,0)</f>
        <v>MIRIÃ LOBATO RODRIGUES</v>
      </c>
      <c r="I2050" t="s">
        <v>21</v>
      </c>
      <c r="J2050" t="s">
        <v>306</v>
      </c>
      <c r="K2050" t="s">
        <v>1679</v>
      </c>
      <c r="L2050">
        <v>24248</v>
      </c>
      <c r="M2050" t="s">
        <v>107</v>
      </c>
      <c r="O2050" t="s">
        <v>11</v>
      </c>
      <c r="P2050">
        <v>5102</v>
      </c>
      <c r="Q2050">
        <v>6</v>
      </c>
      <c r="R2050">
        <v>8</v>
      </c>
      <c r="S2050">
        <v>48</v>
      </c>
      <c r="T2050">
        <v>39</v>
      </c>
      <c r="U2050">
        <v>18.75</v>
      </c>
      <c r="V2050" t="str">
        <f>VLOOKUP(L2050,'[2]tabela de preços'!$A:$D,4,0)</f>
        <v>SHERWIN WILLIAMS</v>
      </c>
      <c r="W2050" t="str">
        <f>VLOOKUP(L2050,'[2]tabela de preços'!$A:$F,6,0)</f>
        <v>PRIMER AUTOMOTIVO</v>
      </c>
      <c r="X2050" t="str">
        <f>VLOOKUP(L2050,'[2]tabela de preços'!$A:$G,7,0)</f>
        <v>AUTOMOTIVO</v>
      </c>
    </row>
    <row r="2051" spans="1:24" x14ac:dyDescent="0.3">
      <c r="A2051" t="s">
        <v>1676</v>
      </c>
      <c r="C2051" t="s">
        <v>1680</v>
      </c>
      <c r="D2051" s="1">
        <v>46049</v>
      </c>
      <c r="E2051" t="s">
        <v>1681</v>
      </c>
      <c r="F2051">
        <v>9</v>
      </c>
      <c r="G2051">
        <v>174</v>
      </c>
      <c r="H2051" t="str">
        <f>VLOOKUP(G2051,[1]OPERADORES!$A:$B,2,0)</f>
        <v>MIRIÃ LOBATO RODRIGUES</v>
      </c>
      <c r="I2051" t="s">
        <v>21</v>
      </c>
      <c r="J2051" t="s">
        <v>306</v>
      </c>
      <c r="K2051" t="s">
        <v>1679</v>
      </c>
      <c r="L2051">
        <v>13</v>
      </c>
      <c r="M2051" t="s">
        <v>152</v>
      </c>
      <c r="O2051" t="s">
        <v>11</v>
      </c>
      <c r="P2051">
        <v>5102</v>
      </c>
      <c r="Q2051">
        <v>15</v>
      </c>
      <c r="R2051">
        <v>5.79</v>
      </c>
      <c r="S2051">
        <v>86.85</v>
      </c>
      <c r="T2051">
        <v>62.4</v>
      </c>
      <c r="U2051">
        <v>28.15</v>
      </c>
      <c r="V2051" t="str">
        <f>VLOOKUP(L2051,'[2]tabela de preços'!$A:$D,4,0)</f>
        <v>3M</v>
      </c>
      <c r="W2051" t="str">
        <f>VLOOKUP(L2051,'[2]tabela de preços'!$A:$F,6,0)</f>
        <v>LIXA DÁGUA</v>
      </c>
      <c r="X2051" t="str">
        <f>VLOOKUP(L2051,'[2]tabela de preços'!$A:$G,7,0)</f>
        <v>AUTOMOTIVO</v>
      </c>
    </row>
    <row r="2052" spans="1:24" x14ac:dyDescent="0.3">
      <c r="A2052" t="s">
        <v>1676</v>
      </c>
      <c r="C2052" t="s">
        <v>1680</v>
      </c>
      <c r="D2052" s="1">
        <v>46049</v>
      </c>
      <c r="E2052" t="s">
        <v>1681</v>
      </c>
      <c r="F2052">
        <v>9</v>
      </c>
      <c r="G2052">
        <v>174</v>
      </c>
      <c r="H2052" t="str">
        <f>VLOOKUP(G2052,[1]OPERADORES!$A:$B,2,0)</f>
        <v>MIRIÃ LOBATO RODRIGUES</v>
      </c>
      <c r="I2052" t="s">
        <v>21</v>
      </c>
      <c r="J2052" t="s">
        <v>306</v>
      </c>
      <c r="K2052" t="s">
        <v>1679</v>
      </c>
      <c r="L2052">
        <v>87043</v>
      </c>
      <c r="M2052" t="s">
        <v>217</v>
      </c>
      <c r="O2052" t="s">
        <v>11</v>
      </c>
      <c r="P2052">
        <v>5102</v>
      </c>
      <c r="Q2052">
        <v>8</v>
      </c>
      <c r="R2052">
        <v>21.95</v>
      </c>
      <c r="S2052">
        <v>175.6</v>
      </c>
      <c r="T2052">
        <v>144.16</v>
      </c>
      <c r="U2052">
        <v>17.899999999999999</v>
      </c>
      <c r="V2052" t="str">
        <f>VLOOKUP(L2052,'[2]tabela de preços'!$A:$D,4,0)</f>
        <v>ROBERLO</v>
      </c>
      <c r="W2052" t="str">
        <f>VLOOKUP(L2052,'[2]tabela de preços'!$A:$F,6,0)</f>
        <v>MASSA POLIÉSTER</v>
      </c>
      <c r="X2052" t="str">
        <f>VLOOKUP(L2052,'[2]tabela de preços'!$A:$G,7,0)</f>
        <v>AUTOMOTIVO</v>
      </c>
    </row>
    <row r="2053" spans="1:24" x14ac:dyDescent="0.3">
      <c r="A2053" t="s">
        <v>1676</v>
      </c>
      <c r="C2053" t="s">
        <v>1680</v>
      </c>
      <c r="D2053" s="1">
        <v>46049</v>
      </c>
      <c r="E2053" t="s">
        <v>1681</v>
      </c>
      <c r="F2053">
        <v>9</v>
      </c>
      <c r="G2053">
        <v>174</v>
      </c>
      <c r="H2053" t="str">
        <f>VLOOKUP(G2053,[1]OPERADORES!$A:$B,2,0)</f>
        <v>MIRIÃ LOBATO RODRIGUES</v>
      </c>
      <c r="I2053" t="s">
        <v>21</v>
      </c>
      <c r="J2053" t="s">
        <v>306</v>
      </c>
      <c r="K2053" t="s">
        <v>1679</v>
      </c>
      <c r="L2053">
        <v>24247</v>
      </c>
      <c r="M2053" t="s">
        <v>160</v>
      </c>
      <c r="O2053" t="s">
        <v>11</v>
      </c>
      <c r="P2053">
        <v>5405</v>
      </c>
      <c r="Q2053">
        <v>6</v>
      </c>
      <c r="R2053">
        <v>21</v>
      </c>
      <c r="S2053">
        <v>126</v>
      </c>
      <c r="T2053">
        <v>101.22</v>
      </c>
      <c r="U2053">
        <v>19.670000000000002</v>
      </c>
      <c r="V2053" t="str">
        <f>VLOOKUP(L2053,'[2]tabela de preços'!$A:$D,4,0)</f>
        <v>SHERWIN WILLIAMS</v>
      </c>
      <c r="W2053" t="str">
        <f>VLOOKUP(L2053,'[2]tabela de preços'!$A:$F,6,0)</f>
        <v>PRIMER AUTOMOTIVO</v>
      </c>
      <c r="X2053" t="str">
        <f>VLOOKUP(L2053,'[2]tabela de preços'!$A:$G,7,0)</f>
        <v>AUTOMOTIVO</v>
      </c>
    </row>
    <row r="2054" spans="1:24" x14ac:dyDescent="0.3">
      <c r="A2054" t="s">
        <v>1676</v>
      </c>
      <c r="C2054" t="s">
        <v>1680</v>
      </c>
      <c r="D2054" s="1">
        <v>46049</v>
      </c>
      <c r="E2054" t="s">
        <v>1681</v>
      </c>
      <c r="F2054">
        <v>9</v>
      </c>
      <c r="G2054">
        <v>174</v>
      </c>
      <c r="H2054" t="str">
        <f>VLOOKUP(G2054,[1]OPERADORES!$A:$B,2,0)</f>
        <v>MIRIÃ LOBATO RODRIGUES</v>
      </c>
      <c r="I2054" t="s">
        <v>21</v>
      </c>
      <c r="J2054" t="s">
        <v>306</v>
      </c>
      <c r="K2054" t="s">
        <v>1679</v>
      </c>
      <c r="L2054">
        <v>10297</v>
      </c>
      <c r="M2054" t="s">
        <v>41</v>
      </c>
      <c r="O2054" t="s">
        <v>11</v>
      </c>
      <c r="P2054">
        <v>5102</v>
      </c>
      <c r="Q2054">
        <v>12</v>
      </c>
      <c r="R2054">
        <v>10.89</v>
      </c>
      <c r="S2054">
        <v>130.68</v>
      </c>
      <c r="T2054">
        <v>110.04</v>
      </c>
      <c r="U2054">
        <v>15.79</v>
      </c>
      <c r="V2054" t="str">
        <f>VLOOKUP(L2054,'[2]tabela de preços'!$A:$D,4,0)</f>
        <v>ANJO</v>
      </c>
      <c r="W2054" t="str">
        <f>VLOOKUP(L2054,'[2]tabela de preços'!$A:$F,6,0)</f>
        <v>THINNER DE LIMPEZA</v>
      </c>
      <c r="X2054" t="str">
        <f>VLOOKUP(L2054,'[2]tabela de preços'!$A:$G,7,0)</f>
        <v>THINNER</v>
      </c>
    </row>
    <row r="2055" spans="1:24" x14ac:dyDescent="0.3">
      <c r="A2055" t="s">
        <v>1682</v>
      </c>
      <c r="C2055" t="s">
        <v>1686</v>
      </c>
      <c r="D2055" s="1">
        <v>46049</v>
      </c>
      <c r="E2055" t="s">
        <v>1687</v>
      </c>
      <c r="F2055">
        <v>9</v>
      </c>
      <c r="G2055">
        <v>174</v>
      </c>
      <c r="H2055" t="str">
        <f>VLOOKUP(G2055,[1]OPERADORES!$A:$B,2,0)</f>
        <v>MIRIÃ LOBATO RODRIGUES</v>
      </c>
      <c r="I2055" t="s">
        <v>21</v>
      </c>
      <c r="J2055" t="s">
        <v>95</v>
      </c>
      <c r="K2055" t="s">
        <v>1685</v>
      </c>
      <c r="L2055">
        <v>23580</v>
      </c>
      <c r="M2055" t="s">
        <v>115</v>
      </c>
      <c r="O2055" t="s">
        <v>11</v>
      </c>
      <c r="P2055">
        <v>5102</v>
      </c>
      <c r="Q2055">
        <v>70</v>
      </c>
      <c r="R2055">
        <v>0.56000000000000005</v>
      </c>
      <c r="S2055">
        <v>39.200000000000003</v>
      </c>
      <c r="T2055">
        <v>25.2</v>
      </c>
      <c r="U2055">
        <v>35.71</v>
      </c>
      <c r="V2055" t="str">
        <f>VLOOKUP(L2055,'[2]tabela de preços'!$A:$D,4,0)</f>
        <v>RENOVA COADORES</v>
      </c>
      <c r="W2055" t="str">
        <f>VLOOKUP(L2055,'[2]tabela de preços'!$A:$F,6,0)</f>
        <v>COADORES</v>
      </c>
      <c r="X2055" t="str">
        <f>VLOOKUP(L2055,'[2]tabela de preços'!$A:$G,7,0)</f>
        <v>AUTOMOTIVO</v>
      </c>
    </row>
    <row r="2056" spans="1:24" x14ac:dyDescent="0.3">
      <c r="A2056" t="s">
        <v>1682</v>
      </c>
      <c r="C2056" t="s">
        <v>1686</v>
      </c>
      <c r="D2056" s="1">
        <v>46049</v>
      </c>
      <c r="E2056" t="s">
        <v>1687</v>
      </c>
      <c r="F2056">
        <v>9</v>
      </c>
      <c r="G2056">
        <v>174</v>
      </c>
      <c r="H2056" t="str">
        <f>VLOOKUP(G2056,[1]OPERADORES!$A:$B,2,0)</f>
        <v>MIRIÃ LOBATO RODRIGUES</v>
      </c>
      <c r="I2056" t="s">
        <v>21</v>
      </c>
      <c r="J2056" t="s">
        <v>95</v>
      </c>
      <c r="K2056" t="s">
        <v>1685</v>
      </c>
      <c r="L2056">
        <v>20433</v>
      </c>
      <c r="M2056" t="s">
        <v>460</v>
      </c>
      <c r="O2056" t="s">
        <v>11</v>
      </c>
      <c r="P2056">
        <v>5102</v>
      </c>
      <c r="Q2056">
        <v>6</v>
      </c>
      <c r="R2056">
        <v>32.19</v>
      </c>
      <c r="S2056">
        <v>193.14</v>
      </c>
      <c r="T2056">
        <v>146.58000000000001</v>
      </c>
      <c r="U2056">
        <v>24.11</v>
      </c>
      <c r="V2056" t="str">
        <f>VLOOKUP(L2056,'[2]tabela de preços'!$A:$D,4,0)</f>
        <v>SHERWIN WILLIAMS</v>
      </c>
      <c r="W2056" t="str">
        <f>VLOOKUP(L2056,'[2]tabela de preços'!$A:$F,6,0)</f>
        <v>VERNIZ AUTOMOTIVO</v>
      </c>
      <c r="X2056" t="str">
        <f>VLOOKUP(L2056,'[2]tabela de preços'!$A:$G,7,0)</f>
        <v>AUTOMOTIVO</v>
      </c>
    </row>
    <row r="2057" spans="1:24" x14ac:dyDescent="0.3">
      <c r="A2057" t="s">
        <v>1682</v>
      </c>
      <c r="C2057" t="s">
        <v>1686</v>
      </c>
      <c r="D2057" s="1">
        <v>46049</v>
      </c>
      <c r="E2057" t="s">
        <v>1687</v>
      </c>
      <c r="F2057">
        <v>9</v>
      </c>
      <c r="G2057">
        <v>174</v>
      </c>
      <c r="H2057" t="str">
        <f>VLOOKUP(G2057,[1]OPERADORES!$A:$B,2,0)</f>
        <v>MIRIÃ LOBATO RODRIGUES</v>
      </c>
      <c r="I2057" t="s">
        <v>21</v>
      </c>
      <c r="J2057" t="s">
        <v>95</v>
      </c>
      <c r="K2057" t="s">
        <v>1685</v>
      </c>
      <c r="L2057">
        <v>24248</v>
      </c>
      <c r="M2057" t="s">
        <v>107</v>
      </c>
      <c r="O2057" t="s">
        <v>11</v>
      </c>
      <c r="P2057">
        <v>5102</v>
      </c>
      <c r="Q2057">
        <v>6</v>
      </c>
      <c r="R2057">
        <v>8</v>
      </c>
      <c r="S2057">
        <v>48</v>
      </c>
      <c r="T2057">
        <v>39</v>
      </c>
      <c r="U2057">
        <v>18.75</v>
      </c>
      <c r="V2057" t="str">
        <f>VLOOKUP(L2057,'[2]tabela de preços'!$A:$D,4,0)</f>
        <v>SHERWIN WILLIAMS</v>
      </c>
      <c r="W2057" t="str">
        <f>VLOOKUP(L2057,'[2]tabela de preços'!$A:$F,6,0)</f>
        <v>PRIMER AUTOMOTIVO</v>
      </c>
      <c r="X2057" t="str">
        <f>VLOOKUP(L2057,'[2]tabela de preços'!$A:$G,7,0)</f>
        <v>AUTOMOTIVO</v>
      </c>
    </row>
    <row r="2058" spans="1:24" x14ac:dyDescent="0.3">
      <c r="A2058" t="s">
        <v>1682</v>
      </c>
      <c r="C2058" t="s">
        <v>1686</v>
      </c>
      <c r="D2058" s="1">
        <v>46049</v>
      </c>
      <c r="E2058" t="s">
        <v>1687</v>
      </c>
      <c r="F2058">
        <v>9</v>
      </c>
      <c r="G2058">
        <v>174</v>
      </c>
      <c r="H2058" t="str">
        <f>VLOOKUP(G2058,[1]OPERADORES!$A:$B,2,0)</f>
        <v>MIRIÃ LOBATO RODRIGUES</v>
      </c>
      <c r="I2058" t="s">
        <v>21</v>
      </c>
      <c r="J2058" t="s">
        <v>95</v>
      </c>
      <c r="K2058" t="s">
        <v>1685</v>
      </c>
      <c r="L2058">
        <v>5</v>
      </c>
      <c r="M2058" t="s">
        <v>147</v>
      </c>
      <c r="O2058" t="s">
        <v>11</v>
      </c>
      <c r="P2058">
        <v>5102</v>
      </c>
      <c r="Q2058">
        <v>5</v>
      </c>
      <c r="R2058">
        <v>5.15</v>
      </c>
      <c r="S2058">
        <v>25.75</v>
      </c>
      <c r="T2058">
        <v>19.55</v>
      </c>
      <c r="U2058">
        <v>24.08</v>
      </c>
      <c r="V2058" t="str">
        <f>VLOOKUP(L2058,'[2]tabela de preços'!$A:$D,4,0)</f>
        <v>BRILHO ESTOPA</v>
      </c>
      <c r="W2058" t="str">
        <f>VLOOKUP(L2058,'[2]tabela de preços'!$A:$F,6,0)</f>
        <v>ESTOPAS</v>
      </c>
      <c r="X2058" t="str">
        <f>VLOOKUP(L2058,'[2]tabela de preços'!$A:$G,7,0)</f>
        <v>AUTOMOTIVO</v>
      </c>
    </row>
    <row r="2059" spans="1:24" x14ac:dyDescent="0.3">
      <c r="A2059" t="s">
        <v>1682</v>
      </c>
      <c r="C2059" t="s">
        <v>1686</v>
      </c>
      <c r="D2059" s="1">
        <v>46049</v>
      </c>
      <c r="E2059" t="s">
        <v>1687</v>
      </c>
      <c r="F2059">
        <v>9</v>
      </c>
      <c r="G2059">
        <v>174</v>
      </c>
      <c r="H2059" t="str">
        <f>VLOOKUP(G2059,[1]OPERADORES!$A:$B,2,0)</f>
        <v>MIRIÃ LOBATO RODRIGUES</v>
      </c>
      <c r="I2059" t="s">
        <v>21</v>
      </c>
      <c r="J2059" t="s">
        <v>95</v>
      </c>
      <c r="K2059" t="s">
        <v>1685</v>
      </c>
      <c r="L2059">
        <v>86995</v>
      </c>
      <c r="M2059" t="s">
        <v>37</v>
      </c>
      <c r="O2059" t="s">
        <v>11</v>
      </c>
      <c r="P2059">
        <v>5102</v>
      </c>
      <c r="Q2059">
        <v>5</v>
      </c>
      <c r="R2059">
        <v>7.29</v>
      </c>
      <c r="S2059">
        <v>36.450000000000003</v>
      </c>
      <c r="T2059">
        <v>29.15</v>
      </c>
      <c r="U2059">
        <v>20.03</v>
      </c>
      <c r="V2059" t="str">
        <f>VLOOKUP(L2059,'[2]tabela de preços'!$A:$D,4,0)</f>
        <v>AUTOAMERICA</v>
      </c>
      <c r="W2059" t="str">
        <f>VLOOKUP(L2059,'[2]tabela de preços'!$A:$F,6,0)</f>
        <v>FLANELAS / PANOS</v>
      </c>
      <c r="X2059" t="str">
        <f>VLOOKUP(L2059,'[2]tabela de preços'!$A:$G,7,0)</f>
        <v>AUTOMOTIVO</v>
      </c>
    </row>
    <row r="2060" spans="1:24" x14ac:dyDescent="0.3">
      <c r="A2060" t="s">
        <v>1682</v>
      </c>
      <c r="C2060" t="s">
        <v>1686</v>
      </c>
      <c r="D2060" s="1">
        <v>46049</v>
      </c>
      <c r="E2060" t="s">
        <v>1687</v>
      </c>
      <c r="F2060">
        <v>9</v>
      </c>
      <c r="G2060">
        <v>174</v>
      </c>
      <c r="H2060" t="str">
        <f>VLOOKUP(G2060,[1]OPERADORES!$A:$B,2,0)</f>
        <v>MIRIÃ LOBATO RODRIGUES</v>
      </c>
      <c r="I2060" t="s">
        <v>21</v>
      </c>
      <c r="J2060" t="s">
        <v>95</v>
      </c>
      <c r="K2060" t="s">
        <v>1685</v>
      </c>
      <c r="L2060">
        <v>10243</v>
      </c>
      <c r="M2060" t="s">
        <v>83</v>
      </c>
      <c r="O2060" t="s">
        <v>11</v>
      </c>
      <c r="P2060">
        <v>5102</v>
      </c>
      <c r="Q2060">
        <v>50</v>
      </c>
      <c r="R2060">
        <v>2.79</v>
      </c>
      <c r="S2060">
        <v>139.5</v>
      </c>
      <c r="T2060">
        <v>96.5</v>
      </c>
      <c r="U2060">
        <v>30.82</v>
      </c>
      <c r="V2060" t="str">
        <f>VLOOKUP(L2060,'[2]tabela de preços'!$A:$D,4,0)</f>
        <v>NORTON</v>
      </c>
      <c r="W2060" t="str">
        <f>VLOOKUP(L2060,'[2]tabela de preços'!$A:$F,6,0)</f>
        <v xml:space="preserve">DISCOS / LIXAS / ABRASIVOS </v>
      </c>
      <c r="X2060" t="str">
        <f>VLOOKUP(L2060,'[2]tabela de preços'!$A:$G,7,0)</f>
        <v>AUTOMOTIVO</v>
      </c>
    </row>
    <row r="2061" spans="1:24" x14ac:dyDescent="0.3">
      <c r="A2061" t="s">
        <v>1682</v>
      </c>
      <c r="C2061" t="s">
        <v>1686</v>
      </c>
      <c r="D2061" s="1">
        <v>46049</v>
      </c>
      <c r="E2061" t="s">
        <v>1687</v>
      </c>
      <c r="F2061">
        <v>9</v>
      </c>
      <c r="G2061">
        <v>174</v>
      </c>
      <c r="H2061" t="str">
        <f>VLOOKUP(G2061,[1]OPERADORES!$A:$B,2,0)</f>
        <v>MIRIÃ LOBATO RODRIGUES</v>
      </c>
      <c r="I2061" t="s">
        <v>21</v>
      </c>
      <c r="J2061" t="s">
        <v>95</v>
      </c>
      <c r="K2061" t="s">
        <v>1685</v>
      </c>
      <c r="L2061">
        <v>10244</v>
      </c>
      <c r="M2061" t="s">
        <v>84</v>
      </c>
      <c r="O2061" t="s">
        <v>11</v>
      </c>
      <c r="P2061">
        <v>5102</v>
      </c>
      <c r="Q2061">
        <v>50</v>
      </c>
      <c r="R2061">
        <v>2.79</v>
      </c>
      <c r="S2061">
        <v>139.5</v>
      </c>
      <c r="T2061">
        <v>96.5</v>
      </c>
      <c r="U2061">
        <v>30.82</v>
      </c>
      <c r="V2061" t="str">
        <f>VLOOKUP(L2061,'[2]tabela de preços'!$A:$D,4,0)</f>
        <v>NORTON</v>
      </c>
      <c r="W2061" t="str">
        <f>VLOOKUP(L2061,'[2]tabela de preços'!$A:$F,6,0)</f>
        <v xml:space="preserve">DISCOS / LIXAS / ABRASIVOS </v>
      </c>
      <c r="X2061" t="str">
        <f>VLOOKUP(L2061,'[2]tabela de preços'!$A:$G,7,0)</f>
        <v>AUTOMOTIVO</v>
      </c>
    </row>
    <row r="2062" spans="1:24" x14ac:dyDescent="0.3">
      <c r="A2062" t="s">
        <v>1682</v>
      </c>
      <c r="C2062" t="s">
        <v>1686</v>
      </c>
      <c r="D2062" s="1">
        <v>46049</v>
      </c>
      <c r="E2062" t="s">
        <v>1687</v>
      </c>
      <c r="F2062">
        <v>9</v>
      </c>
      <c r="G2062">
        <v>174</v>
      </c>
      <c r="H2062" t="str">
        <f>VLOOKUP(G2062,[1]OPERADORES!$A:$B,2,0)</f>
        <v>MIRIÃ LOBATO RODRIGUES</v>
      </c>
      <c r="I2062" t="s">
        <v>21</v>
      </c>
      <c r="J2062" t="s">
        <v>95</v>
      </c>
      <c r="K2062" t="s">
        <v>1685</v>
      </c>
      <c r="L2062">
        <v>24247</v>
      </c>
      <c r="M2062" t="s">
        <v>160</v>
      </c>
      <c r="O2062" t="s">
        <v>11</v>
      </c>
      <c r="P2062">
        <v>5403</v>
      </c>
      <c r="Q2062">
        <v>6</v>
      </c>
      <c r="R2062">
        <v>21</v>
      </c>
      <c r="S2062">
        <v>126</v>
      </c>
      <c r="T2062">
        <v>101.22</v>
      </c>
      <c r="U2062">
        <v>19.670000000000002</v>
      </c>
      <c r="V2062" t="str">
        <f>VLOOKUP(L2062,'[2]tabela de preços'!$A:$D,4,0)</f>
        <v>SHERWIN WILLIAMS</v>
      </c>
      <c r="W2062" t="str">
        <f>VLOOKUP(L2062,'[2]tabela de preços'!$A:$F,6,0)</f>
        <v>PRIMER AUTOMOTIVO</v>
      </c>
      <c r="X2062" t="str">
        <f>VLOOKUP(L2062,'[2]tabela de preços'!$A:$G,7,0)</f>
        <v>AUTOMOTIVO</v>
      </c>
    </row>
    <row r="2063" spans="1:24" x14ac:dyDescent="0.3">
      <c r="A2063" t="s">
        <v>1682</v>
      </c>
      <c r="C2063" t="s">
        <v>1686</v>
      </c>
      <c r="D2063" s="1">
        <v>46049</v>
      </c>
      <c r="E2063" t="s">
        <v>1687</v>
      </c>
      <c r="F2063">
        <v>9</v>
      </c>
      <c r="G2063">
        <v>174</v>
      </c>
      <c r="H2063" t="str">
        <f>VLOOKUP(G2063,[1]OPERADORES!$A:$B,2,0)</f>
        <v>MIRIÃ LOBATO RODRIGUES</v>
      </c>
      <c r="I2063" t="s">
        <v>21</v>
      </c>
      <c r="J2063" t="s">
        <v>95</v>
      </c>
      <c r="K2063" t="s">
        <v>1685</v>
      </c>
      <c r="L2063">
        <v>20414</v>
      </c>
      <c r="M2063" t="s">
        <v>112</v>
      </c>
      <c r="O2063" t="s">
        <v>11</v>
      </c>
      <c r="P2063">
        <v>5102</v>
      </c>
      <c r="Q2063">
        <v>3</v>
      </c>
      <c r="R2063">
        <v>21.89</v>
      </c>
      <c r="S2063">
        <v>65.67</v>
      </c>
      <c r="T2063">
        <v>54</v>
      </c>
      <c r="U2063">
        <v>17.77</v>
      </c>
      <c r="V2063" t="str">
        <f>VLOOKUP(L2063,'[2]tabela de preços'!$A:$D,4,0)</f>
        <v>SHERWIN WILLIAMS</v>
      </c>
      <c r="W2063" t="str">
        <f>VLOOKUP(L2063,'[2]tabela de preços'!$A:$F,6,0)</f>
        <v>DILUENTE</v>
      </c>
      <c r="X2063" t="str">
        <f>VLOOKUP(L2063,'[2]tabela de preços'!$A:$G,7,0)</f>
        <v>AUTOMOTIVO</v>
      </c>
    </row>
    <row r="2064" spans="1:24" x14ac:dyDescent="0.3">
      <c r="A2064" t="s">
        <v>1682</v>
      </c>
      <c r="C2064" t="s">
        <v>1686</v>
      </c>
      <c r="D2064" s="1">
        <v>46049</v>
      </c>
      <c r="E2064" t="s">
        <v>1687</v>
      </c>
      <c r="F2064">
        <v>9</v>
      </c>
      <c r="G2064">
        <v>174</v>
      </c>
      <c r="H2064" t="str">
        <f>VLOOKUP(G2064,[1]OPERADORES!$A:$B,2,0)</f>
        <v>MIRIÃ LOBATO RODRIGUES</v>
      </c>
      <c r="I2064" t="s">
        <v>21</v>
      </c>
      <c r="J2064" t="s">
        <v>95</v>
      </c>
      <c r="K2064" t="s">
        <v>1685</v>
      </c>
      <c r="L2064">
        <v>20399</v>
      </c>
      <c r="M2064" t="s">
        <v>465</v>
      </c>
      <c r="O2064" t="s">
        <v>11</v>
      </c>
      <c r="P2064">
        <v>5403</v>
      </c>
      <c r="Q2064">
        <v>6</v>
      </c>
      <c r="R2064">
        <v>35.26</v>
      </c>
      <c r="S2064">
        <v>211.56</v>
      </c>
      <c r="T2064">
        <v>160.68</v>
      </c>
      <c r="U2064">
        <v>24.05</v>
      </c>
      <c r="V2064" t="str">
        <f>VLOOKUP(L2064,'[2]tabela de preços'!$A:$D,4,0)</f>
        <v>SHERWIN WILLIAMS</v>
      </c>
      <c r="W2064" t="str">
        <f>VLOOKUP(L2064,'[2]tabela de preços'!$A:$F,6,0)</f>
        <v>VERNIZ AUTOMOTIVO</v>
      </c>
      <c r="X2064" t="str">
        <f>VLOOKUP(L2064,'[2]tabela de preços'!$A:$G,7,0)</f>
        <v>AUTOMOTIVO</v>
      </c>
    </row>
    <row r="2065" spans="1:24" x14ac:dyDescent="0.3">
      <c r="A2065" t="s">
        <v>1739</v>
      </c>
      <c r="C2065" t="s">
        <v>1747</v>
      </c>
      <c r="D2065" s="1">
        <v>46049</v>
      </c>
      <c r="E2065" t="s">
        <v>1748</v>
      </c>
      <c r="F2065">
        <v>9</v>
      </c>
      <c r="G2065">
        <v>174</v>
      </c>
      <c r="H2065" t="str">
        <f>VLOOKUP(G2065,[1]OPERADORES!$A:$B,2,0)</f>
        <v>MIRIÃ LOBATO RODRIGUES</v>
      </c>
      <c r="I2065" t="s">
        <v>21</v>
      </c>
      <c r="J2065" t="s">
        <v>66</v>
      </c>
      <c r="K2065" t="s">
        <v>1742</v>
      </c>
      <c r="L2065">
        <v>10236</v>
      </c>
      <c r="M2065" t="s">
        <v>133</v>
      </c>
      <c r="O2065" t="s">
        <v>11</v>
      </c>
      <c r="P2065">
        <v>5102</v>
      </c>
      <c r="Q2065">
        <v>102</v>
      </c>
      <c r="R2065">
        <v>2.79</v>
      </c>
      <c r="S2065">
        <v>284.58</v>
      </c>
      <c r="T2065">
        <v>236.64</v>
      </c>
      <c r="U2065">
        <v>16.850000000000001</v>
      </c>
      <c r="V2065" t="str">
        <f>VLOOKUP(L2065,'[2]tabela de preços'!$A:$D,4,0)</f>
        <v>NORTON</v>
      </c>
      <c r="W2065" t="str">
        <f>VLOOKUP(L2065,'[2]tabela de preços'!$A:$F,6,0)</f>
        <v xml:space="preserve">DISCOS / LIXAS / ABRASIVOS </v>
      </c>
      <c r="X2065" t="str">
        <f>VLOOKUP(L2065,'[2]tabela de preços'!$A:$G,7,0)</f>
        <v>AUTOMOTIVO</v>
      </c>
    </row>
    <row r="2066" spans="1:24" x14ac:dyDescent="0.3">
      <c r="A2066" t="s">
        <v>1739</v>
      </c>
      <c r="C2066" t="s">
        <v>1747</v>
      </c>
      <c r="D2066" s="1">
        <v>46049</v>
      </c>
      <c r="E2066" t="s">
        <v>1748</v>
      </c>
      <c r="F2066">
        <v>9</v>
      </c>
      <c r="G2066">
        <v>174</v>
      </c>
      <c r="H2066" t="str">
        <f>VLOOKUP(G2066,[1]OPERADORES!$A:$B,2,0)</f>
        <v>MIRIÃ LOBATO RODRIGUES</v>
      </c>
      <c r="I2066" t="s">
        <v>21</v>
      </c>
      <c r="J2066" t="s">
        <v>66</v>
      </c>
      <c r="K2066" t="s">
        <v>1742</v>
      </c>
      <c r="L2066">
        <v>10243</v>
      </c>
      <c r="M2066" t="s">
        <v>83</v>
      </c>
      <c r="O2066" t="s">
        <v>11</v>
      </c>
      <c r="P2066">
        <v>5102</v>
      </c>
      <c r="Q2066">
        <v>100</v>
      </c>
      <c r="R2066">
        <v>2.79</v>
      </c>
      <c r="S2066">
        <v>279</v>
      </c>
      <c r="T2066">
        <v>193</v>
      </c>
      <c r="U2066">
        <v>30.82</v>
      </c>
      <c r="V2066" t="str">
        <f>VLOOKUP(L2066,'[2]tabela de preços'!$A:$D,4,0)</f>
        <v>NORTON</v>
      </c>
      <c r="W2066" t="str">
        <f>VLOOKUP(L2066,'[2]tabela de preços'!$A:$F,6,0)</f>
        <v xml:space="preserve">DISCOS / LIXAS / ABRASIVOS </v>
      </c>
      <c r="X2066" t="str">
        <f>VLOOKUP(L2066,'[2]tabela de preços'!$A:$G,7,0)</f>
        <v>AUTOMOTIVO</v>
      </c>
    </row>
    <row r="2067" spans="1:24" x14ac:dyDescent="0.3">
      <c r="A2067" t="s">
        <v>1739</v>
      </c>
      <c r="C2067" t="s">
        <v>1747</v>
      </c>
      <c r="D2067" s="1">
        <v>46049</v>
      </c>
      <c r="E2067" t="s">
        <v>1748</v>
      </c>
      <c r="F2067">
        <v>9</v>
      </c>
      <c r="G2067">
        <v>174</v>
      </c>
      <c r="H2067" t="str">
        <f>VLOOKUP(G2067,[1]OPERADORES!$A:$B,2,0)</f>
        <v>MIRIÃ LOBATO RODRIGUES</v>
      </c>
      <c r="I2067" t="s">
        <v>21</v>
      </c>
      <c r="J2067" t="s">
        <v>66</v>
      </c>
      <c r="K2067" t="s">
        <v>1742</v>
      </c>
      <c r="L2067">
        <v>10246</v>
      </c>
      <c r="M2067" t="s">
        <v>206</v>
      </c>
      <c r="O2067" t="s">
        <v>11</v>
      </c>
      <c r="P2067">
        <v>5102</v>
      </c>
      <c r="Q2067">
        <v>100</v>
      </c>
      <c r="R2067">
        <v>2.79</v>
      </c>
      <c r="S2067">
        <v>279</v>
      </c>
      <c r="T2067">
        <v>193</v>
      </c>
      <c r="U2067">
        <v>30.82</v>
      </c>
      <c r="V2067" t="str">
        <f>VLOOKUP(L2067,'[2]tabela de preços'!$A:$D,4,0)</f>
        <v>NORTON</v>
      </c>
      <c r="W2067" t="str">
        <f>VLOOKUP(L2067,'[2]tabela de preços'!$A:$F,6,0)</f>
        <v xml:space="preserve">DISCOS / LIXAS / ABRASIVOS </v>
      </c>
      <c r="X2067" t="str">
        <f>VLOOKUP(L2067,'[2]tabela de preços'!$A:$G,7,0)</f>
        <v>AUTOMOTIVO</v>
      </c>
    </row>
    <row r="2068" spans="1:24" x14ac:dyDescent="0.3">
      <c r="A2068" t="s">
        <v>1757</v>
      </c>
      <c r="B2068" t="s">
        <v>1758</v>
      </c>
      <c r="C2068" t="s">
        <v>1759</v>
      </c>
      <c r="D2068" s="1">
        <v>46049</v>
      </c>
      <c r="E2068" t="s">
        <v>1760</v>
      </c>
      <c r="F2068">
        <v>9</v>
      </c>
      <c r="G2068">
        <v>236</v>
      </c>
      <c r="H2068" t="str">
        <f>VLOOKUP(G2068,[1]OPERADORES!$A:$B,2,0)</f>
        <v>DANIEL</v>
      </c>
      <c r="I2068" t="s">
        <v>1761</v>
      </c>
      <c r="J2068" t="s">
        <v>1762</v>
      </c>
      <c r="K2068" t="s">
        <v>1763</v>
      </c>
      <c r="L2068">
        <v>85691</v>
      </c>
      <c r="M2068" t="s">
        <v>1231</v>
      </c>
      <c r="O2068" t="s">
        <v>11</v>
      </c>
      <c r="P2068">
        <v>6102</v>
      </c>
      <c r="Q2068">
        <v>2</v>
      </c>
      <c r="R2068">
        <v>14.81</v>
      </c>
      <c r="S2068">
        <v>29.62</v>
      </c>
      <c r="T2068">
        <v>22.48</v>
      </c>
      <c r="U2068">
        <v>24.11</v>
      </c>
      <c r="V2068" t="str">
        <f>VLOOKUP(L2068,'[2]tabela de preços'!$A:$D,4,0)</f>
        <v>UNIPEGA</v>
      </c>
      <c r="W2068" t="str">
        <f>VLOOKUP(L2068,'[2]tabela de preços'!$A:$F,6,0)</f>
        <v>COLA INST./ ADESIVOS COLANTES</v>
      </c>
      <c r="X2068" t="str">
        <f>VLOOKUP(L2068,'[2]tabela de preços'!$A:$G,7,0)</f>
        <v>AUTOMOTIVO</v>
      </c>
    </row>
    <row r="2069" spans="1:24" x14ac:dyDescent="0.3">
      <c r="A2069" t="s">
        <v>1757</v>
      </c>
      <c r="B2069" t="s">
        <v>1758</v>
      </c>
      <c r="C2069" t="s">
        <v>1759</v>
      </c>
      <c r="D2069" s="1">
        <v>46049</v>
      </c>
      <c r="E2069" t="s">
        <v>1760</v>
      </c>
      <c r="F2069">
        <v>9</v>
      </c>
      <c r="G2069">
        <v>236</v>
      </c>
      <c r="H2069" t="str">
        <f>VLOOKUP(G2069,[1]OPERADORES!$A:$B,2,0)</f>
        <v>DANIEL</v>
      </c>
      <c r="I2069" t="s">
        <v>1761</v>
      </c>
      <c r="J2069" t="s">
        <v>1762</v>
      </c>
      <c r="K2069" t="s">
        <v>1763</v>
      </c>
      <c r="L2069">
        <v>86995</v>
      </c>
      <c r="M2069" t="s">
        <v>37</v>
      </c>
      <c r="O2069" t="s">
        <v>11</v>
      </c>
      <c r="P2069">
        <v>6102</v>
      </c>
      <c r="Q2069">
        <v>10</v>
      </c>
      <c r="R2069">
        <v>7.29</v>
      </c>
      <c r="S2069">
        <v>72.900000000000006</v>
      </c>
      <c r="T2069">
        <v>58.3</v>
      </c>
      <c r="U2069">
        <v>20.03</v>
      </c>
      <c r="V2069" t="str">
        <f>VLOOKUP(L2069,'[2]tabela de preços'!$A:$D,4,0)</f>
        <v>AUTOAMERICA</v>
      </c>
      <c r="W2069" t="str">
        <f>VLOOKUP(L2069,'[2]tabela de preços'!$A:$F,6,0)</f>
        <v>FLANELAS / PANOS</v>
      </c>
      <c r="X2069" t="str">
        <f>VLOOKUP(L2069,'[2]tabela de preços'!$A:$G,7,0)</f>
        <v>AUTOMOTIVO</v>
      </c>
    </row>
    <row r="2070" spans="1:24" x14ac:dyDescent="0.3">
      <c r="A2070" t="s">
        <v>1757</v>
      </c>
      <c r="B2070" t="s">
        <v>1758</v>
      </c>
      <c r="C2070" t="s">
        <v>1759</v>
      </c>
      <c r="D2070" s="1">
        <v>46049</v>
      </c>
      <c r="E2070" t="s">
        <v>1760</v>
      </c>
      <c r="F2070">
        <v>9</v>
      </c>
      <c r="G2070">
        <v>236</v>
      </c>
      <c r="H2070" t="str">
        <f>VLOOKUP(G2070,[1]OPERADORES!$A:$B,2,0)</f>
        <v>DANIEL</v>
      </c>
      <c r="I2070" t="s">
        <v>1761</v>
      </c>
      <c r="J2070" t="s">
        <v>1762</v>
      </c>
      <c r="K2070" t="s">
        <v>1763</v>
      </c>
      <c r="L2070">
        <v>23076</v>
      </c>
      <c r="M2070" t="s">
        <v>97</v>
      </c>
      <c r="O2070" t="s">
        <v>11</v>
      </c>
      <c r="P2070">
        <v>6403</v>
      </c>
      <c r="Q2070">
        <v>120</v>
      </c>
      <c r="R2070">
        <v>37.33</v>
      </c>
      <c r="S2070" s="2">
        <v>4479.6000000000004</v>
      </c>
      <c r="T2070" s="2">
        <v>3183.6</v>
      </c>
      <c r="U2070">
        <v>28.93</v>
      </c>
      <c r="V2070" t="str">
        <f>VLOOKUP(L2070,'[2]tabela de preços'!$A:$D,4,0)</f>
        <v>WANDA</v>
      </c>
      <c r="W2070" t="str">
        <f>VLOOKUP(L2070,'[2]tabela de preços'!$A:$F,6,0)</f>
        <v>PRIMER AUTOMOTIVO</v>
      </c>
      <c r="X2070" t="str">
        <f>VLOOKUP(L2070,'[2]tabela de preços'!$A:$G,7,0)</f>
        <v>AUTOMOTIVO</v>
      </c>
    </row>
    <row r="2071" spans="1:24" x14ac:dyDescent="0.3">
      <c r="A2071" t="s">
        <v>1757</v>
      </c>
      <c r="B2071" t="s">
        <v>1758</v>
      </c>
      <c r="C2071" t="s">
        <v>1759</v>
      </c>
      <c r="D2071" s="1">
        <v>46049</v>
      </c>
      <c r="E2071" t="s">
        <v>1760</v>
      </c>
      <c r="F2071">
        <v>9</v>
      </c>
      <c r="G2071">
        <v>236</v>
      </c>
      <c r="H2071" t="str">
        <f>VLOOKUP(G2071,[1]OPERADORES!$A:$B,2,0)</f>
        <v>DANIEL</v>
      </c>
      <c r="I2071" t="s">
        <v>1761</v>
      </c>
      <c r="J2071" t="s">
        <v>1762</v>
      </c>
      <c r="K2071" t="s">
        <v>1763</v>
      </c>
      <c r="L2071">
        <v>84460</v>
      </c>
      <c r="M2071" t="s">
        <v>322</v>
      </c>
      <c r="O2071" t="s">
        <v>11</v>
      </c>
      <c r="P2071">
        <v>6102</v>
      </c>
      <c r="Q2071">
        <v>5</v>
      </c>
      <c r="R2071">
        <v>31.07</v>
      </c>
      <c r="S2071">
        <v>155.35</v>
      </c>
      <c r="T2071">
        <v>117.9</v>
      </c>
      <c r="U2071">
        <v>24.11</v>
      </c>
      <c r="V2071" t="str">
        <f>VLOOKUP(L2071,'[2]tabela de preços'!$A:$D,4,0)</f>
        <v>BRASILUX</v>
      </c>
      <c r="W2071" t="str">
        <f>VLOOKUP(L2071,'[2]tabela de preços'!$A:$F,6,0)</f>
        <v>VEDADORES / SELANTES</v>
      </c>
      <c r="X2071" t="str">
        <f>VLOOKUP(L2071,'[2]tabela de preços'!$A:$G,7,0)</f>
        <v>AUTOMOTIVO</v>
      </c>
    </row>
    <row r="2072" spans="1:24" x14ac:dyDescent="0.3">
      <c r="A2072" t="s">
        <v>1757</v>
      </c>
      <c r="B2072" t="s">
        <v>1758</v>
      </c>
      <c r="C2072" t="s">
        <v>1759</v>
      </c>
      <c r="D2072" s="1">
        <v>46049</v>
      </c>
      <c r="E2072" t="s">
        <v>1760</v>
      </c>
      <c r="F2072">
        <v>9</v>
      </c>
      <c r="G2072">
        <v>236</v>
      </c>
      <c r="H2072" t="str">
        <f>VLOOKUP(G2072,[1]OPERADORES!$A:$B,2,0)</f>
        <v>DANIEL</v>
      </c>
      <c r="I2072" t="s">
        <v>1761</v>
      </c>
      <c r="J2072" t="s">
        <v>1762</v>
      </c>
      <c r="K2072" t="s">
        <v>1763</v>
      </c>
      <c r="L2072">
        <v>10403</v>
      </c>
      <c r="M2072" t="s">
        <v>1764</v>
      </c>
      <c r="O2072" t="s">
        <v>11</v>
      </c>
      <c r="P2072">
        <v>6102</v>
      </c>
      <c r="Q2072">
        <v>2</v>
      </c>
      <c r="R2072">
        <v>77.400000000000006</v>
      </c>
      <c r="S2072">
        <v>154.80000000000001</v>
      </c>
      <c r="T2072">
        <v>117.5</v>
      </c>
      <c r="U2072">
        <v>24.1</v>
      </c>
      <c r="V2072" t="str">
        <f>VLOOKUP(L2072,'[2]tabela de preços'!$A:$D,4,0)</f>
        <v>MAXI RUBBER</v>
      </c>
      <c r="W2072" t="str">
        <f>VLOOKUP(L2072,'[2]tabela de preços'!$A:$F,6,0)</f>
        <v>VEDADORES / SELANTES</v>
      </c>
      <c r="X2072" t="str">
        <f>VLOOKUP(L2072,'[2]tabela de preços'!$A:$G,7,0)</f>
        <v>AUTOMOTIVO</v>
      </c>
    </row>
    <row r="2073" spans="1:24" x14ac:dyDescent="0.3">
      <c r="A2073" t="s">
        <v>1757</v>
      </c>
      <c r="B2073" t="s">
        <v>1758</v>
      </c>
      <c r="C2073" t="s">
        <v>1765</v>
      </c>
      <c r="D2073" s="1">
        <v>46049</v>
      </c>
      <c r="E2073" t="s">
        <v>1760</v>
      </c>
      <c r="F2073">
        <v>9</v>
      </c>
      <c r="G2073">
        <v>236</v>
      </c>
      <c r="H2073" t="str">
        <f>VLOOKUP(G2073,[1]OPERADORES!$A:$B,2,0)</f>
        <v>DANIEL</v>
      </c>
      <c r="I2073" t="s">
        <v>1761</v>
      </c>
      <c r="J2073" t="s">
        <v>1762</v>
      </c>
      <c r="K2073" t="s">
        <v>1763</v>
      </c>
      <c r="L2073">
        <v>10297</v>
      </c>
      <c r="M2073" t="s">
        <v>41</v>
      </c>
      <c r="O2073" t="s">
        <v>11</v>
      </c>
      <c r="P2073">
        <v>6102</v>
      </c>
      <c r="Q2073">
        <v>180</v>
      </c>
      <c r="R2073">
        <v>10.49</v>
      </c>
      <c r="S2073" s="2">
        <v>1888.2</v>
      </c>
      <c r="T2073" s="2">
        <v>1650.6</v>
      </c>
      <c r="U2073">
        <v>12.58</v>
      </c>
      <c r="V2073" t="str">
        <f>VLOOKUP(L2073,'[2]tabela de preços'!$A:$D,4,0)</f>
        <v>ANJO</v>
      </c>
      <c r="W2073" t="str">
        <f>VLOOKUP(L2073,'[2]tabela de preços'!$A:$F,6,0)</f>
        <v>THINNER DE LIMPEZA</v>
      </c>
      <c r="X2073" t="str">
        <f>VLOOKUP(L2073,'[2]tabela de preços'!$A:$G,7,0)</f>
        <v>THINNER</v>
      </c>
    </row>
    <row r="2074" spans="1:24" x14ac:dyDescent="0.3">
      <c r="A2074" t="s">
        <v>1807</v>
      </c>
      <c r="C2074" t="s">
        <v>1811</v>
      </c>
      <c r="D2074" s="1">
        <v>46049</v>
      </c>
      <c r="E2074" t="s">
        <v>1812</v>
      </c>
      <c r="F2074">
        <v>9</v>
      </c>
      <c r="G2074">
        <v>231</v>
      </c>
      <c r="H2074" t="str">
        <f>VLOOKUP(G2074,[1]OPERADORES!$A:$B,2,0)</f>
        <v>EDIJANE</v>
      </c>
      <c r="I2074" t="s">
        <v>21</v>
      </c>
      <c r="J2074" t="s">
        <v>531</v>
      </c>
      <c r="K2074" t="s">
        <v>1810</v>
      </c>
      <c r="L2074">
        <v>85402</v>
      </c>
      <c r="M2074" t="s">
        <v>1182</v>
      </c>
      <c r="O2074" t="s">
        <v>11</v>
      </c>
      <c r="P2074">
        <v>5102</v>
      </c>
      <c r="Q2074">
        <v>1</v>
      </c>
      <c r="R2074">
        <v>551.88</v>
      </c>
      <c r="S2074">
        <v>551.88</v>
      </c>
      <c r="T2074">
        <v>393.5</v>
      </c>
      <c r="U2074">
        <v>28.7</v>
      </c>
      <c r="V2074" t="str">
        <f>VLOOKUP(L2074,'[2]tabela de preços'!$A:$D,4,0)</f>
        <v>BRASILUX</v>
      </c>
      <c r="W2074" t="str">
        <f>VLOOKUP(L2074,'[2]tabela de preços'!$A:$F,6,0)</f>
        <v>TINTA EM PÓ</v>
      </c>
      <c r="X2074" t="str">
        <f>VLOOKUP(L2074,'[2]tabela de preços'!$A:$G,7,0)</f>
        <v>INDUSTRIAL</v>
      </c>
    </row>
    <row r="2075" spans="1:24" x14ac:dyDescent="0.3">
      <c r="A2075" t="s">
        <v>1807</v>
      </c>
      <c r="C2075" t="s">
        <v>1811</v>
      </c>
      <c r="D2075" s="1">
        <v>46049</v>
      </c>
      <c r="E2075" t="s">
        <v>1812</v>
      </c>
      <c r="F2075">
        <v>9</v>
      </c>
      <c r="G2075">
        <v>231</v>
      </c>
      <c r="H2075" t="str">
        <f>VLOOKUP(G2075,[1]OPERADORES!$A:$B,2,0)</f>
        <v>EDIJANE</v>
      </c>
      <c r="I2075" t="s">
        <v>21</v>
      </c>
      <c r="J2075" t="s">
        <v>531</v>
      </c>
      <c r="K2075" t="s">
        <v>1810</v>
      </c>
      <c r="L2075">
        <v>85401</v>
      </c>
      <c r="M2075" t="s">
        <v>261</v>
      </c>
      <c r="O2075" t="s">
        <v>11</v>
      </c>
      <c r="P2075">
        <v>5102</v>
      </c>
      <c r="Q2075">
        <v>1</v>
      </c>
      <c r="R2075">
        <v>633.42999999999995</v>
      </c>
      <c r="S2075">
        <v>633.42999999999995</v>
      </c>
      <c r="T2075">
        <v>451.64</v>
      </c>
      <c r="U2075">
        <v>28.7</v>
      </c>
      <c r="V2075" t="str">
        <f>VLOOKUP(L2075,'[2]tabela de preços'!$A:$D,4,0)</f>
        <v>BRASILUX</v>
      </c>
      <c r="W2075" t="str">
        <f>VLOOKUP(L2075,'[2]tabela de preços'!$A:$F,6,0)</f>
        <v>TINTA EM PÓ</v>
      </c>
      <c r="X2075" t="str">
        <f>VLOOKUP(L2075,'[2]tabela de preços'!$A:$G,7,0)</f>
        <v>INDUSTRIAL</v>
      </c>
    </row>
    <row r="2076" spans="1:24" x14ac:dyDescent="0.3">
      <c r="A2076" t="s">
        <v>1905</v>
      </c>
      <c r="C2076" t="s">
        <v>1906</v>
      </c>
      <c r="D2076" s="1">
        <v>46049</v>
      </c>
      <c r="E2076" t="s">
        <v>1907</v>
      </c>
      <c r="F2076">
        <v>9</v>
      </c>
      <c r="G2076">
        <v>174</v>
      </c>
      <c r="H2076" t="str">
        <f>VLOOKUP(G2076,[1]OPERADORES!$A:$B,2,0)</f>
        <v>MIRIÃ LOBATO RODRIGUES</v>
      </c>
      <c r="I2076" t="s">
        <v>168</v>
      </c>
      <c r="J2076" t="s">
        <v>169</v>
      </c>
      <c r="K2076" t="s">
        <v>1908</v>
      </c>
      <c r="L2076">
        <v>84346</v>
      </c>
      <c r="M2076" t="s">
        <v>1909</v>
      </c>
      <c r="O2076" t="s">
        <v>11</v>
      </c>
      <c r="P2076">
        <v>6403</v>
      </c>
      <c r="Q2076">
        <v>4</v>
      </c>
      <c r="R2076">
        <v>59.98</v>
      </c>
      <c r="S2076">
        <v>239.92</v>
      </c>
      <c r="T2076">
        <v>185.68</v>
      </c>
      <c r="U2076">
        <v>22.61</v>
      </c>
      <c r="V2076" t="str">
        <f>VLOOKUP(L2076,'[2]tabela de preços'!$A:$D,4,0)</f>
        <v>BRASILUX</v>
      </c>
      <c r="W2076" t="str">
        <f>VLOOKUP(L2076,'[2]tabela de preços'!$A:$F,6,0)</f>
        <v>ESMALTES</v>
      </c>
      <c r="X2076" t="str">
        <f>VLOOKUP(L2076,'[2]tabela de preços'!$A:$G,7,0)</f>
        <v>INDUSTRIAL</v>
      </c>
    </row>
    <row r="2077" spans="1:24" x14ac:dyDescent="0.3">
      <c r="A2077" t="s">
        <v>1905</v>
      </c>
      <c r="C2077" t="s">
        <v>1906</v>
      </c>
      <c r="D2077" s="1">
        <v>46049</v>
      </c>
      <c r="E2077" t="s">
        <v>1907</v>
      </c>
      <c r="F2077">
        <v>9</v>
      </c>
      <c r="G2077">
        <v>174</v>
      </c>
      <c r="H2077" t="str">
        <f>VLOOKUP(G2077,[1]OPERADORES!$A:$B,2,0)</f>
        <v>MIRIÃ LOBATO RODRIGUES</v>
      </c>
      <c r="I2077" t="s">
        <v>168</v>
      </c>
      <c r="J2077" t="s">
        <v>169</v>
      </c>
      <c r="K2077" t="s">
        <v>1908</v>
      </c>
      <c r="L2077">
        <v>84344</v>
      </c>
      <c r="M2077" t="s">
        <v>1000</v>
      </c>
      <c r="O2077" t="s">
        <v>11</v>
      </c>
      <c r="P2077">
        <v>6403</v>
      </c>
      <c r="Q2077">
        <v>6</v>
      </c>
      <c r="R2077">
        <v>59.98</v>
      </c>
      <c r="S2077">
        <v>359.88</v>
      </c>
      <c r="T2077">
        <v>297.95999999999998</v>
      </c>
      <c r="U2077">
        <v>17.21</v>
      </c>
      <c r="V2077" t="str">
        <f>VLOOKUP(L2077,'[2]tabela de preços'!$A:$D,4,0)</f>
        <v>BRASILUX</v>
      </c>
      <c r="W2077" t="str">
        <f>VLOOKUP(L2077,'[2]tabela de preços'!$A:$F,6,0)</f>
        <v>ESMALTES</v>
      </c>
      <c r="X2077" t="str">
        <f>VLOOKUP(L2077,'[2]tabela de preços'!$A:$G,7,0)</f>
        <v>INDUSTRIAL</v>
      </c>
    </row>
    <row r="2078" spans="1:24" x14ac:dyDescent="0.3">
      <c r="A2078" t="s">
        <v>1905</v>
      </c>
      <c r="C2078" t="s">
        <v>1906</v>
      </c>
      <c r="D2078" s="1">
        <v>46049</v>
      </c>
      <c r="E2078" t="s">
        <v>1907</v>
      </c>
      <c r="F2078">
        <v>9</v>
      </c>
      <c r="G2078">
        <v>174</v>
      </c>
      <c r="H2078" t="str">
        <f>VLOOKUP(G2078,[1]OPERADORES!$A:$B,2,0)</f>
        <v>MIRIÃ LOBATO RODRIGUES</v>
      </c>
      <c r="I2078" t="s">
        <v>168</v>
      </c>
      <c r="J2078" t="s">
        <v>169</v>
      </c>
      <c r="K2078" t="s">
        <v>1908</v>
      </c>
      <c r="L2078">
        <v>84499</v>
      </c>
      <c r="M2078" t="s">
        <v>534</v>
      </c>
      <c r="O2078" t="s">
        <v>11</v>
      </c>
      <c r="P2078">
        <v>6102</v>
      </c>
      <c r="Q2078">
        <v>1</v>
      </c>
      <c r="R2078">
        <v>176.61</v>
      </c>
      <c r="S2078">
        <v>176.61</v>
      </c>
      <c r="T2078">
        <v>134.05000000000001</v>
      </c>
      <c r="U2078">
        <v>24.1</v>
      </c>
      <c r="V2078" t="str">
        <f>VLOOKUP(L2078,'[2]tabela de preços'!$A:$D,4,0)</f>
        <v>BRASILUX</v>
      </c>
      <c r="W2078" t="str">
        <f>VLOOKUP(L2078,'[2]tabela de preços'!$A:$F,6,0)</f>
        <v>THINNER DE LIMPEZA</v>
      </c>
      <c r="X2078" t="str">
        <f>VLOOKUP(L2078,'[2]tabela de preços'!$A:$G,7,0)</f>
        <v>THINNER</v>
      </c>
    </row>
    <row r="2079" spans="1:24" x14ac:dyDescent="0.3">
      <c r="A2079" t="s">
        <v>1905</v>
      </c>
      <c r="C2079" t="s">
        <v>1906</v>
      </c>
      <c r="D2079" s="1">
        <v>46049</v>
      </c>
      <c r="E2079" t="s">
        <v>1907</v>
      </c>
      <c r="F2079">
        <v>9</v>
      </c>
      <c r="G2079">
        <v>174</v>
      </c>
      <c r="H2079" t="str">
        <f>VLOOKUP(G2079,[1]OPERADORES!$A:$B,2,0)</f>
        <v>MIRIÃ LOBATO RODRIGUES</v>
      </c>
      <c r="I2079" t="s">
        <v>168</v>
      </c>
      <c r="J2079" t="s">
        <v>169</v>
      </c>
      <c r="K2079" t="s">
        <v>1908</v>
      </c>
      <c r="L2079">
        <v>84898</v>
      </c>
      <c r="M2079" t="s">
        <v>853</v>
      </c>
      <c r="O2079" t="s">
        <v>11</v>
      </c>
      <c r="P2079">
        <v>6403</v>
      </c>
      <c r="Q2079">
        <v>5</v>
      </c>
      <c r="R2079">
        <v>209.03</v>
      </c>
      <c r="S2079" s="2">
        <v>1045.1500000000001</v>
      </c>
      <c r="T2079">
        <v>793.3</v>
      </c>
      <c r="U2079">
        <v>24.1</v>
      </c>
      <c r="V2079" t="str">
        <f>VLOOKUP(L2079,'[2]tabela de preços'!$A:$D,4,0)</f>
        <v>BRASILUX</v>
      </c>
      <c r="W2079" t="str">
        <f>VLOOKUP(L2079,'[2]tabela de preços'!$A:$F,6,0)</f>
        <v>EPOXI</v>
      </c>
      <c r="X2079" t="str">
        <f>VLOOKUP(L2079,'[2]tabela de preços'!$A:$G,7,0)</f>
        <v>INDUSTRIAL</v>
      </c>
    </row>
    <row r="2080" spans="1:24" x14ac:dyDescent="0.3">
      <c r="A2080" t="s">
        <v>2001</v>
      </c>
      <c r="C2080" t="s">
        <v>2023</v>
      </c>
      <c r="D2080" s="1">
        <v>46049</v>
      </c>
      <c r="E2080" t="s">
        <v>2024</v>
      </c>
      <c r="F2080">
        <v>9</v>
      </c>
      <c r="G2080">
        <v>174</v>
      </c>
      <c r="H2080" t="str">
        <f>VLOOKUP(G2080,[1]OPERADORES!$A:$B,2,0)</f>
        <v>MIRIÃ LOBATO RODRIGUES</v>
      </c>
      <c r="I2080" t="s">
        <v>21</v>
      </c>
      <c r="J2080" t="s">
        <v>1427</v>
      </c>
      <c r="K2080" t="s">
        <v>2004</v>
      </c>
      <c r="L2080">
        <v>84894</v>
      </c>
      <c r="M2080" t="s">
        <v>1260</v>
      </c>
      <c r="O2080" t="s">
        <v>11</v>
      </c>
      <c r="P2080">
        <v>5102</v>
      </c>
      <c r="Q2080">
        <v>2</v>
      </c>
      <c r="R2080">
        <v>59.53</v>
      </c>
      <c r="S2080">
        <v>119.06</v>
      </c>
      <c r="T2080">
        <v>90.38</v>
      </c>
      <c r="U2080">
        <v>24.09</v>
      </c>
      <c r="V2080" t="str">
        <f>VLOOKUP(L2080,'[2]tabela de preços'!$A:$D,4,0)</f>
        <v>BRASILUX</v>
      </c>
      <c r="W2080" t="str">
        <f>VLOOKUP(L2080,'[2]tabela de preços'!$A:$F,6,0)</f>
        <v>DILUENTE</v>
      </c>
      <c r="X2080" t="str">
        <f>VLOOKUP(L2080,'[2]tabela de preços'!$A:$G,7,0)</f>
        <v>AUTOMOTIVO</v>
      </c>
    </row>
    <row r="2081" spans="1:24" x14ac:dyDescent="0.3">
      <c r="A2081" t="s">
        <v>2001</v>
      </c>
      <c r="C2081" t="s">
        <v>2023</v>
      </c>
      <c r="D2081" s="1">
        <v>46049</v>
      </c>
      <c r="E2081" t="s">
        <v>2024</v>
      </c>
      <c r="F2081">
        <v>9</v>
      </c>
      <c r="G2081">
        <v>174</v>
      </c>
      <c r="H2081" t="str">
        <f>VLOOKUP(G2081,[1]OPERADORES!$A:$B,2,0)</f>
        <v>MIRIÃ LOBATO RODRIGUES</v>
      </c>
      <c r="I2081" t="s">
        <v>21</v>
      </c>
      <c r="J2081" t="s">
        <v>1427</v>
      </c>
      <c r="K2081" t="s">
        <v>2004</v>
      </c>
      <c r="L2081">
        <v>84566</v>
      </c>
      <c r="M2081" t="s">
        <v>2016</v>
      </c>
      <c r="O2081" t="s">
        <v>11</v>
      </c>
      <c r="P2081">
        <v>5403</v>
      </c>
      <c r="Q2081">
        <v>3</v>
      </c>
      <c r="R2081">
        <v>479.04</v>
      </c>
      <c r="S2081" s="2">
        <v>1437.12</v>
      </c>
      <c r="T2081" s="2">
        <v>1090.8</v>
      </c>
      <c r="U2081">
        <v>24.1</v>
      </c>
      <c r="V2081" t="str">
        <f>VLOOKUP(L2081,'[2]tabela de preços'!$A:$D,4,0)</f>
        <v>BRASILUX</v>
      </c>
      <c r="W2081" t="str">
        <f>VLOOKUP(L2081,'[2]tabela de preços'!$A:$F,6,0)</f>
        <v>TINTA PARA PISO</v>
      </c>
      <c r="X2081" t="str">
        <f>VLOOKUP(L2081,'[2]tabela de preços'!$A:$G,7,0)</f>
        <v>IMOBILIÁRIO</v>
      </c>
    </row>
    <row r="2082" spans="1:24" x14ac:dyDescent="0.3">
      <c r="A2082" t="s">
        <v>2100</v>
      </c>
      <c r="C2082" t="s">
        <v>2108</v>
      </c>
      <c r="D2082" s="1">
        <v>46049</v>
      </c>
      <c r="E2082" t="s">
        <v>2109</v>
      </c>
      <c r="F2082">
        <v>9</v>
      </c>
      <c r="G2082">
        <v>174</v>
      </c>
      <c r="H2082" t="str">
        <f>VLOOKUP(G2082,[1]OPERADORES!$A:$B,2,0)</f>
        <v>MIRIÃ LOBATO RODRIGUES</v>
      </c>
      <c r="I2082" t="s">
        <v>21</v>
      </c>
      <c r="J2082" t="s">
        <v>1788</v>
      </c>
      <c r="K2082" t="s">
        <v>2103</v>
      </c>
      <c r="L2082">
        <v>21860</v>
      </c>
      <c r="M2082" t="s">
        <v>2038</v>
      </c>
      <c r="O2082" t="s">
        <v>11</v>
      </c>
      <c r="P2082">
        <v>5403</v>
      </c>
      <c r="Q2082">
        <v>2</v>
      </c>
      <c r="R2082">
        <v>61.32</v>
      </c>
      <c r="S2082">
        <v>122.64</v>
      </c>
      <c r="T2082">
        <v>93.08</v>
      </c>
      <c r="U2082">
        <v>24.1</v>
      </c>
      <c r="V2082" t="str">
        <f>VLOOKUP(L2082,'[2]tabela de preços'!$A:$D,4,0)</f>
        <v>SIKKENS</v>
      </c>
      <c r="W2082" t="str">
        <f>VLOOKUP(L2082,'[2]tabela de preços'!$A:$F,6,0)</f>
        <v>VERNIZ AUTOMOTIVO</v>
      </c>
      <c r="X2082" t="str">
        <f>VLOOKUP(L2082,'[2]tabela de preços'!$A:$G,7,0)</f>
        <v>AUTOMOTIVO</v>
      </c>
    </row>
    <row r="2083" spans="1:24" x14ac:dyDescent="0.3">
      <c r="A2083" t="s">
        <v>2100</v>
      </c>
      <c r="C2083" t="s">
        <v>2108</v>
      </c>
      <c r="D2083" s="1">
        <v>46049</v>
      </c>
      <c r="E2083" t="s">
        <v>2109</v>
      </c>
      <c r="F2083">
        <v>9</v>
      </c>
      <c r="G2083">
        <v>174</v>
      </c>
      <c r="H2083" t="str">
        <f>VLOOKUP(G2083,[1]OPERADORES!$A:$B,2,0)</f>
        <v>MIRIÃ LOBATO RODRIGUES</v>
      </c>
      <c r="I2083" t="s">
        <v>21</v>
      </c>
      <c r="J2083" t="s">
        <v>1788</v>
      </c>
      <c r="K2083" t="s">
        <v>2103</v>
      </c>
      <c r="L2083">
        <v>20099</v>
      </c>
      <c r="M2083" t="s">
        <v>1308</v>
      </c>
      <c r="O2083" t="s">
        <v>11</v>
      </c>
      <c r="P2083">
        <v>5403</v>
      </c>
      <c r="Q2083">
        <v>3</v>
      </c>
      <c r="R2083">
        <v>15.9</v>
      </c>
      <c r="S2083">
        <v>47.7</v>
      </c>
      <c r="T2083">
        <v>36.21</v>
      </c>
      <c r="U2083">
        <v>24.09</v>
      </c>
      <c r="V2083" t="str">
        <f>VLOOKUP(L2083,'[2]tabela de preços'!$A:$D,4,0)</f>
        <v>MAXI RUBBER</v>
      </c>
      <c r="W2083" t="str">
        <f>VLOOKUP(L2083,'[2]tabela de preços'!$A:$F,6,0)</f>
        <v>BATIDA DE PEDRA</v>
      </c>
      <c r="X2083" t="str">
        <f>VLOOKUP(L2083,'[2]tabela de preços'!$A:$G,7,0)</f>
        <v>AUTOMOTIVO</v>
      </c>
    </row>
    <row r="2084" spans="1:24" x14ac:dyDescent="0.3">
      <c r="A2084" t="s">
        <v>2100</v>
      </c>
      <c r="C2084" t="s">
        <v>2108</v>
      </c>
      <c r="D2084" s="1">
        <v>46049</v>
      </c>
      <c r="E2084" t="s">
        <v>2109</v>
      </c>
      <c r="F2084">
        <v>9</v>
      </c>
      <c r="G2084">
        <v>174</v>
      </c>
      <c r="H2084" t="str">
        <f>VLOOKUP(G2084,[1]OPERADORES!$A:$B,2,0)</f>
        <v>MIRIÃ LOBATO RODRIGUES</v>
      </c>
      <c r="I2084" t="s">
        <v>21</v>
      </c>
      <c r="J2084" t="s">
        <v>1788</v>
      </c>
      <c r="K2084" t="s">
        <v>2103</v>
      </c>
      <c r="L2084">
        <v>23580</v>
      </c>
      <c r="M2084" t="s">
        <v>115</v>
      </c>
      <c r="O2084" t="s">
        <v>11</v>
      </c>
      <c r="P2084">
        <v>5102</v>
      </c>
      <c r="Q2084">
        <v>50</v>
      </c>
      <c r="R2084">
        <v>0.56000000000000005</v>
      </c>
      <c r="S2084">
        <v>28</v>
      </c>
      <c r="T2084">
        <v>18</v>
      </c>
      <c r="U2084">
        <v>35.71</v>
      </c>
      <c r="V2084" t="str">
        <f>VLOOKUP(L2084,'[2]tabela de preços'!$A:$D,4,0)</f>
        <v>RENOVA COADORES</v>
      </c>
      <c r="W2084" t="str">
        <f>VLOOKUP(L2084,'[2]tabela de preços'!$A:$F,6,0)</f>
        <v>COADORES</v>
      </c>
      <c r="X2084" t="str">
        <f>VLOOKUP(L2084,'[2]tabela de preços'!$A:$G,7,0)</f>
        <v>AUTOMOTIVO</v>
      </c>
    </row>
    <row r="2085" spans="1:24" x14ac:dyDescent="0.3">
      <c r="A2085" t="s">
        <v>2100</v>
      </c>
      <c r="C2085" t="s">
        <v>2108</v>
      </c>
      <c r="D2085" s="1">
        <v>46049</v>
      </c>
      <c r="E2085" t="s">
        <v>2109</v>
      </c>
      <c r="F2085">
        <v>9</v>
      </c>
      <c r="G2085">
        <v>174</v>
      </c>
      <c r="H2085" t="str">
        <f>VLOOKUP(G2085,[1]OPERADORES!$A:$B,2,0)</f>
        <v>MIRIÃ LOBATO RODRIGUES</v>
      </c>
      <c r="I2085" t="s">
        <v>21</v>
      </c>
      <c r="J2085" t="s">
        <v>1788</v>
      </c>
      <c r="K2085" t="s">
        <v>2103</v>
      </c>
      <c r="L2085">
        <v>84557</v>
      </c>
      <c r="M2085" t="s">
        <v>116</v>
      </c>
      <c r="O2085" t="s">
        <v>11</v>
      </c>
      <c r="P2085">
        <v>5102</v>
      </c>
      <c r="Q2085">
        <v>12</v>
      </c>
      <c r="R2085">
        <v>17.489999999999998</v>
      </c>
      <c r="S2085">
        <v>209.88</v>
      </c>
      <c r="T2085">
        <v>167.52</v>
      </c>
      <c r="U2085">
        <v>20.18</v>
      </c>
      <c r="V2085" t="str">
        <f>VLOOKUP(L2085,'[2]tabela de preços'!$A:$D,4,0)</f>
        <v>BRASILUX</v>
      </c>
      <c r="W2085" t="str">
        <f>VLOOKUP(L2085,'[2]tabela de preços'!$A:$F,6,0)</f>
        <v>DILUENTE</v>
      </c>
      <c r="X2085" t="str">
        <f>VLOOKUP(L2085,'[2]tabela de preços'!$A:$G,7,0)</f>
        <v>AUTOMOTIVO</v>
      </c>
    </row>
    <row r="2086" spans="1:24" x14ac:dyDescent="0.3">
      <c r="A2086" t="s">
        <v>2100</v>
      </c>
      <c r="C2086" t="s">
        <v>2108</v>
      </c>
      <c r="D2086" s="1">
        <v>46049</v>
      </c>
      <c r="E2086" t="s">
        <v>2109</v>
      </c>
      <c r="F2086">
        <v>9</v>
      </c>
      <c r="G2086">
        <v>174</v>
      </c>
      <c r="H2086" t="str">
        <f>VLOOKUP(G2086,[1]OPERADORES!$A:$B,2,0)</f>
        <v>MIRIÃ LOBATO RODRIGUES</v>
      </c>
      <c r="I2086" t="s">
        <v>21</v>
      </c>
      <c r="J2086" t="s">
        <v>1788</v>
      </c>
      <c r="K2086" t="s">
        <v>2103</v>
      </c>
      <c r="L2086">
        <v>10236</v>
      </c>
      <c r="M2086" t="s">
        <v>133</v>
      </c>
      <c r="O2086" t="s">
        <v>11</v>
      </c>
      <c r="P2086">
        <v>5102</v>
      </c>
      <c r="Q2086">
        <v>30</v>
      </c>
      <c r="R2086">
        <v>2.79</v>
      </c>
      <c r="S2086">
        <v>83.7</v>
      </c>
      <c r="T2086">
        <v>69.599999999999994</v>
      </c>
      <c r="U2086">
        <v>16.850000000000001</v>
      </c>
      <c r="V2086" t="str">
        <f>VLOOKUP(L2086,'[2]tabela de preços'!$A:$D,4,0)</f>
        <v>NORTON</v>
      </c>
      <c r="W2086" t="str">
        <f>VLOOKUP(L2086,'[2]tabela de preços'!$A:$F,6,0)</f>
        <v xml:space="preserve">DISCOS / LIXAS / ABRASIVOS </v>
      </c>
      <c r="X2086" t="str">
        <f>VLOOKUP(L2086,'[2]tabela de preços'!$A:$G,7,0)</f>
        <v>AUTOMOTIVO</v>
      </c>
    </row>
    <row r="2087" spans="1:24" x14ac:dyDescent="0.3">
      <c r="A2087" t="s">
        <v>2100</v>
      </c>
      <c r="C2087" t="s">
        <v>2108</v>
      </c>
      <c r="D2087" s="1">
        <v>46049</v>
      </c>
      <c r="E2087" t="s">
        <v>2109</v>
      </c>
      <c r="F2087">
        <v>9</v>
      </c>
      <c r="G2087">
        <v>174</v>
      </c>
      <c r="H2087" t="str">
        <f>VLOOKUP(G2087,[1]OPERADORES!$A:$B,2,0)</f>
        <v>MIRIÃ LOBATO RODRIGUES</v>
      </c>
      <c r="I2087" t="s">
        <v>21</v>
      </c>
      <c r="J2087" t="s">
        <v>1788</v>
      </c>
      <c r="K2087" t="s">
        <v>2103</v>
      </c>
      <c r="L2087">
        <v>10226</v>
      </c>
      <c r="M2087" t="s">
        <v>145</v>
      </c>
      <c r="O2087" t="s">
        <v>11</v>
      </c>
      <c r="P2087">
        <v>5102</v>
      </c>
      <c r="Q2087">
        <v>30</v>
      </c>
      <c r="R2087">
        <v>2.79</v>
      </c>
      <c r="S2087">
        <v>83.7</v>
      </c>
      <c r="T2087">
        <v>69.599999999999994</v>
      </c>
      <c r="U2087">
        <v>16.850000000000001</v>
      </c>
      <c r="V2087" t="str">
        <f>VLOOKUP(L2087,'[2]tabela de preços'!$A:$D,4,0)</f>
        <v>NORTON</v>
      </c>
      <c r="W2087" t="str">
        <f>VLOOKUP(L2087,'[2]tabela de preços'!$A:$F,6,0)</f>
        <v xml:space="preserve">DISCOS / LIXAS / ABRASIVOS </v>
      </c>
      <c r="X2087" t="str">
        <f>VLOOKUP(L2087,'[2]tabela de preços'!$A:$G,7,0)</f>
        <v>AUTOMOTIVO</v>
      </c>
    </row>
    <row r="2088" spans="1:24" x14ac:dyDescent="0.3">
      <c r="A2088" t="s">
        <v>2100</v>
      </c>
      <c r="C2088" t="s">
        <v>2108</v>
      </c>
      <c r="D2088" s="1">
        <v>46049</v>
      </c>
      <c r="E2088" t="s">
        <v>2109</v>
      </c>
      <c r="F2088">
        <v>9</v>
      </c>
      <c r="G2088">
        <v>174</v>
      </c>
      <c r="H2088" t="str">
        <f>VLOOKUP(G2088,[1]OPERADORES!$A:$B,2,0)</f>
        <v>MIRIÃ LOBATO RODRIGUES</v>
      </c>
      <c r="I2088" t="s">
        <v>21</v>
      </c>
      <c r="J2088" t="s">
        <v>1788</v>
      </c>
      <c r="K2088" t="s">
        <v>2103</v>
      </c>
      <c r="L2088">
        <v>10230</v>
      </c>
      <c r="M2088" t="s">
        <v>193</v>
      </c>
      <c r="O2088" t="s">
        <v>11</v>
      </c>
      <c r="P2088">
        <v>5102</v>
      </c>
      <c r="Q2088">
        <v>30</v>
      </c>
      <c r="R2088">
        <v>2.79</v>
      </c>
      <c r="S2088">
        <v>83.7</v>
      </c>
      <c r="T2088">
        <v>69.599999999999994</v>
      </c>
      <c r="U2088">
        <v>16.850000000000001</v>
      </c>
      <c r="V2088" t="str">
        <f>VLOOKUP(L2088,'[2]tabela de preços'!$A:$D,4,0)</f>
        <v>NORTON</v>
      </c>
      <c r="W2088" t="str">
        <f>VLOOKUP(L2088,'[2]tabela de preços'!$A:$F,6,0)</f>
        <v xml:space="preserve">DISCOS / LIXAS / ABRASIVOS </v>
      </c>
      <c r="X2088" t="str">
        <f>VLOOKUP(L2088,'[2]tabela de preços'!$A:$G,7,0)</f>
        <v>AUTOMOTIVO</v>
      </c>
    </row>
    <row r="2089" spans="1:24" x14ac:dyDescent="0.3">
      <c r="A2089" t="s">
        <v>2100</v>
      </c>
      <c r="C2089" t="s">
        <v>2108</v>
      </c>
      <c r="D2089" s="1">
        <v>46049</v>
      </c>
      <c r="E2089" t="s">
        <v>2109</v>
      </c>
      <c r="F2089">
        <v>9</v>
      </c>
      <c r="G2089">
        <v>174</v>
      </c>
      <c r="H2089" t="str">
        <f>VLOOKUP(G2089,[1]OPERADORES!$A:$B,2,0)</f>
        <v>MIRIÃ LOBATO RODRIGUES</v>
      </c>
      <c r="I2089" t="s">
        <v>21</v>
      </c>
      <c r="J2089" t="s">
        <v>1788</v>
      </c>
      <c r="K2089" t="s">
        <v>2103</v>
      </c>
      <c r="L2089">
        <v>20983</v>
      </c>
      <c r="M2089" t="s">
        <v>2107</v>
      </c>
      <c r="O2089" t="s">
        <v>11</v>
      </c>
      <c r="P2089">
        <v>5102</v>
      </c>
      <c r="Q2089">
        <v>2</v>
      </c>
      <c r="R2089">
        <v>16.84</v>
      </c>
      <c r="S2089">
        <v>33.68</v>
      </c>
      <c r="T2089">
        <v>25.56</v>
      </c>
      <c r="U2089">
        <v>24.11</v>
      </c>
      <c r="V2089" t="str">
        <f>VLOOKUP(L2089,'[2]tabela de preços'!$A:$D,4,0)</f>
        <v>3M</v>
      </c>
      <c r="W2089" t="str">
        <f>VLOOKUP(L2089,'[2]tabela de preços'!$A:$F,6,0)</f>
        <v>DISCO TRIZACT</v>
      </c>
      <c r="X2089" t="str">
        <f>VLOOKUP(L2089,'[2]tabela de preços'!$A:$G,7,0)</f>
        <v>AUTOMOTIVO</v>
      </c>
    </row>
    <row r="2090" spans="1:24" x14ac:dyDescent="0.3">
      <c r="A2090" t="s">
        <v>2100</v>
      </c>
      <c r="C2090" t="s">
        <v>2108</v>
      </c>
      <c r="D2090" s="1">
        <v>46049</v>
      </c>
      <c r="E2090" t="s">
        <v>2109</v>
      </c>
      <c r="F2090">
        <v>9</v>
      </c>
      <c r="G2090">
        <v>174</v>
      </c>
      <c r="H2090" t="str">
        <f>VLOOKUP(G2090,[1]OPERADORES!$A:$B,2,0)</f>
        <v>MIRIÃ LOBATO RODRIGUES</v>
      </c>
      <c r="I2090" t="s">
        <v>21</v>
      </c>
      <c r="J2090" t="s">
        <v>1788</v>
      </c>
      <c r="K2090" t="s">
        <v>2103</v>
      </c>
      <c r="L2090">
        <v>20135</v>
      </c>
      <c r="M2090" t="s">
        <v>459</v>
      </c>
      <c r="O2090" t="s">
        <v>11</v>
      </c>
      <c r="P2090">
        <v>5102</v>
      </c>
      <c r="Q2090">
        <v>2</v>
      </c>
      <c r="R2090">
        <v>25.37</v>
      </c>
      <c r="S2090">
        <v>50.74</v>
      </c>
      <c r="T2090">
        <v>38.520000000000003</v>
      </c>
      <c r="U2090">
        <v>24.08</v>
      </c>
      <c r="V2090" t="str">
        <f>VLOOKUP(L2090,'[2]tabela de preços'!$A:$D,4,0)</f>
        <v>3M</v>
      </c>
      <c r="W2090" t="str">
        <f>VLOOKUP(L2090,'[2]tabela de preços'!$A:$F,6,0)</f>
        <v>DISCO TRIZACT</v>
      </c>
      <c r="X2090" t="str">
        <f>VLOOKUP(L2090,'[2]tabela de preços'!$A:$G,7,0)</f>
        <v>AUTOMOTIVO</v>
      </c>
    </row>
    <row r="2091" spans="1:24" x14ac:dyDescent="0.3">
      <c r="A2091" t="s">
        <v>2100</v>
      </c>
      <c r="C2091" t="s">
        <v>2108</v>
      </c>
      <c r="D2091" s="1">
        <v>46049</v>
      </c>
      <c r="E2091" t="s">
        <v>2109</v>
      </c>
      <c r="F2091">
        <v>9</v>
      </c>
      <c r="G2091">
        <v>174</v>
      </c>
      <c r="H2091" t="str">
        <f>VLOOKUP(G2091,[1]OPERADORES!$A:$B,2,0)</f>
        <v>MIRIÃ LOBATO RODRIGUES</v>
      </c>
      <c r="I2091" t="s">
        <v>21</v>
      </c>
      <c r="J2091" t="s">
        <v>1788</v>
      </c>
      <c r="K2091" t="s">
        <v>2103</v>
      </c>
      <c r="L2091">
        <v>24248</v>
      </c>
      <c r="M2091" t="s">
        <v>107</v>
      </c>
      <c r="O2091" t="s">
        <v>11</v>
      </c>
      <c r="P2091">
        <v>5102</v>
      </c>
      <c r="Q2091">
        <v>8</v>
      </c>
      <c r="R2091">
        <v>8</v>
      </c>
      <c r="S2091">
        <v>64</v>
      </c>
      <c r="T2091">
        <v>52</v>
      </c>
      <c r="U2091">
        <v>18.75</v>
      </c>
      <c r="V2091" t="str">
        <f>VLOOKUP(L2091,'[2]tabela de preços'!$A:$D,4,0)</f>
        <v>SHERWIN WILLIAMS</v>
      </c>
      <c r="W2091" t="str">
        <f>VLOOKUP(L2091,'[2]tabela de preços'!$A:$F,6,0)</f>
        <v>PRIMER AUTOMOTIVO</v>
      </c>
      <c r="X2091" t="str">
        <f>VLOOKUP(L2091,'[2]tabela de preços'!$A:$G,7,0)</f>
        <v>AUTOMOTIVO</v>
      </c>
    </row>
    <row r="2092" spans="1:24" x14ac:dyDescent="0.3">
      <c r="A2092" t="s">
        <v>2100</v>
      </c>
      <c r="C2092" t="s">
        <v>2108</v>
      </c>
      <c r="D2092" s="1">
        <v>46049</v>
      </c>
      <c r="E2092" t="s">
        <v>2109</v>
      </c>
      <c r="F2092">
        <v>9</v>
      </c>
      <c r="G2092">
        <v>174</v>
      </c>
      <c r="H2092" t="str">
        <f>VLOOKUP(G2092,[1]OPERADORES!$A:$B,2,0)</f>
        <v>MIRIÃ LOBATO RODRIGUES</v>
      </c>
      <c r="I2092" t="s">
        <v>21</v>
      </c>
      <c r="J2092" t="s">
        <v>1788</v>
      </c>
      <c r="K2092" t="s">
        <v>2103</v>
      </c>
      <c r="L2092">
        <v>23433</v>
      </c>
      <c r="M2092" t="s">
        <v>2029</v>
      </c>
      <c r="O2092" t="s">
        <v>11</v>
      </c>
      <c r="P2092">
        <v>5102</v>
      </c>
      <c r="Q2092">
        <v>1</v>
      </c>
      <c r="R2092">
        <v>153.11000000000001</v>
      </c>
      <c r="S2092">
        <v>153.11000000000001</v>
      </c>
      <c r="T2092">
        <v>116.21</v>
      </c>
      <c r="U2092">
        <v>24.1</v>
      </c>
      <c r="V2092" t="str">
        <f>VLOOKUP(L2092,'[2]tabela de preços'!$A:$D,4,0)</f>
        <v>3M</v>
      </c>
      <c r="W2092" t="str">
        <f>VLOOKUP(L2092,'[2]tabela de preços'!$A:$F,6,0)</f>
        <v xml:space="preserve">MASCARAMENTO </v>
      </c>
      <c r="X2092" t="str">
        <f>VLOOKUP(L2092,'[2]tabela de preços'!$A:$G,7,0)</f>
        <v>AUTOMOTIVO</v>
      </c>
    </row>
    <row r="2093" spans="1:24" x14ac:dyDescent="0.3">
      <c r="A2093" t="s">
        <v>2100</v>
      </c>
      <c r="C2093" t="s">
        <v>2108</v>
      </c>
      <c r="D2093" s="1">
        <v>46049</v>
      </c>
      <c r="E2093" t="s">
        <v>2109</v>
      </c>
      <c r="F2093">
        <v>9</v>
      </c>
      <c r="G2093">
        <v>174</v>
      </c>
      <c r="H2093" t="str">
        <f>VLOOKUP(G2093,[1]OPERADORES!$A:$B,2,0)</f>
        <v>MIRIÃ LOBATO RODRIGUES</v>
      </c>
      <c r="I2093" t="s">
        <v>21</v>
      </c>
      <c r="J2093" t="s">
        <v>1788</v>
      </c>
      <c r="K2093" t="s">
        <v>2103</v>
      </c>
      <c r="L2093">
        <v>24240</v>
      </c>
      <c r="M2093" t="s">
        <v>240</v>
      </c>
      <c r="O2093" t="s">
        <v>11</v>
      </c>
      <c r="P2093">
        <v>5102</v>
      </c>
      <c r="Q2093">
        <v>50</v>
      </c>
      <c r="R2093">
        <v>3.81</v>
      </c>
      <c r="S2093">
        <v>190.5</v>
      </c>
      <c r="T2093">
        <v>164</v>
      </c>
      <c r="U2093">
        <v>13.91</v>
      </c>
      <c r="V2093" t="str">
        <f>VLOOKUP(L2093,'[2]tabela de preços'!$A:$D,4,0)</f>
        <v>ADERE</v>
      </c>
      <c r="W2093" t="str">
        <f>VLOOKUP(L2093,'[2]tabela de preços'!$A:$F,6,0)</f>
        <v>FITA AUTOMOTIVA</v>
      </c>
      <c r="X2093" t="str">
        <f>VLOOKUP(L2093,'[2]tabela de preços'!$A:$G,7,0)</f>
        <v>AUTOMOTIVO</v>
      </c>
    </row>
    <row r="2094" spans="1:24" x14ac:dyDescent="0.3">
      <c r="A2094" t="s">
        <v>2100</v>
      </c>
      <c r="C2094" t="s">
        <v>2108</v>
      </c>
      <c r="D2094" s="1">
        <v>46049</v>
      </c>
      <c r="E2094" t="s">
        <v>2109</v>
      </c>
      <c r="F2094">
        <v>9</v>
      </c>
      <c r="G2094">
        <v>174</v>
      </c>
      <c r="H2094" t="str">
        <f>VLOOKUP(G2094,[1]OPERADORES!$A:$B,2,0)</f>
        <v>MIRIÃ LOBATO RODRIGUES</v>
      </c>
      <c r="I2094" t="s">
        <v>21</v>
      </c>
      <c r="J2094" t="s">
        <v>1788</v>
      </c>
      <c r="K2094" t="s">
        <v>2103</v>
      </c>
      <c r="L2094">
        <v>84406</v>
      </c>
      <c r="M2094" t="s">
        <v>2110</v>
      </c>
      <c r="O2094" t="s">
        <v>11</v>
      </c>
      <c r="P2094">
        <v>5102</v>
      </c>
      <c r="Q2094">
        <v>4</v>
      </c>
      <c r="R2094">
        <v>32.159999999999997</v>
      </c>
      <c r="S2094">
        <v>128.63999999999999</v>
      </c>
      <c r="T2094">
        <v>97.64</v>
      </c>
      <c r="U2094">
        <v>24.1</v>
      </c>
      <c r="V2094" t="str">
        <f>VLOOKUP(L2094,'[2]tabela de preços'!$A:$D,4,0)</f>
        <v>3M</v>
      </c>
      <c r="W2094" t="str">
        <f>VLOOKUP(L2094,'[2]tabela de preços'!$A:$F,6,0)</f>
        <v>FITA DUPLA FACE</v>
      </c>
      <c r="X2094" t="str">
        <f>VLOOKUP(L2094,'[2]tabela de preços'!$A:$G,7,0)</f>
        <v>AUTOMOTIVO</v>
      </c>
    </row>
    <row r="2095" spans="1:24" x14ac:dyDescent="0.3">
      <c r="A2095" t="s">
        <v>2100</v>
      </c>
      <c r="C2095" t="s">
        <v>2108</v>
      </c>
      <c r="D2095" s="1">
        <v>46049</v>
      </c>
      <c r="E2095" t="s">
        <v>2109</v>
      </c>
      <c r="F2095">
        <v>9</v>
      </c>
      <c r="G2095">
        <v>174</v>
      </c>
      <c r="H2095" t="str">
        <f>VLOOKUP(G2095,[1]OPERADORES!$A:$B,2,0)</f>
        <v>MIRIÃ LOBATO RODRIGUES</v>
      </c>
      <c r="I2095" t="s">
        <v>21</v>
      </c>
      <c r="J2095" t="s">
        <v>1788</v>
      </c>
      <c r="K2095" t="s">
        <v>2103</v>
      </c>
      <c r="L2095">
        <v>21862</v>
      </c>
      <c r="M2095" t="s">
        <v>2040</v>
      </c>
      <c r="O2095" t="s">
        <v>11</v>
      </c>
      <c r="P2095">
        <v>5102</v>
      </c>
      <c r="Q2095">
        <v>2</v>
      </c>
      <c r="R2095">
        <v>28.62</v>
      </c>
      <c r="S2095">
        <v>57.24</v>
      </c>
      <c r="T2095">
        <v>45.24</v>
      </c>
      <c r="U2095">
        <v>20.96</v>
      </c>
      <c r="V2095" t="str">
        <f>VLOOKUP(L2095,'[2]tabela de preços'!$A:$D,4,0)</f>
        <v>SIKKENS</v>
      </c>
      <c r="W2095" t="str">
        <f>VLOOKUP(L2095,'[2]tabela de preços'!$A:$F,6,0)</f>
        <v>CATALISADORES INDIVIDUAS</v>
      </c>
      <c r="X2095" t="str">
        <f>VLOOKUP(L2095,'[2]tabela de preços'!$A:$G,7,0)</f>
        <v>AUTOMOTIVO</v>
      </c>
    </row>
    <row r="2096" spans="1:24" x14ac:dyDescent="0.3">
      <c r="A2096" t="s">
        <v>2100</v>
      </c>
      <c r="C2096" t="s">
        <v>2108</v>
      </c>
      <c r="D2096" s="1">
        <v>46049</v>
      </c>
      <c r="E2096" t="s">
        <v>2109</v>
      </c>
      <c r="F2096">
        <v>9</v>
      </c>
      <c r="G2096">
        <v>174</v>
      </c>
      <c r="H2096" t="str">
        <f>VLOOKUP(G2096,[1]OPERADORES!$A:$B,2,0)</f>
        <v>MIRIÃ LOBATO RODRIGUES</v>
      </c>
      <c r="I2096" t="s">
        <v>21</v>
      </c>
      <c r="J2096" t="s">
        <v>1788</v>
      </c>
      <c r="K2096" t="s">
        <v>2103</v>
      </c>
      <c r="L2096">
        <v>85703</v>
      </c>
      <c r="M2096" t="s">
        <v>682</v>
      </c>
      <c r="O2096" t="s">
        <v>11</v>
      </c>
      <c r="P2096">
        <v>5102</v>
      </c>
      <c r="Q2096">
        <v>1</v>
      </c>
      <c r="R2096">
        <v>14.25</v>
      </c>
      <c r="S2096">
        <v>14.25</v>
      </c>
      <c r="T2096">
        <v>10.81</v>
      </c>
      <c r="U2096">
        <v>24.14</v>
      </c>
      <c r="V2096" t="str">
        <f>VLOOKUP(L2096,'[2]tabela de preços'!$A:$D,4,0)</f>
        <v>NEW PAD</v>
      </c>
      <c r="W2096" t="str">
        <f>VLOOKUP(L2096,'[2]tabela de preços'!$A:$F,6,0)</f>
        <v>APLICADORES / ADAPTADORES / ENGATES / SUPORTES</v>
      </c>
      <c r="X2096" t="str">
        <f>VLOOKUP(L2096,'[2]tabela de preços'!$A:$G,7,0)</f>
        <v>AUTOMOTIVO</v>
      </c>
    </row>
    <row r="2097" spans="1:24" x14ac:dyDescent="0.3">
      <c r="A2097" t="s">
        <v>2100</v>
      </c>
      <c r="C2097" t="s">
        <v>2108</v>
      </c>
      <c r="D2097" s="1">
        <v>46049</v>
      </c>
      <c r="E2097" t="s">
        <v>2109</v>
      </c>
      <c r="F2097">
        <v>9</v>
      </c>
      <c r="G2097">
        <v>174</v>
      </c>
      <c r="H2097" t="str">
        <f>VLOOKUP(G2097,[1]OPERADORES!$A:$B,2,0)</f>
        <v>MIRIÃ LOBATO RODRIGUES</v>
      </c>
      <c r="I2097" t="s">
        <v>21</v>
      </c>
      <c r="J2097" t="s">
        <v>1788</v>
      </c>
      <c r="K2097" t="s">
        <v>2103</v>
      </c>
      <c r="L2097">
        <v>23602</v>
      </c>
      <c r="M2097" t="s">
        <v>215</v>
      </c>
      <c r="O2097" t="s">
        <v>11</v>
      </c>
      <c r="P2097">
        <v>5403</v>
      </c>
      <c r="Q2097">
        <v>12</v>
      </c>
      <c r="R2097">
        <v>35.89</v>
      </c>
      <c r="S2097">
        <v>430.68</v>
      </c>
      <c r="T2097">
        <v>351</v>
      </c>
      <c r="U2097">
        <v>18.5</v>
      </c>
      <c r="V2097" t="str">
        <f>VLOOKUP(L2097,'[2]tabela de preços'!$A:$D,4,0)</f>
        <v>SHERWIN WILLIAMS</v>
      </c>
      <c r="W2097" t="str">
        <f>VLOOKUP(L2097,'[2]tabela de preços'!$A:$F,6,0)</f>
        <v>VERNIZ AUTOMOTIVO</v>
      </c>
      <c r="X2097" t="str">
        <f>VLOOKUP(L2097,'[2]tabela de preços'!$A:$G,7,0)</f>
        <v>AUTOMOTIVO</v>
      </c>
    </row>
    <row r="2098" spans="1:24" x14ac:dyDescent="0.3">
      <c r="A2098" t="s">
        <v>2100</v>
      </c>
      <c r="C2098" t="s">
        <v>2108</v>
      </c>
      <c r="D2098" s="1">
        <v>46049</v>
      </c>
      <c r="E2098" t="s">
        <v>2109</v>
      </c>
      <c r="F2098">
        <v>9</v>
      </c>
      <c r="G2098">
        <v>174</v>
      </c>
      <c r="H2098" t="str">
        <f>VLOOKUP(G2098,[1]OPERADORES!$A:$B,2,0)</f>
        <v>MIRIÃ LOBATO RODRIGUES</v>
      </c>
      <c r="I2098" t="s">
        <v>21</v>
      </c>
      <c r="J2098" t="s">
        <v>1788</v>
      </c>
      <c r="K2098" t="s">
        <v>2103</v>
      </c>
      <c r="L2098">
        <v>24067</v>
      </c>
      <c r="M2098" t="s">
        <v>1978</v>
      </c>
      <c r="O2098" t="s">
        <v>11</v>
      </c>
      <c r="P2098">
        <v>5403</v>
      </c>
      <c r="Q2098">
        <v>5</v>
      </c>
      <c r="R2098">
        <v>69.25</v>
      </c>
      <c r="S2098">
        <v>346.25</v>
      </c>
      <c r="T2098">
        <v>262.8</v>
      </c>
      <c r="U2098">
        <v>24.1</v>
      </c>
      <c r="V2098" t="str">
        <f>VLOOKUP(L2098,'[2]tabela de preços'!$A:$D,4,0)</f>
        <v>SKY</v>
      </c>
      <c r="W2098" t="str">
        <f>VLOOKUP(L2098,'[2]tabela de preços'!$A:$F,6,0)</f>
        <v>VERNIZ AUTOMOTIVO</v>
      </c>
      <c r="X2098" t="str">
        <f>VLOOKUP(L2098,'[2]tabela de preços'!$A:$G,7,0)</f>
        <v>AUTOMOTIVO</v>
      </c>
    </row>
    <row r="2099" spans="1:24" x14ac:dyDescent="0.3">
      <c r="A2099" t="s">
        <v>2100</v>
      </c>
      <c r="C2099" t="s">
        <v>2108</v>
      </c>
      <c r="D2099" s="1">
        <v>46049</v>
      </c>
      <c r="E2099" t="s">
        <v>2109</v>
      </c>
      <c r="F2099">
        <v>9</v>
      </c>
      <c r="G2099">
        <v>174</v>
      </c>
      <c r="H2099" t="str">
        <f>VLOOKUP(G2099,[1]OPERADORES!$A:$B,2,0)</f>
        <v>MIRIÃ LOBATO RODRIGUES</v>
      </c>
      <c r="I2099" t="s">
        <v>21</v>
      </c>
      <c r="J2099" t="s">
        <v>1788</v>
      </c>
      <c r="K2099" t="s">
        <v>2103</v>
      </c>
      <c r="L2099">
        <v>10238</v>
      </c>
      <c r="M2099" t="s">
        <v>79</v>
      </c>
      <c r="O2099" t="s">
        <v>11</v>
      </c>
      <c r="P2099">
        <v>5102</v>
      </c>
      <c r="Q2099">
        <v>30</v>
      </c>
      <c r="R2099">
        <v>2.79</v>
      </c>
      <c r="S2099">
        <v>83.7</v>
      </c>
      <c r="T2099">
        <v>67.2</v>
      </c>
      <c r="U2099">
        <v>19.71</v>
      </c>
      <c r="V2099" t="str">
        <f>VLOOKUP(L2099,'[2]tabela de preços'!$A:$D,4,0)</f>
        <v>NORTON</v>
      </c>
      <c r="W2099" t="str">
        <f>VLOOKUP(L2099,'[2]tabela de preços'!$A:$F,6,0)</f>
        <v xml:space="preserve">DISCOS / LIXAS / ABRASIVOS </v>
      </c>
      <c r="X2099" t="str">
        <f>VLOOKUP(L2099,'[2]tabela de preços'!$A:$G,7,0)</f>
        <v>AUTOMOTIVO</v>
      </c>
    </row>
    <row r="2100" spans="1:24" x14ac:dyDescent="0.3">
      <c r="A2100" t="s">
        <v>2100</v>
      </c>
      <c r="C2100" t="s">
        <v>2108</v>
      </c>
      <c r="D2100" s="1">
        <v>46049</v>
      </c>
      <c r="E2100" t="s">
        <v>2109</v>
      </c>
      <c r="F2100">
        <v>9</v>
      </c>
      <c r="G2100">
        <v>174</v>
      </c>
      <c r="H2100" t="str">
        <f>VLOOKUP(G2100,[1]OPERADORES!$A:$B,2,0)</f>
        <v>MIRIÃ LOBATO RODRIGUES</v>
      </c>
      <c r="I2100" t="s">
        <v>21</v>
      </c>
      <c r="J2100" t="s">
        <v>1788</v>
      </c>
      <c r="K2100" t="s">
        <v>2103</v>
      </c>
      <c r="L2100">
        <v>23465</v>
      </c>
      <c r="M2100" t="s">
        <v>110</v>
      </c>
      <c r="O2100" t="s">
        <v>11</v>
      </c>
      <c r="P2100">
        <v>5102</v>
      </c>
      <c r="Q2100">
        <v>4</v>
      </c>
      <c r="R2100">
        <v>3.76</v>
      </c>
      <c r="S2100">
        <v>15.04</v>
      </c>
      <c r="T2100">
        <v>11.4</v>
      </c>
      <c r="U2100">
        <v>24.2</v>
      </c>
      <c r="V2100" t="str">
        <f>VLOOKUP(L2100,'[2]tabela de preços'!$A:$D,4,0)</f>
        <v>3M</v>
      </c>
      <c r="W2100" t="str">
        <f>VLOOKUP(L2100,'[2]tabela de preços'!$A:$F,6,0)</f>
        <v>EPI´S</v>
      </c>
      <c r="X2100" t="str">
        <f>VLOOKUP(L2100,'[2]tabela de preços'!$A:$G,7,0)</f>
        <v>AUTOMOTIVO</v>
      </c>
    </row>
    <row r="2101" spans="1:24" x14ac:dyDescent="0.3">
      <c r="A2101" t="s">
        <v>2100</v>
      </c>
      <c r="C2101" t="s">
        <v>2108</v>
      </c>
      <c r="D2101" s="1">
        <v>46049</v>
      </c>
      <c r="E2101" t="s">
        <v>2109</v>
      </c>
      <c r="F2101">
        <v>9</v>
      </c>
      <c r="G2101">
        <v>174</v>
      </c>
      <c r="H2101" t="str">
        <f>VLOOKUP(G2101,[1]OPERADORES!$A:$B,2,0)</f>
        <v>MIRIÃ LOBATO RODRIGUES</v>
      </c>
      <c r="I2101" t="s">
        <v>21</v>
      </c>
      <c r="J2101" t="s">
        <v>1788</v>
      </c>
      <c r="K2101" t="s">
        <v>2103</v>
      </c>
      <c r="L2101">
        <v>20817</v>
      </c>
      <c r="M2101" t="s">
        <v>153</v>
      </c>
      <c r="O2101" t="s">
        <v>11</v>
      </c>
      <c r="P2101">
        <v>5102</v>
      </c>
      <c r="Q2101">
        <v>3</v>
      </c>
      <c r="R2101">
        <v>22.89</v>
      </c>
      <c r="S2101">
        <v>68.67</v>
      </c>
      <c r="T2101">
        <v>55.86</v>
      </c>
      <c r="U2101">
        <v>18.649999999999999</v>
      </c>
      <c r="V2101" t="str">
        <f>VLOOKUP(L2101,'[2]tabela de preços'!$A:$D,4,0)</f>
        <v>AUTO AMERICA</v>
      </c>
      <c r="W2101" t="str">
        <f>VLOOKUP(L2101,'[2]tabela de preços'!$A:$F,6,0)</f>
        <v>MASSA DE POLIR</v>
      </c>
      <c r="X2101" t="str">
        <f>VLOOKUP(L2101,'[2]tabela de preços'!$A:$G,7,0)</f>
        <v>AUTOMOTIVO</v>
      </c>
    </row>
    <row r="2102" spans="1:24" x14ac:dyDescent="0.3">
      <c r="A2102" t="s">
        <v>2100</v>
      </c>
      <c r="C2102" t="s">
        <v>2108</v>
      </c>
      <c r="D2102" s="1">
        <v>46049</v>
      </c>
      <c r="E2102" t="s">
        <v>2109</v>
      </c>
      <c r="F2102">
        <v>9</v>
      </c>
      <c r="G2102">
        <v>174</v>
      </c>
      <c r="H2102" t="str">
        <f>VLOOKUP(G2102,[1]OPERADORES!$A:$B,2,0)</f>
        <v>MIRIÃ LOBATO RODRIGUES</v>
      </c>
      <c r="I2102" t="s">
        <v>21</v>
      </c>
      <c r="J2102" t="s">
        <v>1788</v>
      </c>
      <c r="K2102" t="s">
        <v>2103</v>
      </c>
      <c r="L2102">
        <v>21077</v>
      </c>
      <c r="M2102" t="s">
        <v>207</v>
      </c>
      <c r="O2102" t="s">
        <v>11</v>
      </c>
      <c r="P2102">
        <v>5102</v>
      </c>
      <c r="Q2102">
        <v>3</v>
      </c>
      <c r="R2102">
        <v>44.68</v>
      </c>
      <c r="S2102">
        <v>134.04</v>
      </c>
      <c r="T2102">
        <v>101.76</v>
      </c>
      <c r="U2102">
        <v>24.08</v>
      </c>
      <c r="V2102" t="str">
        <f>VLOOKUP(L2102,'[2]tabela de preços'!$A:$D,4,0)</f>
        <v>SHERWIN WILLIAMS</v>
      </c>
      <c r="W2102" t="str">
        <f>VLOOKUP(L2102,'[2]tabela de preços'!$A:$F,6,0)</f>
        <v>MASSA POLIÉSTER</v>
      </c>
      <c r="X2102" t="str">
        <f>VLOOKUP(L2102,'[2]tabela de preços'!$A:$G,7,0)</f>
        <v>AUTOMOTIVO</v>
      </c>
    </row>
    <row r="2103" spans="1:24" x14ac:dyDescent="0.3">
      <c r="A2103" t="s">
        <v>2100</v>
      </c>
      <c r="C2103" t="s">
        <v>2108</v>
      </c>
      <c r="D2103" s="1">
        <v>46049</v>
      </c>
      <c r="E2103" t="s">
        <v>2109</v>
      </c>
      <c r="F2103">
        <v>9</v>
      </c>
      <c r="G2103">
        <v>174</v>
      </c>
      <c r="H2103" t="str">
        <f>VLOOKUP(G2103,[1]OPERADORES!$A:$B,2,0)</f>
        <v>MIRIÃ LOBATO RODRIGUES</v>
      </c>
      <c r="I2103" t="s">
        <v>21</v>
      </c>
      <c r="J2103" t="s">
        <v>1788</v>
      </c>
      <c r="K2103" t="s">
        <v>2103</v>
      </c>
      <c r="L2103">
        <v>23253</v>
      </c>
      <c r="M2103" t="s">
        <v>2111</v>
      </c>
      <c r="O2103" t="s">
        <v>11</v>
      </c>
      <c r="P2103">
        <v>5102</v>
      </c>
      <c r="Q2103">
        <v>1</v>
      </c>
      <c r="R2103">
        <v>29.84</v>
      </c>
      <c r="S2103">
        <v>29.84</v>
      </c>
      <c r="T2103">
        <v>22.65</v>
      </c>
      <c r="U2103">
        <v>24.1</v>
      </c>
      <c r="V2103" t="str">
        <f>VLOOKUP(L2103,'[2]tabela de preços'!$A:$D,4,0)</f>
        <v>ANJO</v>
      </c>
      <c r="W2103" t="str">
        <f>VLOOKUP(L2103,'[2]tabela de preços'!$A:$F,6,0)</f>
        <v>MASSA POLIÉSTER</v>
      </c>
      <c r="X2103" t="str">
        <f>VLOOKUP(L2103,'[2]tabela de preços'!$A:$G,7,0)</f>
        <v>AUTOMOTIVO</v>
      </c>
    </row>
    <row r="2104" spans="1:24" x14ac:dyDescent="0.3">
      <c r="A2104" t="s">
        <v>2100</v>
      </c>
      <c r="C2104" t="s">
        <v>2108</v>
      </c>
      <c r="D2104" s="1">
        <v>46049</v>
      </c>
      <c r="E2104" t="s">
        <v>2109</v>
      </c>
      <c r="F2104">
        <v>9</v>
      </c>
      <c r="G2104">
        <v>174</v>
      </c>
      <c r="H2104" t="str">
        <f>VLOOKUP(G2104,[1]OPERADORES!$A:$B,2,0)</f>
        <v>MIRIÃ LOBATO RODRIGUES</v>
      </c>
      <c r="I2104" t="s">
        <v>21</v>
      </c>
      <c r="J2104" t="s">
        <v>1788</v>
      </c>
      <c r="K2104" t="s">
        <v>2103</v>
      </c>
      <c r="L2104">
        <v>87043</v>
      </c>
      <c r="M2104" t="s">
        <v>217</v>
      </c>
      <c r="O2104" t="s">
        <v>11</v>
      </c>
      <c r="P2104">
        <v>5102</v>
      </c>
      <c r="Q2104">
        <v>16</v>
      </c>
      <c r="R2104">
        <v>21.95</v>
      </c>
      <c r="S2104">
        <v>351.2</v>
      </c>
      <c r="T2104">
        <v>288.32</v>
      </c>
      <c r="U2104">
        <v>17.899999999999999</v>
      </c>
      <c r="V2104" t="str">
        <f>VLOOKUP(L2104,'[2]tabela de preços'!$A:$D,4,0)</f>
        <v>ROBERLO</v>
      </c>
      <c r="W2104" t="str">
        <f>VLOOKUP(L2104,'[2]tabela de preços'!$A:$F,6,0)</f>
        <v>MASSA POLIÉSTER</v>
      </c>
      <c r="X2104" t="str">
        <f>VLOOKUP(L2104,'[2]tabela de preços'!$A:$G,7,0)</f>
        <v>AUTOMOTIVO</v>
      </c>
    </row>
    <row r="2105" spans="1:24" x14ac:dyDescent="0.3">
      <c r="A2105" t="s">
        <v>2100</v>
      </c>
      <c r="C2105" t="s">
        <v>2108</v>
      </c>
      <c r="D2105" s="1">
        <v>46049</v>
      </c>
      <c r="E2105" t="s">
        <v>2109</v>
      </c>
      <c r="F2105">
        <v>9</v>
      </c>
      <c r="G2105">
        <v>174</v>
      </c>
      <c r="H2105" t="str">
        <f>VLOOKUP(G2105,[1]OPERADORES!$A:$B,2,0)</f>
        <v>MIRIÃ LOBATO RODRIGUES</v>
      </c>
      <c r="I2105" t="s">
        <v>21</v>
      </c>
      <c r="J2105" t="s">
        <v>1788</v>
      </c>
      <c r="K2105" t="s">
        <v>2103</v>
      </c>
      <c r="L2105">
        <v>20592</v>
      </c>
      <c r="M2105" t="s">
        <v>2112</v>
      </c>
      <c r="O2105" t="s">
        <v>11</v>
      </c>
      <c r="P2105">
        <v>5102</v>
      </c>
      <c r="Q2105">
        <v>10</v>
      </c>
      <c r="R2105">
        <v>6.43</v>
      </c>
      <c r="S2105">
        <v>64.3</v>
      </c>
      <c r="T2105">
        <v>48.8</v>
      </c>
      <c r="U2105">
        <v>24.11</v>
      </c>
      <c r="V2105" t="str">
        <f>VLOOKUP(L2105,'[2]tabela de preços'!$A:$D,4,0)</f>
        <v>.</v>
      </c>
      <c r="W2105" t="str">
        <f>VLOOKUP(L2105,'[2]tabela de preços'!$A:$F,6,0)</f>
        <v>FLANELAS / PANOS</v>
      </c>
      <c r="X2105" t="str">
        <f>VLOOKUP(L2105,'[2]tabela de preços'!$A:$G,7,0)</f>
        <v>AUTOMOTIVO</v>
      </c>
    </row>
    <row r="2106" spans="1:24" x14ac:dyDescent="0.3">
      <c r="A2106" t="s">
        <v>2100</v>
      </c>
      <c r="C2106" t="s">
        <v>2108</v>
      </c>
      <c r="D2106" s="1">
        <v>46049</v>
      </c>
      <c r="E2106" t="s">
        <v>2109</v>
      </c>
      <c r="F2106">
        <v>9</v>
      </c>
      <c r="G2106">
        <v>174</v>
      </c>
      <c r="H2106" t="str">
        <f>VLOOKUP(G2106,[1]OPERADORES!$A:$B,2,0)</f>
        <v>MIRIÃ LOBATO RODRIGUES</v>
      </c>
      <c r="I2106" t="s">
        <v>21</v>
      </c>
      <c r="J2106" t="s">
        <v>1788</v>
      </c>
      <c r="K2106" t="s">
        <v>2103</v>
      </c>
      <c r="L2106">
        <v>24247</v>
      </c>
      <c r="M2106" t="s">
        <v>160</v>
      </c>
      <c r="O2106" t="s">
        <v>11</v>
      </c>
      <c r="P2106">
        <v>5403</v>
      </c>
      <c r="Q2106">
        <v>8</v>
      </c>
      <c r="R2106">
        <v>21</v>
      </c>
      <c r="S2106">
        <v>168</v>
      </c>
      <c r="T2106">
        <v>134.96</v>
      </c>
      <c r="U2106">
        <v>19.670000000000002</v>
      </c>
      <c r="V2106" t="str">
        <f>VLOOKUP(L2106,'[2]tabela de preços'!$A:$D,4,0)</f>
        <v>SHERWIN WILLIAMS</v>
      </c>
      <c r="W2106" t="str">
        <f>VLOOKUP(L2106,'[2]tabela de preços'!$A:$F,6,0)</f>
        <v>PRIMER AUTOMOTIVO</v>
      </c>
      <c r="X2106" t="str">
        <f>VLOOKUP(L2106,'[2]tabela de preços'!$A:$G,7,0)</f>
        <v>AUTOMOTIVO</v>
      </c>
    </row>
    <row r="2107" spans="1:24" x14ac:dyDescent="0.3">
      <c r="A2107" t="s">
        <v>2100</v>
      </c>
      <c r="C2107" t="s">
        <v>2108</v>
      </c>
      <c r="D2107" s="1">
        <v>46049</v>
      </c>
      <c r="E2107" t="s">
        <v>2109</v>
      </c>
      <c r="F2107">
        <v>9</v>
      </c>
      <c r="G2107">
        <v>174</v>
      </c>
      <c r="H2107" t="str">
        <f>VLOOKUP(G2107,[1]OPERADORES!$A:$B,2,0)</f>
        <v>MIRIÃ LOBATO RODRIGUES</v>
      </c>
      <c r="I2107" t="s">
        <v>21</v>
      </c>
      <c r="J2107" t="s">
        <v>1788</v>
      </c>
      <c r="K2107" t="s">
        <v>2103</v>
      </c>
      <c r="L2107">
        <v>10296</v>
      </c>
      <c r="M2107" t="s">
        <v>334</v>
      </c>
      <c r="O2107" t="s">
        <v>11</v>
      </c>
      <c r="P2107">
        <v>5102</v>
      </c>
      <c r="Q2107">
        <v>3</v>
      </c>
      <c r="R2107">
        <v>17.02</v>
      </c>
      <c r="S2107">
        <v>51.06</v>
      </c>
      <c r="T2107">
        <v>37.71</v>
      </c>
      <c r="U2107">
        <v>26.15</v>
      </c>
      <c r="V2107" t="str">
        <f>VLOOKUP(L2107,'[2]tabela de preços'!$A:$D,4,0)</f>
        <v>ANJO</v>
      </c>
      <c r="W2107" t="str">
        <f>VLOOKUP(L2107,'[2]tabela de preços'!$A:$F,6,0)</f>
        <v>DESENGRAXANTE</v>
      </c>
      <c r="X2107" t="str">
        <f>VLOOKUP(L2107,'[2]tabela de preços'!$A:$G,7,0)</f>
        <v>AUTOMOTIVO</v>
      </c>
    </row>
    <row r="2108" spans="1:24" x14ac:dyDescent="0.3">
      <c r="A2108" t="s">
        <v>2100</v>
      </c>
      <c r="C2108" t="s">
        <v>2108</v>
      </c>
      <c r="D2108" s="1">
        <v>46049</v>
      </c>
      <c r="E2108" t="s">
        <v>2109</v>
      </c>
      <c r="F2108">
        <v>9</v>
      </c>
      <c r="G2108">
        <v>174</v>
      </c>
      <c r="H2108" t="str">
        <f>VLOOKUP(G2108,[1]OPERADORES!$A:$B,2,0)</f>
        <v>MIRIÃ LOBATO RODRIGUES</v>
      </c>
      <c r="I2108" t="s">
        <v>21</v>
      </c>
      <c r="J2108" t="s">
        <v>1788</v>
      </c>
      <c r="K2108" t="s">
        <v>2103</v>
      </c>
      <c r="L2108">
        <v>10298</v>
      </c>
      <c r="M2108" t="s">
        <v>85</v>
      </c>
      <c r="O2108" t="s">
        <v>11</v>
      </c>
      <c r="P2108">
        <v>5102</v>
      </c>
      <c r="Q2108">
        <v>1</v>
      </c>
      <c r="R2108">
        <v>56.89</v>
      </c>
      <c r="S2108">
        <v>56.89</v>
      </c>
      <c r="T2108">
        <v>47.38</v>
      </c>
      <c r="U2108">
        <v>16.72</v>
      </c>
      <c r="V2108" t="str">
        <f>VLOOKUP(L2108,'[2]tabela de preços'!$A:$D,4,0)</f>
        <v>ANJO</v>
      </c>
      <c r="W2108" t="str">
        <f>VLOOKUP(L2108,'[2]tabela de preços'!$A:$F,6,0)</f>
        <v>THINNER DE LIMPEZA</v>
      </c>
      <c r="X2108" t="str">
        <f>VLOOKUP(L2108,'[2]tabela de preços'!$A:$G,7,0)</f>
        <v>THINNER</v>
      </c>
    </row>
    <row r="2109" spans="1:24" x14ac:dyDescent="0.3">
      <c r="A2109" t="s">
        <v>2100</v>
      </c>
      <c r="C2109" t="s">
        <v>2108</v>
      </c>
      <c r="D2109" s="1">
        <v>46049</v>
      </c>
      <c r="E2109" t="s">
        <v>2109</v>
      </c>
      <c r="F2109">
        <v>9</v>
      </c>
      <c r="G2109">
        <v>174</v>
      </c>
      <c r="H2109" t="str">
        <f>VLOOKUP(G2109,[1]OPERADORES!$A:$B,2,0)</f>
        <v>MIRIÃ LOBATO RODRIGUES</v>
      </c>
      <c r="I2109" t="s">
        <v>21</v>
      </c>
      <c r="J2109" t="s">
        <v>1788</v>
      </c>
      <c r="K2109" t="s">
        <v>2103</v>
      </c>
      <c r="L2109">
        <v>10297</v>
      </c>
      <c r="M2109" t="s">
        <v>41</v>
      </c>
      <c r="O2109" t="s">
        <v>11</v>
      </c>
      <c r="P2109">
        <v>5102</v>
      </c>
      <c r="Q2109">
        <v>15</v>
      </c>
      <c r="R2109">
        <v>10.89</v>
      </c>
      <c r="S2109">
        <v>163.35</v>
      </c>
      <c r="T2109">
        <v>137.55000000000001</v>
      </c>
      <c r="U2109">
        <v>15.79</v>
      </c>
      <c r="V2109" t="str">
        <f>VLOOKUP(L2109,'[2]tabela de preços'!$A:$D,4,0)</f>
        <v>ANJO</v>
      </c>
      <c r="W2109" t="str">
        <f>VLOOKUP(L2109,'[2]tabela de preços'!$A:$F,6,0)</f>
        <v>THINNER DE LIMPEZA</v>
      </c>
      <c r="X2109" t="str">
        <f>VLOOKUP(L2109,'[2]tabela de preços'!$A:$G,7,0)</f>
        <v>THINNER</v>
      </c>
    </row>
    <row r="2110" spans="1:24" x14ac:dyDescent="0.3">
      <c r="A2110" t="s">
        <v>2100</v>
      </c>
      <c r="C2110" t="s">
        <v>2108</v>
      </c>
      <c r="D2110" s="1">
        <v>46049</v>
      </c>
      <c r="E2110" t="s">
        <v>2109</v>
      </c>
      <c r="F2110">
        <v>9</v>
      </c>
      <c r="G2110">
        <v>174</v>
      </c>
      <c r="H2110" t="str">
        <f>VLOOKUP(G2110,[1]OPERADORES!$A:$B,2,0)</f>
        <v>MIRIÃ LOBATO RODRIGUES</v>
      </c>
      <c r="I2110" t="s">
        <v>21</v>
      </c>
      <c r="J2110" t="s">
        <v>1788</v>
      </c>
      <c r="K2110" t="s">
        <v>2103</v>
      </c>
      <c r="L2110">
        <v>84560</v>
      </c>
      <c r="M2110" t="s">
        <v>118</v>
      </c>
      <c r="O2110" t="s">
        <v>11</v>
      </c>
      <c r="P2110">
        <v>5102</v>
      </c>
      <c r="Q2110">
        <v>2</v>
      </c>
      <c r="R2110">
        <v>47.89</v>
      </c>
      <c r="S2110">
        <v>95.78</v>
      </c>
      <c r="T2110">
        <v>78.319999999999993</v>
      </c>
      <c r="U2110">
        <v>18.23</v>
      </c>
      <c r="V2110" t="str">
        <f>VLOOKUP(L2110,'[2]tabela de preços'!$A:$D,4,0)</f>
        <v>BRASILUX</v>
      </c>
      <c r="W2110" t="str">
        <f>VLOOKUP(L2110,'[2]tabela de preços'!$A:$F,6,0)</f>
        <v>THINNER DE LIMPEZA</v>
      </c>
      <c r="X2110" t="str">
        <f>VLOOKUP(L2110,'[2]tabela de preços'!$A:$G,7,0)</f>
        <v>THINNER</v>
      </c>
    </row>
    <row r="2111" spans="1:24" x14ac:dyDescent="0.3">
      <c r="A2111" t="s">
        <v>2100</v>
      </c>
      <c r="C2111" t="s">
        <v>2108</v>
      </c>
      <c r="D2111" s="1">
        <v>46049</v>
      </c>
      <c r="E2111" t="s">
        <v>2109</v>
      </c>
      <c r="F2111">
        <v>9</v>
      </c>
      <c r="G2111">
        <v>174</v>
      </c>
      <c r="H2111" t="str">
        <f>VLOOKUP(G2111,[1]OPERADORES!$A:$B,2,0)</f>
        <v>MIRIÃ LOBATO RODRIGUES</v>
      </c>
      <c r="I2111" t="s">
        <v>21</v>
      </c>
      <c r="J2111" t="s">
        <v>1788</v>
      </c>
      <c r="K2111" t="s">
        <v>2103</v>
      </c>
      <c r="L2111">
        <v>85649</v>
      </c>
      <c r="M2111" t="s">
        <v>478</v>
      </c>
      <c r="O2111" t="s">
        <v>11</v>
      </c>
      <c r="P2111">
        <v>5403</v>
      </c>
      <c r="Q2111">
        <v>4</v>
      </c>
      <c r="R2111">
        <v>9.1199999999999992</v>
      </c>
      <c r="S2111">
        <v>36.479999999999997</v>
      </c>
      <c r="T2111">
        <v>27.68</v>
      </c>
      <c r="U2111">
        <v>24.12</v>
      </c>
      <c r="V2111" t="str">
        <f>VLOOKUP(L2111,'[2]tabela de preços'!$A:$D,4,0)</f>
        <v>UNIPEGA</v>
      </c>
      <c r="W2111" t="str">
        <f>VLOOKUP(L2111,'[2]tabela de preços'!$A:$F,6,0)</f>
        <v xml:space="preserve">SPRAYS </v>
      </c>
      <c r="X2111" t="str">
        <f>VLOOKUP(L2111,'[2]tabela de preços'!$A:$G,7,0)</f>
        <v>AUTOMOTIVO</v>
      </c>
    </row>
    <row r="2112" spans="1:24" x14ac:dyDescent="0.3">
      <c r="A2112" t="s">
        <v>2136</v>
      </c>
      <c r="C2112" t="s">
        <v>2137</v>
      </c>
      <c r="D2112" s="1">
        <v>46049</v>
      </c>
      <c r="E2112" t="s">
        <v>2138</v>
      </c>
      <c r="F2112">
        <v>9</v>
      </c>
      <c r="G2112">
        <v>145</v>
      </c>
      <c r="H2112" t="str">
        <f>VLOOKUP(G2112,[1]OPERADORES!$A:$B,2,0)</f>
        <v xml:space="preserve">FABRICIA </v>
      </c>
      <c r="I2112" t="s">
        <v>21</v>
      </c>
      <c r="J2112" t="s">
        <v>450</v>
      </c>
      <c r="K2112" t="s">
        <v>2139</v>
      </c>
      <c r="L2112">
        <v>10298</v>
      </c>
      <c r="M2112" t="s">
        <v>85</v>
      </c>
      <c r="O2112" t="s">
        <v>11</v>
      </c>
      <c r="P2112">
        <v>5102</v>
      </c>
      <c r="Q2112">
        <v>4</v>
      </c>
      <c r="R2112">
        <v>56.89</v>
      </c>
      <c r="S2112">
        <v>227.56</v>
      </c>
      <c r="T2112">
        <v>189.52</v>
      </c>
      <c r="U2112">
        <v>16.72</v>
      </c>
      <c r="V2112" t="str">
        <f>VLOOKUP(L2112,'[2]tabela de preços'!$A:$D,4,0)</f>
        <v>ANJO</v>
      </c>
      <c r="W2112" t="str">
        <f>VLOOKUP(L2112,'[2]tabela de preços'!$A:$F,6,0)</f>
        <v>THINNER DE LIMPEZA</v>
      </c>
      <c r="X2112" t="str">
        <f>VLOOKUP(L2112,'[2]tabela de preços'!$A:$G,7,0)</f>
        <v>THINNER</v>
      </c>
    </row>
    <row r="2113" spans="1:24" x14ac:dyDescent="0.3">
      <c r="A2113" t="s">
        <v>2164</v>
      </c>
      <c r="C2113" t="s">
        <v>2169</v>
      </c>
      <c r="D2113" s="1">
        <v>46049</v>
      </c>
      <c r="E2113" t="s">
        <v>2170</v>
      </c>
      <c r="F2113">
        <v>9</v>
      </c>
      <c r="G2113">
        <v>236</v>
      </c>
      <c r="H2113" t="str">
        <f>VLOOKUP(G2113,[1]OPERADORES!$A:$B,2,0)</f>
        <v>DANIEL</v>
      </c>
      <c r="I2113" t="s">
        <v>21</v>
      </c>
      <c r="J2113" t="s">
        <v>2167</v>
      </c>
      <c r="K2113" t="s">
        <v>2168</v>
      </c>
      <c r="L2113">
        <v>85328</v>
      </c>
      <c r="M2113" t="s">
        <v>605</v>
      </c>
      <c r="O2113" t="s">
        <v>11</v>
      </c>
      <c r="P2113">
        <v>5102</v>
      </c>
      <c r="Q2113">
        <v>1</v>
      </c>
      <c r="R2113">
        <v>579.12</v>
      </c>
      <c r="S2113">
        <v>579.12</v>
      </c>
      <c r="T2113">
        <v>403.43</v>
      </c>
      <c r="U2113">
        <v>30.34</v>
      </c>
      <c r="V2113" t="str">
        <f>VLOOKUP(L2113,'[2]tabela de preços'!$A:$D,4,0)</f>
        <v>BRASILUX</v>
      </c>
      <c r="W2113" t="str">
        <f>VLOOKUP(L2113,'[2]tabela de preços'!$A:$F,6,0)</f>
        <v>TINTA EM PÓ</v>
      </c>
      <c r="X2113" t="str">
        <f>VLOOKUP(L2113,'[2]tabela de preços'!$A:$G,7,0)</f>
        <v>INDUSTRIAL</v>
      </c>
    </row>
    <row r="2114" spans="1:24" x14ac:dyDescent="0.3">
      <c r="A2114" t="s">
        <v>2171</v>
      </c>
      <c r="C2114" t="s">
        <v>2202</v>
      </c>
      <c r="D2114" s="1">
        <v>46049</v>
      </c>
      <c r="E2114" t="s">
        <v>2203</v>
      </c>
      <c r="F2114">
        <v>9</v>
      </c>
      <c r="G2114">
        <v>230</v>
      </c>
      <c r="H2114" t="str">
        <f>VLOOKUP(G2114,[1]OPERADORES!$A:$B,2,0)</f>
        <v>SÔNIA</v>
      </c>
      <c r="I2114" t="s">
        <v>21</v>
      </c>
      <c r="J2114" t="s">
        <v>2174</v>
      </c>
      <c r="K2114" t="s">
        <v>2175</v>
      </c>
      <c r="L2114">
        <v>9773</v>
      </c>
      <c r="M2114" t="s">
        <v>703</v>
      </c>
      <c r="O2114" t="s">
        <v>11</v>
      </c>
      <c r="P2114">
        <v>5102</v>
      </c>
      <c r="Q2114">
        <v>1</v>
      </c>
      <c r="R2114">
        <v>95.77</v>
      </c>
      <c r="S2114">
        <v>95.77</v>
      </c>
      <c r="T2114">
        <v>72.69</v>
      </c>
      <c r="U2114">
        <v>24.1</v>
      </c>
      <c r="V2114" t="str">
        <f>VLOOKUP(L2114,'[2]tabela de preços'!$A:$D,4,0)</f>
        <v>SIKKENS</v>
      </c>
      <c r="W2114" t="str">
        <f>VLOOKUP(L2114,'[2]tabela de preços'!$A:$F,6,0)</f>
        <v>CATALISADORES INDIVIDUAS</v>
      </c>
      <c r="X2114" t="str">
        <f>VLOOKUP(L2114,'[2]tabela de preços'!$A:$G,7,0)</f>
        <v>AUTOMOTIVO</v>
      </c>
    </row>
    <row r="2115" spans="1:24" x14ac:dyDescent="0.3">
      <c r="A2115" t="s">
        <v>2171</v>
      </c>
      <c r="C2115" t="s">
        <v>2202</v>
      </c>
      <c r="D2115" s="1">
        <v>46049</v>
      </c>
      <c r="E2115" t="s">
        <v>2203</v>
      </c>
      <c r="F2115">
        <v>9</v>
      </c>
      <c r="G2115">
        <v>230</v>
      </c>
      <c r="H2115" t="str">
        <f>VLOOKUP(G2115,[1]OPERADORES!$A:$B,2,0)</f>
        <v>SÔNIA</v>
      </c>
      <c r="I2115" t="s">
        <v>21</v>
      </c>
      <c r="J2115" t="s">
        <v>2174</v>
      </c>
      <c r="K2115" t="s">
        <v>2175</v>
      </c>
      <c r="L2115">
        <v>21033</v>
      </c>
      <c r="M2115" t="s">
        <v>109</v>
      </c>
      <c r="O2115" t="s">
        <v>11</v>
      </c>
      <c r="P2115">
        <v>5102</v>
      </c>
      <c r="Q2115">
        <v>5</v>
      </c>
      <c r="R2115">
        <v>27.77</v>
      </c>
      <c r="S2115">
        <v>138.85</v>
      </c>
      <c r="T2115">
        <v>105.4</v>
      </c>
      <c r="U2115">
        <v>24.09</v>
      </c>
      <c r="V2115" t="str">
        <f>VLOOKUP(L2115,'[2]tabela de preços'!$A:$D,4,0)</f>
        <v>SHERWIN WILLIAMS</v>
      </c>
      <c r="W2115" t="str">
        <f>VLOOKUP(L2115,'[2]tabela de preços'!$A:$F,6,0)</f>
        <v>TINTAS PU</v>
      </c>
      <c r="X2115" t="str">
        <f>VLOOKUP(L2115,'[2]tabela de preços'!$A:$G,7,0)</f>
        <v>AUTOMOTIVO</v>
      </c>
    </row>
    <row r="2116" spans="1:24" x14ac:dyDescent="0.3">
      <c r="A2116" t="s">
        <v>2171</v>
      </c>
      <c r="C2116" t="s">
        <v>2202</v>
      </c>
      <c r="D2116" s="1">
        <v>46049</v>
      </c>
      <c r="E2116" t="s">
        <v>2203</v>
      </c>
      <c r="F2116">
        <v>9</v>
      </c>
      <c r="G2116">
        <v>230</v>
      </c>
      <c r="H2116" t="str">
        <f>VLOOKUP(G2116,[1]OPERADORES!$A:$B,2,0)</f>
        <v>SÔNIA</v>
      </c>
      <c r="I2116" t="s">
        <v>21</v>
      </c>
      <c r="J2116" t="s">
        <v>2174</v>
      </c>
      <c r="K2116" t="s">
        <v>2175</v>
      </c>
      <c r="L2116">
        <v>9767</v>
      </c>
      <c r="M2116" t="s">
        <v>2188</v>
      </c>
      <c r="O2116" t="s">
        <v>11</v>
      </c>
      <c r="P2116">
        <v>5403</v>
      </c>
      <c r="Q2116">
        <v>1</v>
      </c>
      <c r="R2116">
        <v>175.58</v>
      </c>
      <c r="S2116">
        <v>175.58</v>
      </c>
      <c r="T2116">
        <v>133.27000000000001</v>
      </c>
      <c r="U2116">
        <v>24.1</v>
      </c>
      <c r="V2116" t="str">
        <f>VLOOKUP(L2116,'[2]tabela de preços'!$A:$D,4,0)</f>
        <v>SIKKENS</v>
      </c>
      <c r="W2116" t="str">
        <f>VLOOKUP(L2116,'[2]tabela de preços'!$A:$F,6,0)</f>
        <v>PRIMER AUTOMOTIVO</v>
      </c>
      <c r="X2116" t="str">
        <f>VLOOKUP(L2116,'[2]tabela de preços'!$A:$G,7,0)</f>
        <v>AUTOMOTIVO</v>
      </c>
    </row>
    <row r="2117" spans="1:24" x14ac:dyDescent="0.3">
      <c r="A2117" t="s">
        <v>2306</v>
      </c>
      <c r="C2117" t="s">
        <v>2315</v>
      </c>
      <c r="D2117" s="1">
        <v>46049</v>
      </c>
      <c r="E2117" t="s">
        <v>2316</v>
      </c>
      <c r="F2117">
        <v>9</v>
      </c>
      <c r="G2117">
        <v>230</v>
      </c>
      <c r="H2117" t="str">
        <f>VLOOKUP(G2117,[1]OPERADORES!$A:$B,2,0)</f>
        <v>SÔNIA</v>
      </c>
      <c r="I2117" t="s">
        <v>21</v>
      </c>
      <c r="J2117" t="s">
        <v>2309</v>
      </c>
      <c r="K2117" t="s">
        <v>2310</v>
      </c>
      <c r="L2117">
        <v>9913</v>
      </c>
      <c r="M2117" t="s">
        <v>1510</v>
      </c>
      <c r="O2117" t="s">
        <v>11</v>
      </c>
      <c r="P2117">
        <v>5102</v>
      </c>
      <c r="Q2117">
        <v>4</v>
      </c>
      <c r="R2117">
        <v>5.31</v>
      </c>
      <c r="S2117">
        <v>21.24</v>
      </c>
      <c r="T2117">
        <v>16.12</v>
      </c>
      <c r="U2117">
        <v>24.11</v>
      </c>
      <c r="V2117" t="str">
        <f>VLOOKUP(L2117,'[2]tabela de preços'!$A:$D,4,0)</f>
        <v>WANDA</v>
      </c>
      <c r="W2117" t="str">
        <f>VLOOKUP(L2117,'[2]tabela de preços'!$A:$F,6,0)</f>
        <v>EMBALAGEM</v>
      </c>
      <c r="X2117" t="str">
        <f>VLOOKUP(L2117,'[2]tabela de preços'!$A:$G,7,0)</f>
        <v>AUTOMOTIVO</v>
      </c>
    </row>
    <row r="2118" spans="1:24" x14ac:dyDescent="0.3">
      <c r="A2118" t="s">
        <v>2306</v>
      </c>
      <c r="C2118" t="s">
        <v>2315</v>
      </c>
      <c r="D2118" s="1">
        <v>46049</v>
      </c>
      <c r="E2118" t="s">
        <v>2316</v>
      </c>
      <c r="F2118">
        <v>9</v>
      </c>
      <c r="G2118">
        <v>230</v>
      </c>
      <c r="H2118" t="str">
        <f>VLOOKUP(G2118,[1]OPERADORES!$A:$B,2,0)</f>
        <v>SÔNIA</v>
      </c>
      <c r="I2118" t="s">
        <v>21</v>
      </c>
      <c r="J2118" t="s">
        <v>2309</v>
      </c>
      <c r="K2118" t="s">
        <v>2310</v>
      </c>
      <c r="L2118">
        <v>23912</v>
      </c>
      <c r="M2118" t="s">
        <v>2317</v>
      </c>
      <c r="O2118" t="s">
        <v>11</v>
      </c>
      <c r="P2118">
        <v>5403</v>
      </c>
      <c r="Q2118">
        <v>2</v>
      </c>
      <c r="R2118">
        <v>134.94999999999999</v>
      </c>
      <c r="S2118">
        <v>269.89999999999998</v>
      </c>
      <c r="T2118">
        <v>204.86</v>
      </c>
      <c r="U2118">
        <v>24.1</v>
      </c>
      <c r="V2118" t="str">
        <f>VLOOKUP(L2118,'[2]tabela de preços'!$A:$D,4,0)</f>
        <v>SKY</v>
      </c>
      <c r="W2118" t="str">
        <f>VLOOKUP(L2118,'[2]tabela de preços'!$A:$F,6,0)</f>
        <v>ESMALTES</v>
      </c>
      <c r="X2118" t="str">
        <f>VLOOKUP(L2118,'[2]tabela de preços'!$A:$G,7,0)</f>
        <v>INDUSTRIAL</v>
      </c>
    </row>
    <row r="2119" spans="1:24" x14ac:dyDescent="0.3">
      <c r="A2119" t="s">
        <v>2306</v>
      </c>
      <c r="C2119" t="s">
        <v>2315</v>
      </c>
      <c r="D2119" s="1">
        <v>46049</v>
      </c>
      <c r="E2119" t="s">
        <v>2316</v>
      </c>
      <c r="F2119">
        <v>9</v>
      </c>
      <c r="G2119">
        <v>230</v>
      </c>
      <c r="H2119" t="str">
        <f>VLOOKUP(G2119,[1]OPERADORES!$A:$B,2,0)</f>
        <v>SÔNIA</v>
      </c>
      <c r="I2119" t="s">
        <v>21</v>
      </c>
      <c r="J2119" t="s">
        <v>2309</v>
      </c>
      <c r="K2119" t="s">
        <v>2310</v>
      </c>
      <c r="L2119">
        <v>84905</v>
      </c>
      <c r="M2119" t="s">
        <v>2318</v>
      </c>
      <c r="O2119" t="s">
        <v>11</v>
      </c>
      <c r="P2119">
        <v>5403</v>
      </c>
      <c r="Q2119">
        <v>4</v>
      </c>
      <c r="R2119">
        <v>47.69</v>
      </c>
      <c r="S2119">
        <v>190.76</v>
      </c>
      <c r="T2119">
        <v>144.80000000000001</v>
      </c>
      <c r="U2119">
        <v>24.09</v>
      </c>
      <c r="V2119" t="str">
        <f>VLOOKUP(L2119,'[2]tabela de preços'!$A:$D,4,0)</f>
        <v>BRASILUX</v>
      </c>
      <c r="W2119" t="str">
        <f>VLOOKUP(L2119,'[2]tabela de preços'!$A:$F,6,0)</f>
        <v>IMPERMEABILIZANTES</v>
      </c>
      <c r="X2119" t="str">
        <f>VLOOKUP(L2119,'[2]tabela de preços'!$A:$G,7,0)</f>
        <v>IMOBILIÁRIO</v>
      </c>
    </row>
    <row r="2120" spans="1:24" x14ac:dyDescent="0.3">
      <c r="A2120" t="s">
        <v>18</v>
      </c>
      <c r="C2120" t="s">
        <v>58</v>
      </c>
      <c r="D2120" s="1">
        <v>46050</v>
      </c>
      <c r="E2120" t="s">
        <v>59</v>
      </c>
      <c r="F2120">
        <v>9</v>
      </c>
      <c r="G2120">
        <v>236</v>
      </c>
      <c r="H2120" t="str">
        <f>VLOOKUP(G2120,[1]OPERADORES!$A:$B,2,0)</f>
        <v>DANIEL</v>
      </c>
      <c r="I2120" t="s">
        <v>21</v>
      </c>
      <c r="J2120" t="s">
        <v>22</v>
      </c>
      <c r="K2120" t="s">
        <v>23</v>
      </c>
      <c r="L2120">
        <v>85139</v>
      </c>
      <c r="M2120" t="s">
        <v>45</v>
      </c>
      <c r="O2120" t="s">
        <v>46</v>
      </c>
      <c r="P2120">
        <v>5403</v>
      </c>
      <c r="Q2120">
        <v>1</v>
      </c>
      <c r="R2120">
        <v>103.27</v>
      </c>
      <c r="S2120">
        <v>103.27</v>
      </c>
      <c r="T2120">
        <v>78.38</v>
      </c>
      <c r="U2120">
        <v>24.1</v>
      </c>
      <c r="V2120" t="str">
        <f>VLOOKUP(L2120,'[2]tabela de preços'!$A:$D,4,0)</f>
        <v>MULTILONA</v>
      </c>
      <c r="W2120" t="str">
        <f>VLOOKUP(L2120,'[2]tabela de preços'!$A:$F,6,0)</f>
        <v>LONAS</v>
      </c>
      <c r="X2120" t="str">
        <f>VLOOKUP(L2120,'[2]tabela de preços'!$A:$G,7,0)</f>
        <v>IMOBILIÁRIO</v>
      </c>
    </row>
    <row r="2121" spans="1:24" x14ac:dyDescent="0.3">
      <c r="A2121" t="s">
        <v>18</v>
      </c>
      <c r="C2121" t="s">
        <v>58</v>
      </c>
      <c r="D2121" s="1">
        <v>46050</v>
      </c>
      <c r="E2121" t="s">
        <v>59</v>
      </c>
      <c r="F2121">
        <v>9</v>
      </c>
      <c r="G2121">
        <v>236</v>
      </c>
      <c r="H2121" t="str">
        <f>VLOOKUP(G2121,[1]OPERADORES!$A:$B,2,0)</f>
        <v>DANIEL</v>
      </c>
      <c r="I2121" t="s">
        <v>21</v>
      </c>
      <c r="J2121" t="s">
        <v>22</v>
      </c>
      <c r="K2121" t="s">
        <v>23</v>
      </c>
      <c r="L2121">
        <v>85037</v>
      </c>
      <c r="M2121" t="s">
        <v>60</v>
      </c>
      <c r="O2121" t="s">
        <v>11</v>
      </c>
      <c r="P2121">
        <v>5102</v>
      </c>
      <c r="Q2121">
        <v>10</v>
      </c>
      <c r="R2121">
        <v>6</v>
      </c>
      <c r="S2121">
        <v>60</v>
      </c>
      <c r="T2121">
        <v>47.8</v>
      </c>
      <c r="U2121">
        <v>20.329999999999998</v>
      </c>
      <c r="V2121" t="str">
        <f>VLOOKUP(L2121,'[2]tabela de preços'!$A:$D,4,0)</f>
        <v>ATLAS</v>
      </c>
      <c r="W2121" t="str">
        <f>VLOOKUP(L2121,'[2]tabela de preços'!$A:$F,6,0)</f>
        <v>ROLOS / TRINCHAS / PINCÉIS / ESPÁTULAS</v>
      </c>
      <c r="X2121" t="str">
        <f>VLOOKUP(L2121,'[2]tabela de preços'!$A:$G,7,0)</f>
        <v>IMOBILIÁRIO</v>
      </c>
    </row>
    <row r="2122" spans="1:24" x14ac:dyDescent="0.3">
      <c r="A2122" t="s">
        <v>101</v>
      </c>
      <c r="C2122" t="s">
        <v>119</v>
      </c>
      <c r="D2122" s="1">
        <v>46050</v>
      </c>
      <c r="E2122" t="s">
        <v>120</v>
      </c>
      <c r="F2122">
        <v>9</v>
      </c>
      <c r="G2122">
        <v>236</v>
      </c>
      <c r="H2122" t="str">
        <f>VLOOKUP(G2122,[1]OPERADORES!$A:$B,2,0)</f>
        <v>DANIEL</v>
      </c>
      <c r="I2122" t="s">
        <v>21</v>
      </c>
      <c r="J2122" t="s">
        <v>104</v>
      </c>
      <c r="K2122" t="s">
        <v>105</v>
      </c>
      <c r="L2122">
        <v>84609</v>
      </c>
      <c r="M2122" t="s">
        <v>121</v>
      </c>
      <c r="O2122" t="s">
        <v>11</v>
      </c>
      <c r="P2122">
        <v>5403</v>
      </c>
      <c r="Q2122">
        <v>1</v>
      </c>
      <c r="R2122">
        <v>73.39</v>
      </c>
      <c r="S2122">
        <v>73.39</v>
      </c>
      <c r="T2122">
        <v>39.24</v>
      </c>
      <c r="U2122">
        <v>46.53</v>
      </c>
      <c r="V2122" t="str">
        <f>VLOOKUP(L2122,'[2]tabela de preços'!$A:$D,4,0)</f>
        <v>BRASILUX</v>
      </c>
      <c r="W2122" t="str">
        <f>VLOOKUP(L2122,'[2]tabela de preços'!$A:$F,6,0)</f>
        <v>BASES IMOBILIÁRIAS</v>
      </c>
      <c r="X2122" t="str">
        <f>VLOOKUP(L2122,'[2]tabela de preços'!$A:$G,7,0)</f>
        <v>IMOBILIÁRIO</v>
      </c>
    </row>
    <row r="2123" spans="1:24" x14ac:dyDescent="0.3">
      <c r="A2123" t="s">
        <v>101</v>
      </c>
      <c r="C2123" t="s">
        <v>119</v>
      </c>
      <c r="D2123" s="1">
        <v>46050</v>
      </c>
      <c r="E2123" t="s">
        <v>120</v>
      </c>
      <c r="F2123">
        <v>9</v>
      </c>
      <c r="G2123">
        <v>236</v>
      </c>
      <c r="H2123" t="str">
        <f>VLOOKUP(G2123,[1]OPERADORES!$A:$B,2,0)</f>
        <v>DANIEL</v>
      </c>
      <c r="I2123" t="s">
        <v>21</v>
      </c>
      <c r="J2123" t="s">
        <v>104</v>
      </c>
      <c r="K2123" t="s">
        <v>105</v>
      </c>
      <c r="L2123">
        <v>21037</v>
      </c>
      <c r="M2123" t="s">
        <v>108</v>
      </c>
      <c r="O2123" t="s">
        <v>11</v>
      </c>
      <c r="P2123">
        <v>5102</v>
      </c>
      <c r="Q2123">
        <v>2</v>
      </c>
      <c r="R2123">
        <v>17.03</v>
      </c>
      <c r="S2123">
        <v>34.06</v>
      </c>
      <c r="T2123">
        <v>25.84</v>
      </c>
      <c r="U2123">
        <v>24.13</v>
      </c>
      <c r="V2123" t="str">
        <f>VLOOKUP(L2123,'[2]tabela de preços'!$A:$D,4,0)</f>
        <v>SHERWIN WILLIAMS</v>
      </c>
      <c r="W2123" t="str">
        <f>VLOOKUP(L2123,'[2]tabela de preços'!$A:$F,6,0)</f>
        <v>CATALISADORES INDIVIDUAS</v>
      </c>
      <c r="X2123" t="str">
        <f>VLOOKUP(L2123,'[2]tabela de preços'!$A:$G,7,0)</f>
        <v>AUTOMOTIVO</v>
      </c>
    </row>
    <row r="2124" spans="1:24" x14ac:dyDescent="0.3">
      <c r="A2124" t="s">
        <v>101</v>
      </c>
      <c r="C2124" t="s">
        <v>119</v>
      </c>
      <c r="D2124" s="1">
        <v>46050</v>
      </c>
      <c r="E2124" t="s">
        <v>120</v>
      </c>
      <c r="F2124">
        <v>9</v>
      </c>
      <c r="G2124">
        <v>236</v>
      </c>
      <c r="H2124" t="str">
        <f>VLOOKUP(G2124,[1]OPERADORES!$A:$B,2,0)</f>
        <v>DANIEL</v>
      </c>
      <c r="I2124" t="s">
        <v>21</v>
      </c>
      <c r="J2124" t="s">
        <v>104</v>
      </c>
      <c r="K2124" t="s">
        <v>105</v>
      </c>
      <c r="L2124">
        <v>21033</v>
      </c>
      <c r="M2124" t="s">
        <v>109</v>
      </c>
      <c r="O2124" t="s">
        <v>11</v>
      </c>
      <c r="P2124">
        <v>5102</v>
      </c>
      <c r="Q2124">
        <v>2</v>
      </c>
      <c r="R2124">
        <v>27.77</v>
      </c>
      <c r="S2124">
        <v>55.54</v>
      </c>
      <c r="T2124">
        <v>42.16</v>
      </c>
      <c r="U2124">
        <v>24.09</v>
      </c>
      <c r="V2124" t="str">
        <f>VLOOKUP(L2124,'[2]tabela de preços'!$A:$D,4,0)</f>
        <v>SHERWIN WILLIAMS</v>
      </c>
      <c r="W2124" t="str">
        <f>VLOOKUP(L2124,'[2]tabela de preços'!$A:$F,6,0)</f>
        <v>TINTAS PU</v>
      </c>
      <c r="X2124" t="str">
        <f>VLOOKUP(L2124,'[2]tabela de preços'!$A:$G,7,0)</f>
        <v>AUTOMOTIVO</v>
      </c>
    </row>
    <row r="2125" spans="1:24" x14ac:dyDescent="0.3">
      <c r="A2125" t="s">
        <v>101</v>
      </c>
      <c r="C2125" t="s">
        <v>119</v>
      </c>
      <c r="D2125" s="1">
        <v>46050</v>
      </c>
      <c r="E2125" t="s">
        <v>120</v>
      </c>
      <c r="F2125">
        <v>9</v>
      </c>
      <c r="G2125">
        <v>236</v>
      </c>
      <c r="H2125" t="str">
        <f>VLOOKUP(G2125,[1]OPERADORES!$A:$B,2,0)</f>
        <v>DANIEL</v>
      </c>
      <c r="I2125" t="s">
        <v>21</v>
      </c>
      <c r="J2125" t="s">
        <v>104</v>
      </c>
      <c r="K2125" t="s">
        <v>105</v>
      </c>
      <c r="L2125">
        <v>16</v>
      </c>
      <c r="M2125" t="s">
        <v>122</v>
      </c>
      <c r="O2125" t="s">
        <v>11</v>
      </c>
      <c r="P2125">
        <v>5102</v>
      </c>
      <c r="Q2125">
        <v>2</v>
      </c>
      <c r="R2125">
        <v>3</v>
      </c>
      <c r="S2125">
        <v>6</v>
      </c>
      <c r="T2125">
        <v>4.4000000000000004</v>
      </c>
      <c r="U2125">
        <v>26.67</v>
      </c>
      <c r="V2125" t="str">
        <f>VLOOKUP(L2125,'[2]tabela de preços'!$A:$D,4,0)</f>
        <v>3M</v>
      </c>
      <c r="W2125" t="str">
        <f>VLOOKUP(L2125,'[2]tabela de preços'!$A:$F,6,0)</f>
        <v>LIXA DÁGUA</v>
      </c>
      <c r="X2125" t="str">
        <f>VLOOKUP(L2125,'[2]tabela de preços'!$A:$G,7,0)</f>
        <v>AUTOMOTIVO</v>
      </c>
    </row>
    <row r="2126" spans="1:24" x14ac:dyDescent="0.3">
      <c r="A2126" t="s">
        <v>101</v>
      </c>
      <c r="C2126" t="s">
        <v>119</v>
      </c>
      <c r="D2126" s="1">
        <v>46050</v>
      </c>
      <c r="E2126" t="s">
        <v>120</v>
      </c>
      <c r="F2126">
        <v>9</v>
      </c>
      <c r="G2126">
        <v>236</v>
      </c>
      <c r="H2126" t="str">
        <f>VLOOKUP(G2126,[1]OPERADORES!$A:$B,2,0)</f>
        <v>DANIEL</v>
      </c>
      <c r="I2126" t="s">
        <v>21</v>
      </c>
      <c r="J2126" t="s">
        <v>104</v>
      </c>
      <c r="K2126" t="s">
        <v>105</v>
      </c>
      <c r="L2126">
        <v>23465</v>
      </c>
      <c r="M2126" t="s">
        <v>110</v>
      </c>
      <c r="O2126" t="s">
        <v>11</v>
      </c>
      <c r="P2126">
        <v>5102</v>
      </c>
      <c r="Q2126">
        <v>10</v>
      </c>
      <c r="R2126">
        <v>3.76</v>
      </c>
      <c r="S2126">
        <v>37.6</v>
      </c>
      <c r="T2126">
        <v>28.5</v>
      </c>
      <c r="U2126">
        <v>24.2</v>
      </c>
      <c r="V2126" t="str">
        <f>VLOOKUP(L2126,'[2]tabela de preços'!$A:$D,4,0)</f>
        <v>3M</v>
      </c>
      <c r="W2126" t="str">
        <f>VLOOKUP(L2126,'[2]tabela de preços'!$A:$F,6,0)</f>
        <v>EPI´S</v>
      </c>
      <c r="X2126" t="str">
        <f>VLOOKUP(L2126,'[2]tabela de preços'!$A:$G,7,0)</f>
        <v>AUTOMOTIVO</v>
      </c>
    </row>
    <row r="2127" spans="1:24" x14ac:dyDescent="0.3">
      <c r="A2127" t="s">
        <v>123</v>
      </c>
      <c r="C2127" t="s">
        <v>161</v>
      </c>
      <c r="D2127" s="1">
        <v>46050</v>
      </c>
      <c r="E2127" t="s">
        <v>162</v>
      </c>
      <c r="F2127">
        <v>9</v>
      </c>
      <c r="G2127">
        <v>174</v>
      </c>
      <c r="H2127" t="str">
        <f>VLOOKUP(G2127,[1]OPERADORES!$A:$B,2,0)</f>
        <v>MIRIÃ LOBATO RODRIGUES</v>
      </c>
      <c r="I2127" t="s">
        <v>126</v>
      </c>
      <c r="J2127" t="s">
        <v>127</v>
      </c>
      <c r="K2127" t="s">
        <v>128</v>
      </c>
      <c r="L2127">
        <v>84557</v>
      </c>
      <c r="M2127" t="s">
        <v>116</v>
      </c>
      <c r="O2127" t="s">
        <v>11</v>
      </c>
      <c r="P2127">
        <v>6102</v>
      </c>
      <c r="Q2127">
        <v>6</v>
      </c>
      <c r="R2127">
        <v>17.489999999999998</v>
      </c>
      <c r="S2127">
        <v>104.94</v>
      </c>
      <c r="T2127">
        <v>83.76</v>
      </c>
      <c r="U2127">
        <v>20.18</v>
      </c>
      <c r="V2127" t="str">
        <f>VLOOKUP(L2127,'[2]tabela de preços'!$A:$D,4,0)</f>
        <v>BRASILUX</v>
      </c>
      <c r="W2127" t="str">
        <f>VLOOKUP(L2127,'[2]tabela de preços'!$A:$F,6,0)</f>
        <v>DILUENTE</v>
      </c>
      <c r="X2127" t="str">
        <f>VLOOKUP(L2127,'[2]tabela de preços'!$A:$G,7,0)</f>
        <v>AUTOMOTIVO</v>
      </c>
    </row>
    <row r="2128" spans="1:24" x14ac:dyDescent="0.3">
      <c r="A2128" t="s">
        <v>123</v>
      </c>
      <c r="C2128" t="s">
        <v>161</v>
      </c>
      <c r="D2128" s="1">
        <v>46050</v>
      </c>
      <c r="E2128" t="s">
        <v>162</v>
      </c>
      <c r="F2128">
        <v>9</v>
      </c>
      <c r="G2128">
        <v>174</v>
      </c>
      <c r="H2128" t="str">
        <f>VLOOKUP(G2128,[1]OPERADORES!$A:$B,2,0)</f>
        <v>MIRIÃ LOBATO RODRIGUES</v>
      </c>
      <c r="I2128" t="s">
        <v>126</v>
      </c>
      <c r="J2128" t="s">
        <v>127</v>
      </c>
      <c r="K2128" t="s">
        <v>128</v>
      </c>
      <c r="L2128">
        <v>5</v>
      </c>
      <c r="M2128" t="s">
        <v>147</v>
      </c>
      <c r="O2128" t="s">
        <v>11</v>
      </c>
      <c r="P2128">
        <v>6102</v>
      </c>
      <c r="Q2128">
        <v>5</v>
      </c>
      <c r="R2128">
        <v>5.15</v>
      </c>
      <c r="S2128">
        <v>25.75</v>
      </c>
      <c r="T2128">
        <v>19.55</v>
      </c>
      <c r="U2128">
        <v>24.08</v>
      </c>
      <c r="V2128" t="str">
        <f>VLOOKUP(L2128,'[2]tabela de preços'!$A:$D,4,0)</f>
        <v>BRILHO ESTOPA</v>
      </c>
      <c r="W2128" t="str">
        <f>VLOOKUP(L2128,'[2]tabela de preços'!$A:$F,6,0)</f>
        <v>ESTOPAS</v>
      </c>
      <c r="X2128" t="str">
        <f>VLOOKUP(L2128,'[2]tabela de preços'!$A:$G,7,0)</f>
        <v>AUTOMOTIVO</v>
      </c>
    </row>
    <row r="2129" spans="1:24" x14ac:dyDescent="0.3">
      <c r="A2129" t="s">
        <v>123</v>
      </c>
      <c r="C2129" t="s">
        <v>161</v>
      </c>
      <c r="D2129" s="1">
        <v>46050</v>
      </c>
      <c r="E2129" t="s">
        <v>162</v>
      </c>
      <c r="F2129">
        <v>9</v>
      </c>
      <c r="G2129">
        <v>174</v>
      </c>
      <c r="H2129" t="str">
        <f>VLOOKUP(G2129,[1]OPERADORES!$A:$B,2,0)</f>
        <v>MIRIÃ LOBATO RODRIGUES</v>
      </c>
      <c r="I2129" t="s">
        <v>126</v>
      </c>
      <c r="J2129" t="s">
        <v>127</v>
      </c>
      <c r="K2129" t="s">
        <v>128</v>
      </c>
      <c r="L2129">
        <v>86995</v>
      </c>
      <c r="M2129" t="s">
        <v>37</v>
      </c>
      <c r="O2129" t="s">
        <v>11</v>
      </c>
      <c r="P2129">
        <v>6102</v>
      </c>
      <c r="Q2129">
        <v>3</v>
      </c>
      <c r="R2129">
        <v>7.29</v>
      </c>
      <c r="S2129">
        <v>21.87</v>
      </c>
      <c r="T2129">
        <v>17.489999999999998</v>
      </c>
      <c r="U2129">
        <v>20.03</v>
      </c>
      <c r="V2129" t="str">
        <f>VLOOKUP(L2129,'[2]tabela de preços'!$A:$D,4,0)</f>
        <v>AUTOAMERICA</v>
      </c>
      <c r="W2129" t="str">
        <f>VLOOKUP(L2129,'[2]tabela de preços'!$A:$F,6,0)</f>
        <v>FLANELAS / PANOS</v>
      </c>
      <c r="X2129" t="str">
        <f>VLOOKUP(L2129,'[2]tabela de preços'!$A:$G,7,0)</f>
        <v>AUTOMOTIVO</v>
      </c>
    </row>
    <row r="2130" spans="1:24" x14ac:dyDescent="0.3">
      <c r="A2130" t="s">
        <v>123</v>
      </c>
      <c r="C2130" t="s">
        <v>161</v>
      </c>
      <c r="D2130" s="1">
        <v>46050</v>
      </c>
      <c r="E2130" t="s">
        <v>162</v>
      </c>
      <c r="F2130">
        <v>9</v>
      </c>
      <c r="G2130">
        <v>174</v>
      </c>
      <c r="H2130" t="str">
        <f>VLOOKUP(G2130,[1]OPERADORES!$A:$B,2,0)</f>
        <v>MIRIÃ LOBATO RODRIGUES</v>
      </c>
      <c r="I2130" t="s">
        <v>126</v>
      </c>
      <c r="J2130" t="s">
        <v>127</v>
      </c>
      <c r="K2130" t="s">
        <v>128</v>
      </c>
      <c r="L2130">
        <v>10277</v>
      </c>
      <c r="M2130" t="s">
        <v>135</v>
      </c>
      <c r="O2130" t="s">
        <v>11</v>
      </c>
      <c r="P2130">
        <v>6102</v>
      </c>
      <c r="Q2130">
        <v>6</v>
      </c>
      <c r="R2130">
        <v>15.89</v>
      </c>
      <c r="S2130">
        <v>95.34</v>
      </c>
      <c r="T2130">
        <v>77.28</v>
      </c>
      <c r="U2130">
        <v>18.940000000000001</v>
      </c>
      <c r="V2130" t="str">
        <f>VLOOKUP(L2130,'[2]tabela de preços'!$A:$D,4,0)</f>
        <v>RETOQUE</v>
      </c>
      <c r="W2130" t="str">
        <f>VLOOKUP(L2130,'[2]tabela de preços'!$A:$F,6,0)</f>
        <v xml:space="preserve">COLA  PLÁSTICA </v>
      </c>
      <c r="X2130" t="str">
        <f>VLOOKUP(L2130,'[2]tabela de preços'!$A:$G,7,0)</f>
        <v>AUTOMOTIVO</v>
      </c>
    </row>
    <row r="2131" spans="1:24" x14ac:dyDescent="0.3">
      <c r="A2131" t="s">
        <v>123</v>
      </c>
      <c r="C2131" t="s">
        <v>161</v>
      </c>
      <c r="D2131" s="1">
        <v>46050</v>
      </c>
      <c r="E2131" t="s">
        <v>162</v>
      </c>
      <c r="F2131">
        <v>9</v>
      </c>
      <c r="G2131">
        <v>174</v>
      </c>
      <c r="H2131" t="str">
        <f>VLOOKUP(G2131,[1]OPERADORES!$A:$B,2,0)</f>
        <v>MIRIÃ LOBATO RODRIGUES</v>
      </c>
      <c r="I2131" t="s">
        <v>126</v>
      </c>
      <c r="J2131" t="s">
        <v>127</v>
      </c>
      <c r="K2131" t="s">
        <v>128</v>
      </c>
      <c r="L2131">
        <v>20846</v>
      </c>
      <c r="M2131" t="s">
        <v>163</v>
      </c>
      <c r="O2131" t="s">
        <v>11</v>
      </c>
      <c r="P2131">
        <v>6102</v>
      </c>
      <c r="Q2131">
        <v>2</v>
      </c>
      <c r="R2131">
        <v>32.44</v>
      </c>
      <c r="S2131">
        <v>64.88</v>
      </c>
      <c r="T2131">
        <v>49.24</v>
      </c>
      <c r="U2131">
        <v>24.11</v>
      </c>
      <c r="V2131" t="str">
        <f>VLOOKUP(L2131,'[2]tabela de preços'!$A:$D,4,0)</f>
        <v>SHERWIN WILLIAMS</v>
      </c>
      <c r="W2131" t="str">
        <f>VLOOKUP(L2131,'[2]tabela de preços'!$A:$F,6,0)</f>
        <v>TINTAS POLIÉSTER</v>
      </c>
      <c r="X2131" t="str">
        <f>VLOOKUP(L2131,'[2]tabela de preços'!$A:$G,7,0)</f>
        <v>AUTOMOTIVO</v>
      </c>
    </row>
    <row r="2132" spans="1:24" x14ac:dyDescent="0.3">
      <c r="A2132" t="s">
        <v>123</v>
      </c>
      <c r="C2132" t="s">
        <v>161</v>
      </c>
      <c r="D2132" s="1">
        <v>46050</v>
      </c>
      <c r="E2132" t="s">
        <v>162</v>
      </c>
      <c r="F2132">
        <v>9</v>
      </c>
      <c r="G2132">
        <v>174</v>
      </c>
      <c r="H2132" t="str">
        <f>VLOOKUP(G2132,[1]OPERADORES!$A:$B,2,0)</f>
        <v>MIRIÃ LOBATO RODRIGUES</v>
      </c>
      <c r="I2132" t="s">
        <v>126</v>
      </c>
      <c r="J2132" t="s">
        <v>127</v>
      </c>
      <c r="K2132" t="s">
        <v>128</v>
      </c>
      <c r="L2132">
        <v>20817</v>
      </c>
      <c r="M2132" t="s">
        <v>153</v>
      </c>
      <c r="O2132" t="s">
        <v>11</v>
      </c>
      <c r="P2132">
        <v>6102</v>
      </c>
      <c r="Q2132">
        <v>2</v>
      </c>
      <c r="R2132">
        <v>22.89</v>
      </c>
      <c r="S2132">
        <v>45.78</v>
      </c>
      <c r="T2132">
        <v>37.24</v>
      </c>
      <c r="U2132">
        <v>18.649999999999999</v>
      </c>
      <c r="V2132" t="str">
        <f>VLOOKUP(L2132,'[2]tabela de preços'!$A:$D,4,0)</f>
        <v>AUTO AMERICA</v>
      </c>
      <c r="W2132" t="str">
        <f>VLOOKUP(L2132,'[2]tabela de preços'!$A:$F,6,0)</f>
        <v>MASSA DE POLIR</v>
      </c>
      <c r="X2132" t="str">
        <f>VLOOKUP(L2132,'[2]tabela de preços'!$A:$G,7,0)</f>
        <v>AUTOMOTIVO</v>
      </c>
    </row>
    <row r="2133" spans="1:24" x14ac:dyDescent="0.3">
      <c r="A2133" t="s">
        <v>123</v>
      </c>
      <c r="C2133" t="s">
        <v>161</v>
      </c>
      <c r="D2133" s="1">
        <v>46050</v>
      </c>
      <c r="E2133" t="s">
        <v>162</v>
      </c>
      <c r="F2133">
        <v>9</v>
      </c>
      <c r="G2133">
        <v>174</v>
      </c>
      <c r="H2133" t="str">
        <f>VLOOKUP(G2133,[1]OPERADORES!$A:$B,2,0)</f>
        <v>MIRIÃ LOBATO RODRIGUES</v>
      </c>
      <c r="I2133" t="s">
        <v>126</v>
      </c>
      <c r="J2133" t="s">
        <v>127</v>
      </c>
      <c r="K2133" t="s">
        <v>128</v>
      </c>
      <c r="L2133">
        <v>23267</v>
      </c>
      <c r="M2133" t="s">
        <v>164</v>
      </c>
      <c r="O2133" t="s">
        <v>11</v>
      </c>
      <c r="P2133">
        <v>6102</v>
      </c>
      <c r="Q2133">
        <v>5</v>
      </c>
      <c r="R2133">
        <v>22.89</v>
      </c>
      <c r="S2133">
        <v>114.45</v>
      </c>
      <c r="T2133">
        <v>97.7</v>
      </c>
      <c r="U2133">
        <v>14.64</v>
      </c>
      <c r="V2133" t="str">
        <f>VLOOKUP(L2133,'[2]tabela de preços'!$A:$D,4,0)</f>
        <v>ANJO</v>
      </c>
      <c r="W2133" t="str">
        <f>VLOOKUP(L2133,'[2]tabela de preços'!$A:$F,6,0)</f>
        <v>MASSA POLIÉSTER</v>
      </c>
      <c r="X2133" t="str">
        <f>VLOOKUP(L2133,'[2]tabela de preços'!$A:$G,7,0)</f>
        <v>AUTOMOTIVO</v>
      </c>
    </row>
    <row r="2134" spans="1:24" x14ac:dyDescent="0.3">
      <c r="A2134" t="s">
        <v>123</v>
      </c>
      <c r="C2134" t="s">
        <v>161</v>
      </c>
      <c r="D2134" s="1">
        <v>46050</v>
      </c>
      <c r="E2134" t="s">
        <v>162</v>
      </c>
      <c r="F2134">
        <v>9</v>
      </c>
      <c r="G2134">
        <v>174</v>
      </c>
      <c r="H2134" t="str">
        <f>VLOOKUP(G2134,[1]OPERADORES!$A:$B,2,0)</f>
        <v>MIRIÃ LOBATO RODRIGUES</v>
      </c>
      <c r="I2134" t="s">
        <v>126</v>
      </c>
      <c r="J2134" t="s">
        <v>127</v>
      </c>
      <c r="K2134" t="s">
        <v>128</v>
      </c>
      <c r="L2134">
        <v>10297</v>
      </c>
      <c r="M2134" t="s">
        <v>41</v>
      </c>
      <c r="O2134" t="s">
        <v>11</v>
      </c>
      <c r="P2134">
        <v>6102</v>
      </c>
      <c r="Q2134">
        <v>4</v>
      </c>
      <c r="R2134">
        <v>10.89</v>
      </c>
      <c r="S2134">
        <v>43.56</v>
      </c>
      <c r="T2134">
        <v>36.68</v>
      </c>
      <c r="U2134">
        <v>15.79</v>
      </c>
      <c r="V2134" t="str">
        <f>VLOOKUP(L2134,'[2]tabela de preços'!$A:$D,4,0)</f>
        <v>ANJO</v>
      </c>
      <c r="W2134" t="str">
        <f>VLOOKUP(L2134,'[2]tabela de preços'!$A:$F,6,0)</f>
        <v>THINNER DE LIMPEZA</v>
      </c>
      <c r="X2134" t="str">
        <f>VLOOKUP(L2134,'[2]tabela de preços'!$A:$G,7,0)</f>
        <v>THINNER</v>
      </c>
    </row>
    <row r="2135" spans="1:24" x14ac:dyDescent="0.3">
      <c r="A2135" t="s">
        <v>208</v>
      </c>
      <c r="C2135" t="s">
        <v>231</v>
      </c>
      <c r="D2135" s="1">
        <v>46050</v>
      </c>
      <c r="E2135" t="s">
        <v>232</v>
      </c>
      <c r="F2135">
        <v>9</v>
      </c>
      <c r="G2135">
        <v>236</v>
      </c>
      <c r="H2135" t="str">
        <f>VLOOKUP(G2135,[1]OPERADORES!$A:$B,2,0)</f>
        <v>DANIEL</v>
      </c>
      <c r="I2135" t="s">
        <v>21</v>
      </c>
      <c r="J2135" t="s">
        <v>211</v>
      </c>
      <c r="K2135" t="s">
        <v>212</v>
      </c>
      <c r="L2135">
        <v>24248</v>
      </c>
      <c r="M2135" t="s">
        <v>107</v>
      </c>
      <c r="O2135" t="s">
        <v>11</v>
      </c>
      <c r="P2135">
        <v>5102</v>
      </c>
      <c r="Q2135">
        <v>1</v>
      </c>
      <c r="R2135">
        <v>8</v>
      </c>
      <c r="S2135">
        <v>8</v>
      </c>
      <c r="T2135">
        <v>6.5</v>
      </c>
      <c r="U2135">
        <v>18.75</v>
      </c>
      <c r="V2135" t="str">
        <f>VLOOKUP(L2135,'[2]tabela de preços'!$A:$D,4,0)</f>
        <v>SHERWIN WILLIAMS</v>
      </c>
      <c r="W2135" t="str">
        <f>VLOOKUP(L2135,'[2]tabela de preços'!$A:$F,6,0)</f>
        <v>PRIMER AUTOMOTIVO</v>
      </c>
      <c r="X2135" t="str">
        <f>VLOOKUP(L2135,'[2]tabela de preços'!$A:$G,7,0)</f>
        <v>AUTOMOTIVO</v>
      </c>
    </row>
    <row r="2136" spans="1:24" x14ac:dyDescent="0.3">
      <c r="A2136" t="s">
        <v>208</v>
      </c>
      <c r="C2136" t="s">
        <v>231</v>
      </c>
      <c r="D2136" s="1">
        <v>46050</v>
      </c>
      <c r="E2136" t="s">
        <v>232</v>
      </c>
      <c r="F2136">
        <v>9</v>
      </c>
      <c r="G2136">
        <v>236</v>
      </c>
      <c r="H2136" t="str">
        <f>VLOOKUP(G2136,[1]OPERADORES!$A:$B,2,0)</f>
        <v>DANIEL</v>
      </c>
      <c r="I2136" t="s">
        <v>21</v>
      </c>
      <c r="J2136" t="s">
        <v>211</v>
      </c>
      <c r="K2136" t="s">
        <v>212</v>
      </c>
      <c r="L2136">
        <v>22684</v>
      </c>
      <c r="M2136" t="s">
        <v>73</v>
      </c>
      <c r="O2136" t="s">
        <v>11</v>
      </c>
      <c r="P2136">
        <v>5102</v>
      </c>
      <c r="Q2136">
        <v>6</v>
      </c>
      <c r="R2136">
        <v>3.65</v>
      </c>
      <c r="S2136">
        <v>21.9</v>
      </c>
      <c r="T2136">
        <v>18.48</v>
      </c>
      <c r="U2136">
        <v>15.62</v>
      </c>
      <c r="V2136" t="str">
        <f>VLOOKUP(L2136,'[2]tabela de preços'!$A:$D,4,0)</f>
        <v>3M</v>
      </c>
      <c r="W2136" t="str">
        <f>VLOOKUP(L2136,'[2]tabela de preços'!$A:$F,6,0)</f>
        <v>FITA AUTOMOTIVA</v>
      </c>
      <c r="X2136" t="str">
        <f>VLOOKUP(L2136,'[2]tabela de preços'!$A:$G,7,0)</f>
        <v>AUTOMOTIVO</v>
      </c>
    </row>
    <row r="2137" spans="1:24" x14ac:dyDescent="0.3">
      <c r="A2137" t="s">
        <v>208</v>
      </c>
      <c r="C2137" t="s">
        <v>231</v>
      </c>
      <c r="D2137" s="1">
        <v>46050</v>
      </c>
      <c r="E2137" t="s">
        <v>232</v>
      </c>
      <c r="F2137">
        <v>9</v>
      </c>
      <c r="G2137">
        <v>236</v>
      </c>
      <c r="H2137" t="str">
        <f>VLOOKUP(G2137,[1]OPERADORES!$A:$B,2,0)</f>
        <v>DANIEL</v>
      </c>
      <c r="I2137" t="s">
        <v>21</v>
      </c>
      <c r="J2137" t="s">
        <v>211</v>
      </c>
      <c r="K2137" t="s">
        <v>212</v>
      </c>
      <c r="L2137">
        <v>24241</v>
      </c>
      <c r="M2137" t="s">
        <v>233</v>
      </c>
      <c r="O2137" t="s">
        <v>11</v>
      </c>
      <c r="P2137">
        <v>5102</v>
      </c>
      <c r="Q2137">
        <v>1</v>
      </c>
      <c r="R2137">
        <v>12.2</v>
      </c>
      <c r="S2137">
        <v>12.2</v>
      </c>
      <c r="T2137">
        <v>9.26</v>
      </c>
      <c r="U2137">
        <v>24.1</v>
      </c>
      <c r="V2137" t="str">
        <f>VLOOKUP(L2137,'[2]tabela de preços'!$A:$D,4,0)</f>
        <v>ADERE</v>
      </c>
      <c r="W2137" t="str">
        <f>VLOOKUP(L2137,'[2]tabela de preços'!$A:$F,6,0)</f>
        <v>FITA AUTOMOTIVA</v>
      </c>
      <c r="X2137" t="str">
        <f>VLOOKUP(L2137,'[2]tabela de preços'!$A:$G,7,0)</f>
        <v>AUTOMOTIVO</v>
      </c>
    </row>
    <row r="2138" spans="1:24" x14ac:dyDescent="0.3">
      <c r="A2138" t="s">
        <v>208</v>
      </c>
      <c r="C2138" t="s">
        <v>231</v>
      </c>
      <c r="D2138" s="1">
        <v>46050</v>
      </c>
      <c r="E2138" t="s">
        <v>232</v>
      </c>
      <c r="F2138">
        <v>9</v>
      </c>
      <c r="G2138">
        <v>236</v>
      </c>
      <c r="H2138" t="str">
        <f>VLOOKUP(G2138,[1]OPERADORES!$A:$B,2,0)</f>
        <v>DANIEL</v>
      </c>
      <c r="I2138" t="s">
        <v>21</v>
      </c>
      <c r="J2138" t="s">
        <v>211</v>
      </c>
      <c r="K2138" t="s">
        <v>212</v>
      </c>
      <c r="L2138">
        <v>10277</v>
      </c>
      <c r="M2138" t="s">
        <v>135</v>
      </c>
      <c r="O2138" t="s">
        <v>11</v>
      </c>
      <c r="P2138">
        <v>5102</v>
      </c>
      <c r="Q2138">
        <v>4</v>
      </c>
      <c r="R2138">
        <v>15.89</v>
      </c>
      <c r="S2138">
        <v>63.56</v>
      </c>
      <c r="T2138">
        <v>51.52</v>
      </c>
      <c r="U2138">
        <v>18.940000000000001</v>
      </c>
      <c r="V2138" t="str">
        <f>VLOOKUP(L2138,'[2]tabela de preços'!$A:$D,4,0)</f>
        <v>RETOQUE</v>
      </c>
      <c r="W2138" t="str">
        <f>VLOOKUP(L2138,'[2]tabela de preços'!$A:$F,6,0)</f>
        <v xml:space="preserve">COLA  PLÁSTICA </v>
      </c>
      <c r="X2138" t="str">
        <f>VLOOKUP(L2138,'[2]tabela de preços'!$A:$G,7,0)</f>
        <v>AUTOMOTIVO</v>
      </c>
    </row>
    <row r="2139" spans="1:24" x14ac:dyDescent="0.3">
      <c r="A2139" t="s">
        <v>208</v>
      </c>
      <c r="C2139" t="s">
        <v>231</v>
      </c>
      <c r="D2139" s="1">
        <v>46050</v>
      </c>
      <c r="E2139" t="s">
        <v>232</v>
      </c>
      <c r="F2139">
        <v>9</v>
      </c>
      <c r="G2139">
        <v>236</v>
      </c>
      <c r="H2139" t="str">
        <f>VLOOKUP(G2139,[1]OPERADORES!$A:$B,2,0)</f>
        <v>DANIEL</v>
      </c>
      <c r="I2139" t="s">
        <v>21</v>
      </c>
      <c r="J2139" t="s">
        <v>211</v>
      </c>
      <c r="K2139" t="s">
        <v>212</v>
      </c>
      <c r="L2139">
        <v>23602</v>
      </c>
      <c r="M2139" t="s">
        <v>215</v>
      </c>
      <c r="O2139" t="s">
        <v>11</v>
      </c>
      <c r="P2139">
        <v>5403</v>
      </c>
      <c r="Q2139">
        <v>3</v>
      </c>
      <c r="R2139">
        <v>35.89</v>
      </c>
      <c r="S2139">
        <v>107.67</v>
      </c>
      <c r="T2139">
        <v>87.75</v>
      </c>
      <c r="U2139">
        <v>18.5</v>
      </c>
      <c r="V2139" t="str">
        <f>VLOOKUP(L2139,'[2]tabela de preços'!$A:$D,4,0)</f>
        <v>SHERWIN WILLIAMS</v>
      </c>
      <c r="W2139" t="str">
        <f>VLOOKUP(L2139,'[2]tabela de preços'!$A:$F,6,0)</f>
        <v>VERNIZ AUTOMOTIVO</v>
      </c>
      <c r="X2139" t="str">
        <f>VLOOKUP(L2139,'[2]tabela de preços'!$A:$G,7,0)</f>
        <v>AUTOMOTIVO</v>
      </c>
    </row>
    <row r="2140" spans="1:24" x14ac:dyDescent="0.3">
      <c r="A2140" t="s">
        <v>208</v>
      </c>
      <c r="C2140" t="s">
        <v>231</v>
      </c>
      <c r="D2140" s="1">
        <v>46050</v>
      </c>
      <c r="E2140" t="s">
        <v>232</v>
      </c>
      <c r="F2140">
        <v>9</v>
      </c>
      <c r="G2140">
        <v>236</v>
      </c>
      <c r="H2140" t="str">
        <f>VLOOKUP(G2140,[1]OPERADORES!$A:$B,2,0)</f>
        <v>DANIEL</v>
      </c>
      <c r="I2140" t="s">
        <v>21</v>
      </c>
      <c r="J2140" t="s">
        <v>211</v>
      </c>
      <c r="K2140" t="s">
        <v>212</v>
      </c>
      <c r="L2140">
        <v>10238</v>
      </c>
      <c r="M2140" t="s">
        <v>79</v>
      </c>
      <c r="O2140" t="s">
        <v>11</v>
      </c>
      <c r="P2140">
        <v>5102</v>
      </c>
      <c r="Q2140">
        <v>4</v>
      </c>
      <c r="R2140">
        <v>2.79</v>
      </c>
      <c r="S2140">
        <v>11.16</v>
      </c>
      <c r="T2140">
        <v>8.9600000000000009</v>
      </c>
      <c r="U2140">
        <v>19.71</v>
      </c>
      <c r="V2140" t="str">
        <f>VLOOKUP(L2140,'[2]tabela de preços'!$A:$D,4,0)</f>
        <v>NORTON</v>
      </c>
      <c r="W2140" t="str">
        <f>VLOOKUP(L2140,'[2]tabela de preços'!$A:$F,6,0)</f>
        <v xml:space="preserve">DISCOS / LIXAS / ABRASIVOS </v>
      </c>
      <c r="X2140" t="str">
        <f>VLOOKUP(L2140,'[2]tabela de preços'!$A:$G,7,0)</f>
        <v>AUTOMOTIVO</v>
      </c>
    </row>
    <row r="2141" spans="1:24" x14ac:dyDescent="0.3">
      <c r="A2141" t="s">
        <v>208</v>
      </c>
      <c r="C2141" t="s">
        <v>231</v>
      </c>
      <c r="D2141" s="1">
        <v>46050</v>
      </c>
      <c r="E2141" t="s">
        <v>232</v>
      </c>
      <c r="F2141">
        <v>9</v>
      </c>
      <c r="G2141">
        <v>236</v>
      </c>
      <c r="H2141" t="str">
        <f>VLOOKUP(G2141,[1]OPERADORES!$A:$B,2,0)</f>
        <v>DANIEL</v>
      </c>
      <c r="I2141" t="s">
        <v>21</v>
      </c>
      <c r="J2141" t="s">
        <v>211</v>
      </c>
      <c r="K2141" t="s">
        <v>212</v>
      </c>
      <c r="L2141">
        <v>10242</v>
      </c>
      <c r="M2141" t="s">
        <v>82</v>
      </c>
      <c r="O2141" t="s">
        <v>11</v>
      </c>
      <c r="P2141">
        <v>5102</v>
      </c>
      <c r="Q2141">
        <v>2</v>
      </c>
      <c r="R2141">
        <v>2.79</v>
      </c>
      <c r="S2141">
        <v>5.58</v>
      </c>
      <c r="T2141">
        <v>4.4800000000000004</v>
      </c>
      <c r="U2141">
        <v>19.71</v>
      </c>
      <c r="V2141" t="str">
        <f>VLOOKUP(L2141,'[2]tabela de preços'!$A:$D,4,0)</f>
        <v>NORTON</v>
      </c>
      <c r="W2141" t="str">
        <f>VLOOKUP(L2141,'[2]tabela de preços'!$A:$F,6,0)</f>
        <v xml:space="preserve">DISCOS / LIXAS / ABRASIVOS </v>
      </c>
      <c r="X2141" t="str">
        <f>VLOOKUP(L2141,'[2]tabela de preços'!$A:$G,7,0)</f>
        <v>AUTOMOTIVO</v>
      </c>
    </row>
    <row r="2142" spans="1:24" x14ac:dyDescent="0.3">
      <c r="A2142" t="s">
        <v>208</v>
      </c>
      <c r="C2142" t="s">
        <v>231</v>
      </c>
      <c r="D2142" s="1">
        <v>46050</v>
      </c>
      <c r="E2142" t="s">
        <v>232</v>
      </c>
      <c r="F2142">
        <v>9</v>
      </c>
      <c r="G2142">
        <v>236</v>
      </c>
      <c r="H2142" t="str">
        <f>VLOOKUP(G2142,[1]OPERADORES!$A:$B,2,0)</f>
        <v>DANIEL</v>
      </c>
      <c r="I2142" t="s">
        <v>21</v>
      </c>
      <c r="J2142" t="s">
        <v>211</v>
      </c>
      <c r="K2142" t="s">
        <v>212</v>
      </c>
      <c r="L2142">
        <v>10243</v>
      </c>
      <c r="M2142" t="s">
        <v>83</v>
      </c>
      <c r="O2142" t="s">
        <v>11</v>
      </c>
      <c r="P2142">
        <v>5102</v>
      </c>
      <c r="Q2142">
        <v>2</v>
      </c>
      <c r="R2142">
        <v>2.79</v>
      </c>
      <c r="S2142">
        <v>5.58</v>
      </c>
      <c r="T2142">
        <v>3.86</v>
      </c>
      <c r="U2142">
        <v>30.82</v>
      </c>
      <c r="V2142" t="str">
        <f>VLOOKUP(L2142,'[2]tabela de preços'!$A:$D,4,0)</f>
        <v>NORTON</v>
      </c>
      <c r="W2142" t="str">
        <f>VLOOKUP(L2142,'[2]tabela de preços'!$A:$F,6,0)</f>
        <v xml:space="preserve">DISCOS / LIXAS / ABRASIVOS </v>
      </c>
      <c r="X2142" t="str">
        <f>VLOOKUP(L2142,'[2]tabela de preços'!$A:$G,7,0)</f>
        <v>AUTOMOTIVO</v>
      </c>
    </row>
    <row r="2143" spans="1:24" x14ac:dyDescent="0.3">
      <c r="A2143" t="s">
        <v>208</v>
      </c>
      <c r="C2143" t="s">
        <v>231</v>
      </c>
      <c r="D2143" s="1">
        <v>46050</v>
      </c>
      <c r="E2143" t="s">
        <v>232</v>
      </c>
      <c r="F2143">
        <v>9</v>
      </c>
      <c r="G2143">
        <v>236</v>
      </c>
      <c r="H2143" t="str">
        <f>VLOOKUP(G2143,[1]OPERADORES!$A:$B,2,0)</f>
        <v>DANIEL</v>
      </c>
      <c r="I2143" t="s">
        <v>21</v>
      </c>
      <c r="J2143" t="s">
        <v>211</v>
      </c>
      <c r="K2143" t="s">
        <v>212</v>
      </c>
      <c r="L2143">
        <v>24247</v>
      </c>
      <c r="M2143" t="s">
        <v>160</v>
      </c>
      <c r="O2143" t="s">
        <v>11</v>
      </c>
      <c r="P2143">
        <v>5403</v>
      </c>
      <c r="Q2143">
        <v>1</v>
      </c>
      <c r="R2143">
        <v>21</v>
      </c>
      <c r="S2143">
        <v>21</v>
      </c>
      <c r="T2143">
        <v>16.87</v>
      </c>
      <c r="U2143">
        <v>19.670000000000002</v>
      </c>
      <c r="V2143" t="str">
        <f>VLOOKUP(L2143,'[2]tabela de preços'!$A:$D,4,0)</f>
        <v>SHERWIN WILLIAMS</v>
      </c>
      <c r="W2143" t="str">
        <f>VLOOKUP(L2143,'[2]tabela de preços'!$A:$F,6,0)</f>
        <v>PRIMER AUTOMOTIVO</v>
      </c>
      <c r="X2143" t="str">
        <f>VLOOKUP(L2143,'[2]tabela de preços'!$A:$G,7,0)</f>
        <v>AUTOMOTIVO</v>
      </c>
    </row>
    <row r="2144" spans="1:24" x14ac:dyDescent="0.3">
      <c r="A2144" t="s">
        <v>208</v>
      </c>
      <c r="C2144" t="s">
        <v>234</v>
      </c>
      <c r="D2144" s="1">
        <v>46050</v>
      </c>
      <c r="E2144" t="s">
        <v>235</v>
      </c>
      <c r="F2144">
        <v>9</v>
      </c>
      <c r="G2144">
        <v>236</v>
      </c>
      <c r="H2144" t="str">
        <f>VLOOKUP(G2144,[1]OPERADORES!$A:$B,2,0)</f>
        <v>DANIEL</v>
      </c>
      <c r="I2144" t="s">
        <v>21</v>
      </c>
      <c r="J2144" t="s">
        <v>211</v>
      </c>
      <c r="K2144" t="s">
        <v>212</v>
      </c>
      <c r="L2144">
        <v>84565</v>
      </c>
      <c r="M2144" t="s">
        <v>236</v>
      </c>
      <c r="O2144" t="s">
        <v>11</v>
      </c>
      <c r="P2144">
        <v>5102</v>
      </c>
      <c r="Q2144">
        <v>1</v>
      </c>
      <c r="R2144">
        <v>9.7799999999999994</v>
      </c>
      <c r="S2144">
        <v>9.7799999999999994</v>
      </c>
      <c r="T2144">
        <v>7.01</v>
      </c>
      <c r="U2144">
        <v>28.32</v>
      </c>
      <c r="V2144" t="str">
        <f>VLOOKUP(L2144,'[2]tabela de preços'!$A:$D,4,0)</f>
        <v>BRASILUX</v>
      </c>
      <c r="W2144" t="str">
        <f>VLOOKUP(L2144,'[2]tabela de preços'!$A:$F,6,0)</f>
        <v>PRETO FOSCO VINÍLICO</v>
      </c>
      <c r="X2144" t="str">
        <f>VLOOKUP(L2144,'[2]tabela de preços'!$A:$G,7,0)</f>
        <v>AUTOMOTIVO</v>
      </c>
    </row>
    <row r="2145" spans="1:24" x14ac:dyDescent="0.3">
      <c r="A2145" t="s">
        <v>208</v>
      </c>
      <c r="C2145" t="s">
        <v>234</v>
      </c>
      <c r="D2145" s="1">
        <v>46050</v>
      </c>
      <c r="E2145" t="s">
        <v>235</v>
      </c>
      <c r="F2145">
        <v>9</v>
      </c>
      <c r="G2145">
        <v>236</v>
      </c>
      <c r="H2145" t="str">
        <f>VLOOKUP(G2145,[1]OPERADORES!$A:$B,2,0)</f>
        <v>DANIEL</v>
      </c>
      <c r="I2145" t="s">
        <v>21</v>
      </c>
      <c r="J2145" t="s">
        <v>211</v>
      </c>
      <c r="K2145" t="s">
        <v>212</v>
      </c>
      <c r="L2145">
        <v>85363</v>
      </c>
      <c r="M2145" t="s">
        <v>237</v>
      </c>
      <c r="O2145" t="s">
        <v>11</v>
      </c>
      <c r="P2145">
        <v>5102</v>
      </c>
      <c r="Q2145">
        <v>1</v>
      </c>
      <c r="R2145">
        <v>25.36</v>
      </c>
      <c r="S2145">
        <v>25.36</v>
      </c>
      <c r="T2145">
        <v>18.18</v>
      </c>
      <c r="U2145">
        <v>28.31</v>
      </c>
      <c r="V2145" t="str">
        <f>VLOOKUP(L2145,'[2]tabela de preços'!$A:$D,4,0)</f>
        <v>BRASILUX</v>
      </c>
      <c r="W2145" t="str">
        <f>VLOOKUP(L2145,'[2]tabela de preços'!$A:$F,6,0)</f>
        <v>PRETO FOSCO VINÍLICO</v>
      </c>
      <c r="X2145" t="str">
        <f>VLOOKUP(L2145,'[2]tabela de preços'!$A:$G,7,0)</f>
        <v>AUTOMOTIVO</v>
      </c>
    </row>
    <row r="2146" spans="1:24" x14ac:dyDescent="0.3">
      <c r="A2146" t="s">
        <v>378</v>
      </c>
      <c r="C2146" t="s">
        <v>387</v>
      </c>
      <c r="D2146" s="1">
        <v>46050</v>
      </c>
      <c r="E2146" t="s">
        <v>388</v>
      </c>
      <c r="F2146">
        <v>9</v>
      </c>
      <c r="G2146">
        <v>174</v>
      </c>
      <c r="H2146" t="str">
        <f>VLOOKUP(G2146,[1]OPERADORES!$A:$B,2,0)</f>
        <v>MIRIÃ LOBATO RODRIGUES</v>
      </c>
      <c r="I2146" t="s">
        <v>21</v>
      </c>
      <c r="J2146" t="s">
        <v>381</v>
      </c>
      <c r="K2146" t="s">
        <v>382</v>
      </c>
      <c r="L2146">
        <v>58</v>
      </c>
      <c r="M2146" t="s">
        <v>389</v>
      </c>
      <c r="O2146" t="s">
        <v>11</v>
      </c>
      <c r="P2146">
        <v>5102</v>
      </c>
      <c r="Q2146">
        <v>100</v>
      </c>
      <c r="R2146">
        <v>1.19</v>
      </c>
      <c r="S2146">
        <v>119</v>
      </c>
      <c r="T2146">
        <v>77</v>
      </c>
      <c r="U2146">
        <v>35.29</v>
      </c>
      <c r="V2146" t="str">
        <f>VLOOKUP(L2146,'[2]tabela de preços'!$A:$D,4,0)</f>
        <v>3M</v>
      </c>
      <c r="W2146" t="str">
        <f>VLOOKUP(L2146,'[2]tabela de preços'!$A:$F,6,0)</f>
        <v>LIXA DÁGUA</v>
      </c>
      <c r="X2146" t="str">
        <f>VLOOKUP(L2146,'[2]tabela de preços'!$A:$G,7,0)</f>
        <v>AUTOMOTIVO</v>
      </c>
    </row>
    <row r="2147" spans="1:24" x14ac:dyDescent="0.3">
      <c r="A2147" t="s">
        <v>378</v>
      </c>
      <c r="C2147" t="s">
        <v>387</v>
      </c>
      <c r="D2147" s="1">
        <v>46050</v>
      </c>
      <c r="E2147" t="s">
        <v>388</v>
      </c>
      <c r="F2147">
        <v>9</v>
      </c>
      <c r="G2147">
        <v>174</v>
      </c>
      <c r="H2147" t="str">
        <f>VLOOKUP(G2147,[1]OPERADORES!$A:$B,2,0)</f>
        <v>MIRIÃ LOBATO RODRIGUES</v>
      </c>
      <c r="I2147" t="s">
        <v>21</v>
      </c>
      <c r="J2147" t="s">
        <v>381</v>
      </c>
      <c r="K2147" t="s">
        <v>382</v>
      </c>
      <c r="L2147">
        <v>10240</v>
      </c>
      <c r="M2147" t="s">
        <v>81</v>
      </c>
      <c r="O2147" t="s">
        <v>11</v>
      </c>
      <c r="P2147">
        <v>5102</v>
      </c>
      <c r="Q2147">
        <v>100</v>
      </c>
      <c r="R2147">
        <v>2.79</v>
      </c>
      <c r="S2147">
        <v>279</v>
      </c>
      <c r="T2147">
        <v>224</v>
      </c>
      <c r="U2147">
        <v>19.71</v>
      </c>
      <c r="V2147" t="str">
        <f>VLOOKUP(L2147,'[2]tabela de preços'!$A:$D,4,0)</f>
        <v>NORTON</v>
      </c>
      <c r="W2147" t="str">
        <f>VLOOKUP(L2147,'[2]tabela de preços'!$A:$F,6,0)</f>
        <v xml:space="preserve">DISCOS / LIXAS / ABRASIVOS </v>
      </c>
      <c r="X2147" t="str">
        <f>VLOOKUP(L2147,'[2]tabela de preços'!$A:$G,7,0)</f>
        <v>AUTOMOTIVO</v>
      </c>
    </row>
    <row r="2148" spans="1:24" x14ac:dyDescent="0.3">
      <c r="A2148" t="s">
        <v>378</v>
      </c>
      <c r="C2148" t="s">
        <v>387</v>
      </c>
      <c r="D2148" s="1">
        <v>46050</v>
      </c>
      <c r="E2148" t="s">
        <v>388</v>
      </c>
      <c r="F2148">
        <v>9</v>
      </c>
      <c r="G2148">
        <v>174</v>
      </c>
      <c r="H2148" t="str">
        <f>VLOOKUP(G2148,[1]OPERADORES!$A:$B,2,0)</f>
        <v>MIRIÃ LOBATO RODRIGUES</v>
      </c>
      <c r="I2148" t="s">
        <v>21</v>
      </c>
      <c r="J2148" t="s">
        <v>381</v>
      </c>
      <c r="K2148" t="s">
        <v>382</v>
      </c>
      <c r="L2148">
        <v>10243</v>
      </c>
      <c r="M2148" t="s">
        <v>83</v>
      </c>
      <c r="O2148" t="s">
        <v>11</v>
      </c>
      <c r="P2148">
        <v>5102</v>
      </c>
      <c r="Q2148">
        <v>100</v>
      </c>
      <c r="R2148">
        <v>2.79</v>
      </c>
      <c r="S2148">
        <v>279</v>
      </c>
      <c r="T2148">
        <v>193</v>
      </c>
      <c r="U2148">
        <v>30.82</v>
      </c>
      <c r="V2148" t="str">
        <f>VLOOKUP(L2148,'[2]tabela de preços'!$A:$D,4,0)</f>
        <v>NORTON</v>
      </c>
      <c r="W2148" t="str">
        <f>VLOOKUP(L2148,'[2]tabela de preços'!$A:$F,6,0)</f>
        <v xml:space="preserve">DISCOS / LIXAS / ABRASIVOS </v>
      </c>
      <c r="X2148" t="str">
        <f>VLOOKUP(L2148,'[2]tabela de preços'!$A:$G,7,0)</f>
        <v>AUTOMOTIVO</v>
      </c>
    </row>
    <row r="2149" spans="1:24" x14ac:dyDescent="0.3">
      <c r="A2149" t="s">
        <v>378</v>
      </c>
      <c r="C2149" t="s">
        <v>387</v>
      </c>
      <c r="D2149" s="1">
        <v>46050</v>
      </c>
      <c r="E2149" t="s">
        <v>388</v>
      </c>
      <c r="F2149">
        <v>9</v>
      </c>
      <c r="G2149">
        <v>174</v>
      </c>
      <c r="H2149" t="str">
        <f>VLOOKUP(G2149,[1]OPERADORES!$A:$B,2,0)</f>
        <v>MIRIÃ LOBATO RODRIGUES</v>
      </c>
      <c r="I2149" t="s">
        <v>21</v>
      </c>
      <c r="J2149" t="s">
        <v>381</v>
      </c>
      <c r="K2149" t="s">
        <v>382</v>
      </c>
      <c r="L2149">
        <v>9869</v>
      </c>
      <c r="M2149" t="s">
        <v>390</v>
      </c>
      <c r="O2149" t="s">
        <v>11</v>
      </c>
      <c r="P2149">
        <v>5403</v>
      </c>
      <c r="Q2149">
        <v>1</v>
      </c>
      <c r="R2149">
        <v>68.680000000000007</v>
      </c>
      <c r="S2149">
        <v>68.680000000000007</v>
      </c>
      <c r="T2149">
        <v>50.34</v>
      </c>
      <c r="U2149">
        <v>26.7</v>
      </c>
      <c r="V2149" t="str">
        <f>VLOOKUP(L2149,'[2]tabela de preços'!$A:$D,4,0)</f>
        <v>WANDA</v>
      </c>
      <c r="W2149" t="str">
        <f>VLOOKUP(L2149,'[2]tabela de preços'!$A:$F,6,0)</f>
        <v>BASES POLIÉSTER</v>
      </c>
      <c r="X2149" t="str">
        <f>VLOOKUP(L2149,'[2]tabela de preços'!$A:$G,7,0)</f>
        <v>AUTOMOTIVO</v>
      </c>
    </row>
    <row r="2150" spans="1:24" x14ac:dyDescent="0.3">
      <c r="A2150" t="s">
        <v>378</v>
      </c>
      <c r="C2150" t="s">
        <v>387</v>
      </c>
      <c r="D2150" s="1">
        <v>46050</v>
      </c>
      <c r="E2150" t="s">
        <v>388</v>
      </c>
      <c r="F2150">
        <v>9</v>
      </c>
      <c r="G2150">
        <v>174</v>
      </c>
      <c r="H2150" t="str">
        <f>VLOOKUP(G2150,[1]OPERADORES!$A:$B,2,0)</f>
        <v>MIRIÃ LOBATO RODRIGUES</v>
      </c>
      <c r="I2150" t="s">
        <v>21</v>
      </c>
      <c r="J2150" t="s">
        <v>381</v>
      </c>
      <c r="K2150" t="s">
        <v>382</v>
      </c>
      <c r="L2150">
        <v>9883</v>
      </c>
      <c r="M2150" t="s">
        <v>391</v>
      </c>
      <c r="O2150" t="s">
        <v>11</v>
      </c>
      <c r="P2150">
        <v>5403</v>
      </c>
      <c r="Q2150">
        <v>1</v>
      </c>
      <c r="R2150">
        <v>90.67</v>
      </c>
      <c r="S2150">
        <v>90.67</v>
      </c>
      <c r="T2150">
        <v>66.47</v>
      </c>
      <c r="U2150">
        <v>26.69</v>
      </c>
      <c r="V2150" t="str">
        <f>VLOOKUP(L2150,'[2]tabela de preços'!$A:$D,4,0)</f>
        <v>WANDA</v>
      </c>
      <c r="W2150" t="str">
        <f>VLOOKUP(L2150,'[2]tabela de preços'!$A:$F,6,0)</f>
        <v>BASES POLIÉSTER</v>
      </c>
      <c r="X2150" t="str">
        <f>VLOOKUP(L2150,'[2]tabela de preços'!$A:$G,7,0)</f>
        <v>AUTOMOTIVO</v>
      </c>
    </row>
    <row r="2151" spans="1:24" x14ac:dyDescent="0.3">
      <c r="A2151" t="s">
        <v>378</v>
      </c>
      <c r="C2151" t="s">
        <v>387</v>
      </c>
      <c r="D2151" s="1">
        <v>46050</v>
      </c>
      <c r="E2151" t="s">
        <v>388</v>
      </c>
      <c r="F2151">
        <v>9</v>
      </c>
      <c r="G2151">
        <v>174</v>
      </c>
      <c r="H2151" t="str">
        <f>VLOOKUP(G2151,[1]OPERADORES!$A:$B,2,0)</f>
        <v>MIRIÃ LOBATO RODRIGUES</v>
      </c>
      <c r="I2151" t="s">
        <v>21</v>
      </c>
      <c r="J2151" t="s">
        <v>381</v>
      </c>
      <c r="K2151" t="s">
        <v>382</v>
      </c>
      <c r="L2151">
        <v>9900</v>
      </c>
      <c r="M2151" t="s">
        <v>392</v>
      </c>
      <c r="O2151" t="s">
        <v>11</v>
      </c>
      <c r="P2151">
        <v>5403</v>
      </c>
      <c r="Q2151">
        <v>1</v>
      </c>
      <c r="R2151">
        <v>171.69</v>
      </c>
      <c r="S2151">
        <v>171.69</v>
      </c>
      <c r="T2151">
        <v>125.87</v>
      </c>
      <c r="U2151">
        <v>26.69</v>
      </c>
      <c r="V2151" t="str">
        <f>VLOOKUP(L2151,'[2]tabela de preços'!$A:$D,4,0)</f>
        <v>WANDA</v>
      </c>
      <c r="W2151" t="str">
        <f>VLOOKUP(L2151,'[2]tabela de preços'!$A:$F,6,0)</f>
        <v>BASES POLIÉSTER</v>
      </c>
      <c r="X2151" t="str">
        <f>VLOOKUP(L2151,'[2]tabela de preços'!$A:$G,7,0)</f>
        <v>AUTOMOTIVO</v>
      </c>
    </row>
    <row r="2152" spans="1:24" x14ac:dyDescent="0.3">
      <c r="A2152" t="s">
        <v>491</v>
      </c>
      <c r="C2152" t="s">
        <v>492</v>
      </c>
      <c r="D2152" s="1">
        <v>46050</v>
      </c>
      <c r="E2152" t="s">
        <v>493</v>
      </c>
      <c r="F2152">
        <v>9</v>
      </c>
      <c r="G2152">
        <v>236</v>
      </c>
      <c r="H2152" t="str">
        <f>VLOOKUP(G2152,[1]OPERADORES!$A:$B,2,0)</f>
        <v>DANIEL</v>
      </c>
      <c r="I2152" t="s">
        <v>21</v>
      </c>
      <c r="J2152" t="s">
        <v>494</v>
      </c>
      <c r="K2152" t="s">
        <v>495</v>
      </c>
      <c r="L2152">
        <v>84328</v>
      </c>
      <c r="M2152" t="s">
        <v>496</v>
      </c>
      <c r="O2152" t="s">
        <v>11</v>
      </c>
      <c r="P2152">
        <v>5403</v>
      </c>
      <c r="Q2152">
        <v>2</v>
      </c>
      <c r="R2152">
        <v>59.98</v>
      </c>
      <c r="S2152">
        <v>119.96</v>
      </c>
      <c r="T2152">
        <v>92.38</v>
      </c>
      <c r="U2152">
        <v>22.99</v>
      </c>
      <c r="V2152" t="str">
        <f>VLOOKUP(L2152,'[2]tabela de preços'!$A:$D,4,0)</f>
        <v>BRASILUX</v>
      </c>
      <c r="W2152" t="str">
        <f>VLOOKUP(L2152,'[2]tabela de preços'!$A:$F,6,0)</f>
        <v>ESMALTES</v>
      </c>
      <c r="X2152" t="str">
        <f>VLOOKUP(L2152,'[2]tabela de preços'!$A:$G,7,0)</f>
        <v>INDUSTRIAL</v>
      </c>
    </row>
    <row r="2153" spans="1:24" x14ac:dyDescent="0.3">
      <c r="A2153" t="s">
        <v>491</v>
      </c>
      <c r="C2153" t="s">
        <v>492</v>
      </c>
      <c r="D2153" s="1">
        <v>46050</v>
      </c>
      <c r="E2153" t="s">
        <v>493</v>
      </c>
      <c r="F2153">
        <v>9</v>
      </c>
      <c r="G2153">
        <v>236</v>
      </c>
      <c r="H2153" t="str">
        <f>VLOOKUP(G2153,[1]OPERADORES!$A:$B,2,0)</f>
        <v>DANIEL</v>
      </c>
      <c r="I2153" t="s">
        <v>21</v>
      </c>
      <c r="J2153" t="s">
        <v>494</v>
      </c>
      <c r="K2153" t="s">
        <v>495</v>
      </c>
      <c r="L2153">
        <v>84331</v>
      </c>
      <c r="M2153" t="s">
        <v>497</v>
      </c>
      <c r="O2153" t="s">
        <v>11</v>
      </c>
      <c r="P2153">
        <v>5403</v>
      </c>
      <c r="Q2153">
        <v>3</v>
      </c>
      <c r="R2153">
        <v>59.98</v>
      </c>
      <c r="S2153">
        <v>179.94</v>
      </c>
      <c r="T2153">
        <v>156</v>
      </c>
      <c r="U2153">
        <v>13.3</v>
      </c>
      <c r="V2153" t="str">
        <f>VLOOKUP(L2153,'[2]tabela de preços'!$A:$D,4,0)</f>
        <v>BRASILUX</v>
      </c>
      <c r="W2153" t="str">
        <f>VLOOKUP(L2153,'[2]tabela de preços'!$A:$F,6,0)</f>
        <v>ESMALTES</v>
      </c>
      <c r="X2153" t="str">
        <f>VLOOKUP(L2153,'[2]tabela de preços'!$A:$G,7,0)</f>
        <v>INDUSTRIAL</v>
      </c>
    </row>
    <row r="2154" spans="1:24" x14ac:dyDescent="0.3">
      <c r="A2154" t="s">
        <v>491</v>
      </c>
      <c r="C2154" t="s">
        <v>492</v>
      </c>
      <c r="D2154" s="1">
        <v>46050</v>
      </c>
      <c r="E2154" t="s">
        <v>493</v>
      </c>
      <c r="F2154">
        <v>9</v>
      </c>
      <c r="G2154">
        <v>236</v>
      </c>
      <c r="H2154" t="str">
        <f>VLOOKUP(G2154,[1]OPERADORES!$A:$B,2,0)</f>
        <v>DANIEL</v>
      </c>
      <c r="I2154" t="s">
        <v>21</v>
      </c>
      <c r="J2154" t="s">
        <v>494</v>
      </c>
      <c r="K2154" t="s">
        <v>495</v>
      </c>
      <c r="L2154">
        <v>84342</v>
      </c>
      <c r="M2154" t="s">
        <v>498</v>
      </c>
      <c r="O2154" t="s">
        <v>11</v>
      </c>
      <c r="P2154">
        <v>5403</v>
      </c>
      <c r="Q2154">
        <v>2</v>
      </c>
      <c r="R2154">
        <v>59.98</v>
      </c>
      <c r="S2154">
        <v>119.96</v>
      </c>
      <c r="T2154">
        <v>91.56</v>
      </c>
      <c r="U2154">
        <v>23.67</v>
      </c>
      <c r="V2154" t="str">
        <f>VLOOKUP(L2154,'[2]tabela de preços'!$A:$D,4,0)</f>
        <v>BRASILUX</v>
      </c>
      <c r="W2154" t="str">
        <f>VLOOKUP(L2154,'[2]tabela de preços'!$A:$F,6,0)</f>
        <v>ESMALTES</v>
      </c>
      <c r="X2154" t="str">
        <f>VLOOKUP(L2154,'[2]tabela de preços'!$A:$G,7,0)</f>
        <v>INDUSTRIAL</v>
      </c>
    </row>
    <row r="2155" spans="1:24" x14ac:dyDescent="0.3">
      <c r="A2155" t="s">
        <v>491</v>
      </c>
      <c r="C2155" t="s">
        <v>492</v>
      </c>
      <c r="D2155" s="1">
        <v>46050</v>
      </c>
      <c r="E2155" t="s">
        <v>493</v>
      </c>
      <c r="F2155">
        <v>9</v>
      </c>
      <c r="G2155">
        <v>236</v>
      </c>
      <c r="H2155" t="str">
        <f>VLOOKUP(G2155,[1]OPERADORES!$A:$B,2,0)</f>
        <v>DANIEL</v>
      </c>
      <c r="I2155" t="s">
        <v>21</v>
      </c>
      <c r="J2155" t="s">
        <v>494</v>
      </c>
      <c r="K2155" t="s">
        <v>495</v>
      </c>
      <c r="L2155">
        <v>84694</v>
      </c>
      <c r="M2155" t="s">
        <v>499</v>
      </c>
      <c r="O2155" t="s">
        <v>11</v>
      </c>
      <c r="P2155">
        <v>5102</v>
      </c>
      <c r="Q2155">
        <v>2</v>
      </c>
      <c r="R2155">
        <v>6.68</v>
      </c>
      <c r="S2155">
        <v>13.36</v>
      </c>
      <c r="T2155">
        <v>8.6199999999999992</v>
      </c>
      <c r="U2155">
        <v>35.479999999999997</v>
      </c>
      <c r="V2155" t="str">
        <f>VLOOKUP(L2155,'[2]tabela de preços'!$A:$D,4,0)</f>
        <v>BRASILUX</v>
      </c>
      <c r="W2155" t="str">
        <f>VLOOKUP(L2155,'[2]tabela de preços'!$A:$F,6,0)</f>
        <v>LINHA MOVELEIRA</v>
      </c>
      <c r="X2155" t="str">
        <f>VLOOKUP(L2155,'[2]tabela de preços'!$A:$G,7,0)</f>
        <v>MOVELEIRA</v>
      </c>
    </row>
    <row r="2156" spans="1:24" x14ac:dyDescent="0.3">
      <c r="A2156" t="s">
        <v>491</v>
      </c>
      <c r="C2156" t="s">
        <v>492</v>
      </c>
      <c r="D2156" s="1">
        <v>46050</v>
      </c>
      <c r="E2156" t="s">
        <v>493</v>
      </c>
      <c r="F2156">
        <v>9</v>
      </c>
      <c r="G2156">
        <v>236</v>
      </c>
      <c r="H2156" t="str">
        <f>VLOOKUP(G2156,[1]OPERADORES!$A:$B,2,0)</f>
        <v>DANIEL</v>
      </c>
      <c r="I2156" t="s">
        <v>21</v>
      </c>
      <c r="J2156" t="s">
        <v>494</v>
      </c>
      <c r="K2156" t="s">
        <v>495</v>
      </c>
      <c r="L2156">
        <v>84696</v>
      </c>
      <c r="M2156" t="s">
        <v>500</v>
      </c>
      <c r="O2156" t="s">
        <v>11</v>
      </c>
      <c r="P2156">
        <v>5102</v>
      </c>
      <c r="Q2156">
        <v>4</v>
      </c>
      <c r="R2156">
        <v>6.79</v>
      </c>
      <c r="S2156">
        <v>27.16</v>
      </c>
      <c r="T2156">
        <v>17.52</v>
      </c>
      <c r="U2156">
        <v>35.49</v>
      </c>
      <c r="V2156" t="str">
        <f>VLOOKUP(L2156,'[2]tabela de preços'!$A:$D,4,0)</f>
        <v>BRASILUX</v>
      </c>
      <c r="W2156" t="str">
        <f>VLOOKUP(L2156,'[2]tabela de preços'!$A:$F,6,0)</f>
        <v>LINHA MOVELEIRA</v>
      </c>
      <c r="X2156" t="str">
        <f>VLOOKUP(L2156,'[2]tabela de preços'!$A:$G,7,0)</f>
        <v>MOVELEIRA</v>
      </c>
    </row>
    <row r="2157" spans="1:24" x14ac:dyDescent="0.3">
      <c r="A2157" t="s">
        <v>491</v>
      </c>
      <c r="C2157" t="s">
        <v>492</v>
      </c>
      <c r="D2157" s="1">
        <v>46050</v>
      </c>
      <c r="E2157" t="s">
        <v>493</v>
      </c>
      <c r="F2157">
        <v>9</v>
      </c>
      <c r="G2157">
        <v>236</v>
      </c>
      <c r="H2157" t="str">
        <f>VLOOKUP(G2157,[1]OPERADORES!$A:$B,2,0)</f>
        <v>DANIEL</v>
      </c>
      <c r="I2157" t="s">
        <v>21</v>
      </c>
      <c r="J2157" t="s">
        <v>494</v>
      </c>
      <c r="K2157" t="s">
        <v>495</v>
      </c>
      <c r="L2157">
        <v>84695</v>
      </c>
      <c r="M2157" t="s">
        <v>277</v>
      </c>
      <c r="O2157" t="s">
        <v>11</v>
      </c>
      <c r="P2157">
        <v>5102</v>
      </c>
      <c r="Q2157">
        <v>4</v>
      </c>
      <c r="R2157">
        <v>6.29</v>
      </c>
      <c r="S2157">
        <v>25.16</v>
      </c>
      <c r="T2157">
        <v>16.239999999999998</v>
      </c>
      <c r="U2157">
        <v>35.450000000000003</v>
      </c>
      <c r="V2157" t="str">
        <f>VLOOKUP(L2157,'[2]tabela de preços'!$A:$D,4,0)</f>
        <v>BRASILUX</v>
      </c>
      <c r="W2157" t="str">
        <f>VLOOKUP(L2157,'[2]tabela de preços'!$A:$F,6,0)</f>
        <v>LINHA MOVELEIRA</v>
      </c>
      <c r="X2157" t="str">
        <f>VLOOKUP(L2157,'[2]tabela de preços'!$A:$G,7,0)</f>
        <v>MOVELEIRA</v>
      </c>
    </row>
    <row r="2158" spans="1:24" x14ac:dyDescent="0.3">
      <c r="A2158" t="s">
        <v>528</v>
      </c>
      <c r="C2158" t="s">
        <v>541</v>
      </c>
      <c r="D2158" s="1">
        <v>46050</v>
      </c>
      <c r="E2158" t="s">
        <v>542</v>
      </c>
      <c r="F2158">
        <v>9</v>
      </c>
      <c r="G2158">
        <v>231</v>
      </c>
      <c r="H2158" t="str">
        <f>VLOOKUP(G2158,[1]OPERADORES!$A:$B,2,0)</f>
        <v>EDIJANE</v>
      </c>
      <c r="I2158" t="s">
        <v>21</v>
      </c>
      <c r="J2158" t="s">
        <v>531</v>
      </c>
      <c r="K2158" t="s">
        <v>532</v>
      </c>
      <c r="L2158">
        <v>85316</v>
      </c>
      <c r="M2158" t="s">
        <v>365</v>
      </c>
      <c r="O2158" t="s">
        <v>11</v>
      </c>
      <c r="P2158">
        <v>5102</v>
      </c>
      <c r="Q2158">
        <v>1</v>
      </c>
      <c r="R2158">
        <v>668</v>
      </c>
      <c r="S2158">
        <v>668</v>
      </c>
      <c r="T2158">
        <v>478.31</v>
      </c>
      <c r="U2158">
        <v>28.4</v>
      </c>
      <c r="V2158" t="str">
        <f>VLOOKUP(L2158,'[2]tabela de preços'!$A:$D,4,0)</f>
        <v>BRASILUX</v>
      </c>
      <c r="W2158" t="str">
        <f>VLOOKUP(L2158,'[2]tabela de preços'!$A:$F,6,0)</f>
        <v>TINTA EM PÓ</v>
      </c>
      <c r="X2158" t="str">
        <f>VLOOKUP(L2158,'[2]tabela de preços'!$A:$G,7,0)</f>
        <v>INDUSTRIAL</v>
      </c>
    </row>
    <row r="2159" spans="1:24" x14ac:dyDescent="0.3">
      <c r="A2159" t="s">
        <v>626</v>
      </c>
      <c r="B2159" t="s">
        <v>627</v>
      </c>
      <c r="C2159" t="s">
        <v>700</v>
      </c>
      <c r="D2159" s="1">
        <v>46050</v>
      </c>
      <c r="F2159">
        <v>9</v>
      </c>
      <c r="G2159">
        <v>174</v>
      </c>
      <c r="H2159" t="str">
        <f>VLOOKUP(G2159,[1]OPERADORES!$A:$B,2,0)</f>
        <v>MIRIÃ LOBATO RODRIGUES</v>
      </c>
      <c r="I2159" t="s">
        <v>21</v>
      </c>
      <c r="J2159" t="s">
        <v>630</v>
      </c>
      <c r="K2159" t="s">
        <v>631</v>
      </c>
      <c r="L2159">
        <v>20194</v>
      </c>
      <c r="M2159" t="s">
        <v>701</v>
      </c>
      <c r="N2159" t="s">
        <v>702</v>
      </c>
      <c r="O2159" t="s">
        <v>11</v>
      </c>
      <c r="P2159">
        <v>1411</v>
      </c>
      <c r="Q2159">
        <v>-1</v>
      </c>
      <c r="R2159">
        <v>293.64</v>
      </c>
      <c r="S2159">
        <v>-293.64</v>
      </c>
      <c r="T2159">
        <v>-222.88</v>
      </c>
      <c r="U2159">
        <v>24.1</v>
      </c>
      <c r="V2159" t="str">
        <f>VLOOKUP(L2159,'[2]tabela de preços'!$A:$D,4,0)</f>
        <v>SIKKENS</v>
      </c>
      <c r="W2159" t="str">
        <f>VLOOKUP(L2159,'[2]tabela de preços'!$A:$F,6,0)</f>
        <v>VERNIZ AUTOMOTIVO</v>
      </c>
      <c r="X2159" t="str">
        <f>VLOOKUP(L2159,'[2]tabela de preços'!$A:$G,7,0)</f>
        <v>AUTOMOTIVO</v>
      </c>
    </row>
    <row r="2160" spans="1:24" x14ac:dyDescent="0.3">
      <c r="A2160" t="s">
        <v>626</v>
      </c>
      <c r="B2160" t="s">
        <v>627</v>
      </c>
      <c r="C2160" t="s">
        <v>700</v>
      </c>
      <c r="D2160" s="1">
        <v>46050</v>
      </c>
      <c r="F2160">
        <v>9</v>
      </c>
      <c r="G2160">
        <v>174</v>
      </c>
      <c r="H2160" t="str">
        <f>VLOOKUP(G2160,[1]OPERADORES!$A:$B,2,0)</f>
        <v>MIRIÃ LOBATO RODRIGUES</v>
      </c>
      <c r="I2160" t="s">
        <v>21</v>
      </c>
      <c r="J2160" t="s">
        <v>630</v>
      </c>
      <c r="K2160" t="s">
        <v>631</v>
      </c>
      <c r="L2160">
        <v>9773</v>
      </c>
      <c r="M2160" t="s">
        <v>703</v>
      </c>
      <c r="N2160" t="s">
        <v>702</v>
      </c>
      <c r="O2160" t="s">
        <v>11</v>
      </c>
      <c r="P2160">
        <v>1202</v>
      </c>
      <c r="Q2160">
        <v>-2</v>
      </c>
      <c r="R2160">
        <v>95.93</v>
      </c>
      <c r="S2160">
        <v>-191.86</v>
      </c>
      <c r="T2160">
        <v>-145.62</v>
      </c>
      <c r="U2160">
        <v>24.1</v>
      </c>
      <c r="V2160" t="str">
        <f>VLOOKUP(L2160,'[2]tabela de preços'!$A:$D,4,0)</f>
        <v>SIKKENS</v>
      </c>
      <c r="W2160" t="str">
        <f>VLOOKUP(L2160,'[2]tabela de preços'!$A:$F,6,0)</f>
        <v>CATALISADORES INDIVIDUAS</v>
      </c>
      <c r="X2160" t="str">
        <f>VLOOKUP(L2160,'[2]tabela de preços'!$A:$G,7,0)</f>
        <v>AUTOMOTIVO</v>
      </c>
    </row>
    <row r="2161" spans="1:24" x14ac:dyDescent="0.3">
      <c r="A2161" t="s">
        <v>626</v>
      </c>
      <c r="B2161" t="s">
        <v>627</v>
      </c>
      <c r="C2161" t="s">
        <v>700</v>
      </c>
      <c r="D2161" s="1">
        <v>46050</v>
      </c>
      <c r="F2161">
        <v>9</v>
      </c>
      <c r="G2161">
        <v>174</v>
      </c>
      <c r="H2161" t="str">
        <f>VLOOKUP(G2161,[1]OPERADORES!$A:$B,2,0)</f>
        <v>MIRIÃ LOBATO RODRIGUES</v>
      </c>
      <c r="I2161" t="s">
        <v>21</v>
      </c>
      <c r="J2161" t="s">
        <v>630</v>
      </c>
      <c r="K2161" t="s">
        <v>631</v>
      </c>
      <c r="L2161">
        <v>9995</v>
      </c>
      <c r="M2161" t="s">
        <v>704</v>
      </c>
      <c r="N2161" t="s">
        <v>705</v>
      </c>
      <c r="O2161" t="s">
        <v>11</v>
      </c>
      <c r="P2161">
        <v>1202</v>
      </c>
      <c r="Q2161">
        <v>-1</v>
      </c>
      <c r="R2161">
        <v>193.83</v>
      </c>
      <c r="S2161">
        <v>-193.83</v>
      </c>
      <c r="T2161">
        <v>-147.12</v>
      </c>
      <c r="U2161">
        <v>24.1</v>
      </c>
      <c r="V2161" t="str">
        <f>VLOOKUP(L2161,'[2]tabela de preços'!$A:$D,4,0)</f>
        <v>SIKKENS</v>
      </c>
      <c r="W2161" t="str">
        <f>VLOOKUP(L2161,'[2]tabela de preços'!$A:$F,6,0)</f>
        <v>DILUENTE</v>
      </c>
      <c r="X2161" t="str">
        <f>VLOOKUP(L2161,'[2]tabela de preços'!$A:$G,7,0)</f>
        <v>AUTOMOTIVO</v>
      </c>
    </row>
    <row r="2162" spans="1:24" x14ac:dyDescent="0.3">
      <c r="A2162" t="s">
        <v>626</v>
      </c>
      <c r="B2162" t="s">
        <v>627</v>
      </c>
      <c r="C2162" t="s">
        <v>706</v>
      </c>
      <c r="D2162" s="1">
        <v>46050</v>
      </c>
      <c r="E2162" t="s">
        <v>707</v>
      </c>
      <c r="F2162">
        <v>9</v>
      </c>
      <c r="G2162">
        <v>174</v>
      </c>
      <c r="H2162" t="str">
        <f>VLOOKUP(G2162,[1]OPERADORES!$A:$B,2,0)</f>
        <v>MIRIÃ LOBATO RODRIGUES</v>
      </c>
      <c r="I2162" t="s">
        <v>21</v>
      </c>
      <c r="J2162" t="s">
        <v>630</v>
      </c>
      <c r="K2162" t="s">
        <v>631</v>
      </c>
      <c r="L2162">
        <v>84487</v>
      </c>
      <c r="M2162" t="s">
        <v>633</v>
      </c>
      <c r="O2162" t="s">
        <v>11</v>
      </c>
      <c r="P2162">
        <v>5403</v>
      </c>
      <c r="Q2162">
        <v>2</v>
      </c>
      <c r="R2162">
        <v>28.84</v>
      </c>
      <c r="S2162">
        <v>57.68</v>
      </c>
      <c r="T2162">
        <v>43.78</v>
      </c>
      <c r="U2162">
        <v>24.1</v>
      </c>
      <c r="V2162" t="str">
        <f>VLOOKUP(L2162,'[2]tabela de preços'!$A:$D,4,0)</f>
        <v>BRASILUX</v>
      </c>
      <c r="W2162" t="str">
        <f>VLOOKUP(L2162,'[2]tabela de preços'!$A:$F,6,0)</f>
        <v>TINTAS LACA</v>
      </c>
      <c r="X2162" t="str">
        <f>VLOOKUP(L2162,'[2]tabela de preços'!$A:$G,7,0)</f>
        <v>AUTOMOTIVO</v>
      </c>
    </row>
    <row r="2163" spans="1:24" x14ac:dyDescent="0.3">
      <c r="A2163" t="s">
        <v>626</v>
      </c>
      <c r="B2163" t="s">
        <v>627</v>
      </c>
      <c r="C2163" t="s">
        <v>706</v>
      </c>
      <c r="D2163" s="1">
        <v>46050</v>
      </c>
      <c r="E2163" t="s">
        <v>707</v>
      </c>
      <c r="F2163">
        <v>9</v>
      </c>
      <c r="G2163">
        <v>174</v>
      </c>
      <c r="H2163" t="str">
        <f>VLOOKUP(G2163,[1]OPERADORES!$A:$B,2,0)</f>
        <v>MIRIÃ LOBATO RODRIGUES</v>
      </c>
      <c r="I2163" t="s">
        <v>21</v>
      </c>
      <c r="J2163" t="s">
        <v>630</v>
      </c>
      <c r="K2163" t="s">
        <v>631</v>
      </c>
      <c r="L2163">
        <v>10236</v>
      </c>
      <c r="M2163" t="s">
        <v>133</v>
      </c>
      <c r="O2163" t="s">
        <v>11</v>
      </c>
      <c r="P2163">
        <v>5102</v>
      </c>
      <c r="Q2163">
        <v>10</v>
      </c>
      <c r="R2163">
        <v>2.79</v>
      </c>
      <c r="S2163">
        <v>27.9</v>
      </c>
      <c r="T2163">
        <v>23.2</v>
      </c>
      <c r="U2163">
        <v>16.850000000000001</v>
      </c>
      <c r="V2163" t="str">
        <f>VLOOKUP(L2163,'[2]tabela de preços'!$A:$D,4,0)</f>
        <v>NORTON</v>
      </c>
      <c r="W2163" t="str">
        <f>VLOOKUP(L2163,'[2]tabela de preços'!$A:$F,6,0)</f>
        <v xml:space="preserve">DISCOS / LIXAS / ABRASIVOS </v>
      </c>
      <c r="X2163" t="str">
        <f>VLOOKUP(L2163,'[2]tabela de preços'!$A:$G,7,0)</f>
        <v>AUTOMOTIVO</v>
      </c>
    </row>
    <row r="2164" spans="1:24" x14ac:dyDescent="0.3">
      <c r="A2164" t="s">
        <v>626</v>
      </c>
      <c r="B2164" t="s">
        <v>627</v>
      </c>
      <c r="C2164" t="s">
        <v>706</v>
      </c>
      <c r="D2164" s="1">
        <v>46050</v>
      </c>
      <c r="E2164" t="s">
        <v>707</v>
      </c>
      <c r="F2164">
        <v>9</v>
      </c>
      <c r="G2164">
        <v>174</v>
      </c>
      <c r="H2164" t="str">
        <f>VLOOKUP(G2164,[1]OPERADORES!$A:$B,2,0)</f>
        <v>MIRIÃ LOBATO RODRIGUES</v>
      </c>
      <c r="I2164" t="s">
        <v>21</v>
      </c>
      <c r="J2164" t="s">
        <v>630</v>
      </c>
      <c r="K2164" t="s">
        <v>631</v>
      </c>
      <c r="L2164">
        <v>10226</v>
      </c>
      <c r="M2164" t="s">
        <v>145</v>
      </c>
      <c r="O2164" t="s">
        <v>11</v>
      </c>
      <c r="P2164">
        <v>5102</v>
      </c>
      <c r="Q2164">
        <v>13</v>
      </c>
      <c r="R2164">
        <v>2.79</v>
      </c>
      <c r="S2164">
        <v>36.270000000000003</v>
      </c>
      <c r="T2164">
        <v>30.16</v>
      </c>
      <c r="U2164">
        <v>16.850000000000001</v>
      </c>
      <c r="V2164" t="str">
        <f>VLOOKUP(L2164,'[2]tabela de preços'!$A:$D,4,0)</f>
        <v>NORTON</v>
      </c>
      <c r="W2164" t="str">
        <f>VLOOKUP(L2164,'[2]tabela de preços'!$A:$F,6,0)</f>
        <v xml:space="preserve">DISCOS / LIXAS / ABRASIVOS </v>
      </c>
      <c r="X2164" t="str">
        <f>VLOOKUP(L2164,'[2]tabela de preços'!$A:$G,7,0)</f>
        <v>AUTOMOTIVO</v>
      </c>
    </row>
    <row r="2165" spans="1:24" x14ac:dyDescent="0.3">
      <c r="A2165" t="s">
        <v>626</v>
      </c>
      <c r="B2165" t="s">
        <v>627</v>
      </c>
      <c r="C2165" t="s">
        <v>706</v>
      </c>
      <c r="D2165" s="1">
        <v>46050</v>
      </c>
      <c r="E2165" t="s">
        <v>707</v>
      </c>
      <c r="F2165">
        <v>9</v>
      </c>
      <c r="G2165">
        <v>174</v>
      </c>
      <c r="H2165" t="str">
        <f>VLOOKUP(G2165,[1]OPERADORES!$A:$B,2,0)</f>
        <v>MIRIÃ LOBATO RODRIGUES</v>
      </c>
      <c r="I2165" t="s">
        <v>21</v>
      </c>
      <c r="J2165" t="s">
        <v>630</v>
      </c>
      <c r="K2165" t="s">
        <v>631</v>
      </c>
      <c r="L2165">
        <v>24248</v>
      </c>
      <c r="M2165" t="s">
        <v>107</v>
      </c>
      <c r="O2165" t="s">
        <v>11</v>
      </c>
      <c r="P2165">
        <v>5102</v>
      </c>
      <c r="Q2165">
        <v>4</v>
      </c>
      <c r="R2165">
        <v>8</v>
      </c>
      <c r="S2165">
        <v>32</v>
      </c>
      <c r="T2165">
        <v>26</v>
      </c>
      <c r="U2165">
        <v>18.75</v>
      </c>
      <c r="V2165" t="str">
        <f>VLOOKUP(L2165,'[2]tabela de preços'!$A:$D,4,0)</f>
        <v>SHERWIN WILLIAMS</v>
      </c>
      <c r="W2165" t="str">
        <f>VLOOKUP(L2165,'[2]tabela de preços'!$A:$F,6,0)</f>
        <v>PRIMER AUTOMOTIVO</v>
      </c>
      <c r="X2165" t="str">
        <f>VLOOKUP(L2165,'[2]tabela de preços'!$A:$G,7,0)</f>
        <v>AUTOMOTIVO</v>
      </c>
    </row>
    <row r="2166" spans="1:24" x14ac:dyDescent="0.3">
      <c r="A2166" t="s">
        <v>626</v>
      </c>
      <c r="B2166" t="s">
        <v>627</v>
      </c>
      <c r="C2166" t="s">
        <v>706</v>
      </c>
      <c r="D2166" s="1">
        <v>46050</v>
      </c>
      <c r="E2166" t="s">
        <v>707</v>
      </c>
      <c r="F2166">
        <v>9</v>
      </c>
      <c r="G2166">
        <v>174</v>
      </c>
      <c r="H2166" t="str">
        <f>VLOOKUP(G2166,[1]OPERADORES!$A:$B,2,0)</f>
        <v>MIRIÃ LOBATO RODRIGUES</v>
      </c>
      <c r="I2166" t="s">
        <v>21</v>
      </c>
      <c r="J2166" t="s">
        <v>630</v>
      </c>
      <c r="K2166" t="s">
        <v>631</v>
      </c>
      <c r="L2166">
        <v>9773</v>
      </c>
      <c r="M2166" t="s">
        <v>703</v>
      </c>
      <c r="O2166" t="s">
        <v>11</v>
      </c>
      <c r="P2166">
        <v>5102</v>
      </c>
      <c r="Q2166">
        <v>2</v>
      </c>
      <c r="R2166">
        <v>95.77</v>
      </c>
      <c r="S2166">
        <v>191.54</v>
      </c>
      <c r="T2166">
        <v>145.38</v>
      </c>
      <c r="U2166">
        <v>24.1</v>
      </c>
      <c r="V2166" t="str">
        <f>VLOOKUP(L2166,'[2]tabela de preços'!$A:$D,4,0)</f>
        <v>SIKKENS</v>
      </c>
      <c r="W2166" t="str">
        <f>VLOOKUP(L2166,'[2]tabela de preços'!$A:$F,6,0)</f>
        <v>CATALISADORES INDIVIDUAS</v>
      </c>
      <c r="X2166" t="str">
        <f>VLOOKUP(L2166,'[2]tabela de preços'!$A:$G,7,0)</f>
        <v>AUTOMOTIVO</v>
      </c>
    </row>
    <row r="2167" spans="1:24" x14ac:dyDescent="0.3">
      <c r="A2167" t="s">
        <v>626</v>
      </c>
      <c r="B2167" t="s">
        <v>627</v>
      </c>
      <c r="C2167" t="s">
        <v>706</v>
      </c>
      <c r="D2167" s="1">
        <v>46050</v>
      </c>
      <c r="E2167" t="s">
        <v>707</v>
      </c>
      <c r="F2167">
        <v>9</v>
      </c>
      <c r="G2167">
        <v>174</v>
      </c>
      <c r="H2167" t="str">
        <f>VLOOKUP(G2167,[1]OPERADORES!$A:$B,2,0)</f>
        <v>MIRIÃ LOBATO RODRIGUES</v>
      </c>
      <c r="I2167" t="s">
        <v>21</v>
      </c>
      <c r="J2167" t="s">
        <v>630</v>
      </c>
      <c r="K2167" t="s">
        <v>631</v>
      </c>
      <c r="L2167">
        <v>9775</v>
      </c>
      <c r="M2167" t="s">
        <v>708</v>
      </c>
      <c r="O2167" t="s">
        <v>11</v>
      </c>
      <c r="P2167">
        <v>5102</v>
      </c>
      <c r="Q2167">
        <v>1</v>
      </c>
      <c r="R2167">
        <v>54.57</v>
      </c>
      <c r="S2167">
        <v>54.57</v>
      </c>
      <c r="T2167">
        <v>41.42</v>
      </c>
      <c r="U2167">
        <v>24.1</v>
      </c>
      <c r="V2167" t="str">
        <f>VLOOKUP(L2167,'[2]tabela de preços'!$A:$D,4,0)</f>
        <v>SIKKENS</v>
      </c>
      <c r="W2167" t="str">
        <f>VLOOKUP(L2167,'[2]tabela de preços'!$A:$F,6,0)</f>
        <v>CATALISADORES INDIVIDUAS</v>
      </c>
      <c r="X2167" t="str">
        <f>VLOOKUP(L2167,'[2]tabela de preços'!$A:$G,7,0)</f>
        <v>AUTOMOTIVO</v>
      </c>
    </row>
    <row r="2168" spans="1:24" x14ac:dyDescent="0.3">
      <c r="A2168" t="s">
        <v>626</v>
      </c>
      <c r="B2168" t="s">
        <v>627</v>
      </c>
      <c r="C2168" t="s">
        <v>706</v>
      </c>
      <c r="D2168" s="1">
        <v>46050</v>
      </c>
      <c r="E2168" t="s">
        <v>707</v>
      </c>
      <c r="F2168">
        <v>9</v>
      </c>
      <c r="G2168">
        <v>174</v>
      </c>
      <c r="H2168" t="str">
        <f>VLOOKUP(G2168,[1]OPERADORES!$A:$B,2,0)</f>
        <v>MIRIÃ LOBATO RODRIGUES</v>
      </c>
      <c r="I2168" t="s">
        <v>21</v>
      </c>
      <c r="J2168" t="s">
        <v>630</v>
      </c>
      <c r="K2168" t="s">
        <v>631</v>
      </c>
      <c r="L2168">
        <v>23690</v>
      </c>
      <c r="M2168" t="s">
        <v>98</v>
      </c>
      <c r="O2168" t="s">
        <v>11</v>
      </c>
      <c r="P2168">
        <v>5403</v>
      </c>
      <c r="Q2168">
        <v>6</v>
      </c>
      <c r="R2168">
        <v>39.89</v>
      </c>
      <c r="S2168">
        <v>239.34</v>
      </c>
      <c r="T2168">
        <v>189.66</v>
      </c>
      <c r="U2168">
        <v>20.76</v>
      </c>
      <c r="V2168" t="str">
        <f>VLOOKUP(L2168,'[2]tabela de preços'!$A:$D,4,0)</f>
        <v>WANDA</v>
      </c>
      <c r="W2168" t="str">
        <f>VLOOKUP(L2168,'[2]tabela de preços'!$A:$F,6,0)</f>
        <v>VERNIZ AUTOMOTIVO</v>
      </c>
      <c r="X2168" t="str">
        <f>VLOOKUP(L2168,'[2]tabela de preços'!$A:$G,7,0)</f>
        <v>AUTOMOTIVO</v>
      </c>
    </row>
    <row r="2169" spans="1:24" x14ac:dyDescent="0.3">
      <c r="A2169" t="s">
        <v>626</v>
      </c>
      <c r="B2169" t="s">
        <v>627</v>
      </c>
      <c r="C2169" t="s">
        <v>706</v>
      </c>
      <c r="D2169" s="1">
        <v>46050</v>
      </c>
      <c r="E2169" t="s">
        <v>707</v>
      </c>
      <c r="F2169">
        <v>9</v>
      </c>
      <c r="G2169">
        <v>174</v>
      </c>
      <c r="H2169" t="str">
        <f>VLOOKUP(G2169,[1]OPERADORES!$A:$B,2,0)</f>
        <v>MIRIÃ LOBATO RODRIGUES</v>
      </c>
      <c r="I2169" t="s">
        <v>21</v>
      </c>
      <c r="J2169" t="s">
        <v>630</v>
      </c>
      <c r="K2169" t="s">
        <v>631</v>
      </c>
      <c r="L2169">
        <v>20318</v>
      </c>
      <c r="M2169" t="s">
        <v>136</v>
      </c>
      <c r="O2169" t="s">
        <v>11</v>
      </c>
      <c r="P2169">
        <v>5403</v>
      </c>
      <c r="Q2169">
        <v>2</v>
      </c>
      <c r="R2169">
        <v>33.4</v>
      </c>
      <c r="S2169">
        <v>66.8</v>
      </c>
      <c r="T2169">
        <v>47.62</v>
      </c>
      <c r="U2169">
        <v>28.71</v>
      </c>
      <c r="V2169" t="str">
        <f>VLOOKUP(L2169,'[2]tabela de preços'!$A:$D,4,0)</f>
        <v>SHERWIN WILLIAMS</v>
      </c>
      <c r="W2169" t="str">
        <f>VLOOKUP(L2169,'[2]tabela de preços'!$A:$F,6,0)</f>
        <v>TINTAS POLIÉSTER</v>
      </c>
      <c r="X2169" t="str">
        <f>VLOOKUP(L2169,'[2]tabela de preços'!$A:$G,7,0)</f>
        <v>AUTOMOTIVO</v>
      </c>
    </row>
    <row r="2170" spans="1:24" x14ac:dyDescent="0.3">
      <c r="A2170" t="s">
        <v>626</v>
      </c>
      <c r="B2170" t="s">
        <v>627</v>
      </c>
      <c r="C2170" t="s">
        <v>706</v>
      </c>
      <c r="D2170" s="1">
        <v>46050</v>
      </c>
      <c r="E2170" t="s">
        <v>707</v>
      </c>
      <c r="F2170">
        <v>9</v>
      </c>
      <c r="G2170">
        <v>174</v>
      </c>
      <c r="H2170" t="str">
        <f>VLOOKUP(G2170,[1]OPERADORES!$A:$B,2,0)</f>
        <v>MIRIÃ LOBATO RODRIGUES</v>
      </c>
      <c r="I2170" t="s">
        <v>21</v>
      </c>
      <c r="J2170" t="s">
        <v>630</v>
      </c>
      <c r="K2170" t="s">
        <v>631</v>
      </c>
      <c r="L2170">
        <v>21820</v>
      </c>
      <c r="M2170" t="s">
        <v>149</v>
      </c>
      <c r="O2170" t="s">
        <v>11</v>
      </c>
      <c r="P2170">
        <v>5403</v>
      </c>
      <c r="Q2170">
        <v>2</v>
      </c>
      <c r="R2170">
        <v>38.61</v>
      </c>
      <c r="S2170">
        <v>77.22</v>
      </c>
      <c r="T2170">
        <v>55.06</v>
      </c>
      <c r="U2170">
        <v>28.7</v>
      </c>
      <c r="V2170" t="str">
        <f>VLOOKUP(L2170,'[2]tabela de preços'!$A:$D,4,0)</f>
        <v>SHERWIN WILLIAMS</v>
      </c>
      <c r="W2170" t="str">
        <f>VLOOKUP(L2170,'[2]tabela de preços'!$A:$F,6,0)</f>
        <v>TINTAS PU</v>
      </c>
      <c r="X2170" t="str">
        <f>VLOOKUP(L2170,'[2]tabela de preços'!$A:$G,7,0)</f>
        <v>AUTOMOTIVO</v>
      </c>
    </row>
    <row r="2171" spans="1:24" x14ac:dyDescent="0.3">
      <c r="A2171" t="s">
        <v>626</v>
      </c>
      <c r="B2171" t="s">
        <v>627</v>
      </c>
      <c r="C2171" t="s">
        <v>706</v>
      </c>
      <c r="D2171" s="1">
        <v>46050</v>
      </c>
      <c r="E2171" t="s">
        <v>707</v>
      </c>
      <c r="F2171">
        <v>9</v>
      </c>
      <c r="G2171">
        <v>174</v>
      </c>
      <c r="H2171" t="str">
        <f>VLOOKUP(G2171,[1]OPERADORES!$A:$B,2,0)</f>
        <v>MIRIÃ LOBATO RODRIGUES</v>
      </c>
      <c r="I2171" t="s">
        <v>21</v>
      </c>
      <c r="J2171" t="s">
        <v>630</v>
      </c>
      <c r="K2171" t="s">
        <v>631</v>
      </c>
      <c r="L2171">
        <v>20472</v>
      </c>
      <c r="M2171" t="s">
        <v>709</v>
      </c>
      <c r="O2171" t="s">
        <v>11</v>
      </c>
      <c r="P2171">
        <v>5403</v>
      </c>
      <c r="Q2171">
        <v>2</v>
      </c>
      <c r="R2171">
        <v>35.78</v>
      </c>
      <c r="S2171">
        <v>71.56</v>
      </c>
      <c r="T2171">
        <v>51.02</v>
      </c>
      <c r="U2171">
        <v>28.7</v>
      </c>
      <c r="V2171" t="str">
        <f>VLOOKUP(L2171,'[2]tabela de preços'!$A:$D,4,0)</f>
        <v>SHERWIN WILLIAMS</v>
      </c>
      <c r="W2171" t="str">
        <f>VLOOKUP(L2171,'[2]tabela de preços'!$A:$F,6,0)</f>
        <v>TINTAS POLIÉSTER</v>
      </c>
      <c r="X2171" t="str">
        <f>VLOOKUP(L2171,'[2]tabela de preços'!$A:$G,7,0)</f>
        <v>AUTOMOTIVO</v>
      </c>
    </row>
    <row r="2172" spans="1:24" x14ac:dyDescent="0.3">
      <c r="A2172" t="s">
        <v>626</v>
      </c>
      <c r="B2172" t="s">
        <v>627</v>
      </c>
      <c r="C2172" t="s">
        <v>706</v>
      </c>
      <c r="D2172" s="1">
        <v>46050</v>
      </c>
      <c r="E2172" t="s">
        <v>707</v>
      </c>
      <c r="F2172">
        <v>9</v>
      </c>
      <c r="G2172">
        <v>174</v>
      </c>
      <c r="H2172" t="str">
        <f>VLOOKUP(G2172,[1]OPERADORES!$A:$B,2,0)</f>
        <v>MIRIÃ LOBATO RODRIGUES</v>
      </c>
      <c r="I2172" t="s">
        <v>21</v>
      </c>
      <c r="J2172" t="s">
        <v>630</v>
      </c>
      <c r="K2172" t="s">
        <v>631</v>
      </c>
      <c r="L2172">
        <v>20846</v>
      </c>
      <c r="M2172" t="s">
        <v>163</v>
      </c>
      <c r="O2172" t="s">
        <v>11</v>
      </c>
      <c r="P2172">
        <v>5102</v>
      </c>
      <c r="Q2172">
        <v>2</v>
      </c>
      <c r="R2172">
        <v>32.44</v>
      </c>
      <c r="S2172">
        <v>64.88</v>
      </c>
      <c r="T2172">
        <v>49.24</v>
      </c>
      <c r="U2172">
        <v>24.11</v>
      </c>
      <c r="V2172" t="str">
        <f>VLOOKUP(L2172,'[2]tabela de preços'!$A:$D,4,0)</f>
        <v>SHERWIN WILLIAMS</v>
      </c>
      <c r="W2172" t="str">
        <f>VLOOKUP(L2172,'[2]tabela de preços'!$A:$F,6,0)</f>
        <v>TINTAS POLIÉSTER</v>
      </c>
      <c r="X2172" t="str">
        <f>VLOOKUP(L2172,'[2]tabela de preços'!$A:$G,7,0)</f>
        <v>AUTOMOTIVO</v>
      </c>
    </row>
    <row r="2173" spans="1:24" x14ac:dyDescent="0.3">
      <c r="A2173" t="s">
        <v>626</v>
      </c>
      <c r="B2173" t="s">
        <v>627</v>
      </c>
      <c r="C2173" t="s">
        <v>706</v>
      </c>
      <c r="D2173" s="1">
        <v>46050</v>
      </c>
      <c r="E2173" t="s">
        <v>707</v>
      </c>
      <c r="F2173">
        <v>9</v>
      </c>
      <c r="G2173">
        <v>174</v>
      </c>
      <c r="H2173" t="str">
        <f>VLOOKUP(G2173,[1]OPERADORES!$A:$B,2,0)</f>
        <v>MIRIÃ LOBATO RODRIGUES</v>
      </c>
      <c r="I2173" t="s">
        <v>21</v>
      </c>
      <c r="J2173" t="s">
        <v>630</v>
      </c>
      <c r="K2173" t="s">
        <v>631</v>
      </c>
      <c r="L2173">
        <v>23267</v>
      </c>
      <c r="M2173" t="s">
        <v>164</v>
      </c>
      <c r="O2173" t="s">
        <v>11</v>
      </c>
      <c r="P2173">
        <v>5102</v>
      </c>
      <c r="Q2173">
        <v>1</v>
      </c>
      <c r="R2173">
        <v>22.89</v>
      </c>
      <c r="S2173">
        <v>22.89</v>
      </c>
      <c r="T2173">
        <v>19.54</v>
      </c>
      <c r="U2173">
        <v>14.64</v>
      </c>
      <c r="V2173" t="str">
        <f>VLOOKUP(L2173,'[2]tabela de preços'!$A:$D,4,0)</f>
        <v>ANJO</v>
      </c>
      <c r="W2173" t="str">
        <f>VLOOKUP(L2173,'[2]tabela de preços'!$A:$F,6,0)</f>
        <v>MASSA POLIÉSTER</v>
      </c>
      <c r="X2173" t="str">
        <f>VLOOKUP(L2173,'[2]tabela de preços'!$A:$G,7,0)</f>
        <v>AUTOMOTIVO</v>
      </c>
    </row>
    <row r="2174" spans="1:24" x14ac:dyDescent="0.3">
      <c r="A2174" t="s">
        <v>626</v>
      </c>
      <c r="B2174" t="s">
        <v>627</v>
      </c>
      <c r="C2174" t="s">
        <v>706</v>
      </c>
      <c r="D2174" s="1">
        <v>46050</v>
      </c>
      <c r="E2174" t="s">
        <v>707</v>
      </c>
      <c r="F2174">
        <v>9</v>
      </c>
      <c r="G2174">
        <v>174</v>
      </c>
      <c r="H2174" t="str">
        <f>VLOOKUP(G2174,[1]OPERADORES!$A:$B,2,0)</f>
        <v>MIRIÃ LOBATO RODRIGUES</v>
      </c>
      <c r="I2174" t="s">
        <v>21</v>
      </c>
      <c r="J2174" t="s">
        <v>630</v>
      </c>
      <c r="K2174" t="s">
        <v>631</v>
      </c>
      <c r="L2174">
        <v>23926</v>
      </c>
      <c r="M2174" t="s">
        <v>645</v>
      </c>
      <c r="O2174" t="s">
        <v>11</v>
      </c>
      <c r="P2174">
        <v>5403</v>
      </c>
      <c r="Q2174">
        <v>1</v>
      </c>
      <c r="R2174">
        <v>147.1</v>
      </c>
      <c r="S2174">
        <v>147.1</v>
      </c>
      <c r="T2174">
        <v>98.89</v>
      </c>
      <c r="U2174">
        <v>32.770000000000003</v>
      </c>
      <c r="V2174" t="str">
        <f>VLOOKUP(L2174,'[2]tabela de preços'!$A:$D,4,0)</f>
        <v>SIKKENS</v>
      </c>
      <c r="W2174" t="str">
        <f>VLOOKUP(L2174,'[2]tabela de preços'!$A:$F,6,0)</f>
        <v>PRIMER AUTOMOTIVO</v>
      </c>
      <c r="X2174" t="str">
        <f>VLOOKUP(L2174,'[2]tabela de preços'!$A:$G,7,0)</f>
        <v>AUTOMOTIVO</v>
      </c>
    </row>
    <row r="2175" spans="1:24" x14ac:dyDescent="0.3">
      <c r="A2175" t="s">
        <v>626</v>
      </c>
      <c r="B2175" t="s">
        <v>627</v>
      </c>
      <c r="C2175" t="s">
        <v>706</v>
      </c>
      <c r="D2175" s="1">
        <v>46050</v>
      </c>
      <c r="E2175" t="s">
        <v>707</v>
      </c>
      <c r="F2175">
        <v>9</v>
      </c>
      <c r="G2175">
        <v>174</v>
      </c>
      <c r="H2175" t="str">
        <f>VLOOKUP(G2175,[1]OPERADORES!$A:$B,2,0)</f>
        <v>MIRIÃ LOBATO RODRIGUES</v>
      </c>
      <c r="I2175" t="s">
        <v>21</v>
      </c>
      <c r="J2175" t="s">
        <v>630</v>
      </c>
      <c r="K2175" t="s">
        <v>631</v>
      </c>
      <c r="L2175">
        <v>24247</v>
      </c>
      <c r="M2175" t="s">
        <v>160</v>
      </c>
      <c r="O2175" t="s">
        <v>11</v>
      </c>
      <c r="P2175">
        <v>5403</v>
      </c>
      <c r="Q2175">
        <v>4</v>
      </c>
      <c r="R2175">
        <v>21</v>
      </c>
      <c r="S2175">
        <v>84</v>
      </c>
      <c r="T2175">
        <v>67.48</v>
      </c>
      <c r="U2175">
        <v>19.670000000000002</v>
      </c>
      <c r="V2175" t="str">
        <f>VLOOKUP(L2175,'[2]tabela de preços'!$A:$D,4,0)</f>
        <v>SHERWIN WILLIAMS</v>
      </c>
      <c r="W2175" t="str">
        <f>VLOOKUP(L2175,'[2]tabela de preços'!$A:$F,6,0)</f>
        <v>PRIMER AUTOMOTIVO</v>
      </c>
      <c r="X2175" t="str">
        <f>VLOOKUP(L2175,'[2]tabela de preços'!$A:$G,7,0)</f>
        <v>AUTOMOTIVO</v>
      </c>
    </row>
    <row r="2176" spans="1:24" x14ac:dyDescent="0.3">
      <c r="A2176" t="s">
        <v>770</v>
      </c>
      <c r="C2176" t="s">
        <v>806</v>
      </c>
      <c r="D2176" s="1">
        <v>46050</v>
      </c>
      <c r="E2176" t="s">
        <v>807</v>
      </c>
      <c r="F2176">
        <v>9</v>
      </c>
      <c r="G2176">
        <v>230</v>
      </c>
      <c r="H2176" t="str">
        <f>VLOOKUP(G2176,[1]OPERADORES!$A:$B,2,0)</f>
        <v>SÔNIA</v>
      </c>
      <c r="I2176" t="s">
        <v>21</v>
      </c>
      <c r="J2176" t="s">
        <v>397</v>
      </c>
      <c r="K2176" t="s">
        <v>773</v>
      </c>
      <c r="L2176">
        <v>23295</v>
      </c>
      <c r="M2176" t="s">
        <v>789</v>
      </c>
      <c r="O2176" t="s">
        <v>11</v>
      </c>
      <c r="P2176">
        <v>5403</v>
      </c>
      <c r="Q2176">
        <v>1</v>
      </c>
      <c r="R2176">
        <v>288.70999999999998</v>
      </c>
      <c r="S2176">
        <v>288.70999999999998</v>
      </c>
      <c r="T2176">
        <v>194.09</v>
      </c>
      <c r="U2176">
        <v>32.770000000000003</v>
      </c>
      <c r="V2176" t="str">
        <f>VLOOKUP(L2176,'[2]tabela de preços'!$A:$D,4,0)</f>
        <v>SIKKENS</v>
      </c>
      <c r="W2176" t="str">
        <f>VLOOKUP(L2176,'[2]tabela de preços'!$A:$F,6,0)</f>
        <v>VERNIZ AUTOMOTIVO</v>
      </c>
      <c r="X2176" t="str">
        <f>VLOOKUP(L2176,'[2]tabela de preços'!$A:$G,7,0)</f>
        <v>AUTOMOTIVO</v>
      </c>
    </row>
    <row r="2177" spans="1:24" x14ac:dyDescent="0.3">
      <c r="A2177" t="s">
        <v>770</v>
      </c>
      <c r="C2177" t="s">
        <v>806</v>
      </c>
      <c r="D2177" s="1">
        <v>46050</v>
      </c>
      <c r="E2177" t="s">
        <v>807</v>
      </c>
      <c r="F2177">
        <v>9</v>
      </c>
      <c r="G2177">
        <v>230</v>
      </c>
      <c r="H2177" t="str">
        <f>VLOOKUP(G2177,[1]OPERADORES!$A:$B,2,0)</f>
        <v>SÔNIA</v>
      </c>
      <c r="I2177" t="s">
        <v>21</v>
      </c>
      <c r="J2177" t="s">
        <v>397</v>
      </c>
      <c r="K2177" t="s">
        <v>773</v>
      </c>
      <c r="L2177">
        <v>23653</v>
      </c>
      <c r="M2177" t="s">
        <v>644</v>
      </c>
      <c r="O2177" t="s">
        <v>11</v>
      </c>
      <c r="P2177">
        <v>5102</v>
      </c>
      <c r="Q2177">
        <v>3</v>
      </c>
      <c r="R2177">
        <v>67.150000000000006</v>
      </c>
      <c r="S2177">
        <v>201.45</v>
      </c>
      <c r="T2177">
        <v>152.91</v>
      </c>
      <c r="U2177">
        <v>24.1</v>
      </c>
      <c r="V2177" t="str">
        <f>VLOOKUP(L2177,'[2]tabela de preços'!$A:$D,4,0)</f>
        <v>SIKKENS</v>
      </c>
      <c r="W2177" t="str">
        <f>VLOOKUP(L2177,'[2]tabela de preços'!$A:$F,6,0)</f>
        <v>CATALISADORES INDIVIDUAS</v>
      </c>
      <c r="X2177" t="str">
        <f>VLOOKUP(L2177,'[2]tabela de preços'!$A:$G,7,0)</f>
        <v>AUTOMOTIVO</v>
      </c>
    </row>
    <row r="2178" spans="1:24" x14ac:dyDescent="0.3">
      <c r="A2178" t="s">
        <v>770</v>
      </c>
      <c r="C2178" t="s">
        <v>806</v>
      </c>
      <c r="D2178" s="1">
        <v>46050</v>
      </c>
      <c r="E2178" t="s">
        <v>807</v>
      </c>
      <c r="F2178">
        <v>9</v>
      </c>
      <c r="G2178">
        <v>230</v>
      </c>
      <c r="H2178" t="str">
        <f>VLOOKUP(G2178,[1]OPERADORES!$A:$B,2,0)</f>
        <v>SÔNIA</v>
      </c>
      <c r="I2178" t="s">
        <v>21</v>
      </c>
      <c r="J2178" t="s">
        <v>397</v>
      </c>
      <c r="K2178" t="s">
        <v>773</v>
      </c>
      <c r="L2178">
        <v>23926</v>
      </c>
      <c r="M2178" t="s">
        <v>645</v>
      </c>
      <c r="O2178" t="s">
        <v>11</v>
      </c>
      <c r="P2178">
        <v>5403</v>
      </c>
      <c r="Q2178">
        <v>1</v>
      </c>
      <c r="R2178">
        <v>147.1</v>
      </c>
      <c r="S2178">
        <v>147.1</v>
      </c>
      <c r="T2178">
        <v>98.89</v>
      </c>
      <c r="U2178">
        <v>32.770000000000003</v>
      </c>
      <c r="V2178" t="str">
        <f>VLOOKUP(L2178,'[2]tabela de preços'!$A:$D,4,0)</f>
        <v>SIKKENS</v>
      </c>
      <c r="W2178" t="str">
        <f>VLOOKUP(L2178,'[2]tabela de preços'!$A:$F,6,0)</f>
        <v>PRIMER AUTOMOTIVO</v>
      </c>
      <c r="X2178" t="str">
        <f>VLOOKUP(L2178,'[2]tabela de preços'!$A:$G,7,0)</f>
        <v>AUTOMOTIVO</v>
      </c>
    </row>
    <row r="2179" spans="1:24" x14ac:dyDescent="0.3">
      <c r="A2179" t="s">
        <v>868</v>
      </c>
      <c r="B2179" t="s">
        <v>869</v>
      </c>
      <c r="C2179" t="s">
        <v>891</v>
      </c>
      <c r="D2179" s="1">
        <v>46050</v>
      </c>
      <c r="E2179" t="s">
        <v>892</v>
      </c>
      <c r="F2179">
        <v>9</v>
      </c>
      <c r="G2179">
        <v>197</v>
      </c>
      <c r="H2179" t="str">
        <f>VLOOKUP(G2179,[1]OPERADORES!$A:$B,2,0)</f>
        <v xml:space="preserve">POLIANA LORRANE DE AMORIM </v>
      </c>
      <c r="I2179" t="s">
        <v>21</v>
      </c>
      <c r="J2179" t="s">
        <v>872</v>
      </c>
      <c r="K2179" t="s">
        <v>873</v>
      </c>
      <c r="L2179">
        <v>84331</v>
      </c>
      <c r="M2179" t="s">
        <v>497</v>
      </c>
      <c r="O2179" t="s">
        <v>11</v>
      </c>
      <c r="P2179">
        <v>5403</v>
      </c>
      <c r="Q2179">
        <v>16</v>
      </c>
      <c r="R2179">
        <v>59.98</v>
      </c>
      <c r="S2179">
        <v>959.68</v>
      </c>
      <c r="T2179">
        <v>832</v>
      </c>
      <c r="U2179">
        <v>13.3</v>
      </c>
      <c r="V2179" t="str">
        <f>VLOOKUP(L2179,'[2]tabela de preços'!$A:$D,4,0)</f>
        <v>BRASILUX</v>
      </c>
      <c r="W2179" t="str">
        <f>VLOOKUP(L2179,'[2]tabela de preços'!$A:$F,6,0)</f>
        <v>ESMALTES</v>
      </c>
      <c r="X2179" t="str">
        <f>VLOOKUP(L2179,'[2]tabela de preços'!$A:$G,7,0)</f>
        <v>INDUSTRIAL</v>
      </c>
    </row>
    <row r="2180" spans="1:24" x14ac:dyDescent="0.3">
      <c r="A2180" t="s">
        <v>868</v>
      </c>
      <c r="B2180" t="s">
        <v>869</v>
      </c>
      <c r="C2180" t="s">
        <v>891</v>
      </c>
      <c r="D2180" s="1">
        <v>46050</v>
      </c>
      <c r="E2180" t="s">
        <v>892</v>
      </c>
      <c r="F2180">
        <v>9</v>
      </c>
      <c r="G2180">
        <v>197</v>
      </c>
      <c r="H2180" t="str">
        <f>VLOOKUP(G2180,[1]OPERADORES!$A:$B,2,0)</f>
        <v xml:space="preserve">POLIANA LORRANE DE AMORIM </v>
      </c>
      <c r="I2180" t="s">
        <v>21</v>
      </c>
      <c r="J2180" t="s">
        <v>872</v>
      </c>
      <c r="K2180" t="s">
        <v>873</v>
      </c>
      <c r="L2180">
        <v>84342</v>
      </c>
      <c r="M2180" t="s">
        <v>498</v>
      </c>
      <c r="O2180" t="s">
        <v>11</v>
      </c>
      <c r="P2180">
        <v>5403</v>
      </c>
      <c r="Q2180">
        <v>4</v>
      </c>
      <c r="R2180">
        <v>59.98</v>
      </c>
      <c r="S2180">
        <v>239.92</v>
      </c>
      <c r="T2180">
        <v>183.12</v>
      </c>
      <c r="U2180">
        <v>23.67</v>
      </c>
      <c r="V2180" t="str">
        <f>VLOOKUP(L2180,'[2]tabela de preços'!$A:$D,4,0)</f>
        <v>BRASILUX</v>
      </c>
      <c r="W2180" t="str">
        <f>VLOOKUP(L2180,'[2]tabela de preços'!$A:$F,6,0)</f>
        <v>ESMALTES</v>
      </c>
      <c r="X2180" t="str">
        <f>VLOOKUP(L2180,'[2]tabela de preços'!$A:$G,7,0)</f>
        <v>INDUSTRIAL</v>
      </c>
    </row>
    <row r="2181" spans="1:24" x14ac:dyDescent="0.3">
      <c r="A2181" t="s">
        <v>1051</v>
      </c>
      <c r="C2181" t="s">
        <v>1056</v>
      </c>
      <c r="D2181" s="1">
        <v>46050</v>
      </c>
      <c r="E2181" t="s">
        <v>1057</v>
      </c>
      <c r="F2181">
        <v>9</v>
      </c>
      <c r="G2181">
        <v>174</v>
      </c>
      <c r="H2181" t="str">
        <f>VLOOKUP(G2181,[1]OPERADORES!$A:$B,2,0)</f>
        <v>MIRIÃ LOBATO RODRIGUES</v>
      </c>
      <c r="I2181" t="s">
        <v>602</v>
      </c>
      <c r="J2181" t="s">
        <v>1054</v>
      </c>
      <c r="K2181" t="s">
        <v>1055</v>
      </c>
      <c r="L2181">
        <v>21078</v>
      </c>
      <c r="M2181" t="s">
        <v>141</v>
      </c>
      <c r="O2181" t="s">
        <v>11</v>
      </c>
      <c r="P2181">
        <v>6102</v>
      </c>
      <c r="Q2181">
        <v>12</v>
      </c>
      <c r="R2181">
        <v>22.89</v>
      </c>
      <c r="S2181">
        <v>274.68</v>
      </c>
      <c r="T2181">
        <v>223.92</v>
      </c>
      <c r="U2181">
        <v>18.48</v>
      </c>
      <c r="V2181" t="str">
        <f>VLOOKUP(L2181,'[2]tabela de preços'!$A:$D,4,0)</f>
        <v>SHERWIN WILLIAMS</v>
      </c>
      <c r="W2181" t="str">
        <f>VLOOKUP(L2181,'[2]tabela de preços'!$A:$F,6,0)</f>
        <v>MASSA POLIÉSTER</v>
      </c>
      <c r="X2181" t="str">
        <f>VLOOKUP(L2181,'[2]tabela de preços'!$A:$G,7,0)</f>
        <v>AUTOMOTIVO</v>
      </c>
    </row>
    <row r="2182" spans="1:24" x14ac:dyDescent="0.3">
      <c r="A2182" t="s">
        <v>1051</v>
      </c>
      <c r="C2182" t="s">
        <v>1056</v>
      </c>
      <c r="D2182" s="1">
        <v>46050</v>
      </c>
      <c r="E2182" t="s">
        <v>1057</v>
      </c>
      <c r="F2182">
        <v>9</v>
      </c>
      <c r="G2182">
        <v>174</v>
      </c>
      <c r="H2182" t="str">
        <f>VLOOKUP(G2182,[1]OPERADORES!$A:$B,2,0)</f>
        <v>MIRIÃ LOBATO RODRIGUES</v>
      </c>
      <c r="I2182" t="s">
        <v>602</v>
      </c>
      <c r="J2182" t="s">
        <v>1054</v>
      </c>
      <c r="K2182" t="s">
        <v>1055</v>
      </c>
      <c r="L2182">
        <v>23267</v>
      </c>
      <c r="M2182" t="s">
        <v>164</v>
      </c>
      <c r="O2182" t="s">
        <v>11</v>
      </c>
      <c r="P2182">
        <v>6102</v>
      </c>
      <c r="Q2182">
        <v>12</v>
      </c>
      <c r="R2182">
        <v>22.89</v>
      </c>
      <c r="S2182">
        <v>274.68</v>
      </c>
      <c r="T2182">
        <v>234.48</v>
      </c>
      <c r="U2182">
        <v>14.64</v>
      </c>
      <c r="V2182" t="str">
        <f>VLOOKUP(L2182,'[2]tabela de preços'!$A:$D,4,0)</f>
        <v>ANJO</v>
      </c>
      <c r="W2182" t="str">
        <f>VLOOKUP(L2182,'[2]tabela de preços'!$A:$F,6,0)</f>
        <v>MASSA POLIÉSTER</v>
      </c>
      <c r="X2182" t="str">
        <f>VLOOKUP(L2182,'[2]tabela de preços'!$A:$G,7,0)</f>
        <v>AUTOMOTIVO</v>
      </c>
    </row>
    <row r="2183" spans="1:24" x14ac:dyDescent="0.3">
      <c r="A2183" t="s">
        <v>1051</v>
      </c>
      <c r="C2183" t="s">
        <v>1056</v>
      </c>
      <c r="D2183" s="1">
        <v>46050</v>
      </c>
      <c r="E2183" t="s">
        <v>1057</v>
      </c>
      <c r="F2183">
        <v>9</v>
      </c>
      <c r="G2183">
        <v>174</v>
      </c>
      <c r="H2183" t="str">
        <f>VLOOKUP(G2183,[1]OPERADORES!$A:$B,2,0)</f>
        <v>MIRIÃ LOBATO RODRIGUES</v>
      </c>
      <c r="I2183" t="s">
        <v>602</v>
      </c>
      <c r="J2183" t="s">
        <v>1054</v>
      </c>
      <c r="K2183" t="s">
        <v>1055</v>
      </c>
      <c r="L2183">
        <v>84560</v>
      </c>
      <c r="M2183" t="s">
        <v>118</v>
      </c>
      <c r="O2183" t="s">
        <v>11</v>
      </c>
      <c r="P2183">
        <v>6102</v>
      </c>
      <c r="Q2183">
        <v>20</v>
      </c>
      <c r="R2183">
        <v>47.89</v>
      </c>
      <c r="S2183">
        <v>957.8</v>
      </c>
      <c r="T2183">
        <v>783.2</v>
      </c>
      <c r="U2183">
        <v>18.23</v>
      </c>
      <c r="V2183" t="str">
        <f>VLOOKUP(L2183,'[2]tabela de preços'!$A:$D,4,0)</f>
        <v>BRASILUX</v>
      </c>
      <c r="W2183" t="str">
        <f>VLOOKUP(L2183,'[2]tabela de preços'!$A:$F,6,0)</f>
        <v>THINNER DE LIMPEZA</v>
      </c>
      <c r="X2183" t="str">
        <f>VLOOKUP(L2183,'[2]tabela de preços'!$A:$G,7,0)</f>
        <v>THINNER</v>
      </c>
    </row>
    <row r="2184" spans="1:24" x14ac:dyDescent="0.3">
      <c r="A2184" t="s">
        <v>1112</v>
      </c>
      <c r="C2184" t="s">
        <v>1122</v>
      </c>
      <c r="D2184" s="1">
        <v>46050</v>
      </c>
      <c r="E2184" t="s">
        <v>1123</v>
      </c>
      <c r="F2184">
        <v>9</v>
      </c>
      <c r="G2184">
        <v>236</v>
      </c>
      <c r="H2184" t="str">
        <f>VLOOKUP(G2184,[1]OPERADORES!$A:$B,2,0)</f>
        <v>DANIEL</v>
      </c>
      <c r="I2184" t="s">
        <v>21</v>
      </c>
      <c r="J2184" t="s">
        <v>211</v>
      </c>
      <c r="K2184" t="s">
        <v>1115</v>
      </c>
      <c r="L2184">
        <v>20817</v>
      </c>
      <c r="M2184" t="s">
        <v>153</v>
      </c>
      <c r="O2184" t="s">
        <v>11</v>
      </c>
      <c r="P2184">
        <v>5102</v>
      </c>
      <c r="Q2184">
        <v>3</v>
      </c>
      <c r="R2184">
        <v>22.89</v>
      </c>
      <c r="S2184">
        <v>68.67</v>
      </c>
      <c r="T2184">
        <v>55.86</v>
      </c>
      <c r="U2184">
        <v>18.649999999999999</v>
      </c>
      <c r="V2184" t="str">
        <f>VLOOKUP(L2184,'[2]tabela de preços'!$A:$D,4,0)</f>
        <v>AUTO AMERICA</v>
      </c>
      <c r="W2184" t="str">
        <f>VLOOKUP(L2184,'[2]tabela de preços'!$A:$F,6,0)</f>
        <v>MASSA DE POLIR</v>
      </c>
      <c r="X2184" t="str">
        <f>VLOOKUP(L2184,'[2]tabela de preços'!$A:$G,7,0)</f>
        <v>AUTOMOTIVO</v>
      </c>
    </row>
    <row r="2185" spans="1:24" x14ac:dyDescent="0.3">
      <c r="A2185" t="s">
        <v>1112</v>
      </c>
      <c r="C2185" t="s">
        <v>1122</v>
      </c>
      <c r="D2185" s="1">
        <v>46050</v>
      </c>
      <c r="E2185" t="s">
        <v>1124</v>
      </c>
      <c r="F2185">
        <v>9</v>
      </c>
      <c r="G2185">
        <v>236</v>
      </c>
      <c r="H2185" t="str">
        <f>VLOOKUP(G2185,[1]OPERADORES!$A:$B,2,0)</f>
        <v>DANIEL</v>
      </c>
      <c r="I2185" t="s">
        <v>21</v>
      </c>
      <c r="J2185" t="s">
        <v>211</v>
      </c>
      <c r="K2185" t="s">
        <v>1115</v>
      </c>
      <c r="L2185">
        <v>84460</v>
      </c>
      <c r="M2185" t="s">
        <v>322</v>
      </c>
      <c r="O2185" t="s">
        <v>11</v>
      </c>
      <c r="P2185">
        <v>5102</v>
      </c>
      <c r="Q2185">
        <v>3</v>
      </c>
      <c r="R2185">
        <v>31.07</v>
      </c>
      <c r="S2185">
        <v>93.21</v>
      </c>
      <c r="T2185">
        <v>70.739999999999995</v>
      </c>
      <c r="U2185">
        <v>24.11</v>
      </c>
      <c r="V2185" t="str">
        <f>VLOOKUP(L2185,'[2]tabela de preços'!$A:$D,4,0)</f>
        <v>BRASILUX</v>
      </c>
      <c r="W2185" t="str">
        <f>VLOOKUP(L2185,'[2]tabela de preços'!$A:$F,6,0)</f>
        <v>VEDADORES / SELANTES</v>
      </c>
      <c r="X2185" t="str">
        <f>VLOOKUP(L2185,'[2]tabela de preços'!$A:$G,7,0)</f>
        <v>AUTOMOTIVO</v>
      </c>
    </row>
    <row r="2186" spans="1:24" x14ac:dyDescent="0.3">
      <c r="A2186" t="s">
        <v>1275</v>
      </c>
      <c r="C2186" t="s">
        <v>1289</v>
      </c>
      <c r="D2186" s="1">
        <v>46050</v>
      </c>
      <c r="E2186" t="s">
        <v>1290</v>
      </c>
      <c r="F2186">
        <v>9</v>
      </c>
      <c r="G2186">
        <v>197</v>
      </c>
      <c r="H2186" t="str">
        <f>VLOOKUP(G2186,[1]OPERADORES!$A:$B,2,0)</f>
        <v xml:space="preserve">POLIANA LORRANE DE AMORIM </v>
      </c>
      <c r="I2186" t="s">
        <v>21</v>
      </c>
      <c r="J2186" t="s">
        <v>1278</v>
      </c>
      <c r="K2186" t="s">
        <v>1279</v>
      </c>
      <c r="L2186">
        <v>85292</v>
      </c>
      <c r="M2186" t="s">
        <v>1288</v>
      </c>
      <c r="O2186" t="s">
        <v>11</v>
      </c>
      <c r="P2186">
        <v>5403</v>
      </c>
      <c r="Q2186">
        <v>2</v>
      </c>
      <c r="R2186">
        <v>175.37</v>
      </c>
      <c r="S2186">
        <v>350.74</v>
      </c>
      <c r="T2186">
        <v>257.14</v>
      </c>
      <c r="U2186">
        <v>26.69</v>
      </c>
      <c r="V2186" t="str">
        <f>VLOOKUP(L2186,'[2]tabela de preços'!$A:$D,4,0)</f>
        <v>BRASILUX</v>
      </c>
      <c r="W2186" t="str">
        <f>VLOOKUP(L2186,'[2]tabela de preços'!$A:$F,6,0)</f>
        <v>EPOXI</v>
      </c>
      <c r="X2186" t="str">
        <f>VLOOKUP(L2186,'[2]tabela de preços'!$A:$G,7,0)</f>
        <v>INDUSTRIAL</v>
      </c>
    </row>
    <row r="2187" spans="1:24" x14ac:dyDescent="0.3">
      <c r="A2187" t="s">
        <v>1302</v>
      </c>
      <c r="C2187" t="s">
        <v>1303</v>
      </c>
      <c r="D2187" s="1">
        <v>46050</v>
      </c>
      <c r="E2187" t="s">
        <v>1304</v>
      </c>
      <c r="F2187">
        <v>9</v>
      </c>
      <c r="G2187">
        <v>236</v>
      </c>
      <c r="H2187" t="str">
        <f>VLOOKUP(G2187,[1]OPERADORES!$A:$B,2,0)</f>
        <v>DANIEL</v>
      </c>
      <c r="I2187" t="s">
        <v>21</v>
      </c>
      <c r="J2187" t="s">
        <v>494</v>
      </c>
      <c r="K2187" t="s">
        <v>1305</v>
      </c>
      <c r="L2187">
        <v>85694</v>
      </c>
      <c r="M2187" t="s">
        <v>1306</v>
      </c>
      <c r="O2187" t="s">
        <v>11</v>
      </c>
      <c r="P2187">
        <v>5102</v>
      </c>
      <c r="Q2187">
        <v>2</v>
      </c>
      <c r="R2187">
        <v>8.41</v>
      </c>
      <c r="S2187">
        <v>16.82</v>
      </c>
      <c r="T2187">
        <v>12.34</v>
      </c>
      <c r="U2187">
        <v>26.63</v>
      </c>
      <c r="V2187" t="str">
        <f>VLOOKUP(L2187,'[2]tabela de preços'!$A:$D,4,0)</f>
        <v>UNIPEGA</v>
      </c>
      <c r="W2187" t="str">
        <f>VLOOKUP(L2187,'[2]tabela de preços'!$A:$F,6,0)</f>
        <v>PU 40</v>
      </c>
      <c r="X2187" t="str">
        <f>VLOOKUP(L2187,'[2]tabela de preços'!$A:$G,7,0)</f>
        <v>IMOBILIÁRIO</v>
      </c>
    </row>
    <row r="2188" spans="1:24" x14ac:dyDescent="0.3">
      <c r="A2188" t="s">
        <v>1302</v>
      </c>
      <c r="C2188" t="s">
        <v>1303</v>
      </c>
      <c r="D2188" s="1">
        <v>46050</v>
      </c>
      <c r="E2188" t="s">
        <v>1304</v>
      </c>
      <c r="F2188">
        <v>9</v>
      </c>
      <c r="G2188">
        <v>236</v>
      </c>
      <c r="H2188" t="str">
        <f>VLOOKUP(G2188,[1]OPERADORES!$A:$B,2,0)</f>
        <v>DANIEL</v>
      </c>
      <c r="I2188" t="s">
        <v>21</v>
      </c>
      <c r="J2188" t="s">
        <v>494</v>
      </c>
      <c r="K2188" t="s">
        <v>1305</v>
      </c>
      <c r="L2188">
        <v>23462</v>
      </c>
      <c r="M2188" t="s">
        <v>1307</v>
      </c>
      <c r="O2188" t="s">
        <v>11</v>
      </c>
      <c r="P2188">
        <v>5102</v>
      </c>
      <c r="Q2188">
        <v>1</v>
      </c>
      <c r="R2188">
        <v>51.91</v>
      </c>
      <c r="S2188">
        <v>51.91</v>
      </c>
      <c r="T2188">
        <v>38.06</v>
      </c>
      <c r="U2188">
        <v>26.68</v>
      </c>
      <c r="V2188" t="str">
        <f>VLOOKUP(L2188,'[2]tabela de preços'!$A:$D,4,0)</f>
        <v>3M</v>
      </c>
      <c r="W2188" t="str">
        <f>VLOOKUP(L2188,'[2]tabela de preços'!$A:$F,6,0)</f>
        <v xml:space="preserve">LÍQUIDOS P/ POLIMENTO </v>
      </c>
      <c r="X2188" t="str">
        <f>VLOOKUP(L2188,'[2]tabela de preços'!$A:$G,7,0)</f>
        <v>AUTOMOTIVO</v>
      </c>
    </row>
    <row r="2189" spans="1:24" x14ac:dyDescent="0.3">
      <c r="A2189" t="s">
        <v>1302</v>
      </c>
      <c r="C2189" t="s">
        <v>1303</v>
      </c>
      <c r="D2189" s="1">
        <v>46050</v>
      </c>
      <c r="E2189" t="s">
        <v>1304</v>
      </c>
      <c r="F2189">
        <v>9</v>
      </c>
      <c r="G2189">
        <v>236</v>
      </c>
      <c r="H2189" t="str">
        <f>VLOOKUP(G2189,[1]OPERADORES!$A:$B,2,0)</f>
        <v>DANIEL</v>
      </c>
      <c r="I2189" t="s">
        <v>21</v>
      </c>
      <c r="J2189" t="s">
        <v>494</v>
      </c>
      <c r="K2189" t="s">
        <v>1305</v>
      </c>
      <c r="L2189">
        <v>20099</v>
      </c>
      <c r="M2189" t="s">
        <v>1308</v>
      </c>
      <c r="O2189" t="s">
        <v>11</v>
      </c>
      <c r="P2189">
        <v>5403</v>
      </c>
      <c r="Q2189">
        <v>2</v>
      </c>
      <c r="R2189">
        <v>16.46</v>
      </c>
      <c r="S2189">
        <v>32.92</v>
      </c>
      <c r="T2189">
        <v>24.14</v>
      </c>
      <c r="U2189">
        <v>26.67</v>
      </c>
      <c r="V2189" t="str">
        <f>VLOOKUP(L2189,'[2]tabela de preços'!$A:$D,4,0)</f>
        <v>MAXI RUBBER</v>
      </c>
      <c r="W2189" t="str">
        <f>VLOOKUP(L2189,'[2]tabela de preços'!$A:$F,6,0)</f>
        <v>BATIDA DE PEDRA</v>
      </c>
      <c r="X2189" t="str">
        <f>VLOOKUP(L2189,'[2]tabela de preços'!$A:$G,7,0)</f>
        <v>AUTOMOTIVO</v>
      </c>
    </row>
    <row r="2190" spans="1:24" x14ac:dyDescent="0.3">
      <c r="A2190" t="s">
        <v>1302</v>
      </c>
      <c r="C2190" t="s">
        <v>1303</v>
      </c>
      <c r="D2190" s="1">
        <v>46050</v>
      </c>
      <c r="E2190" t="s">
        <v>1304</v>
      </c>
      <c r="F2190">
        <v>9</v>
      </c>
      <c r="G2190">
        <v>236</v>
      </c>
      <c r="H2190" t="str">
        <f>VLOOKUP(G2190,[1]OPERADORES!$A:$B,2,0)</f>
        <v>DANIEL</v>
      </c>
      <c r="I2190" t="s">
        <v>21</v>
      </c>
      <c r="J2190" t="s">
        <v>494</v>
      </c>
      <c r="K2190" t="s">
        <v>1305</v>
      </c>
      <c r="L2190">
        <v>84108</v>
      </c>
      <c r="M2190" t="s">
        <v>144</v>
      </c>
      <c r="O2190" t="s">
        <v>11</v>
      </c>
      <c r="P2190">
        <v>5403</v>
      </c>
      <c r="Q2190">
        <v>1</v>
      </c>
      <c r="R2190">
        <v>28.25</v>
      </c>
      <c r="S2190">
        <v>28.25</v>
      </c>
      <c r="T2190">
        <v>20.71</v>
      </c>
      <c r="U2190">
        <v>26.69</v>
      </c>
      <c r="V2190" t="str">
        <f>VLOOKUP(L2190,'[2]tabela de preços'!$A:$D,4,0)</f>
        <v>BRASILUX</v>
      </c>
      <c r="W2190" t="str">
        <f>VLOOKUP(L2190,'[2]tabela de preços'!$A:$F,6,0)</f>
        <v>TINTAS LACA</v>
      </c>
      <c r="X2190" t="str">
        <f>VLOOKUP(L2190,'[2]tabela de preços'!$A:$G,7,0)</f>
        <v>AUTOMOTIVO</v>
      </c>
    </row>
    <row r="2191" spans="1:24" x14ac:dyDescent="0.3">
      <c r="A2191" t="s">
        <v>1302</v>
      </c>
      <c r="C2191" t="s">
        <v>1303</v>
      </c>
      <c r="D2191" s="1">
        <v>46050</v>
      </c>
      <c r="E2191" t="s">
        <v>1304</v>
      </c>
      <c r="F2191">
        <v>9</v>
      </c>
      <c r="G2191">
        <v>236</v>
      </c>
      <c r="H2191" t="str">
        <f>VLOOKUP(G2191,[1]OPERADORES!$A:$B,2,0)</f>
        <v>DANIEL</v>
      </c>
      <c r="I2191" t="s">
        <v>21</v>
      </c>
      <c r="J2191" t="s">
        <v>494</v>
      </c>
      <c r="K2191" t="s">
        <v>1305</v>
      </c>
      <c r="L2191">
        <v>20048</v>
      </c>
      <c r="M2191" t="s">
        <v>1309</v>
      </c>
      <c r="O2191" t="s">
        <v>11</v>
      </c>
      <c r="P2191">
        <v>5102</v>
      </c>
      <c r="Q2191">
        <v>1</v>
      </c>
      <c r="R2191">
        <v>18.649999999999999</v>
      </c>
      <c r="S2191">
        <v>18.649999999999999</v>
      </c>
      <c r="T2191">
        <v>13.67</v>
      </c>
      <c r="U2191">
        <v>26.7</v>
      </c>
      <c r="V2191" t="str">
        <f>VLOOKUP(L2191,'[2]tabela de preços'!$A:$D,4,0)</f>
        <v>3M</v>
      </c>
      <c r="W2191" t="str">
        <f>VLOOKUP(L2191,'[2]tabela de preços'!$A:$F,6,0)</f>
        <v>CERA  / LIMPEZA /  POLIMENTO VEICULAR</v>
      </c>
      <c r="X2191" t="str">
        <f>VLOOKUP(L2191,'[2]tabela de preços'!$A:$G,7,0)</f>
        <v>AUTOMOTIVO</v>
      </c>
    </row>
    <row r="2192" spans="1:24" x14ac:dyDescent="0.3">
      <c r="A2192" t="s">
        <v>1302</v>
      </c>
      <c r="C2192" t="s">
        <v>1303</v>
      </c>
      <c r="D2192" s="1">
        <v>46050</v>
      </c>
      <c r="E2192" t="s">
        <v>1304</v>
      </c>
      <c r="F2192">
        <v>9</v>
      </c>
      <c r="G2192">
        <v>236</v>
      </c>
      <c r="H2192" t="str">
        <f>VLOOKUP(G2192,[1]OPERADORES!$A:$B,2,0)</f>
        <v>DANIEL</v>
      </c>
      <c r="I2192" t="s">
        <v>21</v>
      </c>
      <c r="J2192" t="s">
        <v>494</v>
      </c>
      <c r="K2192" t="s">
        <v>1305</v>
      </c>
      <c r="L2192">
        <v>21274</v>
      </c>
      <c r="M2192" t="s">
        <v>810</v>
      </c>
      <c r="O2192" t="s">
        <v>11</v>
      </c>
      <c r="P2192">
        <v>5102</v>
      </c>
      <c r="Q2192">
        <v>10</v>
      </c>
      <c r="R2192">
        <v>0.85</v>
      </c>
      <c r="S2192">
        <v>8.5</v>
      </c>
      <c r="T2192">
        <v>5.5</v>
      </c>
      <c r="U2192">
        <v>35.29</v>
      </c>
      <c r="V2192" t="str">
        <f>VLOOKUP(L2192,'[2]tabela de preços'!$A:$D,4,0)</f>
        <v>SHERWIN WILLIAMS</v>
      </c>
      <c r="W2192" t="str">
        <f>VLOOKUP(L2192,'[2]tabela de preços'!$A:$F,6,0)</f>
        <v>COADORES</v>
      </c>
      <c r="X2192" t="str">
        <f>VLOOKUP(L2192,'[2]tabela de preços'!$A:$G,7,0)</f>
        <v>AUTOMOTIVO</v>
      </c>
    </row>
    <row r="2193" spans="1:24" x14ac:dyDescent="0.3">
      <c r="A2193" t="s">
        <v>1302</v>
      </c>
      <c r="C2193" t="s">
        <v>1303</v>
      </c>
      <c r="D2193" s="1">
        <v>46050</v>
      </c>
      <c r="E2193" t="s">
        <v>1304</v>
      </c>
      <c r="F2193">
        <v>9</v>
      </c>
      <c r="G2193">
        <v>236</v>
      </c>
      <c r="H2193" t="str">
        <f>VLOOKUP(G2193,[1]OPERADORES!$A:$B,2,0)</f>
        <v>DANIEL</v>
      </c>
      <c r="I2193" t="s">
        <v>21</v>
      </c>
      <c r="J2193" t="s">
        <v>494</v>
      </c>
      <c r="K2193" t="s">
        <v>1305</v>
      </c>
      <c r="L2193">
        <v>23434</v>
      </c>
      <c r="M2193" t="s">
        <v>1310</v>
      </c>
      <c r="O2193" t="s">
        <v>11</v>
      </c>
      <c r="P2193">
        <v>5102</v>
      </c>
      <c r="Q2193">
        <v>5</v>
      </c>
      <c r="R2193">
        <v>3.44</v>
      </c>
      <c r="S2193">
        <v>17.2</v>
      </c>
      <c r="T2193">
        <v>12.6</v>
      </c>
      <c r="U2193">
        <v>26.74</v>
      </c>
      <c r="V2193" t="str">
        <f>VLOOKUP(L2193,'[2]tabela de preços'!$A:$D,4,0)</f>
        <v>NORTON</v>
      </c>
      <c r="W2193" t="str">
        <f>VLOOKUP(L2193,'[2]tabela de preços'!$A:$F,6,0)</f>
        <v xml:space="preserve">OUTROS DISCOS </v>
      </c>
      <c r="X2193" t="str">
        <f>VLOOKUP(L2193,'[2]tabela de preços'!$A:$G,7,0)</f>
        <v>AUTOMOTIVO</v>
      </c>
    </row>
    <row r="2194" spans="1:24" x14ac:dyDescent="0.3">
      <c r="A2194" t="s">
        <v>1302</v>
      </c>
      <c r="C2194" t="s">
        <v>1303</v>
      </c>
      <c r="D2194" s="1">
        <v>46050</v>
      </c>
      <c r="E2194" t="s">
        <v>1304</v>
      </c>
      <c r="F2194">
        <v>9</v>
      </c>
      <c r="G2194">
        <v>236</v>
      </c>
      <c r="H2194" t="str">
        <f>VLOOKUP(G2194,[1]OPERADORES!$A:$B,2,0)</f>
        <v>DANIEL</v>
      </c>
      <c r="I2194" t="s">
        <v>21</v>
      </c>
      <c r="J2194" t="s">
        <v>494</v>
      </c>
      <c r="K2194" t="s">
        <v>1305</v>
      </c>
      <c r="L2194">
        <v>10236</v>
      </c>
      <c r="M2194" t="s">
        <v>133</v>
      </c>
      <c r="O2194" t="s">
        <v>11</v>
      </c>
      <c r="P2194">
        <v>5102</v>
      </c>
      <c r="Q2194">
        <v>20</v>
      </c>
      <c r="R2194">
        <v>2.79</v>
      </c>
      <c r="S2194">
        <v>55.8</v>
      </c>
      <c r="T2194">
        <v>46.4</v>
      </c>
      <c r="U2194">
        <v>16.850000000000001</v>
      </c>
      <c r="V2194" t="str">
        <f>VLOOKUP(L2194,'[2]tabela de preços'!$A:$D,4,0)</f>
        <v>NORTON</v>
      </c>
      <c r="W2194" t="str">
        <f>VLOOKUP(L2194,'[2]tabela de preços'!$A:$F,6,0)</f>
        <v xml:space="preserve">DISCOS / LIXAS / ABRASIVOS </v>
      </c>
      <c r="X2194" t="str">
        <f>VLOOKUP(L2194,'[2]tabela de preços'!$A:$G,7,0)</f>
        <v>AUTOMOTIVO</v>
      </c>
    </row>
    <row r="2195" spans="1:24" x14ac:dyDescent="0.3">
      <c r="A2195" t="s">
        <v>1302</v>
      </c>
      <c r="C2195" t="s">
        <v>1303</v>
      </c>
      <c r="D2195" s="1">
        <v>46050</v>
      </c>
      <c r="E2195" t="s">
        <v>1304</v>
      </c>
      <c r="F2195">
        <v>9</v>
      </c>
      <c r="G2195">
        <v>236</v>
      </c>
      <c r="H2195" t="str">
        <f>VLOOKUP(G2195,[1]OPERADORES!$A:$B,2,0)</f>
        <v>DANIEL</v>
      </c>
      <c r="I2195" t="s">
        <v>21</v>
      </c>
      <c r="J2195" t="s">
        <v>494</v>
      </c>
      <c r="K2195" t="s">
        <v>1305</v>
      </c>
      <c r="L2195">
        <v>10232</v>
      </c>
      <c r="M2195" t="s">
        <v>134</v>
      </c>
      <c r="O2195" t="s">
        <v>11</v>
      </c>
      <c r="P2195">
        <v>5102</v>
      </c>
      <c r="Q2195">
        <v>20</v>
      </c>
      <c r="R2195">
        <v>2.79</v>
      </c>
      <c r="S2195">
        <v>55.8</v>
      </c>
      <c r="T2195">
        <v>45</v>
      </c>
      <c r="U2195">
        <v>19.350000000000001</v>
      </c>
      <c r="V2195" t="str">
        <f>VLOOKUP(L2195,'[2]tabela de preços'!$A:$D,4,0)</f>
        <v>NORTON</v>
      </c>
      <c r="W2195" t="str">
        <f>VLOOKUP(L2195,'[2]tabela de preços'!$A:$F,6,0)</f>
        <v xml:space="preserve">DISCOS / LIXAS / ABRASIVOS </v>
      </c>
      <c r="X2195" t="str">
        <f>VLOOKUP(L2195,'[2]tabela de preços'!$A:$G,7,0)</f>
        <v>AUTOMOTIVO</v>
      </c>
    </row>
    <row r="2196" spans="1:24" x14ac:dyDescent="0.3">
      <c r="A2196" t="s">
        <v>1302</v>
      </c>
      <c r="C2196" t="s">
        <v>1303</v>
      </c>
      <c r="D2196" s="1">
        <v>46050</v>
      </c>
      <c r="E2196" t="s">
        <v>1304</v>
      </c>
      <c r="F2196">
        <v>9</v>
      </c>
      <c r="G2196">
        <v>236</v>
      </c>
      <c r="H2196" t="str">
        <f>VLOOKUP(G2196,[1]OPERADORES!$A:$B,2,0)</f>
        <v>DANIEL</v>
      </c>
      <c r="I2196" t="s">
        <v>21</v>
      </c>
      <c r="J2196" t="s">
        <v>494</v>
      </c>
      <c r="K2196" t="s">
        <v>1305</v>
      </c>
      <c r="L2196">
        <v>10234</v>
      </c>
      <c r="M2196" t="s">
        <v>157</v>
      </c>
      <c r="O2196" t="s">
        <v>11</v>
      </c>
      <c r="P2196">
        <v>5102</v>
      </c>
      <c r="Q2196">
        <v>20</v>
      </c>
      <c r="R2196">
        <v>2.79</v>
      </c>
      <c r="S2196">
        <v>55.8</v>
      </c>
      <c r="T2196">
        <v>46.4</v>
      </c>
      <c r="U2196">
        <v>16.850000000000001</v>
      </c>
      <c r="V2196" t="str">
        <f>VLOOKUP(L2196,'[2]tabela de preços'!$A:$D,4,0)</f>
        <v>NORTON</v>
      </c>
      <c r="W2196" t="str">
        <f>VLOOKUP(L2196,'[2]tabela de preços'!$A:$F,6,0)</f>
        <v xml:space="preserve">DISCOS / LIXAS / ABRASIVOS </v>
      </c>
      <c r="X2196" t="str">
        <f>VLOOKUP(L2196,'[2]tabela de preços'!$A:$G,7,0)</f>
        <v>AUTOMOTIVO</v>
      </c>
    </row>
    <row r="2197" spans="1:24" x14ac:dyDescent="0.3">
      <c r="A2197" t="s">
        <v>1302</v>
      </c>
      <c r="C2197" t="s">
        <v>1303</v>
      </c>
      <c r="D2197" s="1">
        <v>46050</v>
      </c>
      <c r="E2197" t="s">
        <v>1304</v>
      </c>
      <c r="F2197">
        <v>9</v>
      </c>
      <c r="G2197">
        <v>236</v>
      </c>
      <c r="H2197" t="str">
        <f>VLOOKUP(G2197,[1]OPERADORES!$A:$B,2,0)</f>
        <v>DANIEL</v>
      </c>
      <c r="I2197" t="s">
        <v>21</v>
      </c>
      <c r="J2197" t="s">
        <v>494</v>
      </c>
      <c r="K2197" t="s">
        <v>1305</v>
      </c>
      <c r="L2197">
        <v>24248</v>
      </c>
      <c r="M2197" t="s">
        <v>107</v>
      </c>
      <c r="O2197" t="s">
        <v>11</v>
      </c>
      <c r="P2197">
        <v>5102</v>
      </c>
      <c r="Q2197">
        <v>7</v>
      </c>
      <c r="R2197">
        <v>8</v>
      </c>
      <c r="S2197">
        <v>56</v>
      </c>
      <c r="T2197">
        <v>45.5</v>
      </c>
      <c r="U2197">
        <v>18.75</v>
      </c>
      <c r="V2197" t="str">
        <f>VLOOKUP(L2197,'[2]tabela de preços'!$A:$D,4,0)</f>
        <v>SHERWIN WILLIAMS</v>
      </c>
      <c r="W2197" t="str">
        <f>VLOOKUP(L2197,'[2]tabela de preços'!$A:$F,6,0)</f>
        <v>PRIMER AUTOMOTIVO</v>
      </c>
      <c r="X2197" t="str">
        <f>VLOOKUP(L2197,'[2]tabela de preços'!$A:$G,7,0)</f>
        <v>AUTOMOTIVO</v>
      </c>
    </row>
    <row r="2198" spans="1:24" x14ac:dyDescent="0.3">
      <c r="A2198" t="s">
        <v>1302</v>
      </c>
      <c r="C2198" t="s">
        <v>1303</v>
      </c>
      <c r="D2198" s="1">
        <v>46050</v>
      </c>
      <c r="E2198" t="s">
        <v>1304</v>
      </c>
      <c r="F2198">
        <v>9</v>
      </c>
      <c r="G2198">
        <v>236</v>
      </c>
      <c r="H2198" t="str">
        <f>VLOOKUP(G2198,[1]OPERADORES!$A:$B,2,0)</f>
        <v>DANIEL</v>
      </c>
      <c r="I2198" t="s">
        <v>21</v>
      </c>
      <c r="J2198" t="s">
        <v>494</v>
      </c>
      <c r="K2198" t="s">
        <v>1305</v>
      </c>
      <c r="L2198">
        <v>20245</v>
      </c>
      <c r="M2198" t="s">
        <v>146</v>
      </c>
      <c r="O2198" t="s">
        <v>11</v>
      </c>
      <c r="P2198">
        <v>5102</v>
      </c>
      <c r="Q2198">
        <v>2</v>
      </c>
      <c r="R2198">
        <v>1.84</v>
      </c>
      <c r="S2198">
        <v>3.68</v>
      </c>
      <c r="T2198">
        <v>2.7</v>
      </c>
      <c r="U2198">
        <v>26.63</v>
      </c>
      <c r="V2198" t="str">
        <f>VLOOKUP(L2198,'[2]tabela de preços'!$A:$D,4,0)</f>
        <v>ATLAS</v>
      </c>
      <c r="W2198" t="str">
        <f>VLOOKUP(L2198,'[2]tabela de preços'!$A:$F,6,0)</f>
        <v>APLICADORES / ADAPTADORES / ENGATES / SUPORTES</v>
      </c>
      <c r="X2198" t="str">
        <f>VLOOKUP(L2198,'[2]tabela de preços'!$A:$G,7,0)</f>
        <v>AUTOMOTIVO</v>
      </c>
    </row>
    <row r="2199" spans="1:24" x14ac:dyDescent="0.3">
      <c r="A2199" t="s">
        <v>1302</v>
      </c>
      <c r="C2199" t="s">
        <v>1303</v>
      </c>
      <c r="D2199" s="1">
        <v>46050</v>
      </c>
      <c r="E2199" t="s">
        <v>1304</v>
      </c>
      <c r="F2199">
        <v>9</v>
      </c>
      <c r="G2199">
        <v>236</v>
      </c>
      <c r="H2199" t="str">
        <f>VLOOKUP(G2199,[1]OPERADORES!$A:$B,2,0)</f>
        <v>DANIEL</v>
      </c>
      <c r="I2199" t="s">
        <v>21</v>
      </c>
      <c r="J2199" t="s">
        <v>494</v>
      </c>
      <c r="K2199" t="s">
        <v>1305</v>
      </c>
      <c r="L2199">
        <v>5</v>
      </c>
      <c r="M2199" t="s">
        <v>147</v>
      </c>
      <c r="O2199" t="s">
        <v>11</v>
      </c>
      <c r="P2199">
        <v>5102</v>
      </c>
      <c r="Q2199">
        <v>3</v>
      </c>
      <c r="R2199">
        <v>5.33</v>
      </c>
      <c r="S2199">
        <v>15.99</v>
      </c>
      <c r="T2199">
        <v>11.73</v>
      </c>
      <c r="U2199">
        <v>26.64</v>
      </c>
      <c r="V2199" t="str">
        <f>VLOOKUP(L2199,'[2]tabela de preços'!$A:$D,4,0)</f>
        <v>BRILHO ESTOPA</v>
      </c>
      <c r="W2199" t="str">
        <f>VLOOKUP(L2199,'[2]tabela de preços'!$A:$F,6,0)</f>
        <v>ESTOPAS</v>
      </c>
      <c r="X2199" t="str">
        <f>VLOOKUP(L2199,'[2]tabela de preços'!$A:$G,7,0)</f>
        <v>AUTOMOTIVO</v>
      </c>
    </row>
    <row r="2200" spans="1:24" x14ac:dyDescent="0.3">
      <c r="A2200" t="s">
        <v>1302</v>
      </c>
      <c r="C2200" t="s">
        <v>1303</v>
      </c>
      <c r="D2200" s="1">
        <v>46050</v>
      </c>
      <c r="E2200" t="s">
        <v>1304</v>
      </c>
      <c r="F2200">
        <v>9</v>
      </c>
      <c r="G2200">
        <v>236</v>
      </c>
      <c r="H2200" t="str">
        <f>VLOOKUP(G2200,[1]OPERADORES!$A:$B,2,0)</f>
        <v>DANIEL</v>
      </c>
      <c r="I2200" t="s">
        <v>21</v>
      </c>
      <c r="J2200" t="s">
        <v>494</v>
      </c>
      <c r="K2200" t="s">
        <v>1305</v>
      </c>
      <c r="L2200">
        <v>22684</v>
      </c>
      <c r="M2200" t="s">
        <v>73</v>
      </c>
      <c r="O2200" t="s">
        <v>11</v>
      </c>
      <c r="P2200">
        <v>5102</v>
      </c>
      <c r="Q2200">
        <v>3</v>
      </c>
      <c r="R2200">
        <v>3.65</v>
      </c>
      <c r="S2200">
        <v>10.95</v>
      </c>
      <c r="T2200">
        <v>9.24</v>
      </c>
      <c r="U2200">
        <v>15.62</v>
      </c>
      <c r="V2200" t="str">
        <f>VLOOKUP(L2200,'[2]tabela de preços'!$A:$D,4,0)</f>
        <v>3M</v>
      </c>
      <c r="W2200" t="str">
        <f>VLOOKUP(L2200,'[2]tabela de preços'!$A:$F,6,0)</f>
        <v>FITA AUTOMOTIVA</v>
      </c>
      <c r="X2200" t="str">
        <f>VLOOKUP(L2200,'[2]tabela de preços'!$A:$G,7,0)</f>
        <v>AUTOMOTIVO</v>
      </c>
    </row>
    <row r="2201" spans="1:24" x14ac:dyDescent="0.3">
      <c r="A2201" t="s">
        <v>1302</v>
      </c>
      <c r="C2201" t="s">
        <v>1303</v>
      </c>
      <c r="D2201" s="1">
        <v>46050</v>
      </c>
      <c r="E2201" t="s">
        <v>1304</v>
      </c>
      <c r="F2201">
        <v>9</v>
      </c>
      <c r="G2201">
        <v>236</v>
      </c>
      <c r="H2201" t="str">
        <f>VLOOKUP(G2201,[1]OPERADORES!$A:$B,2,0)</f>
        <v>DANIEL</v>
      </c>
      <c r="I2201" t="s">
        <v>21</v>
      </c>
      <c r="J2201" t="s">
        <v>494</v>
      </c>
      <c r="K2201" t="s">
        <v>1305</v>
      </c>
      <c r="L2201">
        <v>22188</v>
      </c>
      <c r="M2201" t="s">
        <v>78</v>
      </c>
      <c r="O2201" t="s">
        <v>11</v>
      </c>
      <c r="P2201">
        <v>5102</v>
      </c>
      <c r="Q2201">
        <v>2</v>
      </c>
      <c r="R2201">
        <v>14.85</v>
      </c>
      <c r="S2201">
        <v>29.7</v>
      </c>
      <c r="T2201">
        <v>21.78</v>
      </c>
      <c r="U2201">
        <v>26.67</v>
      </c>
      <c r="V2201" t="str">
        <f>VLOOKUP(L2201,'[2]tabela de preços'!$A:$D,4,0)</f>
        <v>3M</v>
      </c>
      <c r="W2201" t="str">
        <f>VLOOKUP(L2201,'[2]tabela de preços'!$A:$F,6,0)</f>
        <v>FITA AUTOMOTIVA</v>
      </c>
      <c r="X2201" t="str">
        <f>VLOOKUP(L2201,'[2]tabela de preços'!$A:$G,7,0)</f>
        <v>AUTOMOTIVO</v>
      </c>
    </row>
    <row r="2202" spans="1:24" x14ac:dyDescent="0.3">
      <c r="A2202" t="s">
        <v>1302</v>
      </c>
      <c r="C2202" t="s">
        <v>1303</v>
      </c>
      <c r="D2202" s="1">
        <v>46050</v>
      </c>
      <c r="E2202" t="s">
        <v>1304</v>
      </c>
      <c r="F2202">
        <v>9</v>
      </c>
      <c r="G2202">
        <v>236</v>
      </c>
      <c r="H2202" t="str">
        <f>VLOOKUP(G2202,[1]OPERADORES!$A:$B,2,0)</f>
        <v>DANIEL</v>
      </c>
      <c r="I2202" t="s">
        <v>21</v>
      </c>
      <c r="J2202" t="s">
        <v>494</v>
      </c>
      <c r="K2202" t="s">
        <v>1305</v>
      </c>
      <c r="L2202">
        <v>23384</v>
      </c>
      <c r="M2202" t="s">
        <v>1311</v>
      </c>
      <c r="O2202" t="s">
        <v>11</v>
      </c>
      <c r="P2202">
        <v>5403</v>
      </c>
      <c r="Q2202">
        <v>2</v>
      </c>
      <c r="R2202">
        <v>50.36</v>
      </c>
      <c r="S2202">
        <v>100.72</v>
      </c>
      <c r="T2202">
        <v>73.84</v>
      </c>
      <c r="U2202">
        <v>26.69</v>
      </c>
      <c r="V2202" t="str">
        <f>VLOOKUP(L2202,'[2]tabela de preços'!$A:$D,4,0)</f>
        <v>WANDA</v>
      </c>
      <c r="W2202" t="str">
        <f>VLOOKUP(L2202,'[2]tabela de preços'!$A:$F,6,0)</f>
        <v>TINTAS PU</v>
      </c>
      <c r="X2202" t="str">
        <f>VLOOKUP(L2202,'[2]tabela de preços'!$A:$G,7,0)</f>
        <v>AUTOMOTIVO</v>
      </c>
    </row>
    <row r="2203" spans="1:24" x14ac:dyDescent="0.3">
      <c r="A2203" t="s">
        <v>1302</v>
      </c>
      <c r="C2203" t="s">
        <v>1303</v>
      </c>
      <c r="D2203" s="1">
        <v>46050</v>
      </c>
      <c r="E2203" t="s">
        <v>1304</v>
      </c>
      <c r="F2203">
        <v>9</v>
      </c>
      <c r="G2203">
        <v>236</v>
      </c>
      <c r="H2203" t="str">
        <f>VLOOKUP(G2203,[1]OPERADORES!$A:$B,2,0)</f>
        <v>DANIEL</v>
      </c>
      <c r="I2203" t="s">
        <v>21</v>
      </c>
      <c r="J2203" t="s">
        <v>494</v>
      </c>
      <c r="K2203" t="s">
        <v>1305</v>
      </c>
      <c r="L2203">
        <v>13</v>
      </c>
      <c r="M2203" t="s">
        <v>152</v>
      </c>
      <c r="O2203" t="s">
        <v>11</v>
      </c>
      <c r="P2203">
        <v>5102</v>
      </c>
      <c r="Q2203">
        <v>7</v>
      </c>
      <c r="R2203">
        <v>5.79</v>
      </c>
      <c r="S2203">
        <v>40.53</v>
      </c>
      <c r="T2203">
        <v>29.12</v>
      </c>
      <c r="U2203">
        <v>28.15</v>
      </c>
      <c r="V2203" t="str">
        <f>VLOOKUP(L2203,'[2]tabela de preços'!$A:$D,4,0)</f>
        <v>3M</v>
      </c>
      <c r="W2203" t="str">
        <f>VLOOKUP(L2203,'[2]tabela de preços'!$A:$F,6,0)</f>
        <v>LIXA DÁGUA</v>
      </c>
      <c r="X2203" t="str">
        <f>VLOOKUP(L2203,'[2]tabela de preços'!$A:$G,7,0)</f>
        <v>AUTOMOTIVO</v>
      </c>
    </row>
    <row r="2204" spans="1:24" x14ac:dyDescent="0.3">
      <c r="A2204" t="s">
        <v>1302</v>
      </c>
      <c r="C2204" t="s">
        <v>1303</v>
      </c>
      <c r="D2204" s="1">
        <v>46050</v>
      </c>
      <c r="E2204" t="s">
        <v>1304</v>
      </c>
      <c r="F2204">
        <v>9</v>
      </c>
      <c r="G2204">
        <v>236</v>
      </c>
      <c r="H2204" t="str">
        <f>VLOOKUP(G2204,[1]OPERADORES!$A:$B,2,0)</f>
        <v>DANIEL</v>
      </c>
      <c r="I2204" t="s">
        <v>21</v>
      </c>
      <c r="J2204" t="s">
        <v>494</v>
      </c>
      <c r="K2204" t="s">
        <v>1305</v>
      </c>
      <c r="L2204">
        <v>16</v>
      </c>
      <c r="M2204" t="s">
        <v>122</v>
      </c>
      <c r="O2204" t="s">
        <v>11</v>
      </c>
      <c r="P2204">
        <v>5102</v>
      </c>
      <c r="Q2204">
        <v>7</v>
      </c>
      <c r="R2204">
        <v>3</v>
      </c>
      <c r="S2204">
        <v>21</v>
      </c>
      <c r="T2204">
        <v>15.4</v>
      </c>
      <c r="U2204">
        <v>26.67</v>
      </c>
      <c r="V2204" t="str">
        <f>VLOOKUP(L2204,'[2]tabela de preços'!$A:$D,4,0)</f>
        <v>3M</v>
      </c>
      <c r="W2204" t="str">
        <f>VLOOKUP(L2204,'[2]tabela de preços'!$A:$F,6,0)</f>
        <v>LIXA DÁGUA</v>
      </c>
      <c r="X2204" t="str">
        <f>VLOOKUP(L2204,'[2]tabela de preços'!$A:$G,7,0)</f>
        <v>AUTOMOTIVO</v>
      </c>
    </row>
    <row r="2205" spans="1:24" x14ac:dyDescent="0.3">
      <c r="A2205" t="s">
        <v>1302</v>
      </c>
      <c r="C2205" t="s">
        <v>1303</v>
      </c>
      <c r="D2205" s="1">
        <v>46050</v>
      </c>
      <c r="E2205" t="s">
        <v>1304</v>
      </c>
      <c r="F2205">
        <v>9</v>
      </c>
      <c r="G2205">
        <v>236</v>
      </c>
      <c r="H2205" t="str">
        <f>VLOOKUP(G2205,[1]OPERADORES!$A:$B,2,0)</f>
        <v>DANIEL</v>
      </c>
      <c r="I2205" t="s">
        <v>21</v>
      </c>
      <c r="J2205" t="s">
        <v>494</v>
      </c>
      <c r="K2205" t="s">
        <v>1305</v>
      </c>
      <c r="L2205">
        <v>10238</v>
      </c>
      <c r="M2205" t="s">
        <v>79</v>
      </c>
      <c r="O2205" t="s">
        <v>11</v>
      </c>
      <c r="P2205">
        <v>5102</v>
      </c>
      <c r="Q2205">
        <v>15</v>
      </c>
      <c r="R2205">
        <v>2.79</v>
      </c>
      <c r="S2205">
        <v>41.85</v>
      </c>
      <c r="T2205">
        <v>33.6</v>
      </c>
      <c r="U2205">
        <v>19.71</v>
      </c>
      <c r="V2205" t="str">
        <f>VLOOKUP(L2205,'[2]tabela de preços'!$A:$D,4,0)</f>
        <v>NORTON</v>
      </c>
      <c r="W2205" t="str">
        <f>VLOOKUP(L2205,'[2]tabela de preços'!$A:$F,6,0)</f>
        <v xml:space="preserve">DISCOS / LIXAS / ABRASIVOS </v>
      </c>
      <c r="X2205" t="str">
        <f>VLOOKUP(L2205,'[2]tabela de preços'!$A:$G,7,0)</f>
        <v>AUTOMOTIVO</v>
      </c>
    </row>
    <row r="2206" spans="1:24" x14ac:dyDescent="0.3">
      <c r="A2206" t="s">
        <v>1302</v>
      </c>
      <c r="C2206" t="s">
        <v>1303</v>
      </c>
      <c r="D2206" s="1">
        <v>46050</v>
      </c>
      <c r="E2206" t="s">
        <v>1304</v>
      </c>
      <c r="F2206">
        <v>9</v>
      </c>
      <c r="G2206">
        <v>236</v>
      </c>
      <c r="H2206" t="str">
        <f>VLOOKUP(G2206,[1]OPERADORES!$A:$B,2,0)</f>
        <v>DANIEL</v>
      </c>
      <c r="I2206" t="s">
        <v>21</v>
      </c>
      <c r="J2206" t="s">
        <v>494</v>
      </c>
      <c r="K2206" t="s">
        <v>1305</v>
      </c>
      <c r="L2206">
        <v>10243</v>
      </c>
      <c r="M2206" t="s">
        <v>83</v>
      </c>
      <c r="O2206" t="s">
        <v>11</v>
      </c>
      <c r="P2206">
        <v>5102</v>
      </c>
      <c r="Q2206">
        <v>15</v>
      </c>
      <c r="R2206">
        <v>2.79</v>
      </c>
      <c r="S2206">
        <v>41.85</v>
      </c>
      <c r="T2206">
        <v>28.95</v>
      </c>
      <c r="U2206">
        <v>30.82</v>
      </c>
      <c r="V2206" t="str">
        <f>VLOOKUP(L2206,'[2]tabela de preços'!$A:$D,4,0)</f>
        <v>NORTON</v>
      </c>
      <c r="W2206" t="str">
        <f>VLOOKUP(L2206,'[2]tabela de preços'!$A:$F,6,0)</f>
        <v xml:space="preserve">DISCOS / LIXAS / ABRASIVOS </v>
      </c>
      <c r="X2206" t="str">
        <f>VLOOKUP(L2206,'[2]tabela de preços'!$A:$G,7,0)</f>
        <v>AUTOMOTIVO</v>
      </c>
    </row>
    <row r="2207" spans="1:24" x14ac:dyDescent="0.3">
      <c r="A2207" t="s">
        <v>1302</v>
      </c>
      <c r="C2207" t="s">
        <v>1303</v>
      </c>
      <c r="D2207" s="1">
        <v>46050</v>
      </c>
      <c r="E2207" t="s">
        <v>1304</v>
      </c>
      <c r="F2207">
        <v>9</v>
      </c>
      <c r="G2207">
        <v>236</v>
      </c>
      <c r="H2207" t="str">
        <f>VLOOKUP(G2207,[1]OPERADORES!$A:$B,2,0)</f>
        <v>DANIEL</v>
      </c>
      <c r="I2207" t="s">
        <v>21</v>
      </c>
      <c r="J2207" t="s">
        <v>494</v>
      </c>
      <c r="K2207" t="s">
        <v>1305</v>
      </c>
      <c r="L2207">
        <v>10244</v>
      </c>
      <c r="M2207" t="s">
        <v>84</v>
      </c>
      <c r="O2207" t="s">
        <v>11</v>
      </c>
      <c r="P2207">
        <v>5102</v>
      </c>
      <c r="Q2207">
        <v>15</v>
      </c>
      <c r="R2207">
        <v>2.79</v>
      </c>
      <c r="S2207">
        <v>41.85</v>
      </c>
      <c r="T2207">
        <v>28.95</v>
      </c>
      <c r="U2207">
        <v>30.82</v>
      </c>
      <c r="V2207" t="str">
        <f>VLOOKUP(L2207,'[2]tabela de preços'!$A:$D,4,0)</f>
        <v>NORTON</v>
      </c>
      <c r="W2207" t="str">
        <f>VLOOKUP(L2207,'[2]tabela de preços'!$A:$F,6,0)</f>
        <v xml:space="preserve">DISCOS / LIXAS / ABRASIVOS </v>
      </c>
      <c r="X2207" t="str">
        <f>VLOOKUP(L2207,'[2]tabela de preços'!$A:$G,7,0)</f>
        <v>AUTOMOTIVO</v>
      </c>
    </row>
    <row r="2208" spans="1:24" x14ac:dyDescent="0.3">
      <c r="A2208" t="s">
        <v>1302</v>
      </c>
      <c r="C2208" t="s">
        <v>1303</v>
      </c>
      <c r="D2208" s="1">
        <v>46050</v>
      </c>
      <c r="E2208" t="s">
        <v>1304</v>
      </c>
      <c r="F2208">
        <v>9</v>
      </c>
      <c r="G2208">
        <v>236</v>
      </c>
      <c r="H2208" t="str">
        <f>VLOOKUP(G2208,[1]OPERADORES!$A:$B,2,0)</f>
        <v>DANIEL</v>
      </c>
      <c r="I2208" t="s">
        <v>21</v>
      </c>
      <c r="J2208" t="s">
        <v>494</v>
      </c>
      <c r="K2208" t="s">
        <v>1305</v>
      </c>
      <c r="L2208">
        <v>20817</v>
      </c>
      <c r="M2208" t="s">
        <v>153</v>
      </c>
      <c r="O2208" t="s">
        <v>11</v>
      </c>
      <c r="P2208">
        <v>5102</v>
      </c>
      <c r="Q2208">
        <v>1</v>
      </c>
      <c r="R2208">
        <v>22.89</v>
      </c>
      <c r="S2208">
        <v>22.89</v>
      </c>
      <c r="T2208">
        <v>18.62</v>
      </c>
      <c r="U2208">
        <v>18.649999999999999</v>
      </c>
      <c r="V2208" t="str">
        <f>VLOOKUP(L2208,'[2]tabela de preços'!$A:$D,4,0)</f>
        <v>AUTO AMERICA</v>
      </c>
      <c r="W2208" t="str">
        <f>VLOOKUP(L2208,'[2]tabela de preços'!$A:$F,6,0)</f>
        <v>MASSA DE POLIR</v>
      </c>
      <c r="X2208" t="str">
        <f>VLOOKUP(L2208,'[2]tabela de preços'!$A:$G,7,0)</f>
        <v>AUTOMOTIVO</v>
      </c>
    </row>
    <row r="2209" spans="1:24" x14ac:dyDescent="0.3">
      <c r="A2209" t="s">
        <v>1302</v>
      </c>
      <c r="C2209" t="s">
        <v>1303</v>
      </c>
      <c r="D2209" s="1">
        <v>46050</v>
      </c>
      <c r="E2209" t="s">
        <v>1304</v>
      </c>
      <c r="F2209">
        <v>9</v>
      </c>
      <c r="G2209">
        <v>236</v>
      </c>
      <c r="H2209" t="str">
        <f>VLOOKUP(G2209,[1]OPERADORES!$A:$B,2,0)</f>
        <v>DANIEL</v>
      </c>
      <c r="I2209" t="s">
        <v>21</v>
      </c>
      <c r="J2209" t="s">
        <v>494</v>
      </c>
      <c r="K2209" t="s">
        <v>1305</v>
      </c>
      <c r="L2209">
        <v>20525</v>
      </c>
      <c r="M2209" t="s">
        <v>137</v>
      </c>
      <c r="O2209" t="s">
        <v>11</v>
      </c>
      <c r="P2209">
        <v>5102</v>
      </c>
      <c r="Q2209">
        <v>1</v>
      </c>
      <c r="R2209">
        <v>14.13</v>
      </c>
      <c r="S2209">
        <v>14.13</v>
      </c>
      <c r="T2209">
        <v>10.36</v>
      </c>
      <c r="U2209">
        <v>26.68</v>
      </c>
      <c r="V2209" t="str">
        <f>VLOOKUP(L2209,'[2]tabela de preços'!$A:$D,4,0)</f>
        <v>SHERWIN WILLIAMS</v>
      </c>
      <c r="W2209" t="str">
        <f>VLOOKUP(L2209,'[2]tabela de preços'!$A:$F,6,0)</f>
        <v>MASSA DE PEQUENOS REPAROS</v>
      </c>
      <c r="X2209" t="str">
        <f>VLOOKUP(L2209,'[2]tabela de preços'!$A:$G,7,0)</f>
        <v>AUTOMOTIVO</v>
      </c>
    </row>
    <row r="2210" spans="1:24" x14ac:dyDescent="0.3">
      <c r="A2210" t="s">
        <v>1302</v>
      </c>
      <c r="C2210" t="s">
        <v>1303</v>
      </c>
      <c r="D2210" s="1">
        <v>46050</v>
      </c>
      <c r="E2210" t="s">
        <v>1304</v>
      </c>
      <c r="F2210">
        <v>9</v>
      </c>
      <c r="G2210">
        <v>236</v>
      </c>
      <c r="H2210" t="str">
        <f>VLOOKUP(G2210,[1]OPERADORES!$A:$B,2,0)</f>
        <v>DANIEL</v>
      </c>
      <c r="I2210" t="s">
        <v>21</v>
      </c>
      <c r="J2210" t="s">
        <v>494</v>
      </c>
      <c r="K2210" t="s">
        <v>1305</v>
      </c>
      <c r="L2210">
        <v>23267</v>
      </c>
      <c r="M2210" t="s">
        <v>164</v>
      </c>
      <c r="O2210" t="s">
        <v>11</v>
      </c>
      <c r="P2210">
        <v>5102</v>
      </c>
      <c r="Q2210">
        <v>5</v>
      </c>
      <c r="R2210">
        <v>22.89</v>
      </c>
      <c r="S2210">
        <v>114.45</v>
      </c>
      <c r="T2210">
        <v>97.7</v>
      </c>
      <c r="U2210">
        <v>14.64</v>
      </c>
      <c r="V2210" t="str">
        <f>VLOOKUP(L2210,'[2]tabela de preços'!$A:$D,4,0)</f>
        <v>ANJO</v>
      </c>
      <c r="W2210" t="str">
        <f>VLOOKUP(L2210,'[2]tabela de preços'!$A:$F,6,0)</f>
        <v>MASSA POLIÉSTER</v>
      </c>
      <c r="X2210" t="str">
        <f>VLOOKUP(L2210,'[2]tabela de preços'!$A:$G,7,0)</f>
        <v>AUTOMOTIVO</v>
      </c>
    </row>
    <row r="2211" spans="1:24" x14ac:dyDescent="0.3">
      <c r="A2211" t="s">
        <v>1302</v>
      </c>
      <c r="C2211" t="s">
        <v>1303</v>
      </c>
      <c r="D2211" s="1">
        <v>46050</v>
      </c>
      <c r="E2211" t="s">
        <v>1304</v>
      </c>
      <c r="F2211">
        <v>9</v>
      </c>
      <c r="G2211">
        <v>236</v>
      </c>
      <c r="H2211" t="str">
        <f>VLOOKUP(G2211,[1]OPERADORES!$A:$B,2,0)</f>
        <v>DANIEL</v>
      </c>
      <c r="I2211" t="s">
        <v>21</v>
      </c>
      <c r="J2211" t="s">
        <v>494</v>
      </c>
      <c r="K2211" t="s">
        <v>1305</v>
      </c>
      <c r="L2211">
        <v>22180</v>
      </c>
      <c r="M2211" t="s">
        <v>404</v>
      </c>
      <c r="O2211" t="s">
        <v>11</v>
      </c>
      <c r="P2211">
        <v>5102</v>
      </c>
      <c r="Q2211">
        <v>2</v>
      </c>
      <c r="R2211">
        <v>19.97</v>
      </c>
      <c r="S2211">
        <v>39.94</v>
      </c>
      <c r="T2211">
        <v>29.28</v>
      </c>
      <c r="U2211">
        <v>26.69</v>
      </c>
      <c r="V2211" t="str">
        <f>VLOOKUP(L2211,'[2]tabela de preços'!$A:$D,4,0)</f>
        <v>MADRUGA</v>
      </c>
      <c r="W2211" t="str">
        <f>VLOOKUP(L2211,'[2]tabela de preços'!$A:$F,6,0)</f>
        <v>PAPEL DE MASCARAMENTO</v>
      </c>
      <c r="X2211" t="str">
        <f>VLOOKUP(L2211,'[2]tabela de preços'!$A:$G,7,0)</f>
        <v>AUTOMOTIVO</v>
      </c>
    </row>
    <row r="2212" spans="1:24" x14ac:dyDescent="0.3">
      <c r="A2212" t="s">
        <v>1302</v>
      </c>
      <c r="C2212" t="s">
        <v>1303</v>
      </c>
      <c r="D2212" s="1">
        <v>46050</v>
      </c>
      <c r="E2212" t="s">
        <v>1304</v>
      </c>
      <c r="F2212">
        <v>9</v>
      </c>
      <c r="G2212">
        <v>236</v>
      </c>
      <c r="H2212" t="str">
        <f>VLOOKUP(G2212,[1]OPERADORES!$A:$B,2,0)</f>
        <v>DANIEL</v>
      </c>
      <c r="I2212" t="s">
        <v>21</v>
      </c>
      <c r="J2212" t="s">
        <v>494</v>
      </c>
      <c r="K2212" t="s">
        <v>1305</v>
      </c>
      <c r="L2212">
        <v>24247</v>
      </c>
      <c r="M2212" t="s">
        <v>160</v>
      </c>
      <c r="O2212" t="s">
        <v>11</v>
      </c>
      <c r="P2212">
        <v>5403</v>
      </c>
      <c r="Q2212">
        <v>7</v>
      </c>
      <c r="R2212">
        <v>21</v>
      </c>
      <c r="S2212">
        <v>147</v>
      </c>
      <c r="T2212">
        <v>118.09</v>
      </c>
      <c r="U2212">
        <v>19.670000000000002</v>
      </c>
      <c r="V2212" t="str">
        <f>VLOOKUP(L2212,'[2]tabela de preços'!$A:$D,4,0)</f>
        <v>SHERWIN WILLIAMS</v>
      </c>
      <c r="W2212" t="str">
        <f>VLOOKUP(L2212,'[2]tabela de preços'!$A:$F,6,0)</f>
        <v>PRIMER AUTOMOTIVO</v>
      </c>
      <c r="X2212" t="str">
        <f>VLOOKUP(L2212,'[2]tabela de preços'!$A:$G,7,0)</f>
        <v>AUTOMOTIVO</v>
      </c>
    </row>
    <row r="2213" spans="1:24" x14ac:dyDescent="0.3">
      <c r="A2213" t="s">
        <v>1302</v>
      </c>
      <c r="C2213" t="s">
        <v>1303</v>
      </c>
      <c r="D2213" s="1">
        <v>46050</v>
      </c>
      <c r="E2213" t="s">
        <v>1304</v>
      </c>
      <c r="F2213">
        <v>9</v>
      </c>
      <c r="G2213">
        <v>236</v>
      </c>
      <c r="H2213" t="str">
        <f>VLOOKUP(G2213,[1]OPERADORES!$A:$B,2,0)</f>
        <v>DANIEL</v>
      </c>
      <c r="I2213" t="s">
        <v>21</v>
      </c>
      <c r="J2213" t="s">
        <v>494</v>
      </c>
      <c r="K2213" t="s">
        <v>1305</v>
      </c>
      <c r="L2213">
        <v>20212</v>
      </c>
      <c r="M2213" t="s">
        <v>198</v>
      </c>
      <c r="O2213" t="s">
        <v>11</v>
      </c>
      <c r="P2213">
        <v>5403</v>
      </c>
      <c r="Q2213">
        <v>1</v>
      </c>
      <c r="R2213">
        <v>27.9</v>
      </c>
      <c r="S2213">
        <v>27.9</v>
      </c>
      <c r="T2213">
        <v>20.46</v>
      </c>
      <c r="U2213">
        <v>26.67</v>
      </c>
      <c r="V2213" t="str">
        <f>VLOOKUP(L2213,'[2]tabela de preços'!$A:$D,4,0)</f>
        <v>MAXI RUBBER</v>
      </c>
      <c r="W2213" t="str">
        <f>VLOOKUP(L2213,'[2]tabela de preços'!$A:$F,6,0)</f>
        <v>SELADORA P/ PLASTICO</v>
      </c>
      <c r="X2213" t="str">
        <f>VLOOKUP(L2213,'[2]tabela de preços'!$A:$G,7,0)</f>
        <v>AUTOMOTIVO</v>
      </c>
    </row>
    <row r="2214" spans="1:24" x14ac:dyDescent="0.3">
      <c r="A2214" t="s">
        <v>1302</v>
      </c>
      <c r="C2214" t="s">
        <v>1303</v>
      </c>
      <c r="D2214" s="1">
        <v>46050</v>
      </c>
      <c r="E2214" t="s">
        <v>1304</v>
      </c>
      <c r="F2214">
        <v>9</v>
      </c>
      <c r="G2214">
        <v>236</v>
      </c>
      <c r="H2214" t="str">
        <f>VLOOKUP(G2214,[1]OPERADORES!$A:$B,2,0)</f>
        <v>DANIEL</v>
      </c>
      <c r="I2214" t="s">
        <v>21</v>
      </c>
      <c r="J2214" t="s">
        <v>494</v>
      </c>
      <c r="K2214" t="s">
        <v>1305</v>
      </c>
      <c r="L2214">
        <v>10298</v>
      </c>
      <c r="M2214" t="s">
        <v>85</v>
      </c>
      <c r="O2214" t="s">
        <v>11</v>
      </c>
      <c r="P2214">
        <v>5102</v>
      </c>
      <c r="Q2214">
        <v>2</v>
      </c>
      <c r="R2214">
        <v>56.89</v>
      </c>
      <c r="S2214">
        <v>113.78</v>
      </c>
      <c r="T2214">
        <v>94.76</v>
      </c>
      <c r="U2214">
        <v>16.72</v>
      </c>
      <c r="V2214" t="str">
        <f>VLOOKUP(L2214,'[2]tabela de preços'!$A:$D,4,0)</f>
        <v>ANJO</v>
      </c>
      <c r="W2214" t="str">
        <f>VLOOKUP(L2214,'[2]tabela de preços'!$A:$F,6,0)</f>
        <v>THINNER DE LIMPEZA</v>
      </c>
      <c r="X2214" t="str">
        <f>VLOOKUP(L2214,'[2]tabela de preços'!$A:$G,7,0)</f>
        <v>THINNER</v>
      </c>
    </row>
    <row r="2215" spans="1:24" x14ac:dyDescent="0.3">
      <c r="A2215" t="s">
        <v>1302</v>
      </c>
      <c r="C2215" t="s">
        <v>1303</v>
      </c>
      <c r="D2215" s="1">
        <v>46050</v>
      </c>
      <c r="E2215" t="s">
        <v>1304</v>
      </c>
      <c r="F2215">
        <v>9</v>
      </c>
      <c r="G2215">
        <v>236</v>
      </c>
      <c r="H2215" t="str">
        <f>VLOOKUP(G2215,[1]OPERADORES!$A:$B,2,0)</f>
        <v>DANIEL</v>
      </c>
      <c r="I2215" t="s">
        <v>21</v>
      </c>
      <c r="J2215" t="s">
        <v>494</v>
      </c>
      <c r="K2215" t="s">
        <v>1305</v>
      </c>
      <c r="L2215">
        <v>20414</v>
      </c>
      <c r="M2215" t="s">
        <v>112</v>
      </c>
      <c r="O2215" t="s">
        <v>11</v>
      </c>
      <c r="P2215">
        <v>5102</v>
      </c>
      <c r="Q2215">
        <v>4</v>
      </c>
      <c r="R2215">
        <v>21.89</v>
      </c>
      <c r="S2215">
        <v>87.56</v>
      </c>
      <c r="T2215">
        <v>72</v>
      </c>
      <c r="U2215">
        <v>17.77</v>
      </c>
      <c r="V2215" t="str">
        <f>VLOOKUP(L2215,'[2]tabela de preços'!$A:$D,4,0)</f>
        <v>SHERWIN WILLIAMS</v>
      </c>
      <c r="W2215" t="str">
        <f>VLOOKUP(L2215,'[2]tabela de preços'!$A:$F,6,0)</f>
        <v>DILUENTE</v>
      </c>
      <c r="X2215" t="str">
        <f>VLOOKUP(L2215,'[2]tabela de preços'!$A:$G,7,0)</f>
        <v>AUTOMOTIVO</v>
      </c>
    </row>
    <row r="2216" spans="1:24" x14ac:dyDescent="0.3">
      <c r="A2216" t="s">
        <v>1302</v>
      </c>
      <c r="C2216" t="s">
        <v>1303</v>
      </c>
      <c r="D2216" s="1">
        <v>46050</v>
      </c>
      <c r="E2216" t="s">
        <v>1304</v>
      </c>
      <c r="F2216">
        <v>9</v>
      </c>
      <c r="G2216">
        <v>236</v>
      </c>
      <c r="H2216" t="str">
        <f>VLOOKUP(G2216,[1]OPERADORES!$A:$B,2,0)</f>
        <v>DANIEL</v>
      </c>
      <c r="I2216" t="s">
        <v>21</v>
      </c>
      <c r="J2216" t="s">
        <v>494</v>
      </c>
      <c r="K2216" t="s">
        <v>1305</v>
      </c>
      <c r="L2216">
        <v>21321</v>
      </c>
      <c r="M2216" t="s">
        <v>272</v>
      </c>
      <c r="O2216" t="s">
        <v>11</v>
      </c>
      <c r="P2216">
        <v>5102</v>
      </c>
      <c r="Q2216">
        <v>1</v>
      </c>
      <c r="R2216">
        <v>20.95</v>
      </c>
      <c r="S2216">
        <v>20.95</v>
      </c>
      <c r="T2216">
        <v>15.36</v>
      </c>
      <c r="U2216">
        <v>26.68</v>
      </c>
      <c r="V2216" t="str">
        <f>VLOOKUP(L2216,'[2]tabela de preços'!$A:$D,4,0)</f>
        <v>AUTO AMERICA</v>
      </c>
      <c r="W2216" t="str">
        <f>VLOOKUP(L2216,'[2]tabela de preços'!$A:$F,6,0)</f>
        <v>CERA  / LIMPEZA /  POLIMENTO VEICULAR</v>
      </c>
      <c r="X2216" t="str">
        <f>VLOOKUP(L2216,'[2]tabela de preços'!$A:$G,7,0)</f>
        <v>AUTOMOTIVO</v>
      </c>
    </row>
    <row r="2217" spans="1:24" x14ac:dyDescent="0.3">
      <c r="A2217" t="s">
        <v>1302</v>
      </c>
      <c r="C2217" t="s">
        <v>1303</v>
      </c>
      <c r="D2217" s="1">
        <v>46050</v>
      </c>
      <c r="E2217" t="s">
        <v>1304</v>
      </c>
      <c r="F2217">
        <v>9</v>
      </c>
      <c r="G2217">
        <v>236</v>
      </c>
      <c r="H2217" t="str">
        <f>VLOOKUP(G2217,[1]OPERADORES!$A:$B,2,0)</f>
        <v>DANIEL</v>
      </c>
      <c r="I2217" t="s">
        <v>21</v>
      </c>
      <c r="J2217" t="s">
        <v>494</v>
      </c>
      <c r="K2217" t="s">
        <v>1305</v>
      </c>
      <c r="L2217">
        <v>23624</v>
      </c>
      <c r="M2217" t="s">
        <v>1312</v>
      </c>
      <c r="O2217" t="s">
        <v>11</v>
      </c>
      <c r="P2217">
        <v>5102</v>
      </c>
      <c r="Q2217">
        <v>1</v>
      </c>
      <c r="R2217">
        <v>51.31</v>
      </c>
      <c r="S2217">
        <v>51.31</v>
      </c>
      <c r="T2217">
        <v>37.619999999999997</v>
      </c>
      <c r="U2217">
        <v>26.68</v>
      </c>
      <c r="V2217" t="str">
        <f>VLOOKUP(L2217,'[2]tabela de preços'!$A:$D,4,0)</f>
        <v>MAXI RUBBER</v>
      </c>
      <c r="W2217" t="str">
        <f>VLOOKUP(L2217,'[2]tabela de preços'!$A:$F,6,0)</f>
        <v>VEDADORES / SELANTES</v>
      </c>
      <c r="X2217" t="str">
        <f>VLOOKUP(L2217,'[2]tabela de preços'!$A:$G,7,0)</f>
        <v>AUTOMOTIVO</v>
      </c>
    </row>
    <row r="2218" spans="1:24" x14ac:dyDescent="0.3">
      <c r="A2218" t="s">
        <v>1313</v>
      </c>
      <c r="C2218" t="s">
        <v>1314</v>
      </c>
      <c r="D2218" s="1">
        <v>46050</v>
      </c>
      <c r="E2218" t="s">
        <v>1315</v>
      </c>
      <c r="F2218">
        <v>9</v>
      </c>
      <c r="G2218">
        <v>231</v>
      </c>
      <c r="H2218" t="str">
        <f>VLOOKUP(G2218,[1]OPERADORES!$A:$B,2,0)</f>
        <v>EDIJANE</v>
      </c>
      <c r="I2218" t="s">
        <v>21</v>
      </c>
      <c r="J2218" t="s">
        <v>450</v>
      </c>
      <c r="K2218" t="s">
        <v>1316</v>
      </c>
      <c r="L2218">
        <v>24263</v>
      </c>
      <c r="M2218" t="s">
        <v>1317</v>
      </c>
      <c r="O2218" t="s">
        <v>11</v>
      </c>
      <c r="P2218">
        <v>5102</v>
      </c>
      <c r="Q2218">
        <v>1</v>
      </c>
      <c r="R2218">
        <v>31.19</v>
      </c>
      <c r="S2218">
        <v>31.19</v>
      </c>
      <c r="T2218">
        <v>23.67</v>
      </c>
      <c r="U2218">
        <v>24.11</v>
      </c>
      <c r="V2218" t="str">
        <f>VLOOKUP(L2218,'[2]tabela de preços'!$A:$D,4,0)</f>
        <v>VONIXX</v>
      </c>
      <c r="W2218" t="str">
        <f>VLOOKUP(L2218,'[2]tabela de preços'!$A:$F,6,0)</f>
        <v>LINHA DE HIGENIZAÇÃO E ESTÉTICA  AUTOMOTIVA</v>
      </c>
      <c r="X2218" t="str">
        <f>VLOOKUP(L2218,'[2]tabela de preços'!$A:$G,7,0)</f>
        <v>AUTOMOTIVO</v>
      </c>
    </row>
    <row r="2219" spans="1:24" x14ac:dyDescent="0.3">
      <c r="A2219" t="s">
        <v>1313</v>
      </c>
      <c r="C2219" t="s">
        <v>1314</v>
      </c>
      <c r="D2219" s="1">
        <v>46050</v>
      </c>
      <c r="E2219" t="s">
        <v>1315</v>
      </c>
      <c r="F2219">
        <v>9</v>
      </c>
      <c r="G2219">
        <v>231</v>
      </c>
      <c r="H2219" t="str">
        <f>VLOOKUP(G2219,[1]OPERADORES!$A:$B,2,0)</f>
        <v>EDIJANE</v>
      </c>
      <c r="I2219" t="s">
        <v>21</v>
      </c>
      <c r="J2219" t="s">
        <v>450</v>
      </c>
      <c r="K2219" t="s">
        <v>1316</v>
      </c>
      <c r="L2219">
        <v>86995</v>
      </c>
      <c r="M2219" t="s">
        <v>37</v>
      </c>
      <c r="O2219" t="s">
        <v>11</v>
      </c>
      <c r="P2219">
        <v>5102</v>
      </c>
      <c r="Q2219">
        <v>40</v>
      </c>
      <c r="R2219">
        <v>7.29</v>
      </c>
      <c r="S2219">
        <v>291.60000000000002</v>
      </c>
      <c r="T2219">
        <v>233.2</v>
      </c>
      <c r="U2219">
        <v>20.03</v>
      </c>
      <c r="V2219" t="str">
        <f>VLOOKUP(L2219,'[2]tabela de preços'!$A:$D,4,0)</f>
        <v>AUTOAMERICA</v>
      </c>
      <c r="W2219" t="str">
        <f>VLOOKUP(L2219,'[2]tabela de preços'!$A:$F,6,0)</f>
        <v>FLANELAS / PANOS</v>
      </c>
      <c r="X2219" t="str">
        <f>VLOOKUP(L2219,'[2]tabela de preços'!$A:$G,7,0)</f>
        <v>AUTOMOTIVO</v>
      </c>
    </row>
    <row r="2220" spans="1:24" x14ac:dyDescent="0.3">
      <c r="A2220" t="s">
        <v>1313</v>
      </c>
      <c r="C2220" t="s">
        <v>1314</v>
      </c>
      <c r="D2220" s="1">
        <v>46050</v>
      </c>
      <c r="E2220" t="s">
        <v>1315</v>
      </c>
      <c r="F2220">
        <v>9</v>
      </c>
      <c r="G2220">
        <v>231</v>
      </c>
      <c r="H2220" t="str">
        <f>VLOOKUP(G2220,[1]OPERADORES!$A:$B,2,0)</f>
        <v>EDIJANE</v>
      </c>
      <c r="I2220" t="s">
        <v>21</v>
      </c>
      <c r="J2220" t="s">
        <v>450</v>
      </c>
      <c r="K2220" t="s">
        <v>1316</v>
      </c>
      <c r="L2220">
        <v>86984</v>
      </c>
      <c r="M2220" t="s">
        <v>720</v>
      </c>
      <c r="O2220" t="s">
        <v>11</v>
      </c>
      <c r="P2220">
        <v>5102</v>
      </c>
      <c r="Q2220">
        <v>2</v>
      </c>
      <c r="R2220">
        <v>44.9</v>
      </c>
      <c r="S2220">
        <v>89.8</v>
      </c>
      <c r="T2220">
        <v>74.42</v>
      </c>
      <c r="U2220">
        <v>17.13</v>
      </c>
      <c r="V2220" t="str">
        <f>VLOOKUP(L2220,'[2]tabela de preços'!$A:$D,4,0)</f>
        <v>ARPREX</v>
      </c>
      <c r="W2220" t="str">
        <f>VLOOKUP(L2220,'[2]tabela de preços'!$A:$F,6,0)</f>
        <v>PISTOLAS</v>
      </c>
      <c r="X2220" t="str">
        <f>VLOOKUP(L2220,'[2]tabela de preços'!$A:$G,7,0)</f>
        <v>IMOBILIÁRIO</v>
      </c>
    </row>
    <row r="2221" spans="1:24" x14ac:dyDescent="0.3">
      <c r="A2221" t="s">
        <v>1313</v>
      </c>
      <c r="C2221" t="s">
        <v>1314</v>
      </c>
      <c r="D2221" s="1">
        <v>46050</v>
      </c>
      <c r="E2221" t="s">
        <v>1315</v>
      </c>
      <c r="F2221">
        <v>9</v>
      </c>
      <c r="G2221">
        <v>231</v>
      </c>
      <c r="H2221" t="str">
        <f>VLOOKUP(G2221,[1]OPERADORES!$A:$B,2,0)</f>
        <v>EDIJANE</v>
      </c>
      <c r="I2221" t="s">
        <v>21</v>
      </c>
      <c r="J2221" t="s">
        <v>450</v>
      </c>
      <c r="K2221" t="s">
        <v>1316</v>
      </c>
      <c r="L2221">
        <v>85164</v>
      </c>
      <c r="M2221" t="s">
        <v>278</v>
      </c>
      <c r="O2221" t="s">
        <v>11</v>
      </c>
      <c r="P2221">
        <v>5102</v>
      </c>
      <c r="Q2221">
        <v>12</v>
      </c>
      <c r="R2221">
        <v>13.29</v>
      </c>
      <c r="S2221">
        <v>159.47999999999999</v>
      </c>
      <c r="T2221">
        <v>121.08</v>
      </c>
      <c r="U2221">
        <v>24.08</v>
      </c>
      <c r="V2221" t="str">
        <f>VLOOKUP(L2221,'[2]tabela de preços'!$A:$D,4,0)</f>
        <v>BRASILUX</v>
      </c>
      <c r="W2221" t="str">
        <f>VLOOKUP(L2221,'[2]tabela de preços'!$A:$F,6,0)</f>
        <v>QUEROSENE</v>
      </c>
      <c r="X2221" t="str">
        <f>VLOOKUP(L2221,'[2]tabela de preços'!$A:$G,7,0)</f>
        <v>AUTOMOTIVO</v>
      </c>
    </row>
    <row r="2222" spans="1:24" x14ac:dyDescent="0.3">
      <c r="A2222" t="s">
        <v>1313</v>
      </c>
      <c r="C2222" t="s">
        <v>1314</v>
      </c>
      <c r="D2222" s="1">
        <v>46050</v>
      </c>
      <c r="E2222" t="s">
        <v>1315</v>
      </c>
      <c r="F2222">
        <v>9</v>
      </c>
      <c r="G2222">
        <v>231</v>
      </c>
      <c r="H2222" t="str">
        <f>VLOOKUP(G2222,[1]OPERADORES!$A:$B,2,0)</f>
        <v>EDIJANE</v>
      </c>
      <c r="I2222" t="s">
        <v>21</v>
      </c>
      <c r="J2222" t="s">
        <v>450</v>
      </c>
      <c r="K2222" t="s">
        <v>1316</v>
      </c>
      <c r="L2222">
        <v>10297</v>
      </c>
      <c r="M2222" t="s">
        <v>41</v>
      </c>
      <c r="O2222" t="s">
        <v>11</v>
      </c>
      <c r="P2222">
        <v>5102</v>
      </c>
      <c r="Q2222">
        <v>12</v>
      </c>
      <c r="R2222">
        <v>10.89</v>
      </c>
      <c r="S2222">
        <v>130.68</v>
      </c>
      <c r="T2222">
        <v>110.04</v>
      </c>
      <c r="U2222">
        <v>15.79</v>
      </c>
      <c r="V2222" t="str">
        <f>VLOOKUP(L2222,'[2]tabela de preços'!$A:$D,4,0)</f>
        <v>ANJO</v>
      </c>
      <c r="W2222" t="str">
        <f>VLOOKUP(L2222,'[2]tabela de preços'!$A:$F,6,0)</f>
        <v>THINNER DE LIMPEZA</v>
      </c>
      <c r="X2222" t="str">
        <f>VLOOKUP(L2222,'[2]tabela de preços'!$A:$G,7,0)</f>
        <v>THINNER</v>
      </c>
    </row>
    <row r="2223" spans="1:24" x14ac:dyDescent="0.3">
      <c r="A2223" t="s">
        <v>1313</v>
      </c>
      <c r="C2223" t="s">
        <v>1314</v>
      </c>
      <c r="D2223" s="1">
        <v>46050</v>
      </c>
      <c r="E2223" t="s">
        <v>1315</v>
      </c>
      <c r="F2223">
        <v>9</v>
      </c>
      <c r="G2223">
        <v>231</v>
      </c>
      <c r="H2223" t="str">
        <f>VLOOKUP(G2223,[1]OPERADORES!$A:$B,2,0)</f>
        <v>EDIJANE</v>
      </c>
      <c r="I2223" t="s">
        <v>21</v>
      </c>
      <c r="J2223" t="s">
        <v>450</v>
      </c>
      <c r="K2223" t="s">
        <v>1316</v>
      </c>
      <c r="L2223">
        <v>84401</v>
      </c>
      <c r="M2223" t="s">
        <v>1318</v>
      </c>
      <c r="O2223" t="s">
        <v>11</v>
      </c>
      <c r="P2223">
        <v>5102</v>
      </c>
      <c r="Q2223">
        <v>1</v>
      </c>
      <c r="R2223">
        <v>66.14</v>
      </c>
      <c r="S2223">
        <v>66.14</v>
      </c>
      <c r="T2223">
        <v>50.2</v>
      </c>
      <c r="U2223">
        <v>24.1</v>
      </c>
      <c r="V2223" t="str">
        <f>VLOOKUP(L2223,'[2]tabela de preços'!$A:$D,4,0)</f>
        <v>VONIXX</v>
      </c>
      <c r="W2223" t="str">
        <f>VLOOKUP(L2223,'[2]tabela de preços'!$A:$F,6,0)</f>
        <v>LINHA DE HIGENIZAÇÃO E ESTÉTICA  AUTOMOTIVA</v>
      </c>
      <c r="X2223" t="str">
        <f>VLOOKUP(L2223,'[2]tabela de preços'!$A:$G,7,0)</f>
        <v>AUTOMOTIVO</v>
      </c>
    </row>
    <row r="2224" spans="1:24" x14ac:dyDescent="0.3">
      <c r="A2224" t="s">
        <v>1337</v>
      </c>
      <c r="C2224" t="s">
        <v>1345</v>
      </c>
      <c r="D2224" s="1">
        <v>46050</v>
      </c>
      <c r="E2224" t="s">
        <v>1346</v>
      </c>
      <c r="F2224">
        <v>9</v>
      </c>
      <c r="G2224">
        <v>174</v>
      </c>
      <c r="H2224" t="str">
        <f>VLOOKUP(G2224,[1]OPERADORES!$A:$B,2,0)</f>
        <v>MIRIÃ LOBATO RODRIGUES</v>
      </c>
      <c r="I2224" t="s">
        <v>21</v>
      </c>
      <c r="J2224" t="s">
        <v>1340</v>
      </c>
      <c r="K2224" t="s">
        <v>1341</v>
      </c>
      <c r="L2224">
        <v>10236</v>
      </c>
      <c r="M2224" t="s">
        <v>133</v>
      </c>
      <c r="O2224" t="s">
        <v>11</v>
      </c>
      <c r="P2224">
        <v>5102</v>
      </c>
      <c r="Q2224">
        <v>20</v>
      </c>
      <c r="R2224">
        <v>2.79</v>
      </c>
      <c r="S2224">
        <v>55.8</v>
      </c>
      <c r="T2224">
        <v>46.4</v>
      </c>
      <c r="U2224">
        <v>16.850000000000001</v>
      </c>
      <c r="V2224" t="str">
        <f>VLOOKUP(L2224,'[2]tabela de preços'!$A:$D,4,0)</f>
        <v>NORTON</v>
      </c>
      <c r="W2224" t="str">
        <f>VLOOKUP(L2224,'[2]tabela de preços'!$A:$F,6,0)</f>
        <v xml:space="preserve">DISCOS / LIXAS / ABRASIVOS </v>
      </c>
      <c r="X2224" t="str">
        <f>VLOOKUP(L2224,'[2]tabela de preços'!$A:$G,7,0)</f>
        <v>AUTOMOTIVO</v>
      </c>
    </row>
    <row r="2225" spans="1:24" x14ac:dyDescent="0.3">
      <c r="A2225" t="s">
        <v>1337</v>
      </c>
      <c r="C2225" t="s">
        <v>1345</v>
      </c>
      <c r="D2225" s="1">
        <v>46050</v>
      </c>
      <c r="E2225" t="s">
        <v>1346</v>
      </c>
      <c r="F2225">
        <v>9</v>
      </c>
      <c r="G2225">
        <v>174</v>
      </c>
      <c r="H2225" t="str">
        <f>VLOOKUP(G2225,[1]OPERADORES!$A:$B,2,0)</f>
        <v>MIRIÃ LOBATO RODRIGUES</v>
      </c>
      <c r="I2225" t="s">
        <v>21</v>
      </c>
      <c r="J2225" t="s">
        <v>1340</v>
      </c>
      <c r="K2225" t="s">
        <v>1341</v>
      </c>
      <c r="L2225">
        <v>10226</v>
      </c>
      <c r="M2225" t="s">
        <v>145</v>
      </c>
      <c r="O2225" t="s">
        <v>11</v>
      </c>
      <c r="P2225">
        <v>5102</v>
      </c>
      <c r="Q2225">
        <v>20</v>
      </c>
      <c r="R2225">
        <v>2.79</v>
      </c>
      <c r="S2225">
        <v>55.8</v>
      </c>
      <c r="T2225">
        <v>46.4</v>
      </c>
      <c r="U2225">
        <v>16.850000000000001</v>
      </c>
      <c r="V2225" t="str">
        <f>VLOOKUP(L2225,'[2]tabela de preços'!$A:$D,4,0)</f>
        <v>NORTON</v>
      </c>
      <c r="W2225" t="str">
        <f>VLOOKUP(L2225,'[2]tabela de preços'!$A:$F,6,0)</f>
        <v xml:space="preserve">DISCOS / LIXAS / ABRASIVOS </v>
      </c>
      <c r="X2225" t="str">
        <f>VLOOKUP(L2225,'[2]tabela de preços'!$A:$G,7,0)</f>
        <v>AUTOMOTIVO</v>
      </c>
    </row>
    <row r="2226" spans="1:24" x14ac:dyDescent="0.3">
      <c r="A2226" t="s">
        <v>1337</v>
      </c>
      <c r="C2226" t="s">
        <v>1345</v>
      </c>
      <c r="D2226" s="1">
        <v>46050</v>
      </c>
      <c r="E2226" t="s">
        <v>1346</v>
      </c>
      <c r="F2226">
        <v>9</v>
      </c>
      <c r="G2226">
        <v>174</v>
      </c>
      <c r="H2226" t="str">
        <f>VLOOKUP(G2226,[1]OPERADORES!$A:$B,2,0)</f>
        <v>MIRIÃ LOBATO RODRIGUES</v>
      </c>
      <c r="I2226" t="s">
        <v>21</v>
      </c>
      <c r="J2226" t="s">
        <v>1340</v>
      </c>
      <c r="K2226" t="s">
        <v>1341</v>
      </c>
      <c r="L2226">
        <v>10230</v>
      </c>
      <c r="M2226" t="s">
        <v>193</v>
      </c>
      <c r="O2226" t="s">
        <v>11</v>
      </c>
      <c r="P2226">
        <v>5102</v>
      </c>
      <c r="Q2226">
        <v>20</v>
      </c>
      <c r="R2226">
        <v>2.79</v>
      </c>
      <c r="S2226">
        <v>55.8</v>
      </c>
      <c r="T2226">
        <v>46.4</v>
      </c>
      <c r="U2226">
        <v>16.850000000000001</v>
      </c>
      <c r="V2226" t="str">
        <f>VLOOKUP(L2226,'[2]tabela de preços'!$A:$D,4,0)</f>
        <v>NORTON</v>
      </c>
      <c r="W2226" t="str">
        <f>VLOOKUP(L2226,'[2]tabela de preços'!$A:$F,6,0)</f>
        <v xml:space="preserve">DISCOS / LIXAS / ABRASIVOS </v>
      </c>
      <c r="X2226" t="str">
        <f>VLOOKUP(L2226,'[2]tabela de preços'!$A:$G,7,0)</f>
        <v>AUTOMOTIVO</v>
      </c>
    </row>
    <row r="2227" spans="1:24" x14ac:dyDescent="0.3">
      <c r="A2227" t="s">
        <v>1337</v>
      </c>
      <c r="C2227" t="s">
        <v>1345</v>
      </c>
      <c r="D2227" s="1">
        <v>46050</v>
      </c>
      <c r="E2227" t="s">
        <v>1346</v>
      </c>
      <c r="F2227">
        <v>9</v>
      </c>
      <c r="G2227">
        <v>174</v>
      </c>
      <c r="H2227" t="str">
        <f>VLOOKUP(G2227,[1]OPERADORES!$A:$B,2,0)</f>
        <v>MIRIÃ LOBATO RODRIGUES</v>
      </c>
      <c r="I2227" t="s">
        <v>21</v>
      </c>
      <c r="J2227" t="s">
        <v>1340</v>
      </c>
      <c r="K2227" t="s">
        <v>1341</v>
      </c>
      <c r="L2227">
        <v>10232</v>
      </c>
      <c r="M2227" t="s">
        <v>134</v>
      </c>
      <c r="O2227" t="s">
        <v>11</v>
      </c>
      <c r="P2227">
        <v>5102</v>
      </c>
      <c r="Q2227">
        <v>20</v>
      </c>
      <c r="R2227">
        <v>2.79</v>
      </c>
      <c r="S2227">
        <v>55.8</v>
      </c>
      <c r="T2227">
        <v>45</v>
      </c>
      <c r="U2227">
        <v>19.350000000000001</v>
      </c>
      <c r="V2227" t="str">
        <f>VLOOKUP(L2227,'[2]tabela de preços'!$A:$D,4,0)</f>
        <v>NORTON</v>
      </c>
      <c r="W2227" t="str">
        <f>VLOOKUP(L2227,'[2]tabela de preços'!$A:$F,6,0)</f>
        <v xml:space="preserve">DISCOS / LIXAS / ABRASIVOS </v>
      </c>
      <c r="X2227" t="str">
        <f>VLOOKUP(L2227,'[2]tabela de preços'!$A:$G,7,0)</f>
        <v>AUTOMOTIVO</v>
      </c>
    </row>
    <row r="2228" spans="1:24" x14ac:dyDescent="0.3">
      <c r="A2228" t="s">
        <v>1337</v>
      </c>
      <c r="C2228" t="s">
        <v>1345</v>
      </c>
      <c r="D2228" s="1">
        <v>46050</v>
      </c>
      <c r="E2228" t="s">
        <v>1346</v>
      </c>
      <c r="F2228">
        <v>9</v>
      </c>
      <c r="G2228">
        <v>174</v>
      </c>
      <c r="H2228" t="str">
        <f>VLOOKUP(G2228,[1]OPERADORES!$A:$B,2,0)</f>
        <v>MIRIÃ LOBATO RODRIGUES</v>
      </c>
      <c r="I2228" t="s">
        <v>21</v>
      </c>
      <c r="J2228" t="s">
        <v>1340</v>
      </c>
      <c r="K2228" t="s">
        <v>1341</v>
      </c>
      <c r="L2228">
        <v>24248</v>
      </c>
      <c r="M2228" t="s">
        <v>107</v>
      </c>
      <c r="O2228" t="s">
        <v>11</v>
      </c>
      <c r="P2228">
        <v>5102</v>
      </c>
      <c r="Q2228">
        <v>18</v>
      </c>
      <c r="R2228">
        <v>8</v>
      </c>
      <c r="S2228">
        <v>144</v>
      </c>
      <c r="T2228">
        <v>117</v>
      </c>
      <c r="U2228">
        <v>18.75</v>
      </c>
      <c r="V2228" t="str">
        <f>VLOOKUP(L2228,'[2]tabela de preços'!$A:$D,4,0)</f>
        <v>SHERWIN WILLIAMS</v>
      </c>
      <c r="W2228" t="str">
        <f>VLOOKUP(L2228,'[2]tabela de preços'!$A:$F,6,0)</f>
        <v>PRIMER AUTOMOTIVO</v>
      </c>
      <c r="X2228" t="str">
        <f>VLOOKUP(L2228,'[2]tabela de preços'!$A:$G,7,0)</f>
        <v>AUTOMOTIVO</v>
      </c>
    </row>
    <row r="2229" spans="1:24" x14ac:dyDescent="0.3">
      <c r="A2229" t="s">
        <v>1337</v>
      </c>
      <c r="C2229" t="s">
        <v>1345</v>
      </c>
      <c r="D2229" s="1">
        <v>46050</v>
      </c>
      <c r="E2229" t="s">
        <v>1346</v>
      </c>
      <c r="F2229">
        <v>9</v>
      </c>
      <c r="G2229">
        <v>174</v>
      </c>
      <c r="H2229" t="str">
        <f>VLOOKUP(G2229,[1]OPERADORES!$A:$B,2,0)</f>
        <v>MIRIÃ LOBATO RODRIGUES</v>
      </c>
      <c r="I2229" t="s">
        <v>21</v>
      </c>
      <c r="J2229" t="s">
        <v>1340</v>
      </c>
      <c r="K2229" t="s">
        <v>1341</v>
      </c>
      <c r="L2229">
        <v>22684</v>
      </c>
      <c r="M2229" t="s">
        <v>73</v>
      </c>
      <c r="O2229" t="s">
        <v>11</v>
      </c>
      <c r="P2229">
        <v>5102</v>
      </c>
      <c r="Q2229">
        <v>80</v>
      </c>
      <c r="R2229">
        <v>3.65</v>
      </c>
      <c r="S2229">
        <v>292</v>
      </c>
      <c r="T2229">
        <v>246.4</v>
      </c>
      <c r="U2229">
        <v>15.62</v>
      </c>
      <c r="V2229" t="str">
        <f>VLOOKUP(L2229,'[2]tabela de preços'!$A:$D,4,0)</f>
        <v>3M</v>
      </c>
      <c r="W2229" t="str">
        <f>VLOOKUP(L2229,'[2]tabela de preços'!$A:$F,6,0)</f>
        <v>FITA AUTOMOTIVA</v>
      </c>
      <c r="X2229" t="str">
        <f>VLOOKUP(L2229,'[2]tabela de preços'!$A:$G,7,0)</f>
        <v>AUTOMOTIVO</v>
      </c>
    </row>
    <row r="2230" spans="1:24" x14ac:dyDescent="0.3">
      <c r="A2230" t="s">
        <v>1337</v>
      </c>
      <c r="C2230" t="s">
        <v>1345</v>
      </c>
      <c r="D2230" s="1">
        <v>46050</v>
      </c>
      <c r="E2230" t="s">
        <v>1346</v>
      </c>
      <c r="F2230">
        <v>9</v>
      </c>
      <c r="G2230">
        <v>174</v>
      </c>
      <c r="H2230" t="str">
        <f>VLOOKUP(G2230,[1]OPERADORES!$A:$B,2,0)</f>
        <v>MIRIÃ LOBATO RODRIGUES</v>
      </c>
      <c r="I2230" t="s">
        <v>21</v>
      </c>
      <c r="J2230" t="s">
        <v>1340</v>
      </c>
      <c r="K2230" t="s">
        <v>1341</v>
      </c>
      <c r="L2230">
        <v>23076</v>
      </c>
      <c r="M2230" t="s">
        <v>97</v>
      </c>
      <c r="O2230" t="s">
        <v>11</v>
      </c>
      <c r="P2230">
        <v>5405</v>
      </c>
      <c r="Q2230">
        <v>6</v>
      </c>
      <c r="R2230">
        <v>34.89</v>
      </c>
      <c r="S2230">
        <v>209.34</v>
      </c>
      <c r="T2230">
        <v>159.18</v>
      </c>
      <c r="U2230">
        <v>23.96</v>
      </c>
      <c r="V2230" t="str">
        <f>VLOOKUP(L2230,'[2]tabela de preços'!$A:$D,4,0)</f>
        <v>WANDA</v>
      </c>
      <c r="W2230" t="str">
        <f>VLOOKUP(L2230,'[2]tabela de preços'!$A:$F,6,0)</f>
        <v>PRIMER AUTOMOTIVO</v>
      </c>
      <c r="X2230" t="str">
        <f>VLOOKUP(L2230,'[2]tabela de preços'!$A:$G,7,0)</f>
        <v>AUTOMOTIVO</v>
      </c>
    </row>
    <row r="2231" spans="1:24" x14ac:dyDescent="0.3">
      <c r="A2231" t="s">
        <v>1337</v>
      </c>
      <c r="C2231" t="s">
        <v>1345</v>
      </c>
      <c r="D2231" s="1">
        <v>46050</v>
      </c>
      <c r="E2231" t="s">
        <v>1346</v>
      </c>
      <c r="F2231">
        <v>9</v>
      </c>
      <c r="G2231">
        <v>174</v>
      </c>
      <c r="H2231" t="str">
        <f>VLOOKUP(G2231,[1]OPERADORES!$A:$B,2,0)</f>
        <v>MIRIÃ LOBATO RODRIGUES</v>
      </c>
      <c r="I2231" t="s">
        <v>21</v>
      </c>
      <c r="J2231" t="s">
        <v>1340</v>
      </c>
      <c r="K2231" t="s">
        <v>1341</v>
      </c>
      <c r="L2231">
        <v>20431</v>
      </c>
      <c r="M2231" t="s">
        <v>202</v>
      </c>
      <c r="O2231" t="s">
        <v>11</v>
      </c>
      <c r="P2231">
        <v>5405</v>
      </c>
      <c r="Q2231">
        <v>14</v>
      </c>
      <c r="R2231">
        <v>36.89</v>
      </c>
      <c r="S2231">
        <v>516.46</v>
      </c>
      <c r="T2231">
        <v>423.64</v>
      </c>
      <c r="U2231">
        <v>17.97</v>
      </c>
      <c r="V2231" t="str">
        <f>VLOOKUP(L2231,'[2]tabela de preços'!$A:$D,4,0)</f>
        <v>SHERWIN WILLIAMS</v>
      </c>
      <c r="W2231" t="str">
        <f>VLOOKUP(L2231,'[2]tabela de preços'!$A:$F,6,0)</f>
        <v>VERNIZ AUTOMOTIVO</v>
      </c>
      <c r="X2231" t="str">
        <f>VLOOKUP(L2231,'[2]tabela de preços'!$A:$G,7,0)</f>
        <v>AUTOMOTIVO</v>
      </c>
    </row>
    <row r="2232" spans="1:24" x14ac:dyDescent="0.3">
      <c r="A2232" t="s">
        <v>1337</v>
      </c>
      <c r="C2232" t="s">
        <v>1345</v>
      </c>
      <c r="D2232" s="1">
        <v>46050</v>
      </c>
      <c r="E2232" t="s">
        <v>1346</v>
      </c>
      <c r="F2232">
        <v>9</v>
      </c>
      <c r="G2232">
        <v>174</v>
      </c>
      <c r="H2232" t="str">
        <f>VLOOKUP(G2232,[1]OPERADORES!$A:$B,2,0)</f>
        <v>MIRIÃ LOBATO RODRIGUES</v>
      </c>
      <c r="I2232" t="s">
        <v>21</v>
      </c>
      <c r="J2232" t="s">
        <v>1340</v>
      </c>
      <c r="K2232" t="s">
        <v>1341</v>
      </c>
      <c r="L2232">
        <v>10238</v>
      </c>
      <c r="M2232" t="s">
        <v>79</v>
      </c>
      <c r="O2232" t="s">
        <v>11</v>
      </c>
      <c r="P2232">
        <v>5102</v>
      </c>
      <c r="Q2232">
        <v>20</v>
      </c>
      <c r="R2232">
        <v>2.79</v>
      </c>
      <c r="S2232">
        <v>55.8</v>
      </c>
      <c r="T2232">
        <v>44.8</v>
      </c>
      <c r="U2232">
        <v>19.71</v>
      </c>
      <c r="V2232" t="str">
        <f>VLOOKUP(L2232,'[2]tabela de preços'!$A:$D,4,0)</f>
        <v>NORTON</v>
      </c>
      <c r="W2232" t="str">
        <f>VLOOKUP(L2232,'[2]tabela de preços'!$A:$F,6,0)</f>
        <v xml:space="preserve">DISCOS / LIXAS / ABRASIVOS </v>
      </c>
      <c r="X2232" t="str">
        <f>VLOOKUP(L2232,'[2]tabela de preços'!$A:$G,7,0)</f>
        <v>AUTOMOTIVO</v>
      </c>
    </row>
    <row r="2233" spans="1:24" x14ac:dyDescent="0.3">
      <c r="A2233" t="s">
        <v>1337</v>
      </c>
      <c r="C2233" t="s">
        <v>1345</v>
      </c>
      <c r="D2233" s="1">
        <v>46050</v>
      </c>
      <c r="E2233" t="s">
        <v>1346</v>
      </c>
      <c r="F2233">
        <v>9</v>
      </c>
      <c r="G2233">
        <v>174</v>
      </c>
      <c r="H2233" t="str">
        <f>VLOOKUP(G2233,[1]OPERADORES!$A:$B,2,0)</f>
        <v>MIRIÃ LOBATO RODRIGUES</v>
      </c>
      <c r="I2233" t="s">
        <v>21</v>
      </c>
      <c r="J2233" t="s">
        <v>1340</v>
      </c>
      <c r="K2233" t="s">
        <v>1341</v>
      </c>
      <c r="L2233">
        <v>10240</v>
      </c>
      <c r="M2233" t="s">
        <v>81</v>
      </c>
      <c r="O2233" t="s">
        <v>11</v>
      </c>
      <c r="P2233">
        <v>5102</v>
      </c>
      <c r="Q2233">
        <v>20</v>
      </c>
      <c r="R2233">
        <v>2.79</v>
      </c>
      <c r="S2233">
        <v>55.8</v>
      </c>
      <c r="T2233">
        <v>44.8</v>
      </c>
      <c r="U2233">
        <v>19.71</v>
      </c>
      <c r="V2233" t="str">
        <f>VLOOKUP(L2233,'[2]tabela de preços'!$A:$D,4,0)</f>
        <v>NORTON</v>
      </c>
      <c r="W2233" t="str">
        <f>VLOOKUP(L2233,'[2]tabela de preços'!$A:$F,6,0)</f>
        <v xml:space="preserve">DISCOS / LIXAS / ABRASIVOS </v>
      </c>
      <c r="X2233" t="str">
        <f>VLOOKUP(L2233,'[2]tabela de preços'!$A:$G,7,0)</f>
        <v>AUTOMOTIVO</v>
      </c>
    </row>
    <row r="2234" spans="1:24" x14ac:dyDescent="0.3">
      <c r="A2234" t="s">
        <v>1337</v>
      </c>
      <c r="C2234" t="s">
        <v>1345</v>
      </c>
      <c r="D2234" s="1">
        <v>46050</v>
      </c>
      <c r="E2234" t="s">
        <v>1346</v>
      </c>
      <c r="F2234">
        <v>9</v>
      </c>
      <c r="G2234">
        <v>174</v>
      </c>
      <c r="H2234" t="str">
        <f>VLOOKUP(G2234,[1]OPERADORES!$A:$B,2,0)</f>
        <v>MIRIÃ LOBATO RODRIGUES</v>
      </c>
      <c r="I2234" t="s">
        <v>21</v>
      </c>
      <c r="J2234" t="s">
        <v>1340</v>
      </c>
      <c r="K2234" t="s">
        <v>1341</v>
      </c>
      <c r="L2234">
        <v>10242</v>
      </c>
      <c r="M2234" t="s">
        <v>82</v>
      </c>
      <c r="O2234" t="s">
        <v>11</v>
      </c>
      <c r="P2234">
        <v>5102</v>
      </c>
      <c r="Q2234">
        <v>20</v>
      </c>
      <c r="R2234">
        <v>2.79</v>
      </c>
      <c r="S2234">
        <v>55.8</v>
      </c>
      <c r="T2234">
        <v>44.8</v>
      </c>
      <c r="U2234">
        <v>19.71</v>
      </c>
      <c r="V2234" t="str">
        <f>VLOOKUP(L2234,'[2]tabela de preços'!$A:$D,4,0)</f>
        <v>NORTON</v>
      </c>
      <c r="W2234" t="str">
        <f>VLOOKUP(L2234,'[2]tabela de preços'!$A:$F,6,0)</f>
        <v xml:space="preserve">DISCOS / LIXAS / ABRASIVOS </v>
      </c>
      <c r="X2234" t="str">
        <f>VLOOKUP(L2234,'[2]tabela de preços'!$A:$G,7,0)</f>
        <v>AUTOMOTIVO</v>
      </c>
    </row>
    <row r="2235" spans="1:24" x14ac:dyDescent="0.3">
      <c r="A2235" t="s">
        <v>1337</v>
      </c>
      <c r="C2235" t="s">
        <v>1345</v>
      </c>
      <c r="D2235" s="1">
        <v>46050</v>
      </c>
      <c r="E2235" t="s">
        <v>1346</v>
      </c>
      <c r="F2235">
        <v>9</v>
      </c>
      <c r="G2235">
        <v>174</v>
      </c>
      <c r="H2235" t="str">
        <f>VLOOKUP(G2235,[1]OPERADORES!$A:$B,2,0)</f>
        <v>MIRIÃ LOBATO RODRIGUES</v>
      </c>
      <c r="I2235" t="s">
        <v>21</v>
      </c>
      <c r="J2235" t="s">
        <v>1340</v>
      </c>
      <c r="K2235" t="s">
        <v>1341</v>
      </c>
      <c r="L2235">
        <v>10243</v>
      </c>
      <c r="M2235" t="s">
        <v>83</v>
      </c>
      <c r="O2235" t="s">
        <v>11</v>
      </c>
      <c r="P2235">
        <v>5102</v>
      </c>
      <c r="Q2235">
        <v>20</v>
      </c>
      <c r="R2235">
        <v>2.79</v>
      </c>
      <c r="S2235">
        <v>55.8</v>
      </c>
      <c r="T2235">
        <v>38.6</v>
      </c>
      <c r="U2235">
        <v>30.82</v>
      </c>
      <c r="V2235" t="str">
        <f>VLOOKUP(L2235,'[2]tabela de preços'!$A:$D,4,0)</f>
        <v>NORTON</v>
      </c>
      <c r="W2235" t="str">
        <f>VLOOKUP(L2235,'[2]tabela de preços'!$A:$F,6,0)</f>
        <v xml:space="preserve">DISCOS / LIXAS / ABRASIVOS </v>
      </c>
      <c r="X2235" t="str">
        <f>VLOOKUP(L2235,'[2]tabela de preços'!$A:$G,7,0)</f>
        <v>AUTOMOTIVO</v>
      </c>
    </row>
    <row r="2236" spans="1:24" x14ac:dyDescent="0.3">
      <c r="A2236" t="s">
        <v>1337</v>
      </c>
      <c r="C2236" t="s">
        <v>1345</v>
      </c>
      <c r="D2236" s="1">
        <v>46050</v>
      </c>
      <c r="E2236" t="s">
        <v>1346</v>
      </c>
      <c r="F2236">
        <v>9</v>
      </c>
      <c r="G2236">
        <v>174</v>
      </c>
      <c r="H2236" t="str">
        <f>VLOOKUP(G2236,[1]OPERADORES!$A:$B,2,0)</f>
        <v>MIRIÃ LOBATO RODRIGUES</v>
      </c>
      <c r="I2236" t="s">
        <v>21</v>
      </c>
      <c r="J2236" t="s">
        <v>1340</v>
      </c>
      <c r="K2236" t="s">
        <v>1341</v>
      </c>
      <c r="L2236">
        <v>21077</v>
      </c>
      <c r="M2236" t="s">
        <v>207</v>
      </c>
      <c r="O2236" t="s">
        <v>11</v>
      </c>
      <c r="P2236">
        <v>5102</v>
      </c>
      <c r="Q2236">
        <v>2</v>
      </c>
      <c r="R2236">
        <v>44.68</v>
      </c>
      <c r="S2236">
        <v>89.36</v>
      </c>
      <c r="T2236">
        <v>67.84</v>
      </c>
      <c r="U2236">
        <v>24.08</v>
      </c>
      <c r="V2236" t="str">
        <f>VLOOKUP(L2236,'[2]tabela de preços'!$A:$D,4,0)</f>
        <v>SHERWIN WILLIAMS</v>
      </c>
      <c r="W2236" t="str">
        <f>VLOOKUP(L2236,'[2]tabela de preços'!$A:$F,6,0)</f>
        <v>MASSA POLIÉSTER</v>
      </c>
      <c r="X2236" t="str">
        <f>VLOOKUP(L2236,'[2]tabela de preços'!$A:$G,7,0)</f>
        <v>AUTOMOTIVO</v>
      </c>
    </row>
    <row r="2237" spans="1:24" x14ac:dyDescent="0.3">
      <c r="A2237" t="s">
        <v>1337</v>
      </c>
      <c r="C2237" t="s">
        <v>1345</v>
      </c>
      <c r="D2237" s="1">
        <v>46050</v>
      </c>
      <c r="E2237" t="s">
        <v>1346</v>
      </c>
      <c r="F2237">
        <v>9</v>
      </c>
      <c r="G2237">
        <v>174</v>
      </c>
      <c r="H2237" t="str">
        <f>VLOOKUP(G2237,[1]OPERADORES!$A:$B,2,0)</f>
        <v>MIRIÃ LOBATO RODRIGUES</v>
      </c>
      <c r="I2237" t="s">
        <v>21</v>
      </c>
      <c r="J2237" t="s">
        <v>1340</v>
      </c>
      <c r="K2237" t="s">
        <v>1341</v>
      </c>
      <c r="L2237">
        <v>21078</v>
      </c>
      <c r="M2237" t="s">
        <v>141</v>
      </c>
      <c r="O2237" t="s">
        <v>11</v>
      </c>
      <c r="P2237">
        <v>5102</v>
      </c>
      <c r="Q2237">
        <v>10</v>
      </c>
      <c r="R2237">
        <v>22.89</v>
      </c>
      <c r="S2237">
        <v>228.9</v>
      </c>
      <c r="T2237">
        <v>186.6</v>
      </c>
      <c r="U2237">
        <v>18.48</v>
      </c>
      <c r="V2237" t="str">
        <f>VLOOKUP(L2237,'[2]tabela de preços'!$A:$D,4,0)</f>
        <v>SHERWIN WILLIAMS</v>
      </c>
      <c r="W2237" t="str">
        <f>VLOOKUP(L2237,'[2]tabela de preços'!$A:$F,6,0)</f>
        <v>MASSA POLIÉSTER</v>
      </c>
      <c r="X2237" t="str">
        <f>VLOOKUP(L2237,'[2]tabela de preços'!$A:$G,7,0)</f>
        <v>AUTOMOTIVO</v>
      </c>
    </row>
    <row r="2238" spans="1:24" x14ac:dyDescent="0.3">
      <c r="A2238" t="s">
        <v>1337</v>
      </c>
      <c r="C2238" t="s">
        <v>1345</v>
      </c>
      <c r="D2238" s="1">
        <v>46050</v>
      </c>
      <c r="E2238" t="s">
        <v>1346</v>
      </c>
      <c r="F2238">
        <v>9</v>
      </c>
      <c r="G2238">
        <v>174</v>
      </c>
      <c r="H2238" t="str">
        <f>VLOOKUP(G2238,[1]OPERADORES!$A:$B,2,0)</f>
        <v>MIRIÃ LOBATO RODRIGUES</v>
      </c>
      <c r="I2238" t="s">
        <v>21</v>
      </c>
      <c r="J2238" t="s">
        <v>1340</v>
      </c>
      <c r="K2238" t="s">
        <v>1341</v>
      </c>
      <c r="L2238">
        <v>24247</v>
      </c>
      <c r="M2238" t="s">
        <v>160</v>
      </c>
      <c r="O2238" t="s">
        <v>11</v>
      </c>
      <c r="P2238">
        <v>5405</v>
      </c>
      <c r="Q2238">
        <v>18</v>
      </c>
      <c r="R2238">
        <v>21</v>
      </c>
      <c r="S2238">
        <v>378</v>
      </c>
      <c r="T2238">
        <v>303.66000000000003</v>
      </c>
      <c r="U2238">
        <v>19.670000000000002</v>
      </c>
      <c r="V2238" t="str">
        <f>VLOOKUP(L2238,'[2]tabela de preços'!$A:$D,4,0)</f>
        <v>SHERWIN WILLIAMS</v>
      </c>
      <c r="W2238" t="str">
        <f>VLOOKUP(L2238,'[2]tabela de preços'!$A:$F,6,0)</f>
        <v>PRIMER AUTOMOTIVO</v>
      </c>
      <c r="X2238" t="str">
        <f>VLOOKUP(L2238,'[2]tabela de preços'!$A:$G,7,0)</f>
        <v>AUTOMOTIVO</v>
      </c>
    </row>
    <row r="2239" spans="1:24" x14ac:dyDescent="0.3">
      <c r="A2239" t="s">
        <v>1337</v>
      </c>
      <c r="C2239" t="s">
        <v>1345</v>
      </c>
      <c r="D2239" s="1">
        <v>46050</v>
      </c>
      <c r="E2239" t="s">
        <v>1346</v>
      </c>
      <c r="F2239">
        <v>9</v>
      </c>
      <c r="G2239">
        <v>174</v>
      </c>
      <c r="H2239" t="str">
        <f>VLOOKUP(G2239,[1]OPERADORES!$A:$B,2,0)</f>
        <v>MIRIÃ LOBATO RODRIGUES</v>
      </c>
      <c r="I2239" t="s">
        <v>21</v>
      </c>
      <c r="J2239" t="s">
        <v>1340</v>
      </c>
      <c r="K2239" t="s">
        <v>1341</v>
      </c>
      <c r="L2239">
        <v>10298</v>
      </c>
      <c r="M2239" t="s">
        <v>85</v>
      </c>
      <c r="O2239" t="s">
        <v>11</v>
      </c>
      <c r="P2239">
        <v>5102</v>
      </c>
      <c r="Q2239">
        <v>25</v>
      </c>
      <c r="R2239">
        <v>54.9</v>
      </c>
      <c r="S2239" s="2">
        <v>1372.5</v>
      </c>
      <c r="T2239" s="2">
        <v>1184.5</v>
      </c>
      <c r="U2239">
        <v>13.7</v>
      </c>
      <c r="V2239" t="str">
        <f>VLOOKUP(L2239,'[2]tabela de preços'!$A:$D,4,0)</f>
        <v>ANJO</v>
      </c>
      <c r="W2239" t="str">
        <f>VLOOKUP(L2239,'[2]tabela de preços'!$A:$F,6,0)</f>
        <v>THINNER DE LIMPEZA</v>
      </c>
      <c r="X2239" t="str">
        <f>VLOOKUP(L2239,'[2]tabela de preços'!$A:$G,7,0)</f>
        <v>THINNER</v>
      </c>
    </row>
    <row r="2240" spans="1:24" x14ac:dyDescent="0.3">
      <c r="A2240" t="s">
        <v>1337</v>
      </c>
      <c r="C2240" t="s">
        <v>1345</v>
      </c>
      <c r="D2240" s="1">
        <v>46050</v>
      </c>
      <c r="E2240" t="s">
        <v>1346</v>
      </c>
      <c r="F2240">
        <v>9</v>
      </c>
      <c r="G2240">
        <v>174</v>
      </c>
      <c r="H2240" t="str">
        <f>VLOOKUP(G2240,[1]OPERADORES!$A:$B,2,0)</f>
        <v>MIRIÃ LOBATO RODRIGUES</v>
      </c>
      <c r="I2240" t="s">
        <v>21</v>
      </c>
      <c r="J2240" t="s">
        <v>1340</v>
      </c>
      <c r="K2240" t="s">
        <v>1341</v>
      </c>
      <c r="L2240">
        <v>20414</v>
      </c>
      <c r="M2240" t="s">
        <v>112</v>
      </c>
      <c r="O2240" t="s">
        <v>11</v>
      </c>
      <c r="P2240">
        <v>5102</v>
      </c>
      <c r="Q2240">
        <v>10</v>
      </c>
      <c r="R2240">
        <v>21.89</v>
      </c>
      <c r="S2240">
        <v>218.9</v>
      </c>
      <c r="T2240">
        <v>180</v>
      </c>
      <c r="U2240">
        <v>17.77</v>
      </c>
      <c r="V2240" t="str">
        <f>VLOOKUP(L2240,'[2]tabela de preços'!$A:$D,4,0)</f>
        <v>SHERWIN WILLIAMS</v>
      </c>
      <c r="W2240" t="str">
        <f>VLOOKUP(L2240,'[2]tabela de preços'!$A:$F,6,0)</f>
        <v>DILUENTE</v>
      </c>
      <c r="X2240" t="str">
        <f>VLOOKUP(L2240,'[2]tabela de preços'!$A:$G,7,0)</f>
        <v>AUTOMOTIVO</v>
      </c>
    </row>
    <row r="2241" spans="1:24" x14ac:dyDescent="0.3">
      <c r="A2241" t="s">
        <v>1353</v>
      </c>
      <c r="C2241" t="s">
        <v>1354</v>
      </c>
      <c r="D2241" s="1">
        <v>46050</v>
      </c>
      <c r="E2241" t="s">
        <v>1355</v>
      </c>
      <c r="F2241">
        <v>9</v>
      </c>
      <c r="G2241">
        <v>174</v>
      </c>
      <c r="H2241" t="str">
        <f>VLOOKUP(G2241,[1]OPERADORES!$A:$B,2,0)</f>
        <v>MIRIÃ LOBATO RODRIGUES</v>
      </c>
      <c r="I2241" t="s">
        <v>21</v>
      </c>
      <c r="J2241" t="s">
        <v>1356</v>
      </c>
      <c r="K2241" t="s">
        <v>1357</v>
      </c>
      <c r="L2241">
        <v>20048</v>
      </c>
      <c r="M2241" t="s">
        <v>1309</v>
      </c>
      <c r="O2241" t="s">
        <v>11</v>
      </c>
      <c r="P2241">
        <v>5102</v>
      </c>
      <c r="Q2241">
        <v>6</v>
      </c>
      <c r="R2241">
        <v>18.010000000000002</v>
      </c>
      <c r="S2241">
        <v>108.06</v>
      </c>
      <c r="T2241">
        <v>82.02</v>
      </c>
      <c r="U2241">
        <v>24.1</v>
      </c>
      <c r="V2241" t="str">
        <f>VLOOKUP(L2241,'[2]tabela de preços'!$A:$D,4,0)</f>
        <v>3M</v>
      </c>
      <c r="W2241" t="str">
        <f>VLOOKUP(L2241,'[2]tabela de preços'!$A:$F,6,0)</f>
        <v>CERA  / LIMPEZA /  POLIMENTO VEICULAR</v>
      </c>
      <c r="X2241" t="str">
        <f>VLOOKUP(L2241,'[2]tabela de preços'!$A:$G,7,0)</f>
        <v>AUTOMOTIVO</v>
      </c>
    </row>
    <row r="2242" spans="1:24" x14ac:dyDescent="0.3">
      <c r="A2242" t="s">
        <v>1353</v>
      </c>
      <c r="C2242" t="s">
        <v>1354</v>
      </c>
      <c r="D2242" s="1">
        <v>46050</v>
      </c>
      <c r="E2242" t="s">
        <v>1355</v>
      </c>
      <c r="F2242">
        <v>9</v>
      </c>
      <c r="G2242">
        <v>174</v>
      </c>
      <c r="H2242" t="str">
        <f>VLOOKUP(G2242,[1]OPERADORES!$A:$B,2,0)</f>
        <v>MIRIÃ LOBATO RODRIGUES</v>
      </c>
      <c r="I2242" t="s">
        <v>21</v>
      </c>
      <c r="J2242" t="s">
        <v>1356</v>
      </c>
      <c r="K2242" t="s">
        <v>1357</v>
      </c>
      <c r="L2242">
        <v>84394</v>
      </c>
      <c r="M2242" t="s">
        <v>1358</v>
      </c>
      <c r="O2242" t="s">
        <v>11</v>
      </c>
      <c r="P2242">
        <v>5102</v>
      </c>
      <c r="Q2242">
        <v>3</v>
      </c>
      <c r="R2242">
        <v>24.74</v>
      </c>
      <c r="S2242">
        <v>74.22</v>
      </c>
      <c r="T2242">
        <v>56.34</v>
      </c>
      <c r="U2242">
        <v>24.09</v>
      </c>
      <c r="V2242" t="str">
        <f>VLOOKUP(L2242,'[2]tabela de preços'!$A:$D,4,0)</f>
        <v>VONIXX</v>
      </c>
      <c r="W2242" t="str">
        <f>VLOOKUP(L2242,'[2]tabela de preços'!$A:$F,6,0)</f>
        <v>LINHA DE HIGENIZAÇÃO E ESTÉTICA  AUTOMOTIVA</v>
      </c>
      <c r="X2242" t="str">
        <f>VLOOKUP(L2242,'[2]tabela de preços'!$A:$G,7,0)</f>
        <v>AUTOMOTIVO</v>
      </c>
    </row>
    <row r="2243" spans="1:24" x14ac:dyDescent="0.3">
      <c r="A2243" t="s">
        <v>1353</v>
      </c>
      <c r="C2243" t="s">
        <v>1354</v>
      </c>
      <c r="D2243" s="1">
        <v>46050</v>
      </c>
      <c r="E2243" t="s">
        <v>1355</v>
      </c>
      <c r="F2243">
        <v>9</v>
      </c>
      <c r="G2243">
        <v>174</v>
      </c>
      <c r="H2243" t="str">
        <f>VLOOKUP(G2243,[1]OPERADORES!$A:$B,2,0)</f>
        <v>MIRIÃ LOBATO RODRIGUES</v>
      </c>
      <c r="I2243" t="s">
        <v>21</v>
      </c>
      <c r="J2243" t="s">
        <v>1356</v>
      </c>
      <c r="K2243" t="s">
        <v>1357</v>
      </c>
      <c r="L2243">
        <v>22684</v>
      </c>
      <c r="M2243" t="s">
        <v>73</v>
      </c>
      <c r="O2243" t="s">
        <v>11</v>
      </c>
      <c r="P2243">
        <v>5102</v>
      </c>
      <c r="Q2243">
        <v>50</v>
      </c>
      <c r="R2243">
        <v>3.65</v>
      </c>
      <c r="S2243">
        <v>182.5</v>
      </c>
      <c r="T2243">
        <v>154</v>
      </c>
      <c r="U2243">
        <v>15.62</v>
      </c>
      <c r="V2243" t="str">
        <f>VLOOKUP(L2243,'[2]tabela de preços'!$A:$D,4,0)</f>
        <v>3M</v>
      </c>
      <c r="W2243" t="str">
        <f>VLOOKUP(L2243,'[2]tabela de preços'!$A:$F,6,0)</f>
        <v>FITA AUTOMOTIVA</v>
      </c>
      <c r="X2243" t="str">
        <f>VLOOKUP(L2243,'[2]tabela de preços'!$A:$G,7,0)</f>
        <v>AUTOMOTIVO</v>
      </c>
    </row>
    <row r="2244" spans="1:24" x14ac:dyDescent="0.3">
      <c r="A2244" t="s">
        <v>1353</v>
      </c>
      <c r="C2244" t="s">
        <v>1354</v>
      </c>
      <c r="D2244" s="1">
        <v>46050</v>
      </c>
      <c r="E2244" t="s">
        <v>1355</v>
      </c>
      <c r="F2244">
        <v>9</v>
      </c>
      <c r="G2244">
        <v>174</v>
      </c>
      <c r="H2244" t="str">
        <f>VLOOKUP(G2244,[1]OPERADORES!$A:$B,2,0)</f>
        <v>MIRIÃ LOBATO RODRIGUES</v>
      </c>
      <c r="I2244" t="s">
        <v>21</v>
      </c>
      <c r="J2244" t="s">
        <v>1356</v>
      </c>
      <c r="K2244" t="s">
        <v>1357</v>
      </c>
      <c r="L2244">
        <v>22173</v>
      </c>
      <c r="M2244" t="s">
        <v>194</v>
      </c>
      <c r="O2244" t="s">
        <v>11</v>
      </c>
      <c r="P2244">
        <v>5102</v>
      </c>
      <c r="Q2244">
        <v>50</v>
      </c>
      <c r="R2244">
        <v>4.58</v>
      </c>
      <c r="S2244">
        <v>229</v>
      </c>
      <c r="T2244">
        <v>174</v>
      </c>
      <c r="U2244">
        <v>24.02</v>
      </c>
      <c r="V2244" t="str">
        <f>VLOOKUP(L2244,'[2]tabela de preços'!$A:$D,4,0)</f>
        <v>3M</v>
      </c>
      <c r="W2244" t="str">
        <f>VLOOKUP(L2244,'[2]tabela de preços'!$A:$F,6,0)</f>
        <v>FITA AUTOMOTIVA</v>
      </c>
      <c r="X2244" t="str">
        <f>VLOOKUP(L2244,'[2]tabela de preços'!$A:$G,7,0)</f>
        <v>AUTOMOTIVO</v>
      </c>
    </row>
    <row r="2245" spans="1:24" x14ac:dyDescent="0.3">
      <c r="A2245" t="s">
        <v>1353</v>
      </c>
      <c r="C2245" t="s">
        <v>1354</v>
      </c>
      <c r="D2245" s="1">
        <v>46050</v>
      </c>
      <c r="E2245" t="s">
        <v>1355</v>
      </c>
      <c r="F2245">
        <v>9</v>
      </c>
      <c r="G2245">
        <v>174</v>
      </c>
      <c r="H2245" t="str">
        <f>VLOOKUP(G2245,[1]OPERADORES!$A:$B,2,0)</f>
        <v>MIRIÃ LOBATO RODRIGUES</v>
      </c>
      <c r="I2245" t="s">
        <v>21</v>
      </c>
      <c r="J2245" t="s">
        <v>1356</v>
      </c>
      <c r="K2245" t="s">
        <v>1357</v>
      </c>
      <c r="L2245">
        <v>85680</v>
      </c>
      <c r="M2245" t="s">
        <v>669</v>
      </c>
      <c r="O2245" t="s">
        <v>11</v>
      </c>
      <c r="P2245">
        <v>5102</v>
      </c>
      <c r="Q2245">
        <v>10</v>
      </c>
      <c r="R2245">
        <v>3.69</v>
      </c>
      <c r="S2245">
        <v>36.9</v>
      </c>
      <c r="T2245">
        <v>29.3</v>
      </c>
      <c r="U2245">
        <v>20.6</v>
      </c>
      <c r="V2245" t="str">
        <f>VLOOKUP(L2245,'[2]tabela de preços'!$A:$D,4,0)</f>
        <v>UNIPEGA</v>
      </c>
      <c r="W2245" t="str">
        <f>VLOOKUP(L2245,'[2]tabela de preços'!$A:$F,6,0)</f>
        <v>FITA ISOLANTE</v>
      </c>
      <c r="X2245" t="str">
        <f>VLOOKUP(L2245,'[2]tabela de preços'!$A:$G,7,0)</f>
        <v>IMOBILIÁRIO</v>
      </c>
    </row>
    <row r="2246" spans="1:24" x14ac:dyDescent="0.3">
      <c r="A2246" t="s">
        <v>1353</v>
      </c>
      <c r="C2246" t="s">
        <v>1354</v>
      </c>
      <c r="D2246" s="1">
        <v>46050</v>
      </c>
      <c r="E2246" t="s">
        <v>1355</v>
      </c>
      <c r="F2246">
        <v>9</v>
      </c>
      <c r="G2246">
        <v>174</v>
      </c>
      <c r="H2246" t="str">
        <f>VLOOKUP(G2246,[1]OPERADORES!$A:$B,2,0)</f>
        <v>MIRIÃ LOBATO RODRIGUES</v>
      </c>
      <c r="I2246" t="s">
        <v>21</v>
      </c>
      <c r="J2246" t="s">
        <v>1356</v>
      </c>
      <c r="K2246" t="s">
        <v>1357</v>
      </c>
      <c r="L2246">
        <v>85678</v>
      </c>
      <c r="M2246" t="s">
        <v>1359</v>
      </c>
      <c r="O2246" t="s">
        <v>11</v>
      </c>
      <c r="P2246">
        <v>5102</v>
      </c>
      <c r="Q2246">
        <v>10</v>
      </c>
      <c r="R2246">
        <v>1.45</v>
      </c>
      <c r="S2246">
        <v>14.5</v>
      </c>
      <c r="T2246">
        <v>11.4</v>
      </c>
      <c r="U2246">
        <v>21.38</v>
      </c>
      <c r="V2246" t="str">
        <f>VLOOKUP(L2246,'[2]tabela de preços'!$A:$D,4,0)</f>
        <v>UNIPEGA</v>
      </c>
      <c r="W2246" t="str">
        <f>VLOOKUP(L2246,'[2]tabela de preços'!$A:$F,6,0)</f>
        <v>FITA ISOLANTE</v>
      </c>
      <c r="X2246" t="str">
        <f>VLOOKUP(L2246,'[2]tabela de preços'!$A:$G,7,0)</f>
        <v>IMOBILIÁRIO</v>
      </c>
    </row>
    <row r="2247" spans="1:24" x14ac:dyDescent="0.3">
      <c r="A2247" t="s">
        <v>1353</v>
      </c>
      <c r="C2247" t="s">
        <v>1354</v>
      </c>
      <c r="D2247" s="1">
        <v>46050</v>
      </c>
      <c r="E2247" t="s">
        <v>1355</v>
      </c>
      <c r="F2247">
        <v>9</v>
      </c>
      <c r="G2247">
        <v>174</v>
      </c>
      <c r="H2247" t="str">
        <f>VLOOKUP(G2247,[1]OPERADORES!$A:$B,2,0)</f>
        <v>MIRIÃ LOBATO RODRIGUES</v>
      </c>
      <c r="I2247" t="s">
        <v>21</v>
      </c>
      <c r="J2247" t="s">
        <v>1356</v>
      </c>
      <c r="K2247" t="s">
        <v>1357</v>
      </c>
      <c r="L2247">
        <v>85409</v>
      </c>
      <c r="M2247" t="s">
        <v>201</v>
      </c>
      <c r="O2247" t="s">
        <v>11</v>
      </c>
      <c r="P2247">
        <v>5403</v>
      </c>
      <c r="Q2247">
        <v>6</v>
      </c>
      <c r="R2247">
        <v>28.9</v>
      </c>
      <c r="S2247">
        <v>173.4</v>
      </c>
      <c r="T2247">
        <v>138.66</v>
      </c>
      <c r="U2247">
        <v>20.03</v>
      </c>
      <c r="V2247" t="str">
        <f>VLOOKUP(L2247,'[2]tabela de preços'!$A:$D,4,0)</f>
        <v>WANDA</v>
      </c>
      <c r="W2247" t="str">
        <f>VLOOKUP(L2247,'[2]tabela de preços'!$A:$F,6,0)</f>
        <v>PRIMER AUTOMOTIVO</v>
      </c>
      <c r="X2247" t="str">
        <f>VLOOKUP(L2247,'[2]tabela de preços'!$A:$G,7,0)</f>
        <v>AUTOMOTIVO</v>
      </c>
    </row>
    <row r="2248" spans="1:24" x14ac:dyDescent="0.3">
      <c r="A2248" t="s">
        <v>1353</v>
      </c>
      <c r="C2248" t="s">
        <v>1354</v>
      </c>
      <c r="D2248" s="1">
        <v>46050</v>
      </c>
      <c r="E2248" t="s">
        <v>1355</v>
      </c>
      <c r="F2248">
        <v>9</v>
      </c>
      <c r="G2248">
        <v>174</v>
      </c>
      <c r="H2248" t="str">
        <f>VLOOKUP(G2248,[1]OPERADORES!$A:$B,2,0)</f>
        <v>MIRIÃ LOBATO RODRIGUES</v>
      </c>
      <c r="I2248" t="s">
        <v>21</v>
      </c>
      <c r="J2248" t="s">
        <v>1356</v>
      </c>
      <c r="K2248" t="s">
        <v>1357</v>
      </c>
      <c r="L2248">
        <v>23076</v>
      </c>
      <c r="M2248" t="s">
        <v>97</v>
      </c>
      <c r="O2248" t="s">
        <v>11</v>
      </c>
      <c r="P2248">
        <v>5403</v>
      </c>
      <c r="Q2248">
        <v>6</v>
      </c>
      <c r="R2248">
        <v>34.89</v>
      </c>
      <c r="S2248">
        <v>209.34</v>
      </c>
      <c r="T2248">
        <v>159.18</v>
      </c>
      <c r="U2248">
        <v>23.96</v>
      </c>
      <c r="V2248" t="str">
        <f>VLOOKUP(L2248,'[2]tabela de preços'!$A:$D,4,0)</f>
        <v>WANDA</v>
      </c>
      <c r="W2248" t="str">
        <f>VLOOKUP(L2248,'[2]tabela de preços'!$A:$F,6,0)</f>
        <v>PRIMER AUTOMOTIVO</v>
      </c>
      <c r="X2248" t="str">
        <f>VLOOKUP(L2248,'[2]tabela de preços'!$A:$G,7,0)</f>
        <v>AUTOMOTIVO</v>
      </c>
    </row>
    <row r="2249" spans="1:24" x14ac:dyDescent="0.3">
      <c r="A2249" t="s">
        <v>1353</v>
      </c>
      <c r="C2249" t="s">
        <v>1354</v>
      </c>
      <c r="D2249" s="1">
        <v>46050</v>
      </c>
      <c r="E2249" t="s">
        <v>1355</v>
      </c>
      <c r="F2249">
        <v>9</v>
      </c>
      <c r="G2249">
        <v>174</v>
      </c>
      <c r="H2249" t="str">
        <f>VLOOKUP(G2249,[1]OPERADORES!$A:$B,2,0)</f>
        <v>MIRIÃ LOBATO RODRIGUES</v>
      </c>
      <c r="I2249" t="s">
        <v>21</v>
      </c>
      <c r="J2249" t="s">
        <v>1356</v>
      </c>
      <c r="K2249" t="s">
        <v>1357</v>
      </c>
      <c r="L2249">
        <v>13</v>
      </c>
      <c r="M2249" t="s">
        <v>152</v>
      </c>
      <c r="O2249" t="s">
        <v>11</v>
      </c>
      <c r="P2249">
        <v>5102</v>
      </c>
      <c r="Q2249">
        <v>50</v>
      </c>
      <c r="R2249">
        <v>5.79</v>
      </c>
      <c r="S2249">
        <v>289.5</v>
      </c>
      <c r="T2249">
        <v>208</v>
      </c>
      <c r="U2249">
        <v>28.15</v>
      </c>
      <c r="V2249" t="str">
        <f>VLOOKUP(L2249,'[2]tabela de preços'!$A:$D,4,0)</f>
        <v>3M</v>
      </c>
      <c r="W2249" t="str">
        <f>VLOOKUP(L2249,'[2]tabela de preços'!$A:$F,6,0)</f>
        <v>LIXA DÁGUA</v>
      </c>
      <c r="X2249" t="str">
        <f>VLOOKUP(L2249,'[2]tabela de preços'!$A:$G,7,0)</f>
        <v>AUTOMOTIVO</v>
      </c>
    </row>
    <row r="2250" spans="1:24" x14ac:dyDescent="0.3">
      <c r="A2250" t="s">
        <v>1353</v>
      </c>
      <c r="C2250" t="s">
        <v>1354</v>
      </c>
      <c r="D2250" s="1">
        <v>46050</v>
      </c>
      <c r="E2250" t="s">
        <v>1355</v>
      </c>
      <c r="F2250">
        <v>9</v>
      </c>
      <c r="G2250">
        <v>174</v>
      </c>
      <c r="H2250" t="str">
        <f>VLOOKUP(G2250,[1]OPERADORES!$A:$B,2,0)</f>
        <v>MIRIÃ LOBATO RODRIGUES</v>
      </c>
      <c r="I2250" t="s">
        <v>21</v>
      </c>
      <c r="J2250" t="s">
        <v>1356</v>
      </c>
      <c r="K2250" t="s">
        <v>1357</v>
      </c>
      <c r="L2250">
        <v>83820</v>
      </c>
      <c r="M2250" t="s">
        <v>1360</v>
      </c>
      <c r="O2250" t="s">
        <v>11</v>
      </c>
      <c r="P2250">
        <v>5102</v>
      </c>
      <c r="Q2250">
        <v>2</v>
      </c>
      <c r="R2250">
        <v>38.869999999999997</v>
      </c>
      <c r="S2250">
        <v>77.739999999999995</v>
      </c>
      <c r="T2250">
        <v>59</v>
      </c>
      <c r="U2250">
        <v>24.11</v>
      </c>
      <c r="V2250" t="str">
        <f>VLOOKUP(L2250,'[2]tabela de preços'!$A:$D,4,0)</f>
        <v>VONIXX</v>
      </c>
      <c r="W2250" t="str">
        <f>VLOOKUP(L2250,'[2]tabela de preços'!$A:$F,6,0)</f>
        <v>LINHA DE HIGENIZAÇÃO E ESTÉTICA  AUTOMOTIVA</v>
      </c>
      <c r="X2250" t="str">
        <f>VLOOKUP(L2250,'[2]tabela de preços'!$A:$G,7,0)</f>
        <v>AUTOMOTIVO</v>
      </c>
    </row>
    <row r="2251" spans="1:24" x14ac:dyDescent="0.3">
      <c r="A2251" t="s">
        <v>1353</v>
      </c>
      <c r="C2251" t="s">
        <v>1354</v>
      </c>
      <c r="D2251" s="1">
        <v>46050</v>
      </c>
      <c r="E2251" t="s">
        <v>1355</v>
      </c>
      <c r="F2251">
        <v>9</v>
      </c>
      <c r="G2251">
        <v>174</v>
      </c>
      <c r="H2251" t="str">
        <f>VLOOKUP(G2251,[1]OPERADORES!$A:$B,2,0)</f>
        <v>MIRIÃ LOBATO RODRIGUES</v>
      </c>
      <c r="I2251" t="s">
        <v>21</v>
      </c>
      <c r="J2251" t="s">
        <v>1356</v>
      </c>
      <c r="K2251" t="s">
        <v>1357</v>
      </c>
      <c r="L2251">
        <v>9764</v>
      </c>
      <c r="M2251" t="s">
        <v>173</v>
      </c>
      <c r="O2251" t="s">
        <v>11</v>
      </c>
      <c r="P2251">
        <v>5102</v>
      </c>
      <c r="Q2251">
        <v>1</v>
      </c>
      <c r="R2251">
        <v>33.54</v>
      </c>
      <c r="S2251">
        <v>33.54</v>
      </c>
      <c r="T2251">
        <v>25.46</v>
      </c>
      <c r="U2251">
        <v>24.09</v>
      </c>
      <c r="V2251" t="str">
        <f>VLOOKUP(L2251,'[2]tabela de preços'!$A:$D,4,0)</f>
        <v>SIKKENS</v>
      </c>
      <c r="W2251" t="str">
        <f>VLOOKUP(L2251,'[2]tabela de preços'!$A:$F,6,0)</f>
        <v>MASSA DE PEQUENOS REPAROS</v>
      </c>
      <c r="X2251" t="str">
        <f>VLOOKUP(L2251,'[2]tabela de preços'!$A:$G,7,0)</f>
        <v>AUTOMOTIVO</v>
      </c>
    </row>
    <row r="2252" spans="1:24" x14ac:dyDescent="0.3">
      <c r="A2252" t="s">
        <v>1460</v>
      </c>
      <c r="C2252" t="s">
        <v>1466</v>
      </c>
      <c r="D2252" s="1">
        <v>46050</v>
      </c>
      <c r="E2252" t="s">
        <v>1467</v>
      </c>
      <c r="F2252">
        <v>9</v>
      </c>
      <c r="G2252">
        <v>231</v>
      </c>
      <c r="H2252" t="str">
        <f>VLOOKUP(G2252,[1]OPERADORES!$A:$B,2,0)</f>
        <v>EDIJANE</v>
      </c>
      <c r="I2252" t="s">
        <v>21</v>
      </c>
      <c r="J2252" t="s">
        <v>1463</v>
      </c>
      <c r="K2252" t="s">
        <v>1464</v>
      </c>
      <c r="L2252">
        <v>85472</v>
      </c>
      <c r="M2252" t="s">
        <v>1465</v>
      </c>
      <c r="O2252" t="s">
        <v>11</v>
      </c>
      <c r="P2252">
        <v>5102</v>
      </c>
      <c r="Q2252">
        <v>1</v>
      </c>
      <c r="R2252">
        <v>554.63</v>
      </c>
      <c r="S2252">
        <v>554.63</v>
      </c>
      <c r="T2252">
        <v>395.46</v>
      </c>
      <c r="U2252">
        <v>28.7</v>
      </c>
      <c r="V2252" t="str">
        <f>VLOOKUP(L2252,'[2]tabela de preços'!$A:$D,4,0)</f>
        <v>BRASILUX</v>
      </c>
      <c r="W2252" t="str">
        <f>VLOOKUP(L2252,'[2]tabela de preços'!$A:$F,6,0)</f>
        <v>TINTA EM PÓ</v>
      </c>
      <c r="X2252" t="str">
        <f>VLOOKUP(L2252,'[2]tabela de preços'!$A:$G,7,0)</f>
        <v>INDUSTRIAL</v>
      </c>
    </row>
    <row r="2253" spans="1:24" x14ac:dyDescent="0.3">
      <c r="A2253" t="s">
        <v>1468</v>
      </c>
      <c r="C2253" t="s">
        <v>1477</v>
      </c>
      <c r="D2253" s="1">
        <v>46050</v>
      </c>
      <c r="E2253" t="s">
        <v>1478</v>
      </c>
      <c r="F2253">
        <v>9</v>
      </c>
      <c r="G2253">
        <v>174</v>
      </c>
      <c r="H2253" t="str">
        <f>VLOOKUP(G2253,[1]OPERADORES!$A:$B,2,0)</f>
        <v>MIRIÃ LOBATO RODRIGUES</v>
      </c>
      <c r="I2253" t="s">
        <v>21</v>
      </c>
      <c r="J2253" t="s">
        <v>494</v>
      </c>
      <c r="K2253" t="s">
        <v>1471</v>
      </c>
      <c r="L2253">
        <v>10236</v>
      </c>
      <c r="M2253" t="s">
        <v>133</v>
      </c>
      <c r="O2253" t="s">
        <v>11</v>
      </c>
      <c r="P2253">
        <v>5102</v>
      </c>
      <c r="Q2253">
        <v>102</v>
      </c>
      <c r="R2253">
        <v>2.79</v>
      </c>
      <c r="S2253">
        <v>284.58</v>
      </c>
      <c r="T2253">
        <v>236.64</v>
      </c>
      <c r="U2253">
        <v>16.850000000000001</v>
      </c>
      <c r="V2253" t="str">
        <f>VLOOKUP(L2253,'[2]tabela de preços'!$A:$D,4,0)</f>
        <v>NORTON</v>
      </c>
      <c r="W2253" t="str">
        <f>VLOOKUP(L2253,'[2]tabela de preços'!$A:$F,6,0)</f>
        <v xml:space="preserve">DISCOS / LIXAS / ABRASIVOS </v>
      </c>
      <c r="X2253" t="str">
        <f>VLOOKUP(L2253,'[2]tabela de preços'!$A:$G,7,0)</f>
        <v>AUTOMOTIVO</v>
      </c>
    </row>
    <row r="2254" spans="1:24" x14ac:dyDescent="0.3">
      <c r="A2254" t="s">
        <v>1468</v>
      </c>
      <c r="C2254" t="s">
        <v>1477</v>
      </c>
      <c r="D2254" s="1">
        <v>46050</v>
      </c>
      <c r="E2254" t="s">
        <v>1478</v>
      </c>
      <c r="F2254">
        <v>9</v>
      </c>
      <c r="G2254">
        <v>174</v>
      </c>
      <c r="H2254" t="str">
        <f>VLOOKUP(G2254,[1]OPERADORES!$A:$B,2,0)</f>
        <v>MIRIÃ LOBATO RODRIGUES</v>
      </c>
      <c r="I2254" t="s">
        <v>21</v>
      </c>
      <c r="J2254" t="s">
        <v>494</v>
      </c>
      <c r="K2254" t="s">
        <v>1471</v>
      </c>
      <c r="L2254">
        <v>10232</v>
      </c>
      <c r="M2254" t="s">
        <v>134</v>
      </c>
      <c r="O2254" t="s">
        <v>11</v>
      </c>
      <c r="P2254">
        <v>5102</v>
      </c>
      <c r="Q2254">
        <v>102</v>
      </c>
      <c r="R2254">
        <v>2.79</v>
      </c>
      <c r="S2254">
        <v>284.58</v>
      </c>
      <c r="T2254">
        <v>229.5</v>
      </c>
      <c r="U2254">
        <v>19.350000000000001</v>
      </c>
      <c r="V2254" t="str">
        <f>VLOOKUP(L2254,'[2]tabela de preços'!$A:$D,4,0)</f>
        <v>NORTON</v>
      </c>
      <c r="W2254" t="str">
        <f>VLOOKUP(L2254,'[2]tabela de preços'!$A:$F,6,0)</f>
        <v xml:space="preserve">DISCOS / LIXAS / ABRASIVOS </v>
      </c>
      <c r="X2254" t="str">
        <f>VLOOKUP(L2254,'[2]tabela de preços'!$A:$G,7,0)</f>
        <v>AUTOMOTIVO</v>
      </c>
    </row>
    <row r="2255" spans="1:24" x14ac:dyDescent="0.3">
      <c r="A2255" t="s">
        <v>1468</v>
      </c>
      <c r="C2255" t="s">
        <v>1477</v>
      </c>
      <c r="D2255" s="1">
        <v>46050</v>
      </c>
      <c r="E2255" t="s">
        <v>1478</v>
      </c>
      <c r="F2255">
        <v>9</v>
      </c>
      <c r="G2255">
        <v>174</v>
      </c>
      <c r="H2255" t="str">
        <f>VLOOKUP(G2255,[1]OPERADORES!$A:$B,2,0)</f>
        <v>MIRIÃ LOBATO RODRIGUES</v>
      </c>
      <c r="I2255" t="s">
        <v>21</v>
      </c>
      <c r="J2255" t="s">
        <v>494</v>
      </c>
      <c r="K2255" t="s">
        <v>1471</v>
      </c>
      <c r="L2255">
        <v>23602</v>
      </c>
      <c r="M2255" t="s">
        <v>215</v>
      </c>
      <c r="O2255" t="s">
        <v>11</v>
      </c>
      <c r="P2255">
        <v>5403</v>
      </c>
      <c r="Q2255">
        <v>18</v>
      </c>
      <c r="R2255">
        <v>35.89</v>
      </c>
      <c r="S2255">
        <v>646.02</v>
      </c>
      <c r="T2255">
        <v>526.5</v>
      </c>
      <c r="U2255">
        <v>18.5</v>
      </c>
      <c r="V2255" t="str">
        <f>VLOOKUP(L2255,'[2]tabela de preços'!$A:$D,4,0)</f>
        <v>SHERWIN WILLIAMS</v>
      </c>
      <c r="W2255" t="str">
        <f>VLOOKUP(L2255,'[2]tabela de preços'!$A:$F,6,0)</f>
        <v>VERNIZ AUTOMOTIVO</v>
      </c>
      <c r="X2255" t="str">
        <f>VLOOKUP(L2255,'[2]tabela de preços'!$A:$G,7,0)</f>
        <v>AUTOMOTIVO</v>
      </c>
    </row>
    <row r="2256" spans="1:24" x14ac:dyDescent="0.3">
      <c r="A2256" t="s">
        <v>1468</v>
      </c>
      <c r="C2256" t="s">
        <v>1477</v>
      </c>
      <c r="D2256" s="1">
        <v>46050</v>
      </c>
      <c r="E2256" t="s">
        <v>1478</v>
      </c>
      <c r="F2256">
        <v>9</v>
      </c>
      <c r="G2256">
        <v>174</v>
      </c>
      <c r="H2256" t="str">
        <f>VLOOKUP(G2256,[1]OPERADORES!$A:$B,2,0)</f>
        <v>MIRIÃ LOBATO RODRIGUES</v>
      </c>
      <c r="I2256" t="s">
        <v>21</v>
      </c>
      <c r="J2256" t="s">
        <v>494</v>
      </c>
      <c r="K2256" t="s">
        <v>1471</v>
      </c>
      <c r="L2256">
        <v>20817</v>
      </c>
      <c r="M2256" t="s">
        <v>153</v>
      </c>
      <c r="O2256" t="s">
        <v>11</v>
      </c>
      <c r="P2256">
        <v>5102</v>
      </c>
      <c r="Q2256">
        <v>6</v>
      </c>
      <c r="R2256">
        <v>22.89</v>
      </c>
      <c r="S2256">
        <v>137.34</v>
      </c>
      <c r="T2256">
        <v>111.72</v>
      </c>
      <c r="U2256">
        <v>18.649999999999999</v>
      </c>
      <c r="V2256" t="str">
        <f>VLOOKUP(L2256,'[2]tabela de preços'!$A:$D,4,0)</f>
        <v>AUTO AMERICA</v>
      </c>
      <c r="W2256" t="str">
        <f>VLOOKUP(L2256,'[2]tabela de preços'!$A:$F,6,0)</f>
        <v>MASSA DE POLIR</v>
      </c>
      <c r="X2256" t="str">
        <f>VLOOKUP(L2256,'[2]tabela de preços'!$A:$G,7,0)</f>
        <v>AUTOMOTIVO</v>
      </c>
    </row>
    <row r="2257" spans="1:24" x14ac:dyDescent="0.3">
      <c r="A2257" t="s">
        <v>1606</v>
      </c>
      <c r="C2257" t="s">
        <v>1620</v>
      </c>
      <c r="D2257" s="1">
        <v>46050</v>
      </c>
      <c r="E2257" t="s">
        <v>1621</v>
      </c>
      <c r="F2257">
        <v>9</v>
      </c>
      <c r="G2257">
        <v>230</v>
      </c>
      <c r="H2257" t="str">
        <f>VLOOKUP(G2257,[1]OPERADORES!$A:$B,2,0)</f>
        <v>SÔNIA</v>
      </c>
      <c r="I2257" t="s">
        <v>21</v>
      </c>
      <c r="J2257" t="s">
        <v>397</v>
      </c>
      <c r="K2257" t="s">
        <v>1609</v>
      </c>
      <c r="L2257">
        <v>84887</v>
      </c>
      <c r="M2257" t="s">
        <v>1622</v>
      </c>
      <c r="O2257" t="s">
        <v>11</v>
      </c>
      <c r="P2257">
        <v>5403</v>
      </c>
      <c r="Q2257">
        <v>1</v>
      </c>
      <c r="R2257">
        <v>372.16</v>
      </c>
      <c r="S2257">
        <v>372.16</v>
      </c>
      <c r="T2257">
        <v>282.48</v>
      </c>
      <c r="U2257">
        <v>24.1</v>
      </c>
      <c r="V2257" t="str">
        <f>VLOOKUP(L2257,'[2]tabela de preços'!$A:$D,4,0)</f>
        <v>BRASILUX</v>
      </c>
      <c r="W2257" t="str">
        <f>VLOOKUP(L2257,'[2]tabela de preços'!$A:$F,6,0)</f>
        <v xml:space="preserve">BASES SISTEMA NO MACHINE </v>
      </c>
      <c r="X2257" t="str">
        <f>VLOOKUP(L2257,'[2]tabela de preços'!$A:$G,7,0)</f>
        <v>INDUSTRIAL</v>
      </c>
    </row>
    <row r="2258" spans="1:24" x14ac:dyDescent="0.3">
      <c r="A2258" t="s">
        <v>1649</v>
      </c>
      <c r="B2258" t="s">
        <v>1650</v>
      </c>
      <c r="C2258" t="s">
        <v>1669</v>
      </c>
      <c r="D2258" s="1">
        <v>46050</v>
      </c>
      <c r="E2258" t="s">
        <v>1670</v>
      </c>
      <c r="F2258">
        <v>9</v>
      </c>
      <c r="G2258">
        <v>236</v>
      </c>
      <c r="H2258" t="str">
        <f>VLOOKUP(G2258,[1]OPERADORES!$A:$B,2,0)</f>
        <v>DANIEL</v>
      </c>
      <c r="I2258" t="s">
        <v>21</v>
      </c>
      <c r="J2258" t="s">
        <v>1653</v>
      </c>
      <c r="K2258" t="s">
        <v>1654</v>
      </c>
      <c r="L2258">
        <v>24240</v>
      </c>
      <c r="M2258" t="s">
        <v>240</v>
      </c>
      <c r="O2258" t="s">
        <v>11</v>
      </c>
      <c r="P2258">
        <v>5102</v>
      </c>
      <c r="Q2258">
        <v>64</v>
      </c>
      <c r="R2258">
        <v>3.81</v>
      </c>
      <c r="S2258">
        <v>243.84</v>
      </c>
      <c r="T2258">
        <v>209.92</v>
      </c>
      <c r="U2258">
        <v>13.91</v>
      </c>
      <c r="V2258" t="str">
        <f>VLOOKUP(L2258,'[2]tabela de preços'!$A:$D,4,0)</f>
        <v>ADERE</v>
      </c>
      <c r="W2258" t="str">
        <f>VLOOKUP(L2258,'[2]tabela de preços'!$A:$F,6,0)</f>
        <v>FITA AUTOMOTIVA</v>
      </c>
      <c r="X2258" t="str">
        <f>VLOOKUP(L2258,'[2]tabela de preços'!$A:$G,7,0)</f>
        <v>AUTOMOTIVO</v>
      </c>
    </row>
    <row r="2259" spans="1:24" x14ac:dyDescent="0.3">
      <c r="A2259" t="s">
        <v>1649</v>
      </c>
      <c r="B2259" t="s">
        <v>1650</v>
      </c>
      <c r="C2259" t="s">
        <v>1669</v>
      </c>
      <c r="D2259" s="1">
        <v>46050</v>
      </c>
      <c r="E2259" t="s">
        <v>1670</v>
      </c>
      <c r="F2259">
        <v>9</v>
      </c>
      <c r="G2259">
        <v>236</v>
      </c>
      <c r="H2259" t="str">
        <f>VLOOKUP(G2259,[1]OPERADORES!$A:$B,2,0)</f>
        <v>DANIEL</v>
      </c>
      <c r="I2259" t="s">
        <v>21</v>
      </c>
      <c r="J2259" t="s">
        <v>1653</v>
      </c>
      <c r="K2259" t="s">
        <v>1654</v>
      </c>
      <c r="L2259">
        <v>87043</v>
      </c>
      <c r="M2259" t="s">
        <v>217</v>
      </c>
      <c r="O2259" t="s">
        <v>11</v>
      </c>
      <c r="P2259">
        <v>5102</v>
      </c>
      <c r="Q2259">
        <v>24</v>
      </c>
      <c r="R2259">
        <v>21.95</v>
      </c>
      <c r="S2259">
        <v>526.79999999999995</v>
      </c>
      <c r="T2259">
        <v>432.48</v>
      </c>
      <c r="U2259">
        <v>17.899999999999999</v>
      </c>
      <c r="V2259" t="str">
        <f>VLOOKUP(L2259,'[2]tabela de preços'!$A:$D,4,0)</f>
        <v>ROBERLO</v>
      </c>
      <c r="W2259" t="str">
        <f>VLOOKUP(L2259,'[2]tabela de preços'!$A:$F,6,0)</f>
        <v>MASSA POLIÉSTER</v>
      </c>
      <c r="X2259" t="str">
        <f>VLOOKUP(L2259,'[2]tabela de preços'!$A:$G,7,0)</f>
        <v>AUTOMOTIVO</v>
      </c>
    </row>
    <row r="2260" spans="1:24" x14ac:dyDescent="0.3">
      <c r="A2260" t="s">
        <v>1688</v>
      </c>
      <c r="C2260" t="s">
        <v>1698</v>
      </c>
      <c r="D2260" s="1">
        <v>46050</v>
      </c>
      <c r="E2260" t="s">
        <v>1699</v>
      </c>
      <c r="F2260">
        <v>9</v>
      </c>
      <c r="G2260">
        <v>174</v>
      </c>
      <c r="H2260" t="str">
        <f>VLOOKUP(G2260,[1]OPERADORES!$A:$B,2,0)</f>
        <v>MIRIÃ LOBATO RODRIGUES</v>
      </c>
      <c r="I2260" t="s">
        <v>21</v>
      </c>
      <c r="J2260" t="s">
        <v>1691</v>
      </c>
      <c r="K2260" t="s">
        <v>1692</v>
      </c>
      <c r="L2260">
        <v>23716</v>
      </c>
      <c r="M2260" t="s">
        <v>220</v>
      </c>
      <c r="O2260" t="s">
        <v>11</v>
      </c>
      <c r="P2260">
        <v>5102</v>
      </c>
      <c r="Q2260">
        <v>1</v>
      </c>
      <c r="R2260">
        <v>41</v>
      </c>
      <c r="S2260">
        <v>41</v>
      </c>
      <c r="T2260">
        <v>30.9</v>
      </c>
      <c r="U2260">
        <v>24.63</v>
      </c>
      <c r="V2260" t="str">
        <f>VLOOKUP(L2260,'[2]tabela de preços'!$A:$D,4,0)</f>
        <v>NEW PAD</v>
      </c>
      <c r="W2260" t="str">
        <f>VLOOKUP(L2260,'[2]tabela de preços'!$A:$F,6,0)</f>
        <v>BOINAS PARA POLIMENTO</v>
      </c>
      <c r="X2260" t="str">
        <f>VLOOKUP(L2260,'[2]tabela de preços'!$A:$G,7,0)</f>
        <v>AUTOMOTIVO</v>
      </c>
    </row>
    <row r="2261" spans="1:24" x14ac:dyDescent="0.3">
      <c r="A2261" t="s">
        <v>1688</v>
      </c>
      <c r="C2261" t="s">
        <v>1698</v>
      </c>
      <c r="D2261" s="1">
        <v>46050</v>
      </c>
      <c r="E2261" t="s">
        <v>1699</v>
      </c>
      <c r="F2261">
        <v>9</v>
      </c>
      <c r="G2261">
        <v>174</v>
      </c>
      <c r="H2261" t="str">
        <f>VLOOKUP(G2261,[1]OPERADORES!$A:$B,2,0)</f>
        <v>MIRIÃ LOBATO RODRIGUES</v>
      </c>
      <c r="I2261" t="s">
        <v>21</v>
      </c>
      <c r="J2261" t="s">
        <v>1691</v>
      </c>
      <c r="K2261" t="s">
        <v>1692</v>
      </c>
      <c r="L2261">
        <v>24241</v>
      </c>
      <c r="M2261" t="s">
        <v>233</v>
      </c>
      <c r="O2261" t="s">
        <v>11</v>
      </c>
      <c r="P2261">
        <v>5102</v>
      </c>
      <c r="Q2261">
        <v>10</v>
      </c>
      <c r="R2261">
        <v>12.2</v>
      </c>
      <c r="S2261">
        <v>122</v>
      </c>
      <c r="T2261">
        <v>92.6</v>
      </c>
      <c r="U2261">
        <v>24.1</v>
      </c>
      <c r="V2261" t="str">
        <f>VLOOKUP(L2261,'[2]tabela de preços'!$A:$D,4,0)</f>
        <v>ADERE</v>
      </c>
      <c r="W2261" t="str">
        <f>VLOOKUP(L2261,'[2]tabela de preços'!$A:$F,6,0)</f>
        <v>FITA AUTOMOTIVA</v>
      </c>
      <c r="X2261" t="str">
        <f>VLOOKUP(L2261,'[2]tabela de preços'!$A:$G,7,0)</f>
        <v>AUTOMOTIVO</v>
      </c>
    </row>
    <row r="2262" spans="1:24" x14ac:dyDescent="0.3">
      <c r="A2262" t="s">
        <v>1688</v>
      </c>
      <c r="C2262" t="s">
        <v>1698</v>
      </c>
      <c r="D2262" s="1">
        <v>46050</v>
      </c>
      <c r="E2262" t="s">
        <v>1699</v>
      </c>
      <c r="F2262">
        <v>9</v>
      </c>
      <c r="G2262">
        <v>174</v>
      </c>
      <c r="H2262" t="str">
        <f>VLOOKUP(G2262,[1]OPERADORES!$A:$B,2,0)</f>
        <v>MIRIÃ LOBATO RODRIGUES</v>
      </c>
      <c r="I2262" t="s">
        <v>21</v>
      </c>
      <c r="J2262" t="s">
        <v>1691</v>
      </c>
      <c r="K2262" t="s">
        <v>1692</v>
      </c>
      <c r="L2262">
        <v>20817</v>
      </c>
      <c r="M2262" t="s">
        <v>153</v>
      </c>
      <c r="O2262" t="s">
        <v>11</v>
      </c>
      <c r="P2262">
        <v>5102</v>
      </c>
      <c r="Q2262">
        <v>2</v>
      </c>
      <c r="R2262">
        <v>22.89</v>
      </c>
      <c r="S2262">
        <v>45.78</v>
      </c>
      <c r="T2262">
        <v>37.24</v>
      </c>
      <c r="U2262">
        <v>18.649999999999999</v>
      </c>
      <c r="V2262" t="str">
        <f>VLOOKUP(L2262,'[2]tabela de preços'!$A:$D,4,0)</f>
        <v>AUTO AMERICA</v>
      </c>
      <c r="W2262" t="str">
        <f>VLOOKUP(L2262,'[2]tabela de preços'!$A:$F,6,0)</f>
        <v>MASSA DE POLIR</v>
      </c>
      <c r="X2262" t="str">
        <f>VLOOKUP(L2262,'[2]tabela de preços'!$A:$G,7,0)</f>
        <v>AUTOMOTIVO</v>
      </c>
    </row>
    <row r="2263" spans="1:24" x14ac:dyDescent="0.3">
      <c r="A2263" t="s">
        <v>1688</v>
      </c>
      <c r="C2263" t="s">
        <v>1698</v>
      </c>
      <c r="D2263" s="1">
        <v>46050</v>
      </c>
      <c r="E2263" t="s">
        <v>1699</v>
      </c>
      <c r="F2263">
        <v>9</v>
      </c>
      <c r="G2263">
        <v>174</v>
      </c>
      <c r="H2263" t="str">
        <f>VLOOKUP(G2263,[1]OPERADORES!$A:$B,2,0)</f>
        <v>MIRIÃ LOBATO RODRIGUES</v>
      </c>
      <c r="I2263" t="s">
        <v>21</v>
      </c>
      <c r="J2263" t="s">
        <v>1691</v>
      </c>
      <c r="K2263" t="s">
        <v>1692</v>
      </c>
      <c r="L2263">
        <v>24332</v>
      </c>
      <c r="M2263" t="s">
        <v>1700</v>
      </c>
      <c r="O2263" t="s">
        <v>11</v>
      </c>
      <c r="P2263">
        <v>5102</v>
      </c>
      <c r="Q2263">
        <v>1</v>
      </c>
      <c r="R2263">
        <v>31.63</v>
      </c>
      <c r="S2263">
        <v>31.63</v>
      </c>
      <c r="T2263">
        <v>23.19</v>
      </c>
      <c r="U2263">
        <v>26.68</v>
      </c>
      <c r="V2263" t="str">
        <f>VLOOKUP(L2263,'[2]tabela de preços'!$A:$D,4,0)</f>
        <v>VONIXX</v>
      </c>
      <c r="W2263" t="str">
        <f>VLOOKUP(L2263,'[2]tabela de preços'!$A:$F,6,0)</f>
        <v>LINHA DE HIGENIZAÇÃO E ESTÉTICA  AUTOMOTIVA</v>
      </c>
      <c r="X2263" t="str">
        <f>VLOOKUP(L2263,'[2]tabela de preços'!$A:$G,7,0)</f>
        <v>AUTOMOTIVO</v>
      </c>
    </row>
    <row r="2264" spans="1:24" x14ac:dyDescent="0.3">
      <c r="A2264" t="s">
        <v>1739</v>
      </c>
      <c r="C2264" t="s">
        <v>1749</v>
      </c>
      <c r="D2264" s="1">
        <v>46050</v>
      </c>
      <c r="E2264" t="s">
        <v>1750</v>
      </c>
      <c r="F2264">
        <v>9</v>
      </c>
      <c r="G2264">
        <v>174</v>
      </c>
      <c r="H2264" t="str">
        <f>VLOOKUP(G2264,[1]OPERADORES!$A:$B,2,0)</f>
        <v>MIRIÃ LOBATO RODRIGUES</v>
      </c>
      <c r="I2264" t="s">
        <v>21</v>
      </c>
      <c r="J2264" t="s">
        <v>66</v>
      </c>
      <c r="K2264" t="s">
        <v>1742</v>
      </c>
      <c r="L2264">
        <v>20433</v>
      </c>
      <c r="M2264" t="s">
        <v>460</v>
      </c>
      <c r="O2264" t="s">
        <v>11</v>
      </c>
      <c r="P2264">
        <v>5102</v>
      </c>
      <c r="Q2264">
        <v>6</v>
      </c>
      <c r="R2264">
        <v>32.19</v>
      </c>
      <c r="S2264">
        <v>193.14</v>
      </c>
      <c r="T2264">
        <v>146.58000000000001</v>
      </c>
      <c r="U2264">
        <v>24.11</v>
      </c>
      <c r="V2264" t="str">
        <f>VLOOKUP(L2264,'[2]tabela de preços'!$A:$D,4,0)</f>
        <v>SHERWIN WILLIAMS</v>
      </c>
      <c r="W2264" t="str">
        <f>VLOOKUP(L2264,'[2]tabela de preços'!$A:$F,6,0)</f>
        <v>VERNIZ AUTOMOTIVO</v>
      </c>
      <c r="X2264" t="str">
        <f>VLOOKUP(L2264,'[2]tabela de preços'!$A:$G,7,0)</f>
        <v>AUTOMOTIVO</v>
      </c>
    </row>
    <row r="2265" spans="1:24" x14ac:dyDescent="0.3">
      <c r="A2265" t="s">
        <v>1739</v>
      </c>
      <c r="C2265" t="s">
        <v>1749</v>
      </c>
      <c r="D2265" s="1">
        <v>46050</v>
      </c>
      <c r="E2265" t="s">
        <v>1750</v>
      </c>
      <c r="F2265">
        <v>9</v>
      </c>
      <c r="G2265">
        <v>174</v>
      </c>
      <c r="H2265" t="str">
        <f>VLOOKUP(G2265,[1]OPERADORES!$A:$B,2,0)</f>
        <v>MIRIÃ LOBATO RODRIGUES</v>
      </c>
      <c r="I2265" t="s">
        <v>21</v>
      </c>
      <c r="J2265" t="s">
        <v>66</v>
      </c>
      <c r="K2265" t="s">
        <v>1742</v>
      </c>
      <c r="L2265">
        <v>24248</v>
      </c>
      <c r="M2265" t="s">
        <v>107</v>
      </c>
      <c r="O2265" t="s">
        <v>11</v>
      </c>
      <c r="P2265">
        <v>5102</v>
      </c>
      <c r="Q2265">
        <v>24</v>
      </c>
      <c r="R2265">
        <v>8</v>
      </c>
      <c r="S2265">
        <v>192</v>
      </c>
      <c r="T2265">
        <v>156</v>
      </c>
      <c r="U2265">
        <v>18.75</v>
      </c>
      <c r="V2265" t="str">
        <f>VLOOKUP(L2265,'[2]tabela de preços'!$A:$D,4,0)</f>
        <v>SHERWIN WILLIAMS</v>
      </c>
      <c r="W2265" t="str">
        <f>VLOOKUP(L2265,'[2]tabela de preços'!$A:$F,6,0)</f>
        <v>PRIMER AUTOMOTIVO</v>
      </c>
      <c r="X2265" t="str">
        <f>VLOOKUP(L2265,'[2]tabela de preços'!$A:$G,7,0)</f>
        <v>AUTOMOTIVO</v>
      </c>
    </row>
    <row r="2266" spans="1:24" x14ac:dyDescent="0.3">
      <c r="A2266" t="s">
        <v>1739</v>
      </c>
      <c r="C2266" t="s">
        <v>1749</v>
      </c>
      <c r="D2266" s="1">
        <v>46050</v>
      </c>
      <c r="E2266" t="s">
        <v>1750</v>
      </c>
      <c r="F2266">
        <v>9</v>
      </c>
      <c r="G2266">
        <v>174</v>
      </c>
      <c r="H2266" t="str">
        <f>VLOOKUP(G2266,[1]OPERADORES!$A:$B,2,0)</f>
        <v>MIRIÃ LOBATO RODRIGUES</v>
      </c>
      <c r="I2266" t="s">
        <v>21</v>
      </c>
      <c r="J2266" t="s">
        <v>66</v>
      </c>
      <c r="K2266" t="s">
        <v>1742</v>
      </c>
      <c r="L2266">
        <v>22684</v>
      </c>
      <c r="M2266" t="s">
        <v>73</v>
      </c>
      <c r="O2266" t="s">
        <v>11</v>
      </c>
      <c r="P2266">
        <v>5102</v>
      </c>
      <c r="Q2266">
        <v>240</v>
      </c>
      <c r="R2266">
        <v>3.65</v>
      </c>
      <c r="S2266">
        <v>876</v>
      </c>
      <c r="T2266">
        <v>739.2</v>
      </c>
      <c r="U2266">
        <v>15.62</v>
      </c>
      <c r="V2266" t="str">
        <f>VLOOKUP(L2266,'[2]tabela de preços'!$A:$D,4,0)</f>
        <v>3M</v>
      </c>
      <c r="W2266" t="str">
        <f>VLOOKUP(L2266,'[2]tabela de preços'!$A:$F,6,0)</f>
        <v>FITA AUTOMOTIVA</v>
      </c>
      <c r="X2266" t="str">
        <f>VLOOKUP(L2266,'[2]tabela de preços'!$A:$G,7,0)</f>
        <v>AUTOMOTIVO</v>
      </c>
    </row>
    <row r="2267" spans="1:24" x14ac:dyDescent="0.3">
      <c r="A2267" t="s">
        <v>1739</v>
      </c>
      <c r="C2267" t="s">
        <v>1749</v>
      </c>
      <c r="D2267" s="1">
        <v>46050</v>
      </c>
      <c r="E2267" t="s">
        <v>1750</v>
      </c>
      <c r="F2267">
        <v>9</v>
      </c>
      <c r="G2267">
        <v>174</v>
      </c>
      <c r="H2267" t="str">
        <f>VLOOKUP(G2267,[1]OPERADORES!$A:$B,2,0)</f>
        <v>MIRIÃ LOBATO RODRIGUES</v>
      </c>
      <c r="I2267" t="s">
        <v>21</v>
      </c>
      <c r="J2267" t="s">
        <v>66</v>
      </c>
      <c r="K2267" t="s">
        <v>1742</v>
      </c>
      <c r="L2267">
        <v>24247</v>
      </c>
      <c r="M2267" t="s">
        <v>160</v>
      </c>
      <c r="O2267" t="s">
        <v>11</v>
      </c>
      <c r="P2267">
        <v>5403</v>
      </c>
      <c r="Q2267">
        <v>24</v>
      </c>
      <c r="R2267">
        <v>21</v>
      </c>
      <c r="S2267">
        <v>504</v>
      </c>
      <c r="T2267">
        <v>404.88</v>
      </c>
      <c r="U2267">
        <v>19.670000000000002</v>
      </c>
      <c r="V2267" t="str">
        <f>VLOOKUP(L2267,'[2]tabela de preços'!$A:$D,4,0)</f>
        <v>SHERWIN WILLIAMS</v>
      </c>
      <c r="W2267" t="str">
        <f>VLOOKUP(L2267,'[2]tabela de preços'!$A:$F,6,0)</f>
        <v>PRIMER AUTOMOTIVO</v>
      </c>
      <c r="X2267" t="str">
        <f>VLOOKUP(L2267,'[2]tabela de preços'!$A:$G,7,0)</f>
        <v>AUTOMOTIVO</v>
      </c>
    </row>
    <row r="2268" spans="1:24" x14ac:dyDescent="0.3">
      <c r="A2268" t="s">
        <v>1739</v>
      </c>
      <c r="C2268" t="s">
        <v>1749</v>
      </c>
      <c r="D2268" s="1">
        <v>46050</v>
      </c>
      <c r="E2268" t="s">
        <v>1750</v>
      </c>
      <c r="F2268">
        <v>9</v>
      </c>
      <c r="G2268">
        <v>174</v>
      </c>
      <c r="H2268" t="str">
        <f>VLOOKUP(G2268,[1]OPERADORES!$A:$B,2,0)</f>
        <v>MIRIÃ LOBATO RODRIGUES</v>
      </c>
      <c r="I2268" t="s">
        <v>21</v>
      </c>
      <c r="J2268" t="s">
        <v>66</v>
      </c>
      <c r="K2268" t="s">
        <v>1742</v>
      </c>
      <c r="L2268">
        <v>10298</v>
      </c>
      <c r="M2268" t="s">
        <v>85</v>
      </c>
      <c r="O2268" t="s">
        <v>11</v>
      </c>
      <c r="P2268">
        <v>5102</v>
      </c>
      <c r="Q2268">
        <v>20</v>
      </c>
      <c r="R2268">
        <v>54.9</v>
      </c>
      <c r="S2268" s="2">
        <v>1098</v>
      </c>
      <c r="T2268">
        <v>947.6</v>
      </c>
      <c r="U2268">
        <v>13.7</v>
      </c>
      <c r="V2268" t="str">
        <f>VLOOKUP(L2268,'[2]tabela de preços'!$A:$D,4,0)</f>
        <v>ANJO</v>
      </c>
      <c r="W2268" t="str">
        <f>VLOOKUP(L2268,'[2]tabela de preços'!$A:$F,6,0)</f>
        <v>THINNER DE LIMPEZA</v>
      </c>
      <c r="X2268" t="str">
        <f>VLOOKUP(L2268,'[2]tabela de preços'!$A:$G,7,0)</f>
        <v>THINNER</v>
      </c>
    </row>
    <row r="2269" spans="1:24" x14ac:dyDescent="0.3">
      <c r="A2269" t="s">
        <v>1739</v>
      </c>
      <c r="C2269" t="s">
        <v>1749</v>
      </c>
      <c r="D2269" s="1">
        <v>46050</v>
      </c>
      <c r="E2269" t="s">
        <v>1750</v>
      </c>
      <c r="F2269">
        <v>9</v>
      </c>
      <c r="G2269">
        <v>174</v>
      </c>
      <c r="H2269" t="str">
        <f>VLOOKUP(G2269,[1]OPERADORES!$A:$B,2,0)</f>
        <v>MIRIÃ LOBATO RODRIGUES</v>
      </c>
      <c r="I2269" t="s">
        <v>21</v>
      </c>
      <c r="J2269" t="s">
        <v>66</v>
      </c>
      <c r="K2269" t="s">
        <v>1742</v>
      </c>
      <c r="L2269">
        <v>20399</v>
      </c>
      <c r="M2269" t="s">
        <v>465</v>
      </c>
      <c r="O2269" t="s">
        <v>11</v>
      </c>
      <c r="P2269">
        <v>5403</v>
      </c>
      <c r="Q2269">
        <v>6</v>
      </c>
      <c r="R2269">
        <v>35.26</v>
      </c>
      <c r="S2269">
        <v>211.56</v>
      </c>
      <c r="T2269">
        <v>160.68</v>
      </c>
      <c r="U2269">
        <v>24.05</v>
      </c>
      <c r="V2269" t="str">
        <f>VLOOKUP(L2269,'[2]tabela de preços'!$A:$D,4,0)</f>
        <v>SHERWIN WILLIAMS</v>
      </c>
      <c r="W2269" t="str">
        <f>VLOOKUP(L2269,'[2]tabela de preços'!$A:$F,6,0)</f>
        <v>VERNIZ AUTOMOTIVO</v>
      </c>
      <c r="X2269" t="str">
        <f>VLOOKUP(L2269,'[2]tabela de preços'!$A:$G,7,0)</f>
        <v>AUTOMOTIVO</v>
      </c>
    </row>
    <row r="2270" spans="1:24" x14ac:dyDescent="0.3">
      <c r="A2270" t="s">
        <v>1847</v>
      </c>
      <c r="B2270" t="s">
        <v>1848</v>
      </c>
      <c r="C2270" t="s">
        <v>1857</v>
      </c>
      <c r="D2270" s="1">
        <v>46050</v>
      </c>
      <c r="E2270" t="s">
        <v>1858</v>
      </c>
      <c r="F2270">
        <v>9</v>
      </c>
      <c r="G2270">
        <v>236</v>
      </c>
      <c r="H2270" t="str">
        <f>VLOOKUP(G2270,[1]OPERADORES!$A:$B,2,0)</f>
        <v>DANIEL</v>
      </c>
      <c r="I2270" t="s">
        <v>21</v>
      </c>
      <c r="J2270" t="s">
        <v>357</v>
      </c>
      <c r="K2270" t="s">
        <v>1851</v>
      </c>
      <c r="L2270">
        <v>23710</v>
      </c>
      <c r="M2270" t="s">
        <v>927</v>
      </c>
      <c r="O2270" t="s">
        <v>11</v>
      </c>
      <c r="P2270">
        <v>5102</v>
      </c>
      <c r="Q2270">
        <v>3</v>
      </c>
      <c r="R2270">
        <v>42.47</v>
      </c>
      <c r="S2270">
        <v>127.41</v>
      </c>
      <c r="T2270">
        <v>86.52</v>
      </c>
      <c r="U2270">
        <v>32.090000000000003</v>
      </c>
      <c r="V2270" t="str">
        <f>VLOOKUP(L2270,'[2]tabela de preços'!$A:$D,4,0)</f>
        <v>NEW PAD</v>
      </c>
      <c r="W2270" t="str">
        <f>VLOOKUP(L2270,'[2]tabela de preços'!$A:$F,6,0)</f>
        <v>APLICADORES / ADAPTADORES / ENGATES / SUPORTES</v>
      </c>
      <c r="X2270" t="str">
        <f>VLOOKUP(L2270,'[2]tabela de preços'!$A:$G,7,0)</f>
        <v>AUTOMOTIVO</v>
      </c>
    </row>
    <row r="2271" spans="1:24" x14ac:dyDescent="0.3">
      <c r="A2271" t="s">
        <v>2120</v>
      </c>
      <c r="C2271" t="s">
        <v>2121</v>
      </c>
      <c r="D2271" s="1">
        <v>46050</v>
      </c>
      <c r="E2271" t="s">
        <v>2122</v>
      </c>
      <c r="F2271">
        <v>9</v>
      </c>
      <c r="G2271">
        <v>236</v>
      </c>
      <c r="H2271" t="str">
        <f>VLOOKUP(G2271,[1]OPERADORES!$A:$B,2,0)</f>
        <v>DANIEL</v>
      </c>
      <c r="I2271" t="s">
        <v>21</v>
      </c>
      <c r="J2271" t="s">
        <v>1018</v>
      </c>
      <c r="K2271" t="s">
        <v>2123</v>
      </c>
      <c r="L2271">
        <v>84114</v>
      </c>
      <c r="M2271" t="s">
        <v>292</v>
      </c>
      <c r="O2271" t="s">
        <v>11</v>
      </c>
      <c r="P2271">
        <v>5102</v>
      </c>
      <c r="Q2271">
        <v>12</v>
      </c>
      <c r="R2271">
        <v>163.04</v>
      </c>
      <c r="S2271" s="2">
        <v>1956.48</v>
      </c>
      <c r="T2271" s="2">
        <v>1402.56</v>
      </c>
      <c r="U2271">
        <v>28.31</v>
      </c>
      <c r="V2271" t="str">
        <f>VLOOKUP(L2271,'[2]tabela de preços'!$A:$D,4,0)</f>
        <v>BRASILUX</v>
      </c>
      <c r="W2271" t="str">
        <f>VLOOKUP(L2271,'[2]tabela de preços'!$A:$F,6,0)</f>
        <v>EPOXI</v>
      </c>
      <c r="X2271" t="str">
        <f>VLOOKUP(L2271,'[2]tabela de preços'!$A:$G,7,0)</f>
        <v>INDUSTRIAL</v>
      </c>
    </row>
    <row r="2272" spans="1:24" x14ac:dyDescent="0.3">
      <c r="A2272" t="s">
        <v>2155</v>
      </c>
      <c r="C2272" t="s">
        <v>2161</v>
      </c>
      <c r="D2272" s="1">
        <v>46050</v>
      </c>
      <c r="E2272" t="s">
        <v>2162</v>
      </c>
      <c r="F2272">
        <v>9</v>
      </c>
      <c r="G2272">
        <v>174</v>
      </c>
      <c r="H2272" t="str">
        <f>VLOOKUP(G2272,[1]OPERADORES!$A:$B,2,0)</f>
        <v>MIRIÃ LOBATO RODRIGUES</v>
      </c>
      <c r="I2272" t="s">
        <v>21</v>
      </c>
      <c r="J2272" t="s">
        <v>66</v>
      </c>
      <c r="K2272" t="s">
        <v>2158</v>
      </c>
      <c r="L2272">
        <v>21274</v>
      </c>
      <c r="M2272" t="s">
        <v>810</v>
      </c>
      <c r="O2272" t="s">
        <v>11</v>
      </c>
      <c r="P2272">
        <v>5102</v>
      </c>
      <c r="Q2272">
        <v>100</v>
      </c>
      <c r="R2272">
        <v>0.72</v>
      </c>
      <c r="S2272">
        <v>72</v>
      </c>
      <c r="T2272">
        <v>55</v>
      </c>
      <c r="U2272">
        <v>23.61</v>
      </c>
      <c r="V2272" t="str">
        <f>VLOOKUP(L2272,'[2]tabela de preços'!$A:$D,4,0)</f>
        <v>SHERWIN WILLIAMS</v>
      </c>
      <c r="W2272" t="str">
        <f>VLOOKUP(L2272,'[2]tabela de preços'!$A:$F,6,0)</f>
        <v>COADORES</v>
      </c>
      <c r="X2272" t="str">
        <f>VLOOKUP(L2272,'[2]tabela de preços'!$A:$G,7,0)</f>
        <v>AUTOMOTIVO</v>
      </c>
    </row>
    <row r="2273" spans="1:24" x14ac:dyDescent="0.3">
      <c r="A2273" t="s">
        <v>2155</v>
      </c>
      <c r="C2273" t="s">
        <v>2161</v>
      </c>
      <c r="D2273" s="1">
        <v>46050</v>
      </c>
      <c r="E2273" t="s">
        <v>2162</v>
      </c>
      <c r="F2273">
        <v>9</v>
      </c>
      <c r="G2273">
        <v>174</v>
      </c>
      <c r="H2273" t="str">
        <f>VLOOKUP(G2273,[1]OPERADORES!$A:$B,2,0)</f>
        <v>MIRIÃ LOBATO RODRIGUES</v>
      </c>
      <c r="I2273" t="s">
        <v>21</v>
      </c>
      <c r="J2273" t="s">
        <v>66</v>
      </c>
      <c r="K2273" t="s">
        <v>2158</v>
      </c>
      <c r="L2273">
        <v>85300</v>
      </c>
      <c r="M2273" t="s">
        <v>2163</v>
      </c>
      <c r="O2273" t="s">
        <v>11</v>
      </c>
      <c r="P2273">
        <v>5403</v>
      </c>
      <c r="Q2273">
        <v>3</v>
      </c>
      <c r="R2273">
        <v>97.95</v>
      </c>
      <c r="S2273">
        <v>293.85000000000002</v>
      </c>
      <c r="T2273">
        <v>223.02</v>
      </c>
      <c r="U2273">
        <v>24.1</v>
      </c>
      <c r="V2273" t="str">
        <f>VLOOKUP(L2273,'[2]tabela de preços'!$A:$D,4,0)</f>
        <v>BRASILUX</v>
      </c>
      <c r="W2273" t="str">
        <f>VLOOKUP(L2273,'[2]tabela de preços'!$A:$F,6,0)</f>
        <v>ESMALTES</v>
      </c>
      <c r="X2273" t="str">
        <f>VLOOKUP(L2273,'[2]tabela de preços'!$A:$G,7,0)</f>
        <v>INDUSTRIAL</v>
      </c>
    </row>
    <row r="2274" spans="1:24" x14ac:dyDescent="0.3">
      <c r="A2274" t="s">
        <v>2333</v>
      </c>
      <c r="B2274" t="s">
        <v>2334</v>
      </c>
      <c r="C2274" t="s">
        <v>2358</v>
      </c>
      <c r="D2274" s="1">
        <v>46050</v>
      </c>
      <c r="E2274" t="s">
        <v>2359</v>
      </c>
      <c r="F2274">
        <v>9</v>
      </c>
      <c r="G2274">
        <v>174</v>
      </c>
      <c r="H2274" t="str">
        <f>VLOOKUP(G2274,[1]OPERADORES!$A:$B,2,0)</f>
        <v>MIRIÃ LOBATO RODRIGUES</v>
      </c>
      <c r="I2274" t="s">
        <v>126</v>
      </c>
      <c r="J2274" t="s">
        <v>2337</v>
      </c>
      <c r="K2274" t="s">
        <v>2338</v>
      </c>
      <c r="L2274">
        <v>24356</v>
      </c>
      <c r="M2274" t="s">
        <v>2360</v>
      </c>
      <c r="O2274" t="s">
        <v>11</v>
      </c>
      <c r="P2274">
        <v>6403</v>
      </c>
      <c r="Q2274">
        <v>2</v>
      </c>
      <c r="R2274">
        <v>318.61</v>
      </c>
      <c r="S2274">
        <v>637.22</v>
      </c>
      <c r="T2274">
        <v>483.66</v>
      </c>
      <c r="U2274">
        <v>24.1</v>
      </c>
      <c r="V2274" t="str">
        <f>VLOOKUP(L2274,'[2]tabela de preços'!$A:$D,4,0)</f>
        <v>BRASILUX</v>
      </c>
      <c r="W2274" t="str">
        <f>VLOOKUP(L2274,'[2]tabela de preços'!$A:$F,6,0)</f>
        <v xml:space="preserve">BASES SISTEMA NO MACHINE </v>
      </c>
      <c r="X2274" t="str">
        <f>VLOOKUP(L2274,'[2]tabela de preços'!$A:$G,7,0)</f>
        <v>INDUSTRIAL</v>
      </c>
    </row>
    <row r="2275" spans="1:24" x14ac:dyDescent="0.3">
      <c r="A2275" t="s">
        <v>2333</v>
      </c>
      <c r="B2275" t="s">
        <v>2334</v>
      </c>
      <c r="C2275" t="s">
        <v>2358</v>
      </c>
      <c r="D2275" s="1">
        <v>46050</v>
      </c>
      <c r="E2275" t="s">
        <v>2359</v>
      </c>
      <c r="F2275">
        <v>9</v>
      </c>
      <c r="G2275">
        <v>174</v>
      </c>
      <c r="H2275" t="str">
        <f>VLOOKUP(G2275,[1]OPERADORES!$A:$B,2,0)</f>
        <v>MIRIÃ LOBATO RODRIGUES</v>
      </c>
      <c r="I2275" t="s">
        <v>126</v>
      </c>
      <c r="J2275" t="s">
        <v>2337</v>
      </c>
      <c r="K2275" t="s">
        <v>2338</v>
      </c>
      <c r="L2275">
        <v>84645</v>
      </c>
      <c r="M2275" t="s">
        <v>2343</v>
      </c>
      <c r="O2275" t="s">
        <v>11</v>
      </c>
      <c r="P2275">
        <v>6403</v>
      </c>
      <c r="Q2275">
        <v>1</v>
      </c>
      <c r="R2275">
        <v>85.98</v>
      </c>
      <c r="S2275">
        <v>85.98</v>
      </c>
      <c r="T2275">
        <v>65.260000000000005</v>
      </c>
      <c r="U2275">
        <v>24.1</v>
      </c>
      <c r="V2275" t="str">
        <f>VLOOKUP(L2275,'[2]tabela de preços'!$A:$D,4,0)</f>
        <v>BRASILUX</v>
      </c>
      <c r="W2275" t="str">
        <f>VLOOKUP(L2275,'[2]tabela de preços'!$A:$F,6,0)</f>
        <v xml:space="preserve">BASES SISTEMA NO MACHINE </v>
      </c>
      <c r="X2275" t="str">
        <f>VLOOKUP(L2275,'[2]tabela de preços'!$A:$G,7,0)</f>
        <v>INDUSTRIAL</v>
      </c>
    </row>
    <row r="2276" spans="1:24" x14ac:dyDescent="0.3">
      <c r="A2276" t="s">
        <v>2333</v>
      </c>
      <c r="B2276" t="s">
        <v>2334</v>
      </c>
      <c r="C2276" t="s">
        <v>2358</v>
      </c>
      <c r="D2276" s="1">
        <v>46050</v>
      </c>
      <c r="E2276" t="s">
        <v>2359</v>
      </c>
      <c r="F2276">
        <v>9</v>
      </c>
      <c r="G2276">
        <v>174</v>
      </c>
      <c r="H2276" t="str">
        <f>VLOOKUP(G2276,[1]OPERADORES!$A:$B,2,0)</f>
        <v>MIRIÃ LOBATO RODRIGUES</v>
      </c>
      <c r="I2276" t="s">
        <v>126</v>
      </c>
      <c r="J2276" t="s">
        <v>2337</v>
      </c>
      <c r="K2276" t="s">
        <v>2338</v>
      </c>
      <c r="L2276">
        <v>84644</v>
      </c>
      <c r="M2276" t="s">
        <v>77</v>
      </c>
      <c r="O2276" t="s">
        <v>11</v>
      </c>
      <c r="P2276">
        <v>6403</v>
      </c>
      <c r="Q2276">
        <v>2</v>
      </c>
      <c r="R2276">
        <v>36.01</v>
      </c>
      <c r="S2276">
        <v>72.02</v>
      </c>
      <c r="T2276">
        <v>54.66</v>
      </c>
      <c r="U2276">
        <v>24.1</v>
      </c>
      <c r="V2276" t="str">
        <f>VLOOKUP(L2276,'[2]tabela de preços'!$A:$D,4,0)</f>
        <v>BRASILUX</v>
      </c>
      <c r="W2276" t="str">
        <f>VLOOKUP(L2276,'[2]tabela de preços'!$A:$F,6,0)</f>
        <v xml:space="preserve">BASES SISTEMA NO MACHINE </v>
      </c>
      <c r="X2276" t="str">
        <f>VLOOKUP(L2276,'[2]tabela de preços'!$A:$G,7,0)</f>
        <v>INDUSTRIAL</v>
      </c>
    </row>
    <row r="2277" spans="1:24" x14ac:dyDescent="0.3">
      <c r="A2277" t="s">
        <v>2333</v>
      </c>
      <c r="B2277" t="s">
        <v>2334</v>
      </c>
      <c r="C2277" t="s">
        <v>2358</v>
      </c>
      <c r="D2277" s="1">
        <v>46050</v>
      </c>
      <c r="E2277" t="s">
        <v>2359</v>
      </c>
      <c r="F2277">
        <v>9</v>
      </c>
      <c r="G2277">
        <v>174</v>
      </c>
      <c r="H2277" t="str">
        <f>VLOOKUP(G2277,[1]OPERADORES!$A:$B,2,0)</f>
        <v>MIRIÃ LOBATO RODRIGUES</v>
      </c>
      <c r="I2277" t="s">
        <v>126</v>
      </c>
      <c r="J2277" t="s">
        <v>2337</v>
      </c>
      <c r="K2277" t="s">
        <v>2338</v>
      </c>
      <c r="L2277">
        <v>84823</v>
      </c>
      <c r="M2277" t="s">
        <v>331</v>
      </c>
      <c r="O2277" t="s">
        <v>11</v>
      </c>
      <c r="P2277">
        <v>6102</v>
      </c>
      <c r="Q2277">
        <v>4</v>
      </c>
      <c r="R2277">
        <v>94.64</v>
      </c>
      <c r="S2277">
        <v>378.56</v>
      </c>
      <c r="T2277">
        <v>287.32</v>
      </c>
      <c r="U2277">
        <v>24.1</v>
      </c>
      <c r="V2277" t="str">
        <f>VLOOKUP(L2277,'[2]tabela de preços'!$A:$D,4,0)</f>
        <v>BRASILUX</v>
      </c>
      <c r="W2277" t="str">
        <f>VLOOKUP(L2277,'[2]tabela de preços'!$A:$F,6,0)</f>
        <v>DILUENTE</v>
      </c>
      <c r="X2277" t="str">
        <f>VLOOKUP(L2277,'[2]tabela de preços'!$A:$G,7,0)</f>
        <v>AUTOMOTIVO</v>
      </c>
    </row>
    <row r="2278" spans="1:24" x14ac:dyDescent="0.3">
      <c r="A2278" t="s">
        <v>2333</v>
      </c>
      <c r="B2278" t="s">
        <v>2334</v>
      </c>
      <c r="C2278" t="s">
        <v>2358</v>
      </c>
      <c r="D2278" s="1">
        <v>46050</v>
      </c>
      <c r="E2278" t="s">
        <v>2359</v>
      </c>
      <c r="F2278">
        <v>9</v>
      </c>
      <c r="G2278">
        <v>174</v>
      </c>
      <c r="H2278" t="str">
        <f>VLOOKUP(G2278,[1]OPERADORES!$A:$B,2,0)</f>
        <v>MIRIÃ LOBATO RODRIGUES</v>
      </c>
      <c r="I2278" t="s">
        <v>126</v>
      </c>
      <c r="J2278" t="s">
        <v>2337</v>
      </c>
      <c r="K2278" t="s">
        <v>2338</v>
      </c>
      <c r="L2278">
        <v>84557</v>
      </c>
      <c r="M2278" t="s">
        <v>116</v>
      </c>
      <c r="O2278" t="s">
        <v>11</v>
      </c>
      <c r="P2278">
        <v>6102</v>
      </c>
      <c r="Q2278">
        <v>12</v>
      </c>
      <c r="R2278">
        <v>17.489999999999998</v>
      </c>
      <c r="S2278">
        <v>209.88</v>
      </c>
      <c r="T2278">
        <v>167.52</v>
      </c>
      <c r="U2278">
        <v>20.18</v>
      </c>
      <c r="V2278" t="str">
        <f>VLOOKUP(L2278,'[2]tabela de preços'!$A:$D,4,0)</f>
        <v>BRASILUX</v>
      </c>
      <c r="W2278" t="str">
        <f>VLOOKUP(L2278,'[2]tabela de preços'!$A:$F,6,0)</f>
        <v>DILUENTE</v>
      </c>
      <c r="X2278" t="str">
        <f>VLOOKUP(L2278,'[2]tabela de preços'!$A:$G,7,0)</f>
        <v>AUTOMOTIVO</v>
      </c>
    </row>
    <row r="2279" spans="1:24" x14ac:dyDescent="0.3">
      <c r="A2279" t="s">
        <v>18</v>
      </c>
      <c r="C2279" t="s">
        <v>61</v>
      </c>
      <c r="D2279" s="1">
        <v>46051</v>
      </c>
      <c r="E2279" t="s">
        <v>62</v>
      </c>
      <c r="F2279">
        <v>9</v>
      </c>
      <c r="G2279">
        <v>236</v>
      </c>
      <c r="H2279" t="str">
        <f>VLOOKUP(G2279,[1]OPERADORES!$A:$B,2,0)</f>
        <v>DANIEL</v>
      </c>
      <c r="I2279" t="s">
        <v>21</v>
      </c>
      <c r="J2279" t="s">
        <v>22</v>
      </c>
      <c r="K2279" t="s">
        <v>23</v>
      </c>
      <c r="L2279">
        <v>84761</v>
      </c>
      <c r="M2279" t="s">
        <v>53</v>
      </c>
      <c r="O2279" t="s">
        <v>11</v>
      </c>
      <c r="P2279">
        <v>5403</v>
      </c>
      <c r="Q2279">
        <v>1</v>
      </c>
      <c r="R2279">
        <v>46.31</v>
      </c>
      <c r="S2279">
        <v>46.31</v>
      </c>
      <c r="T2279">
        <v>35.15</v>
      </c>
      <c r="U2279">
        <v>24.1</v>
      </c>
      <c r="V2279" t="str">
        <f>VLOOKUP(L2279,'[2]tabela de preços'!$A:$D,4,0)</f>
        <v>BRASILUX</v>
      </c>
      <c r="W2279" t="str">
        <f>VLOOKUP(L2279,'[2]tabela de preços'!$A:$F,6,0)</f>
        <v>CIMENTO QUEIMADO / EFEITOS DECORATIVOS</v>
      </c>
      <c r="X2279" t="str">
        <f>VLOOKUP(L2279,'[2]tabela de preços'!$A:$G,7,0)</f>
        <v>IMOBILIÁRIO</v>
      </c>
    </row>
    <row r="2280" spans="1:24" x14ac:dyDescent="0.3">
      <c r="A2280" t="s">
        <v>208</v>
      </c>
      <c r="C2280" t="s">
        <v>238</v>
      </c>
      <c r="D2280" s="1">
        <v>46051</v>
      </c>
      <c r="E2280" t="s">
        <v>239</v>
      </c>
      <c r="F2280">
        <v>9</v>
      </c>
      <c r="G2280">
        <v>236</v>
      </c>
      <c r="H2280" t="str">
        <f>VLOOKUP(G2280,[1]OPERADORES!$A:$B,2,0)</f>
        <v>DANIEL</v>
      </c>
      <c r="I2280" t="s">
        <v>21</v>
      </c>
      <c r="J2280" t="s">
        <v>211</v>
      </c>
      <c r="K2280" t="s">
        <v>212</v>
      </c>
      <c r="L2280">
        <v>24240</v>
      </c>
      <c r="M2280" t="s">
        <v>240</v>
      </c>
      <c r="O2280" t="s">
        <v>11</v>
      </c>
      <c r="P2280">
        <v>5102</v>
      </c>
      <c r="Q2280">
        <v>32</v>
      </c>
      <c r="R2280">
        <v>3.81</v>
      </c>
      <c r="S2280">
        <v>121.92</v>
      </c>
      <c r="T2280">
        <v>104.96</v>
      </c>
      <c r="U2280">
        <v>13.91</v>
      </c>
      <c r="V2280" t="str">
        <f>VLOOKUP(L2280,'[2]tabela de preços'!$A:$D,4,0)</f>
        <v>ADERE</v>
      </c>
      <c r="W2280" t="str">
        <f>VLOOKUP(L2280,'[2]tabela de preços'!$A:$F,6,0)</f>
        <v>FITA AUTOMOTIVA</v>
      </c>
      <c r="X2280" t="str">
        <f>VLOOKUP(L2280,'[2]tabela de preços'!$A:$G,7,0)</f>
        <v>AUTOMOTIVO</v>
      </c>
    </row>
    <row r="2281" spans="1:24" x14ac:dyDescent="0.3">
      <c r="A2281" t="s">
        <v>208</v>
      </c>
      <c r="C2281" t="s">
        <v>238</v>
      </c>
      <c r="D2281" s="1">
        <v>46051</v>
      </c>
      <c r="E2281" t="s">
        <v>239</v>
      </c>
      <c r="F2281">
        <v>9</v>
      </c>
      <c r="G2281">
        <v>236</v>
      </c>
      <c r="H2281" t="str">
        <f>VLOOKUP(G2281,[1]OPERADORES!$A:$B,2,0)</f>
        <v>DANIEL</v>
      </c>
      <c r="I2281" t="s">
        <v>21</v>
      </c>
      <c r="J2281" t="s">
        <v>211</v>
      </c>
      <c r="K2281" t="s">
        <v>212</v>
      </c>
      <c r="L2281">
        <v>24241</v>
      </c>
      <c r="M2281" t="s">
        <v>233</v>
      </c>
      <c r="O2281" t="s">
        <v>11</v>
      </c>
      <c r="P2281">
        <v>5102</v>
      </c>
      <c r="Q2281">
        <v>3</v>
      </c>
      <c r="R2281">
        <v>12.2</v>
      </c>
      <c r="S2281">
        <v>36.6</v>
      </c>
      <c r="T2281">
        <v>27.78</v>
      </c>
      <c r="U2281">
        <v>24.1</v>
      </c>
      <c r="V2281" t="str">
        <f>VLOOKUP(L2281,'[2]tabela de preços'!$A:$D,4,0)</f>
        <v>ADERE</v>
      </c>
      <c r="W2281" t="str">
        <f>VLOOKUP(L2281,'[2]tabela de preços'!$A:$F,6,0)</f>
        <v>FITA AUTOMOTIVA</v>
      </c>
      <c r="X2281" t="str">
        <f>VLOOKUP(L2281,'[2]tabela de preços'!$A:$G,7,0)</f>
        <v>AUTOMOTIVO</v>
      </c>
    </row>
    <row r="2282" spans="1:24" x14ac:dyDescent="0.3">
      <c r="A2282" t="s">
        <v>208</v>
      </c>
      <c r="C2282" t="s">
        <v>238</v>
      </c>
      <c r="D2282" s="1">
        <v>46051</v>
      </c>
      <c r="E2282" t="s">
        <v>239</v>
      </c>
      <c r="F2282">
        <v>9</v>
      </c>
      <c r="G2282">
        <v>236</v>
      </c>
      <c r="H2282" t="str">
        <f>VLOOKUP(G2282,[1]OPERADORES!$A:$B,2,0)</f>
        <v>DANIEL</v>
      </c>
      <c r="I2282" t="s">
        <v>21</v>
      </c>
      <c r="J2282" t="s">
        <v>211</v>
      </c>
      <c r="K2282" t="s">
        <v>212</v>
      </c>
      <c r="L2282">
        <v>23602</v>
      </c>
      <c r="M2282" t="s">
        <v>215</v>
      </c>
      <c r="O2282" t="s">
        <v>11</v>
      </c>
      <c r="P2282">
        <v>5403</v>
      </c>
      <c r="Q2282">
        <v>9</v>
      </c>
      <c r="R2282">
        <v>35.89</v>
      </c>
      <c r="S2282">
        <v>323.01</v>
      </c>
      <c r="T2282">
        <v>263.25</v>
      </c>
      <c r="U2282">
        <v>18.5</v>
      </c>
      <c r="V2282" t="str">
        <f>VLOOKUP(L2282,'[2]tabela de preços'!$A:$D,4,0)</f>
        <v>SHERWIN WILLIAMS</v>
      </c>
      <c r="W2282" t="str">
        <f>VLOOKUP(L2282,'[2]tabela de preços'!$A:$F,6,0)</f>
        <v>VERNIZ AUTOMOTIVO</v>
      </c>
      <c r="X2282" t="str">
        <f>VLOOKUP(L2282,'[2]tabela de preços'!$A:$G,7,0)</f>
        <v>AUTOMOTIVO</v>
      </c>
    </row>
    <row r="2283" spans="1:24" x14ac:dyDescent="0.3">
      <c r="A2283" t="s">
        <v>208</v>
      </c>
      <c r="C2283" t="s">
        <v>238</v>
      </c>
      <c r="D2283" s="1">
        <v>46051</v>
      </c>
      <c r="E2283" t="s">
        <v>239</v>
      </c>
      <c r="F2283">
        <v>9</v>
      </c>
      <c r="G2283">
        <v>236</v>
      </c>
      <c r="H2283" t="str">
        <f>VLOOKUP(G2283,[1]OPERADORES!$A:$B,2,0)</f>
        <v>DANIEL</v>
      </c>
      <c r="I2283" t="s">
        <v>21</v>
      </c>
      <c r="J2283" t="s">
        <v>211</v>
      </c>
      <c r="K2283" t="s">
        <v>212</v>
      </c>
      <c r="L2283">
        <v>10244</v>
      </c>
      <c r="M2283" t="s">
        <v>84</v>
      </c>
      <c r="O2283" t="s">
        <v>11</v>
      </c>
      <c r="P2283">
        <v>5102</v>
      </c>
      <c r="Q2283">
        <v>50</v>
      </c>
      <c r="R2283">
        <v>2.79</v>
      </c>
      <c r="S2283">
        <v>139.5</v>
      </c>
      <c r="T2283">
        <v>96.5</v>
      </c>
      <c r="U2283">
        <v>30.82</v>
      </c>
      <c r="V2283" t="str">
        <f>VLOOKUP(L2283,'[2]tabela de preços'!$A:$D,4,0)</f>
        <v>NORTON</v>
      </c>
      <c r="W2283" t="str">
        <f>VLOOKUP(L2283,'[2]tabela de preços'!$A:$F,6,0)</f>
        <v xml:space="preserve">DISCOS / LIXAS / ABRASIVOS </v>
      </c>
      <c r="X2283" t="str">
        <f>VLOOKUP(L2283,'[2]tabela de preços'!$A:$G,7,0)</f>
        <v>AUTOMOTIVO</v>
      </c>
    </row>
    <row r="2284" spans="1:24" x14ac:dyDescent="0.3">
      <c r="A2284" t="s">
        <v>313</v>
      </c>
      <c r="B2284" t="s">
        <v>314</v>
      </c>
      <c r="C2284" t="s">
        <v>320</v>
      </c>
      <c r="D2284" s="1">
        <v>46051</v>
      </c>
      <c r="E2284" t="s">
        <v>321</v>
      </c>
      <c r="F2284">
        <v>9</v>
      </c>
      <c r="G2284">
        <v>197</v>
      </c>
      <c r="H2284" t="str">
        <f>VLOOKUP(G2284,[1]OPERADORES!$A:$B,2,0)</f>
        <v xml:space="preserve">POLIANA LORRANE DE AMORIM </v>
      </c>
      <c r="I2284" t="s">
        <v>317</v>
      </c>
      <c r="J2284" t="s">
        <v>318</v>
      </c>
      <c r="K2284" t="s">
        <v>319</v>
      </c>
      <c r="L2284">
        <v>15</v>
      </c>
      <c r="M2284" t="s">
        <v>205</v>
      </c>
      <c r="O2284" t="s">
        <v>11</v>
      </c>
      <c r="P2284">
        <v>6102</v>
      </c>
      <c r="Q2284">
        <v>15</v>
      </c>
      <c r="R2284">
        <v>5.79</v>
      </c>
      <c r="S2284">
        <v>86.85</v>
      </c>
      <c r="T2284">
        <v>62.4</v>
      </c>
      <c r="U2284">
        <v>28.15</v>
      </c>
      <c r="V2284" t="str">
        <f>VLOOKUP(L2284,'[2]tabela de preços'!$A:$D,4,0)</f>
        <v>3M</v>
      </c>
      <c r="W2284" t="str">
        <f>VLOOKUP(L2284,'[2]tabela de preços'!$A:$F,6,0)</f>
        <v>LIXA DÁGUA</v>
      </c>
      <c r="X2284" t="str">
        <f>VLOOKUP(L2284,'[2]tabela de preços'!$A:$G,7,0)</f>
        <v>AUTOMOTIVO</v>
      </c>
    </row>
    <row r="2285" spans="1:24" x14ac:dyDescent="0.3">
      <c r="A2285" t="s">
        <v>313</v>
      </c>
      <c r="B2285" t="s">
        <v>314</v>
      </c>
      <c r="C2285" t="s">
        <v>320</v>
      </c>
      <c r="D2285" s="1">
        <v>46051</v>
      </c>
      <c r="E2285" t="s">
        <v>321</v>
      </c>
      <c r="F2285">
        <v>9</v>
      </c>
      <c r="G2285">
        <v>197</v>
      </c>
      <c r="H2285" t="str">
        <f>VLOOKUP(G2285,[1]OPERADORES!$A:$B,2,0)</f>
        <v xml:space="preserve">POLIANA LORRANE DE AMORIM </v>
      </c>
      <c r="I2285" t="s">
        <v>317</v>
      </c>
      <c r="J2285" t="s">
        <v>318</v>
      </c>
      <c r="K2285" t="s">
        <v>319</v>
      </c>
      <c r="L2285">
        <v>10243</v>
      </c>
      <c r="M2285" t="s">
        <v>83</v>
      </c>
      <c r="O2285" t="s">
        <v>11</v>
      </c>
      <c r="P2285">
        <v>6102</v>
      </c>
      <c r="Q2285">
        <v>50</v>
      </c>
      <c r="R2285">
        <v>2.79</v>
      </c>
      <c r="S2285">
        <v>139.5</v>
      </c>
      <c r="T2285">
        <v>96.5</v>
      </c>
      <c r="U2285">
        <v>30.82</v>
      </c>
      <c r="V2285" t="str">
        <f>VLOOKUP(L2285,'[2]tabela de preços'!$A:$D,4,0)</f>
        <v>NORTON</v>
      </c>
      <c r="W2285" t="str">
        <f>VLOOKUP(L2285,'[2]tabela de preços'!$A:$F,6,0)</f>
        <v xml:space="preserve">DISCOS / LIXAS / ABRASIVOS </v>
      </c>
      <c r="X2285" t="str">
        <f>VLOOKUP(L2285,'[2]tabela de preços'!$A:$G,7,0)</f>
        <v>AUTOMOTIVO</v>
      </c>
    </row>
    <row r="2286" spans="1:24" x14ac:dyDescent="0.3">
      <c r="A2286" t="s">
        <v>313</v>
      </c>
      <c r="B2286" t="s">
        <v>314</v>
      </c>
      <c r="C2286" t="s">
        <v>320</v>
      </c>
      <c r="D2286" s="1">
        <v>46051</v>
      </c>
      <c r="E2286" t="s">
        <v>321</v>
      </c>
      <c r="F2286">
        <v>9</v>
      </c>
      <c r="G2286">
        <v>197</v>
      </c>
      <c r="H2286" t="str">
        <f>VLOOKUP(G2286,[1]OPERADORES!$A:$B,2,0)</f>
        <v xml:space="preserve">POLIANA LORRANE DE AMORIM </v>
      </c>
      <c r="I2286" t="s">
        <v>317</v>
      </c>
      <c r="J2286" t="s">
        <v>318</v>
      </c>
      <c r="K2286" t="s">
        <v>319</v>
      </c>
      <c r="L2286">
        <v>87043</v>
      </c>
      <c r="M2286" t="s">
        <v>217</v>
      </c>
      <c r="O2286" t="s">
        <v>11</v>
      </c>
      <c r="P2286">
        <v>6102</v>
      </c>
      <c r="Q2286">
        <v>8</v>
      </c>
      <c r="R2286">
        <v>21.95</v>
      </c>
      <c r="S2286">
        <v>175.6</v>
      </c>
      <c r="T2286">
        <v>144.16</v>
      </c>
      <c r="U2286">
        <v>17.899999999999999</v>
      </c>
      <c r="V2286" t="str">
        <f>VLOOKUP(L2286,'[2]tabela de preços'!$A:$D,4,0)</f>
        <v>ROBERLO</v>
      </c>
      <c r="W2286" t="str">
        <f>VLOOKUP(L2286,'[2]tabela de preços'!$A:$F,6,0)</f>
        <v>MASSA POLIÉSTER</v>
      </c>
      <c r="X2286" t="str">
        <f>VLOOKUP(L2286,'[2]tabela de preços'!$A:$G,7,0)</f>
        <v>AUTOMOTIVO</v>
      </c>
    </row>
    <row r="2287" spans="1:24" x14ac:dyDescent="0.3">
      <c r="A2287" t="s">
        <v>313</v>
      </c>
      <c r="B2287" t="s">
        <v>314</v>
      </c>
      <c r="C2287" t="s">
        <v>320</v>
      </c>
      <c r="D2287" s="1">
        <v>46051</v>
      </c>
      <c r="E2287" t="s">
        <v>321</v>
      </c>
      <c r="F2287">
        <v>9</v>
      </c>
      <c r="G2287">
        <v>197</v>
      </c>
      <c r="H2287" t="str">
        <f>VLOOKUP(G2287,[1]OPERADORES!$A:$B,2,0)</f>
        <v xml:space="preserve">POLIANA LORRANE DE AMORIM </v>
      </c>
      <c r="I2287" t="s">
        <v>317</v>
      </c>
      <c r="J2287" t="s">
        <v>318</v>
      </c>
      <c r="K2287" t="s">
        <v>319</v>
      </c>
      <c r="L2287">
        <v>84460</v>
      </c>
      <c r="M2287" t="s">
        <v>322</v>
      </c>
      <c r="O2287" t="s">
        <v>11</v>
      </c>
      <c r="P2287">
        <v>6102</v>
      </c>
      <c r="Q2287">
        <v>4</v>
      </c>
      <c r="R2287">
        <v>31.07</v>
      </c>
      <c r="S2287">
        <v>124.28</v>
      </c>
      <c r="T2287">
        <v>94.32</v>
      </c>
      <c r="U2287">
        <v>24.11</v>
      </c>
      <c r="V2287" t="str">
        <f>VLOOKUP(L2287,'[2]tabela de preços'!$A:$D,4,0)</f>
        <v>BRASILUX</v>
      </c>
      <c r="W2287" t="str">
        <f>VLOOKUP(L2287,'[2]tabela de preços'!$A:$F,6,0)</f>
        <v>VEDADORES / SELANTES</v>
      </c>
      <c r="X2287" t="str">
        <f>VLOOKUP(L2287,'[2]tabela de preços'!$A:$G,7,0)</f>
        <v>AUTOMOTIVO</v>
      </c>
    </row>
    <row r="2288" spans="1:24" x14ac:dyDescent="0.3">
      <c r="A2288" t="s">
        <v>313</v>
      </c>
      <c r="B2288" t="s">
        <v>314</v>
      </c>
      <c r="C2288" t="s">
        <v>320</v>
      </c>
      <c r="D2288" s="1">
        <v>46051</v>
      </c>
      <c r="E2288" t="s">
        <v>321</v>
      </c>
      <c r="F2288">
        <v>9</v>
      </c>
      <c r="G2288">
        <v>197</v>
      </c>
      <c r="H2288" t="str">
        <f>VLOOKUP(G2288,[1]OPERADORES!$A:$B,2,0)</f>
        <v xml:space="preserve">POLIANA LORRANE DE AMORIM </v>
      </c>
      <c r="I2288" t="s">
        <v>317</v>
      </c>
      <c r="J2288" t="s">
        <v>318</v>
      </c>
      <c r="K2288" t="s">
        <v>319</v>
      </c>
      <c r="L2288">
        <v>10404</v>
      </c>
      <c r="M2288" t="s">
        <v>130</v>
      </c>
      <c r="O2288" t="s">
        <v>11</v>
      </c>
      <c r="P2288">
        <v>6102</v>
      </c>
      <c r="Q2288">
        <v>12</v>
      </c>
      <c r="R2288">
        <v>16.29</v>
      </c>
      <c r="S2288">
        <v>195.48</v>
      </c>
      <c r="T2288">
        <v>150.12</v>
      </c>
      <c r="U2288">
        <v>23.2</v>
      </c>
      <c r="V2288" t="str">
        <f>VLOOKUP(L2288,'[2]tabela de preços'!$A:$D,4,0)</f>
        <v>MAXI RUBBER</v>
      </c>
      <c r="W2288" t="str">
        <f>VLOOKUP(L2288,'[2]tabela de preços'!$A:$F,6,0)</f>
        <v>VEDADORES / SELANTES</v>
      </c>
      <c r="X2288" t="str">
        <f>VLOOKUP(L2288,'[2]tabela de preços'!$A:$G,7,0)</f>
        <v>AUTOMOTIVO</v>
      </c>
    </row>
    <row r="2289" spans="1:24" x14ac:dyDescent="0.3">
      <c r="A2289" t="s">
        <v>426</v>
      </c>
      <c r="B2289" t="s">
        <v>427</v>
      </c>
      <c r="C2289" t="s">
        <v>436</v>
      </c>
      <c r="D2289" s="1">
        <v>46051</v>
      </c>
      <c r="E2289" t="s">
        <v>437</v>
      </c>
      <c r="F2289">
        <v>9</v>
      </c>
      <c r="G2289">
        <v>236</v>
      </c>
      <c r="H2289" t="str">
        <f>VLOOKUP(G2289,[1]OPERADORES!$A:$B,2,0)</f>
        <v>DANIEL</v>
      </c>
      <c r="I2289" t="s">
        <v>21</v>
      </c>
      <c r="J2289" t="s">
        <v>430</v>
      </c>
      <c r="K2289" t="s">
        <v>431</v>
      </c>
      <c r="L2289">
        <v>84558</v>
      </c>
      <c r="M2289" t="s">
        <v>432</v>
      </c>
      <c r="O2289" t="s">
        <v>11</v>
      </c>
      <c r="P2289">
        <v>5102</v>
      </c>
      <c r="Q2289">
        <v>1</v>
      </c>
      <c r="R2289">
        <v>7.57</v>
      </c>
      <c r="S2289">
        <v>7.57</v>
      </c>
      <c r="T2289">
        <v>4.74</v>
      </c>
      <c r="U2289">
        <v>37.380000000000003</v>
      </c>
      <c r="V2289" t="str">
        <f>VLOOKUP(L2289,'[2]tabela de preços'!$A:$D,4,0)</f>
        <v>3M</v>
      </c>
      <c r="W2289" t="str">
        <f>VLOOKUP(L2289,'[2]tabela de preços'!$A:$F,6,0)</f>
        <v>FITA ISOLANTE</v>
      </c>
      <c r="X2289" t="str">
        <f>VLOOKUP(L2289,'[2]tabela de preços'!$A:$G,7,0)</f>
        <v>IMOBILIÁRIO</v>
      </c>
    </row>
    <row r="2290" spans="1:24" x14ac:dyDescent="0.3">
      <c r="A2290" t="s">
        <v>426</v>
      </c>
      <c r="B2290" t="s">
        <v>427</v>
      </c>
      <c r="C2290" t="s">
        <v>436</v>
      </c>
      <c r="D2290" s="1">
        <v>46051</v>
      </c>
      <c r="E2290" t="s">
        <v>438</v>
      </c>
      <c r="F2290">
        <v>9</v>
      </c>
      <c r="G2290">
        <v>236</v>
      </c>
      <c r="H2290" t="str">
        <f>VLOOKUP(G2290,[1]OPERADORES!$A:$B,2,0)</f>
        <v>DANIEL</v>
      </c>
      <c r="I2290" t="s">
        <v>21</v>
      </c>
      <c r="J2290" t="s">
        <v>430</v>
      </c>
      <c r="K2290" t="s">
        <v>431</v>
      </c>
      <c r="L2290">
        <v>85650</v>
      </c>
      <c r="M2290" t="s">
        <v>439</v>
      </c>
      <c r="O2290" t="s">
        <v>11</v>
      </c>
      <c r="P2290">
        <v>5405</v>
      </c>
      <c r="Q2290">
        <v>1</v>
      </c>
      <c r="R2290">
        <v>15</v>
      </c>
      <c r="S2290">
        <v>15</v>
      </c>
      <c r="T2290">
        <v>6.92</v>
      </c>
      <c r="U2290">
        <v>53.87</v>
      </c>
      <c r="V2290" t="str">
        <f>VLOOKUP(L2290,'[2]tabela de preços'!$A:$D,4,0)</f>
        <v>UNIPEGA</v>
      </c>
      <c r="W2290" t="str">
        <f>VLOOKUP(L2290,'[2]tabela de preços'!$A:$F,6,0)</f>
        <v xml:space="preserve">SPRAYS </v>
      </c>
      <c r="X2290" t="str">
        <f>VLOOKUP(L2290,'[2]tabela de preços'!$A:$G,7,0)</f>
        <v>AUTOMOTIVO</v>
      </c>
    </row>
    <row r="2291" spans="1:24" x14ac:dyDescent="0.3">
      <c r="A2291" t="s">
        <v>426</v>
      </c>
      <c r="B2291" t="s">
        <v>427</v>
      </c>
      <c r="C2291" t="s">
        <v>440</v>
      </c>
      <c r="D2291" s="1">
        <v>46051</v>
      </c>
      <c r="E2291" t="s">
        <v>441</v>
      </c>
      <c r="F2291">
        <v>9</v>
      </c>
      <c r="G2291">
        <v>145</v>
      </c>
      <c r="H2291" t="str">
        <f>VLOOKUP(G2291,[1]OPERADORES!$A:$B,2,0)</f>
        <v xml:space="preserve">FABRICIA </v>
      </c>
      <c r="I2291" t="s">
        <v>21</v>
      </c>
      <c r="J2291" t="s">
        <v>430</v>
      </c>
      <c r="K2291" t="s">
        <v>431</v>
      </c>
      <c r="L2291">
        <v>24267</v>
      </c>
      <c r="M2291" t="s">
        <v>442</v>
      </c>
      <c r="O2291" t="s">
        <v>11</v>
      </c>
      <c r="P2291">
        <v>5102</v>
      </c>
      <c r="Q2291">
        <v>1</v>
      </c>
      <c r="R2291">
        <v>35.46</v>
      </c>
      <c r="S2291">
        <v>35.46</v>
      </c>
      <c r="T2291">
        <v>23.18</v>
      </c>
      <c r="U2291">
        <v>34.630000000000003</v>
      </c>
      <c r="V2291" t="str">
        <f>VLOOKUP(L2291,'[2]tabela de preços'!$A:$D,4,0)</f>
        <v>VONIXX</v>
      </c>
      <c r="W2291" t="str">
        <f>VLOOKUP(L2291,'[2]tabela de preços'!$A:$F,6,0)</f>
        <v>LINHA DE HIGENIZAÇÃO E ESTÉTICA  AUTOMOTIVA</v>
      </c>
      <c r="X2291" t="str">
        <f>VLOOKUP(L2291,'[2]tabela de preços'!$A:$G,7,0)</f>
        <v>AUTOMOTIVO</v>
      </c>
    </row>
    <row r="2292" spans="1:24" x14ac:dyDescent="0.3">
      <c r="A2292" t="s">
        <v>426</v>
      </c>
      <c r="B2292" t="s">
        <v>427</v>
      </c>
      <c r="C2292" t="s">
        <v>443</v>
      </c>
      <c r="D2292" s="1">
        <v>46051</v>
      </c>
      <c r="E2292" t="s">
        <v>444</v>
      </c>
      <c r="F2292">
        <v>9</v>
      </c>
      <c r="G2292">
        <v>145</v>
      </c>
      <c r="H2292" t="str">
        <f>VLOOKUP(G2292,[1]OPERADORES!$A:$B,2,0)</f>
        <v xml:space="preserve">FABRICIA </v>
      </c>
      <c r="I2292" t="s">
        <v>21</v>
      </c>
      <c r="J2292" t="s">
        <v>430</v>
      </c>
      <c r="K2292" t="s">
        <v>431</v>
      </c>
      <c r="L2292">
        <v>20814</v>
      </c>
      <c r="M2292" t="s">
        <v>445</v>
      </c>
      <c r="O2292" t="s">
        <v>11</v>
      </c>
      <c r="P2292">
        <v>5102</v>
      </c>
      <c r="Q2292">
        <v>1</v>
      </c>
      <c r="R2292">
        <v>9.68</v>
      </c>
      <c r="S2292">
        <v>9.68</v>
      </c>
      <c r="T2292">
        <v>5.93</v>
      </c>
      <c r="U2292">
        <v>38.74</v>
      </c>
      <c r="V2292" t="str">
        <f>VLOOKUP(L2292,'[2]tabela de preços'!$A:$D,4,0)</f>
        <v>AUTO AMERICA</v>
      </c>
      <c r="W2292" t="str">
        <f>VLOOKUP(L2292,'[2]tabela de preços'!$A:$F,6,0)</f>
        <v>APLICADORES / ADAPTADORES / ENGATES / SUPORTES</v>
      </c>
      <c r="X2292" t="str">
        <f>VLOOKUP(L2292,'[2]tabela de preços'!$A:$G,7,0)</f>
        <v>AUTOMOTIVO</v>
      </c>
    </row>
    <row r="2293" spans="1:24" x14ac:dyDescent="0.3">
      <c r="A2293" t="s">
        <v>426</v>
      </c>
      <c r="B2293" t="s">
        <v>427</v>
      </c>
      <c r="C2293" t="s">
        <v>443</v>
      </c>
      <c r="D2293" s="1">
        <v>46051</v>
      </c>
      <c r="E2293" t="s">
        <v>444</v>
      </c>
      <c r="F2293">
        <v>9</v>
      </c>
      <c r="G2293">
        <v>145</v>
      </c>
      <c r="H2293" t="str">
        <f>VLOOKUP(G2293,[1]OPERADORES!$A:$B,2,0)</f>
        <v xml:space="preserve">FABRICIA </v>
      </c>
      <c r="I2293" t="s">
        <v>21</v>
      </c>
      <c r="J2293" t="s">
        <v>430</v>
      </c>
      <c r="K2293" t="s">
        <v>431</v>
      </c>
      <c r="L2293">
        <v>24296</v>
      </c>
      <c r="M2293" t="s">
        <v>446</v>
      </c>
      <c r="O2293" t="s">
        <v>11</v>
      </c>
      <c r="P2293">
        <v>5102</v>
      </c>
      <c r="Q2293">
        <v>1</v>
      </c>
      <c r="R2293">
        <v>34.44</v>
      </c>
      <c r="S2293">
        <v>34.44</v>
      </c>
      <c r="T2293">
        <v>22.55</v>
      </c>
      <c r="U2293">
        <v>34.520000000000003</v>
      </c>
      <c r="V2293" t="str">
        <f>VLOOKUP(L2293,'[2]tabela de preços'!$A:$D,4,0)</f>
        <v>VONIXX</v>
      </c>
      <c r="W2293" t="str">
        <f>VLOOKUP(L2293,'[2]tabela de preços'!$A:$F,6,0)</f>
        <v>LINHA DE HIGENIZAÇÃO E ESTÉTICA  AUTOMOTIVA</v>
      </c>
      <c r="X2293" t="str">
        <f>VLOOKUP(L2293,'[2]tabela de preços'!$A:$G,7,0)</f>
        <v>AUTOMOTIVO</v>
      </c>
    </row>
    <row r="2294" spans="1:24" x14ac:dyDescent="0.3">
      <c r="A2294" t="s">
        <v>626</v>
      </c>
      <c r="B2294" t="s">
        <v>627</v>
      </c>
      <c r="C2294" t="s">
        <v>710</v>
      </c>
      <c r="D2294" s="1">
        <v>46051</v>
      </c>
      <c r="E2294" t="s">
        <v>711</v>
      </c>
      <c r="F2294">
        <v>9</v>
      </c>
      <c r="G2294">
        <v>174</v>
      </c>
      <c r="H2294" t="str">
        <f>VLOOKUP(G2294,[1]OPERADORES!$A:$B,2,0)</f>
        <v>MIRIÃ LOBATO RODRIGUES</v>
      </c>
      <c r="I2294" t="s">
        <v>21</v>
      </c>
      <c r="J2294" t="s">
        <v>630</v>
      </c>
      <c r="K2294" t="s">
        <v>631</v>
      </c>
      <c r="L2294">
        <v>20194</v>
      </c>
      <c r="M2294" t="s">
        <v>701</v>
      </c>
      <c r="O2294" t="s">
        <v>11</v>
      </c>
      <c r="P2294">
        <v>5403</v>
      </c>
      <c r="Q2294">
        <v>1</v>
      </c>
      <c r="R2294">
        <v>354.65</v>
      </c>
      <c r="S2294">
        <v>354.65</v>
      </c>
      <c r="T2294">
        <v>231.8</v>
      </c>
      <c r="U2294">
        <v>34.64</v>
      </c>
      <c r="V2294" t="str">
        <f>VLOOKUP(L2294,'[2]tabela de preços'!$A:$D,4,0)</f>
        <v>SIKKENS</v>
      </c>
      <c r="W2294" t="str">
        <f>VLOOKUP(L2294,'[2]tabela de preços'!$A:$F,6,0)</f>
        <v>VERNIZ AUTOMOTIVO</v>
      </c>
      <c r="X2294" t="str">
        <f>VLOOKUP(L2294,'[2]tabela de preços'!$A:$G,7,0)</f>
        <v>AUTOMOTIVO</v>
      </c>
    </row>
    <row r="2295" spans="1:24" x14ac:dyDescent="0.3">
      <c r="A2295" t="s">
        <v>626</v>
      </c>
      <c r="B2295" t="s">
        <v>627</v>
      </c>
      <c r="C2295" t="s">
        <v>710</v>
      </c>
      <c r="D2295" s="1">
        <v>46051</v>
      </c>
      <c r="E2295" t="s">
        <v>711</v>
      </c>
      <c r="F2295">
        <v>9</v>
      </c>
      <c r="G2295">
        <v>174</v>
      </c>
      <c r="H2295" t="str">
        <f>VLOOKUP(G2295,[1]OPERADORES!$A:$B,2,0)</f>
        <v>MIRIÃ LOBATO RODRIGUES</v>
      </c>
      <c r="I2295" t="s">
        <v>21</v>
      </c>
      <c r="J2295" t="s">
        <v>630</v>
      </c>
      <c r="K2295" t="s">
        <v>631</v>
      </c>
      <c r="L2295">
        <v>23110</v>
      </c>
      <c r="M2295" t="s">
        <v>409</v>
      </c>
      <c r="O2295" t="s">
        <v>11</v>
      </c>
      <c r="P2295">
        <v>5102</v>
      </c>
      <c r="Q2295">
        <v>50</v>
      </c>
      <c r="R2295">
        <v>2.35</v>
      </c>
      <c r="S2295">
        <v>117.5</v>
      </c>
      <c r="T2295">
        <v>92.5</v>
      </c>
      <c r="U2295">
        <v>21.28</v>
      </c>
      <c r="V2295" t="str">
        <f>VLOOKUP(L2295,'[2]tabela de preços'!$A:$D,4,0)</f>
        <v>3M</v>
      </c>
      <c r="W2295" t="str">
        <f>VLOOKUP(L2295,'[2]tabela de preços'!$A:$F,6,0)</f>
        <v xml:space="preserve">DISCOS / LIXAS / ABRASIVOS </v>
      </c>
      <c r="X2295" t="str">
        <f>VLOOKUP(L2295,'[2]tabela de preços'!$A:$G,7,0)</f>
        <v>AUTOMOTIVO</v>
      </c>
    </row>
    <row r="2296" spans="1:24" x14ac:dyDescent="0.3">
      <c r="A2296" t="s">
        <v>626</v>
      </c>
      <c r="B2296" t="s">
        <v>627</v>
      </c>
      <c r="C2296" t="s">
        <v>710</v>
      </c>
      <c r="D2296" s="1">
        <v>46051</v>
      </c>
      <c r="E2296" t="s">
        <v>711</v>
      </c>
      <c r="F2296">
        <v>9</v>
      </c>
      <c r="G2296">
        <v>174</v>
      </c>
      <c r="H2296" t="str">
        <f>VLOOKUP(G2296,[1]OPERADORES!$A:$B,2,0)</f>
        <v>MIRIÃ LOBATO RODRIGUES</v>
      </c>
      <c r="I2296" t="s">
        <v>21</v>
      </c>
      <c r="J2296" t="s">
        <v>630</v>
      </c>
      <c r="K2296" t="s">
        <v>631</v>
      </c>
      <c r="L2296">
        <v>23107</v>
      </c>
      <c r="M2296" t="s">
        <v>247</v>
      </c>
      <c r="O2296" t="s">
        <v>11</v>
      </c>
      <c r="P2296">
        <v>5102</v>
      </c>
      <c r="Q2296">
        <v>50</v>
      </c>
      <c r="R2296">
        <v>2.35</v>
      </c>
      <c r="S2296">
        <v>117.5</v>
      </c>
      <c r="T2296">
        <v>92.5</v>
      </c>
      <c r="U2296">
        <v>21.28</v>
      </c>
      <c r="V2296" t="str">
        <f>VLOOKUP(L2296,'[2]tabela de preços'!$A:$D,4,0)</f>
        <v>3M</v>
      </c>
      <c r="W2296" t="str">
        <f>VLOOKUP(L2296,'[2]tabela de preços'!$A:$F,6,0)</f>
        <v xml:space="preserve">DISCOS / LIXAS / ABRASIVOS </v>
      </c>
      <c r="X2296" t="str">
        <f>VLOOKUP(L2296,'[2]tabela de preços'!$A:$G,7,0)</f>
        <v>AUTOMOTIVO</v>
      </c>
    </row>
    <row r="2297" spans="1:24" x14ac:dyDescent="0.3">
      <c r="A2297" t="s">
        <v>626</v>
      </c>
      <c r="B2297" t="s">
        <v>627</v>
      </c>
      <c r="C2297" t="s">
        <v>710</v>
      </c>
      <c r="D2297" s="1">
        <v>46051</v>
      </c>
      <c r="E2297" t="s">
        <v>711</v>
      </c>
      <c r="F2297">
        <v>9</v>
      </c>
      <c r="G2297">
        <v>174</v>
      </c>
      <c r="H2297" t="str">
        <f>VLOOKUP(G2297,[1]OPERADORES!$A:$B,2,0)</f>
        <v>MIRIÃ LOBATO RODRIGUES</v>
      </c>
      <c r="I2297" t="s">
        <v>21</v>
      </c>
      <c r="J2297" t="s">
        <v>630</v>
      </c>
      <c r="K2297" t="s">
        <v>631</v>
      </c>
      <c r="L2297">
        <v>24248</v>
      </c>
      <c r="M2297" t="s">
        <v>107</v>
      </c>
      <c r="O2297" t="s">
        <v>11</v>
      </c>
      <c r="P2297">
        <v>5102</v>
      </c>
      <c r="Q2297">
        <v>12</v>
      </c>
      <c r="R2297">
        <v>8</v>
      </c>
      <c r="S2297">
        <v>96</v>
      </c>
      <c r="T2297">
        <v>78</v>
      </c>
      <c r="U2297">
        <v>18.75</v>
      </c>
      <c r="V2297" t="str">
        <f>VLOOKUP(L2297,'[2]tabela de preços'!$A:$D,4,0)</f>
        <v>SHERWIN WILLIAMS</v>
      </c>
      <c r="W2297" t="str">
        <f>VLOOKUP(L2297,'[2]tabela de preços'!$A:$F,6,0)</f>
        <v>PRIMER AUTOMOTIVO</v>
      </c>
      <c r="X2297" t="str">
        <f>VLOOKUP(L2297,'[2]tabela de preços'!$A:$G,7,0)</f>
        <v>AUTOMOTIVO</v>
      </c>
    </row>
    <row r="2298" spans="1:24" x14ac:dyDescent="0.3">
      <c r="A2298" t="s">
        <v>626</v>
      </c>
      <c r="B2298" t="s">
        <v>627</v>
      </c>
      <c r="C2298" t="s">
        <v>710</v>
      </c>
      <c r="D2298" s="1">
        <v>46051</v>
      </c>
      <c r="E2298" t="s">
        <v>711</v>
      </c>
      <c r="F2298">
        <v>9</v>
      </c>
      <c r="G2298">
        <v>174</v>
      </c>
      <c r="H2298" t="str">
        <f>VLOOKUP(G2298,[1]OPERADORES!$A:$B,2,0)</f>
        <v>MIRIÃ LOBATO RODRIGUES</v>
      </c>
      <c r="I2298" t="s">
        <v>21</v>
      </c>
      <c r="J2298" t="s">
        <v>630</v>
      </c>
      <c r="K2298" t="s">
        <v>631</v>
      </c>
      <c r="L2298">
        <v>22684</v>
      </c>
      <c r="M2298" t="s">
        <v>73</v>
      </c>
      <c r="O2298" t="s">
        <v>11</v>
      </c>
      <c r="P2298">
        <v>5102</v>
      </c>
      <c r="Q2298">
        <v>80</v>
      </c>
      <c r="R2298">
        <v>3.65</v>
      </c>
      <c r="S2298">
        <v>292</v>
      </c>
      <c r="T2298">
        <v>246.4</v>
      </c>
      <c r="U2298">
        <v>15.62</v>
      </c>
      <c r="V2298" t="str">
        <f>VLOOKUP(L2298,'[2]tabela de preços'!$A:$D,4,0)</f>
        <v>3M</v>
      </c>
      <c r="W2298" t="str">
        <f>VLOOKUP(L2298,'[2]tabela de preços'!$A:$F,6,0)</f>
        <v>FITA AUTOMOTIVA</v>
      </c>
      <c r="X2298" t="str">
        <f>VLOOKUP(L2298,'[2]tabela de preços'!$A:$G,7,0)</f>
        <v>AUTOMOTIVO</v>
      </c>
    </row>
    <row r="2299" spans="1:24" x14ac:dyDescent="0.3">
      <c r="A2299" t="s">
        <v>626</v>
      </c>
      <c r="B2299" t="s">
        <v>627</v>
      </c>
      <c r="C2299" t="s">
        <v>710</v>
      </c>
      <c r="D2299" s="1">
        <v>46051</v>
      </c>
      <c r="E2299" t="s">
        <v>711</v>
      </c>
      <c r="F2299">
        <v>9</v>
      </c>
      <c r="G2299">
        <v>174</v>
      </c>
      <c r="H2299" t="str">
        <f>VLOOKUP(G2299,[1]OPERADORES!$A:$B,2,0)</f>
        <v>MIRIÃ LOBATO RODRIGUES</v>
      </c>
      <c r="I2299" t="s">
        <v>21</v>
      </c>
      <c r="J2299" t="s">
        <v>630</v>
      </c>
      <c r="K2299" t="s">
        <v>631</v>
      </c>
      <c r="L2299">
        <v>9773</v>
      </c>
      <c r="M2299" t="s">
        <v>703</v>
      </c>
      <c r="O2299" t="s">
        <v>11</v>
      </c>
      <c r="P2299">
        <v>5102</v>
      </c>
      <c r="Q2299">
        <v>2</v>
      </c>
      <c r="R2299">
        <v>95.77</v>
      </c>
      <c r="S2299">
        <v>191.54</v>
      </c>
      <c r="T2299">
        <v>145.38</v>
      </c>
      <c r="U2299">
        <v>24.1</v>
      </c>
      <c r="V2299" t="str">
        <f>VLOOKUP(L2299,'[2]tabela de preços'!$A:$D,4,0)</f>
        <v>SIKKENS</v>
      </c>
      <c r="W2299" t="str">
        <f>VLOOKUP(L2299,'[2]tabela de preços'!$A:$F,6,0)</f>
        <v>CATALISADORES INDIVIDUAS</v>
      </c>
      <c r="X2299" t="str">
        <f>VLOOKUP(L2299,'[2]tabela de preços'!$A:$G,7,0)</f>
        <v>AUTOMOTIVO</v>
      </c>
    </row>
    <row r="2300" spans="1:24" x14ac:dyDescent="0.3">
      <c r="A2300" t="s">
        <v>626</v>
      </c>
      <c r="B2300" t="s">
        <v>627</v>
      </c>
      <c r="C2300" t="s">
        <v>710</v>
      </c>
      <c r="D2300" s="1">
        <v>46051</v>
      </c>
      <c r="E2300" t="s">
        <v>711</v>
      </c>
      <c r="F2300">
        <v>9</v>
      </c>
      <c r="G2300">
        <v>174</v>
      </c>
      <c r="H2300" t="str">
        <f>VLOOKUP(G2300,[1]OPERADORES!$A:$B,2,0)</f>
        <v>MIRIÃ LOBATO RODRIGUES</v>
      </c>
      <c r="I2300" t="s">
        <v>21</v>
      </c>
      <c r="J2300" t="s">
        <v>630</v>
      </c>
      <c r="K2300" t="s">
        <v>631</v>
      </c>
      <c r="L2300">
        <v>9775</v>
      </c>
      <c r="M2300" t="s">
        <v>708</v>
      </c>
      <c r="O2300" t="s">
        <v>11</v>
      </c>
      <c r="P2300">
        <v>5102</v>
      </c>
      <c r="Q2300">
        <v>1</v>
      </c>
      <c r="R2300">
        <v>54.57</v>
      </c>
      <c r="S2300">
        <v>54.57</v>
      </c>
      <c r="T2300">
        <v>41.42</v>
      </c>
      <c r="U2300">
        <v>24.1</v>
      </c>
      <c r="V2300" t="str">
        <f>VLOOKUP(L2300,'[2]tabela de preços'!$A:$D,4,0)</f>
        <v>SIKKENS</v>
      </c>
      <c r="W2300" t="str">
        <f>VLOOKUP(L2300,'[2]tabela de preços'!$A:$F,6,0)</f>
        <v>CATALISADORES INDIVIDUAS</v>
      </c>
      <c r="X2300" t="str">
        <f>VLOOKUP(L2300,'[2]tabela de preços'!$A:$G,7,0)</f>
        <v>AUTOMOTIVO</v>
      </c>
    </row>
    <row r="2301" spans="1:24" x14ac:dyDescent="0.3">
      <c r="A2301" t="s">
        <v>626</v>
      </c>
      <c r="B2301" t="s">
        <v>627</v>
      </c>
      <c r="C2301" t="s">
        <v>710</v>
      </c>
      <c r="D2301" s="1">
        <v>46051</v>
      </c>
      <c r="E2301" t="s">
        <v>711</v>
      </c>
      <c r="F2301">
        <v>9</v>
      </c>
      <c r="G2301">
        <v>174</v>
      </c>
      <c r="H2301" t="str">
        <f>VLOOKUP(G2301,[1]OPERADORES!$A:$B,2,0)</f>
        <v>MIRIÃ LOBATO RODRIGUES</v>
      </c>
      <c r="I2301" t="s">
        <v>21</v>
      </c>
      <c r="J2301" t="s">
        <v>630</v>
      </c>
      <c r="K2301" t="s">
        <v>631</v>
      </c>
      <c r="L2301">
        <v>23076</v>
      </c>
      <c r="M2301" t="s">
        <v>97</v>
      </c>
      <c r="O2301" t="s">
        <v>11</v>
      </c>
      <c r="P2301">
        <v>5403</v>
      </c>
      <c r="Q2301">
        <v>6</v>
      </c>
      <c r="R2301">
        <v>34.89</v>
      </c>
      <c r="S2301">
        <v>209.34</v>
      </c>
      <c r="T2301">
        <v>159.18</v>
      </c>
      <c r="U2301">
        <v>23.96</v>
      </c>
      <c r="V2301" t="str">
        <f>VLOOKUP(L2301,'[2]tabela de preços'!$A:$D,4,0)</f>
        <v>WANDA</v>
      </c>
      <c r="W2301" t="str">
        <f>VLOOKUP(L2301,'[2]tabela de preços'!$A:$F,6,0)</f>
        <v>PRIMER AUTOMOTIVO</v>
      </c>
      <c r="X2301" t="str">
        <f>VLOOKUP(L2301,'[2]tabela de preços'!$A:$G,7,0)</f>
        <v>AUTOMOTIVO</v>
      </c>
    </row>
    <row r="2302" spans="1:24" x14ac:dyDescent="0.3">
      <c r="A2302" t="s">
        <v>626</v>
      </c>
      <c r="B2302" t="s">
        <v>627</v>
      </c>
      <c r="C2302" t="s">
        <v>710</v>
      </c>
      <c r="D2302" s="1">
        <v>46051</v>
      </c>
      <c r="E2302" t="s">
        <v>711</v>
      </c>
      <c r="F2302">
        <v>9</v>
      </c>
      <c r="G2302">
        <v>174</v>
      </c>
      <c r="H2302" t="str">
        <f>VLOOKUP(G2302,[1]OPERADORES!$A:$B,2,0)</f>
        <v>MIRIÃ LOBATO RODRIGUES</v>
      </c>
      <c r="I2302" t="s">
        <v>21</v>
      </c>
      <c r="J2302" t="s">
        <v>630</v>
      </c>
      <c r="K2302" t="s">
        <v>631</v>
      </c>
      <c r="L2302">
        <v>23690</v>
      </c>
      <c r="M2302" t="s">
        <v>98</v>
      </c>
      <c r="O2302" t="s">
        <v>11</v>
      </c>
      <c r="P2302">
        <v>5403</v>
      </c>
      <c r="Q2302">
        <v>6</v>
      </c>
      <c r="R2302">
        <v>39.89</v>
      </c>
      <c r="S2302">
        <v>239.34</v>
      </c>
      <c r="T2302">
        <v>189.66</v>
      </c>
      <c r="U2302">
        <v>20.76</v>
      </c>
      <c r="V2302" t="str">
        <f>VLOOKUP(L2302,'[2]tabela de preços'!$A:$D,4,0)</f>
        <v>WANDA</v>
      </c>
      <c r="W2302" t="str">
        <f>VLOOKUP(L2302,'[2]tabela de preços'!$A:$F,6,0)</f>
        <v>VERNIZ AUTOMOTIVO</v>
      </c>
      <c r="X2302" t="str">
        <f>VLOOKUP(L2302,'[2]tabela de preços'!$A:$G,7,0)</f>
        <v>AUTOMOTIVO</v>
      </c>
    </row>
    <row r="2303" spans="1:24" x14ac:dyDescent="0.3">
      <c r="A2303" t="s">
        <v>626</v>
      </c>
      <c r="B2303" t="s">
        <v>627</v>
      </c>
      <c r="C2303" t="s">
        <v>710</v>
      </c>
      <c r="D2303" s="1">
        <v>46051</v>
      </c>
      <c r="E2303" t="s">
        <v>711</v>
      </c>
      <c r="F2303">
        <v>9</v>
      </c>
      <c r="G2303">
        <v>174</v>
      </c>
      <c r="H2303" t="str">
        <f>VLOOKUP(G2303,[1]OPERADORES!$A:$B,2,0)</f>
        <v>MIRIÃ LOBATO RODRIGUES</v>
      </c>
      <c r="I2303" t="s">
        <v>21</v>
      </c>
      <c r="J2303" t="s">
        <v>630</v>
      </c>
      <c r="K2303" t="s">
        <v>631</v>
      </c>
      <c r="L2303">
        <v>23602</v>
      </c>
      <c r="M2303" t="s">
        <v>215</v>
      </c>
      <c r="O2303" t="s">
        <v>11</v>
      </c>
      <c r="P2303">
        <v>5403</v>
      </c>
      <c r="Q2303">
        <v>9</v>
      </c>
      <c r="R2303">
        <v>35.89</v>
      </c>
      <c r="S2303">
        <v>323.01</v>
      </c>
      <c r="T2303">
        <v>263.25</v>
      </c>
      <c r="U2303">
        <v>18.5</v>
      </c>
      <c r="V2303" t="str">
        <f>VLOOKUP(L2303,'[2]tabela de preços'!$A:$D,4,0)</f>
        <v>SHERWIN WILLIAMS</v>
      </c>
      <c r="W2303" t="str">
        <f>VLOOKUP(L2303,'[2]tabela de preços'!$A:$F,6,0)</f>
        <v>VERNIZ AUTOMOTIVO</v>
      </c>
      <c r="X2303" t="str">
        <f>VLOOKUP(L2303,'[2]tabela de preços'!$A:$G,7,0)</f>
        <v>AUTOMOTIVO</v>
      </c>
    </row>
    <row r="2304" spans="1:24" x14ac:dyDescent="0.3">
      <c r="A2304" t="s">
        <v>626</v>
      </c>
      <c r="B2304" t="s">
        <v>627</v>
      </c>
      <c r="C2304" t="s">
        <v>710</v>
      </c>
      <c r="D2304" s="1">
        <v>46051</v>
      </c>
      <c r="E2304" t="s">
        <v>711</v>
      </c>
      <c r="F2304">
        <v>9</v>
      </c>
      <c r="G2304">
        <v>174</v>
      </c>
      <c r="H2304" t="str">
        <f>VLOOKUP(G2304,[1]OPERADORES!$A:$B,2,0)</f>
        <v>MIRIÃ LOBATO RODRIGUES</v>
      </c>
      <c r="I2304" t="s">
        <v>21</v>
      </c>
      <c r="J2304" t="s">
        <v>630</v>
      </c>
      <c r="K2304" t="s">
        <v>631</v>
      </c>
      <c r="L2304">
        <v>21077</v>
      </c>
      <c r="M2304" t="s">
        <v>207</v>
      </c>
      <c r="O2304" t="s">
        <v>11</v>
      </c>
      <c r="P2304">
        <v>5102</v>
      </c>
      <c r="Q2304">
        <v>6</v>
      </c>
      <c r="R2304">
        <v>44.68</v>
      </c>
      <c r="S2304">
        <v>268.08</v>
      </c>
      <c r="T2304">
        <v>203.52</v>
      </c>
      <c r="U2304">
        <v>24.08</v>
      </c>
      <c r="V2304" t="str">
        <f>VLOOKUP(L2304,'[2]tabela de preços'!$A:$D,4,0)</f>
        <v>SHERWIN WILLIAMS</v>
      </c>
      <c r="W2304" t="str">
        <f>VLOOKUP(L2304,'[2]tabela de preços'!$A:$F,6,0)</f>
        <v>MASSA POLIÉSTER</v>
      </c>
      <c r="X2304" t="str">
        <f>VLOOKUP(L2304,'[2]tabela de preços'!$A:$G,7,0)</f>
        <v>AUTOMOTIVO</v>
      </c>
    </row>
    <row r="2305" spans="1:24" x14ac:dyDescent="0.3">
      <c r="A2305" t="s">
        <v>626</v>
      </c>
      <c r="B2305" t="s">
        <v>627</v>
      </c>
      <c r="C2305" t="s">
        <v>710</v>
      </c>
      <c r="D2305" s="1">
        <v>46051</v>
      </c>
      <c r="E2305" t="s">
        <v>711</v>
      </c>
      <c r="F2305">
        <v>9</v>
      </c>
      <c r="G2305">
        <v>174</v>
      </c>
      <c r="H2305" t="str">
        <f>VLOOKUP(G2305,[1]OPERADORES!$A:$B,2,0)</f>
        <v>MIRIÃ LOBATO RODRIGUES</v>
      </c>
      <c r="I2305" t="s">
        <v>21</v>
      </c>
      <c r="J2305" t="s">
        <v>630</v>
      </c>
      <c r="K2305" t="s">
        <v>631</v>
      </c>
      <c r="L2305">
        <v>24247</v>
      </c>
      <c r="M2305" t="s">
        <v>160</v>
      </c>
      <c r="O2305" t="s">
        <v>11</v>
      </c>
      <c r="P2305">
        <v>5403</v>
      </c>
      <c r="Q2305">
        <v>12</v>
      </c>
      <c r="R2305">
        <v>21</v>
      </c>
      <c r="S2305">
        <v>252</v>
      </c>
      <c r="T2305">
        <v>202.44</v>
      </c>
      <c r="U2305">
        <v>19.670000000000002</v>
      </c>
      <c r="V2305" t="str">
        <f>VLOOKUP(L2305,'[2]tabela de preços'!$A:$D,4,0)</f>
        <v>SHERWIN WILLIAMS</v>
      </c>
      <c r="W2305" t="str">
        <f>VLOOKUP(L2305,'[2]tabela de preços'!$A:$F,6,0)</f>
        <v>PRIMER AUTOMOTIVO</v>
      </c>
      <c r="X2305" t="str">
        <f>VLOOKUP(L2305,'[2]tabela de preços'!$A:$G,7,0)</f>
        <v>AUTOMOTIVO</v>
      </c>
    </row>
    <row r="2306" spans="1:24" x14ac:dyDescent="0.3">
      <c r="A2306" t="s">
        <v>626</v>
      </c>
      <c r="B2306" t="s">
        <v>627</v>
      </c>
      <c r="C2306" t="s">
        <v>710</v>
      </c>
      <c r="D2306" s="1">
        <v>46051</v>
      </c>
      <c r="E2306" t="s">
        <v>711</v>
      </c>
      <c r="F2306">
        <v>9</v>
      </c>
      <c r="G2306">
        <v>174</v>
      </c>
      <c r="H2306" t="str">
        <f>VLOOKUP(G2306,[1]OPERADORES!$A:$B,2,0)</f>
        <v>MIRIÃ LOBATO RODRIGUES</v>
      </c>
      <c r="I2306" t="s">
        <v>21</v>
      </c>
      <c r="J2306" t="s">
        <v>630</v>
      </c>
      <c r="K2306" t="s">
        <v>631</v>
      </c>
      <c r="L2306">
        <v>9995</v>
      </c>
      <c r="M2306" t="s">
        <v>704</v>
      </c>
      <c r="O2306" t="s">
        <v>11</v>
      </c>
      <c r="P2306">
        <v>5102</v>
      </c>
      <c r="Q2306">
        <v>1</v>
      </c>
      <c r="R2306">
        <v>186.08</v>
      </c>
      <c r="S2306">
        <v>186.08</v>
      </c>
      <c r="T2306">
        <v>141.24</v>
      </c>
      <c r="U2306">
        <v>24.1</v>
      </c>
      <c r="V2306" t="str">
        <f>VLOOKUP(L2306,'[2]tabela de preços'!$A:$D,4,0)</f>
        <v>SIKKENS</v>
      </c>
      <c r="W2306" t="str">
        <f>VLOOKUP(L2306,'[2]tabela de preços'!$A:$F,6,0)</f>
        <v>DILUENTE</v>
      </c>
      <c r="X2306" t="str">
        <f>VLOOKUP(L2306,'[2]tabela de preços'!$A:$G,7,0)</f>
        <v>AUTOMOTIVO</v>
      </c>
    </row>
    <row r="2307" spans="1:24" x14ac:dyDescent="0.3">
      <c r="A2307" t="s">
        <v>770</v>
      </c>
      <c r="C2307" t="s">
        <v>808</v>
      </c>
      <c r="D2307" s="1">
        <v>46051</v>
      </c>
      <c r="E2307" t="s">
        <v>809</v>
      </c>
      <c r="F2307">
        <v>9</v>
      </c>
      <c r="G2307">
        <v>230</v>
      </c>
      <c r="H2307" t="str">
        <f>VLOOKUP(G2307,[1]OPERADORES!$A:$B,2,0)</f>
        <v>SÔNIA</v>
      </c>
      <c r="I2307" t="s">
        <v>21</v>
      </c>
      <c r="J2307" t="s">
        <v>397</v>
      </c>
      <c r="K2307" t="s">
        <v>773</v>
      </c>
      <c r="L2307">
        <v>21274</v>
      </c>
      <c r="M2307" t="s">
        <v>810</v>
      </c>
      <c r="O2307" t="s">
        <v>11</v>
      </c>
      <c r="P2307">
        <v>5102</v>
      </c>
      <c r="Q2307">
        <v>10</v>
      </c>
      <c r="R2307">
        <v>0.85</v>
      </c>
      <c r="S2307">
        <v>8.5</v>
      </c>
      <c r="T2307">
        <v>5.5</v>
      </c>
      <c r="U2307">
        <v>35.29</v>
      </c>
      <c r="V2307" t="str">
        <f>VLOOKUP(L2307,'[2]tabela de preços'!$A:$D,4,0)</f>
        <v>SHERWIN WILLIAMS</v>
      </c>
      <c r="W2307" t="str">
        <f>VLOOKUP(L2307,'[2]tabela de preços'!$A:$F,6,0)</f>
        <v>COADORES</v>
      </c>
      <c r="X2307" t="str">
        <f>VLOOKUP(L2307,'[2]tabela de preços'!$A:$G,7,0)</f>
        <v>AUTOMOTIVO</v>
      </c>
    </row>
    <row r="2308" spans="1:24" x14ac:dyDescent="0.3">
      <c r="A2308" t="s">
        <v>770</v>
      </c>
      <c r="C2308" t="s">
        <v>808</v>
      </c>
      <c r="D2308" s="1">
        <v>46051</v>
      </c>
      <c r="E2308" t="s">
        <v>809</v>
      </c>
      <c r="F2308">
        <v>9</v>
      </c>
      <c r="G2308">
        <v>230</v>
      </c>
      <c r="H2308" t="str">
        <f>VLOOKUP(G2308,[1]OPERADORES!$A:$B,2,0)</f>
        <v>SÔNIA</v>
      </c>
      <c r="I2308" t="s">
        <v>21</v>
      </c>
      <c r="J2308" t="s">
        <v>397</v>
      </c>
      <c r="K2308" t="s">
        <v>773</v>
      </c>
      <c r="L2308">
        <v>20384</v>
      </c>
      <c r="M2308" t="s">
        <v>648</v>
      </c>
      <c r="O2308" t="s">
        <v>11</v>
      </c>
      <c r="P2308">
        <v>5403</v>
      </c>
      <c r="Q2308">
        <v>1</v>
      </c>
      <c r="R2308">
        <v>32.159999999999997</v>
      </c>
      <c r="S2308">
        <v>32.159999999999997</v>
      </c>
      <c r="T2308">
        <v>22.93</v>
      </c>
      <c r="U2308">
        <v>28.7</v>
      </c>
      <c r="V2308" t="str">
        <f>VLOOKUP(L2308,'[2]tabela de preços'!$A:$D,4,0)</f>
        <v>SHERWIN WILLIAMS</v>
      </c>
      <c r="W2308" t="str">
        <f>VLOOKUP(L2308,'[2]tabela de preços'!$A:$F,6,0)</f>
        <v>TINTAS PU</v>
      </c>
      <c r="X2308" t="str">
        <f>VLOOKUP(L2308,'[2]tabela de preços'!$A:$G,7,0)</f>
        <v>AUTOMOTIVO</v>
      </c>
    </row>
    <row r="2309" spans="1:24" x14ac:dyDescent="0.3">
      <c r="A2309" t="s">
        <v>770</v>
      </c>
      <c r="C2309" t="s">
        <v>808</v>
      </c>
      <c r="D2309" s="1">
        <v>46051</v>
      </c>
      <c r="E2309" t="s">
        <v>809</v>
      </c>
      <c r="F2309">
        <v>9</v>
      </c>
      <c r="G2309">
        <v>230</v>
      </c>
      <c r="H2309" t="str">
        <f>VLOOKUP(G2309,[1]OPERADORES!$A:$B,2,0)</f>
        <v>SÔNIA</v>
      </c>
      <c r="I2309" t="s">
        <v>21</v>
      </c>
      <c r="J2309" t="s">
        <v>397</v>
      </c>
      <c r="K2309" t="s">
        <v>773</v>
      </c>
      <c r="L2309">
        <v>10296</v>
      </c>
      <c r="M2309" t="s">
        <v>334</v>
      </c>
      <c r="O2309" t="s">
        <v>11</v>
      </c>
      <c r="P2309">
        <v>5102</v>
      </c>
      <c r="Q2309">
        <v>1</v>
      </c>
      <c r="R2309">
        <v>17.02</v>
      </c>
      <c r="S2309">
        <v>17.02</v>
      </c>
      <c r="T2309">
        <v>12.57</v>
      </c>
      <c r="U2309">
        <v>26.15</v>
      </c>
      <c r="V2309" t="str">
        <f>VLOOKUP(L2309,'[2]tabela de preços'!$A:$D,4,0)</f>
        <v>ANJO</v>
      </c>
      <c r="W2309" t="str">
        <f>VLOOKUP(L2309,'[2]tabela de preços'!$A:$F,6,0)</f>
        <v>DESENGRAXANTE</v>
      </c>
      <c r="X2309" t="str">
        <f>VLOOKUP(L2309,'[2]tabela de preços'!$A:$G,7,0)</f>
        <v>AUTOMOTIVO</v>
      </c>
    </row>
    <row r="2310" spans="1:24" x14ac:dyDescent="0.3">
      <c r="A2310" t="s">
        <v>846</v>
      </c>
      <c r="C2310" t="s">
        <v>866</v>
      </c>
      <c r="D2310" s="1">
        <v>46051</v>
      </c>
      <c r="E2310" t="s">
        <v>867</v>
      </c>
      <c r="F2310">
        <v>9</v>
      </c>
      <c r="G2310">
        <v>174</v>
      </c>
      <c r="H2310" t="str">
        <f>VLOOKUP(G2310,[1]OPERADORES!$A:$B,2,0)</f>
        <v>MIRIÃ LOBATO RODRIGUES</v>
      </c>
      <c r="I2310" t="s">
        <v>21</v>
      </c>
      <c r="J2310" t="s">
        <v>339</v>
      </c>
      <c r="K2310" t="s">
        <v>849</v>
      </c>
      <c r="L2310">
        <v>84329</v>
      </c>
      <c r="M2310" t="s">
        <v>285</v>
      </c>
      <c r="O2310" t="s">
        <v>11</v>
      </c>
      <c r="P2310">
        <v>5403</v>
      </c>
      <c r="Q2310">
        <v>7</v>
      </c>
      <c r="R2310">
        <v>59.98</v>
      </c>
      <c r="S2310">
        <v>419.86</v>
      </c>
      <c r="T2310">
        <v>337.89</v>
      </c>
      <c r="U2310">
        <v>19.52</v>
      </c>
      <c r="V2310" t="str">
        <f>VLOOKUP(L2310,'[2]tabela de preços'!$A:$D,4,0)</f>
        <v>BRASILUX</v>
      </c>
      <c r="W2310" t="str">
        <f>VLOOKUP(L2310,'[2]tabela de preços'!$A:$F,6,0)</f>
        <v>ESMALTES</v>
      </c>
      <c r="X2310" t="str">
        <f>VLOOKUP(L2310,'[2]tabela de preços'!$A:$G,7,0)</f>
        <v>INDUSTRIAL</v>
      </c>
    </row>
    <row r="2311" spans="1:24" x14ac:dyDescent="0.3">
      <c r="A2311" t="s">
        <v>846</v>
      </c>
      <c r="C2311" t="s">
        <v>866</v>
      </c>
      <c r="D2311" s="1">
        <v>46051</v>
      </c>
      <c r="E2311" t="s">
        <v>867</v>
      </c>
      <c r="F2311">
        <v>9</v>
      </c>
      <c r="G2311">
        <v>174</v>
      </c>
      <c r="H2311" t="str">
        <f>VLOOKUP(G2311,[1]OPERADORES!$A:$B,2,0)</f>
        <v>MIRIÃ LOBATO RODRIGUES</v>
      </c>
      <c r="I2311" t="s">
        <v>21</v>
      </c>
      <c r="J2311" t="s">
        <v>339</v>
      </c>
      <c r="K2311" t="s">
        <v>849</v>
      </c>
      <c r="L2311">
        <v>84560</v>
      </c>
      <c r="M2311" t="s">
        <v>118</v>
      </c>
      <c r="O2311" t="s">
        <v>11</v>
      </c>
      <c r="P2311">
        <v>5102</v>
      </c>
      <c r="Q2311">
        <v>4</v>
      </c>
      <c r="R2311">
        <v>47.89</v>
      </c>
      <c r="S2311">
        <v>191.56</v>
      </c>
      <c r="T2311">
        <v>156.63999999999999</v>
      </c>
      <c r="U2311">
        <v>18.23</v>
      </c>
      <c r="V2311" t="str">
        <f>VLOOKUP(L2311,'[2]tabela de preços'!$A:$D,4,0)</f>
        <v>BRASILUX</v>
      </c>
      <c r="W2311" t="str">
        <f>VLOOKUP(L2311,'[2]tabela de preços'!$A:$F,6,0)</f>
        <v>THINNER DE LIMPEZA</v>
      </c>
      <c r="X2311" t="str">
        <f>VLOOKUP(L2311,'[2]tabela de preços'!$A:$G,7,0)</f>
        <v>THINNER</v>
      </c>
    </row>
    <row r="2312" spans="1:24" x14ac:dyDescent="0.3">
      <c r="A2312" t="s">
        <v>868</v>
      </c>
      <c r="B2312" t="s">
        <v>869</v>
      </c>
      <c r="C2312" t="s">
        <v>893</v>
      </c>
      <c r="D2312" s="1">
        <v>46051</v>
      </c>
      <c r="E2312" t="s">
        <v>894</v>
      </c>
      <c r="F2312">
        <v>9</v>
      </c>
      <c r="G2312">
        <v>197</v>
      </c>
      <c r="H2312" t="str">
        <f>VLOOKUP(G2312,[1]OPERADORES!$A:$B,2,0)</f>
        <v xml:space="preserve">POLIANA LORRANE DE AMORIM </v>
      </c>
      <c r="I2312" t="s">
        <v>21</v>
      </c>
      <c r="J2312" t="s">
        <v>872</v>
      </c>
      <c r="K2312" t="s">
        <v>873</v>
      </c>
      <c r="L2312">
        <v>84334</v>
      </c>
      <c r="M2312" t="s">
        <v>895</v>
      </c>
      <c r="O2312" t="s">
        <v>11</v>
      </c>
      <c r="P2312">
        <v>5403</v>
      </c>
      <c r="Q2312">
        <v>8</v>
      </c>
      <c r="R2312">
        <v>59.98</v>
      </c>
      <c r="S2312">
        <v>479.84</v>
      </c>
      <c r="T2312">
        <v>381.28</v>
      </c>
      <c r="U2312">
        <v>20.54</v>
      </c>
      <c r="V2312" t="str">
        <f>VLOOKUP(L2312,'[2]tabela de preços'!$A:$D,4,0)</f>
        <v>BRASILUX</v>
      </c>
      <c r="W2312" t="str">
        <f>VLOOKUP(L2312,'[2]tabela de preços'!$A:$F,6,0)</f>
        <v>ESMALTES</v>
      </c>
      <c r="X2312" t="str">
        <f>VLOOKUP(L2312,'[2]tabela de preços'!$A:$G,7,0)</f>
        <v>INDUSTRIAL</v>
      </c>
    </row>
    <row r="2313" spans="1:24" x14ac:dyDescent="0.3">
      <c r="A2313" t="s">
        <v>868</v>
      </c>
      <c r="B2313" t="s">
        <v>869</v>
      </c>
      <c r="C2313" t="s">
        <v>893</v>
      </c>
      <c r="D2313" s="1">
        <v>46051</v>
      </c>
      <c r="E2313" t="s">
        <v>894</v>
      </c>
      <c r="F2313">
        <v>9</v>
      </c>
      <c r="G2313">
        <v>197</v>
      </c>
      <c r="H2313" t="str">
        <f>VLOOKUP(G2313,[1]OPERADORES!$A:$B,2,0)</f>
        <v xml:space="preserve">POLIANA LORRANE DE AMORIM </v>
      </c>
      <c r="I2313" t="s">
        <v>21</v>
      </c>
      <c r="J2313" t="s">
        <v>872</v>
      </c>
      <c r="K2313" t="s">
        <v>873</v>
      </c>
      <c r="L2313">
        <v>84342</v>
      </c>
      <c r="M2313" t="s">
        <v>498</v>
      </c>
      <c r="O2313" t="s">
        <v>11</v>
      </c>
      <c r="P2313">
        <v>5403</v>
      </c>
      <c r="Q2313">
        <v>4</v>
      </c>
      <c r="R2313">
        <v>59.98</v>
      </c>
      <c r="S2313">
        <v>239.92</v>
      </c>
      <c r="T2313">
        <v>183.12</v>
      </c>
      <c r="U2313">
        <v>23.67</v>
      </c>
      <c r="V2313" t="str">
        <f>VLOOKUP(L2313,'[2]tabela de preços'!$A:$D,4,0)</f>
        <v>BRASILUX</v>
      </c>
      <c r="W2313" t="str">
        <f>VLOOKUP(L2313,'[2]tabela de preços'!$A:$F,6,0)</f>
        <v>ESMALTES</v>
      </c>
      <c r="X2313" t="str">
        <f>VLOOKUP(L2313,'[2]tabela de preços'!$A:$G,7,0)</f>
        <v>INDUSTRIAL</v>
      </c>
    </row>
    <row r="2314" spans="1:24" x14ac:dyDescent="0.3">
      <c r="A2314" t="s">
        <v>913</v>
      </c>
      <c r="B2314" t="s">
        <v>914</v>
      </c>
      <c r="C2314" t="s">
        <v>920</v>
      </c>
      <c r="D2314" s="1">
        <v>46051</v>
      </c>
      <c r="E2314" t="s">
        <v>921</v>
      </c>
      <c r="F2314">
        <v>9</v>
      </c>
      <c r="G2314">
        <v>236</v>
      </c>
      <c r="H2314" t="str">
        <f>VLOOKUP(G2314,[1]OPERADORES!$A:$B,2,0)</f>
        <v>DANIEL</v>
      </c>
      <c r="I2314" t="s">
        <v>21</v>
      </c>
      <c r="J2314" t="s">
        <v>917</v>
      </c>
      <c r="K2314" t="s">
        <v>918</v>
      </c>
      <c r="L2314">
        <v>84250</v>
      </c>
      <c r="M2314" t="s">
        <v>922</v>
      </c>
      <c r="O2314" t="s">
        <v>11</v>
      </c>
      <c r="P2314">
        <v>5403</v>
      </c>
      <c r="Q2314">
        <v>4</v>
      </c>
      <c r="R2314">
        <v>120.8</v>
      </c>
      <c r="S2314">
        <v>483.2</v>
      </c>
      <c r="T2314">
        <v>378.64</v>
      </c>
      <c r="U2314">
        <v>21.64</v>
      </c>
      <c r="V2314" t="str">
        <f>VLOOKUP(L2314,'[2]tabela de preços'!$A:$D,4,0)</f>
        <v>BRASILUX</v>
      </c>
      <c r="W2314" t="str">
        <f>VLOOKUP(L2314,'[2]tabela de preços'!$A:$F,6,0)</f>
        <v>TINTA PAREDE</v>
      </c>
      <c r="X2314" t="str">
        <f>VLOOKUP(L2314,'[2]tabela de preços'!$A:$G,7,0)</f>
        <v>IMOBILIÁRIO</v>
      </c>
    </row>
    <row r="2315" spans="1:24" x14ac:dyDescent="0.3">
      <c r="A2315" t="s">
        <v>923</v>
      </c>
      <c r="C2315" t="s">
        <v>932</v>
      </c>
      <c r="D2315" s="1">
        <v>46051</v>
      </c>
      <c r="E2315" t="s">
        <v>933</v>
      </c>
      <c r="F2315">
        <v>9</v>
      </c>
      <c r="G2315">
        <v>236</v>
      </c>
      <c r="H2315" t="str">
        <f>VLOOKUP(G2315,[1]OPERADORES!$A:$B,2,0)</f>
        <v>DANIEL</v>
      </c>
      <c r="I2315" t="s">
        <v>21</v>
      </c>
      <c r="J2315" t="s">
        <v>211</v>
      </c>
      <c r="K2315" t="s">
        <v>926</v>
      </c>
      <c r="L2315">
        <v>23653</v>
      </c>
      <c r="M2315" t="s">
        <v>644</v>
      </c>
      <c r="O2315" t="s">
        <v>11</v>
      </c>
      <c r="P2315">
        <v>5102</v>
      </c>
      <c r="Q2315">
        <v>1</v>
      </c>
      <c r="R2315">
        <v>79</v>
      </c>
      <c r="S2315">
        <v>79</v>
      </c>
      <c r="T2315">
        <v>50.97</v>
      </c>
      <c r="U2315">
        <v>35.479999999999997</v>
      </c>
      <c r="V2315" t="str">
        <f>VLOOKUP(L2315,'[2]tabela de preços'!$A:$D,4,0)</f>
        <v>SIKKENS</v>
      </c>
      <c r="W2315" t="str">
        <f>VLOOKUP(L2315,'[2]tabela de preços'!$A:$F,6,0)</f>
        <v>CATALISADORES INDIVIDUAS</v>
      </c>
      <c r="X2315" t="str">
        <f>VLOOKUP(L2315,'[2]tabela de preços'!$A:$G,7,0)</f>
        <v>AUTOMOTIVO</v>
      </c>
    </row>
    <row r="2316" spans="1:24" x14ac:dyDescent="0.3">
      <c r="A2316" t="s">
        <v>923</v>
      </c>
      <c r="C2316" t="s">
        <v>932</v>
      </c>
      <c r="D2316" s="1">
        <v>46051</v>
      </c>
      <c r="E2316" t="s">
        <v>933</v>
      </c>
      <c r="F2316">
        <v>9</v>
      </c>
      <c r="G2316">
        <v>236</v>
      </c>
      <c r="H2316" t="str">
        <f>VLOOKUP(G2316,[1]OPERADORES!$A:$B,2,0)</f>
        <v>DANIEL</v>
      </c>
      <c r="I2316" t="s">
        <v>21</v>
      </c>
      <c r="J2316" t="s">
        <v>211</v>
      </c>
      <c r="K2316" t="s">
        <v>926</v>
      </c>
      <c r="L2316">
        <v>23926</v>
      </c>
      <c r="M2316" t="s">
        <v>645</v>
      </c>
      <c r="O2316" t="s">
        <v>11</v>
      </c>
      <c r="P2316">
        <v>5403</v>
      </c>
      <c r="Q2316">
        <v>1</v>
      </c>
      <c r="R2316">
        <v>159.22</v>
      </c>
      <c r="S2316">
        <v>159.22</v>
      </c>
      <c r="T2316">
        <v>98.89</v>
      </c>
      <c r="U2316">
        <v>37.89</v>
      </c>
      <c r="V2316" t="str">
        <f>VLOOKUP(L2316,'[2]tabela de preços'!$A:$D,4,0)</f>
        <v>SIKKENS</v>
      </c>
      <c r="W2316" t="str">
        <f>VLOOKUP(L2316,'[2]tabela de preços'!$A:$F,6,0)</f>
        <v>PRIMER AUTOMOTIVO</v>
      </c>
      <c r="X2316" t="str">
        <f>VLOOKUP(L2316,'[2]tabela de preços'!$A:$G,7,0)</f>
        <v>AUTOMOTIVO</v>
      </c>
    </row>
    <row r="2317" spans="1:24" x14ac:dyDescent="0.3">
      <c r="A2317" t="s">
        <v>923</v>
      </c>
      <c r="C2317" t="s">
        <v>934</v>
      </c>
      <c r="D2317" s="1">
        <v>46051</v>
      </c>
      <c r="E2317" t="s">
        <v>935</v>
      </c>
      <c r="F2317">
        <v>9</v>
      </c>
      <c r="G2317">
        <v>236</v>
      </c>
      <c r="H2317" t="str">
        <f>VLOOKUP(G2317,[1]OPERADORES!$A:$B,2,0)</f>
        <v>DANIEL</v>
      </c>
      <c r="I2317" t="s">
        <v>21</v>
      </c>
      <c r="J2317" t="s">
        <v>211</v>
      </c>
      <c r="K2317" t="s">
        <v>926</v>
      </c>
      <c r="L2317">
        <v>85352</v>
      </c>
      <c r="M2317" t="s">
        <v>936</v>
      </c>
      <c r="O2317" t="s">
        <v>11</v>
      </c>
      <c r="P2317">
        <v>5102</v>
      </c>
      <c r="Q2317">
        <v>1</v>
      </c>
      <c r="R2317">
        <v>50.48</v>
      </c>
      <c r="S2317">
        <v>50.48</v>
      </c>
      <c r="T2317">
        <v>36.19</v>
      </c>
      <c r="U2317">
        <v>28.31</v>
      </c>
      <c r="V2317" t="str">
        <f>VLOOKUP(L2317,'[2]tabela de preços'!$A:$D,4,0)</f>
        <v>VONIXX</v>
      </c>
      <c r="W2317" t="str">
        <f>VLOOKUP(L2317,'[2]tabela de preços'!$A:$F,6,0)</f>
        <v>BOINAS PARA POLIMENTO</v>
      </c>
      <c r="X2317" t="str">
        <f>VLOOKUP(L2317,'[2]tabela de preços'!$A:$G,7,0)</f>
        <v>AUTOMOTIVO</v>
      </c>
    </row>
    <row r="2318" spans="1:24" x14ac:dyDescent="0.3">
      <c r="A2318" t="s">
        <v>923</v>
      </c>
      <c r="C2318" t="s">
        <v>934</v>
      </c>
      <c r="D2318" s="1">
        <v>46051</v>
      </c>
      <c r="E2318" t="s">
        <v>935</v>
      </c>
      <c r="F2318">
        <v>9</v>
      </c>
      <c r="G2318">
        <v>236</v>
      </c>
      <c r="H2318" t="str">
        <f>VLOOKUP(G2318,[1]OPERADORES!$A:$B,2,0)</f>
        <v>DANIEL</v>
      </c>
      <c r="I2318" t="s">
        <v>21</v>
      </c>
      <c r="J2318" t="s">
        <v>211</v>
      </c>
      <c r="K2318" t="s">
        <v>926</v>
      </c>
      <c r="L2318">
        <v>85353</v>
      </c>
      <c r="M2318" t="s">
        <v>937</v>
      </c>
      <c r="O2318" t="s">
        <v>11</v>
      </c>
      <c r="P2318">
        <v>5102</v>
      </c>
      <c r="Q2318">
        <v>1</v>
      </c>
      <c r="R2318">
        <v>50.48</v>
      </c>
      <c r="S2318">
        <v>50.48</v>
      </c>
      <c r="T2318">
        <v>36.19</v>
      </c>
      <c r="U2318">
        <v>28.31</v>
      </c>
      <c r="V2318" t="str">
        <f>VLOOKUP(L2318,'[2]tabela de preços'!$A:$D,4,0)</f>
        <v>VONIXX</v>
      </c>
      <c r="W2318" t="str">
        <f>VLOOKUP(L2318,'[2]tabela de preços'!$A:$F,6,0)</f>
        <v>BOINAS PARA POLIMENTO</v>
      </c>
      <c r="X2318" t="str">
        <f>VLOOKUP(L2318,'[2]tabela de preços'!$A:$G,7,0)</f>
        <v>AUTOMOTIVO</v>
      </c>
    </row>
    <row r="2319" spans="1:24" x14ac:dyDescent="0.3">
      <c r="A2319" t="s">
        <v>938</v>
      </c>
      <c r="C2319" t="s">
        <v>951</v>
      </c>
      <c r="D2319" s="1">
        <v>46051</v>
      </c>
      <c r="E2319" t="s">
        <v>952</v>
      </c>
      <c r="F2319">
        <v>9</v>
      </c>
      <c r="G2319">
        <v>197</v>
      </c>
      <c r="H2319" t="str">
        <f>VLOOKUP(G2319,[1]OPERADORES!$A:$B,2,0)</f>
        <v xml:space="preserve">POLIANA LORRANE DE AMORIM </v>
      </c>
      <c r="I2319" t="s">
        <v>21</v>
      </c>
      <c r="J2319" t="s">
        <v>424</v>
      </c>
      <c r="K2319" t="s">
        <v>941</v>
      </c>
      <c r="L2319">
        <v>85649</v>
      </c>
      <c r="M2319" t="s">
        <v>478</v>
      </c>
      <c r="O2319" t="s">
        <v>11</v>
      </c>
      <c r="P2319">
        <v>5403</v>
      </c>
      <c r="Q2319">
        <v>24</v>
      </c>
      <c r="R2319">
        <v>9.1199999999999992</v>
      </c>
      <c r="S2319">
        <v>218.88</v>
      </c>
      <c r="T2319">
        <v>166.08</v>
      </c>
      <c r="U2319">
        <v>24.12</v>
      </c>
      <c r="V2319" t="str">
        <f>VLOOKUP(L2319,'[2]tabela de preços'!$A:$D,4,0)</f>
        <v>UNIPEGA</v>
      </c>
      <c r="W2319" t="str">
        <f>VLOOKUP(L2319,'[2]tabela de preços'!$A:$F,6,0)</f>
        <v xml:space="preserve">SPRAYS </v>
      </c>
      <c r="X2319" t="str">
        <f>VLOOKUP(L2319,'[2]tabela de preços'!$A:$G,7,0)</f>
        <v>AUTOMOTIVO</v>
      </c>
    </row>
    <row r="2320" spans="1:24" x14ac:dyDescent="0.3">
      <c r="A2320" t="s">
        <v>974</v>
      </c>
      <c r="C2320" t="s">
        <v>1008</v>
      </c>
      <c r="D2320" s="1">
        <v>46051</v>
      </c>
      <c r="E2320" t="s">
        <v>1009</v>
      </c>
      <c r="F2320">
        <v>9</v>
      </c>
      <c r="G2320">
        <v>197</v>
      </c>
      <c r="H2320" t="str">
        <f>VLOOKUP(G2320,[1]OPERADORES!$A:$B,2,0)</f>
        <v xml:space="preserve">POLIANA LORRANE DE AMORIM </v>
      </c>
      <c r="I2320" t="s">
        <v>21</v>
      </c>
      <c r="J2320" t="s">
        <v>397</v>
      </c>
      <c r="K2320" t="s">
        <v>977</v>
      </c>
      <c r="L2320">
        <v>84029</v>
      </c>
      <c r="M2320" t="s">
        <v>29</v>
      </c>
      <c r="O2320" t="s">
        <v>11</v>
      </c>
      <c r="P2320">
        <v>5102</v>
      </c>
      <c r="Q2320">
        <v>6</v>
      </c>
      <c r="R2320">
        <v>11.45</v>
      </c>
      <c r="S2320">
        <v>68.7</v>
      </c>
      <c r="T2320">
        <v>52.14</v>
      </c>
      <c r="U2320">
        <v>24.1</v>
      </c>
      <c r="V2320" t="str">
        <f>VLOOKUP(L2320,'[2]tabela de preços'!$A:$D,4,0)</f>
        <v>BRASILUX</v>
      </c>
      <c r="W2320" t="str">
        <f>VLOOKUP(L2320,'[2]tabela de preços'!$A:$F,6,0)</f>
        <v>AGUARRAS</v>
      </c>
      <c r="X2320" t="str">
        <f>VLOOKUP(L2320,'[2]tabela de preços'!$A:$G,7,0)</f>
        <v>IMOBILIÁRIO</v>
      </c>
    </row>
    <row r="2321" spans="1:24" x14ac:dyDescent="0.3">
      <c r="A2321" t="s">
        <v>974</v>
      </c>
      <c r="C2321" t="s">
        <v>1008</v>
      </c>
      <c r="D2321" s="1">
        <v>46051</v>
      </c>
      <c r="E2321" t="s">
        <v>1009</v>
      </c>
      <c r="F2321">
        <v>9</v>
      </c>
      <c r="G2321">
        <v>197</v>
      </c>
      <c r="H2321" t="str">
        <f>VLOOKUP(G2321,[1]OPERADORES!$A:$B,2,0)</f>
        <v xml:space="preserve">POLIANA LORRANE DE AMORIM </v>
      </c>
      <c r="I2321" t="s">
        <v>21</v>
      </c>
      <c r="J2321" t="s">
        <v>397</v>
      </c>
      <c r="K2321" t="s">
        <v>977</v>
      </c>
      <c r="L2321">
        <v>84487</v>
      </c>
      <c r="M2321" t="s">
        <v>633</v>
      </c>
      <c r="O2321" t="s">
        <v>11</v>
      </c>
      <c r="P2321">
        <v>5403</v>
      </c>
      <c r="Q2321">
        <v>6</v>
      </c>
      <c r="R2321">
        <v>28.84</v>
      </c>
      <c r="S2321">
        <v>173.04</v>
      </c>
      <c r="T2321">
        <v>131.34</v>
      </c>
      <c r="U2321">
        <v>24.1</v>
      </c>
      <c r="V2321" t="str">
        <f>VLOOKUP(L2321,'[2]tabela de preços'!$A:$D,4,0)</f>
        <v>BRASILUX</v>
      </c>
      <c r="W2321" t="str">
        <f>VLOOKUP(L2321,'[2]tabela de preços'!$A:$F,6,0)</f>
        <v>TINTAS LACA</v>
      </c>
      <c r="X2321" t="str">
        <f>VLOOKUP(L2321,'[2]tabela de preços'!$A:$G,7,0)</f>
        <v>AUTOMOTIVO</v>
      </c>
    </row>
    <row r="2322" spans="1:24" x14ac:dyDescent="0.3">
      <c r="A2322" t="s">
        <v>974</v>
      </c>
      <c r="C2322" t="s">
        <v>1008</v>
      </c>
      <c r="D2322" s="1">
        <v>46051</v>
      </c>
      <c r="E2322" t="s">
        <v>1009</v>
      </c>
      <c r="F2322">
        <v>9</v>
      </c>
      <c r="G2322">
        <v>197</v>
      </c>
      <c r="H2322" t="str">
        <f>VLOOKUP(G2322,[1]OPERADORES!$A:$B,2,0)</f>
        <v xml:space="preserve">POLIANA LORRANE DE AMORIM </v>
      </c>
      <c r="I2322" t="s">
        <v>21</v>
      </c>
      <c r="J2322" t="s">
        <v>397</v>
      </c>
      <c r="K2322" t="s">
        <v>977</v>
      </c>
      <c r="L2322">
        <v>84357</v>
      </c>
      <c r="M2322" t="s">
        <v>580</v>
      </c>
      <c r="O2322" t="s">
        <v>11</v>
      </c>
      <c r="P2322">
        <v>5403</v>
      </c>
      <c r="Q2322">
        <v>4</v>
      </c>
      <c r="R2322">
        <v>21.7</v>
      </c>
      <c r="S2322">
        <v>86.8</v>
      </c>
      <c r="T2322">
        <v>65.88</v>
      </c>
      <c r="U2322">
        <v>24.1</v>
      </c>
      <c r="V2322" t="str">
        <f>VLOOKUP(L2322,'[2]tabela de preços'!$A:$D,4,0)</f>
        <v>BRASILUX</v>
      </c>
      <c r="W2322" t="str">
        <f>VLOOKUP(L2322,'[2]tabela de preços'!$A:$F,6,0)</f>
        <v>ESMALTES</v>
      </c>
      <c r="X2322" t="str">
        <f>VLOOKUP(L2322,'[2]tabela de preços'!$A:$G,7,0)</f>
        <v>INDUSTRIAL</v>
      </c>
    </row>
    <row r="2323" spans="1:24" x14ac:dyDescent="0.3">
      <c r="A2323" t="s">
        <v>974</v>
      </c>
      <c r="C2323" t="s">
        <v>1008</v>
      </c>
      <c r="D2323" s="1">
        <v>46051</v>
      </c>
      <c r="E2323" t="s">
        <v>1009</v>
      </c>
      <c r="F2323">
        <v>9</v>
      </c>
      <c r="G2323">
        <v>197</v>
      </c>
      <c r="H2323" t="str">
        <f>VLOOKUP(G2323,[1]OPERADORES!$A:$B,2,0)</f>
        <v xml:space="preserve">POLIANA LORRANE DE AMORIM </v>
      </c>
      <c r="I2323" t="s">
        <v>21</v>
      </c>
      <c r="J2323" t="s">
        <v>397</v>
      </c>
      <c r="K2323" t="s">
        <v>977</v>
      </c>
      <c r="L2323">
        <v>84139</v>
      </c>
      <c r="M2323" t="s">
        <v>590</v>
      </c>
      <c r="O2323" t="s">
        <v>11</v>
      </c>
      <c r="P2323">
        <v>5403</v>
      </c>
      <c r="Q2323">
        <v>6</v>
      </c>
      <c r="R2323">
        <v>7.74</v>
      </c>
      <c r="S2323">
        <v>46.44</v>
      </c>
      <c r="T2323">
        <v>35.28</v>
      </c>
      <c r="U2323">
        <v>24.03</v>
      </c>
      <c r="V2323" t="str">
        <f>VLOOKUP(L2323,'[2]tabela de preços'!$A:$D,4,0)</f>
        <v>BRASILUX</v>
      </c>
      <c r="W2323" t="str">
        <f>VLOOKUP(L2323,'[2]tabela de preços'!$A:$F,6,0)</f>
        <v>ESMALTES</v>
      </c>
      <c r="X2323" t="str">
        <f>VLOOKUP(L2323,'[2]tabela de preços'!$A:$G,7,0)</f>
        <v>INDUSTRIAL</v>
      </c>
    </row>
    <row r="2324" spans="1:24" x14ac:dyDescent="0.3">
      <c r="A2324" t="s">
        <v>974</v>
      </c>
      <c r="C2324" t="s">
        <v>1010</v>
      </c>
      <c r="D2324" s="1">
        <v>46051</v>
      </c>
      <c r="E2324" t="s">
        <v>1011</v>
      </c>
      <c r="F2324">
        <v>9</v>
      </c>
      <c r="G2324">
        <v>197</v>
      </c>
      <c r="H2324" t="str">
        <f>VLOOKUP(G2324,[1]OPERADORES!$A:$B,2,0)</f>
        <v xml:space="preserve">POLIANA LORRANE DE AMORIM </v>
      </c>
      <c r="I2324" t="s">
        <v>21</v>
      </c>
      <c r="J2324" t="s">
        <v>397</v>
      </c>
      <c r="K2324" t="s">
        <v>977</v>
      </c>
      <c r="L2324">
        <v>84217</v>
      </c>
      <c r="M2324" t="s">
        <v>882</v>
      </c>
      <c r="O2324" t="s">
        <v>11</v>
      </c>
      <c r="P2324">
        <v>5403</v>
      </c>
      <c r="Q2324">
        <v>2</v>
      </c>
      <c r="R2324">
        <v>51.16</v>
      </c>
      <c r="S2324">
        <v>102.32</v>
      </c>
      <c r="T2324">
        <v>77.66</v>
      </c>
      <c r="U2324">
        <v>24.1</v>
      </c>
      <c r="V2324" t="str">
        <f>VLOOKUP(L2324,'[2]tabela de preços'!$A:$D,4,0)</f>
        <v>BRASILUX</v>
      </c>
      <c r="W2324" t="str">
        <f>VLOOKUP(L2324,'[2]tabela de preços'!$A:$F,6,0)</f>
        <v>ESMALTES</v>
      </c>
      <c r="X2324" t="str">
        <f>VLOOKUP(L2324,'[2]tabela de preços'!$A:$G,7,0)</f>
        <v>INDUSTRIAL</v>
      </c>
    </row>
    <row r="2325" spans="1:24" x14ac:dyDescent="0.3">
      <c r="A2325" t="s">
        <v>974</v>
      </c>
      <c r="C2325" t="s">
        <v>1012</v>
      </c>
      <c r="D2325" s="1">
        <v>46051</v>
      </c>
      <c r="E2325" t="s">
        <v>1013</v>
      </c>
      <c r="F2325">
        <v>9</v>
      </c>
      <c r="G2325">
        <v>197</v>
      </c>
      <c r="H2325" t="str">
        <f>VLOOKUP(G2325,[1]OPERADORES!$A:$B,2,0)</f>
        <v xml:space="preserve">POLIANA LORRANE DE AMORIM </v>
      </c>
      <c r="I2325" t="s">
        <v>21</v>
      </c>
      <c r="J2325" t="s">
        <v>397</v>
      </c>
      <c r="K2325" t="s">
        <v>977</v>
      </c>
      <c r="L2325">
        <v>84762</v>
      </c>
      <c r="M2325" t="s">
        <v>1014</v>
      </c>
      <c r="O2325" t="s">
        <v>11</v>
      </c>
      <c r="P2325">
        <v>5403</v>
      </c>
      <c r="Q2325">
        <v>2</v>
      </c>
      <c r="R2325">
        <v>153.99</v>
      </c>
      <c r="S2325">
        <v>307.98</v>
      </c>
      <c r="T2325">
        <v>233.76</v>
      </c>
      <c r="U2325">
        <v>24.1</v>
      </c>
      <c r="V2325" t="str">
        <f>VLOOKUP(L2325,'[2]tabela de preços'!$A:$D,4,0)</f>
        <v>BRASILUX</v>
      </c>
      <c r="W2325" t="str">
        <f>VLOOKUP(L2325,'[2]tabela de preços'!$A:$F,6,0)</f>
        <v>EPOXI</v>
      </c>
      <c r="X2325" t="str">
        <f>VLOOKUP(L2325,'[2]tabela de preços'!$A:$G,7,0)</f>
        <v>INDUSTRIAL</v>
      </c>
    </row>
    <row r="2326" spans="1:24" x14ac:dyDescent="0.3">
      <c r="A2326" t="s">
        <v>974</v>
      </c>
      <c r="C2326" t="s">
        <v>1012</v>
      </c>
      <c r="D2326" s="1">
        <v>46051</v>
      </c>
      <c r="E2326" t="s">
        <v>1013</v>
      </c>
      <c r="F2326">
        <v>9</v>
      </c>
      <c r="G2326">
        <v>197</v>
      </c>
      <c r="H2326" t="str">
        <f>VLOOKUP(G2326,[1]OPERADORES!$A:$B,2,0)</f>
        <v xml:space="preserve">POLIANA LORRANE DE AMORIM </v>
      </c>
      <c r="I2326" t="s">
        <v>21</v>
      </c>
      <c r="J2326" t="s">
        <v>397</v>
      </c>
      <c r="K2326" t="s">
        <v>977</v>
      </c>
      <c r="L2326">
        <v>84460</v>
      </c>
      <c r="M2326" t="s">
        <v>322</v>
      </c>
      <c r="O2326" t="s">
        <v>11</v>
      </c>
      <c r="P2326">
        <v>5102</v>
      </c>
      <c r="Q2326">
        <v>6</v>
      </c>
      <c r="R2326">
        <v>31.07</v>
      </c>
      <c r="S2326">
        <v>186.42</v>
      </c>
      <c r="T2326">
        <v>141.47999999999999</v>
      </c>
      <c r="U2326">
        <v>24.11</v>
      </c>
      <c r="V2326" t="str">
        <f>VLOOKUP(L2326,'[2]tabela de preços'!$A:$D,4,0)</f>
        <v>BRASILUX</v>
      </c>
      <c r="W2326" t="str">
        <f>VLOOKUP(L2326,'[2]tabela de preços'!$A:$F,6,0)</f>
        <v>VEDADORES / SELANTES</v>
      </c>
      <c r="X2326" t="str">
        <f>VLOOKUP(L2326,'[2]tabela de preços'!$A:$G,7,0)</f>
        <v>AUTOMOTIVO</v>
      </c>
    </row>
    <row r="2327" spans="1:24" x14ac:dyDescent="0.3">
      <c r="A2327" t="s">
        <v>1031</v>
      </c>
      <c r="C2327" t="s">
        <v>1046</v>
      </c>
      <c r="D2327" s="1">
        <v>46051</v>
      </c>
      <c r="E2327" t="s">
        <v>1047</v>
      </c>
      <c r="F2327">
        <v>9</v>
      </c>
      <c r="G2327">
        <v>230</v>
      </c>
      <c r="H2327" t="str">
        <f>VLOOKUP(G2327,[1]OPERADORES!$A:$B,2,0)</f>
        <v>SÔNIA</v>
      </c>
      <c r="I2327" t="s">
        <v>168</v>
      </c>
      <c r="J2327" t="s">
        <v>1034</v>
      </c>
      <c r="K2327" t="s">
        <v>1035</v>
      </c>
      <c r="L2327">
        <v>85078</v>
      </c>
      <c r="M2327" t="s">
        <v>1048</v>
      </c>
      <c r="O2327" t="s">
        <v>11</v>
      </c>
      <c r="P2327">
        <v>6108</v>
      </c>
      <c r="Q2327">
        <v>1</v>
      </c>
      <c r="R2327">
        <v>105.32</v>
      </c>
      <c r="S2327">
        <v>105.32</v>
      </c>
      <c r="T2327">
        <v>79.930000000000007</v>
      </c>
      <c r="U2327">
        <v>24.11</v>
      </c>
      <c r="V2327" t="str">
        <f>VLOOKUP(L2327,'[2]tabela de preços'!$A:$D,4,0)</f>
        <v>BRASILUX</v>
      </c>
      <c r="W2327" t="str">
        <f>VLOOKUP(L2327,'[2]tabela de preços'!$A:$F,6,0)</f>
        <v>TINTAS LACA</v>
      </c>
      <c r="X2327" t="str">
        <f>VLOOKUP(L2327,'[2]tabela de preços'!$A:$G,7,0)</f>
        <v>AUTOMOTIVO</v>
      </c>
    </row>
    <row r="2328" spans="1:24" x14ac:dyDescent="0.3">
      <c r="A2328" t="s">
        <v>1031</v>
      </c>
      <c r="C2328" t="s">
        <v>1046</v>
      </c>
      <c r="D2328" s="1">
        <v>46051</v>
      </c>
      <c r="E2328" t="s">
        <v>1047</v>
      </c>
      <c r="F2328">
        <v>9</v>
      </c>
      <c r="G2328">
        <v>230</v>
      </c>
      <c r="H2328" t="str">
        <f>VLOOKUP(G2328,[1]OPERADORES!$A:$B,2,0)</f>
        <v>SÔNIA</v>
      </c>
      <c r="I2328" t="s">
        <v>168</v>
      </c>
      <c r="J2328" t="s">
        <v>1034</v>
      </c>
      <c r="K2328" t="s">
        <v>1035</v>
      </c>
      <c r="L2328">
        <v>84863</v>
      </c>
      <c r="M2328" t="s">
        <v>1049</v>
      </c>
      <c r="O2328" t="s">
        <v>11</v>
      </c>
      <c r="P2328">
        <v>6108</v>
      </c>
      <c r="Q2328">
        <v>2</v>
      </c>
      <c r="R2328">
        <v>113.35</v>
      </c>
      <c r="S2328">
        <v>226.7</v>
      </c>
      <c r="T2328">
        <v>172.06</v>
      </c>
      <c r="U2328">
        <v>24.1</v>
      </c>
      <c r="V2328" t="str">
        <f>VLOOKUP(L2328,'[2]tabela de preços'!$A:$D,4,0)</f>
        <v>BRASILUX</v>
      </c>
      <c r="W2328" t="str">
        <f>VLOOKUP(L2328,'[2]tabela de preços'!$A:$F,6,0)</f>
        <v>ESMALTES</v>
      </c>
      <c r="X2328" t="str">
        <f>VLOOKUP(L2328,'[2]tabela de preços'!$A:$G,7,0)</f>
        <v>INDUSTRIAL</v>
      </c>
    </row>
    <row r="2329" spans="1:24" x14ac:dyDescent="0.3">
      <c r="A2329" t="s">
        <v>1031</v>
      </c>
      <c r="C2329" t="s">
        <v>1046</v>
      </c>
      <c r="D2329" s="1">
        <v>46051</v>
      </c>
      <c r="E2329" t="s">
        <v>1047</v>
      </c>
      <c r="F2329">
        <v>9</v>
      </c>
      <c r="G2329">
        <v>230</v>
      </c>
      <c r="H2329" t="str">
        <f>VLOOKUP(G2329,[1]OPERADORES!$A:$B,2,0)</f>
        <v>SÔNIA</v>
      </c>
      <c r="I2329" t="s">
        <v>168</v>
      </c>
      <c r="J2329" t="s">
        <v>1034</v>
      </c>
      <c r="K2329" t="s">
        <v>1035</v>
      </c>
      <c r="L2329">
        <v>85310</v>
      </c>
      <c r="M2329" t="s">
        <v>1050</v>
      </c>
      <c r="O2329" t="s">
        <v>11</v>
      </c>
      <c r="P2329">
        <v>6108</v>
      </c>
      <c r="Q2329">
        <v>2</v>
      </c>
      <c r="R2329">
        <v>88.5</v>
      </c>
      <c r="S2329">
        <v>177</v>
      </c>
      <c r="T2329">
        <v>134.34</v>
      </c>
      <c r="U2329">
        <v>24.1</v>
      </c>
      <c r="V2329" t="str">
        <f>VLOOKUP(L2329,'[2]tabela de preços'!$A:$D,4,0)</f>
        <v>BRASILUX</v>
      </c>
      <c r="W2329" t="str">
        <f>VLOOKUP(L2329,'[2]tabela de preços'!$A:$F,6,0)</f>
        <v>ESMALTES</v>
      </c>
      <c r="X2329" t="str">
        <f>VLOOKUP(L2329,'[2]tabela de preços'!$A:$G,7,0)</f>
        <v>INDUSTRIAL</v>
      </c>
    </row>
    <row r="2330" spans="1:24" x14ac:dyDescent="0.3">
      <c r="A2330" t="s">
        <v>1031</v>
      </c>
      <c r="C2330" t="s">
        <v>1046</v>
      </c>
      <c r="D2330" s="1">
        <v>46051</v>
      </c>
      <c r="E2330" t="s">
        <v>1047</v>
      </c>
      <c r="F2330">
        <v>9</v>
      </c>
      <c r="G2330">
        <v>230</v>
      </c>
      <c r="H2330" t="str">
        <f>VLOOKUP(G2330,[1]OPERADORES!$A:$B,2,0)</f>
        <v>SÔNIA</v>
      </c>
      <c r="I2330" t="s">
        <v>168</v>
      </c>
      <c r="J2330" t="s">
        <v>1034</v>
      </c>
      <c r="K2330" t="s">
        <v>1035</v>
      </c>
      <c r="L2330">
        <v>83992</v>
      </c>
      <c r="M2330" t="s">
        <v>1038</v>
      </c>
      <c r="O2330" t="s">
        <v>11</v>
      </c>
      <c r="P2330">
        <v>6108</v>
      </c>
      <c r="Q2330">
        <v>20</v>
      </c>
      <c r="R2330">
        <v>2.41</v>
      </c>
      <c r="S2330">
        <v>48.2</v>
      </c>
      <c r="T2330">
        <v>36.6</v>
      </c>
      <c r="U2330">
        <v>24.07</v>
      </c>
      <c r="V2330" t="str">
        <f>VLOOKUP(L2330,'[2]tabela de preços'!$A:$D,4,0)</f>
        <v>3M</v>
      </c>
      <c r="W2330" t="str">
        <f>VLOOKUP(L2330,'[2]tabela de preços'!$A:$F,6,0)</f>
        <v>LIXA FERRO</v>
      </c>
      <c r="X2330" t="str">
        <f>VLOOKUP(L2330,'[2]tabela de preços'!$A:$G,7,0)</f>
        <v>IMOBILIÁRIO</v>
      </c>
    </row>
    <row r="2331" spans="1:24" x14ac:dyDescent="0.3">
      <c r="A2331" t="s">
        <v>1031</v>
      </c>
      <c r="C2331" t="s">
        <v>1046</v>
      </c>
      <c r="D2331" s="1">
        <v>46051</v>
      </c>
      <c r="E2331" t="s">
        <v>1047</v>
      </c>
      <c r="F2331">
        <v>9</v>
      </c>
      <c r="G2331">
        <v>230</v>
      </c>
      <c r="H2331" t="str">
        <f>VLOOKUP(G2331,[1]OPERADORES!$A:$B,2,0)</f>
        <v>SÔNIA</v>
      </c>
      <c r="I2331" t="s">
        <v>168</v>
      </c>
      <c r="J2331" t="s">
        <v>1034</v>
      </c>
      <c r="K2331" t="s">
        <v>1035</v>
      </c>
      <c r="L2331">
        <v>10298</v>
      </c>
      <c r="M2331" t="s">
        <v>85</v>
      </c>
      <c r="O2331" t="s">
        <v>11</v>
      </c>
      <c r="P2331">
        <v>6108</v>
      </c>
      <c r="Q2331">
        <v>3</v>
      </c>
      <c r="R2331">
        <v>56.89</v>
      </c>
      <c r="S2331">
        <v>170.67</v>
      </c>
      <c r="T2331">
        <v>142.13999999999999</v>
      </c>
      <c r="U2331">
        <v>16.72</v>
      </c>
      <c r="V2331" t="str">
        <f>VLOOKUP(L2331,'[2]tabela de preços'!$A:$D,4,0)</f>
        <v>ANJO</v>
      </c>
      <c r="W2331" t="str">
        <f>VLOOKUP(L2331,'[2]tabela de preços'!$A:$F,6,0)</f>
        <v>THINNER DE LIMPEZA</v>
      </c>
      <c r="X2331" t="str">
        <f>VLOOKUP(L2331,'[2]tabela de preços'!$A:$G,7,0)</f>
        <v>THINNER</v>
      </c>
    </row>
    <row r="2332" spans="1:24" x14ac:dyDescent="0.3">
      <c r="A2332" t="s">
        <v>1135</v>
      </c>
      <c r="C2332" t="s">
        <v>1153</v>
      </c>
      <c r="D2332" s="1">
        <v>46051</v>
      </c>
      <c r="E2332" t="s">
        <v>1154</v>
      </c>
      <c r="F2332">
        <v>9</v>
      </c>
      <c r="G2332">
        <v>230</v>
      </c>
      <c r="H2332" t="str">
        <f>VLOOKUP(G2332,[1]OPERADORES!$A:$B,2,0)</f>
        <v>SÔNIA</v>
      </c>
      <c r="I2332" t="s">
        <v>1138</v>
      </c>
      <c r="J2332" t="s">
        <v>1139</v>
      </c>
      <c r="K2332" t="s">
        <v>1140</v>
      </c>
      <c r="L2332">
        <v>85135</v>
      </c>
      <c r="M2332" t="s">
        <v>1141</v>
      </c>
      <c r="O2332" t="s">
        <v>11</v>
      </c>
      <c r="P2332">
        <v>6403</v>
      </c>
      <c r="Q2332">
        <v>10</v>
      </c>
      <c r="R2332">
        <v>174.83</v>
      </c>
      <c r="S2332" s="2">
        <v>1748.3</v>
      </c>
      <c r="T2332">
        <v>934.91</v>
      </c>
      <c r="U2332">
        <v>46.52</v>
      </c>
      <c r="V2332" t="str">
        <f>VLOOKUP(L2332,'[2]tabela de preços'!$A:$D,4,0)</f>
        <v>BRASILUX</v>
      </c>
      <c r="W2332" t="str">
        <f>VLOOKUP(L2332,'[2]tabela de preços'!$A:$F,6,0)</f>
        <v>TINTA DE LABORATÓRIO</v>
      </c>
      <c r="X2332" t="str">
        <f>VLOOKUP(L2332,'[2]tabela de preços'!$A:$G,7,0)</f>
        <v>AUTOMOTIVO</v>
      </c>
    </row>
    <row r="2333" spans="1:24" x14ac:dyDescent="0.3">
      <c r="A2333" t="s">
        <v>1135</v>
      </c>
      <c r="C2333" t="s">
        <v>1153</v>
      </c>
      <c r="D2333" s="1">
        <v>46051</v>
      </c>
      <c r="E2333" t="s">
        <v>1154</v>
      </c>
      <c r="F2333">
        <v>9</v>
      </c>
      <c r="G2333">
        <v>230</v>
      </c>
      <c r="H2333" t="str">
        <f>VLOOKUP(G2333,[1]OPERADORES!$A:$B,2,0)</f>
        <v>SÔNIA</v>
      </c>
      <c r="I2333" t="s">
        <v>1138</v>
      </c>
      <c r="J2333" t="s">
        <v>1139</v>
      </c>
      <c r="K2333" t="s">
        <v>1140</v>
      </c>
      <c r="L2333">
        <v>85280</v>
      </c>
      <c r="M2333" t="s">
        <v>943</v>
      </c>
      <c r="O2333" t="s">
        <v>11</v>
      </c>
      <c r="P2333">
        <v>6102</v>
      </c>
      <c r="Q2333">
        <v>10</v>
      </c>
      <c r="R2333">
        <v>55.72</v>
      </c>
      <c r="S2333">
        <v>557.20000000000005</v>
      </c>
      <c r="T2333">
        <v>422.9</v>
      </c>
      <c r="U2333">
        <v>24.1</v>
      </c>
      <c r="V2333" t="str">
        <f>VLOOKUP(L2333,'[2]tabela de preços'!$A:$D,4,0)</f>
        <v>BRASILUX</v>
      </c>
      <c r="W2333" t="str">
        <f>VLOOKUP(L2333,'[2]tabela de preços'!$A:$F,6,0)</f>
        <v>CATALISADORES INDIVIDUAIS</v>
      </c>
      <c r="X2333" t="str">
        <f>VLOOKUP(L2333,'[2]tabela de preços'!$A:$G,7,0)</f>
        <v>IMOBILIÁRIO</v>
      </c>
    </row>
    <row r="2334" spans="1:24" x14ac:dyDescent="0.3">
      <c r="A2334" t="s">
        <v>1193</v>
      </c>
      <c r="C2334" t="s">
        <v>1194</v>
      </c>
      <c r="D2334" s="1">
        <v>46051</v>
      </c>
      <c r="E2334" t="s">
        <v>1195</v>
      </c>
      <c r="F2334">
        <v>9</v>
      </c>
      <c r="G2334">
        <v>236</v>
      </c>
      <c r="H2334" t="str">
        <f>VLOOKUP(G2334,[1]OPERADORES!$A:$B,2,0)</f>
        <v>DANIEL</v>
      </c>
      <c r="I2334" t="s">
        <v>21</v>
      </c>
      <c r="J2334" t="s">
        <v>397</v>
      </c>
      <c r="K2334" t="s">
        <v>1196</v>
      </c>
      <c r="L2334">
        <v>23878</v>
      </c>
      <c r="M2334" t="s">
        <v>851</v>
      </c>
      <c r="O2334" t="s">
        <v>11</v>
      </c>
      <c r="P2334">
        <v>5102</v>
      </c>
      <c r="Q2334">
        <v>1</v>
      </c>
      <c r="R2334">
        <v>7.96</v>
      </c>
      <c r="S2334">
        <v>7.96</v>
      </c>
      <c r="T2334">
        <v>5.84</v>
      </c>
      <c r="U2334">
        <v>26.63</v>
      </c>
      <c r="V2334" t="str">
        <f>VLOOKUP(L2334,'[2]tabela de preços'!$A:$D,4,0)</f>
        <v>ATLAS</v>
      </c>
      <c r="W2334" t="str">
        <f>VLOOKUP(L2334,'[2]tabela de preços'!$A:$F,6,0)</f>
        <v>ROLOS / TRINCHAS / PINCÉIS / ESPÁTULAS</v>
      </c>
      <c r="X2334" t="str">
        <f>VLOOKUP(L2334,'[2]tabela de preços'!$A:$G,7,0)</f>
        <v>IMOBILIÁRIO</v>
      </c>
    </row>
    <row r="2335" spans="1:24" x14ac:dyDescent="0.3">
      <c r="A2335" t="s">
        <v>1193</v>
      </c>
      <c r="C2335" t="s">
        <v>1194</v>
      </c>
      <c r="D2335" s="1">
        <v>46051</v>
      </c>
      <c r="E2335" t="s">
        <v>1195</v>
      </c>
      <c r="F2335">
        <v>9</v>
      </c>
      <c r="G2335">
        <v>236</v>
      </c>
      <c r="H2335" t="str">
        <f>VLOOKUP(G2335,[1]OPERADORES!$A:$B,2,0)</f>
        <v>DANIEL</v>
      </c>
      <c r="I2335" t="s">
        <v>21</v>
      </c>
      <c r="J2335" t="s">
        <v>397</v>
      </c>
      <c r="K2335" t="s">
        <v>1196</v>
      </c>
      <c r="L2335">
        <v>84896</v>
      </c>
      <c r="M2335" t="s">
        <v>1197</v>
      </c>
      <c r="O2335" t="s">
        <v>11</v>
      </c>
      <c r="P2335">
        <v>5102</v>
      </c>
      <c r="Q2335">
        <v>1</v>
      </c>
      <c r="R2335">
        <v>183.05</v>
      </c>
      <c r="S2335">
        <v>183.05</v>
      </c>
      <c r="T2335">
        <v>118.1</v>
      </c>
      <c r="U2335">
        <v>35.479999999999997</v>
      </c>
      <c r="V2335" t="str">
        <f>VLOOKUP(L2335,'[2]tabela de preços'!$A:$D,4,0)</f>
        <v>BRASILUX</v>
      </c>
      <c r="W2335" t="str">
        <f>VLOOKUP(L2335,'[2]tabela de preços'!$A:$F,6,0)</f>
        <v>EPOXI</v>
      </c>
      <c r="X2335" t="str">
        <f>VLOOKUP(L2335,'[2]tabela de preços'!$A:$G,7,0)</f>
        <v>INDUSTRIAL</v>
      </c>
    </row>
    <row r="2336" spans="1:24" x14ac:dyDescent="0.3">
      <c r="A2336" t="s">
        <v>1193</v>
      </c>
      <c r="C2336" t="s">
        <v>1194</v>
      </c>
      <c r="D2336" s="1">
        <v>46051</v>
      </c>
      <c r="E2336" t="s">
        <v>1195</v>
      </c>
      <c r="F2336">
        <v>9</v>
      </c>
      <c r="G2336">
        <v>236</v>
      </c>
      <c r="H2336" t="str">
        <f>VLOOKUP(G2336,[1]OPERADORES!$A:$B,2,0)</f>
        <v>DANIEL</v>
      </c>
      <c r="I2336" t="s">
        <v>21</v>
      </c>
      <c r="J2336" t="s">
        <v>397</v>
      </c>
      <c r="K2336" t="s">
        <v>1196</v>
      </c>
      <c r="L2336">
        <v>84423</v>
      </c>
      <c r="M2336" t="s">
        <v>1198</v>
      </c>
      <c r="O2336" t="s">
        <v>11</v>
      </c>
      <c r="P2336">
        <v>5102</v>
      </c>
      <c r="Q2336">
        <v>1</v>
      </c>
      <c r="R2336">
        <v>18.440000000000001</v>
      </c>
      <c r="S2336">
        <v>18.440000000000001</v>
      </c>
      <c r="T2336">
        <v>13.52</v>
      </c>
      <c r="U2336">
        <v>26.68</v>
      </c>
      <c r="V2336" t="str">
        <f>VLOOKUP(L2336,'[2]tabela de preços'!$A:$D,4,0)</f>
        <v>ATLAS</v>
      </c>
      <c r="W2336" t="str">
        <f>VLOOKUP(L2336,'[2]tabela de preços'!$A:$F,6,0)</f>
        <v>ROLOS / TRINCHAS / PINCÉIS / ESPÁTULAS</v>
      </c>
      <c r="X2336" t="str">
        <f>VLOOKUP(L2336,'[2]tabela de preços'!$A:$G,7,0)</f>
        <v>IMOBILIÁRIO</v>
      </c>
    </row>
    <row r="2337" spans="1:24" x14ac:dyDescent="0.3">
      <c r="A2337" t="s">
        <v>1193</v>
      </c>
      <c r="C2337" t="s">
        <v>1194</v>
      </c>
      <c r="D2337" s="1">
        <v>46051</v>
      </c>
      <c r="E2337" t="s">
        <v>1195</v>
      </c>
      <c r="F2337">
        <v>9</v>
      </c>
      <c r="G2337">
        <v>236</v>
      </c>
      <c r="H2337" t="str">
        <f>VLOOKUP(G2337,[1]OPERADORES!$A:$B,2,0)</f>
        <v>DANIEL</v>
      </c>
      <c r="I2337" t="s">
        <v>21</v>
      </c>
      <c r="J2337" t="s">
        <v>397</v>
      </c>
      <c r="K2337" t="s">
        <v>1196</v>
      </c>
      <c r="L2337">
        <v>10118</v>
      </c>
      <c r="M2337" t="s">
        <v>572</v>
      </c>
      <c r="O2337" t="s">
        <v>11</v>
      </c>
      <c r="P2337">
        <v>5102</v>
      </c>
      <c r="Q2337">
        <v>1</v>
      </c>
      <c r="R2337">
        <v>5.2</v>
      </c>
      <c r="S2337">
        <v>5.2</v>
      </c>
      <c r="T2337">
        <v>3.81</v>
      </c>
      <c r="U2337">
        <v>26.73</v>
      </c>
      <c r="V2337" t="str">
        <f>VLOOKUP(L2337,'[2]tabela de preços'!$A:$D,4,0)</f>
        <v>ATLAS</v>
      </c>
      <c r="W2337" t="str">
        <f>VLOOKUP(L2337,'[2]tabela de preços'!$A:$F,6,0)</f>
        <v>ROLOS / TRINCHAS / PINCÉIS / ESPÁTULAS</v>
      </c>
      <c r="X2337" t="str">
        <f>VLOOKUP(L2337,'[2]tabela de preços'!$A:$G,7,0)</f>
        <v>IMOBILIÁRIO</v>
      </c>
    </row>
    <row r="2338" spans="1:24" x14ac:dyDescent="0.3">
      <c r="A2338" t="s">
        <v>1324</v>
      </c>
      <c r="C2338" t="s">
        <v>1334</v>
      </c>
      <c r="D2338" s="1">
        <v>46051</v>
      </c>
      <c r="E2338" t="s">
        <v>1335</v>
      </c>
      <c r="F2338">
        <v>9</v>
      </c>
      <c r="G2338">
        <v>197</v>
      </c>
      <c r="H2338" t="str">
        <f>VLOOKUP(G2338,[1]OPERADORES!$A:$B,2,0)</f>
        <v xml:space="preserve">POLIANA LORRANE DE AMORIM </v>
      </c>
      <c r="I2338" t="s">
        <v>1327</v>
      </c>
      <c r="J2338" t="s">
        <v>1328</v>
      </c>
      <c r="K2338" t="s">
        <v>1329</v>
      </c>
      <c r="L2338">
        <v>85693</v>
      </c>
      <c r="M2338" t="s">
        <v>526</v>
      </c>
      <c r="O2338" t="s">
        <v>11</v>
      </c>
      <c r="P2338">
        <v>6102</v>
      </c>
      <c r="Q2338">
        <v>1</v>
      </c>
      <c r="R2338">
        <v>7.89</v>
      </c>
      <c r="S2338">
        <v>7.89</v>
      </c>
      <c r="T2338">
        <v>6.51</v>
      </c>
      <c r="U2338">
        <v>17.489999999999998</v>
      </c>
      <c r="V2338" t="str">
        <f>VLOOKUP(L2338,'[2]tabela de preços'!$A:$D,4,0)</f>
        <v>UNIPEGA</v>
      </c>
      <c r="W2338" t="str">
        <f>VLOOKUP(L2338,'[2]tabela de preços'!$A:$F,6,0)</f>
        <v>PU 40</v>
      </c>
      <c r="X2338" t="str">
        <f>VLOOKUP(L2338,'[2]tabela de preços'!$A:$G,7,0)</f>
        <v>IMOBILIÁRIO</v>
      </c>
    </row>
    <row r="2339" spans="1:24" x14ac:dyDescent="0.3">
      <c r="A2339" t="s">
        <v>1324</v>
      </c>
      <c r="C2339" t="s">
        <v>1334</v>
      </c>
      <c r="D2339" s="1">
        <v>46051</v>
      </c>
      <c r="E2339" t="s">
        <v>1335</v>
      </c>
      <c r="F2339">
        <v>9</v>
      </c>
      <c r="G2339">
        <v>197</v>
      </c>
      <c r="H2339" t="str">
        <f>VLOOKUP(G2339,[1]OPERADORES!$A:$B,2,0)</f>
        <v xml:space="preserve">POLIANA LORRANE DE AMORIM </v>
      </c>
      <c r="I2339" t="s">
        <v>1327</v>
      </c>
      <c r="J2339" t="s">
        <v>1328</v>
      </c>
      <c r="K2339" t="s">
        <v>1329</v>
      </c>
      <c r="L2339">
        <v>23104</v>
      </c>
      <c r="M2339" t="s">
        <v>1336</v>
      </c>
      <c r="O2339" t="s">
        <v>11</v>
      </c>
      <c r="P2339">
        <v>6102</v>
      </c>
      <c r="Q2339">
        <v>50</v>
      </c>
      <c r="R2339">
        <v>2.35</v>
      </c>
      <c r="S2339">
        <v>117.5</v>
      </c>
      <c r="T2339">
        <v>92.5</v>
      </c>
      <c r="U2339">
        <v>21.28</v>
      </c>
      <c r="V2339" t="str">
        <f>VLOOKUP(L2339,'[2]tabela de preços'!$A:$D,4,0)</f>
        <v>3M</v>
      </c>
      <c r="W2339" t="str">
        <f>VLOOKUP(L2339,'[2]tabela de preços'!$A:$F,6,0)</f>
        <v xml:space="preserve">DISCOS / LIXAS / ABRASIVOS </v>
      </c>
      <c r="X2339" t="str">
        <f>VLOOKUP(L2339,'[2]tabela de preços'!$A:$G,7,0)</f>
        <v>AUTOMOTIVO</v>
      </c>
    </row>
    <row r="2340" spans="1:24" x14ac:dyDescent="0.3">
      <c r="A2340" t="s">
        <v>1324</v>
      </c>
      <c r="C2340" t="s">
        <v>1334</v>
      </c>
      <c r="D2340" s="1">
        <v>46051</v>
      </c>
      <c r="E2340" t="s">
        <v>1335</v>
      </c>
      <c r="F2340">
        <v>9</v>
      </c>
      <c r="G2340">
        <v>197</v>
      </c>
      <c r="H2340" t="str">
        <f>VLOOKUP(G2340,[1]OPERADORES!$A:$B,2,0)</f>
        <v xml:space="preserve">POLIANA LORRANE DE AMORIM </v>
      </c>
      <c r="I2340" t="s">
        <v>1327</v>
      </c>
      <c r="J2340" t="s">
        <v>1328</v>
      </c>
      <c r="K2340" t="s">
        <v>1329</v>
      </c>
      <c r="L2340">
        <v>23106</v>
      </c>
      <c r="M2340" t="s">
        <v>403</v>
      </c>
      <c r="O2340" t="s">
        <v>11</v>
      </c>
      <c r="P2340">
        <v>6102</v>
      </c>
      <c r="Q2340">
        <v>50</v>
      </c>
      <c r="R2340">
        <v>2.35</v>
      </c>
      <c r="S2340">
        <v>117.5</v>
      </c>
      <c r="T2340">
        <v>96</v>
      </c>
      <c r="U2340">
        <v>18.3</v>
      </c>
      <c r="V2340" t="str">
        <f>VLOOKUP(L2340,'[2]tabela de preços'!$A:$D,4,0)</f>
        <v>3M</v>
      </c>
      <c r="W2340" t="str">
        <f>VLOOKUP(L2340,'[2]tabela de preços'!$A:$F,6,0)</f>
        <v xml:space="preserve">DISCOS / LIXAS / ABRASIVOS </v>
      </c>
      <c r="X2340" t="str">
        <f>VLOOKUP(L2340,'[2]tabela de preços'!$A:$G,7,0)</f>
        <v>AUTOMOTIVO</v>
      </c>
    </row>
    <row r="2341" spans="1:24" x14ac:dyDescent="0.3">
      <c r="A2341" t="s">
        <v>1324</v>
      </c>
      <c r="C2341" t="s">
        <v>1334</v>
      </c>
      <c r="D2341" s="1">
        <v>46051</v>
      </c>
      <c r="E2341" t="s">
        <v>1335</v>
      </c>
      <c r="F2341">
        <v>9</v>
      </c>
      <c r="G2341">
        <v>197</v>
      </c>
      <c r="H2341" t="str">
        <f>VLOOKUP(G2341,[1]OPERADORES!$A:$B,2,0)</f>
        <v xml:space="preserve">POLIANA LORRANE DE AMORIM </v>
      </c>
      <c r="I2341" t="s">
        <v>1327</v>
      </c>
      <c r="J2341" t="s">
        <v>1328</v>
      </c>
      <c r="K2341" t="s">
        <v>1329</v>
      </c>
      <c r="L2341">
        <v>23107</v>
      </c>
      <c r="M2341" t="s">
        <v>247</v>
      </c>
      <c r="O2341" t="s">
        <v>11</v>
      </c>
      <c r="P2341">
        <v>6102</v>
      </c>
      <c r="Q2341">
        <v>30</v>
      </c>
      <c r="R2341">
        <v>2.35</v>
      </c>
      <c r="S2341">
        <v>70.5</v>
      </c>
      <c r="T2341">
        <v>55.5</v>
      </c>
      <c r="U2341">
        <v>21.28</v>
      </c>
      <c r="V2341" t="str">
        <f>VLOOKUP(L2341,'[2]tabela de preços'!$A:$D,4,0)</f>
        <v>3M</v>
      </c>
      <c r="W2341" t="str">
        <f>VLOOKUP(L2341,'[2]tabela de preços'!$A:$F,6,0)</f>
        <v xml:space="preserve">DISCOS / LIXAS / ABRASIVOS </v>
      </c>
      <c r="X2341" t="str">
        <f>VLOOKUP(L2341,'[2]tabela de preços'!$A:$G,7,0)</f>
        <v>AUTOMOTIVO</v>
      </c>
    </row>
    <row r="2342" spans="1:24" x14ac:dyDescent="0.3">
      <c r="A2342" t="s">
        <v>1324</v>
      </c>
      <c r="C2342" t="s">
        <v>1334</v>
      </c>
      <c r="D2342" s="1">
        <v>46051</v>
      </c>
      <c r="E2342" t="s">
        <v>1335</v>
      </c>
      <c r="F2342">
        <v>9</v>
      </c>
      <c r="G2342">
        <v>197</v>
      </c>
      <c r="H2342" t="str">
        <f>VLOOKUP(G2342,[1]OPERADORES!$A:$B,2,0)</f>
        <v xml:space="preserve">POLIANA LORRANE DE AMORIM </v>
      </c>
      <c r="I2342" t="s">
        <v>1327</v>
      </c>
      <c r="J2342" t="s">
        <v>1328</v>
      </c>
      <c r="K2342" t="s">
        <v>1329</v>
      </c>
      <c r="L2342">
        <v>24248</v>
      </c>
      <c r="M2342" t="s">
        <v>107</v>
      </c>
      <c r="O2342" t="s">
        <v>11</v>
      </c>
      <c r="P2342">
        <v>6102</v>
      </c>
      <c r="Q2342">
        <v>12</v>
      </c>
      <c r="R2342">
        <v>8</v>
      </c>
      <c r="S2342">
        <v>96</v>
      </c>
      <c r="T2342">
        <v>78</v>
      </c>
      <c r="U2342">
        <v>18.75</v>
      </c>
      <c r="V2342" t="str">
        <f>VLOOKUP(L2342,'[2]tabela de preços'!$A:$D,4,0)</f>
        <v>SHERWIN WILLIAMS</v>
      </c>
      <c r="W2342" t="str">
        <f>VLOOKUP(L2342,'[2]tabela de preços'!$A:$F,6,0)</f>
        <v>PRIMER AUTOMOTIVO</v>
      </c>
      <c r="X2342" t="str">
        <f>VLOOKUP(L2342,'[2]tabela de preços'!$A:$G,7,0)</f>
        <v>AUTOMOTIVO</v>
      </c>
    </row>
    <row r="2343" spans="1:24" x14ac:dyDescent="0.3">
      <c r="A2343" t="s">
        <v>1324</v>
      </c>
      <c r="C2343" t="s">
        <v>1334</v>
      </c>
      <c r="D2343" s="1">
        <v>46051</v>
      </c>
      <c r="E2343" t="s">
        <v>1335</v>
      </c>
      <c r="F2343">
        <v>9</v>
      </c>
      <c r="G2343">
        <v>197</v>
      </c>
      <c r="H2343" t="str">
        <f>VLOOKUP(G2343,[1]OPERADORES!$A:$B,2,0)</f>
        <v xml:space="preserve">POLIANA LORRANE DE AMORIM </v>
      </c>
      <c r="I2343" t="s">
        <v>1327</v>
      </c>
      <c r="J2343" t="s">
        <v>1328</v>
      </c>
      <c r="K2343" t="s">
        <v>1329</v>
      </c>
      <c r="L2343">
        <v>23100</v>
      </c>
      <c r="M2343" t="s">
        <v>99</v>
      </c>
      <c r="O2343" t="s">
        <v>11</v>
      </c>
      <c r="P2343">
        <v>6102</v>
      </c>
      <c r="Q2343">
        <v>50</v>
      </c>
      <c r="R2343">
        <v>2.35</v>
      </c>
      <c r="S2343">
        <v>117.5</v>
      </c>
      <c r="T2343">
        <v>84.5</v>
      </c>
      <c r="U2343">
        <v>28.09</v>
      </c>
      <c r="V2343" t="str">
        <f>VLOOKUP(L2343,'[2]tabela de preços'!$A:$D,4,0)</f>
        <v>3M</v>
      </c>
      <c r="W2343" t="str">
        <f>VLOOKUP(L2343,'[2]tabela de preços'!$A:$F,6,0)</f>
        <v xml:space="preserve">DISCOS / LIXAS / ABRASIVOS </v>
      </c>
      <c r="X2343" t="str">
        <f>VLOOKUP(L2343,'[2]tabela de preços'!$A:$G,7,0)</f>
        <v>AUTOMOTIVO</v>
      </c>
    </row>
    <row r="2344" spans="1:24" x14ac:dyDescent="0.3">
      <c r="A2344" t="s">
        <v>1324</v>
      </c>
      <c r="C2344" t="s">
        <v>1334</v>
      </c>
      <c r="D2344" s="1">
        <v>46051</v>
      </c>
      <c r="E2344" t="s">
        <v>1335</v>
      </c>
      <c r="F2344">
        <v>9</v>
      </c>
      <c r="G2344">
        <v>197</v>
      </c>
      <c r="H2344" t="str">
        <f>VLOOKUP(G2344,[1]OPERADORES!$A:$B,2,0)</f>
        <v xml:space="preserve">POLIANA LORRANE DE AMORIM </v>
      </c>
      <c r="I2344" t="s">
        <v>1327</v>
      </c>
      <c r="J2344" t="s">
        <v>1328</v>
      </c>
      <c r="K2344" t="s">
        <v>1329</v>
      </c>
      <c r="L2344">
        <v>23099</v>
      </c>
      <c r="M2344" t="s">
        <v>420</v>
      </c>
      <c r="O2344" t="s">
        <v>411</v>
      </c>
      <c r="P2344">
        <v>6102</v>
      </c>
      <c r="Q2344">
        <v>50</v>
      </c>
      <c r="R2344">
        <v>2.35</v>
      </c>
      <c r="S2344">
        <v>117.5</v>
      </c>
      <c r="T2344">
        <v>84.5</v>
      </c>
      <c r="U2344">
        <v>28.09</v>
      </c>
      <c r="V2344" t="str">
        <f>VLOOKUP(L2344,'[2]tabela de preços'!$A:$D,4,0)</f>
        <v>3M</v>
      </c>
      <c r="W2344" t="str">
        <f>VLOOKUP(L2344,'[2]tabela de preços'!$A:$F,6,0)</f>
        <v xml:space="preserve">DISCOS / LIXAS / ABRASIVOS </v>
      </c>
      <c r="X2344" t="str">
        <f>VLOOKUP(L2344,'[2]tabela de preços'!$A:$G,7,0)</f>
        <v>AUTOMOTIVO</v>
      </c>
    </row>
    <row r="2345" spans="1:24" x14ac:dyDescent="0.3">
      <c r="A2345" t="s">
        <v>1324</v>
      </c>
      <c r="C2345" t="s">
        <v>1334</v>
      </c>
      <c r="D2345" s="1">
        <v>46051</v>
      </c>
      <c r="E2345" t="s">
        <v>1335</v>
      </c>
      <c r="F2345">
        <v>9</v>
      </c>
      <c r="G2345">
        <v>197</v>
      </c>
      <c r="H2345" t="str">
        <f>VLOOKUP(G2345,[1]OPERADORES!$A:$B,2,0)</f>
        <v xml:space="preserve">POLIANA LORRANE DE AMORIM </v>
      </c>
      <c r="I2345" t="s">
        <v>1327</v>
      </c>
      <c r="J2345" t="s">
        <v>1328</v>
      </c>
      <c r="K2345" t="s">
        <v>1329</v>
      </c>
      <c r="L2345">
        <v>23096</v>
      </c>
      <c r="M2345" t="s">
        <v>656</v>
      </c>
      <c r="O2345" t="s">
        <v>411</v>
      </c>
      <c r="P2345">
        <v>6102</v>
      </c>
      <c r="Q2345">
        <v>50</v>
      </c>
      <c r="R2345">
        <v>2.35</v>
      </c>
      <c r="S2345">
        <v>117.5</v>
      </c>
      <c r="T2345">
        <v>84.5</v>
      </c>
      <c r="U2345">
        <v>28.09</v>
      </c>
      <c r="V2345" t="str">
        <f>VLOOKUP(L2345,'[2]tabela de preços'!$A:$D,4,0)</f>
        <v>3M</v>
      </c>
      <c r="W2345" t="str">
        <f>VLOOKUP(L2345,'[2]tabela de preços'!$A:$F,6,0)</f>
        <v xml:space="preserve">DISCOS / LIXAS / ABRASIVOS </v>
      </c>
      <c r="X2345" t="str">
        <f>VLOOKUP(L2345,'[2]tabela de preços'!$A:$G,7,0)</f>
        <v>AUTOMOTIVO</v>
      </c>
    </row>
    <row r="2346" spans="1:24" x14ac:dyDescent="0.3">
      <c r="A2346" t="s">
        <v>1324</v>
      </c>
      <c r="C2346" t="s">
        <v>1334</v>
      </c>
      <c r="D2346" s="1">
        <v>46051</v>
      </c>
      <c r="E2346" t="s">
        <v>1335</v>
      </c>
      <c r="F2346">
        <v>9</v>
      </c>
      <c r="G2346">
        <v>197</v>
      </c>
      <c r="H2346" t="str">
        <f>VLOOKUP(G2346,[1]OPERADORES!$A:$B,2,0)</f>
        <v xml:space="preserve">POLIANA LORRANE DE AMORIM </v>
      </c>
      <c r="I2346" t="s">
        <v>1327</v>
      </c>
      <c r="J2346" t="s">
        <v>1328</v>
      </c>
      <c r="K2346" t="s">
        <v>1329</v>
      </c>
      <c r="L2346">
        <v>23097</v>
      </c>
      <c r="M2346" t="s">
        <v>412</v>
      </c>
      <c r="O2346" t="s">
        <v>411</v>
      </c>
      <c r="P2346">
        <v>6102</v>
      </c>
      <c r="Q2346">
        <v>50</v>
      </c>
      <c r="R2346">
        <v>2.35</v>
      </c>
      <c r="S2346">
        <v>117.5</v>
      </c>
      <c r="T2346">
        <v>68</v>
      </c>
      <c r="U2346">
        <v>42.13</v>
      </c>
      <c r="V2346" t="str">
        <f>VLOOKUP(L2346,'[2]tabela de preços'!$A:$D,4,0)</f>
        <v>3M</v>
      </c>
      <c r="W2346" t="str">
        <f>VLOOKUP(L2346,'[2]tabela de preços'!$A:$F,6,0)</f>
        <v xml:space="preserve">DISCOS / LIXAS / ABRASIVOS </v>
      </c>
      <c r="X2346" t="str">
        <f>VLOOKUP(L2346,'[2]tabela de preços'!$A:$G,7,0)</f>
        <v>AUTOMOTIVO</v>
      </c>
    </row>
    <row r="2347" spans="1:24" x14ac:dyDescent="0.3">
      <c r="A2347" t="s">
        <v>1324</v>
      </c>
      <c r="C2347" t="s">
        <v>1334</v>
      </c>
      <c r="D2347" s="1">
        <v>46051</v>
      </c>
      <c r="E2347" t="s">
        <v>1335</v>
      </c>
      <c r="F2347">
        <v>9</v>
      </c>
      <c r="G2347">
        <v>197</v>
      </c>
      <c r="H2347" t="str">
        <f>VLOOKUP(G2347,[1]OPERADORES!$A:$B,2,0)</f>
        <v xml:space="preserve">POLIANA LORRANE DE AMORIM </v>
      </c>
      <c r="I2347" t="s">
        <v>1327</v>
      </c>
      <c r="J2347" t="s">
        <v>1328</v>
      </c>
      <c r="K2347" t="s">
        <v>1329</v>
      </c>
      <c r="L2347">
        <v>23102</v>
      </c>
      <c r="M2347" t="s">
        <v>413</v>
      </c>
      <c r="O2347" t="s">
        <v>11</v>
      </c>
      <c r="P2347">
        <v>6102</v>
      </c>
      <c r="Q2347">
        <v>50</v>
      </c>
      <c r="R2347">
        <v>2.35</v>
      </c>
      <c r="S2347">
        <v>117.5</v>
      </c>
      <c r="T2347">
        <v>64.5</v>
      </c>
      <c r="U2347">
        <v>45.11</v>
      </c>
      <c r="V2347" t="str">
        <f>VLOOKUP(L2347,'[2]tabela de preços'!$A:$D,4,0)</f>
        <v>3M</v>
      </c>
      <c r="W2347" t="str">
        <f>VLOOKUP(L2347,'[2]tabela de preços'!$A:$F,6,0)</f>
        <v xml:space="preserve">DISCOS / LIXAS / ABRASIVOS </v>
      </c>
      <c r="X2347" t="str">
        <f>VLOOKUP(L2347,'[2]tabela de preços'!$A:$G,7,0)</f>
        <v>AUTOMOTIVO</v>
      </c>
    </row>
    <row r="2348" spans="1:24" x14ac:dyDescent="0.3">
      <c r="A2348" t="s">
        <v>1324</v>
      </c>
      <c r="C2348" t="s">
        <v>1334</v>
      </c>
      <c r="D2348" s="1">
        <v>46051</v>
      </c>
      <c r="E2348" t="s">
        <v>1335</v>
      </c>
      <c r="F2348">
        <v>9</v>
      </c>
      <c r="G2348">
        <v>197</v>
      </c>
      <c r="H2348" t="str">
        <f>VLOOKUP(G2348,[1]OPERADORES!$A:$B,2,0)</f>
        <v xml:space="preserve">POLIANA LORRANE DE AMORIM </v>
      </c>
      <c r="I2348" t="s">
        <v>1327</v>
      </c>
      <c r="J2348" t="s">
        <v>1328</v>
      </c>
      <c r="K2348" t="s">
        <v>1329</v>
      </c>
      <c r="L2348">
        <v>23103</v>
      </c>
      <c r="M2348" t="s">
        <v>414</v>
      </c>
      <c r="O2348" t="s">
        <v>11</v>
      </c>
      <c r="P2348">
        <v>6102</v>
      </c>
      <c r="Q2348">
        <v>50</v>
      </c>
      <c r="R2348">
        <v>2.35</v>
      </c>
      <c r="S2348">
        <v>117.5</v>
      </c>
      <c r="T2348">
        <v>84.5</v>
      </c>
      <c r="U2348">
        <v>28.09</v>
      </c>
      <c r="V2348" t="str">
        <f>VLOOKUP(L2348,'[2]tabela de preços'!$A:$D,4,0)</f>
        <v>3M</v>
      </c>
      <c r="W2348" t="str">
        <f>VLOOKUP(L2348,'[2]tabela de preços'!$A:$F,6,0)</f>
        <v xml:space="preserve">DISCOS / LIXAS / ABRASIVOS </v>
      </c>
      <c r="X2348" t="str">
        <f>VLOOKUP(L2348,'[2]tabela de preços'!$A:$G,7,0)</f>
        <v>AUTOMOTIVO</v>
      </c>
    </row>
    <row r="2349" spans="1:24" x14ac:dyDescent="0.3">
      <c r="A2349" t="s">
        <v>1324</v>
      </c>
      <c r="C2349" t="s">
        <v>1334</v>
      </c>
      <c r="D2349" s="1">
        <v>46051</v>
      </c>
      <c r="E2349" t="s">
        <v>1335</v>
      </c>
      <c r="F2349">
        <v>9</v>
      </c>
      <c r="G2349">
        <v>197</v>
      </c>
      <c r="H2349" t="str">
        <f>VLOOKUP(G2349,[1]OPERADORES!$A:$B,2,0)</f>
        <v xml:space="preserve">POLIANA LORRANE DE AMORIM </v>
      </c>
      <c r="I2349" t="s">
        <v>1327</v>
      </c>
      <c r="J2349" t="s">
        <v>1328</v>
      </c>
      <c r="K2349" t="s">
        <v>1329</v>
      </c>
      <c r="L2349">
        <v>15</v>
      </c>
      <c r="M2349" t="s">
        <v>205</v>
      </c>
      <c r="O2349" t="s">
        <v>11</v>
      </c>
      <c r="P2349">
        <v>6102</v>
      </c>
      <c r="Q2349">
        <v>30</v>
      </c>
      <c r="R2349">
        <v>5.79</v>
      </c>
      <c r="S2349">
        <v>173.7</v>
      </c>
      <c r="T2349">
        <v>124.8</v>
      </c>
      <c r="U2349">
        <v>28.15</v>
      </c>
      <c r="V2349" t="str">
        <f>VLOOKUP(L2349,'[2]tabela de preços'!$A:$D,4,0)</f>
        <v>3M</v>
      </c>
      <c r="W2349" t="str">
        <f>VLOOKUP(L2349,'[2]tabela de preços'!$A:$F,6,0)</f>
        <v>LIXA DÁGUA</v>
      </c>
      <c r="X2349" t="str">
        <f>VLOOKUP(L2349,'[2]tabela de preços'!$A:$G,7,0)</f>
        <v>AUTOMOTIVO</v>
      </c>
    </row>
    <row r="2350" spans="1:24" x14ac:dyDescent="0.3">
      <c r="A2350" t="s">
        <v>1324</v>
      </c>
      <c r="C2350" t="s">
        <v>1334</v>
      </c>
      <c r="D2350" s="1">
        <v>46051</v>
      </c>
      <c r="E2350" t="s">
        <v>1335</v>
      </c>
      <c r="F2350">
        <v>9</v>
      </c>
      <c r="G2350">
        <v>197</v>
      </c>
      <c r="H2350" t="str">
        <f>VLOOKUP(G2350,[1]OPERADORES!$A:$B,2,0)</f>
        <v xml:space="preserve">POLIANA LORRANE DE AMORIM </v>
      </c>
      <c r="I2350" t="s">
        <v>1327</v>
      </c>
      <c r="J2350" t="s">
        <v>1328</v>
      </c>
      <c r="K2350" t="s">
        <v>1329</v>
      </c>
      <c r="L2350">
        <v>24247</v>
      </c>
      <c r="M2350" t="s">
        <v>160</v>
      </c>
      <c r="O2350" t="s">
        <v>11</v>
      </c>
      <c r="P2350">
        <v>6403</v>
      </c>
      <c r="Q2350">
        <v>12</v>
      </c>
      <c r="R2350">
        <v>21</v>
      </c>
      <c r="S2350">
        <v>252</v>
      </c>
      <c r="T2350">
        <v>202.44</v>
      </c>
      <c r="U2350">
        <v>19.670000000000002</v>
      </c>
      <c r="V2350" t="str">
        <f>VLOOKUP(L2350,'[2]tabela de preços'!$A:$D,4,0)</f>
        <v>SHERWIN WILLIAMS</v>
      </c>
      <c r="W2350" t="str">
        <f>VLOOKUP(L2350,'[2]tabela de preços'!$A:$F,6,0)</f>
        <v>PRIMER AUTOMOTIVO</v>
      </c>
      <c r="X2350" t="str">
        <f>VLOOKUP(L2350,'[2]tabela de preços'!$A:$G,7,0)</f>
        <v>AUTOMOTIVO</v>
      </c>
    </row>
    <row r="2351" spans="1:24" x14ac:dyDescent="0.3">
      <c r="A2351" t="s">
        <v>1324</v>
      </c>
      <c r="C2351" t="s">
        <v>1334</v>
      </c>
      <c r="D2351" s="1">
        <v>46051</v>
      </c>
      <c r="E2351" t="s">
        <v>1335</v>
      </c>
      <c r="F2351">
        <v>9</v>
      </c>
      <c r="G2351">
        <v>197</v>
      </c>
      <c r="H2351" t="str">
        <f>VLOOKUP(G2351,[1]OPERADORES!$A:$B,2,0)</f>
        <v xml:space="preserve">POLIANA LORRANE DE AMORIM </v>
      </c>
      <c r="I2351" t="s">
        <v>1327</v>
      </c>
      <c r="J2351" t="s">
        <v>1328</v>
      </c>
      <c r="K2351" t="s">
        <v>1329</v>
      </c>
      <c r="L2351">
        <v>20414</v>
      </c>
      <c r="M2351" t="s">
        <v>112</v>
      </c>
      <c r="O2351" t="s">
        <v>11</v>
      </c>
      <c r="P2351">
        <v>6102</v>
      </c>
      <c r="Q2351">
        <v>10</v>
      </c>
      <c r="R2351">
        <v>21.89</v>
      </c>
      <c r="S2351">
        <v>218.9</v>
      </c>
      <c r="T2351">
        <v>180</v>
      </c>
      <c r="U2351">
        <v>17.77</v>
      </c>
      <c r="V2351" t="str">
        <f>VLOOKUP(L2351,'[2]tabela de preços'!$A:$D,4,0)</f>
        <v>SHERWIN WILLIAMS</v>
      </c>
      <c r="W2351" t="str">
        <f>VLOOKUP(L2351,'[2]tabela de preços'!$A:$F,6,0)</f>
        <v>DILUENTE</v>
      </c>
      <c r="X2351" t="str">
        <f>VLOOKUP(L2351,'[2]tabela de preços'!$A:$G,7,0)</f>
        <v>AUTOMOTIVO</v>
      </c>
    </row>
    <row r="2352" spans="1:24" x14ac:dyDescent="0.3">
      <c r="A2352" t="s">
        <v>1324</v>
      </c>
      <c r="C2352" t="s">
        <v>1334</v>
      </c>
      <c r="D2352" s="1">
        <v>46051</v>
      </c>
      <c r="E2352" t="s">
        <v>1335</v>
      </c>
      <c r="F2352">
        <v>9</v>
      </c>
      <c r="G2352">
        <v>197</v>
      </c>
      <c r="H2352" t="str">
        <f>VLOOKUP(G2352,[1]OPERADORES!$A:$B,2,0)</f>
        <v xml:space="preserve">POLIANA LORRANE DE AMORIM </v>
      </c>
      <c r="I2352" t="s">
        <v>1327</v>
      </c>
      <c r="J2352" t="s">
        <v>1328</v>
      </c>
      <c r="K2352" t="s">
        <v>1329</v>
      </c>
      <c r="L2352">
        <v>84460</v>
      </c>
      <c r="M2352" t="s">
        <v>322</v>
      </c>
      <c r="O2352" t="s">
        <v>11</v>
      </c>
      <c r="P2352">
        <v>6102</v>
      </c>
      <c r="Q2352">
        <v>2</v>
      </c>
      <c r="R2352">
        <v>31.07</v>
      </c>
      <c r="S2352">
        <v>62.14</v>
      </c>
      <c r="T2352">
        <v>47.16</v>
      </c>
      <c r="U2352">
        <v>24.11</v>
      </c>
      <c r="V2352" t="str">
        <f>VLOOKUP(L2352,'[2]tabela de preços'!$A:$D,4,0)</f>
        <v>BRASILUX</v>
      </c>
      <c r="W2352" t="str">
        <f>VLOOKUP(L2352,'[2]tabela de preços'!$A:$F,6,0)</f>
        <v>VEDADORES / SELANTES</v>
      </c>
      <c r="X2352" t="str">
        <f>VLOOKUP(L2352,'[2]tabela de preços'!$A:$G,7,0)</f>
        <v>AUTOMOTIVO</v>
      </c>
    </row>
    <row r="2353" spans="1:24" x14ac:dyDescent="0.3">
      <c r="A2353" t="s">
        <v>1324</v>
      </c>
      <c r="C2353" t="s">
        <v>1334</v>
      </c>
      <c r="D2353" s="1">
        <v>46051</v>
      </c>
      <c r="E2353" t="s">
        <v>1335</v>
      </c>
      <c r="F2353">
        <v>9</v>
      </c>
      <c r="G2353">
        <v>197</v>
      </c>
      <c r="H2353" t="str">
        <f>VLOOKUP(G2353,[1]OPERADORES!$A:$B,2,0)</f>
        <v xml:space="preserve">POLIANA LORRANE DE AMORIM </v>
      </c>
      <c r="I2353" t="s">
        <v>1327</v>
      </c>
      <c r="J2353" t="s">
        <v>1328</v>
      </c>
      <c r="K2353" t="s">
        <v>1329</v>
      </c>
      <c r="L2353">
        <v>10404</v>
      </c>
      <c r="M2353" t="s">
        <v>130</v>
      </c>
      <c r="O2353" t="s">
        <v>11</v>
      </c>
      <c r="P2353">
        <v>6102</v>
      </c>
      <c r="Q2353">
        <v>6</v>
      </c>
      <c r="R2353">
        <v>16.29</v>
      </c>
      <c r="S2353">
        <v>97.74</v>
      </c>
      <c r="T2353">
        <v>75.06</v>
      </c>
      <c r="U2353">
        <v>23.2</v>
      </c>
      <c r="V2353" t="str">
        <f>VLOOKUP(L2353,'[2]tabela de preços'!$A:$D,4,0)</f>
        <v>MAXI RUBBER</v>
      </c>
      <c r="W2353" t="str">
        <f>VLOOKUP(L2353,'[2]tabela de preços'!$A:$F,6,0)</f>
        <v>VEDADORES / SELANTES</v>
      </c>
      <c r="X2353" t="str">
        <f>VLOOKUP(L2353,'[2]tabela de preços'!$A:$G,7,0)</f>
        <v>AUTOMOTIVO</v>
      </c>
    </row>
    <row r="2354" spans="1:24" x14ac:dyDescent="0.3">
      <c r="A2354" t="s">
        <v>1430</v>
      </c>
      <c r="C2354" t="s">
        <v>1442</v>
      </c>
      <c r="D2354" s="1">
        <v>46051</v>
      </c>
      <c r="E2354" t="s">
        <v>1443</v>
      </c>
      <c r="F2354">
        <v>9</v>
      </c>
      <c r="G2354">
        <v>197</v>
      </c>
      <c r="H2354" t="str">
        <f>VLOOKUP(G2354,[1]OPERADORES!$A:$B,2,0)</f>
        <v xml:space="preserve">POLIANA LORRANE DE AMORIM </v>
      </c>
      <c r="I2354" t="s">
        <v>21</v>
      </c>
      <c r="J2354" t="s">
        <v>363</v>
      </c>
      <c r="K2354" t="s">
        <v>1433</v>
      </c>
      <c r="L2354">
        <v>85318</v>
      </c>
      <c r="M2354" t="s">
        <v>258</v>
      </c>
      <c r="O2354" t="s">
        <v>11</v>
      </c>
      <c r="P2354">
        <v>5102</v>
      </c>
      <c r="Q2354">
        <v>1</v>
      </c>
      <c r="R2354">
        <v>775.32</v>
      </c>
      <c r="S2354">
        <v>775.32</v>
      </c>
      <c r="T2354">
        <v>552.80999999999995</v>
      </c>
      <c r="U2354">
        <v>28.7</v>
      </c>
      <c r="V2354" t="str">
        <f>VLOOKUP(L2354,'[2]tabela de preços'!$A:$D,4,0)</f>
        <v>BRASILUX</v>
      </c>
      <c r="W2354" t="str">
        <f>VLOOKUP(L2354,'[2]tabela de preços'!$A:$F,6,0)</f>
        <v>TINTA EM PÓ</v>
      </c>
      <c r="X2354" t="str">
        <f>VLOOKUP(L2354,'[2]tabela de preços'!$A:$G,7,0)</f>
        <v>INDUSTRIAL</v>
      </c>
    </row>
    <row r="2355" spans="1:24" x14ac:dyDescent="0.3">
      <c r="A2355" t="s">
        <v>1524</v>
      </c>
      <c r="B2355" t="s">
        <v>1525</v>
      </c>
      <c r="C2355" t="s">
        <v>1555</v>
      </c>
      <c r="D2355" s="1">
        <v>46051</v>
      </c>
      <c r="E2355" t="s">
        <v>1556</v>
      </c>
      <c r="F2355">
        <v>9</v>
      </c>
      <c r="G2355">
        <v>236</v>
      </c>
      <c r="H2355" t="str">
        <f>VLOOKUP(G2355,[1]OPERADORES!$A:$B,2,0)</f>
        <v>DANIEL</v>
      </c>
      <c r="I2355" t="s">
        <v>21</v>
      </c>
      <c r="J2355" t="s">
        <v>762</v>
      </c>
      <c r="K2355" t="s">
        <v>1528</v>
      </c>
      <c r="L2355">
        <v>84188</v>
      </c>
      <c r="M2355" t="s">
        <v>1557</v>
      </c>
      <c r="O2355" t="s">
        <v>11</v>
      </c>
      <c r="P2355">
        <v>5403</v>
      </c>
      <c r="Q2355">
        <v>4</v>
      </c>
      <c r="R2355">
        <v>78.05</v>
      </c>
      <c r="S2355">
        <v>312.2</v>
      </c>
      <c r="T2355">
        <v>236.96</v>
      </c>
      <c r="U2355">
        <v>24.1</v>
      </c>
      <c r="V2355" t="str">
        <f>VLOOKUP(L2355,'[2]tabela de preços'!$A:$D,4,0)</f>
        <v>BRASILUX</v>
      </c>
      <c r="W2355" t="str">
        <f>VLOOKUP(L2355,'[2]tabela de preços'!$A:$F,6,0)</f>
        <v>LINHA MOVELEIRA</v>
      </c>
      <c r="X2355" t="str">
        <f>VLOOKUP(L2355,'[2]tabela de preços'!$A:$G,7,0)</f>
        <v>MOVELEIRA</v>
      </c>
    </row>
    <row r="2356" spans="1:24" x14ac:dyDescent="0.3">
      <c r="A2356" t="s">
        <v>1524</v>
      </c>
      <c r="B2356" t="s">
        <v>1525</v>
      </c>
      <c r="C2356" t="s">
        <v>1555</v>
      </c>
      <c r="D2356" s="1">
        <v>46051</v>
      </c>
      <c r="E2356" t="s">
        <v>1556</v>
      </c>
      <c r="F2356">
        <v>9</v>
      </c>
      <c r="G2356">
        <v>236</v>
      </c>
      <c r="H2356" t="str">
        <f>VLOOKUP(G2356,[1]OPERADORES!$A:$B,2,0)</f>
        <v>DANIEL</v>
      </c>
      <c r="I2356" t="s">
        <v>21</v>
      </c>
      <c r="J2356" t="s">
        <v>762</v>
      </c>
      <c r="K2356" t="s">
        <v>1528</v>
      </c>
      <c r="L2356">
        <v>84191</v>
      </c>
      <c r="M2356" t="s">
        <v>889</v>
      </c>
      <c r="O2356" t="s">
        <v>11</v>
      </c>
      <c r="P2356">
        <v>5403</v>
      </c>
      <c r="Q2356">
        <v>6</v>
      </c>
      <c r="R2356">
        <v>22.02</v>
      </c>
      <c r="S2356">
        <v>132.12</v>
      </c>
      <c r="T2356">
        <v>100.32</v>
      </c>
      <c r="U2356">
        <v>24.07</v>
      </c>
      <c r="V2356" t="str">
        <f>VLOOKUP(L2356,'[2]tabela de preços'!$A:$D,4,0)</f>
        <v>BRASILUX</v>
      </c>
      <c r="W2356" t="str">
        <f>VLOOKUP(L2356,'[2]tabela de preços'!$A:$F,6,0)</f>
        <v>LINHA MOVELEIRA</v>
      </c>
      <c r="X2356" t="str">
        <f>VLOOKUP(L2356,'[2]tabela de preços'!$A:$G,7,0)</f>
        <v>MOVELEIRA</v>
      </c>
    </row>
    <row r="2357" spans="1:24" x14ac:dyDescent="0.3">
      <c r="A2357" t="s">
        <v>1524</v>
      </c>
      <c r="B2357" t="s">
        <v>1525</v>
      </c>
      <c r="C2357" t="s">
        <v>1555</v>
      </c>
      <c r="D2357" s="1">
        <v>46051</v>
      </c>
      <c r="E2357" t="s">
        <v>1556</v>
      </c>
      <c r="F2357">
        <v>9</v>
      </c>
      <c r="G2357">
        <v>236</v>
      </c>
      <c r="H2357" t="str">
        <f>VLOOKUP(G2357,[1]OPERADORES!$A:$B,2,0)</f>
        <v>DANIEL</v>
      </c>
      <c r="I2357" t="s">
        <v>21</v>
      </c>
      <c r="J2357" t="s">
        <v>762</v>
      </c>
      <c r="K2357" t="s">
        <v>1528</v>
      </c>
      <c r="L2357">
        <v>84190</v>
      </c>
      <c r="M2357" t="s">
        <v>1558</v>
      </c>
      <c r="O2357" t="s">
        <v>11</v>
      </c>
      <c r="P2357">
        <v>5403</v>
      </c>
      <c r="Q2357">
        <v>4</v>
      </c>
      <c r="R2357">
        <v>78.05</v>
      </c>
      <c r="S2357">
        <v>312.2</v>
      </c>
      <c r="T2357">
        <v>236.96</v>
      </c>
      <c r="U2357">
        <v>24.1</v>
      </c>
      <c r="V2357" t="str">
        <f>VLOOKUP(L2357,'[2]tabela de preços'!$A:$D,4,0)</f>
        <v>BRASILUX</v>
      </c>
      <c r="W2357" t="str">
        <f>VLOOKUP(L2357,'[2]tabela de preços'!$A:$F,6,0)</f>
        <v>LINHA MOVELEIRA</v>
      </c>
      <c r="X2357" t="str">
        <f>VLOOKUP(L2357,'[2]tabela de preços'!$A:$G,7,0)</f>
        <v>MOVELEIRA</v>
      </c>
    </row>
    <row r="2358" spans="1:24" x14ac:dyDescent="0.3">
      <c r="A2358" t="s">
        <v>1524</v>
      </c>
      <c r="B2358" t="s">
        <v>1525</v>
      </c>
      <c r="C2358" t="s">
        <v>1555</v>
      </c>
      <c r="D2358" s="1">
        <v>46051</v>
      </c>
      <c r="E2358" t="s">
        <v>1556</v>
      </c>
      <c r="F2358">
        <v>9</v>
      </c>
      <c r="G2358">
        <v>236</v>
      </c>
      <c r="H2358" t="str">
        <f>VLOOKUP(G2358,[1]OPERADORES!$A:$B,2,0)</f>
        <v>DANIEL</v>
      </c>
      <c r="I2358" t="s">
        <v>21</v>
      </c>
      <c r="J2358" t="s">
        <v>762</v>
      </c>
      <c r="K2358" t="s">
        <v>1528</v>
      </c>
      <c r="L2358">
        <v>84193</v>
      </c>
      <c r="M2358" t="s">
        <v>1559</v>
      </c>
      <c r="O2358" t="s">
        <v>11</v>
      </c>
      <c r="P2358">
        <v>5403</v>
      </c>
      <c r="Q2358">
        <v>6</v>
      </c>
      <c r="R2358">
        <v>22.3</v>
      </c>
      <c r="S2358">
        <v>133.80000000000001</v>
      </c>
      <c r="T2358">
        <v>101.58</v>
      </c>
      <c r="U2358">
        <v>24.08</v>
      </c>
      <c r="V2358" t="str">
        <f>VLOOKUP(L2358,'[2]tabela de preços'!$A:$D,4,0)</f>
        <v>BRASILUX</v>
      </c>
      <c r="W2358" t="str">
        <f>VLOOKUP(L2358,'[2]tabela de preços'!$A:$F,6,0)</f>
        <v>LINHA MOVELEIRA</v>
      </c>
      <c r="X2358" t="str">
        <f>VLOOKUP(L2358,'[2]tabela de preços'!$A:$G,7,0)</f>
        <v>MOVELEIRA</v>
      </c>
    </row>
    <row r="2359" spans="1:24" x14ac:dyDescent="0.3">
      <c r="A2359" t="s">
        <v>1524</v>
      </c>
      <c r="B2359" t="s">
        <v>1525</v>
      </c>
      <c r="C2359" t="s">
        <v>1555</v>
      </c>
      <c r="D2359" s="1">
        <v>46051</v>
      </c>
      <c r="E2359" t="s">
        <v>1556</v>
      </c>
      <c r="F2359">
        <v>9</v>
      </c>
      <c r="G2359">
        <v>236</v>
      </c>
      <c r="H2359" t="str">
        <f>VLOOKUP(G2359,[1]OPERADORES!$A:$B,2,0)</f>
        <v>DANIEL</v>
      </c>
      <c r="I2359" t="s">
        <v>21</v>
      </c>
      <c r="J2359" t="s">
        <v>762</v>
      </c>
      <c r="K2359" t="s">
        <v>1528</v>
      </c>
      <c r="L2359">
        <v>87175</v>
      </c>
      <c r="M2359" t="s">
        <v>1560</v>
      </c>
      <c r="O2359" t="s">
        <v>11</v>
      </c>
      <c r="P2359">
        <v>5403</v>
      </c>
      <c r="Q2359">
        <v>8</v>
      </c>
      <c r="R2359">
        <v>96.16</v>
      </c>
      <c r="S2359">
        <v>769.28</v>
      </c>
      <c r="T2359">
        <v>524.24</v>
      </c>
      <c r="U2359">
        <v>31.85</v>
      </c>
      <c r="V2359" t="str">
        <f>VLOOKUP(L2359,'[2]tabela de preços'!$A:$D,4,0)</f>
        <v>BRASILUX</v>
      </c>
      <c r="W2359" t="str">
        <f>VLOOKUP(L2359,'[2]tabela de preços'!$A:$F,6,0)</f>
        <v>ESMALTES</v>
      </c>
      <c r="X2359" t="str">
        <f>VLOOKUP(L2359,'[2]tabela de preços'!$A:$G,7,0)</f>
        <v>INDUSTRIAL</v>
      </c>
    </row>
    <row r="2360" spans="1:24" x14ac:dyDescent="0.3">
      <c r="A2360" t="s">
        <v>1802</v>
      </c>
      <c r="B2360" t="s">
        <v>1803</v>
      </c>
      <c r="C2360" t="s">
        <v>1804</v>
      </c>
      <c r="D2360" s="1">
        <v>46051</v>
      </c>
      <c r="E2360" t="s">
        <v>1805</v>
      </c>
      <c r="F2360">
        <v>9</v>
      </c>
      <c r="G2360">
        <v>230</v>
      </c>
      <c r="H2360" t="str">
        <f>VLOOKUP(G2360,[1]OPERADORES!$A:$B,2,0)</f>
        <v>SÔNIA</v>
      </c>
      <c r="I2360" t="s">
        <v>21</v>
      </c>
      <c r="J2360" t="s">
        <v>211</v>
      </c>
      <c r="K2360" t="s">
        <v>1806</v>
      </c>
      <c r="L2360">
        <v>84025</v>
      </c>
      <c r="M2360" t="s">
        <v>1520</v>
      </c>
      <c r="O2360" t="s">
        <v>11</v>
      </c>
      <c r="P2360">
        <v>5102</v>
      </c>
      <c r="Q2360">
        <v>1</v>
      </c>
      <c r="R2360">
        <v>80.42</v>
      </c>
      <c r="S2360">
        <v>80.42</v>
      </c>
      <c r="T2360">
        <v>61.04</v>
      </c>
      <c r="U2360">
        <v>24.1</v>
      </c>
      <c r="V2360" t="str">
        <f>VLOOKUP(L2360,'[2]tabela de preços'!$A:$D,4,0)</f>
        <v>BRASILUX</v>
      </c>
      <c r="W2360" t="str">
        <f>VLOOKUP(L2360,'[2]tabela de preços'!$A:$F,6,0)</f>
        <v>EPOXI</v>
      </c>
      <c r="X2360" t="str">
        <f>VLOOKUP(L2360,'[2]tabela de preços'!$A:$G,7,0)</f>
        <v>INDUSTRIAL</v>
      </c>
    </row>
    <row r="2361" spans="1:24" x14ac:dyDescent="0.3">
      <c r="A2361" t="s">
        <v>1802</v>
      </c>
      <c r="B2361" t="s">
        <v>1803</v>
      </c>
      <c r="C2361" t="s">
        <v>1804</v>
      </c>
      <c r="D2361" s="1">
        <v>46051</v>
      </c>
      <c r="E2361" t="s">
        <v>1805</v>
      </c>
      <c r="F2361">
        <v>9</v>
      </c>
      <c r="G2361">
        <v>230</v>
      </c>
      <c r="H2361" t="str">
        <f>VLOOKUP(G2361,[1]OPERADORES!$A:$B,2,0)</f>
        <v>SÔNIA</v>
      </c>
      <c r="I2361" t="s">
        <v>21</v>
      </c>
      <c r="J2361" t="s">
        <v>211</v>
      </c>
      <c r="K2361" t="s">
        <v>1806</v>
      </c>
      <c r="L2361">
        <v>84928</v>
      </c>
      <c r="M2361" t="s">
        <v>36</v>
      </c>
      <c r="O2361" t="s">
        <v>11</v>
      </c>
      <c r="P2361">
        <v>5102</v>
      </c>
      <c r="Q2361">
        <v>5</v>
      </c>
      <c r="R2361">
        <v>9.39</v>
      </c>
      <c r="S2361">
        <v>46.95</v>
      </c>
      <c r="T2361">
        <v>35.65</v>
      </c>
      <c r="U2361">
        <v>24.07</v>
      </c>
      <c r="V2361" t="str">
        <f>VLOOKUP(L2361,'[2]tabela de preços'!$A:$D,4,0)</f>
        <v>ADERE</v>
      </c>
      <c r="W2361" t="str">
        <f>VLOOKUP(L2361,'[2]tabela de preços'!$A:$F,6,0)</f>
        <v xml:space="preserve">FITA DE USO GERAL </v>
      </c>
      <c r="X2361" t="str">
        <f>VLOOKUP(L2361,'[2]tabela de preços'!$A:$G,7,0)</f>
        <v>IMOBILIÁRIO</v>
      </c>
    </row>
    <row r="2362" spans="1:24" x14ac:dyDescent="0.3">
      <c r="A2362" t="s">
        <v>1802</v>
      </c>
      <c r="B2362" t="s">
        <v>1803</v>
      </c>
      <c r="C2362" t="s">
        <v>1804</v>
      </c>
      <c r="D2362" s="1">
        <v>46051</v>
      </c>
      <c r="E2362" t="s">
        <v>1805</v>
      </c>
      <c r="F2362">
        <v>9</v>
      </c>
      <c r="G2362">
        <v>230</v>
      </c>
      <c r="H2362" t="str">
        <f>VLOOKUP(G2362,[1]OPERADORES!$A:$B,2,0)</f>
        <v>SÔNIA</v>
      </c>
      <c r="I2362" t="s">
        <v>21</v>
      </c>
      <c r="J2362" t="s">
        <v>211</v>
      </c>
      <c r="K2362" t="s">
        <v>1806</v>
      </c>
      <c r="L2362">
        <v>84422</v>
      </c>
      <c r="M2362" t="s">
        <v>569</v>
      </c>
      <c r="O2362" t="s">
        <v>11</v>
      </c>
      <c r="P2362">
        <v>5102</v>
      </c>
      <c r="Q2362">
        <v>3</v>
      </c>
      <c r="R2362">
        <v>9.32</v>
      </c>
      <c r="S2362">
        <v>27.96</v>
      </c>
      <c r="T2362">
        <v>21.24</v>
      </c>
      <c r="U2362">
        <v>24.03</v>
      </c>
      <c r="V2362" t="str">
        <f>VLOOKUP(L2362,'[2]tabela de preços'!$A:$D,4,0)</f>
        <v>ATLAS</v>
      </c>
      <c r="W2362" t="str">
        <f>VLOOKUP(L2362,'[2]tabela de preços'!$A:$F,6,0)</f>
        <v>ROLOS / TRINCHAS / PINCÉIS / ESPÁTULAS</v>
      </c>
      <c r="X2362" t="str">
        <f>VLOOKUP(L2362,'[2]tabela de preços'!$A:$G,7,0)</f>
        <v>IMOBILIÁRIO</v>
      </c>
    </row>
    <row r="2363" spans="1:24" x14ac:dyDescent="0.3">
      <c r="A2363" t="s">
        <v>1802</v>
      </c>
      <c r="B2363" t="s">
        <v>1803</v>
      </c>
      <c r="C2363" t="s">
        <v>1804</v>
      </c>
      <c r="D2363" s="1">
        <v>46051</v>
      </c>
      <c r="E2363" t="s">
        <v>1805</v>
      </c>
      <c r="F2363">
        <v>9</v>
      </c>
      <c r="G2363">
        <v>230</v>
      </c>
      <c r="H2363" t="str">
        <f>VLOOKUP(G2363,[1]OPERADORES!$A:$B,2,0)</f>
        <v>SÔNIA</v>
      </c>
      <c r="I2363" t="s">
        <v>21</v>
      </c>
      <c r="J2363" t="s">
        <v>211</v>
      </c>
      <c r="K2363" t="s">
        <v>1806</v>
      </c>
      <c r="L2363">
        <v>85292</v>
      </c>
      <c r="M2363" t="s">
        <v>1288</v>
      </c>
      <c r="O2363" t="s">
        <v>11</v>
      </c>
      <c r="P2363">
        <v>5403</v>
      </c>
      <c r="Q2363">
        <v>2</v>
      </c>
      <c r="R2363">
        <v>169.39</v>
      </c>
      <c r="S2363">
        <v>338.78</v>
      </c>
      <c r="T2363">
        <v>257.14</v>
      </c>
      <c r="U2363">
        <v>24.1</v>
      </c>
      <c r="V2363" t="str">
        <f>VLOOKUP(L2363,'[2]tabela de preços'!$A:$D,4,0)</f>
        <v>BRASILUX</v>
      </c>
      <c r="W2363" t="str">
        <f>VLOOKUP(L2363,'[2]tabela de preços'!$A:$F,6,0)</f>
        <v>EPOXI</v>
      </c>
      <c r="X2363" t="str">
        <f>VLOOKUP(L2363,'[2]tabela de preços'!$A:$G,7,0)</f>
        <v>INDUSTRIAL</v>
      </c>
    </row>
    <row r="2364" spans="1:24" x14ac:dyDescent="0.3">
      <c r="A2364" t="s">
        <v>1947</v>
      </c>
      <c r="B2364" t="s">
        <v>1948</v>
      </c>
      <c r="C2364" t="s">
        <v>1958</v>
      </c>
      <c r="D2364" s="1">
        <v>46051</v>
      </c>
      <c r="E2364" t="s">
        <v>1959</v>
      </c>
      <c r="F2364">
        <v>9</v>
      </c>
      <c r="G2364">
        <v>236</v>
      </c>
      <c r="H2364" t="str">
        <f>VLOOKUP(G2364,[1]OPERADORES!$A:$B,2,0)</f>
        <v>DANIEL</v>
      </c>
      <c r="I2364" t="s">
        <v>21</v>
      </c>
      <c r="J2364" t="s">
        <v>1951</v>
      </c>
      <c r="K2364" t="s">
        <v>1952</v>
      </c>
      <c r="L2364">
        <v>84099</v>
      </c>
      <c r="M2364" t="s">
        <v>1960</v>
      </c>
      <c r="O2364" t="s">
        <v>11</v>
      </c>
      <c r="P2364">
        <v>5403</v>
      </c>
      <c r="Q2364">
        <v>4</v>
      </c>
      <c r="R2364">
        <v>81.44</v>
      </c>
      <c r="S2364">
        <v>325.76</v>
      </c>
      <c r="T2364">
        <v>259</v>
      </c>
      <c r="U2364">
        <v>20.49</v>
      </c>
      <c r="V2364" t="str">
        <f>VLOOKUP(L2364,'[2]tabela de preços'!$A:$D,4,0)</f>
        <v>BRASILUX</v>
      </c>
      <c r="W2364" t="str">
        <f>VLOOKUP(L2364,'[2]tabela de preços'!$A:$F,6,0)</f>
        <v>ESMALTES</v>
      </c>
      <c r="X2364" t="str">
        <f>VLOOKUP(L2364,'[2]tabela de preços'!$A:$G,7,0)</f>
        <v>INDUSTRIAL</v>
      </c>
    </row>
    <row r="2365" spans="1:24" x14ac:dyDescent="0.3">
      <c r="A2365" t="s">
        <v>1947</v>
      </c>
      <c r="B2365" t="s">
        <v>1948</v>
      </c>
      <c r="C2365" t="s">
        <v>1958</v>
      </c>
      <c r="D2365" s="1">
        <v>46051</v>
      </c>
      <c r="E2365" t="s">
        <v>1959</v>
      </c>
      <c r="F2365">
        <v>9</v>
      </c>
      <c r="G2365">
        <v>236</v>
      </c>
      <c r="H2365" t="str">
        <f>VLOOKUP(G2365,[1]OPERADORES!$A:$B,2,0)</f>
        <v>DANIEL</v>
      </c>
      <c r="I2365" t="s">
        <v>21</v>
      </c>
      <c r="J2365" t="s">
        <v>1951</v>
      </c>
      <c r="K2365" t="s">
        <v>1952</v>
      </c>
      <c r="L2365">
        <v>84101</v>
      </c>
      <c r="M2365" t="s">
        <v>986</v>
      </c>
      <c r="O2365" t="s">
        <v>11</v>
      </c>
      <c r="P2365">
        <v>5403</v>
      </c>
      <c r="Q2365">
        <v>10</v>
      </c>
      <c r="R2365">
        <v>81.44</v>
      </c>
      <c r="S2365">
        <v>814.4</v>
      </c>
      <c r="T2365">
        <v>609.70000000000005</v>
      </c>
      <c r="U2365">
        <v>25.14</v>
      </c>
      <c r="V2365" t="str">
        <f>VLOOKUP(L2365,'[2]tabela de preços'!$A:$D,4,0)</f>
        <v>BRASILUX</v>
      </c>
      <c r="W2365" t="str">
        <f>VLOOKUP(L2365,'[2]tabela de preços'!$A:$F,6,0)</f>
        <v>ESMALTES</v>
      </c>
      <c r="X2365" t="str">
        <f>VLOOKUP(L2365,'[2]tabela de preços'!$A:$G,7,0)</f>
        <v>INDUSTRIAL</v>
      </c>
    </row>
    <row r="2366" spans="1:24" x14ac:dyDescent="0.3">
      <c r="A2366" t="s">
        <v>1947</v>
      </c>
      <c r="B2366" t="s">
        <v>1948</v>
      </c>
      <c r="C2366" t="s">
        <v>1958</v>
      </c>
      <c r="D2366" s="1">
        <v>46051</v>
      </c>
      <c r="E2366" t="s">
        <v>1959</v>
      </c>
      <c r="F2366">
        <v>9</v>
      </c>
      <c r="G2366">
        <v>236</v>
      </c>
      <c r="H2366" t="str">
        <f>VLOOKUP(G2366,[1]OPERADORES!$A:$B,2,0)</f>
        <v>DANIEL</v>
      </c>
      <c r="I2366" t="s">
        <v>21</v>
      </c>
      <c r="J2366" t="s">
        <v>1951</v>
      </c>
      <c r="K2366" t="s">
        <v>1952</v>
      </c>
      <c r="L2366">
        <v>84497</v>
      </c>
      <c r="M2366" t="s">
        <v>1159</v>
      </c>
      <c r="O2366" t="s">
        <v>11</v>
      </c>
      <c r="P2366">
        <v>5102</v>
      </c>
      <c r="Q2366">
        <v>56</v>
      </c>
      <c r="R2366">
        <v>9.99</v>
      </c>
      <c r="S2366">
        <v>559.44000000000005</v>
      </c>
      <c r="T2366">
        <v>455.84</v>
      </c>
      <c r="U2366">
        <v>18.52</v>
      </c>
      <c r="V2366" t="str">
        <f>VLOOKUP(L2366,'[2]tabela de preços'!$A:$D,4,0)</f>
        <v>BRASILUX</v>
      </c>
      <c r="W2366" t="str">
        <f>VLOOKUP(L2366,'[2]tabela de preços'!$A:$F,6,0)</f>
        <v>THINNER DE LIMPEZA</v>
      </c>
      <c r="X2366" t="str">
        <f>VLOOKUP(L2366,'[2]tabela de preços'!$A:$G,7,0)</f>
        <v>THINNER</v>
      </c>
    </row>
    <row r="2367" spans="1:24" x14ac:dyDescent="0.3">
      <c r="A2367" t="s">
        <v>2171</v>
      </c>
      <c r="C2367" t="s">
        <v>2204</v>
      </c>
      <c r="D2367" s="1">
        <v>46051</v>
      </c>
      <c r="E2367" t="s">
        <v>2205</v>
      </c>
      <c r="F2367">
        <v>9</v>
      </c>
      <c r="G2367">
        <v>230</v>
      </c>
      <c r="H2367" t="str">
        <f>VLOOKUP(G2367,[1]OPERADORES!$A:$B,2,0)</f>
        <v>SÔNIA</v>
      </c>
      <c r="I2367" t="s">
        <v>21</v>
      </c>
      <c r="J2367" t="s">
        <v>2174</v>
      </c>
      <c r="K2367" t="s">
        <v>2175</v>
      </c>
      <c r="L2367">
        <v>21274</v>
      </c>
      <c r="M2367" t="s">
        <v>810</v>
      </c>
      <c r="O2367" t="s">
        <v>11</v>
      </c>
      <c r="P2367">
        <v>5102</v>
      </c>
      <c r="Q2367">
        <v>10</v>
      </c>
      <c r="R2367">
        <v>0.85</v>
      </c>
      <c r="S2367">
        <v>8.5</v>
      </c>
      <c r="T2367">
        <v>5.5</v>
      </c>
      <c r="U2367">
        <v>35.29</v>
      </c>
      <c r="V2367" t="str">
        <f>VLOOKUP(L2367,'[2]tabela de preços'!$A:$D,4,0)</f>
        <v>SHERWIN WILLIAMS</v>
      </c>
      <c r="W2367" t="str">
        <f>VLOOKUP(L2367,'[2]tabela de preços'!$A:$F,6,0)</f>
        <v>COADORES</v>
      </c>
      <c r="X2367" t="str">
        <f>VLOOKUP(L2367,'[2]tabela de preços'!$A:$G,7,0)</f>
        <v>AUTOMOTIVO</v>
      </c>
    </row>
    <row r="2368" spans="1:24" x14ac:dyDescent="0.3">
      <c r="A2368" t="s">
        <v>2171</v>
      </c>
      <c r="C2368" t="s">
        <v>2204</v>
      </c>
      <c r="D2368" s="1">
        <v>46051</v>
      </c>
      <c r="E2368" t="s">
        <v>2205</v>
      </c>
      <c r="F2368">
        <v>9</v>
      </c>
      <c r="G2368">
        <v>230</v>
      </c>
      <c r="H2368" t="str">
        <f>VLOOKUP(G2368,[1]OPERADORES!$A:$B,2,0)</f>
        <v>SÔNIA</v>
      </c>
      <c r="I2368" t="s">
        <v>21</v>
      </c>
      <c r="J2368" t="s">
        <v>2174</v>
      </c>
      <c r="K2368" t="s">
        <v>2175</v>
      </c>
      <c r="L2368">
        <v>23110</v>
      </c>
      <c r="M2368" t="s">
        <v>409</v>
      </c>
      <c r="O2368" t="s">
        <v>11</v>
      </c>
      <c r="P2368">
        <v>5102</v>
      </c>
      <c r="Q2368">
        <v>7</v>
      </c>
      <c r="R2368">
        <v>2.35</v>
      </c>
      <c r="S2368">
        <v>16.45</v>
      </c>
      <c r="T2368">
        <v>12.95</v>
      </c>
      <c r="U2368">
        <v>21.28</v>
      </c>
      <c r="V2368" t="str">
        <f>VLOOKUP(L2368,'[2]tabela de preços'!$A:$D,4,0)</f>
        <v>3M</v>
      </c>
      <c r="W2368" t="str">
        <f>VLOOKUP(L2368,'[2]tabela de preços'!$A:$F,6,0)</f>
        <v xml:space="preserve">DISCOS / LIXAS / ABRASIVOS </v>
      </c>
      <c r="X2368" t="str">
        <f>VLOOKUP(L2368,'[2]tabela de preços'!$A:$G,7,0)</f>
        <v>AUTOMOTIVO</v>
      </c>
    </row>
    <row r="2369" spans="1:24" x14ac:dyDescent="0.3">
      <c r="A2369" t="s">
        <v>2171</v>
      </c>
      <c r="C2369" t="s">
        <v>2204</v>
      </c>
      <c r="D2369" s="1">
        <v>46051</v>
      </c>
      <c r="E2369" t="s">
        <v>2205</v>
      </c>
      <c r="F2369">
        <v>9</v>
      </c>
      <c r="G2369">
        <v>230</v>
      </c>
      <c r="H2369" t="str">
        <f>VLOOKUP(G2369,[1]OPERADORES!$A:$B,2,0)</f>
        <v>SÔNIA</v>
      </c>
      <c r="I2369" t="s">
        <v>21</v>
      </c>
      <c r="J2369" t="s">
        <v>2174</v>
      </c>
      <c r="K2369" t="s">
        <v>2175</v>
      </c>
      <c r="L2369">
        <v>23105</v>
      </c>
      <c r="M2369" t="s">
        <v>402</v>
      </c>
      <c r="O2369" t="s">
        <v>11</v>
      </c>
      <c r="P2369">
        <v>5102</v>
      </c>
      <c r="Q2369">
        <v>3</v>
      </c>
      <c r="R2369">
        <v>2.35</v>
      </c>
      <c r="S2369">
        <v>7.05</v>
      </c>
      <c r="T2369">
        <v>5.76</v>
      </c>
      <c r="U2369">
        <v>18.3</v>
      </c>
      <c r="V2369" t="str">
        <f>VLOOKUP(L2369,'[2]tabela de preços'!$A:$D,4,0)</f>
        <v>3M</v>
      </c>
      <c r="W2369" t="str">
        <f>VLOOKUP(L2369,'[2]tabela de preços'!$A:$F,6,0)</f>
        <v xml:space="preserve">DISCOS / LIXAS / ABRASIVOS </v>
      </c>
      <c r="X2369" t="str">
        <f>VLOOKUP(L2369,'[2]tabela de preços'!$A:$G,7,0)</f>
        <v>AUTOMOTIVO</v>
      </c>
    </row>
    <row r="2370" spans="1:24" x14ac:dyDescent="0.3">
      <c r="A2370" t="s">
        <v>2171</v>
      </c>
      <c r="C2370" t="s">
        <v>2204</v>
      </c>
      <c r="D2370" s="1">
        <v>46051</v>
      </c>
      <c r="E2370" t="s">
        <v>2205</v>
      </c>
      <c r="F2370">
        <v>9</v>
      </c>
      <c r="G2370">
        <v>230</v>
      </c>
      <c r="H2370" t="str">
        <f>VLOOKUP(G2370,[1]OPERADORES!$A:$B,2,0)</f>
        <v>SÔNIA</v>
      </c>
      <c r="I2370" t="s">
        <v>21</v>
      </c>
      <c r="J2370" t="s">
        <v>2174</v>
      </c>
      <c r="K2370" t="s">
        <v>2175</v>
      </c>
      <c r="L2370">
        <v>23106</v>
      </c>
      <c r="M2370" t="s">
        <v>403</v>
      </c>
      <c r="O2370" t="s">
        <v>11</v>
      </c>
      <c r="P2370">
        <v>5102</v>
      </c>
      <c r="Q2370">
        <v>7</v>
      </c>
      <c r="R2370">
        <v>2.35</v>
      </c>
      <c r="S2370">
        <v>16.45</v>
      </c>
      <c r="T2370">
        <v>13.44</v>
      </c>
      <c r="U2370">
        <v>18.3</v>
      </c>
      <c r="V2370" t="str">
        <f>VLOOKUP(L2370,'[2]tabela de preços'!$A:$D,4,0)</f>
        <v>3M</v>
      </c>
      <c r="W2370" t="str">
        <f>VLOOKUP(L2370,'[2]tabela de preços'!$A:$F,6,0)</f>
        <v xml:space="preserve">DISCOS / LIXAS / ABRASIVOS </v>
      </c>
      <c r="X2370" t="str">
        <f>VLOOKUP(L2370,'[2]tabela de preços'!$A:$G,7,0)</f>
        <v>AUTOMOTIVO</v>
      </c>
    </row>
    <row r="2371" spans="1:24" x14ac:dyDescent="0.3">
      <c r="A2371" t="s">
        <v>2171</v>
      </c>
      <c r="C2371" t="s">
        <v>2204</v>
      </c>
      <c r="D2371" s="1">
        <v>46051</v>
      </c>
      <c r="E2371" t="s">
        <v>2205</v>
      </c>
      <c r="F2371">
        <v>9</v>
      </c>
      <c r="G2371">
        <v>230</v>
      </c>
      <c r="H2371" t="str">
        <f>VLOOKUP(G2371,[1]OPERADORES!$A:$B,2,0)</f>
        <v>SÔNIA</v>
      </c>
      <c r="I2371" t="s">
        <v>21</v>
      </c>
      <c r="J2371" t="s">
        <v>2174</v>
      </c>
      <c r="K2371" t="s">
        <v>2175</v>
      </c>
      <c r="L2371">
        <v>23107</v>
      </c>
      <c r="M2371" t="s">
        <v>247</v>
      </c>
      <c r="O2371" t="s">
        <v>11</v>
      </c>
      <c r="P2371">
        <v>5102</v>
      </c>
      <c r="Q2371">
        <v>7</v>
      </c>
      <c r="R2371">
        <v>2.35</v>
      </c>
      <c r="S2371">
        <v>16.45</v>
      </c>
      <c r="T2371">
        <v>12.95</v>
      </c>
      <c r="U2371">
        <v>21.28</v>
      </c>
      <c r="V2371" t="str">
        <f>VLOOKUP(L2371,'[2]tabela de preços'!$A:$D,4,0)</f>
        <v>3M</v>
      </c>
      <c r="W2371" t="str">
        <f>VLOOKUP(L2371,'[2]tabela de preços'!$A:$F,6,0)</f>
        <v xml:space="preserve">DISCOS / LIXAS / ABRASIVOS </v>
      </c>
      <c r="X2371" t="str">
        <f>VLOOKUP(L2371,'[2]tabela de preços'!$A:$G,7,0)</f>
        <v>AUTOMOTIVO</v>
      </c>
    </row>
    <row r="2372" spans="1:24" x14ac:dyDescent="0.3">
      <c r="A2372" t="s">
        <v>2171</v>
      </c>
      <c r="C2372" t="s">
        <v>2204</v>
      </c>
      <c r="D2372" s="1">
        <v>46051</v>
      </c>
      <c r="E2372" t="s">
        <v>2205</v>
      </c>
      <c r="F2372">
        <v>9</v>
      </c>
      <c r="G2372">
        <v>230</v>
      </c>
      <c r="H2372" t="str">
        <f>VLOOKUP(G2372,[1]OPERADORES!$A:$B,2,0)</f>
        <v>SÔNIA</v>
      </c>
      <c r="I2372" t="s">
        <v>21</v>
      </c>
      <c r="J2372" t="s">
        <v>2174</v>
      </c>
      <c r="K2372" t="s">
        <v>2175</v>
      </c>
      <c r="L2372">
        <v>23108</v>
      </c>
      <c r="M2372" t="s">
        <v>248</v>
      </c>
      <c r="O2372" t="s">
        <v>11</v>
      </c>
      <c r="P2372">
        <v>5102</v>
      </c>
      <c r="Q2372">
        <v>5</v>
      </c>
      <c r="R2372">
        <v>2.35</v>
      </c>
      <c r="S2372">
        <v>11.75</v>
      </c>
      <c r="T2372">
        <v>9.25</v>
      </c>
      <c r="U2372">
        <v>21.28</v>
      </c>
      <c r="V2372" t="str">
        <f>VLOOKUP(L2372,'[2]tabela de preços'!$A:$D,4,0)</f>
        <v>3M</v>
      </c>
      <c r="W2372" t="str">
        <f>VLOOKUP(L2372,'[2]tabela de preços'!$A:$F,6,0)</f>
        <v xml:space="preserve">DISCOS / LIXAS / ABRASIVOS </v>
      </c>
      <c r="X2372" t="str">
        <f>VLOOKUP(L2372,'[2]tabela de preços'!$A:$G,7,0)</f>
        <v>AUTOMOTIVO</v>
      </c>
    </row>
    <row r="2373" spans="1:24" x14ac:dyDescent="0.3">
      <c r="A2373" t="s">
        <v>2171</v>
      </c>
      <c r="C2373" t="s">
        <v>2204</v>
      </c>
      <c r="D2373" s="1">
        <v>46051</v>
      </c>
      <c r="E2373" t="s">
        <v>2205</v>
      </c>
      <c r="F2373">
        <v>9</v>
      </c>
      <c r="G2373">
        <v>230</v>
      </c>
      <c r="H2373" t="str">
        <f>VLOOKUP(G2373,[1]OPERADORES!$A:$B,2,0)</f>
        <v>SÔNIA</v>
      </c>
      <c r="I2373" t="s">
        <v>21</v>
      </c>
      <c r="J2373" t="s">
        <v>2174</v>
      </c>
      <c r="K2373" t="s">
        <v>2175</v>
      </c>
      <c r="L2373">
        <v>23109</v>
      </c>
      <c r="M2373" t="s">
        <v>418</v>
      </c>
      <c r="O2373" t="s">
        <v>11</v>
      </c>
      <c r="P2373">
        <v>5102</v>
      </c>
      <c r="Q2373">
        <v>10</v>
      </c>
      <c r="R2373">
        <v>2.35</v>
      </c>
      <c r="S2373">
        <v>23.5</v>
      </c>
      <c r="T2373">
        <v>18.5</v>
      </c>
      <c r="U2373">
        <v>21.28</v>
      </c>
      <c r="V2373" t="str">
        <f>VLOOKUP(L2373,'[2]tabela de preços'!$A:$D,4,0)</f>
        <v>3M</v>
      </c>
      <c r="W2373" t="str">
        <f>VLOOKUP(L2373,'[2]tabela de preços'!$A:$F,6,0)</f>
        <v xml:space="preserve">DISCOS / LIXAS / ABRASIVOS </v>
      </c>
      <c r="X2373" t="str">
        <f>VLOOKUP(L2373,'[2]tabela de preços'!$A:$G,7,0)</f>
        <v>AUTOMOTIVO</v>
      </c>
    </row>
    <row r="2374" spans="1:24" x14ac:dyDescent="0.3">
      <c r="A2374" t="s">
        <v>2171</v>
      </c>
      <c r="C2374" t="s">
        <v>2204</v>
      </c>
      <c r="D2374" s="1">
        <v>46051</v>
      </c>
      <c r="E2374" t="s">
        <v>2205</v>
      </c>
      <c r="F2374">
        <v>9</v>
      </c>
      <c r="G2374">
        <v>230</v>
      </c>
      <c r="H2374" t="str">
        <f>VLOOKUP(G2374,[1]OPERADORES!$A:$B,2,0)</f>
        <v>SÔNIA</v>
      </c>
      <c r="I2374" t="s">
        <v>21</v>
      </c>
      <c r="J2374" t="s">
        <v>2174</v>
      </c>
      <c r="K2374" t="s">
        <v>2175</v>
      </c>
      <c r="L2374">
        <v>86995</v>
      </c>
      <c r="M2374" t="s">
        <v>37</v>
      </c>
      <c r="O2374" t="s">
        <v>11</v>
      </c>
      <c r="P2374">
        <v>5102</v>
      </c>
      <c r="Q2374">
        <v>1</v>
      </c>
      <c r="R2374">
        <v>7.29</v>
      </c>
      <c r="S2374">
        <v>7.29</v>
      </c>
      <c r="T2374">
        <v>5.83</v>
      </c>
      <c r="U2374">
        <v>20.03</v>
      </c>
      <c r="V2374" t="str">
        <f>VLOOKUP(L2374,'[2]tabela de preços'!$A:$D,4,0)</f>
        <v>AUTOAMERICA</v>
      </c>
      <c r="W2374" t="str">
        <f>VLOOKUP(L2374,'[2]tabela de preços'!$A:$F,6,0)</f>
        <v>FLANELAS / PANOS</v>
      </c>
      <c r="X2374" t="str">
        <f>VLOOKUP(L2374,'[2]tabela de preços'!$A:$G,7,0)</f>
        <v>AUTOMOTIVO</v>
      </c>
    </row>
    <row r="2375" spans="1:24" x14ac:dyDescent="0.3">
      <c r="A2375" t="s">
        <v>2171</v>
      </c>
      <c r="C2375" t="s">
        <v>2204</v>
      </c>
      <c r="D2375" s="1">
        <v>46051</v>
      </c>
      <c r="E2375" t="s">
        <v>2205</v>
      </c>
      <c r="F2375">
        <v>9</v>
      </c>
      <c r="G2375">
        <v>230</v>
      </c>
      <c r="H2375" t="str">
        <f>VLOOKUP(G2375,[1]OPERADORES!$A:$B,2,0)</f>
        <v>SÔNIA</v>
      </c>
      <c r="I2375" t="s">
        <v>21</v>
      </c>
      <c r="J2375" t="s">
        <v>2174</v>
      </c>
      <c r="K2375" t="s">
        <v>2175</v>
      </c>
      <c r="L2375">
        <v>10238</v>
      </c>
      <c r="M2375" t="s">
        <v>79</v>
      </c>
      <c r="O2375" t="s">
        <v>11</v>
      </c>
      <c r="P2375">
        <v>5102</v>
      </c>
      <c r="Q2375">
        <v>5</v>
      </c>
      <c r="R2375">
        <v>2.79</v>
      </c>
      <c r="S2375">
        <v>13.95</v>
      </c>
      <c r="T2375">
        <v>11.2</v>
      </c>
      <c r="U2375">
        <v>19.71</v>
      </c>
      <c r="V2375" t="str">
        <f>VLOOKUP(L2375,'[2]tabela de preços'!$A:$D,4,0)</f>
        <v>NORTON</v>
      </c>
      <c r="W2375" t="str">
        <f>VLOOKUP(L2375,'[2]tabela de preços'!$A:$F,6,0)</f>
        <v xml:space="preserve">DISCOS / LIXAS / ABRASIVOS </v>
      </c>
      <c r="X2375" t="str">
        <f>VLOOKUP(L2375,'[2]tabela de preços'!$A:$G,7,0)</f>
        <v>AUTOMOTIVO</v>
      </c>
    </row>
    <row r="2376" spans="1:24" x14ac:dyDescent="0.3">
      <c r="A2376" t="s">
        <v>2171</v>
      </c>
      <c r="C2376" t="s">
        <v>2204</v>
      </c>
      <c r="D2376" s="1">
        <v>46051</v>
      </c>
      <c r="E2376" t="s">
        <v>2205</v>
      </c>
      <c r="F2376">
        <v>9</v>
      </c>
      <c r="G2376">
        <v>230</v>
      </c>
      <c r="H2376" t="str">
        <f>VLOOKUP(G2376,[1]OPERADORES!$A:$B,2,0)</f>
        <v>SÔNIA</v>
      </c>
      <c r="I2376" t="s">
        <v>21</v>
      </c>
      <c r="J2376" t="s">
        <v>2174</v>
      </c>
      <c r="K2376" t="s">
        <v>2175</v>
      </c>
      <c r="L2376">
        <v>10240</v>
      </c>
      <c r="M2376" t="s">
        <v>81</v>
      </c>
      <c r="O2376" t="s">
        <v>11</v>
      </c>
      <c r="P2376">
        <v>5102</v>
      </c>
      <c r="Q2376">
        <v>10</v>
      </c>
      <c r="R2376">
        <v>2.79</v>
      </c>
      <c r="S2376">
        <v>27.9</v>
      </c>
      <c r="T2376">
        <v>22.4</v>
      </c>
      <c r="U2376">
        <v>19.71</v>
      </c>
      <c r="V2376" t="str">
        <f>VLOOKUP(L2376,'[2]tabela de preços'!$A:$D,4,0)</f>
        <v>NORTON</v>
      </c>
      <c r="W2376" t="str">
        <f>VLOOKUP(L2376,'[2]tabela de preços'!$A:$F,6,0)</f>
        <v xml:space="preserve">DISCOS / LIXAS / ABRASIVOS </v>
      </c>
      <c r="X2376" t="str">
        <f>VLOOKUP(L2376,'[2]tabela de preços'!$A:$G,7,0)</f>
        <v>AUTOMOTIVO</v>
      </c>
    </row>
    <row r="2377" spans="1:24" x14ac:dyDescent="0.3">
      <c r="A2377" t="s">
        <v>2171</v>
      </c>
      <c r="C2377" t="s">
        <v>2204</v>
      </c>
      <c r="D2377" s="1">
        <v>46051</v>
      </c>
      <c r="E2377" t="s">
        <v>2205</v>
      </c>
      <c r="F2377">
        <v>9</v>
      </c>
      <c r="G2377">
        <v>230</v>
      </c>
      <c r="H2377" t="str">
        <f>VLOOKUP(G2377,[1]OPERADORES!$A:$B,2,0)</f>
        <v>SÔNIA</v>
      </c>
      <c r="I2377" t="s">
        <v>21</v>
      </c>
      <c r="J2377" t="s">
        <v>2174</v>
      </c>
      <c r="K2377" t="s">
        <v>2175</v>
      </c>
      <c r="L2377">
        <v>10242</v>
      </c>
      <c r="M2377" t="s">
        <v>82</v>
      </c>
      <c r="O2377" t="s">
        <v>11</v>
      </c>
      <c r="P2377">
        <v>5102</v>
      </c>
      <c r="Q2377">
        <v>5</v>
      </c>
      <c r="R2377">
        <v>2.79</v>
      </c>
      <c r="S2377">
        <v>13.95</v>
      </c>
      <c r="T2377">
        <v>11.2</v>
      </c>
      <c r="U2377">
        <v>19.71</v>
      </c>
      <c r="V2377" t="str">
        <f>VLOOKUP(L2377,'[2]tabela de preços'!$A:$D,4,0)</f>
        <v>NORTON</v>
      </c>
      <c r="W2377" t="str">
        <f>VLOOKUP(L2377,'[2]tabela de preços'!$A:$F,6,0)</f>
        <v xml:space="preserve">DISCOS / LIXAS / ABRASIVOS </v>
      </c>
      <c r="X2377" t="str">
        <f>VLOOKUP(L2377,'[2]tabela de preços'!$A:$G,7,0)</f>
        <v>AUTOMOTIVO</v>
      </c>
    </row>
    <row r="2378" spans="1:24" x14ac:dyDescent="0.3">
      <c r="A2378" t="s">
        <v>2171</v>
      </c>
      <c r="C2378" t="s">
        <v>2204</v>
      </c>
      <c r="D2378" s="1">
        <v>46051</v>
      </c>
      <c r="E2378" t="s">
        <v>2205</v>
      </c>
      <c r="F2378">
        <v>9</v>
      </c>
      <c r="G2378">
        <v>230</v>
      </c>
      <c r="H2378" t="str">
        <f>VLOOKUP(G2378,[1]OPERADORES!$A:$B,2,0)</f>
        <v>SÔNIA</v>
      </c>
      <c r="I2378" t="s">
        <v>21</v>
      </c>
      <c r="J2378" t="s">
        <v>2174</v>
      </c>
      <c r="K2378" t="s">
        <v>2175</v>
      </c>
      <c r="L2378">
        <v>10243</v>
      </c>
      <c r="M2378" t="s">
        <v>83</v>
      </c>
      <c r="O2378" t="s">
        <v>11</v>
      </c>
      <c r="P2378">
        <v>5102</v>
      </c>
      <c r="Q2378">
        <v>10</v>
      </c>
      <c r="R2378">
        <v>2.79</v>
      </c>
      <c r="S2378">
        <v>27.9</v>
      </c>
      <c r="T2378">
        <v>19.3</v>
      </c>
      <c r="U2378">
        <v>30.82</v>
      </c>
      <c r="V2378" t="str">
        <f>VLOOKUP(L2378,'[2]tabela de preços'!$A:$D,4,0)</f>
        <v>NORTON</v>
      </c>
      <c r="W2378" t="str">
        <f>VLOOKUP(L2378,'[2]tabela de preços'!$A:$F,6,0)</f>
        <v xml:space="preserve">DISCOS / LIXAS / ABRASIVOS </v>
      </c>
      <c r="X2378" t="str">
        <f>VLOOKUP(L2378,'[2]tabela de preços'!$A:$G,7,0)</f>
        <v>AUTOMOTIVO</v>
      </c>
    </row>
    <row r="2379" spans="1:24" x14ac:dyDescent="0.3">
      <c r="A2379" t="s">
        <v>2171</v>
      </c>
      <c r="C2379" t="s">
        <v>2204</v>
      </c>
      <c r="D2379" s="1">
        <v>46051</v>
      </c>
      <c r="E2379" t="s">
        <v>2205</v>
      </c>
      <c r="F2379">
        <v>9</v>
      </c>
      <c r="G2379">
        <v>230</v>
      </c>
      <c r="H2379" t="str">
        <f>VLOOKUP(G2379,[1]OPERADORES!$A:$B,2,0)</f>
        <v>SÔNIA</v>
      </c>
      <c r="I2379" t="s">
        <v>21</v>
      </c>
      <c r="J2379" t="s">
        <v>2174</v>
      </c>
      <c r="K2379" t="s">
        <v>2175</v>
      </c>
      <c r="L2379">
        <v>10245</v>
      </c>
      <c r="M2379" t="s">
        <v>195</v>
      </c>
      <c r="O2379" t="s">
        <v>11</v>
      </c>
      <c r="P2379">
        <v>5102</v>
      </c>
      <c r="Q2379">
        <v>2</v>
      </c>
      <c r="R2379">
        <v>2.79</v>
      </c>
      <c r="S2379">
        <v>5.58</v>
      </c>
      <c r="T2379">
        <v>3.86</v>
      </c>
      <c r="U2379">
        <v>30.82</v>
      </c>
      <c r="V2379" t="str">
        <f>VLOOKUP(L2379,'[2]tabela de preços'!$A:$D,4,0)</f>
        <v>NORTON</v>
      </c>
      <c r="W2379" t="str">
        <f>VLOOKUP(L2379,'[2]tabela de preços'!$A:$F,6,0)</f>
        <v xml:space="preserve">DISCOS / LIXAS / ABRASIVOS </v>
      </c>
      <c r="X2379" t="str">
        <f>VLOOKUP(L2379,'[2]tabela de preços'!$A:$G,7,0)</f>
        <v>AUTOMOTIVO</v>
      </c>
    </row>
    <row r="2380" spans="1:24" x14ac:dyDescent="0.3">
      <c r="A2380" t="s">
        <v>2171</v>
      </c>
      <c r="C2380" t="s">
        <v>2204</v>
      </c>
      <c r="D2380" s="1">
        <v>46051</v>
      </c>
      <c r="E2380" t="s">
        <v>2205</v>
      </c>
      <c r="F2380">
        <v>9</v>
      </c>
      <c r="G2380">
        <v>230</v>
      </c>
      <c r="H2380" t="str">
        <f>VLOOKUP(G2380,[1]OPERADORES!$A:$B,2,0)</f>
        <v>SÔNIA</v>
      </c>
      <c r="I2380" t="s">
        <v>21</v>
      </c>
      <c r="J2380" t="s">
        <v>2174</v>
      </c>
      <c r="K2380" t="s">
        <v>2175</v>
      </c>
      <c r="L2380">
        <v>84658</v>
      </c>
      <c r="M2380" t="s">
        <v>100</v>
      </c>
      <c r="O2380" t="s">
        <v>11</v>
      </c>
      <c r="P2380">
        <v>5102</v>
      </c>
      <c r="Q2380">
        <v>2</v>
      </c>
      <c r="R2380">
        <v>40.840000000000003</v>
      </c>
      <c r="S2380">
        <v>81.680000000000007</v>
      </c>
      <c r="T2380">
        <v>62</v>
      </c>
      <c r="U2380">
        <v>24.09</v>
      </c>
      <c r="V2380" t="str">
        <f>VLOOKUP(L2380,'[2]tabela de preços'!$A:$D,4,0)</f>
        <v>ANJO</v>
      </c>
      <c r="W2380" t="str">
        <f>VLOOKUP(L2380,'[2]tabela de preços'!$A:$F,6,0)</f>
        <v>MASSA POLIÉSTER</v>
      </c>
      <c r="X2380" t="str">
        <f>VLOOKUP(L2380,'[2]tabela de preços'!$A:$G,7,0)</f>
        <v>AUTOMOTIVO</v>
      </c>
    </row>
    <row r="2381" spans="1:24" x14ac:dyDescent="0.3">
      <c r="A2381" t="s">
        <v>2171</v>
      </c>
      <c r="C2381" t="s">
        <v>2204</v>
      </c>
      <c r="D2381" s="1">
        <v>46051</v>
      </c>
      <c r="E2381" t="s">
        <v>2205</v>
      </c>
      <c r="F2381">
        <v>9</v>
      </c>
      <c r="G2381">
        <v>230</v>
      </c>
      <c r="H2381" t="str">
        <f>VLOOKUP(G2381,[1]OPERADORES!$A:$B,2,0)</f>
        <v>SÔNIA</v>
      </c>
      <c r="I2381" t="s">
        <v>21</v>
      </c>
      <c r="J2381" t="s">
        <v>2174</v>
      </c>
      <c r="K2381" t="s">
        <v>2175</v>
      </c>
      <c r="L2381">
        <v>10296</v>
      </c>
      <c r="M2381" t="s">
        <v>334</v>
      </c>
      <c r="O2381" t="s">
        <v>11</v>
      </c>
      <c r="P2381">
        <v>5102</v>
      </c>
      <c r="Q2381">
        <v>1</v>
      </c>
      <c r="R2381">
        <v>17.02</v>
      </c>
      <c r="S2381">
        <v>17.02</v>
      </c>
      <c r="T2381">
        <v>12.57</v>
      </c>
      <c r="U2381">
        <v>26.15</v>
      </c>
      <c r="V2381" t="str">
        <f>VLOOKUP(L2381,'[2]tabela de preços'!$A:$D,4,0)</f>
        <v>ANJO</v>
      </c>
      <c r="W2381" t="str">
        <f>VLOOKUP(L2381,'[2]tabela de preços'!$A:$F,6,0)</f>
        <v>DESENGRAXANTE</v>
      </c>
      <c r="X2381" t="str">
        <f>VLOOKUP(L2381,'[2]tabela de preços'!$A:$G,7,0)</f>
        <v>AUTOMOTIVO</v>
      </c>
    </row>
    <row r="2382" spans="1:24" x14ac:dyDescent="0.3">
      <c r="A2382" t="s">
        <v>2231</v>
      </c>
      <c r="C2382" t="s">
        <v>2232</v>
      </c>
      <c r="D2382" s="1">
        <v>46051</v>
      </c>
      <c r="E2382" t="s">
        <v>2233</v>
      </c>
      <c r="F2382">
        <v>9</v>
      </c>
      <c r="G2382">
        <v>236</v>
      </c>
      <c r="H2382" t="str">
        <f>VLOOKUP(G2382,[1]OPERADORES!$A:$B,2,0)</f>
        <v>DANIEL</v>
      </c>
      <c r="I2382" t="s">
        <v>21</v>
      </c>
      <c r="J2382" t="s">
        <v>494</v>
      </c>
      <c r="K2382" t="s">
        <v>2234</v>
      </c>
      <c r="L2382">
        <v>85287</v>
      </c>
      <c r="M2382" t="s">
        <v>2235</v>
      </c>
      <c r="O2382" t="s">
        <v>11</v>
      </c>
      <c r="P2382">
        <v>5403</v>
      </c>
      <c r="Q2382">
        <v>2</v>
      </c>
      <c r="R2382">
        <v>97.95</v>
      </c>
      <c r="S2382">
        <v>195.9</v>
      </c>
      <c r="T2382">
        <v>148.68</v>
      </c>
      <c r="U2382">
        <v>24.1</v>
      </c>
      <c r="V2382" t="str">
        <f>VLOOKUP(L2382,'[2]tabela de preços'!$A:$D,4,0)</f>
        <v>BRASILUX</v>
      </c>
      <c r="W2382" t="str">
        <f>VLOOKUP(L2382,'[2]tabela de preços'!$A:$F,6,0)</f>
        <v>ESMALTES</v>
      </c>
      <c r="X2382" t="str">
        <f>VLOOKUP(L2382,'[2]tabela de preços'!$A:$G,7,0)</f>
        <v>INDUSTRIAL</v>
      </c>
    </row>
    <row r="2383" spans="1:24" x14ac:dyDescent="0.3">
      <c r="A2383" t="s">
        <v>2259</v>
      </c>
      <c r="B2383" t="s">
        <v>2260</v>
      </c>
      <c r="C2383" t="s">
        <v>2272</v>
      </c>
      <c r="D2383" s="1">
        <v>46051</v>
      </c>
      <c r="E2383" t="s">
        <v>2273</v>
      </c>
      <c r="F2383">
        <v>9</v>
      </c>
      <c r="G2383">
        <v>174</v>
      </c>
      <c r="H2383" t="str">
        <f>VLOOKUP(G2383,[1]OPERADORES!$A:$B,2,0)</f>
        <v>MIRIÃ LOBATO RODRIGUES</v>
      </c>
      <c r="I2383" t="s">
        <v>21</v>
      </c>
      <c r="J2383" t="s">
        <v>762</v>
      </c>
      <c r="K2383" t="s">
        <v>2263</v>
      </c>
      <c r="L2383">
        <v>85679</v>
      </c>
      <c r="M2383" t="s">
        <v>2266</v>
      </c>
      <c r="O2383" t="s">
        <v>11</v>
      </c>
      <c r="P2383">
        <v>5102</v>
      </c>
      <c r="Q2383">
        <v>20</v>
      </c>
      <c r="R2383">
        <v>2.27</v>
      </c>
      <c r="S2383">
        <v>45.4</v>
      </c>
      <c r="T2383">
        <v>35.200000000000003</v>
      </c>
      <c r="U2383">
        <v>22.47</v>
      </c>
      <c r="V2383" t="str">
        <f>VLOOKUP(L2383,'[2]tabela de preços'!$A:$D,4,0)</f>
        <v>UNIPEGA</v>
      </c>
      <c r="W2383" t="str">
        <f>VLOOKUP(L2383,'[2]tabela de preços'!$A:$F,6,0)</f>
        <v>FITA ISOLANTE</v>
      </c>
      <c r="X2383" t="str">
        <f>VLOOKUP(L2383,'[2]tabela de preços'!$A:$G,7,0)</f>
        <v>IMOBILIÁRIO</v>
      </c>
    </row>
    <row r="2384" spans="1:24" x14ac:dyDescent="0.3">
      <c r="A2384" t="s">
        <v>18</v>
      </c>
      <c r="C2384" t="s">
        <v>2367</v>
      </c>
      <c r="D2384" s="1">
        <v>46052</v>
      </c>
      <c r="E2384" t="s">
        <v>2368</v>
      </c>
      <c r="F2384">
        <v>9</v>
      </c>
      <c r="G2384">
        <v>236</v>
      </c>
      <c r="H2384" t="str">
        <f>VLOOKUP(G2384,[1]OPERADORES!$A:$B,2,0)</f>
        <v>DANIEL</v>
      </c>
      <c r="I2384" t="s">
        <v>21</v>
      </c>
      <c r="J2384" t="s">
        <v>22</v>
      </c>
      <c r="K2384" t="s">
        <v>23</v>
      </c>
      <c r="L2384">
        <v>86195</v>
      </c>
      <c r="M2384" t="s">
        <v>33</v>
      </c>
      <c r="O2384" t="s">
        <v>11</v>
      </c>
      <c r="P2384">
        <v>5403</v>
      </c>
      <c r="Q2384">
        <v>1</v>
      </c>
      <c r="R2384">
        <v>134.26</v>
      </c>
      <c r="S2384">
        <v>134.26</v>
      </c>
      <c r="T2384">
        <v>101.9</v>
      </c>
      <c r="U2384">
        <v>24.1</v>
      </c>
      <c r="V2384" t="str">
        <f>VLOOKUP(L2384,'[2]tabela de preços'!$A:$D,4,0)</f>
        <v>CORAL</v>
      </c>
      <c r="W2384" t="str">
        <f>VLOOKUP(L2384,'[2]tabela de preços'!$A:$F,6,0)</f>
        <v>TINTA PAREDE</v>
      </c>
      <c r="X2384" t="str">
        <f>VLOOKUP(L2384,'[2]tabela de preços'!$A:$G,7,0)</f>
        <v>IMOBILIÁRIO</v>
      </c>
    </row>
    <row r="2385" spans="1:24" x14ac:dyDescent="0.3">
      <c r="A2385" t="s">
        <v>254</v>
      </c>
      <c r="C2385" t="s">
        <v>2369</v>
      </c>
      <c r="D2385" s="1">
        <v>46052</v>
      </c>
      <c r="E2385" t="s">
        <v>2370</v>
      </c>
      <c r="F2385">
        <v>9</v>
      </c>
      <c r="G2385">
        <v>231</v>
      </c>
      <c r="H2385" t="str">
        <f>VLOOKUP(G2385,[1]OPERADORES!$A:$B,2,0)</f>
        <v>EDIJANE</v>
      </c>
      <c r="I2385" t="s">
        <v>21</v>
      </c>
      <c r="J2385" t="s">
        <v>66</v>
      </c>
      <c r="K2385" t="s">
        <v>257</v>
      </c>
      <c r="L2385">
        <v>84560</v>
      </c>
      <c r="M2385" t="s">
        <v>118</v>
      </c>
      <c r="O2385" t="s">
        <v>11</v>
      </c>
      <c r="P2385">
        <v>5102</v>
      </c>
      <c r="Q2385">
        <v>8</v>
      </c>
      <c r="R2385">
        <v>47.89</v>
      </c>
      <c r="S2385">
        <v>383.12</v>
      </c>
      <c r="T2385">
        <v>313.27999999999997</v>
      </c>
      <c r="U2385">
        <v>18.23</v>
      </c>
      <c r="V2385" t="str">
        <f>VLOOKUP(L2385,'[2]tabela de preços'!$A:$D,4,0)</f>
        <v>BRASILUX</v>
      </c>
      <c r="W2385" t="str">
        <f>VLOOKUP(L2385,'[2]tabela de preços'!$A:$F,6,0)</f>
        <v>THINNER DE LIMPEZA</v>
      </c>
      <c r="X2385" t="str">
        <f>VLOOKUP(L2385,'[2]tabela de preços'!$A:$G,7,0)</f>
        <v>THINNER</v>
      </c>
    </row>
    <row r="2386" spans="1:24" x14ac:dyDescent="0.3">
      <c r="A2386" t="s">
        <v>254</v>
      </c>
      <c r="C2386" t="s">
        <v>2369</v>
      </c>
      <c r="D2386" s="1">
        <v>46052</v>
      </c>
      <c r="E2386" t="s">
        <v>2370</v>
      </c>
      <c r="F2386">
        <v>9</v>
      </c>
      <c r="G2386">
        <v>231</v>
      </c>
      <c r="H2386" t="str">
        <f>VLOOKUP(G2386,[1]OPERADORES!$A:$B,2,0)</f>
        <v>EDIJANE</v>
      </c>
      <c r="I2386" t="s">
        <v>21</v>
      </c>
      <c r="J2386" t="s">
        <v>66</v>
      </c>
      <c r="K2386" t="s">
        <v>257</v>
      </c>
      <c r="L2386">
        <v>85318</v>
      </c>
      <c r="M2386" t="s">
        <v>258</v>
      </c>
      <c r="O2386" t="s">
        <v>11</v>
      </c>
      <c r="P2386">
        <v>5102</v>
      </c>
      <c r="Q2386">
        <v>1</v>
      </c>
      <c r="R2386">
        <v>775.32</v>
      </c>
      <c r="S2386">
        <v>775.32</v>
      </c>
      <c r="T2386">
        <v>552.80999999999995</v>
      </c>
      <c r="U2386">
        <v>28.7</v>
      </c>
      <c r="V2386" t="str">
        <f>VLOOKUP(L2386,'[2]tabela de preços'!$A:$D,4,0)</f>
        <v>BRASILUX</v>
      </c>
      <c r="W2386" t="str">
        <f>VLOOKUP(L2386,'[2]tabela de preços'!$A:$F,6,0)</f>
        <v>TINTA EM PÓ</v>
      </c>
      <c r="X2386" t="str">
        <f>VLOOKUP(L2386,'[2]tabela de preços'!$A:$G,7,0)</f>
        <v>INDUSTRIAL</v>
      </c>
    </row>
    <row r="2387" spans="1:24" x14ac:dyDescent="0.3">
      <c r="A2387" t="s">
        <v>575</v>
      </c>
      <c r="B2387" t="s">
        <v>576</v>
      </c>
      <c r="C2387" t="s">
        <v>2371</v>
      </c>
      <c r="D2387" s="1">
        <v>46052</v>
      </c>
      <c r="E2387" t="s">
        <v>2372</v>
      </c>
      <c r="F2387">
        <v>9</v>
      </c>
      <c r="G2387">
        <v>231</v>
      </c>
      <c r="H2387" t="str">
        <f>VLOOKUP(G2387,[1]OPERADORES!$A:$B,2,0)</f>
        <v>EDIJANE</v>
      </c>
      <c r="I2387" t="s">
        <v>21</v>
      </c>
      <c r="J2387" t="s">
        <v>66</v>
      </c>
      <c r="K2387" t="s">
        <v>579</v>
      </c>
      <c r="L2387">
        <v>84324</v>
      </c>
      <c r="M2387" t="s">
        <v>359</v>
      </c>
      <c r="O2387" t="s">
        <v>11</v>
      </c>
      <c r="P2387">
        <v>5403</v>
      </c>
      <c r="Q2387">
        <v>2</v>
      </c>
      <c r="R2387">
        <v>91.84</v>
      </c>
      <c r="S2387">
        <v>183.68</v>
      </c>
      <c r="T2387">
        <v>139.41999999999999</v>
      </c>
      <c r="U2387">
        <v>24.1</v>
      </c>
      <c r="V2387" t="str">
        <f>VLOOKUP(L2387,'[2]tabela de preços'!$A:$D,4,0)</f>
        <v>BRASILUX</v>
      </c>
      <c r="W2387" t="str">
        <f>VLOOKUP(L2387,'[2]tabela de preços'!$A:$F,6,0)</f>
        <v>ESMALTES</v>
      </c>
      <c r="X2387" t="str">
        <f>VLOOKUP(L2387,'[2]tabela de preços'!$A:$G,7,0)</f>
        <v>INDUSTRIAL</v>
      </c>
    </row>
    <row r="2388" spans="1:24" x14ac:dyDescent="0.3">
      <c r="A2388" t="s">
        <v>575</v>
      </c>
      <c r="B2388" t="s">
        <v>576</v>
      </c>
      <c r="C2388" t="s">
        <v>2371</v>
      </c>
      <c r="D2388" s="1">
        <v>46052</v>
      </c>
      <c r="E2388" t="s">
        <v>2372</v>
      </c>
      <c r="F2388">
        <v>9</v>
      </c>
      <c r="G2388">
        <v>231</v>
      </c>
      <c r="H2388" t="str">
        <f>VLOOKUP(G2388,[1]OPERADORES!$A:$B,2,0)</f>
        <v>EDIJANE</v>
      </c>
      <c r="I2388" t="s">
        <v>21</v>
      </c>
      <c r="J2388" t="s">
        <v>66</v>
      </c>
      <c r="K2388" t="s">
        <v>579</v>
      </c>
      <c r="L2388">
        <v>84331</v>
      </c>
      <c r="M2388" t="s">
        <v>497</v>
      </c>
      <c r="O2388" t="s">
        <v>11</v>
      </c>
      <c r="P2388">
        <v>5403</v>
      </c>
      <c r="Q2388">
        <v>6</v>
      </c>
      <c r="R2388">
        <v>59.98</v>
      </c>
      <c r="S2388">
        <v>359.88</v>
      </c>
      <c r="T2388">
        <v>312</v>
      </c>
      <c r="U2388">
        <v>13.3</v>
      </c>
      <c r="V2388" t="str">
        <f>VLOOKUP(L2388,'[2]tabela de preços'!$A:$D,4,0)</f>
        <v>BRASILUX</v>
      </c>
      <c r="W2388" t="str">
        <f>VLOOKUP(L2388,'[2]tabela de preços'!$A:$F,6,0)</f>
        <v>ESMALTES</v>
      </c>
      <c r="X2388" t="str">
        <f>VLOOKUP(L2388,'[2]tabela de preços'!$A:$G,7,0)</f>
        <v>INDUSTRIAL</v>
      </c>
    </row>
    <row r="2389" spans="1:24" x14ac:dyDescent="0.3">
      <c r="A2389" t="s">
        <v>575</v>
      </c>
      <c r="B2389" t="s">
        <v>576</v>
      </c>
      <c r="C2389" t="s">
        <v>2371</v>
      </c>
      <c r="D2389" s="1">
        <v>46052</v>
      </c>
      <c r="E2389" t="s">
        <v>2372</v>
      </c>
      <c r="F2389">
        <v>9</v>
      </c>
      <c r="G2389">
        <v>231</v>
      </c>
      <c r="H2389" t="str">
        <f>VLOOKUP(G2389,[1]OPERADORES!$A:$B,2,0)</f>
        <v>EDIJANE</v>
      </c>
      <c r="I2389" t="s">
        <v>21</v>
      </c>
      <c r="J2389" t="s">
        <v>66</v>
      </c>
      <c r="K2389" t="s">
        <v>579</v>
      </c>
      <c r="L2389">
        <v>85140</v>
      </c>
      <c r="M2389" t="s">
        <v>625</v>
      </c>
      <c r="O2389" t="s">
        <v>46</v>
      </c>
      <c r="P2389">
        <v>5405</v>
      </c>
      <c r="Q2389">
        <v>1</v>
      </c>
      <c r="R2389">
        <v>206.54</v>
      </c>
      <c r="S2389">
        <v>206.54</v>
      </c>
      <c r="T2389">
        <v>156.77000000000001</v>
      </c>
      <c r="U2389">
        <v>24.1</v>
      </c>
      <c r="V2389" t="str">
        <f>VLOOKUP(L2389,'[2]tabela de preços'!$A:$D,4,0)</f>
        <v>MULTILONA</v>
      </c>
      <c r="W2389" t="str">
        <f>VLOOKUP(L2389,'[2]tabela de preços'!$A:$F,6,0)</f>
        <v>LONAS</v>
      </c>
      <c r="X2389" t="str">
        <f>VLOOKUP(L2389,'[2]tabela de preços'!$A:$G,7,0)</f>
        <v>IMOBILIÁRIO</v>
      </c>
    </row>
    <row r="2390" spans="1:24" x14ac:dyDescent="0.3">
      <c r="A2390" t="s">
        <v>575</v>
      </c>
      <c r="B2390" t="s">
        <v>576</v>
      </c>
      <c r="C2390" t="s">
        <v>2371</v>
      </c>
      <c r="D2390" s="1">
        <v>46052</v>
      </c>
      <c r="E2390" t="s">
        <v>2372</v>
      </c>
      <c r="F2390">
        <v>9</v>
      </c>
      <c r="G2390">
        <v>231</v>
      </c>
      <c r="H2390" t="str">
        <f>VLOOKUP(G2390,[1]OPERADORES!$A:$B,2,0)</f>
        <v>EDIJANE</v>
      </c>
      <c r="I2390" t="s">
        <v>21</v>
      </c>
      <c r="J2390" t="s">
        <v>66</v>
      </c>
      <c r="K2390" t="s">
        <v>579</v>
      </c>
      <c r="L2390">
        <v>85558</v>
      </c>
      <c r="M2390" t="s">
        <v>1643</v>
      </c>
      <c r="O2390" t="s">
        <v>11</v>
      </c>
      <c r="P2390">
        <v>5405</v>
      </c>
      <c r="Q2390">
        <v>2</v>
      </c>
      <c r="R2390">
        <v>164.47</v>
      </c>
      <c r="S2390">
        <v>328.94</v>
      </c>
      <c r="T2390">
        <v>249.66</v>
      </c>
      <c r="U2390">
        <v>24.1</v>
      </c>
      <c r="V2390" t="str">
        <f>VLOOKUP(L2390,'[2]tabela de preços'!$A:$D,4,0)</f>
        <v>BRASILUX</v>
      </c>
      <c r="W2390" t="str">
        <f>VLOOKUP(L2390,'[2]tabela de preços'!$A:$F,6,0)</f>
        <v>EPOXI</v>
      </c>
      <c r="X2390" t="str">
        <f>VLOOKUP(L2390,'[2]tabela de preços'!$A:$G,7,0)</f>
        <v>INDUSTRIAL</v>
      </c>
    </row>
    <row r="2391" spans="1:24" x14ac:dyDescent="0.3">
      <c r="A2391" t="s">
        <v>626</v>
      </c>
      <c r="B2391" t="s">
        <v>627</v>
      </c>
      <c r="C2391" t="s">
        <v>2373</v>
      </c>
      <c r="D2391" s="1">
        <v>46052</v>
      </c>
      <c r="E2391" t="s">
        <v>2374</v>
      </c>
      <c r="F2391">
        <v>9</v>
      </c>
      <c r="G2391">
        <v>174</v>
      </c>
      <c r="H2391" t="str">
        <f>VLOOKUP(G2391,[1]OPERADORES!$A:$B,2,0)</f>
        <v>MIRIÃ LOBATO RODRIGUES</v>
      </c>
      <c r="I2391" t="s">
        <v>21</v>
      </c>
      <c r="J2391" t="s">
        <v>630</v>
      </c>
      <c r="K2391" t="s">
        <v>631</v>
      </c>
      <c r="L2391">
        <v>20333</v>
      </c>
      <c r="M2391" t="s">
        <v>2375</v>
      </c>
      <c r="O2391" t="s">
        <v>11</v>
      </c>
      <c r="P2391">
        <v>5403</v>
      </c>
      <c r="Q2391">
        <v>2</v>
      </c>
      <c r="R2391">
        <v>62.82</v>
      </c>
      <c r="S2391">
        <v>125.64</v>
      </c>
      <c r="T2391">
        <v>89.58</v>
      </c>
      <c r="U2391">
        <v>28.7</v>
      </c>
      <c r="V2391" t="str">
        <f>VLOOKUP(L2391,'[2]tabela de preços'!$A:$D,4,0)</f>
        <v>SHERWIN WILLIAMS</v>
      </c>
      <c r="W2391" t="str">
        <f>VLOOKUP(L2391,'[2]tabela de preços'!$A:$F,6,0)</f>
        <v>TINTAS POLIÉSTER</v>
      </c>
      <c r="X2391" t="str">
        <f>VLOOKUP(L2391,'[2]tabela de preços'!$A:$G,7,0)</f>
        <v>AUTOMOTIVO</v>
      </c>
    </row>
    <row r="2392" spans="1:24" x14ac:dyDescent="0.3">
      <c r="A2392" t="s">
        <v>840</v>
      </c>
      <c r="C2392" t="s">
        <v>2376</v>
      </c>
      <c r="D2392" s="1">
        <v>46052</v>
      </c>
      <c r="E2392" t="s">
        <v>2377</v>
      </c>
      <c r="F2392">
        <v>9</v>
      </c>
      <c r="G2392">
        <v>231</v>
      </c>
      <c r="H2392" t="str">
        <f>VLOOKUP(G2392,[1]OPERADORES!$A:$B,2,0)</f>
        <v>EDIJANE</v>
      </c>
      <c r="I2392" t="s">
        <v>21</v>
      </c>
      <c r="J2392" t="s">
        <v>843</v>
      </c>
      <c r="K2392" t="s">
        <v>844</v>
      </c>
      <c r="L2392">
        <v>85318</v>
      </c>
      <c r="M2392" t="s">
        <v>258</v>
      </c>
      <c r="O2392" t="s">
        <v>11</v>
      </c>
      <c r="P2392">
        <v>5102</v>
      </c>
      <c r="Q2392">
        <v>1</v>
      </c>
      <c r="R2392">
        <v>674.43</v>
      </c>
      <c r="S2392">
        <v>674.43</v>
      </c>
      <c r="T2392">
        <v>552.80999999999995</v>
      </c>
      <c r="U2392">
        <v>18.03</v>
      </c>
      <c r="V2392" t="str">
        <f>VLOOKUP(L2392,'[2]tabela de preços'!$A:$D,4,0)</f>
        <v>BRASILUX</v>
      </c>
      <c r="W2392" t="str">
        <f>VLOOKUP(L2392,'[2]tabela de preços'!$A:$F,6,0)</f>
        <v>TINTA EM PÓ</v>
      </c>
      <c r="X2392" t="str">
        <f>VLOOKUP(L2392,'[2]tabela de preços'!$A:$G,7,0)</f>
        <v>INDUSTRIAL</v>
      </c>
    </row>
    <row r="2393" spans="1:24" x14ac:dyDescent="0.3">
      <c r="A2393" t="s">
        <v>846</v>
      </c>
      <c r="C2393" t="s">
        <v>2378</v>
      </c>
      <c r="D2393" s="1">
        <v>46052</v>
      </c>
      <c r="E2393" t="s">
        <v>2379</v>
      </c>
      <c r="F2393">
        <v>9</v>
      </c>
      <c r="G2393">
        <v>174</v>
      </c>
      <c r="H2393" t="str">
        <f>VLOOKUP(G2393,[1]OPERADORES!$A:$B,2,0)</f>
        <v>MIRIÃ LOBATO RODRIGUES</v>
      </c>
      <c r="I2393" t="s">
        <v>21</v>
      </c>
      <c r="J2393" t="s">
        <v>339</v>
      </c>
      <c r="K2393" t="s">
        <v>849</v>
      </c>
      <c r="L2393">
        <v>24241</v>
      </c>
      <c r="M2393" t="s">
        <v>233</v>
      </c>
      <c r="O2393" t="s">
        <v>11</v>
      </c>
      <c r="P2393">
        <v>5102</v>
      </c>
      <c r="Q2393">
        <v>30</v>
      </c>
      <c r="R2393">
        <v>12.2</v>
      </c>
      <c r="S2393">
        <v>366</v>
      </c>
      <c r="T2393">
        <v>277.8</v>
      </c>
      <c r="U2393">
        <v>24.1</v>
      </c>
      <c r="V2393" t="str">
        <f>VLOOKUP(L2393,'[2]tabela de preços'!$A:$D,4,0)</f>
        <v>ADERE</v>
      </c>
      <c r="W2393" t="str">
        <f>VLOOKUP(L2393,'[2]tabela de preços'!$A:$F,6,0)</f>
        <v>FITA AUTOMOTIVA</v>
      </c>
      <c r="X2393" t="str">
        <f>VLOOKUP(L2393,'[2]tabela de preços'!$A:$G,7,0)</f>
        <v>AUTOMOTIVO</v>
      </c>
    </row>
    <row r="2394" spans="1:24" x14ac:dyDescent="0.3">
      <c r="A2394" t="s">
        <v>846</v>
      </c>
      <c r="C2394" t="s">
        <v>2378</v>
      </c>
      <c r="D2394" s="1">
        <v>46052</v>
      </c>
      <c r="E2394" t="s">
        <v>2379</v>
      </c>
      <c r="F2394">
        <v>9</v>
      </c>
      <c r="G2394">
        <v>174</v>
      </c>
      <c r="H2394" t="str">
        <f>VLOOKUP(G2394,[1]OPERADORES!$A:$B,2,0)</f>
        <v>MIRIÃ LOBATO RODRIGUES</v>
      </c>
      <c r="I2394" t="s">
        <v>21</v>
      </c>
      <c r="J2394" t="s">
        <v>339</v>
      </c>
      <c r="K2394" t="s">
        <v>849</v>
      </c>
      <c r="L2394">
        <v>84785</v>
      </c>
      <c r="M2394" t="s">
        <v>944</v>
      </c>
      <c r="O2394" t="s">
        <v>11</v>
      </c>
      <c r="P2394">
        <v>5403</v>
      </c>
      <c r="Q2394">
        <v>20</v>
      </c>
      <c r="R2394">
        <v>172.23</v>
      </c>
      <c r="S2394" s="2">
        <v>3444.6</v>
      </c>
      <c r="T2394" s="2">
        <v>2614.4</v>
      </c>
      <c r="U2394">
        <v>24.1</v>
      </c>
      <c r="V2394" t="str">
        <f>VLOOKUP(L2394,'[2]tabela de preços'!$A:$D,4,0)</f>
        <v>BRASILUX</v>
      </c>
      <c r="W2394" t="str">
        <f>VLOOKUP(L2394,'[2]tabela de preços'!$A:$F,6,0)</f>
        <v>EPOXI</v>
      </c>
      <c r="X2394" t="str">
        <f>VLOOKUP(L2394,'[2]tabela de preços'!$A:$G,7,0)</f>
        <v>INDUSTRIAL</v>
      </c>
    </row>
    <row r="2395" spans="1:24" x14ac:dyDescent="0.3">
      <c r="A2395" t="s">
        <v>846</v>
      </c>
      <c r="C2395" t="s">
        <v>2378</v>
      </c>
      <c r="D2395" s="1">
        <v>46052</v>
      </c>
      <c r="E2395" t="s">
        <v>2379</v>
      </c>
      <c r="F2395">
        <v>9</v>
      </c>
      <c r="G2395">
        <v>174</v>
      </c>
      <c r="H2395" t="str">
        <f>VLOOKUP(G2395,[1]OPERADORES!$A:$B,2,0)</f>
        <v>MIRIÃ LOBATO RODRIGUES</v>
      </c>
      <c r="I2395" t="s">
        <v>21</v>
      </c>
      <c r="J2395" t="s">
        <v>339</v>
      </c>
      <c r="K2395" t="s">
        <v>849</v>
      </c>
      <c r="L2395">
        <v>84423</v>
      </c>
      <c r="M2395" t="s">
        <v>1198</v>
      </c>
      <c r="O2395" t="s">
        <v>11</v>
      </c>
      <c r="P2395">
        <v>5102</v>
      </c>
      <c r="Q2395">
        <v>10</v>
      </c>
      <c r="R2395">
        <v>17.82</v>
      </c>
      <c r="S2395">
        <v>178.2</v>
      </c>
      <c r="T2395">
        <v>135.19999999999999</v>
      </c>
      <c r="U2395">
        <v>24.13</v>
      </c>
      <c r="V2395" t="str">
        <f>VLOOKUP(L2395,'[2]tabela de preços'!$A:$D,4,0)</f>
        <v>ATLAS</v>
      </c>
      <c r="W2395" t="str">
        <f>VLOOKUP(L2395,'[2]tabela de preços'!$A:$F,6,0)</f>
        <v>ROLOS / TRINCHAS / PINCÉIS / ESPÁTULAS</v>
      </c>
      <c r="X2395" t="str">
        <f>VLOOKUP(L2395,'[2]tabela de preços'!$A:$G,7,0)</f>
        <v>IMOBILIÁRIO</v>
      </c>
    </row>
    <row r="2396" spans="1:24" x14ac:dyDescent="0.3">
      <c r="A2396" t="s">
        <v>846</v>
      </c>
      <c r="C2396" t="s">
        <v>2378</v>
      </c>
      <c r="D2396" s="1">
        <v>46052</v>
      </c>
      <c r="E2396" t="s">
        <v>2379</v>
      </c>
      <c r="F2396">
        <v>9</v>
      </c>
      <c r="G2396">
        <v>174</v>
      </c>
      <c r="H2396" t="str">
        <f>VLOOKUP(G2396,[1]OPERADORES!$A:$B,2,0)</f>
        <v>MIRIÃ LOBATO RODRIGUES</v>
      </c>
      <c r="I2396" t="s">
        <v>21</v>
      </c>
      <c r="J2396" t="s">
        <v>339</v>
      </c>
      <c r="K2396" t="s">
        <v>849</v>
      </c>
      <c r="L2396">
        <v>84422</v>
      </c>
      <c r="M2396" t="s">
        <v>569</v>
      </c>
      <c r="O2396" t="s">
        <v>11</v>
      </c>
      <c r="P2396">
        <v>5102</v>
      </c>
      <c r="Q2396">
        <v>2</v>
      </c>
      <c r="R2396">
        <v>9.32</v>
      </c>
      <c r="S2396">
        <v>18.64</v>
      </c>
      <c r="T2396">
        <v>14.16</v>
      </c>
      <c r="U2396">
        <v>24.03</v>
      </c>
      <c r="V2396" t="str">
        <f>VLOOKUP(L2396,'[2]tabela de preços'!$A:$D,4,0)</f>
        <v>ATLAS</v>
      </c>
      <c r="W2396" t="str">
        <f>VLOOKUP(L2396,'[2]tabela de preços'!$A:$F,6,0)</f>
        <v>ROLOS / TRINCHAS / PINCÉIS / ESPÁTULAS</v>
      </c>
      <c r="X2396" t="str">
        <f>VLOOKUP(L2396,'[2]tabela de preços'!$A:$G,7,0)</f>
        <v>IMOBILIÁRIO</v>
      </c>
    </row>
    <row r="2397" spans="1:24" x14ac:dyDescent="0.3">
      <c r="A2397" t="s">
        <v>846</v>
      </c>
      <c r="C2397" t="s">
        <v>2378</v>
      </c>
      <c r="D2397" s="1">
        <v>46052</v>
      </c>
      <c r="E2397" t="s">
        <v>2379</v>
      </c>
      <c r="F2397">
        <v>9</v>
      </c>
      <c r="G2397">
        <v>174</v>
      </c>
      <c r="H2397" t="str">
        <f>VLOOKUP(G2397,[1]OPERADORES!$A:$B,2,0)</f>
        <v>MIRIÃ LOBATO RODRIGUES</v>
      </c>
      <c r="I2397" t="s">
        <v>21</v>
      </c>
      <c r="J2397" t="s">
        <v>339</v>
      </c>
      <c r="K2397" t="s">
        <v>849</v>
      </c>
      <c r="L2397">
        <v>84499</v>
      </c>
      <c r="M2397" t="s">
        <v>534</v>
      </c>
      <c r="O2397" t="s">
        <v>11</v>
      </c>
      <c r="P2397">
        <v>5102</v>
      </c>
      <c r="Q2397">
        <v>8</v>
      </c>
      <c r="R2397">
        <v>176.61</v>
      </c>
      <c r="S2397" s="2">
        <v>1412.88</v>
      </c>
      <c r="T2397" s="2">
        <v>1072.4000000000001</v>
      </c>
      <c r="U2397">
        <v>24.1</v>
      </c>
      <c r="V2397" t="str">
        <f>VLOOKUP(L2397,'[2]tabela de preços'!$A:$D,4,0)</f>
        <v>BRASILUX</v>
      </c>
      <c r="W2397" t="str">
        <f>VLOOKUP(L2397,'[2]tabela de preços'!$A:$F,6,0)</f>
        <v>THINNER DE LIMPEZA</v>
      </c>
      <c r="X2397" t="str">
        <f>VLOOKUP(L2397,'[2]tabela de preços'!$A:$G,7,0)</f>
        <v>THINNER</v>
      </c>
    </row>
    <row r="2398" spans="1:24" x14ac:dyDescent="0.3">
      <c r="A2398" t="s">
        <v>846</v>
      </c>
      <c r="C2398" t="s">
        <v>2378</v>
      </c>
      <c r="D2398" s="1">
        <v>46052</v>
      </c>
      <c r="E2398" t="s">
        <v>2379</v>
      </c>
      <c r="F2398">
        <v>9</v>
      </c>
      <c r="G2398">
        <v>174</v>
      </c>
      <c r="H2398" t="str">
        <f>VLOOKUP(G2398,[1]OPERADORES!$A:$B,2,0)</f>
        <v>MIRIÃ LOBATO RODRIGUES</v>
      </c>
      <c r="I2398" t="s">
        <v>21</v>
      </c>
      <c r="J2398" t="s">
        <v>339</v>
      </c>
      <c r="K2398" t="s">
        <v>849</v>
      </c>
      <c r="L2398">
        <v>84898</v>
      </c>
      <c r="M2398" t="s">
        <v>853</v>
      </c>
      <c r="O2398" t="s">
        <v>11</v>
      </c>
      <c r="P2398">
        <v>5403</v>
      </c>
      <c r="Q2398">
        <v>20</v>
      </c>
      <c r="R2398">
        <v>209.03</v>
      </c>
      <c r="S2398" s="2">
        <v>4180.6000000000004</v>
      </c>
      <c r="T2398" s="2">
        <v>2571.4</v>
      </c>
      <c r="U2398">
        <v>38.49</v>
      </c>
      <c r="V2398" t="str">
        <f>VLOOKUP(L2398,'[2]tabela de preços'!$A:$D,4,0)</f>
        <v>BRASILUX</v>
      </c>
      <c r="W2398" t="str">
        <f>VLOOKUP(L2398,'[2]tabela de preços'!$A:$F,6,0)</f>
        <v>EPOXI</v>
      </c>
      <c r="X2398" t="str">
        <f>VLOOKUP(L2398,'[2]tabela de preços'!$A:$G,7,0)</f>
        <v>INDUSTRIAL</v>
      </c>
    </row>
    <row r="2399" spans="1:24" x14ac:dyDescent="0.3">
      <c r="A2399" t="s">
        <v>846</v>
      </c>
      <c r="C2399" t="s">
        <v>2378</v>
      </c>
      <c r="D2399" s="1">
        <v>46052</v>
      </c>
      <c r="E2399" t="s">
        <v>2379</v>
      </c>
      <c r="F2399">
        <v>9</v>
      </c>
      <c r="G2399">
        <v>174</v>
      </c>
      <c r="H2399" t="str">
        <f>VLOOKUP(G2399,[1]OPERADORES!$A:$B,2,0)</f>
        <v>MIRIÃ LOBATO RODRIGUES</v>
      </c>
      <c r="I2399" t="s">
        <v>21</v>
      </c>
      <c r="J2399" t="s">
        <v>339</v>
      </c>
      <c r="K2399" t="s">
        <v>849</v>
      </c>
      <c r="L2399">
        <v>84899</v>
      </c>
      <c r="M2399" t="s">
        <v>854</v>
      </c>
      <c r="O2399" t="s">
        <v>11</v>
      </c>
      <c r="P2399">
        <v>5403</v>
      </c>
      <c r="Q2399">
        <v>2</v>
      </c>
      <c r="R2399">
        <v>169.39</v>
      </c>
      <c r="S2399">
        <v>338.78</v>
      </c>
      <c r="T2399">
        <v>257.14</v>
      </c>
      <c r="U2399">
        <v>24.1</v>
      </c>
      <c r="V2399" t="str">
        <f>VLOOKUP(L2399,'[2]tabela de preços'!$A:$D,4,0)</f>
        <v>BRASILUX</v>
      </c>
      <c r="W2399" t="str">
        <f>VLOOKUP(L2399,'[2]tabela de preços'!$A:$F,6,0)</f>
        <v>EPOXI</v>
      </c>
      <c r="X2399" t="str">
        <f>VLOOKUP(L2399,'[2]tabela de preços'!$A:$G,7,0)</f>
        <v>INDUSTRIAL</v>
      </c>
    </row>
    <row r="2400" spans="1:24" x14ac:dyDescent="0.3">
      <c r="A2400" t="s">
        <v>846</v>
      </c>
      <c r="C2400" t="s">
        <v>2378</v>
      </c>
      <c r="D2400" s="1">
        <v>46052</v>
      </c>
      <c r="E2400" t="s">
        <v>2379</v>
      </c>
      <c r="F2400">
        <v>9</v>
      </c>
      <c r="G2400">
        <v>174</v>
      </c>
      <c r="H2400" t="str">
        <f>VLOOKUP(G2400,[1]OPERADORES!$A:$B,2,0)</f>
        <v>MIRIÃ LOBATO RODRIGUES</v>
      </c>
      <c r="I2400" t="s">
        <v>21</v>
      </c>
      <c r="J2400" t="s">
        <v>339</v>
      </c>
      <c r="K2400" t="s">
        <v>849</v>
      </c>
      <c r="L2400">
        <v>86935</v>
      </c>
      <c r="M2400" t="s">
        <v>1521</v>
      </c>
      <c r="O2400" t="s">
        <v>11</v>
      </c>
      <c r="P2400">
        <v>5403</v>
      </c>
      <c r="Q2400">
        <v>16</v>
      </c>
      <c r="R2400">
        <v>219.88</v>
      </c>
      <c r="S2400" s="2">
        <v>3518.08</v>
      </c>
      <c r="T2400" s="2">
        <v>2057.12</v>
      </c>
      <c r="U2400">
        <v>41.53</v>
      </c>
      <c r="V2400" t="str">
        <f>VLOOKUP(L2400,'[2]tabela de preços'!$A:$D,4,0)</f>
        <v>BRASILUX</v>
      </c>
      <c r="W2400" t="str">
        <f>VLOOKUP(L2400,'[2]tabela de preços'!$A:$F,6,0)</f>
        <v>EPOXI</v>
      </c>
      <c r="X2400" t="str">
        <f>VLOOKUP(L2400,'[2]tabela de preços'!$A:$G,7,0)</f>
        <v>INDUSTRIAL</v>
      </c>
    </row>
    <row r="2401" spans="1:24" x14ac:dyDescent="0.3">
      <c r="A2401" t="s">
        <v>868</v>
      </c>
      <c r="B2401" t="s">
        <v>869</v>
      </c>
      <c r="C2401" t="s">
        <v>2380</v>
      </c>
      <c r="D2401" s="1">
        <v>46052</v>
      </c>
      <c r="E2401" t="s">
        <v>2381</v>
      </c>
      <c r="F2401">
        <v>9</v>
      </c>
      <c r="G2401">
        <v>197</v>
      </c>
      <c r="H2401" t="str">
        <f>VLOOKUP(G2401,[1]OPERADORES!$A:$B,2,0)</f>
        <v xml:space="preserve">POLIANA LORRANE DE AMORIM </v>
      </c>
      <c r="I2401" t="s">
        <v>21</v>
      </c>
      <c r="J2401" t="s">
        <v>872</v>
      </c>
      <c r="K2401" t="s">
        <v>873</v>
      </c>
      <c r="L2401">
        <v>84351</v>
      </c>
      <c r="M2401" t="s">
        <v>2152</v>
      </c>
      <c r="O2401" t="s">
        <v>11</v>
      </c>
      <c r="P2401">
        <v>5403</v>
      </c>
      <c r="Q2401">
        <v>5</v>
      </c>
      <c r="R2401">
        <v>59.98</v>
      </c>
      <c r="S2401">
        <v>299.89999999999998</v>
      </c>
      <c r="T2401">
        <v>260</v>
      </c>
      <c r="U2401">
        <v>13.3</v>
      </c>
      <c r="V2401" t="str">
        <f>VLOOKUP(L2401,'[2]tabela de preços'!$A:$D,4,0)</f>
        <v>BRASILUX</v>
      </c>
      <c r="W2401" t="str">
        <f>VLOOKUP(L2401,'[2]tabela de preços'!$A:$F,6,0)</f>
        <v>ESMALTES</v>
      </c>
      <c r="X2401" t="str">
        <f>VLOOKUP(L2401,'[2]tabela de preços'!$A:$G,7,0)</f>
        <v>INDUSTRIAL</v>
      </c>
    </row>
    <row r="2402" spans="1:24" x14ac:dyDescent="0.3">
      <c r="A2402" t="s">
        <v>868</v>
      </c>
      <c r="B2402" t="s">
        <v>869</v>
      </c>
      <c r="C2402" t="s">
        <v>2380</v>
      </c>
      <c r="D2402" s="1">
        <v>46052</v>
      </c>
      <c r="E2402" t="s">
        <v>2381</v>
      </c>
      <c r="F2402">
        <v>9</v>
      </c>
      <c r="G2402">
        <v>197</v>
      </c>
      <c r="H2402" t="str">
        <f>VLOOKUP(G2402,[1]OPERADORES!$A:$B,2,0)</f>
        <v xml:space="preserve">POLIANA LORRANE DE AMORIM </v>
      </c>
      <c r="I2402" t="s">
        <v>21</v>
      </c>
      <c r="J2402" t="s">
        <v>872</v>
      </c>
      <c r="K2402" t="s">
        <v>873</v>
      </c>
      <c r="L2402">
        <v>84334</v>
      </c>
      <c r="M2402" t="s">
        <v>895</v>
      </c>
      <c r="O2402" t="s">
        <v>11</v>
      </c>
      <c r="P2402">
        <v>5403</v>
      </c>
      <c r="Q2402">
        <v>10</v>
      </c>
      <c r="R2402">
        <v>59.98</v>
      </c>
      <c r="S2402">
        <v>599.79999999999995</v>
      </c>
      <c r="T2402">
        <v>476.6</v>
      </c>
      <c r="U2402">
        <v>20.54</v>
      </c>
      <c r="V2402" t="str">
        <f>VLOOKUP(L2402,'[2]tabela de preços'!$A:$D,4,0)</f>
        <v>BRASILUX</v>
      </c>
      <c r="W2402" t="str">
        <f>VLOOKUP(L2402,'[2]tabela de preços'!$A:$F,6,0)</f>
        <v>ESMALTES</v>
      </c>
      <c r="X2402" t="str">
        <f>VLOOKUP(L2402,'[2]tabela de preços'!$A:$G,7,0)</f>
        <v>INDUSTRIAL</v>
      </c>
    </row>
    <row r="2403" spans="1:24" x14ac:dyDescent="0.3">
      <c r="A2403" t="s">
        <v>1135</v>
      </c>
      <c r="C2403" t="s">
        <v>2382</v>
      </c>
      <c r="D2403" s="1">
        <v>46052</v>
      </c>
      <c r="E2403" t="s">
        <v>2383</v>
      </c>
      <c r="F2403">
        <v>9</v>
      </c>
      <c r="G2403">
        <v>230</v>
      </c>
      <c r="H2403" t="str">
        <f>VLOOKUP(G2403,[1]OPERADORES!$A:$B,2,0)</f>
        <v>SÔNIA</v>
      </c>
      <c r="I2403" t="s">
        <v>1138</v>
      </c>
      <c r="J2403" t="s">
        <v>1139</v>
      </c>
      <c r="K2403" t="s">
        <v>1140</v>
      </c>
      <c r="L2403">
        <v>10236</v>
      </c>
      <c r="M2403" t="s">
        <v>133</v>
      </c>
      <c r="O2403" t="s">
        <v>11</v>
      </c>
      <c r="P2403">
        <v>6102</v>
      </c>
      <c r="Q2403">
        <v>204</v>
      </c>
      <c r="R2403">
        <v>2.79</v>
      </c>
      <c r="S2403">
        <v>569.16</v>
      </c>
      <c r="T2403">
        <v>473.28</v>
      </c>
      <c r="U2403">
        <v>16.850000000000001</v>
      </c>
      <c r="V2403" t="str">
        <f>VLOOKUP(L2403,'[2]tabela de preços'!$A:$D,4,0)</f>
        <v>NORTON</v>
      </c>
      <c r="W2403" t="str">
        <f>VLOOKUP(L2403,'[2]tabela de preços'!$A:$F,6,0)</f>
        <v xml:space="preserve">DISCOS / LIXAS / ABRASIVOS </v>
      </c>
      <c r="X2403" t="str">
        <f>VLOOKUP(L2403,'[2]tabela de preços'!$A:$G,7,0)</f>
        <v>AUTOMOTIVO</v>
      </c>
    </row>
    <row r="2404" spans="1:24" x14ac:dyDescent="0.3">
      <c r="A2404" t="s">
        <v>1135</v>
      </c>
      <c r="C2404" t="s">
        <v>2382</v>
      </c>
      <c r="D2404" s="1">
        <v>46052</v>
      </c>
      <c r="E2404" t="s">
        <v>2383</v>
      </c>
      <c r="F2404">
        <v>9</v>
      </c>
      <c r="G2404">
        <v>230</v>
      </c>
      <c r="H2404" t="str">
        <f>VLOOKUP(G2404,[1]OPERADORES!$A:$B,2,0)</f>
        <v>SÔNIA</v>
      </c>
      <c r="I2404" t="s">
        <v>1138</v>
      </c>
      <c r="J2404" t="s">
        <v>1139</v>
      </c>
      <c r="K2404" t="s">
        <v>1140</v>
      </c>
      <c r="L2404">
        <v>10226</v>
      </c>
      <c r="M2404" t="s">
        <v>145</v>
      </c>
      <c r="O2404" t="s">
        <v>11</v>
      </c>
      <c r="P2404">
        <v>6102</v>
      </c>
      <c r="Q2404">
        <v>102</v>
      </c>
      <c r="R2404">
        <v>2.79</v>
      </c>
      <c r="S2404">
        <v>284.58</v>
      </c>
      <c r="T2404">
        <v>236.64</v>
      </c>
      <c r="U2404">
        <v>16.850000000000001</v>
      </c>
      <c r="V2404" t="str">
        <f>VLOOKUP(L2404,'[2]tabela de preços'!$A:$D,4,0)</f>
        <v>NORTON</v>
      </c>
      <c r="W2404" t="str">
        <f>VLOOKUP(L2404,'[2]tabela de preços'!$A:$F,6,0)</f>
        <v xml:space="preserve">DISCOS / LIXAS / ABRASIVOS </v>
      </c>
      <c r="X2404" t="str">
        <f>VLOOKUP(L2404,'[2]tabela de preços'!$A:$G,7,0)</f>
        <v>AUTOMOTIVO</v>
      </c>
    </row>
    <row r="2405" spans="1:24" x14ac:dyDescent="0.3">
      <c r="A2405" t="s">
        <v>1135</v>
      </c>
      <c r="C2405" t="s">
        <v>2382</v>
      </c>
      <c r="D2405" s="1">
        <v>46052</v>
      </c>
      <c r="E2405" t="s">
        <v>2383</v>
      </c>
      <c r="F2405">
        <v>9</v>
      </c>
      <c r="G2405">
        <v>230</v>
      </c>
      <c r="H2405" t="str">
        <f>VLOOKUP(G2405,[1]OPERADORES!$A:$B,2,0)</f>
        <v>SÔNIA</v>
      </c>
      <c r="I2405" t="s">
        <v>1138</v>
      </c>
      <c r="J2405" t="s">
        <v>1139</v>
      </c>
      <c r="K2405" t="s">
        <v>1140</v>
      </c>
      <c r="L2405">
        <v>23267</v>
      </c>
      <c r="M2405" t="s">
        <v>164</v>
      </c>
      <c r="O2405" t="s">
        <v>11</v>
      </c>
      <c r="P2405">
        <v>6102</v>
      </c>
      <c r="Q2405">
        <v>12</v>
      </c>
      <c r="R2405">
        <v>22.89</v>
      </c>
      <c r="S2405">
        <v>274.68</v>
      </c>
      <c r="T2405">
        <v>234.48</v>
      </c>
      <c r="U2405">
        <v>14.64</v>
      </c>
      <c r="V2405" t="str">
        <f>VLOOKUP(L2405,'[2]tabela de preços'!$A:$D,4,0)</f>
        <v>ANJO</v>
      </c>
      <c r="W2405" t="str">
        <f>VLOOKUP(L2405,'[2]tabela de preços'!$A:$F,6,0)</f>
        <v>MASSA POLIÉSTER</v>
      </c>
      <c r="X2405" t="str">
        <f>VLOOKUP(L2405,'[2]tabela de preços'!$A:$G,7,0)</f>
        <v>AUTOMOTIVO</v>
      </c>
    </row>
    <row r="2406" spans="1:24" x14ac:dyDescent="0.3">
      <c r="A2406" t="s">
        <v>1135</v>
      </c>
      <c r="C2406" t="s">
        <v>2382</v>
      </c>
      <c r="D2406" s="1">
        <v>46052</v>
      </c>
      <c r="E2406" t="s">
        <v>2383</v>
      </c>
      <c r="F2406">
        <v>9</v>
      </c>
      <c r="G2406">
        <v>230</v>
      </c>
      <c r="H2406" t="str">
        <f>VLOOKUP(G2406,[1]OPERADORES!$A:$B,2,0)</f>
        <v>SÔNIA</v>
      </c>
      <c r="I2406" t="s">
        <v>1138</v>
      </c>
      <c r="J2406" t="s">
        <v>1139</v>
      </c>
      <c r="K2406" t="s">
        <v>1140</v>
      </c>
      <c r="L2406">
        <v>10298</v>
      </c>
      <c r="M2406" t="s">
        <v>85</v>
      </c>
      <c r="O2406" t="s">
        <v>11</v>
      </c>
      <c r="P2406">
        <v>6102</v>
      </c>
      <c r="Q2406">
        <v>8</v>
      </c>
      <c r="R2406">
        <v>56.89</v>
      </c>
      <c r="S2406">
        <v>455.12</v>
      </c>
      <c r="T2406">
        <v>379.04</v>
      </c>
      <c r="U2406">
        <v>16.72</v>
      </c>
      <c r="V2406" t="str">
        <f>VLOOKUP(L2406,'[2]tabela de preços'!$A:$D,4,0)</f>
        <v>ANJO</v>
      </c>
      <c r="W2406" t="str">
        <f>VLOOKUP(L2406,'[2]tabela de preços'!$A:$F,6,0)</f>
        <v>THINNER DE LIMPEZA</v>
      </c>
      <c r="X2406" t="str">
        <f>VLOOKUP(L2406,'[2]tabela de preços'!$A:$G,7,0)</f>
        <v>THINNER</v>
      </c>
    </row>
    <row r="2407" spans="1:24" x14ac:dyDescent="0.3">
      <c r="A2407" t="s">
        <v>1222</v>
      </c>
      <c r="C2407" t="s">
        <v>2384</v>
      </c>
      <c r="D2407" s="1">
        <v>46052</v>
      </c>
      <c r="E2407" t="s">
        <v>2385</v>
      </c>
      <c r="F2407">
        <v>9</v>
      </c>
      <c r="G2407">
        <v>174</v>
      </c>
      <c r="H2407" t="str">
        <f>VLOOKUP(G2407,[1]OPERADORES!$A:$B,2,0)</f>
        <v>MIRIÃ LOBATO RODRIGUES</v>
      </c>
      <c r="I2407" t="s">
        <v>21</v>
      </c>
      <c r="J2407" t="s">
        <v>1225</v>
      </c>
      <c r="K2407" t="s">
        <v>1226</v>
      </c>
      <c r="L2407">
        <v>23076</v>
      </c>
      <c r="M2407" t="s">
        <v>97</v>
      </c>
      <c r="O2407" t="s">
        <v>11</v>
      </c>
      <c r="P2407">
        <v>5405</v>
      </c>
      <c r="Q2407">
        <v>12</v>
      </c>
      <c r="R2407">
        <v>34.89</v>
      </c>
      <c r="S2407">
        <v>418.68</v>
      </c>
      <c r="T2407">
        <v>318.36</v>
      </c>
      <c r="U2407">
        <v>23.96</v>
      </c>
      <c r="V2407" t="str">
        <f>VLOOKUP(L2407,'[2]tabela de preços'!$A:$D,4,0)</f>
        <v>WANDA</v>
      </c>
      <c r="W2407" t="str">
        <f>VLOOKUP(L2407,'[2]tabela de preços'!$A:$F,6,0)</f>
        <v>PRIMER AUTOMOTIVO</v>
      </c>
      <c r="X2407" t="str">
        <f>VLOOKUP(L2407,'[2]tabela de preços'!$A:$G,7,0)</f>
        <v>AUTOMOTIVO</v>
      </c>
    </row>
    <row r="2408" spans="1:24" x14ac:dyDescent="0.3">
      <c r="A2408" t="s">
        <v>1222</v>
      </c>
      <c r="C2408" t="s">
        <v>2384</v>
      </c>
      <c r="D2408" s="1">
        <v>46052</v>
      </c>
      <c r="E2408" t="s">
        <v>2385</v>
      </c>
      <c r="F2408">
        <v>9</v>
      </c>
      <c r="G2408">
        <v>174</v>
      </c>
      <c r="H2408" t="str">
        <f>VLOOKUP(G2408,[1]OPERADORES!$A:$B,2,0)</f>
        <v>MIRIÃ LOBATO RODRIGUES</v>
      </c>
      <c r="I2408" t="s">
        <v>21</v>
      </c>
      <c r="J2408" t="s">
        <v>1225</v>
      </c>
      <c r="K2408" t="s">
        <v>1226</v>
      </c>
      <c r="L2408">
        <v>23690</v>
      </c>
      <c r="M2408" t="s">
        <v>98</v>
      </c>
      <c r="O2408" t="s">
        <v>11</v>
      </c>
      <c r="P2408">
        <v>5405</v>
      </c>
      <c r="Q2408">
        <v>6</v>
      </c>
      <c r="R2408">
        <v>39.89</v>
      </c>
      <c r="S2408">
        <v>239.34</v>
      </c>
      <c r="T2408">
        <v>189.66</v>
      </c>
      <c r="U2408">
        <v>20.76</v>
      </c>
      <c r="V2408" t="str">
        <f>VLOOKUP(L2408,'[2]tabela de preços'!$A:$D,4,0)</f>
        <v>WANDA</v>
      </c>
      <c r="W2408" t="str">
        <f>VLOOKUP(L2408,'[2]tabela de preços'!$A:$F,6,0)</f>
        <v>VERNIZ AUTOMOTIVO</v>
      </c>
      <c r="X2408" t="str">
        <f>VLOOKUP(L2408,'[2]tabela de preços'!$A:$G,7,0)</f>
        <v>AUTOMOTIVO</v>
      </c>
    </row>
    <row r="2409" spans="1:24" x14ac:dyDescent="0.3">
      <c r="A2409" t="s">
        <v>1222</v>
      </c>
      <c r="C2409" t="s">
        <v>2384</v>
      </c>
      <c r="D2409" s="1">
        <v>46052</v>
      </c>
      <c r="E2409" t="s">
        <v>2385</v>
      </c>
      <c r="F2409">
        <v>9</v>
      </c>
      <c r="G2409">
        <v>174</v>
      </c>
      <c r="H2409" t="str">
        <f>VLOOKUP(G2409,[1]OPERADORES!$A:$B,2,0)</f>
        <v>MIRIÃ LOBATO RODRIGUES</v>
      </c>
      <c r="I2409" t="s">
        <v>21</v>
      </c>
      <c r="J2409" t="s">
        <v>1225</v>
      </c>
      <c r="K2409" t="s">
        <v>1226</v>
      </c>
      <c r="L2409">
        <v>20431</v>
      </c>
      <c r="M2409" t="s">
        <v>202</v>
      </c>
      <c r="O2409" t="s">
        <v>11</v>
      </c>
      <c r="P2409">
        <v>5405</v>
      </c>
      <c r="Q2409">
        <v>9</v>
      </c>
      <c r="R2409">
        <v>36.89</v>
      </c>
      <c r="S2409">
        <v>332.01</v>
      </c>
      <c r="T2409">
        <v>272.33999999999997</v>
      </c>
      <c r="U2409">
        <v>17.97</v>
      </c>
      <c r="V2409" t="str">
        <f>VLOOKUP(L2409,'[2]tabela de preços'!$A:$D,4,0)</f>
        <v>SHERWIN WILLIAMS</v>
      </c>
      <c r="W2409" t="str">
        <f>VLOOKUP(L2409,'[2]tabela de preços'!$A:$F,6,0)</f>
        <v>VERNIZ AUTOMOTIVO</v>
      </c>
      <c r="X2409" t="str">
        <f>VLOOKUP(L2409,'[2]tabela de preços'!$A:$G,7,0)</f>
        <v>AUTOMOTIVO</v>
      </c>
    </row>
    <row r="2410" spans="1:24" x14ac:dyDescent="0.3">
      <c r="A2410" t="s">
        <v>1424</v>
      </c>
      <c r="C2410" t="s">
        <v>2386</v>
      </c>
      <c r="D2410" s="1">
        <v>46052</v>
      </c>
      <c r="E2410" t="s">
        <v>2387</v>
      </c>
      <c r="F2410">
        <v>9</v>
      </c>
      <c r="G2410">
        <v>230</v>
      </c>
      <c r="H2410" t="str">
        <f>VLOOKUP(G2410,[1]OPERADORES!$A:$B,2,0)</f>
        <v>SÔNIA</v>
      </c>
      <c r="I2410" t="s">
        <v>21</v>
      </c>
      <c r="J2410" t="s">
        <v>1427</v>
      </c>
      <c r="K2410" t="s">
        <v>1428</v>
      </c>
      <c r="L2410">
        <v>84113</v>
      </c>
      <c r="M2410" t="s">
        <v>737</v>
      </c>
      <c r="O2410" t="s">
        <v>11</v>
      </c>
      <c r="P2410">
        <v>5403</v>
      </c>
      <c r="Q2410">
        <v>2</v>
      </c>
      <c r="R2410">
        <v>153.99</v>
      </c>
      <c r="S2410">
        <v>307.98</v>
      </c>
      <c r="T2410">
        <v>233.76</v>
      </c>
      <c r="U2410">
        <v>24.1</v>
      </c>
      <c r="V2410" t="str">
        <f>VLOOKUP(L2410,'[2]tabela de preços'!$A:$D,4,0)</f>
        <v>BRASILUX</v>
      </c>
      <c r="W2410" t="str">
        <f>VLOOKUP(L2410,'[2]tabela de preços'!$A:$F,6,0)</f>
        <v>EPOXI</v>
      </c>
      <c r="X2410" t="str">
        <f>VLOOKUP(L2410,'[2]tabela de preços'!$A:$G,7,0)</f>
        <v>INDUSTRIAL</v>
      </c>
    </row>
    <row r="2411" spans="1:24" x14ac:dyDescent="0.3">
      <c r="A2411" t="s">
        <v>1561</v>
      </c>
      <c r="C2411" t="s">
        <v>2388</v>
      </c>
      <c r="D2411" s="1">
        <v>46052</v>
      </c>
      <c r="E2411" t="s">
        <v>2389</v>
      </c>
      <c r="F2411">
        <v>9</v>
      </c>
      <c r="G2411">
        <v>174</v>
      </c>
      <c r="H2411" t="str">
        <f>VLOOKUP(G2411,[1]OPERADORES!$A:$B,2,0)</f>
        <v>MIRIÃ LOBATO RODRIGUES</v>
      </c>
      <c r="I2411" t="s">
        <v>21</v>
      </c>
      <c r="J2411" t="s">
        <v>1564</v>
      </c>
      <c r="K2411" t="s">
        <v>1565</v>
      </c>
      <c r="L2411">
        <v>84029</v>
      </c>
      <c r="M2411" t="s">
        <v>29</v>
      </c>
      <c r="O2411" t="s">
        <v>11</v>
      </c>
      <c r="P2411">
        <v>5102</v>
      </c>
      <c r="Q2411">
        <v>1</v>
      </c>
      <c r="R2411">
        <v>11.72</v>
      </c>
      <c r="S2411">
        <v>11.72</v>
      </c>
      <c r="T2411">
        <v>8.69</v>
      </c>
      <c r="U2411">
        <v>25.85</v>
      </c>
      <c r="V2411" t="str">
        <f>VLOOKUP(L2411,'[2]tabela de preços'!$A:$D,4,0)</f>
        <v>BRASILUX</v>
      </c>
      <c r="W2411" t="str">
        <f>VLOOKUP(L2411,'[2]tabela de preços'!$A:$F,6,0)</f>
        <v>AGUARRAS</v>
      </c>
      <c r="X2411" t="str">
        <f>VLOOKUP(L2411,'[2]tabela de preços'!$A:$G,7,0)</f>
        <v>IMOBILIÁRIO</v>
      </c>
    </row>
    <row r="2412" spans="1:24" x14ac:dyDescent="0.3">
      <c r="A2412" t="s">
        <v>1561</v>
      </c>
      <c r="C2412" t="s">
        <v>2388</v>
      </c>
      <c r="D2412" s="1">
        <v>46052</v>
      </c>
      <c r="E2412" t="s">
        <v>2389</v>
      </c>
      <c r="F2412">
        <v>9</v>
      </c>
      <c r="G2412">
        <v>174</v>
      </c>
      <c r="H2412" t="str">
        <f>VLOOKUP(G2412,[1]OPERADORES!$A:$B,2,0)</f>
        <v>MIRIÃ LOBATO RODRIGUES</v>
      </c>
      <c r="I2412" t="s">
        <v>21</v>
      </c>
      <c r="J2412" t="s">
        <v>1564</v>
      </c>
      <c r="K2412" t="s">
        <v>1565</v>
      </c>
      <c r="L2412">
        <v>84276</v>
      </c>
      <c r="M2412" t="s">
        <v>1990</v>
      </c>
      <c r="O2412" t="s">
        <v>11</v>
      </c>
      <c r="P2412">
        <v>5403</v>
      </c>
      <c r="Q2412">
        <v>1</v>
      </c>
      <c r="R2412">
        <v>44.76</v>
      </c>
      <c r="S2412">
        <v>44.76</v>
      </c>
      <c r="T2412">
        <v>33.97</v>
      </c>
      <c r="U2412">
        <v>24.11</v>
      </c>
      <c r="V2412" t="str">
        <f>VLOOKUP(L2412,'[2]tabela de preços'!$A:$D,4,0)</f>
        <v>BRASILUX</v>
      </c>
      <c r="W2412" t="str">
        <f>VLOOKUP(L2412,'[2]tabela de preços'!$A:$F,6,0)</f>
        <v>TINTA PAREDE</v>
      </c>
      <c r="X2412" t="str">
        <f>VLOOKUP(L2412,'[2]tabela de preços'!$A:$G,7,0)</f>
        <v>IMOBILIÁRIO</v>
      </c>
    </row>
    <row r="2413" spans="1:24" x14ac:dyDescent="0.3">
      <c r="A2413" t="s">
        <v>1561</v>
      </c>
      <c r="C2413" t="s">
        <v>2388</v>
      </c>
      <c r="D2413" s="1">
        <v>46052</v>
      </c>
      <c r="E2413" t="s">
        <v>2389</v>
      </c>
      <c r="F2413">
        <v>9</v>
      </c>
      <c r="G2413">
        <v>174</v>
      </c>
      <c r="H2413" t="str">
        <f>VLOOKUP(G2413,[1]OPERADORES!$A:$B,2,0)</f>
        <v>MIRIÃ LOBATO RODRIGUES</v>
      </c>
      <c r="I2413" t="s">
        <v>21</v>
      </c>
      <c r="J2413" t="s">
        <v>1564</v>
      </c>
      <c r="K2413" t="s">
        <v>1565</v>
      </c>
      <c r="L2413">
        <v>84277</v>
      </c>
      <c r="M2413" t="s">
        <v>295</v>
      </c>
      <c r="O2413" t="s">
        <v>11</v>
      </c>
      <c r="P2413">
        <v>5403</v>
      </c>
      <c r="Q2413">
        <v>1</v>
      </c>
      <c r="R2413">
        <v>48.6</v>
      </c>
      <c r="S2413">
        <v>48.6</v>
      </c>
      <c r="T2413">
        <v>36.89</v>
      </c>
      <c r="U2413">
        <v>24.09</v>
      </c>
      <c r="V2413" t="str">
        <f>VLOOKUP(L2413,'[2]tabela de preços'!$A:$D,4,0)</f>
        <v>BRASILUX</v>
      </c>
      <c r="W2413" t="str">
        <f>VLOOKUP(L2413,'[2]tabela de preços'!$A:$F,6,0)</f>
        <v>TINTA PAREDE</v>
      </c>
      <c r="X2413" t="str">
        <f>VLOOKUP(L2413,'[2]tabela de preços'!$A:$G,7,0)</f>
        <v>IMOBILIÁRIO</v>
      </c>
    </row>
    <row r="2414" spans="1:24" x14ac:dyDescent="0.3">
      <c r="A2414" t="s">
        <v>1561</v>
      </c>
      <c r="C2414" t="s">
        <v>2388</v>
      </c>
      <c r="D2414" s="1">
        <v>46052</v>
      </c>
      <c r="E2414" t="s">
        <v>2389</v>
      </c>
      <c r="F2414">
        <v>9</v>
      </c>
      <c r="G2414">
        <v>174</v>
      </c>
      <c r="H2414" t="str">
        <f>VLOOKUP(G2414,[1]OPERADORES!$A:$B,2,0)</f>
        <v>MIRIÃ LOBATO RODRIGUES</v>
      </c>
      <c r="I2414" t="s">
        <v>21</v>
      </c>
      <c r="J2414" t="s">
        <v>1564</v>
      </c>
      <c r="K2414" t="s">
        <v>1565</v>
      </c>
      <c r="L2414">
        <v>5</v>
      </c>
      <c r="M2414" t="s">
        <v>147</v>
      </c>
      <c r="O2414" t="s">
        <v>11</v>
      </c>
      <c r="P2414">
        <v>5102</v>
      </c>
      <c r="Q2414">
        <v>1</v>
      </c>
      <c r="R2414">
        <v>5.15</v>
      </c>
      <c r="S2414">
        <v>5.15</v>
      </c>
      <c r="T2414">
        <v>3.91</v>
      </c>
      <c r="U2414">
        <v>24.08</v>
      </c>
      <c r="V2414" t="str">
        <f>VLOOKUP(L2414,'[2]tabela de preços'!$A:$D,4,0)</f>
        <v>BRILHO ESTOPA</v>
      </c>
      <c r="W2414" t="str">
        <f>VLOOKUP(L2414,'[2]tabela de preços'!$A:$F,6,0)</f>
        <v>ESTOPAS</v>
      </c>
      <c r="X2414" t="str">
        <f>VLOOKUP(L2414,'[2]tabela de preços'!$A:$G,7,0)</f>
        <v>AUTOMOTIVO</v>
      </c>
    </row>
    <row r="2415" spans="1:24" x14ac:dyDescent="0.3">
      <c r="A2415" t="s">
        <v>1630</v>
      </c>
      <c r="C2415" t="s">
        <v>2390</v>
      </c>
      <c r="D2415" s="1">
        <v>46052</v>
      </c>
      <c r="E2415" t="s">
        <v>2391</v>
      </c>
      <c r="F2415">
        <v>9</v>
      </c>
      <c r="G2415">
        <v>174</v>
      </c>
      <c r="H2415" t="str">
        <f>VLOOKUP(G2415,[1]OPERADORES!$A:$B,2,0)</f>
        <v>MIRIÃ LOBATO RODRIGUES</v>
      </c>
      <c r="I2415" t="s">
        <v>21</v>
      </c>
      <c r="J2415" t="s">
        <v>762</v>
      </c>
      <c r="K2415" t="s">
        <v>1633</v>
      </c>
      <c r="L2415">
        <v>10238</v>
      </c>
      <c r="M2415" t="s">
        <v>79</v>
      </c>
      <c r="O2415" t="s">
        <v>11</v>
      </c>
      <c r="P2415">
        <v>5102</v>
      </c>
      <c r="Q2415">
        <v>200</v>
      </c>
      <c r="R2415">
        <v>2.79</v>
      </c>
      <c r="S2415">
        <v>558</v>
      </c>
      <c r="T2415">
        <v>448</v>
      </c>
      <c r="U2415">
        <v>19.71</v>
      </c>
      <c r="V2415" t="str">
        <f>VLOOKUP(L2415,'[2]tabela de preços'!$A:$D,4,0)</f>
        <v>NORTON</v>
      </c>
      <c r="W2415" t="str">
        <f>VLOOKUP(L2415,'[2]tabela de preços'!$A:$F,6,0)</f>
        <v xml:space="preserve">DISCOS / LIXAS / ABRASIVOS </v>
      </c>
      <c r="X2415" t="str">
        <f>VLOOKUP(L2415,'[2]tabela de preços'!$A:$G,7,0)</f>
        <v>AUTOMOTIVO</v>
      </c>
    </row>
    <row r="2416" spans="1:24" x14ac:dyDescent="0.3">
      <c r="A2416" t="s">
        <v>1630</v>
      </c>
      <c r="C2416" t="s">
        <v>2390</v>
      </c>
      <c r="D2416" s="1">
        <v>46052</v>
      </c>
      <c r="E2416" t="s">
        <v>2391</v>
      </c>
      <c r="F2416">
        <v>9</v>
      </c>
      <c r="G2416">
        <v>174</v>
      </c>
      <c r="H2416" t="str">
        <f>VLOOKUP(G2416,[1]OPERADORES!$A:$B,2,0)</f>
        <v>MIRIÃ LOBATO RODRIGUES</v>
      </c>
      <c r="I2416" t="s">
        <v>21</v>
      </c>
      <c r="J2416" t="s">
        <v>762</v>
      </c>
      <c r="K2416" t="s">
        <v>1633</v>
      </c>
      <c r="L2416">
        <v>10245</v>
      </c>
      <c r="M2416" t="s">
        <v>195</v>
      </c>
      <c r="O2416" t="s">
        <v>11</v>
      </c>
      <c r="P2416">
        <v>5102</v>
      </c>
      <c r="Q2416">
        <v>100</v>
      </c>
      <c r="R2416">
        <v>2.79</v>
      </c>
      <c r="S2416">
        <v>279</v>
      </c>
      <c r="T2416">
        <v>193</v>
      </c>
      <c r="U2416">
        <v>30.82</v>
      </c>
      <c r="V2416" t="str">
        <f>VLOOKUP(L2416,'[2]tabela de preços'!$A:$D,4,0)</f>
        <v>NORTON</v>
      </c>
      <c r="W2416" t="str">
        <f>VLOOKUP(L2416,'[2]tabela de preços'!$A:$F,6,0)</f>
        <v xml:space="preserve">DISCOS / LIXAS / ABRASIVOS </v>
      </c>
      <c r="X2416" t="str">
        <f>VLOOKUP(L2416,'[2]tabela de preços'!$A:$G,7,0)</f>
        <v>AUTOMOTIVO</v>
      </c>
    </row>
    <row r="2417" spans="1:24" x14ac:dyDescent="0.3">
      <c r="A2417" t="s">
        <v>1630</v>
      </c>
      <c r="C2417" t="s">
        <v>2390</v>
      </c>
      <c r="D2417" s="1">
        <v>46052</v>
      </c>
      <c r="E2417" t="s">
        <v>2391</v>
      </c>
      <c r="F2417">
        <v>9</v>
      </c>
      <c r="G2417">
        <v>174</v>
      </c>
      <c r="H2417" t="str">
        <f>VLOOKUP(G2417,[1]OPERADORES!$A:$B,2,0)</f>
        <v>MIRIÃ LOBATO RODRIGUES</v>
      </c>
      <c r="I2417" t="s">
        <v>21</v>
      </c>
      <c r="J2417" t="s">
        <v>762</v>
      </c>
      <c r="K2417" t="s">
        <v>1633</v>
      </c>
      <c r="L2417">
        <v>10246</v>
      </c>
      <c r="M2417" t="s">
        <v>206</v>
      </c>
      <c r="O2417" t="s">
        <v>11</v>
      </c>
      <c r="P2417">
        <v>5102</v>
      </c>
      <c r="Q2417">
        <v>100</v>
      </c>
      <c r="R2417">
        <v>2.79</v>
      </c>
      <c r="S2417">
        <v>279</v>
      </c>
      <c r="T2417">
        <v>193</v>
      </c>
      <c r="U2417">
        <v>30.82</v>
      </c>
      <c r="V2417" t="str">
        <f>VLOOKUP(L2417,'[2]tabela de preços'!$A:$D,4,0)</f>
        <v>NORTON</v>
      </c>
      <c r="W2417" t="str">
        <f>VLOOKUP(L2417,'[2]tabela de preços'!$A:$F,6,0)</f>
        <v xml:space="preserve">DISCOS / LIXAS / ABRASIVOS </v>
      </c>
      <c r="X2417" t="str">
        <f>VLOOKUP(L2417,'[2]tabela de preços'!$A:$G,7,0)</f>
        <v>AUTOMOTIVO</v>
      </c>
    </row>
    <row r="2418" spans="1:24" x14ac:dyDescent="0.3">
      <c r="A2418" t="s">
        <v>1688</v>
      </c>
      <c r="C2418" t="s">
        <v>2392</v>
      </c>
      <c r="D2418" s="1">
        <v>46052</v>
      </c>
      <c r="E2418" t="s">
        <v>2393</v>
      </c>
      <c r="F2418">
        <v>9</v>
      </c>
      <c r="G2418">
        <v>174</v>
      </c>
      <c r="H2418" t="str">
        <f>VLOOKUP(G2418,[1]OPERADORES!$A:$B,2,0)</f>
        <v>MIRIÃ LOBATO RODRIGUES</v>
      </c>
      <c r="I2418" t="s">
        <v>21</v>
      </c>
      <c r="J2418" t="s">
        <v>1691</v>
      </c>
      <c r="K2418" t="s">
        <v>1692</v>
      </c>
      <c r="L2418">
        <v>84823</v>
      </c>
      <c r="M2418" t="s">
        <v>331</v>
      </c>
      <c r="O2418" t="s">
        <v>11</v>
      </c>
      <c r="P2418">
        <v>5102</v>
      </c>
      <c r="Q2418">
        <v>1</v>
      </c>
      <c r="R2418">
        <v>94.64</v>
      </c>
      <c r="S2418">
        <v>94.64</v>
      </c>
      <c r="T2418">
        <v>71.83</v>
      </c>
      <c r="U2418">
        <v>24.1</v>
      </c>
      <c r="V2418" t="str">
        <f>VLOOKUP(L2418,'[2]tabela de preços'!$A:$D,4,0)</f>
        <v>BRASILUX</v>
      </c>
      <c r="W2418" t="str">
        <f>VLOOKUP(L2418,'[2]tabela de preços'!$A:$F,6,0)</f>
        <v>DILUENTE</v>
      </c>
      <c r="X2418" t="str">
        <f>VLOOKUP(L2418,'[2]tabela de preços'!$A:$G,7,0)</f>
        <v>AUTOMOTIVO</v>
      </c>
    </row>
    <row r="2419" spans="1:24" x14ac:dyDescent="0.3">
      <c r="A2419" t="s">
        <v>1688</v>
      </c>
      <c r="C2419" t="s">
        <v>2392</v>
      </c>
      <c r="D2419" s="1">
        <v>46052</v>
      </c>
      <c r="E2419" t="s">
        <v>2393</v>
      </c>
      <c r="F2419">
        <v>9</v>
      </c>
      <c r="G2419">
        <v>174</v>
      </c>
      <c r="H2419" t="str">
        <f>VLOOKUP(G2419,[1]OPERADORES!$A:$B,2,0)</f>
        <v>MIRIÃ LOBATO RODRIGUES</v>
      </c>
      <c r="I2419" t="s">
        <v>21</v>
      </c>
      <c r="J2419" t="s">
        <v>1691</v>
      </c>
      <c r="K2419" t="s">
        <v>1692</v>
      </c>
      <c r="L2419">
        <v>20433</v>
      </c>
      <c r="M2419" t="s">
        <v>460</v>
      </c>
      <c r="O2419" t="s">
        <v>11</v>
      </c>
      <c r="P2419">
        <v>5102</v>
      </c>
      <c r="Q2419">
        <v>2</v>
      </c>
      <c r="R2419">
        <v>32.950000000000003</v>
      </c>
      <c r="S2419">
        <v>65.900000000000006</v>
      </c>
      <c r="T2419">
        <v>48.86</v>
      </c>
      <c r="U2419">
        <v>25.86</v>
      </c>
      <c r="V2419" t="str">
        <f>VLOOKUP(L2419,'[2]tabela de preços'!$A:$D,4,0)</f>
        <v>SHERWIN WILLIAMS</v>
      </c>
      <c r="W2419" t="str">
        <f>VLOOKUP(L2419,'[2]tabela de preços'!$A:$F,6,0)</f>
        <v>VERNIZ AUTOMOTIVO</v>
      </c>
      <c r="X2419" t="str">
        <f>VLOOKUP(L2419,'[2]tabela de preços'!$A:$G,7,0)</f>
        <v>AUTOMOTIVO</v>
      </c>
    </row>
    <row r="2420" spans="1:24" x14ac:dyDescent="0.3">
      <c r="A2420" t="s">
        <v>1688</v>
      </c>
      <c r="C2420" t="s">
        <v>2392</v>
      </c>
      <c r="D2420" s="1">
        <v>46052</v>
      </c>
      <c r="E2420" t="s">
        <v>2393</v>
      </c>
      <c r="F2420">
        <v>9</v>
      </c>
      <c r="G2420">
        <v>174</v>
      </c>
      <c r="H2420" t="str">
        <f>VLOOKUP(G2420,[1]OPERADORES!$A:$B,2,0)</f>
        <v>MIRIÃ LOBATO RODRIGUES</v>
      </c>
      <c r="I2420" t="s">
        <v>21</v>
      </c>
      <c r="J2420" t="s">
        <v>1691</v>
      </c>
      <c r="K2420" t="s">
        <v>1692</v>
      </c>
      <c r="L2420">
        <v>23690</v>
      </c>
      <c r="M2420" t="s">
        <v>98</v>
      </c>
      <c r="O2420" t="s">
        <v>11</v>
      </c>
      <c r="P2420">
        <v>5403</v>
      </c>
      <c r="Q2420">
        <v>2</v>
      </c>
      <c r="R2420">
        <v>39.89</v>
      </c>
      <c r="S2420">
        <v>79.78</v>
      </c>
      <c r="T2420">
        <v>63.22</v>
      </c>
      <c r="U2420">
        <v>20.76</v>
      </c>
      <c r="V2420" t="str">
        <f>VLOOKUP(L2420,'[2]tabela de preços'!$A:$D,4,0)</f>
        <v>WANDA</v>
      </c>
      <c r="W2420" t="str">
        <f>VLOOKUP(L2420,'[2]tabela de preços'!$A:$F,6,0)</f>
        <v>VERNIZ AUTOMOTIVO</v>
      </c>
      <c r="X2420" t="str">
        <f>VLOOKUP(L2420,'[2]tabela de preços'!$A:$G,7,0)</f>
        <v>AUTOMOTIVO</v>
      </c>
    </row>
    <row r="2421" spans="1:24" x14ac:dyDescent="0.3">
      <c r="A2421" t="s">
        <v>1688</v>
      </c>
      <c r="C2421" t="s">
        <v>2392</v>
      </c>
      <c r="D2421" s="1">
        <v>46052</v>
      </c>
      <c r="E2421" t="s">
        <v>2393</v>
      </c>
      <c r="F2421">
        <v>9</v>
      </c>
      <c r="G2421">
        <v>174</v>
      </c>
      <c r="H2421" t="str">
        <f>VLOOKUP(G2421,[1]OPERADORES!$A:$B,2,0)</f>
        <v>MIRIÃ LOBATO RODRIGUES</v>
      </c>
      <c r="I2421" t="s">
        <v>21</v>
      </c>
      <c r="J2421" t="s">
        <v>1691</v>
      </c>
      <c r="K2421" t="s">
        <v>1692</v>
      </c>
      <c r="L2421">
        <v>84560</v>
      </c>
      <c r="M2421" t="s">
        <v>118</v>
      </c>
      <c r="O2421" t="s">
        <v>11</v>
      </c>
      <c r="P2421">
        <v>5102</v>
      </c>
      <c r="Q2421">
        <v>1</v>
      </c>
      <c r="R2421">
        <v>47.89</v>
      </c>
      <c r="S2421">
        <v>47.89</v>
      </c>
      <c r="T2421">
        <v>39.159999999999997</v>
      </c>
      <c r="U2421">
        <v>18.23</v>
      </c>
      <c r="V2421" t="str">
        <f>VLOOKUP(L2421,'[2]tabela de preços'!$A:$D,4,0)</f>
        <v>BRASILUX</v>
      </c>
      <c r="W2421" t="str">
        <f>VLOOKUP(L2421,'[2]tabela de preços'!$A:$F,6,0)</f>
        <v>THINNER DE LIMPEZA</v>
      </c>
      <c r="X2421" t="str">
        <f>VLOOKUP(L2421,'[2]tabela de preços'!$A:$G,7,0)</f>
        <v>THINNER</v>
      </c>
    </row>
    <row r="2422" spans="1:24" x14ac:dyDescent="0.3">
      <c r="A2422" t="s">
        <v>1688</v>
      </c>
      <c r="C2422" t="s">
        <v>2392</v>
      </c>
      <c r="D2422" s="1">
        <v>46052</v>
      </c>
      <c r="E2422" t="s">
        <v>2393</v>
      </c>
      <c r="F2422">
        <v>9</v>
      </c>
      <c r="G2422">
        <v>174</v>
      </c>
      <c r="H2422" t="str">
        <f>VLOOKUP(G2422,[1]OPERADORES!$A:$B,2,0)</f>
        <v>MIRIÃ LOBATO RODRIGUES</v>
      </c>
      <c r="I2422" t="s">
        <v>21</v>
      </c>
      <c r="J2422" t="s">
        <v>1691</v>
      </c>
      <c r="K2422" t="s">
        <v>1692</v>
      </c>
      <c r="L2422">
        <v>20399</v>
      </c>
      <c r="M2422" t="s">
        <v>465</v>
      </c>
      <c r="O2422" t="s">
        <v>11</v>
      </c>
      <c r="P2422">
        <v>5403</v>
      </c>
      <c r="Q2422">
        <v>2</v>
      </c>
      <c r="R2422">
        <v>36.090000000000003</v>
      </c>
      <c r="S2422">
        <v>72.180000000000007</v>
      </c>
      <c r="T2422">
        <v>53.56</v>
      </c>
      <c r="U2422">
        <v>25.8</v>
      </c>
      <c r="V2422" t="str">
        <f>VLOOKUP(L2422,'[2]tabela de preços'!$A:$D,4,0)</f>
        <v>SHERWIN WILLIAMS</v>
      </c>
      <c r="W2422" t="str">
        <f>VLOOKUP(L2422,'[2]tabela de preços'!$A:$F,6,0)</f>
        <v>VERNIZ AUTOMOTIVO</v>
      </c>
      <c r="X2422" t="str">
        <f>VLOOKUP(L2422,'[2]tabela de preços'!$A:$G,7,0)</f>
        <v>AUTOMOTIVO</v>
      </c>
    </row>
    <row r="2423" spans="1:24" x14ac:dyDescent="0.3">
      <c r="A2423" t="s">
        <v>1727</v>
      </c>
      <c r="C2423" t="s">
        <v>2394</v>
      </c>
      <c r="D2423" s="1">
        <v>46052</v>
      </c>
      <c r="E2423" t="s">
        <v>2395</v>
      </c>
      <c r="F2423">
        <v>9</v>
      </c>
      <c r="G2423">
        <v>174</v>
      </c>
      <c r="H2423" t="str">
        <f>VLOOKUP(G2423,[1]OPERADORES!$A:$B,2,0)</f>
        <v>MIRIÃ LOBATO RODRIGUES</v>
      </c>
      <c r="I2423" t="s">
        <v>21</v>
      </c>
      <c r="J2423" t="s">
        <v>1173</v>
      </c>
      <c r="K2423" t="s">
        <v>1730</v>
      </c>
      <c r="L2423">
        <v>85165</v>
      </c>
      <c r="M2423" t="s">
        <v>2396</v>
      </c>
      <c r="O2423" t="s">
        <v>11</v>
      </c>
      <c r="P2423">
        <v>5403</v>
      </c>
      <c r="Q2423">
        <v>6</v>
      </c>
      <c r="R2423">
        <v>33.22</v>
      </c>
      <c r="S2423">
        <v>199.32</v>
      </c>
      <c r="T2423">
        <v>151.26</v>
      </c>
      <c r="U2423">
        <v>24.11</v>
      </c>
      <c r="V2423" t="str">
        <f>VLOOKUP(L2423,'[2]tabela de preços'!$A:$D,4,0)</f>
        <v>BRASILUX</v>
      </c>
      <c r="W2423" t="str">
        <f>VLOOKUP(L2423,'[2]tabela de preços'!$A:$F,6,0)</f>
        <v>TINTAS LACA</v>
      </c>
      <c r="X2423" t="str">
        <f>VLOOKUP(L2423,'[2]tabela de preços'!$A:$G,7,0)</f>
        <v>AUTOMOTIVO</v>
      </c>
    </row>
    <row r="2424" spans="1:24" x14ac:dyDescent="0.3">
      <c r="A2424" t="s">
        <v>1727</v>
      </c>
      <c r="C2424" t="s">
        <v>2394</v>
      </c>
      <c r="D2424" s="1">
        <v>46052</v>
      </c>
      <c r="E2424" t="s">
        <v>2395</v>
      </c>
      <c r="F2424">
        <v>9</v>
      </c>
      <c r="G2424">
        <v>174</v>
      </c>
      <c r="H2424" t="str">
        <f>VLOOKUP(G2424,[1]OPERADORES!$A:$B,2,0)</f>
        <v>MIRIÃ LOBATO RODRIGUES</v>
      </c>
      <c r="I2424" t="s">
        <v>21</v>
      </c>
      <c r="J2424" t="s">
        <v>1173</v>
      </c>
      <c r="K2424" t="s">
        <v>1730</v>
      </c>
      <c r="L2424">
        <v>83825</v>
      </c>
      <c r="M2424" t="s">
        <v>332</v>
      </c>
      <c r="O2424" t="s">
        <v>11</v>
      </c>
      <c r="P2424">
        <v>5102</v>
      </c>
      <c r="Q2424">
        <v>102</v>
      </c>
      <c r="R2424">
        <v>2.64</v>
      </c>
      <c r="S2424">
        <v>269.27999999999997</v>
      </c>
      <c r="T2424">
        <v>205.02</v>
      </c>
      <c r="U2424">
        <v>23.86</v>
      </c>
      <c r="V2424" t="str">
        <f>VLOOKUP(L2424,'[2]tabela de preços'!$A:$D,4,0)</f>
        <v>NORTON</v>
      </c>
      <c r="W2424" t="str">
        <f>VLOOKUP(L2424,'[2]tabela de preços'!$A:$F,6,0)</f>
        <v xml:space="preserve">DISCOS / LIXAS / ABRASIVOS </v>
      </c>
      <c r="X2424" t="str">
        <f>VLOOKUP(L2424,'[2]tabela de preços'!$A:$G,7,0)</f>
        <v>AUTOMOTIVO</v>
      </c>
    </row>
    <row r="2425" spans="1:24" x14ac:dyDescent="0.3">
      <c r="A2425" t="s">
        <v>1727</v>
      </c>
      <c r="C2425" t="s">
        <v>2394</v>
      </c>
      <c r="D2425" s="1">
        <v>46052</v>
      </c>
      <c r="E2425" t="s">
        <v>2395</v>
      </c>
      <c r="F2425">
        <v>9</v>
      </c>
      <c r="G2425">
        <v>174</v>
      </c>
      <c r="H2425" t="str">
        <f>VLOOKUP(G2425,[1]OPERADORES!$A:$B,2,0)</f>
        <v>MIRIÃ LOBATO RODRIGUES</v>
      </c>
      <c r="I2425" t="s">
        <v>21</v>
      </c>
      <c r="J2425" t="s">
        <v>1173</v>
      </c>
      <c r="K2425" t="s">
        <v>1730</v>
      </c>
      <c r="L2425">
        <v>22684</v>
      </c>
      <c r="M2425" t="s">
        <v>73</v>
      </c>
      <c r="O2425" t="s">
        <v>11</v>
      </c>
      <c r="P2425">
        <v>5102</v>
      </c>
      <c r="Q2425">
        <v>10</v>
      </c>
      <c r="R2425">
        <v>3.65</v>
      </c>
      <c r="S2425">
        <v>36.5</v>
      </c>
      <c r="T2425">
        <v>30.8</v>
      </c>
      <c r="U2425">
        <v>15.62</v>
      </c>
      <c r="V2425" t="str">
        <f>VLOOKUP(L2425,'[2]tabela de preços'!$A:$D,4,0)</f>
        <v>3M</v>
      </c>
      <c r="W2425" t="str">
        <f>VLOOKUP(L2425,'[2]tabela de preços'!$A:$F,6,0)</f>
        <v>FITA AUTOMOTIVA</v>
      </c>
      <c r="X2425" t="str">
        <f>VLOOKUP(L2425,'[2]tabela de preços'!$A:$G,7,0)</f>
        <v>AUTOMOTIVO</v>
      </c>
    </row>
    <row r="2426" spans="1:24" x14ac:dyDescent="0.3">
      <c r="A2426" t="s">
        <v>1727</v>
      </c>
      <c r="C2426" t="s">
        <v>2394</v>
      </c>
      <c r="D2426" s="1">
        <v>46052</v>
      </c>
      <c r="E2426" t="s">
        <v>2395</v>
      </c>
      <c r="F2426">
        <v>9</v>
      </c>
      <c r="G2426">
        <v>174</v>
      </c>
      <c r="H2426" t="str">
        <f>VLOOKUP(G2426,[1]OPERADORES!$A:$B,2,0)</f>
        <v>MIRIÃ LOBATO RODRIGUES</v>
      </c>
      <c r="I2426" t="s">
        <v>21</v>
      </c>
      <c r="J2426" t="s">
        <v>1173</v>
      </c>
      <c r="K2426" t="s">
        <v>1730</v>
      </c>
      <c r="L2426">
        <v>20212</v>
      </c>
      <c r="M2426" t="s">
        <v>198</v>
      </c>
      <c r="O2426" t="s">
        <v>11</v>
      </c>
      <c r="P2426">
        <v>5403</v>
      </c>
      <c r="Q2426">
        <v>6</v>
      </c>
      <c r="R2426">
        <v>26.95</v>
      </c>
      <c r="S2426">
        <v>161.69999999999999</v>
      </c>
      <c r="T2426">
        <v>122.76</v>
      </c>
      <c r="U2426">
        <v>24.08</v>
      </c>
      <c r="V2426" t="str">
        <f>VLOOKUP(L2426,'[2]tabela de preços'!$A:$D,4,0)</f>
        <v>MAXI RUBBER</v>
      </c>
      <c r="W2426" t="str">
        <f>VLOOKUP(L2426,'[2]tabela de preços'!$A:$F,6,0)</f>
        <v>SELADORA P/ PLASTICO</v>
      </c>
      <c r="X2426" t="str">
        <f>VLOOKUP(L2426,'[2]tabela de preços'!$A:$G,7,0)</f>
        <v>AUTOMOTIVO</v>
      </c>
    </row>
    <row r="2427" spans="1:24" x14ac:dyDescent="0.3">
      <c r="A2427" t="s">
        <v>1739</v>
      </c>
      <c r="C2427" t="s">
        <v>2397</v>
      </c>
      <c r="D2427" s="1">
        <v>46052</v>
      </c>
      <c r="E2427" t="s">
        <v>2398</v>
      </c>
      <c r="F2427">
        <v>9</v>
      </c>
      <c r="G2427">
        <v>174</v>
      </c>
      <c r="H2427" t="str">
        <f>VLOOKUP(G2427,[1]OPERADORES!$A:$B,2,0)</f>
        <v>MIRIÃ LOBATO RODRIGUES</v>
      </c>
      <c r="I2427" t="s">
        <v>21</v>
      </c>
      <c r="J2427" t="s">
        <v>66</v>
      </c>
      <c r="K2427" t="s">
        <v>1742</v>
      </c>
      <c r="L2427">
        <v>10236</v>
      </c>
      <c r="M2427" t="s">
        <v>133</v>
      </c>
      <c r="O2427" t="s">
        <v>11</v>
      </c>
      <c r="P2427">
        <v>5102</v>
      </c>
      <c r="Q2427">
        <v>102</v>
      </c>
      <c r="R2427">
        <v>2.79</v>
      </c>
      <c r="S2427">
        <v>284.58</v>
      </c>
      <c r="T2427">
        <v>236.64</v>
      </c>
      <c r="U2427">
        <v>16.850000000000001</v>
      </c>
      <c r="V2427" t="str">
        <f>VLOOKUP(L2427,'[2]tabela de preços'!$A:$D,4,0)</f>
        <v>NORTON</v>
      </c>
      <c r="W2427" t="str">
        <f>VLOOKUP(L2427,'[2]tabela de preços'!$A:$F,6,0)</f>
        <v xml:space="preserve">DISCOS / LIXAS / ABRASIVOS </v>
      </c>
      <c r="X2427" t="str">
        <f>VLOOKUP(L2427,'[2]tabela de preços'!$A:$G,7,0)</f>
        <v>AUTOMOTIVO</v>
      </c>
    </row>
    <row r="2428" spans="1:24" x14ac:dyDescent="0.3">
      <c r="A2428" t="s">
        <v>1739</v>
      </c>
      <c r="C2428" t="s">
        <v>2397</v>
      </c>
      <c r="D2428" s="1">
        <v>46052</v>
      </c>
      <c r="E2428" t="s">
        <v>2398</v>
      </c>
      <c r="F2428">
        <v>9</v>
      </c>
      <c r="G2428">
        <v>174</v>
      </c>
      <c r="H2428" t="str">
        <f>VLOOKUP(G2428,[1]OPERADORES!$A:$B,2,0)</f>
        <v>MIRIÃ LOBATO RODRIGUES</v>
      </c>
      <c r="I2428" t="s">
        <v>21</v>
      </c>
      <c r="J2428" t="s">
        <v>66</v>
      </c>
      <c r="K2428" t="s">
        <v>1742</v>
      </c>
      <c r="L2428">
        <v>10245</v>
      </c>
      <c r="M2428" t="s">
        <v>195</v>
      </c>
      <c r="O2428" t="s">
        <v>11</v>
      </c>
      <c r="P2428">
        <v>5102</v>
      </c>
      <c r="Q2428">
        <v>100</v>
      </c>
      <c r="R2428">
        <v>2.79</v>
      </c>
      <c r="S2428">
        <v>279</v>
      </c>
      <c r="T2428">
        <v>193</v>
      </c>
      <c r="U2428">
        <v>30.82</v>
      </c>
      <c r="V2428" t="str">
        <f>VLOOKUP(L2428,'[2]tabela de preços'!$A:$D,4,0)</f>
        <v>NORTON</v>
      </c>
      <c r="W2428" t="str">
        <f>VLOOKUP(L2428,'[2]tabela de preços'!$A:$F,6,0)</f>
        <v xml:space="preserve">DISCOS / LIXAS / ABRASIVOS </v>
      </c>
      <c r="X2428" t="str">
        <f>VLOOKUP(L2428,'[2]tabela de preços'!$A:$G,7,0)</f>
        <v>AUTOMOTIVO</v>
      </c>
    </row>
    <row r="2429" spans="1:24" x14ac:dyDescent="0.3">
      <c r="A2429" t="s">
        <v>1757</v>
      </c>
      <c r="B2429" t="s">
        <v>1758</v>
      </c>
      <c r="C2429" t="s">
        <v>2399</v>
      </c>
      <c r="D2429" s="1">
        <v>46052</v>
      </c>
      <c r="E2429" t="s">
        <v>2400</v>
      </c>
      <c r="F2429">
        <v>9</v>
      </c>
      <c r="G2429">
        <v>236</v>
      </c>
      <c r="H2429" t="str">
        <f>VLOOKUP(G2429,[1]OPERADORES!$A:$B,2,0)</f>
        <v>DANIEL</v>
      </c>
      <c r="I2429" t="s">
        <v>1761</v>
      </c>
      <c r="J2429" t="s">
        <v>1762</v>
      </c>
      <c r="K2429" t="s">
        <v>1763</v>
      </c>
      <c r="L2429">
        <v>85168</v>
      </c>
      <c r="M2429" t="s">
        <v>2401</v>
      </c>
      <c r="O2429" t="s">
        <v>11</v>
      </c>
      <c r="P2429">
        <v>6403</v>
      </c>
      <c r="Q2429">
        <v>1</v>
      </c>
      <c r="R2429">
        <v>281.19</v>
      </c>
      <c r="S2429">
        <v>281.19</v>
      </c>
      <c r="T2429">
        <v>200.49</v>
      </c>
      <c r="U2429">
        <v>28.7</v>
      </c>
      <c r="V2429" t="str">
        <f>VLOOKUP(L2429,'[2]tabela de preços'!$A:$D,4,0)</f>
        <v>BRASILUX</v>
      </c>
      <c r="W2429" t="str">
        <f>VLOOKUP(L2429,'[2]tabela de preços'!$A:$F,6,0)</f>
        <v>TINTA PAREDE</v>
      </c>
      <c r="X2429" t="str">
        <f>VLOOKUP(L2429,'[2]tabela de preços'!$A:$G,7,0)</f>
        <v>IMOBILIÁRIO</v>
      </c>
    </row>
    <row r="2430" spans="1:24" x14ac:dyDescent="0.3">
      <c r="A2430" t="s">
        <v>1757</v>
      </c>
      <c r="B2430" t="s">
        <v>1758</v>
      </c>
      <c r="C2430" t="s">
        <v>2399</v>
      </c>
      <c r="D2430" s="1">
        <v>46052</v>
      </c>
      <c r="E2430" t="s">
        <v>2400</v>
      </c>
      <c r="F2430">
        <v>9</v>
      </c>
      <c r="G2430">
        <v>236</v>
      </c>
      <c r="H2430" t="str">
        <f>VLOOKUP(G2430,[1]OPERADORES!$A:$B,2,0)</f>
        <v>DANIEL</v>
      </c>
      <c r="I2430" t="s">
        <v>1761</v>
      </c>
      <c r="J2430" t="s">
        <v>1762</v>
      </c>
      <c r="K2430" t="s">
        <v>1763</v>
      </c>
      <c r="L2430">
        <v>85691</v>
      </c>
      <c r="M2430" t="s">
        <v>1231</v>
      </c>
      <c r="O2430" t="s">
        <v>11</v>
      </c>
      <c r="P2430">
        <v>6102</v>
      </c>
      <c r="Q2430">
        <v>5</v>
      </c>
      <c r="R2430">
        <v>14.81</v>
      </c>
      <c r="S2430">
        <v>74.05</v>
      </c>
      <c r="T2430">
        <v>56.2</v>
      </c>
      <c r="U2430">
        <v>24.11</v>
      </c>
      <c r="V2430" t="str">
        <f>VLOOKUP(L2430,'[2]tabela de preços'!$A:$D,4,0)</f>
        <v>UNIPEGA</v>
      </c>
      <c r="W2430" t="str">
        <f>VLOOKUP(L2430,'[2]tabela de preços'!$A:$F,6,0)</f>
        <v>COLA INST./ ADESIVOS COLANTES</v>
      </c>
      <c r="X2430" t="str">
        <f>VLOOKUP(L2430,'[2]tabela de preços'!$A:$G,7,0)</f>
        <v>AUTOMOTIVO</v>
      </c>
    </row>
    <row r="2431" spans="1:24" x14ac:dyDescent="0.3">
      <c r="A2431" t="s">
        <v>1757</v>
      </c>
      <c r="B2431" t="s">
        <v>1758</v>
      </c>
      <c r="C2431" t="s">
        <v>2399</v>
      </c>
      <c r="D2431" s="1">
        <v>46052</v>
      </c>
      <c r="E2431" t="s">
        <v>2400</v>
      </c>
      <c r="F2431">
        <v>9</v>
      </c>
      <c r="G2431">
        <v>236</v>
      </c>
      <c r="H2431" t="str">
        <f>VLOOKUP(G2431,[1]OPERADORES!$A:$B,2,0)</f>
        <v>DANIEL</v>
      </c>
      <c r="I2431" t="s">
        <v>1761</v>
      </c>
      <c r="J2431" t="s">
        <v>1762</v>
      </c>
      <c r="K2431" t="s">
        <v>1763</v>
      </c>
      <c r="L2431">
        <v>13</v>
      </c>
      <c r="M2431" t="s">
        <v>152</v>
      </c>
      <c r="O2431" t="s">
        <v>11</v>
      </c>
      <c r="P2431">
        <v>6102</v>
      </c>
      <c r="Q2431">
        <v>50</v>
      </c>
      <c r="R2431">
        <v>5.79</v>
      </c>
      <c r="S2431">
        <v>289.5</v>
      </c>
      <c r="T2431">
        <v>208</v>
      </c>
      <c r="U2431">
        <v>28.15</v>
      </c>
      <c r="V2431" t="str">
        <f>VLOOKUP(L2431,'[2]tabela de preços'!$A:$D,4,0)</f>
        <v>3M</v>
      </c>
      <c r="W2431" t="str">
        <f>VLOOKUP(L2431,'[2]tabela de preços'!$A:$F,6,0)</f>
        <v>LIXA DÁGUA</v>
      </c>
      <c r="X2431" t="str">
        <f>VLOOKUP(L2431,'[2]tabela de preços'!$A:$G,7,0)</f>
        <v>AUTOMOTIVO</v>
      </c>
    </row>
    <row r="2432" spans="1:24" x14ac:dyDescent="0.3">
      <c r="A2432" t="s">
        <v>1757</v>
      </c>
      <c r="B2432" t="s">
        <v>1758</v>
      </c>
      <c r="C2432" t="s">
        <v>2399</v>
      </c>
      <c r="D2432" s="1">
        <v>46052</v>
      </c>
      <c r="E2432" t="s">
        <v>2400</v>
      </c>
      <c r="F2432">
        <v>9</v>
      </c>
      <c r="G2432">
        <v>236</v>
      </c>
      <c r="H2432" t="str">
        <f>VLOOKUP(G2432,[1]OPERADORES!$A:$B,2,0)</f>
        <v>DANIEL</v>
      </c>
      <c r="I2432" t="s">
        <v>1761</v>
      </c>
      <c r="J2432" t="s">
        <v>1762</v>
      </c>
      <c r="K2432" t="s">
        <v>1763</v>
      </c>
      <c r="L2432">
        <v>21321</v>
      </c>
      <c r="M2432" t="s">
        <v>272</v>
      </c>
      <c r="O2432" t="s">
        <v>11</v>
      </c>
      <c r="P2432">
        <v>6102</v>
      </c>
      <c r="Q2432">
        <v>5</v>
      </c>
      <c r="R2432">
        <v>20.239999999999998</v>
      </c>
      <c r="S2432">
        <v>101.2</v>
      </c>
      <c r="T2432">
        <v>76.8</v>
      </c>
      <c r="U2432">
        <v>24.11</v>
      </c>
      <c r="V2432" t="str">
        <f>VLOOKUP(L2432,'[2]tabela de preços'!$A:$D,4,0)</f>
        <v>AUTO AMERICA</v>
      </c>
      <c r="W2432" t="str">
        <f>VLOOKUP(L2432,'[2]tabela de preços'!$A:$F,6,0)</f>
        <v>CERA  / LIMPEZA /  POLIMENTO VEICULAR</v>
      </c>
      <c r="X2432" t="str">
        <f>VLOOKUP(L2432,'[2]tabela de preços'!$A:$G,7,0)</f>
        <v>AUTOMOTIVO</v>
      </c>
    </row>
    <row r="2433" spans="1:24" x14ac:dyDescent="0.3">
      <c r="A2433" t="s">
        <v>1757</v>
      </c>
      <c r="B2433" t="s">
        <v>1758</v>
      </c>
      <c r="C2433" t="s">
        <v>2399</v>
      </c>
      <c r="D2433" s="1">
        <v>46052</v>
      </c>
      <c r="E2433" t="s">
        <v>2400</v>
      </c>
      <c r="F2433">
        <v>9</v>
      </c>
      <c r="G2433">
        <v>236</v>
      </c>
      <c r="H2433" t="str">
        <f>VLOOKUP(G2433,[1]OPERADORES!$A:$B,2,0)</f>
        <v>DANIEL</v>
      </c>
      <c r="I2433" t="s">
        <v>1761</v>
      </c>
      <c r="J2433" t="s">
        <v>1762</v>
      </c>
      <c r="K2433" t="s">
        <v>1763</v>
      </c>
      <c r="L2433">
        <v>23287</v>
      </c>
      <c r="M2433" t="s">
        <v>273</v>
      </c>
      <c r="O2433" t="s">
        <v>11</v>
      </c>
      <c r="P2433">
        <v>6102</v>
      </c>
      <c r="Q2433">
        <v>5</v>
      </c>
      <c r="R2433">
        <v>39.979999999999997</v>
      </c>
      <c r="S2433">
        <v>199.9</v>
      </c>
      <c r="T2433">
        <v>151.75</v>
      </c>
      <c r="U2433">
        <v>24.09</v>
      </c>
      <c r="V2433" t="str">
        <f>VLOOKUP(L2433,'[2]tabela de preços'!$A:$D,4,0)</f>
        <v>AUTO AMERICA</v>
      </c>
      <c r="W2433" t="str">
        <f>VLOOKUP(L2433,'[2]tabela de preços'!$A:$F,6,0)</f>
        <v>CERA  / LIMPEZA /  POLIMENTO VEICULAR</v>
      </c>
      <c r="X2433" t="str">
        <f>VLOOKUP(L2433,'[2]tabela de preços'!$A:$G,7,0)</f>
        <v>AUTOMOTIVO</v>
      </c>
    </row>
    <row r="2434" spans="1:24" x14ac:dyDescent="0.3">
      <c r="A2434" t="s">
        <v>1757</v>
      </c>
      <c r="B2434" t="s">
        <v>1758</v>
      </c>
      <c r="C2434" t="s">
        <v>2402</v>
      </c>
      <c r="D2434" s="1">
        <v>46052</v>
      </c>
      <c r="E2434" t="s">
        <v>2403</v>
      </c>
      <c r="F2434">
        <v>9</v>
      </c>
      <c r="G2434">
        <v>236</v>
      </c>
      <c r="H2434" t="str">
        <f>VLOOKUP(G2434,[1]OPERADORES!$A:$B,2,0)</f>
        <v>DANIEL</v>
      </c>
      <c r="I2434" t="s">
        <v>1761</v>
      </c>
      <c r="J2434" t="s">
        <v>1762</v>
      </c>
      <c r="K2434" t="s">
        <v>1763</v>
      </c>
      <c r="L2434">
        <v>22684</v>
      </c>
      <c r="M2434" t="s">
        <v>73</v>
      </c>
      <c r="O2434" t="s">
        <v>11</v>
      </c>
      <c r="P2434">
        <v>6102</v>
      </c>
      <c r="Q2434">
        <v>20</v>
      </c>
      <c r="R2434">
        <v>3.65</v>
      </c>
      <c r="S2434">
        <v>73</v>
      </c>
      <c r="T2434">
        <v>61.6</v>
      </c>
      <c r="U2434">
        <v>15.62</v>
      </c>
      <c r="V2434" t="str">
        <f>VLOOKUP(L2434,'[2]tabela de preços'!$A:$D,4,0)</f>
        <v>3M</v>
      </c>
      <c r="W2434" t="str">
        <f>VLOOKUP(L2434,'[2]tabela de preços'!$A:$F,6,0)</f>
        <v>FITA AUTOMOTIVA</v>
      </c>
      <c r="X2434" t="str">
        <f>VLOOKUP(L2434,'[2]tabela de preços'!$A:$G,7,0)</f>
        <v>AUTOMOTIVO</v>
      </c>
    </row>
    <row r="2435" spans="1:24" x14ac:dyDescent="0.3">
      <c r="A2435" t="s">
        <v>1807</v>
      </c>
      <c r="C2435" t="s">
        <v>2404</v>
      </c>
      <c r="D2435" s="1">
        <v>46052</v>
      </c>
      <c r="E2435" t="s">
        <v>2405</v>
      </c>
      <c r="F2435">
        <v>9</v>
      </c>
      <c r="G2435">
        <v>231</v>
      </c>
      <c r="H2435" t="str">
        <f>VLOOKUP(G2435,[1]OPERADORES!$A:$B,2,0)</f>
        <v>EDIJANE</v>
      </c>
      <c r="I2435" t="s">
        <v>21</v>
      </c>
      <c r="J2435" t="s">
        <v>531</v>
      </c>
      <c r="K2435" t="s">
        <v>1810</v>
      </c>
      <c r="L2435">
        <v>85472</v>
      </c>
      <c r="M2435" t="s">
        <v>1465</v>
      </c>
      <c r="O2435" t="s">
        <v>11</v>
      </c>
      <c r="P2435">
        <v>5102</v>
      </c>
      <c r="Q2435">
        <v>1</v>
      </c>
      <c r="R2435">
        <v>554.63</v>
      </c>
      <c r="S2435">
        <v>554.63</v>
      </c>
      <c r="T2435">
        <v>395.46</v>
      </c>
      <c r="U2435">
        <v>28.7</v>
      </c>
      <c r="V2435" t="str">
        <f>VLOOKUP(L2435,'[2]tabela de preços'!$A:$D,4,0)</f>
        <v>BRASILUX</v>
      </c>
      <c r="W2435" t="str">
        <f>VLOOKUP(L2435,'[2]tabela de preços'!$A:$F,6,0)</f>
        <v>TINTA EM PÓ</v>
      </c>
      <c r="X2435" t="str">
        <f>VLOOKUP(L2435,'[2]tabela de preços'!$A:$G,7,0)</f>
        <v>INDUSTRIAL</v>
      </c>
    </row>
    <row r="2436" spans="1:24" x14ac:dyDescent="0.3">
      <c r="A2436" t="s">
        <v>1847</v>
      </c>
      <c r="B2436" t="s">
        <v>1848</v>
      </c>
      <c r="C2436" t="s">
        <v>2406</v>
      </c>
      <c r="D2436" s="1">
        <v>46052</v>
      </c>
      <c r="E2436" t="s">
        <v>2407</v>
      </c>
      <c r="F2436">
        <v>9</v>
      </c>
      <c r="G2436">
        <v>236</v>
      </c>
      <c r="H2436" t="str">
        <f>VLOOKUP(G2436,[1]OPERADORES!$A:$B,2,0)</f>
        <v>DANIEL</v>
      </c>
      <c r="I2436" t="s">
        <v>21</v>
      </c>
      <c r="J2436" t="s">
        <v>357</v>
      </c>
      <c r="K2436" t="s">
        <v>1851</v>
      </c>
      <c r="L2436">
        <v>10213</v>
      </c>
      <c r="M2436" t="s">
        <v>2408</v>
      </c>
      <c r="O2436" t="s">
        <v>11</v>
      </c>
      <c r="P2436">
        <v>5102</v>
      </c>
      <c r="Q2436">
        <v>5</v>
      </c>
      <c r="R2436">
        <v>8.27</v>
      </c>
      <c r="S2436">
        <v>41.35</v>
      </c>
      <c r="T2436">
        <v>29.65</v>
      </c>
      <c r="U2436">
        <v>28.3</v>
      </c>
      <c r="V2436" t="str">
        <f>VLOOKUP(L2436,'[2]tabela de preços'!$A:$D,4,0)</f>
        <v>NORTON</v>
      </c>
      <c r="W2436" t="str">
        <f>VLOOKUP(L2436,'[2]tabela de preços'!$A:$F,6,0)</f>
        <v xml:space="preserve">OUTROS DISCOS </v>
      </c>
      <c r="X2436" t="str">
        <f>VLOOKUP(L2436,'[2]tabela de preços'!$A:$G,7,0)</f>
        <v>AUTOMOTIVO</v>
      </c>
    </row>
    <row r="2437" spans="1:24" x14ac:dyDescent="0.3">
      <c r="A2437" t="s">
        <v>1979</v>
      </c>
      <c r="C2437" t="s">
        <v>2409</v>
      </c>
      <c r="D2437" s="1">
        <v>46052</v>
      </c>
      <c r="E2437" t="s">
        <v>2410</v>
      </c>
      <c r="F2437">
        <v>9</v>
      </c>
      <c r="G2437">
        <v>174</v>
      </c>
      <c r="H2437" t="str">
        <f>VLOOKUP(G2437,[1]OPERADORES!$A:$B,2,0)</f>
        <v>MIRIÃ LOBATO RODRIGUES</v>
      </c>
      <c r="I2437" t="s">
        <v>21</v>
      </c>
      <c r="J2437" t="s">
        <v>762</v>
      </c>
      <c r="K2437" t="s">
        <v>1982</v>
      </c>
      <c r="L2437">
        <v>84351</v>
      </c>
      <c r="M2437" t="s">
        <v>2152</v>
      </c>
      <c r="O2437" t="s">
        <v>11</v>
      </c>
      <c r="P2437">
        <v>5403</v>
      </c>
      <c r="Q2437">
        <v>1</v>
      </c>
      <c r="R2437">
        <v>59.98</v>
      </c>
      <c r="S2437">
        <v>59.98</v>
      </c>
      <c r="T2437">
        <v>52</v>
      </c>
      <c r="U2437">
        <v>13.3</v>
      </c>
      <c r="V2437" t="str">
        <f>VLOOKUP(L2437,'[2]tabela de preços'!$A:$D,4,0)</f>
        <v>BRASILUX</v>
      </c>
      <c r="W2437" t="str">
        <f>VLOOKUP(L2437,'[2]tabela de preços'!$A:$F,6,0)</f>
        <v>ESMALTES</v>
      </c>
      <c r="X2437" t="str">
        <f>VLOOKUP(L2437,'[2]tabela de preços'!$A:$G,7,0)</f>
        <v>INDUSTRIAL</v>
      </c>
    </row>
    <row r="2438" spans="1:24" x14ac:dyDescent="0.3">
      <c r="A2438" t="s">
        <v>1979</v>
      </c>
      <c r="C2438" t="s">
        <v>2409</v>
      </c>
      <c r="D2438" s="1">
        <v>46052</v>
      </c>
      <c r="E2438" t="s">
        <v>2410</v>
      </c>
      <c r="F2438">
        <v>9</v>
      </c>
      <c r="G2438">
        <v>174</v>
      </c>
      <c r="H2438" t="str">
        <f>VLOOKUP(G2438,[1]OPERADORES!$A:$B,2,0)</f>
        <v>MIRIÃ LOBATO RODRIGUES</v>
      </c>
      <c r="I2438" t="s">
        <v>21</v>
      </c>
      <c r="J2438" t="s">
        <v>762</v>
      </c>
      <c r="K2438" t="s">
        <v>1982</v>
      </c>
      <c r="L2438">
        <v>84329</v>
      </c>
      <c r="M2438" t="s">
        <v>285</v>
      </c>
      <c r="O2438" t="s">
        <v>11</v>
      </c>
      <c r="P2438">
        <v>5403</v>
      </c>
      <c r="Q2438">
        <v>1</v>
      </c>
      <c r="R2438">
        <v>59.98</v>
      </c>
      <c r="S2438">
        <v>59.98</v>
      </c>
      <c r="T2438">
        <v>48.27</v>
      </c>
      <c r="U2438">
        <v>19.52</v>
      </c>
      <c r="V2438" t="str">
        <f>VLOOKUP(L2438,'[2]tabela de preços'!$A:$D,4,0)</f>
        <v>BRASILUX</v>
      </c>
      <c r="W2438" t="str">
        <f>VLOOKUP(L2438,'[2]tabela de preços'!$A:$F,6,0)</f>
        <v>ESMALTES</v>
      </c>
      <c r="X2438" t="str">
        <f>VLOOKUP(L2438,'[2]tabela de preços'!$A:$G,7,0)</f>
        <v>INDUSTRIAL</v>
      </c>
    </row>
    <row r="2439" spans="1:24" x14ac:dyDescent="0.3">
      <c r="A2439" t="s">
        <v>2025</v>
      </c>
      <c r="C2439" t="s">
        <v>2411</v>
      </c>
      <c r="D2439" s="1">
        <v>46052</v>
      </c>
      <c r="E2439" t="s">
        <v>2412</v>
      </c>
      <c r="F2439">
        <v>9</v>
      </c>
      <c r="G2439">
        <v>174</v>
      </c>
      <c r="H2439" t="str">
        <f>VLOOKUP(G2439,[1]OPERADORES!$A:$B,2,0)</f>
        <v>MIRIÃ LOBATO RODRIGUES</v>
      </c>
      <c r="I2439" t="s">
        <v>21</v>
      </c>
      <c r="J2439" t="s">
        <v>762</v>
      </c>
      <c r="K2439" t="s">
        <v>2028</v>
      </c>
      <c r="L2439">
        <v>10232</v>
      </c>
      <c r="M2439" t="s">
        <v>134</v>
      </c>
      <c r="O2439" t="s">
        <v>11</v>
      </c>
      <c r="P2439">
        <v>5102</v>
      </c>
      <c r="Q2439">
        <v>7</v>
      </c>
      <c r="R2439">
        <v>2.79</v>
      </c>
      <c r="S2439">
        <v>19.53</v>
      </c>
      <c r="T2439">
        <v>15.75</v>
      </c>
      <c r="U2439">
        <v>19.350000000000001</v>
      </c>
      <c r="V2439" t="str">
        <f>VLOOKUP(L2439,'[2]tabela de preços'!$A:$D,4,0)</f>
        <v>NORTON</v>
      </c>
      <c r="W2439" t="str">
        <f>VLOOKUP(L2439,'[2]tabela de preços'!$A:$F,6,0)</f>
        <v xml:space="preserve">DISCOS / LIXAS / ABRASIVOS </v>
      </c>
      <c r="X2439" t="str">
        <f>VLOOKUP(L2439,'[2]tabela de preços'!$A:$G,7,0)</f>
        <v>AUTOMOTIVO</v>
      </c>
    </row>
    <row r="2440" spans="1:24" x14ac:dyDescent="0.3">
      <c r="A2440" t="s">
        <v>2025</v>
      </c>
      <c r="C2440" t="s">
        <v>2411</v>
      </c>
      <c r="D2440" s="1">
        <v>46052</v>
      </c>
      <c r="E2440" t="s">
        <v>2412</v>
      </c>
      <c r="F2440">
        <v>9</v>
      </c>
      <c r="G2440">
        <v>174</v>
      </c>
      <c r="H2440" t="str">
        <f>VLOOKUP(G2440,[1]OPERADORES!$A:$B,2,0)</f>
        <v>MIRIÃ LOBATO RODRIGUES</v>
      </c>
      <c r="I2440" t="s">
        <v>21</v>
      </c>
      <c r="J2440" t="s">
        <v>762</v>
      </c>
      <c r="K2440" t="s">
        <v>2028</v>
      </c>
      <c r="L2440">
        <v>22188</v>
      </c>
      <c r="M2440" t="s">
        <v>78</v>
      </c>
      <c r="O2440" t="s">
        <v>11</v>
      </c>
      <c r="P2440">
        <v>5102</v>
      </c>
      <c r="Q2440">
        <v>10</v>
      </c>
      <c r="R2440">
        <v>14.35</v>
      </c>
      <c r="S2440">
        <v>143.5</v>
      </c>
      <c r="T2440">
        <v>108.9</v>
      </c>
      <c r="U2440">
        <v>24.11</v>
      </c>
      <c r="V2440" t="str">
        <f>VLOOKUP(L2440,'[2]tabela de preços'!$A:$D,4,0)</f>
        <v>3M</v>
      </c>
      <c r="W2440" t="str">
        <f>VLOOKUP(L2440,'[2]tabela de preços'!$A:$F,6,0)</f>
        <v>FITA AUTOMOTIVA</v>
      </c>
      <c r="X2440" t="str">
        <f>VLOOKUP(L2440,'[2]tabela de preços'!$A:$G,7,0)</f>
        <v>AUTOMOTIVO</v>
      </c>
    </row>
    <row r="2441" spans="1:24" x14ac:dyDescent="0.3">
      <c r="A2441" t="s">
        <v>2025</v>
      </c>
      <c r="C2441" t="s">
        <v>2411</v>
      </c>
      <c r="D2441" s="1">
        <v>46052</v>
      </c>
      <c r="E2441" t="s">
        <v>2412</v>
      </c>
      <c r="F2441">
        <v>9</v>
      </c>
      <c r="G2441">
        <v>174</v>
      </c>
      <c r="H2441" t="str">
        <f>VLOOKUP(G2441,[1]OPERADORES!$A:$B,2,0)</f>
        <v>MIRIÃ LOBATO RODRIGUES</v>
      </c>
      <c r="I2441" t="s">
        <v>21</v>
      </c>
      <c r="J2441" t="s">
        <v>762</v>
      </c>
      <c r="K2441" t="s">
        <v>2028</v>
      </c>
      <c r="L2441">
        <v>23653</v>
      </c>
      <c r="M2441" t="s">
        <v>644</v>
      </c>
      <c r="O2441" t="s">
        <v>11</v>
      </c>
      <c r="P2441">
        <v>5102</v>
      </c>
      <c r="Q2441">
        <v>1</v>
      </c>
      <c r="R2441">
        <v>67.150000000000006</v>
      </c>
      <c r="S2441">
        <v>67.150000000000006</v>
      </c>
      <c r="T2441">
        <v>50.97</v>
      </c>
      <c r="U2441">
        <v>24.1</v>
      </c>
      <c r="V2441" t="str">
        <f>VLOOKUP(L2441,'[2]tabela de preços'!$A:$D,4,0)</f>
        <v>SIKKENS</v>
      </c>
      <c r="W2441" t="str">
        <f>VLOOKUP(L2441,'[2]tabela de preços'!$A:$F,6,0)</f>
        <v>CATALISADORES INDIVIDUAS</v>
      </c>
      <c r="X2441" t="str">
        <f>VLOOKUP(L2441,'[2]tabela de preços'!$A:$G,7,0)</f>
        <v>AUTOMOTIVO</v>
      </c>
    </row>
    <row r="2442" spans="1:24" x14ac:dyDescent="0.3">
      <c r="A2442" t="s">
        <v>2025</v>
      </c>
      <c r="C2442" t="s">
        <v>2411</v>
      </c>
      <c r="D2442" s="1">
        <v>46052</v>
      </c>
      <c r="E2442" t="s">
        <v>2412</v>
      </c>
      <c r="F2442">
        <v>9</v>
      </c>
      <c r="G2442">
        <v>174</v>
      </c>
      <c r="H2442" t="str">
        <f>VLOOKUP(G2442,[1]OPERADORES!$A:$B,2,0)</f>
        <v>MIRIÃ LOBATO RODRIGUES</v>
      </c>
      <c r="I2442" t="s">
        <v>21</v>
      </c>
      <c r="J2442" t="s">
        <v>762</v>
      </c>
      <c r="K2442" t="s">
        <v>2028</v>
      </c>
      <c r="L2442">
        <v>10245</v>
      </c>
      <c r="M2442" t="s">
        <v>195</v>
      </c>
      <c r="O2442" t="s">
        <v>11</v>
      </c>
      <c r="P2442">
        <v>5102</v>
      </c>
      <c r="Q2442">
        <v>10</v>
      </c>
      <c r="R2442">
        <v>2.79</v>
      </c>
      <c r="S2442">
        <v>27.9</v>
      </c>
      <c r="T2442">
        <v>19.3</v>
      </c>
      <c r="U2442">
        <v>30.82</v>
      </c>
      <c r="V2442" t="str">
        <f>VLOOKUP(L2442,'[2]tabela de preços'!$A:$D,4,0)</f>
        <v>NORTON</v>
      </c>
      <c r="W2442" t="str">
        <f>VLOOKUP(L2442,'[2]tabela de preços'!$A:$F,6,0)</f>
        <v xml:space="preserve">DISCOS / LIXAS / ABRASIVOS </v>
      </c>
      <c r="X2442" t="str">
        <f>VLOOKUP(L2442,'[2]tabela de preços'!$A:$G,7,0)</f>
        <v>AUTOMOTIVO</v>
      </c>
    </row>
    <row r="2443" spans="1:24" x14ac:dyDescent="0.3">
      <c r="A2443" t="s">
        <v>2025</v>
      </c>
      <c r="C2443" t="s">
        <v>2411</v>
      </c>
      <c r="D2443" s="1">
        <v>46052</v>
      </c>
      <c r="E2443" t="s">
        <v>2412</v>
      </c>
      <c r="F2443">
        <v>9</v>
      </c>
      <c r="G2443">
        <v>174</v>
      </c>
      <c r="H2443" t="str">
        <f>VLOOKUP(G2443,[1]OPERADORES!$A:$B,2,0)</f>
        <v>MIRIÃ LOBATO RODRIGUES</v>
      </c>
      <c r="I2443" t="s">
        <v>21</v>
      </c>
      <c r="J2443" t="s">
        <v>762</v>
      </c>
      <c r="K2443" t="s">
        <v>2028</v>
      </c>
      <c r="L2443">
        <v>10246</v>
      </c>
      <c r="M2443" t="s">
        <v>206</v>
      </c>
      <c r="O2443" t="s">
        <v>11</v>
      </c>
      <c r="P2443">
        <v>5102</v>
      </c>
      <c r="Q2443">
        <v>5</v>
      </c>
      <c r="R2443">
        <v>2.79</v>
      </c>
      <c r="S2443">
        <v>13.95</v>
      </c>
      <c r="T2443">
        <v>9.65</v>
      </c>
      <c r="U2443">
        <v>30.82</v>
      </c>
      <c r="V2443" t="str">
        <f>VLOOKUP(L2443,'[2]tabela de preços'!$A:$D,4,0)</f>
        <v>NORTON</v>
      </c>
      <c r="W2443" t="str">
        <f>VLOOKUP(L2443,'[2]tabela de preços'!$A:$F,6,0)</f>
        <v xml:space="preserve">DISCOS / LIXAS / ABRASIVOS </v>
      </c>
      <c r="X2443" t="str">
        <f>VLOOKUP(L2443,'[2]tabela de preços'!$A:$G,7,0)</f>
        <v>AUTOMOTIVO</v>
      </c>
    </row>
    <row r="2444" spans="1:24" x14ac:dyDescent="0.3">
      <c r="A2444" t="s">
        <v>2025</v>
      </c>
      <c r="C2444" t="s">
        <v>2411</v>
      </c>
      <c r="D2444" s="1">
        <v>46052</v>
      </c>
      <c r="E2444" t="s">
        <v>2412</v>
      </c>
      <c r="F2444">
        <v>9</v>
      </c>
      <c r="G2444">
        <v>174</v>
      </c>
      <c r="H2444" t="str">
        <f>VLOOKUP(G2444,[1]OPERADORES!$A:$B,2,0)</f>
        <v>MIRIÃ LOBATO RODRIGUES</v>
      </c>
      <c r="I2444" t="s">
        <v>21</v>
      </c>
      <c r="J2444" t="s">
        <v>762</v>
      </c>
      <c r="K2444" t="s">
        <v>2028</v>
      </c>
      <c r="L2444">
        <v>10073</v>
      </c>
      <c r="M2444" t="s">
        <v>2413</v>
      </c>
      <c r="O2444" t="s">
        <v>11</v>
      </c>
      <c r="P2444">
        <v>5102</v>
      </c>
      <c r="Q2444">
        <v>1</v>
      </c>
      <c r="R2444">
        <v>64.16</v>
      </c>
      <c r="S2444">
        <v>64.16</v>
      </c>
      <c r="T2444">
        <v>48.7</v>
      </c>
      <c r="U2444">
        <v>24.1</v>
      </c>
      <c r="V2444" t="str">
        <f>VLOOKUP(L2444,'[2]tabela de preços'!$A:$D,4,0)</f>
        <v>3M</v>
      </c>
      <c r="W2444" t="str">
        <f>VLOOKUP(L2444,'[2]tabela de preços'!$A:$F,6,0)</f>
        <v>MASSA DE POLIR</v>
      </c>
      <c r="X2444" t="str">
        <f>VLOOKUP(L2444,'[2]tabela de preços'!$A:$G,7,0)</f>
        <v>AUTOMOTIVO</v>
      </c>
    </row>
    <row r="2445" spans="1:24" x14ac:dyDescent="0.3">
      <c r="A2445" t="s">
        <v>2025</v>
      </c>
      <c r="C2445" t="s">
        <v>2411</v>
      </c>
      <c r="D2445" s="1">
        <v>46052</v>
      </c>
      <c r="E2445" t="s">
        <v>2412</v>
      </c>
      <c r="F2445">
        <v>9</v>
      </c>
      <c r="G2445">
        <v>174</v>
      </c>
      <c r="H2445" t="str">
        <f>VLOOKUP(G2445,[1]OPERADORES!$A:$B,2,0)</f>
        <v>MIRIÃ LOBATO RODRIGUES</v>
      </c>
      <c r="I2445" t="s">
        <v>21</v>
      </c>
      <c r="J2445" t="s">
        <v>762</v>
      </c>
      <c r="K2445" t="s">
        <v>2028</v>
      </c>
      <c r="L2445">
        <v>23926</v>
      </c>
      <c r="M2445" t="s">
        <v>645</v>
      </c>
      <c r="O2445" t="s">
        <v>11</v>
      </c>
      <c r="P2445">
        <v>5403</v>
      </c>
      <c r="Q2445">
        <v>1</v>
      </c>
      <c r="R2445">
        <v>147.1</v>
      </c>
      <c r="S2445">
        <v>147.1</v>
      </c>
      <c r="T2445">
        <v>98.89</v>
      </c>
      <c r="U2445">
        <v>32.770000000000003</v>
      </c>
      <c r="V2445" t="str">
        <f>VLOOKUP(L2445,'[2]tabela de preços'!$A:$D,4,0)</f>
        <v>SIKKENS</v>
      </c>
      <c r="W2445" t="str">
        <f>VLOOKUP(L2445,'[2]tabela de preços'!$A:$F,6,0)</f>
        <v>PRIMER AUTOMOTIVO</v>
      </c>
      <c r="X2445" t="str">
        <f>VLOOKUP(L2445,'[2]tabela de preços'!$A:$G,7,0)</f>
        <v>AUTOMOTIVO</v>
      </c>
    </row>
    <row r="2446" spans="1:24" x14ac:dyDescent="0.3">
      <c r="A2446" t="s">
        <v>2025</v>
      </c>
      <c r="C2446" t="s">
        <v>2411</v>
      </c>
      <c r="D2446" s="1">
        <v>46052</v>
      </c>
      <c r="E2446" t="s">
        <v>2412</v>
      </c>
      <c r="F2446">
        <v>9</v>
      </c>
      <c r="G2446">
        <v>174</v>
      </c>
      <c r="H2446" t="str">
        <f>VLOOKUP(G2446,[1]OPERADORES!$A:$B,2,0)</f>
        <v>MIRIÃ LOBATO RODRIGUES</v>
      </c>
      <c r="I2446" t="s">
        <v>21</v>
      </c>
      <c r="J2446" t="s">
        <v>762</v>
      </c>
      <c r="K2446" t="s">
        <v>2028</v>
      </c>
      <c r="L2446">
        <v>10298</v>
      </c>
      <c r="M2446" t="s">
        <v>85</v>
      </c>
      <c r="O2446" t="s">
        <v>11</v>
      </c>
      <c r="P2446">
        <v>5102</v>
      </c>
      <c r="Q2446">
        <v>1</v>
      </c>
      <c r="R2446">
        <v>56.89</v>
      </c>
      <c r="S2446">
        <v>56.89</v>
      </c>
      <c r="T2446">
        <v>47.38</v>
      </c>
      <c r="U2446">
        <v>16.72</v>
      </c>
      <c r="V2446" t="str">
        <f>VLOOKUP(L2446,'[2]tabela de preços'!$A:$D,4,0)</f>
        <v>ANJO</v>
      </c>
      <c r="W2446" t="str">
        <f>VLOOKUP(L2446,'[2]tabela de preços'!$A:$F,6,0)</f>
        <v>THINNER DE LIMPEZA</v>
      </c>
      <c r="X2446" t="str">
        <f>VLOOKUP(L2446,'[2]tabela de preços'!$A:$G,7,0)</f>
        <v>THINNER</v>
      </c>
    </row>
    <row r="2447" spans="1:24" x14ac:dyDescent="0.3">
      <c r="A2447" t="s">
        <v>2213</v>
      </c>
      <c r="C2447" t="s">
        <v>2414</v>
      </c>
      <c r="D2447" s="1">
        <v>46052</v>
      </c>
      <c r="E2447" t="s">
        <v>2415</v>
      </c>
      <c r="F2447">
        <v>9</v>
      </c>
      <c r="G2447">
        <v>236</v>
      </c>
      <c r="H2447" t="str">
        <f>VLOOKUP(G2447,[1]OPERADORES!$A:$B,2,0)</f>
        <v>DANIEL</v>
      </c>
      <c r="I2447" t="s">
        <v>21</v>
      </c>
      <c r="J2447" t="s">
        <v>1816</v>
      </c>
      <c r="K2447" t="s">
        <v>2216</v>
      </c>
      <c r="L2447">
        <v>84383</v>
      </c>
      <c r="M2447" t="s">
        <v>836</v>
      </c>
      <c r="O2447" t="s">
        <v>11</v>
      </c>
      <c r="P2447">
        <v>5403</v>
      </c>
      <c r="Q2447">
        <v>10</v>
      </c>
      <c r="R2447">
        <v>159.9</v>
      </c>
      <c r="S2447" s="2">
        <v>1599</v>
      </c>
      <c r="T2447" s="2">
        <v>1376.1</v>
      </c>
      <c r="U2447">
        <v>13.94</v>
      </c>
      <c r="V2447" t="str">
        <f>VLOOKUP(L2447,'[2]tabela de preços'!$A:$D,4,0)</f>
        <v>BRASILUX</v>
      </c>
      <c r="W2447" t="str">
        <f>VLOOKUP(L2447,'[2]tabela de preços'!$A:$F,6,0)</f>
        <v>TINTA PARA PISO</v>
      </c>
      <c r="X2447" t="str">
        <f>VLOOKUP(L2447,'[2]tabela de preços'!$A:$G,7,0)</f>
        <v>IMOBILIÁRIO</v>
      </c>
    </row>
    <row r="2448" spans="1:24" x14ac:dyDescent="0.3">
      <c r="A2448" t="s">
        <v>2213</v>
      </c>
      <c r="C2448" t="s">
        <v>2414</v>
      </c>
      <c r="D2448" s="1">
        <v>46052</v>
      </c>
      <c r="E2448" t="s">
        <v>2415</v>
      </c>
      <c r="F2448">
        <v>9</v>
      </c>
      <c r="G2448">
        <v>236</v>
      </c>
      <c r="H2448" t="str">
        <f>VLOOKUP(G2448,[1]OPERADORES!$A:$B,2,0)</f>
        <v>DANIEL</v>
      </c>
      <c r="I2448" t="s">
        <v>21</v>
      </c>
      <c r="J2448" t="s">
        <v>1816</v>
      </c>
      <c r="K2448" t="s">
        <v>2216</v>
      </c>
      <c r="L2448">
        <v>23878</v>
      </c>
      <c r="M2448" t="s">
        <v>851</v>
      </c>
      <c r="O2448" t="s">
        <v>11</v>
      </c>
      <c r="P2448">
        <v>5102</v>
      </c>
      <c r="Q2448">
        <v>5</v>
      </c>
      <c r="R2448">
        <v>8.15</v>
      </c>
      <c r="S2448">
        <v>40.75</v>
      </c>
      <c r="T2448">
        <v>29.2</v>
      </c>
      <c r="U2448">
        <v>28.34</v>
      </c>
      <c r="V2448" t="str">
        <f>VLOOKUP(L2448,'[2]tabela de preços'!$A:$D,4,0)</f>
        <v>ATLAS</v>
      </c>
      <c r="W2448" t="str">
        <f>VLOOKUP(L2448,'[2]tabela de preços'!$A:$F,6,0)</f>
        <v>ROLOS / TRINCHAS / PINCÉIS / ESPÁTULAS</v>
      </c>
      <c r="X2448" t="str">
        <f>VLOOKUP(L2448,'[2]tabela de preços'!$A:$G,7,0)</f>
        <v>IMOBILIÁRIO</v>
      </c>
    </row>
    <row r="2449" spans="1:24" x14ac:dyDescent="0.3">
      <c r="A2449" t="s">
        <v>2213</v>
      </c>
      <c r="C2449" t="s">
        <v>2414</v>
      </c>
      <c r="D2449" s="1">
        <v>46052</v>
      </c>
      <c r="E2449" t="s">
        <v>2415</v>
      </c>
      <c r="F2449">
        <v>9</v>
      </c>
      <c r="G2449">
        <v>236</v>
      </c>
      <c r="H2449" t="str">
        <f>VLOOKUP(G2449,[1]OPERADORES!$A:$B,2,0)</f>
        <v>DANIEL</v>
      </c>
      <c r="I2449" t="s">
        <v>21</v>
      </c>
      <c r="J2449" t="s">
        <v>1816</v>
      </c>
      <c r="K2449" t="s">
        <v>2216</v>
      </c>
      <c r="L2449">
        <v>84110</v>
      </c>
      <c r="M2449" t="s">
        <v>2416</v>
      </c>
      <c r="O2449" t="s">
        <v>11</v>
      </c>
      <c r="P2449">
        <v>5403</v>
      </c>
      <c r="Q2449">
        <v>11</v>
      </c>
      <c r="R2449">
        <v>153.99</v>
      </c>
      <c r="S2449" s="2">
        <v>1693.89</v>
      </c>
      <c r="T2449" s="2">
        <v>1285.68</v>
      </c>
      <c r="U2449">
        <v>24.1</v>
      </c>
      <c r="V2449" t="str">
        <f>VLOOKUP(L2449,'[2]tabela de preços'!$A:$D,4,0)</f>
        <v>BRASILUX</v>
      </c>
      <c r="W2449" t="str">
        <f>VLOOKUP(L2449,'[2]tabela de preços'!$A:$F,6,0)</f>
        <v>EPOXI</v>
      </c>
      <c r="X2449" t="str">
        <f>VLOOKUP(L2449,'[2]tabela de preços'!$A:$G,7,0)</f>
        <v>INDUSTRIAL</v>
      </c>
    </row>
    <row r="2450" spans="1:24" x14ac:dyDescent="0.3">
      <c r="A2450" t="s">
        <v>2213</v>
      </c>
      <c r="C2450" t="s">
        <v>2414</v>
      </c>
      <c r="D2450" s="1">
        <v>46052</v>
      </c>
      <c r="E2450" t="s">
        <v>2415</v>
      </c>
      <c r="F2450">
        <v>9</v>
      </c>
      <c r="G2450">
        <v>236</v>
      </c>
      <c r="H2450" t="str">
        <f>VLOOKUP(G2450,[1]OPERADORES!$A:$B,2,0)</f>
        <v>DANIEL</v>
      </c>
      <c r="I2450" t="s">
        <v>21</v>
      </c>
      <c r="J2450" t="s">
        <v>1816</v>
      </c>
      <c r="K2450" t="s">
        <v>2216</v>
      </c>
      <c r="L2450">
        <v>84114</v>
      </c>
      <c r="M2450" t="s">
        <v>292</v>
      </c>
      <c r="O2450" t="s">
        <v>11</v>
      </c>
      <c r="P2450">
        <v>5403</v>
      </c>
      <c r="Q2450">
        <v>22</v>
      </c>
      <c r="R2450">
        <v>153.99</v>
      </c>
      <c r="S2450" s="2">
        <v>3387.78</v>
      </c>
      <c r="T2450" s="2">
        <v>2571.36</v>
      </c>
      <c r="U2450">
        <v>24.1</v>
      </c>
      <c r="V2450" t="str">
        <f>VLOOKUP(L2450,'[2]tabela de preços'!$A:$D,4,0)</f>
        <v>BRASILUX</v>
      </c>
      <c r="W2450" t="str">
        <f>VLOOKUP(L2450,'[2]tabela de preços'!$A:$F,6,0)</f>
        <v>EPOXI</v>
      </c>
      <c r="X2450" t="str">
        <f>VLOOKUP(L2450,'[2]tabela de preços'!$A:$G,7,0)</f>
        <v>INDUSTRIAL</v>
      </c>
    </row>
    <row r="2451" spans="1:24" x14ac:dyDescent="0.3">
      <c r="A2451" t="s">
        <v>2213</v>
      </c>
      <c r="C2451" t="s">
        <v>2414</v>
      </c>
      <c r="D2451" s="1">
        <v>46052</v>
      </c>
      <c r="E2451" t="s">
        <v>2415</v>
      </c>
      <c r="F2451">
        <v>9</v>
      </c>
      <c r="G2451">
        <v>236</v>
      </c>
      <c r="H2451" t="str">
        <f>VLOOKUP(G2451,[1]OPERADORES!$A:$B,2,0)</f>
        <v>DANIEL</v>
      </c>
      <c r="I2451" t="s">
        <v>21</v>
      </c>
      <c r="J2451" t="s">
        <v>1816</v>
      </c>
      <c r="K2451" t="s">
        <v>2216</v>
      </c>
      <c r="L2451">
        <v>84785</v>
      </c>
      <c r="M2451" t="s">
        <v>944</v>
      </c>
      <c r="O2451" t="s">
        <v>11</v>
      </c>
      <c r="P2451">
        <v>5403</v>
      </c>
      <c r="Q2451">
        <v>40</v>
      </c>
      <c r="R2451">
        <v>173</v>
      </c>
      <c r="S2451" s="2">
        <v>6920</v>
      </c>
      <c r="T2451" s="2">
        <v>5228.8</v>
      </c>
      <c r="U2451">
        <v>24.44</v>
      </c>
      <c r="V2451" t="str">
        <f>VLOOKUP(L2451,'[2]tabela de preços'!$A:$D,4,0)</f>
        <v>BRASILUX</v>
      </c>
      <c r="W2451" t="str">
        <f>VLOOKUP(L2451,'[2]tabela de preços'!$A:$F,6,0)</f>
        <v>EPOXI</v>
      </c>
      <c r="X2451" t="str">
        <f>VLOOKUP(L2451,'[2]tabela de preços'!$A:$G,7,0)</f>
        <v>INDUSTRIAL</v>
      </c>
    </row>
    <row r="2452" spans="1:24" x14ac:dyDescent="0.3">
      <c r="A2452" t="s">
        <v>2213</v>
      </c>
      <c r="C2452" t="s">
        <v>2414</v>
      </c>
      <c r="D2452" s="1">
        <v>46052</v>
      </c>
      <c r="E2452" t="s">
        <v>2415</v>
      </c>
      <c r="F2452">
        <v>9</v>
      </c>
      <c r="G2452">
        <v>236</v>
      </c>
      <c r="H2452" t="str">
        <f>VLOOKUP(G2452,[1]OPERADORES!$A:$B,2,0)</f>
        <v>DANIEL</v>
      </c>
      <c r="I2452" t="s">
        <v>21</v>
      </c>
      <c r="J2452" t="s">
        <v>1816</v>
      </c>
      <c r="K2452" t="s">
        <v>2216</v>
      </c>
      <c r="L2452">
        <v>84116</v>
      </c>
      <c r="M2452" t="s">
        <v>2417</v>
      </c>
      <c r="O2452" t="s">
        <v>11</v>
      </c>
      <c r="P2452">
        <v>5403</v>
      </c>
      <c r="Q2452">
        <v>24</v>
      </c>
      <c r="R2452">
        <v>153.99</v>
      </c>
      <c r="S2452" s="2">
        <v>3695.76</v>
      </c>
      <c r="T2452" s="2">
        <v>2805.12</v>
      </c>
      <c r="U2452">
        <v>24.1</v>
      </c>
      <c r="V2452" t="str">
        <f>VLOOKUP(L2452,'[2]tabela de preços'!$A:$D,4,0)</f>
        <v>BRASILUX</v>
      </c>
      <c r="W2452" t="str">
        <f>VLOOKUP(L2452,'[2]tabela de preços'!$A:$F,6,0)</f>
        <v>EPOXI</v>
      </c>
      <c r="X2452" t="str">
        <f>VLOOKUP(L2452,'[2]tabela de preços'!$A:$G,7,0)</f>
        <v>INDUSTRIAL</v>
      </c>
    </row>
    <row r="2453" spans="1:24" x14ac:dyDescent="0.3">
      <c r="A2453" t="s">
        <v>2213</v>
      </c>
      <c r="C2453" t="s">
        <v>2414</v>
      </c>
      <c r="D2453" s="1">
        <v>46052</v>
      </c>
      <c r="E2453" t="s">
        <v>2415</v>
      </c>
      <c r="F2453">
        <v>9</v>
      </c>
      <c r="G2453">
        <v>236</v>
      </c>
      <c r="H2453" t="str">
        <f>VLOOKUP(G2453,[1]OPERADORES!$A:$B,2,0)</f>
        <v>DANIEL</v>
      </c>
      <c r="I2453" t="s">
        <v>21</v>
      </c>
      <c r="J2453" t="s">
        <v>1816</v>
      </c>
      <c r="K2453" t="s">
        <v>2216</v>
      </c>
      <c r="L2453">
        <v>85227</v>
      </c>
      <c r="M2453" t="s">
        <v>1042</v>
      </c>
      <c r="O2453" t="s">
        <v>11</v>
      </c>
      <c r="P2453">
        <v>5102</v>
      </c>
      <c r="Q2453">
        <v>5</v>
      </c>
      <c r="R2453">
        <v>11.12</v>
      </c>
      <c r="S2453">
        <v>55.6</v>
      </c>
      <c r="T2453">
        <v>23</v>
      </c>
      <c r="U2453">
        <v>58.63</v>
      </c>
      <c r="V2453" t="str">
        <f>VLOOKUP(L2453,'[2]tabela de preços'!$A:$D,4,0)</f>
        <v>ATLAS</v>
      </c>
      <c r="W2453" t="str">
        <f>VLOOKUP(L2453,'[2]tabela de preços'!$A:$F,6,0)</f>
        <v>ROLOS / TRINCHAS / PINCÉIS / ESPÁTULAS</v>
      </c>
      <c r="X2453" t="str">
        <f>VLOOKUP(L2453,'[2]tabela de preços'!$A:$G,7,0)</f>
        <v>IMOBILIÁRIO</v>
      </c>
    </row>
    <row r="2454" spans="1:24" x14ac:dyDescent="0.3">
      <c r="A2454" t="s">
        <v>2213</v>
      </c>
      <c r="C2454" t="s">
        <v>2414</v>
      </c>
      <c r="D2454" s="1">
        <v>46052</v>
      </c>
      <c r="E2454" t="s">
        <v>2415</v>
      </c>
      <c r="F2454">
        <v>9</v>
      </c>
      <c r="G2454">
        <v>236</v>
      </c>
      <c r="H2454" t="str">
        <f>VLOOKUP(G2454,[1]OPERADORES!$A:$B,2,0)</f>
        <v>DANIEL</v>
      </c>
      <c r="I2454" t="s">
        <v>21</v>
      </c>
      <c r="J2454" t="s">
        <v>1816</v>
      </c>
      <c r="K2454" t="s">
        <v>2216</v>
      </c>
      <c r="L2454">
        <v>84420</v>
      </c>
      <c r="M2454" t="s">
        <v>353</v>
      </c>
      <c r="O2454" t="s">
        <v>11</v>
      </c>
      <c r="P2454">
        <v>5102</v>
      </c>
      <c r="Q2454">
        <v>5</v>
      </c>
      <c r="R2454">
        <v>21.54</v>
      </c>
      <c r="S2454">
        <v>107.7</v>
      </c>
      <c r="T2454">
        <v>77.2</v>
      </c>
      <c r="U2454">
        <v>28.32</v>
      </c>
      <c r="V2454" t="str">
        <f>VLOOKUP(L2454,'[2]tabela de preços'!$A:$D,4,0)</f>
        <v>ATLAS</v>
      </c>
      <c r="W2454" t="str">
        <f>VLOOKUP(L2454,'[2]tabela de preços'!$A:$F,6,0)</f>
        <v>ROLOS / TRINCHAS / PINCÉIS / ESPÁTULAS</v>
      </c>
      <c r="X2454" t="str">
        <f>VLOOKUP(L2454,'[2]tabela de preços'!$A:$G,7,0)</f>
        <v>IMOBILIÁRIO</v>
      </c>
    </row>
    <row r="2455" spans="1:24" x14ac:dyDescent="0.3">
      <c r="A2455" t="s">
        <v>18</v>
      </c>
      <c r="C2455" t="s">
        <v>2563</v>
      </c>
      <c r="D2455" s="1">
        <v>46058</v>
      </c>
      <c r="E2455" t="s">
        <v>2564</v>
      </c>
      <c r="F2455">
        <v>9</v>
      </c>
      <c r="G2455">
        <v>236</v>
      </c>
      <c r="H2455" t="str">
        <f>VLOOKUP(G2455,[1]OPERADORES!$A:$B,2,0)</f>
        <v>DANIEL</v>
      </c>
      <c r="I2455" t="s">
        <v>21</v>
      </c>
      <c r="J2455" t="s">
        <v>22</v>
      </c>
      <c r="K2455" t="s">
        <v>23</v>
      </c>
      <c r="L2455">
        <v>85772</v>
      </c>
      <c r="M2455" t="s">
        <v>54</v>
      </c>
      <c r="O2455" t="s">
        <v>11</v>
      </c>
      <c r="P2455">
        <v>5403</v>
      </c>
      <c r="Q2455">
        <v>1</v>
      </c>
      <c r="R2455">
        <v>78.11</v>
      </c>
      <c r="S2455">
        <v>78.11</v>
      </c>
      <c r="T2455">
        <v>59.28</v>
      </c>
      <c r="U2455">
        <v>24.11</v>
      </c>
      <c r="V2455" t="str">
        <f>VLOOKUP(L2455,'[2]tabela de preços'!$A:$D,4,0)</f>
        <v>CORAL</v>
      </c>
      <c r="W2455" t="str">
        <f>VLOOKUP(L2455,'[2]tabela de preços'!$A:$F,6,0)</f>
        <v>TINTA PAREDE</v>
      </c>
      <c r="X2455" t="str">
        <f>VLOOKUP(L2455,'[2]tabela de preços'!$A:$G,7,0)</f>
        <v>IMOBILIÁRIO</v>
      </c>
    </row>
    <row r="2456" spans="1:24" x14ac:dyDescent="0.3">
      <c r="A2456" t="s">
        <v>18</v>
      </c>
      <c r="C2456" t="s">
        <v>2565</v>
      </c>
      <c r="D2456" s="1">
        <v>46058</v>
      </c>
      <c r="E2456" t="s">
        <v>2566</v>
      </c>
      <c r="F2456">
        <v>9</v>
      </c>
      <c r="G2456">
        <v>236</v>
      </c>
      <c r="H2456" t="str">
        <f>VLOOKUP(G2456,[1]OPERADORES!$A:$B,2,0)</f>
        <v>DANIEL</v>
      </c>
      <c r="I2456" t="s">
        <v>21</v>
      </c>
      <c r="J2456" t="s">
        <v>22</v>
      </c>
      <c r="K2456" t="s">
        <v>23</v>
      </c>
      <c r="L2456">
        <v>84928</v>
      </c>
      <c r="M2456" t="s">
        <v>36</v>
      </c>
      <c r="O2456" t="s">
        <v>11</v>
      </c>
      <c r="P2456">
        <v>5102</v>
      </c>
      <c r="Q2456">
        <v>4</v>
      </c>
      <c r="R2456">
        <v>9.39</v>
      </c>
      <c r="S2456">
        <v>37.56</v>
      </c>
      <c r="T2456">
        <v>28.52</v>
      </c>
      <c r="U2456">
        <v>24.07</v>
      </c>
      <c r="V2456" t="str">
        <f>VLOOKUP(L2456,'[2]tabela de preços'!$A:$D,4,0)</f>
        <v>ADERE</v>
      </c>
      <c r="W2456" t="str">
        <f>VLOOKUP(L2456,'[2]tabela de preços'!$A:$F,6,0)</f>
        <v xml:space="preserve">FITA DE USO GERAL </v>
      </c>
      <c r="X2456" t="str">
        <f>VLOOKUP(L2456,'[2]tabela de preços'!$A:$G,7,0)</f>
        <v>IMOBILIÁRIO</v>
      </c>
    </row>
    <row r="2457" spans="1:24" x14ac:dyDescent="0.3">
      <c r="A2457" t="s">
        <v>2739</v>
      </c>
      <c r="C2457" t="s">
        <v>2740</v>
      </c>
      <c r="D2457" s="1">
        <v>46059</v>
      </c>
      <c r="E2457" t="s">
        <v>2741</v>
      </c>
      <c r="F2457">
        <v>9</v>
      </c>
      <c r="G2457">
        <v>231</v>
      </c>
      <c r="H2457" t="str">
        <f>VLOOKUP(G2457,[1]OPERADORES!$A:$B,2,0)</f>
        <v>EDIJANE</v>
      </c>
      <c r="I2457" t="s">
        <v>317</v>
      </c>
      <c r="J2457" t="s">
        <v>2742</v>
      </c>
      <c r="K2457" t="s">
        <v>2743</v>
      </c>
      <c r="L2457">
        <v>85401</v>
      </c>
      <c r="M2457" t="s">
        <v>261</v>
      </c>
      <c r="O2457" t="s">
        <v>11</v>
      </c>
      <c r="P2457">
        <v>6102</v>
      </c>
      <c r="Q2457">
        <v>1</v>
      </c>
      <c r="R2457">
        <v>633.42999999999995</v>
      </c>
      <c r="S2457">
        <v>633.42999999999995</v>
      </c>
      <c r="T2457">
        <v>451.64</v>
      </c>
      <c r="U2457">
        <v>28.7</v>
      </c>
      <c r="V2457" t="str">
        <f>VLOOKUP(L2457,'[2]tabela de preços'!$A:$D,4,0)</f>
        <v>BRASILUX</v>
      </c>
      <c r="W2457" t="str">
        <f>VLOOKUP(L2457,'[2]tabela de preços'!$A:$F,6,0)</f>
        <v>TINTA EM PÓ</v>
      </c>
      <c r="X2457" t="str">
        <f>VLOOKUP(L2457,'[2]tabela de preços'!$A:$G,7,0)</f>
        <v>INDUSTRIAL</v>
      </c>
    </row>
    <row r="2458" spans="1:24" x14ac:dyDescent="0.3">
      <c r="A2458" t="s">
        <v>123</v>
      </c>
      <c r="C2458" t="s">
        <v>2418</v>
      </c>
      <c r="D2458" s="1">
        <v>46055</v>
      </c>
      <c r="E2458" t="s">
        <v>2419</v>
      </c>
      <c r="F2458">
        <v>9</v>
      </c>
      <c r="G2458">
        <v>174</v>
      </c>
      <c r="H2458" t="str">
        <f>VLOOKUP(G2458,[1]OPERADORES!$A:$B,2,0)</f>
        <v>MIRIÃ LOBATO RODRIGUES</v>
      </c>
      <c r="I2458" t="s">
        <v>126</v>
      </c>
      <c r="J2458" t="s">
        <v>127</v>
      </c>
      <c r="K2458" t="s">
        <v>128</v>
      </c>
      <c r="L2458">
        <v>20099</v>
      </c>
      <c r="M2458" t="s">
        <v>1308</v>
      </c>
      <c r="O2458" t="s">
        <v>11</v>
      </c>
      <c r="P2458">
        <v>6403</v>
      </c>
      <c r="Q2458">
        <v>1</v>
      </c>
      <c r="R2458">
        <v>15.9</v>
      </c>
      <c r="S2458">
        <v>15.9</v>
      </c>
      <c r="T2458">
        <v>12.07</v>
      </c>
      <c r="U2458">
        <v>24.09</v>
      </c>
      <c r="V2458" t="str">
        <f>VLOOKUP(L2458,'[2]tabela de preços'!$A:$D,4,0)</f>
        <v>MAXI RUBBER</v>
      </c>
      <c r="W2458" t="str">
        <f>VLOOKUP(L2458,'[2]tabela de preços'!$A:$F,6,0)</f>
        <v>BATIDA DE PEDRA</v>
      </c>
      <c r="X2458" t="str">
        <f>VLOOKUP(L2458,'[2]tabela de preços'!$A:$G,7,0)</f>
        <v>AUTOMOTIVO</v>
      </c>
    </row>
    <row r="2459" spans="1:24" x14ac:dyDescent="0.3">
      <c r="A2459" t="s">
        <v>123</v>
      </c>
      <c r="C2459" t="s">
        <v>2418</v>
      </c>
      <c r="D2459" s="1">
        <v>46055</v>
      </c>
      <c r="E2459" t="s">
        <v>2419</v>
      </c>
      <c r="F2459">
        <v>9</v>
      </c>
      <c r="G2459">
        <v>174</v>
      </c>
      <c r="H2459" t="str">
        <f>VLOOKUP(G2459,[1]OPERADORES!$A:$B,2,0)</f>
        <v>MIRIÃ LOBATO RODRIGUES</v>
      </c>
      <c r="I2459" t="s">
        <v>126</v>
      </c>
      <c r="J2459" t="s">
        <v>127</v>
      </c>
      <c r="K2459" t="s">
        <v>128</v>
      </c>
      <c r="L2459">
        <v>84564</v>
      </c>
      <c r="M2459" t="s">
        <v>2176</v>
      </c>
      <c r="O2459" t="s">
        <v>11</v>
      </c>
      <c r="P2459">
        <v>6403</v>
      </c>
      <c r="Q2459">
        <v>3</v>
      </c>
      <c r="R2459">
        <v>24.07</v>
      </c>
      <c r="S2459">
        <v>72.209999999999994</v>
      </c>
      <c r="T2459">
        <v>54.81</v>
      </c>
      <c r="U2459">
        <v>24.1</v>
      </c>
      <c r="V2459" t="str">
        <f>VLOOKUP(L2459,'[2]tabela de preços'!$A:$D,4,0)</f>
        <v>BRASILUX</v>
      </c>
      <c r="W2459" t="str">
        <f>VLOOKUP(L2459,'[2]tabela de preços'!$A:$F,6,0)</f>
        <v>PRETO FOSCO VINÍLICO</v>
      </c>
      <c r="X2459" t="str">
        <f>VLOOKUP(L2459,'[2]tabela de preços'!$A:$G,7,0)</f>
        <v>AUTOMOTIVO</v>
      </c>
    </row>
    <row r="2460" spans="1:24" x14ac:dyDescent="0.3">
      <c r="A2460" t="s">
        <v>123</v>
      </c>
      <c r="C2460" t="s">
        <v>2418</v>
      </c>
      <c r="D2460" s="1">
        <v>46055</v>
      </c>
      <c r="E2460" t="s">
        <v>2419</v>
      </c>
      <c r="F2460">
        <v>9</v>
      </c>
      <c r="G2460">
        <v>174</v>
      </c>
      <c r="H2460" t="str">
        <f>VLOOKUP(G2460,[1]OPERADORES!$A:$B,2,0)</f>
        <v>MIRIÃ LOBATO RODRIGUES</v>
      </c>
      <c r="I2460" t="s">
        <v>126</v>
      </c>
      <c r="J2460" t="s">
        <v>127</v>
      </c>
      <c r="K2460" t="s">
        <v>128</v>
      </c>
      <c r="L2460">
        <v>84565</v>
      </c>
      <c r="M2460" t="s">
        <v>236</v>
      </c>
      <c r="O2460" t="s">
        <v>11</v>
      </c>
      <c r="P2460">
        <v>6102</v>
      </c>
      <c r="Q2460">
        <v>3</v>
      </c>
      <c r="R2460">
        <v>9.24</v>
      </c>
      <c r="S2460">
        <v>27.72</v>
      </c>
      <c r="T2460">
        <v>21.03</v>
      </c>
      <c r="U2460">
        <v>24.13</v>
      </c>
      <c r="V2460" t="str">
        <f>VLOOKUP(L2460,'[2]tabela de preços'!$A:$D,4,0)</f>
        <v>BRASILUX</v>
      </c>
      <c r="W2460" t="str">
        <f>VLOOKUP(L2460,'[2]tabela de preços'!$A:$F,6,0)</f>
        <v>PRETO FOSCO VINÍLICO</v>
      </c>
      <c r="X2460" t="str">
        <f>VLOOKUP(L2460,'[2]tabela de preços'!$A:$G,7,0)</f>
        <v>AUTOMOTIVO</v>
      </c>
    </row>
    <row r="2461" spans="1:24" x14ac:dyDescent="0.3">
      <c r="A2461" t="s">
        <v>123</v>
      </c>
      <c r="C2461" t="s">
        <v>2418</v>
      </c>
      <c r="D2461" s="1">
        <v>46055</v>
      </c>
      <c r="E2461" t="s">
        <v>2419</v>
      </c>
      <c r="F2461">
        <v>9</v>
      </c>
      <c r="G2461">
        <v>174</v>
      </c>
      <c r="H2461" t="str">
        <f>VLOOKUP(G2461,[1]OPERADORES!$A:$B,2,0)</f>
        <v>MIRIÃ LOBATO RODRIGUES</v>
      </c>
      <c r="I2461" t="s">
        <v>126</v>
      </c>
      <c r="J2461" t="s">
        <v>127</v>
      </c>
      <c r="K2461" t="s">
        <v>128</v>
      </c>
      <c r="L2461">
        <v>84557</v>
      </c>
      <c r="M2461" t="s">
        <v>116</v>
      </c>
      <c r="O2461" t="s">
        <v>11</v>
      </c>
      <c r="P2461">
        <v>6102</v>
      </c>
      <c r="Q2461">
        <v>6</v>
      </c>
      <c r="R2461">
        <v>17.489999999999998</v>
      </c>
      <c r="S2461">
        <v>104.94</v>
      </c>
      <c r="T2461">
        <v>83.76</v>
      </c>
      <c r="U2461">
        <v>20.18</v>
      </c>
      <c r="V2461" t="str">
        <f>VLOOKUP(L2461,'[2]tabela de preços'!$A:$D,4,0)</f>
        <v>BRASILUX</v>
      </c>
      <c r="W2461" t="str">
        <f>VLOOKUP(L2461,'[2]tabela de preços'!$A:$F,6,0)</f>
        <v>DILUENTE</v>
      </c>
      <c r="X2461" t="str">
        <f>VLOOKUP(L2461,'[2]tabela de preços'!$A:$G,7,0)</f>
        <v>AUTOMOTIVO</v>
      </c>
    </row>
    <row r="2462" spans="1:24" x14ac:dyDescent="0.3">
      <c r="A2462" t="s">
        <v>123</v>
      </c>
      <c r="C2462" t="s">
        <v>2418</v>
      </c>
      <c r="D2462" s="1">
        <v>46055</v>
      </c>
      <c r="E2462" t="s">
        <v>2419</v>
      </c>
      <c r="F2462">
        <v>9</v>
      </c>
      <c r="G2462">
        <v>174</v>
      </c>
      <c r="H2462" t="str">
        <f>VLOOKUP(G2462,[1]OPERADORES!$A:$B,2,0)</f>
        <v>MIRIÃ LOBATO RODRIGUES</v>
      </c>
      <c r="I2462" t="s">
        <v>126</v>
      </c>
      <c r="J2462" t="s">
        <v>127</v>
      </c>
      <c r="K2462" t="s">
        <v>128</v>
      </c>
      <c r="L2462">
        <v>24248</v>
      </c>
      <c r="M2462" t="s">
        <v>107</v>
      </c>
      <c r="O2462" t="s">
        <v>11</v>
      </c>
      <c r="P2462">
        <v>6102</v>
      </c>
      <c r="Q2462">
        <v>6</v>
      </c>
      <c r="R2462">
        <v>8</v>
      </c>
      <c r="S2462">
        <v>48</v>
      </c>
      <c r="T2462">
        <v>39</v>
      </c>
      <c r="U2462">
        <v>18.75</v>
      </c>
      <c r="V2462" t="str">
        <f>VLOOKUP(L2462,'[2]tabela de preços'!$A:$D,4,0)</f>
        <v>SHERWIN WILLIAMS</v>
      </c>
      <c r="W2462" t="str">
        <f>VLOOKUP(L2462,'[2]tabela de preços'!$A:$F,6,0)</f>
        <v>PRIMER AUTOMOTIVO</v>
      </c>
      <c r="X2462" t="str">
        <f>VLOOKUP(L2462,'[2]tabela de preços'!$A:$G,7,0)</f>
        <v>AUTOMOTIVO</v>
      </c>
    </row>
    <row r="2463" spans="1:24" x14ac:dyDescent="0.3">
      <c r="A2463" t="s">
        <v>123</v>
      </c>
      <c r="C2463" t="s">
        <v>2418</v>
      </c>
      <c r="D2463" s="1">
        <v>46055</v>
      </c>
      <c r="E2463" t="s">
        <v>2419</v>
      </c>
      <c r="F2463">
        <v>9</v>
      </c>
      <c r="G2463">
        <v>174</v>
      </c>
      <c r="H2463" t="str">
        <f>VLOOKUP(G2463,[1]OPERADORES!$A:$B,2,0)</f>
        <v>MIRIÃ LOBATO RODRIGUES</v>
      </c>
      <c r="I2463" t="s">
        <v>126</v>
      </c>
      <c r="J2463" t="s">
        <v>127</v>
      </c>
      <c r="K2463" t="s">
        <v>128</v>
      </c>
      <c r="L2463">
        <v>15</v>
      </c>
      <c r="M2463" t="s">
        <v>205</v>
      </c>
      <c r="O2463" t="s">
        <v>11</v>
      </c>
      <c r="P2463">
        <v>6102</v>
      </c>
      <c r="Q2463">
        <v>15</v>
      </c>
      <c r="R2463">
        <v>6.45</v>
      </c>
      <c r="S2463">
        <v>96.75</v>
      </c>
      <c r="T2463">
        <v>62.4</v>
      </c>
      <c r="U2463">
        <v>35.5</v>
      </c>
      <c r="V2463" t="str">
        <f>VLOOKUP(L2463,'[2]tabela de preços'!$A:$D,4,0)</f>
        <v>3M</v>
      </c>
      <c r="W2463" t="str">
        <f>VLOOKUP(L2463,'[2]tabela de preços'!$A:$F,6,0)</f>
        <v>LIXA DÁGUA</v>
      </c>
      <c r="X2463" t="str">
        <f>VLOOKUP(L2463,'[2]tabela de preços'!$A:$G,7,0)</f>
        <v>AUTOMOTIVO</v>
      </c>
    </row>
    <row r="2464" spans="1:24" x14ac:dyDescent="0.3">
      <c r="A2464" t="s">
        <v>123</v>
      </c>
      <c r="C2464" t="s">
        <v>2418</v>
      </c>
      <c r="D2464" s="1">
        <v>46055</v>
      </c>
      <c r="E2464" t="s">
        <v>2419</v>
      </c>
      <c r="F2464">
        <v>9</v>
      </c>
      <c r="G2464">
        <v>174</v>
      </c>
      <c r="H2464" t="str">
        <f>VLOOKUP(G2464,[1]OPERADORES!$A:$B,2,0)</f>
        <v>MIRIÃ LOBATO RODRIGUES</v>
      </c>
      <c r="I2464" t="s">
        <v>126</v>
      </c>
      <c r="J2464" t="s">
        <v>127</v>
      </c>
      <c r="K2464" t="s">
        <v>128</v>
      </c>
      <c r="L2464">
        <v>16</v>
      </c>
      <c r="M2464" t="s">
        <v>122</v>
      </c>
      <c r="O2464" t="s">
        <v>11</v>
      </c>
      <c r="P2464">
        <v>6102</v>
      </c>
      <c r="Q2464">
        <v>15</v>
      </c>
      <c r="R2464">
        <v>3.41</v>
      </c>
      <c r="S2464">
        <v>51.15</v>
      </c>
      <c r="T2464">
        <v>33</v>
      </c>
      <c r="U2464">
        <v>35.479999999999997</v>
      </c>
      <c r="V2464" t="str">
        <f>VLOOKUP(L2464,'[2]tabela de preços'!$A:$D,4,0)</f>
        <v>3M</v>
      </c>
      <c r="W2464" t="str">
        <f>VLOOKUP(L2464,'[2]tabela de preços'!$A:$F,6,0)</f>
        <v>LIXA DÁGUA</v>
      </c>
      <c r="X2464" t="str">
        <f>VLOOKUP(L2464,'[2]tabela de preços'!$A:$G,7,0)</f>
        <v>AUTOMOTIVO</v>
      </c>
    </row>
    <row r="2465" spans="1:24" x14ac:dyDescent="0.3">
      <c r="A2465" t="s">
        <v>123</v>
      </c>
      <c r="C2465" t="s">
        <v>2418</v>
      </c>
      <c r="D2465" s="1">
        <v>46055</v>
      </c>
      <c r="E2465" t="s">
        <v>2419</v>
      </c>
      <c r="F2465">
        <v>9</v>
      </c>
      <c r="G2465">
        <v>174</v>
      </c>
      <c r="H2465" t="str">
        <f>VLOOKUP(G2465,[1]OPERADORES!$A:$B,2,0)</f>
        <v>MIRIÃ LOBATO RODRIGUES</v>
      </c>
      <c r="I2465" t="s">
        <v>126</v>
      </c>
      <c r="J2465" t="s">
        <v>127</v>
      </c>
      <c r="K2465" t="s">
        <v>128</v>
      </c>
      <c r="L2465">
        <v>10242</v>
      </c>
      <c r="M2465" t="s">
        <v>82</v>
      </c>
      <c r="O2465" t="s">
        <v>11</v>
      </c>
      <c r="P2465">
        <v>6102</v>
      </c>
      <c r="Q2465">
        <v>25</v>
      </c>
      <c r="R2465">
        <v>2.79</v>
      </c>
      <c r="S2465">
        <v>69.75</v>
      </c>
      <c r="T2465">
        <v>56</v>
      </c>
      <c r="U2465">
        <v>19.71</v>
      </c>
      <c r="V2465" t="str">
        <f>VLOOKUP(L2465,'[2]tabela de preços'!$A:$D,4,0)</f>
        <v>NORTON</v>
      </c>
      <c r="W2465" t="str">
        <f>VLOOKUP(L2465,'[2]tabela de preços'!$A:$F,6,0)</f>
        <v xml:space="preserve">DISCOS / LIXAS / ABRASIVOS </v>
      </c>
      <c r="X2465" t="str">
        <f>VLOOKUP(L2465,'[2]tabela de preços'!$A:$G,7,0)</f>
        <v>AUTOMOTIVO</v>
      </c>
    </row>
    <row r="2466" spans="1:24" x14ac:dyDescent="0.3">
      <c r="A2466" t="s">
        <v>123</v>
      </c>
      <c r="C2466" t="s">
        <v>2418</v>
      </c>
      <c r="D2466" s="1">
        <v>46055</v>
      </c>
      <c r="E2466" t="s">
        <v>2419</v>
      </c>
      <c r="F2466">
        <v>9</v>
      </c>
      <c r="G2466">
        <v>174</v>
      </c>
      <c r="H2466" t="str">
        <f>VLOOKUP(G2466,[1]OPERADORES!$A:$B,2,0)</f>
        <v>MIRIÃ LOBATO RODRIGUES</v>
      </c>
      <c r="I2466" t="s">
        <v>126</v>
      </c>
      <c r="J2466" t="s">
        <v>127</v>
      </c>
      <c r="K2466" t="s">
        <v>128</v>
      </c>
      <c r="L2466">
        <v>10243</v>
      </c>
      <c r="M2466" t="s">
        <v>83</v>
      </c>
      <c r="O2466" t="s">
        <v>11</v>
      </c>
      <c r="P2466">
        <v>6102</v>
      </c>
      <c r="Q2466">
        <v>25</v>
      </c>
      <c r="R2466">
        <v>2.79</v>
      </c>
      <c r="S2466">
        <v>69.75</v>
      </c>
      <c r="T2466">
        <v>48.25</v>
      </c>
      <c r="U2466">
        <v>30.82</v>
      </c>
      <c r="V2466" t="str">
        <f>VLOOKUP(L2466,'[2]tabela de preços'!$A:$D,4,0)</f>
        <v>NORTON</v>
      </c>
      <c r="W2466" t="str">
        <f>VLOOKUP(L2466,'[2]tabela de preços'!$A:$F,6,0)</f>
        <v xml:space="preserve">DISCOS / LIXAS / ABRASIVOS </v>
      </c>
      <c r="X2466" t="str">
        <f>VLOOKUP(L2466,'[2]tabela de preços'!$A:$G,7,0)</f>
        <v>AUTOMOTIVO</v>
      </c>
    </row>
    <row r="2467" spans="1:24" x14ac:dyDescent="0.3">
      <c r="A2467" t="s">
        <v>123</v>
      </c>
      <c r="C2467" t="s">
        <v>2418</v>
      </c>
      <c r="D2467" s="1">
        <v>46055</v>
      </c>
      <c r="E2467" t="s">
        <v>2419</v>
      </c>
      <c r="F2467">
        <v>9</v>
      </c>
      <c r="G2467">
        <v>174</v>
      </c>
      <c r="H2467" t="str">
        <f>VLOOKUP(G2467,[1]OPERADORES!$A:$B,2,0)</f>
        <v>MIRIÃ LOBATO RODRIGUES</v>
      </c>
      <c r="I2467" t="s">
        <v>126</v>
      </c>
      <c r="J2467" t="s">
        <v>127</v>
      </c>
      <c r="K2467" t="s">
        <v>128</v>
      </c>
      <c r="L2467">
        <v>10244</v>
      </c>
      <c r="M2467" t="s">
        <v>84</v>
      </c>
      <c r="O2467" t="s">
        <v>11</v>
      </c>
      <c r="P2467">
        <v>6102</v>
      </c>
      <c r="Q2467">
        <v>25</v>
      </c>
      <c r="R2467">
        <v>2.79</v>
      </c>
      <c r="S2467">
        <v>69.75</v>
      </c>
      <c r="T2467">
        <v>48.25</v>
      </c>
      <c r="U2467">
        <v>30.82</v>
      </c>
      <c r="V2467" t="str">
        <f>VLOOKUP(L2467,'[2]tabela de preços'!$A:$D,4,0)</f>
        <v>NORTON</v>
      </c>
      <c r="W2467" t="str">
        <f>VLOOKUP(L2467,'[2]tabela de preços'!$A:$F,6,0)</f>
        <v xml:space="preserve">DISCOS / LIXAS / ABRASIVOS </v>
      </c>
      <c r="X2467" t="str">
        <f>VLOOKUP(L2467,'[2]tabela de preços'!$A:$G,7,0)</f>
        <v>AUTOMOTIVO</v>
      </c>
    </row>
    <row r="2468" spans="1:24" x14ac:dyDescent="0.3">
      <c r="A2468" t="s">
        <v>123</v>
      </c>
      <c r="C2468" t="s">
        <v>2418</v>
      </c>
      <c r="D2468" s="1">
        <v>46055</v>
      </c>
      <c r="E2468" t="s">
        <v>2419</v>
      </c>
      <c r="F2468">
        <v>9</v>
      </c>
      <c r="G2468">
        <v>174</v>
      </c>
      <c r="H2468" t="str">
        <f>VLOOKUP(G2468,[1]OPERADORES!$A:$B,2,0)</f>
        <v>MIRIÃ LOBATO RODRIGUES</v>
      </c>
      <c r="I2468" t="s">
        <v>126</v>
      </c>
      <c r="J2468" t="s">
        <v>127</v>
      </c>
      <c r="K2468" t="s">
        <v>128</v>
      </c>
      <c r="L2468">
        <v>21078</v>
      </c>
      <c r="M2468" t="s">
        <v>141</v>
      </c>
      <c r="O2468" t="s">
        <v>11</v>
      </c>
      <c r="P2468">
        <v>6102</v>
      </c>
      <c r="Q2468">
        <v>6</v>
      </c>
      <c r="R2468">
        <v>22.89</v>
      </c>
      <c r="S2468">
        <v>137.34</v>
      </c>
      <c r="T2468">
        <v>111.96</v>
      </c>
      <c r="U2468">
        <v>18.48</v>
      </c>
      <c r="V2468" t="str">
        <f>VLOOKUP(L2468,'[2]tabela de preços'!$A:$D,4,0)</f>
        <v>SHERWIN WILLIAMS</v>
      </c>
      <c r="W2468" t="str">
        <f>VLOOKUP(L2468,'[2]tabela de preços'!$A:$F,6,0)</f>
        <v>MASSA POLIÉSTER</v>
      </c>
      <c r="X2468" t="str">
        <f>VLOOKUP(L2468,'[2]tabela de preços'!$A:$G,7,0)</f>
        <v>AUTOMOTIVO</v>
      </c>
    </row>
    <row r="2469" spans="1:24" x14ac:dyDescent="0.3">
      <c r="A2469" t="s">
        <v>123</v>
      </c>
      <c r="C2469" t="s">
        <v>2418</v>
      </c>
      <c r="D2469" s="1">
        <v>46055</v>
      </c>
      <c r="E2469" t="s">
        <v>2419</v>
      </c>
      <c r="F2469">
        <v>9</v>
      </c>
      <c r="G2469">
        <v>174</v>
      </c>
      <c r="H2469" t="str">
        <f>VLOOKUP(G2469,[1]OPERADORES!$A:$B,2,0)</f>
        <v>MIRIÃ LOBATO RODRIGUES</v>
      </c>
      <c r="I2469" t="s">
        <v>126</v>
      </c>
      <c r="J2469" t="s">
        <v>127</v>
      </c>
      <c r="K2469" t="s">
        <v>128</v>
      </c>
      <c r="L2469">
        <v>24247</v>
      </c>
      <c r="M2469" t="s">
        <v>160</v>
      </c>
      <c r="O2469" t="s">
        <v>11</v>
      </c>
      <c r="P2469">
        <v>6403</v>
      </c>
      <c r="Q2469">
        <v>6</v>
      </c>
      <c r="R2469">
        <v>21</v>
      </c>
      <c r="S2469">
        <v>126</v>
      </c>
      <c r="T2469">
        <v>101.22</v>
      </c>
      <c r="U2469">
        <v>19.670000000000002</v>
      </c>
      <c r="V2469" t="str">
        <f>VLOOKUP(L2469,'[2]tabela de preços'!$A:$D,4,0)</f>
        <v>SHERWIN WILLIAMS</v>
      </c>
      <c r="W2469" t="str">
        <f>VLOOKUP(L2469,'[2]tabela de preços'!$A:$F,6,0)</f>
        <v>PRIMER AUTOMOTIVO</v>
      </c>
      <c r="X2469" t="str">
        <f>VLOOKUP(L2469,'[2]tabela de preços'!$A:$G,7,0)</f>
        <v>AUTOMOTIVO</v>
      </c>
    </row>
    <row r="2470" spans="1:24" x14ac:dyDescent="0.3">
      <c r="A2470" t="s">
        <v>123</v>
      </c>
      <c r="C2470" t="s">
        <v>2567</v>
      </c>
      <c r="D2470" s="1">
        <v>46058</v>
      </c>
      <c r="E2470" t="s">
        <v>2568</v>
      </c>
      <c r="F2470">
        <v>9</v>
      </c>
      <c r="G2470">
        <v>174</v>
      </c>
      <c r="H2470" t="str">
        <f>VLOOKUP(G2470,[1]OPERADORES!$A:$B,2,0)</f>
        <v>MIRIÃ LOBATO RODRIGUES</v>
      </c>
      <c r="I2470" t="s">
        <v>126</v>
      </c>
      <c r="J2470" t="s">
        <v>127</v>
      </c>
      <c r="K2470" t="s">
        <v>128</v>
      </c>
      <c r="L2470">
        <v>23580</v>
      </c>
      <c r="M2470" t="s">
        <v>115</v>
      </c>
      <c r="O2470" t="s">
        <v>11</v>
      </c>
      <c r="P2470">
        <v>6102</v>
      </c>
      <c r="Q2470">
        <v>20</v>
      </c>
      <c r="R2470">
        <v>0.56000000000000005</v>
      </c>
      <c r="S2470">
        <v>11.2</v>
      </c>
      <c r="T2470">
        <v>7.2</v>
      </c>
      <c r="U2470">
        <v>35.71</v>
      </c>
      <c r="V2470" t="str">
        <f>VLOOKUP(L2470,'[2]tabela de preços'!$A:$D,4,0)</f>
        <v>RENOVA COADORES</v>
      </c>
      <c r="W2470" t="str">
        <f>VLOOKUP(L2470,'[2]tabela de preços'!$A:$F,6,0)</f>
        <v>COADORES</v>
      </c>
      <c r="X2470" t="str">
        <f>VLOOKUP(L2470,'[2]tabela de preços'!$A:$G,7,0)</f>
        <v>AUTOMOTIVO</v>
      </c>
    </row>
    <row r="2471" spans="1:24" x14ac:dyDescent="0.3">
      <c r="A2471" t="s">
        <v>123</v>
      </c>
      <c r="C2471" t="s">
        <v>2567</v>
      </c>
      <c r="D2471" s="1">
        <v>46058</v>
      </c>
      <c r="E2471" t="s">
        <v>2568</v>
      </c>
      <c r="F2471">
        <v>9</v>
      </c>
      <c r="G2471">
        <v>174</v>
      </c>
      <c r="H2471" t="str">
        <f>VLOOKUP(G2471,[1]OPERADORES!$A:$B,2,0)</f>
        <v>MIRIÃ LOBATO RODRIGUES</v>
      </c>
      <c r="I2471" t="s">
        <v>126</v>
      </c>
      <c r="J2471" t="s">
        <v>127</v>
      </c>
      <c r="K2471" t="s">
        <v>128</v>
      </c>
      <c r="L2471">
        <v>84557</v>
      </c>
      <c r="M2471" t="s">
        <v>116</v>
      </c>
      <c r="O2471" t="s">
        <v>11</v>
      </c>
      <c r="P2471">
        <v>6102</v>
      </c>
      <c r="Q2471">
        <v>10</v>
      </c>
      <c r="R2471">
        <v>17.489999999999998</v>
      </c>
      <c r="S2471">
        <v>174.9</v>
      </c>
      <c r="T2471">
        <v>139.6</v>
      </c>
      <c r="U2471">
        <v>20.18</v>
      </c>
      <c r="V2471" t="str">
        <f>VLOOKUP(L2471,'[2]tabela de preços'!$A:$D,4,0)</f>
        <v>BRASILUX</v>
      </c>
      <c r="W2471" t="str">
        <f>VLOOKUP(L2471,'[2]tabela de preços'!$A:$F,6,0)</f>
        <v>DILUENTE</v>
      </c>
      <c r="X2471" t="str">
        <f>VLOOKUP(L2471,'[2]tabela de preços'!$A:$G,7,0)</f>
        <v>AUTOMOTIVO</v>
      </c>
    </row>
    <row r="2472" spans="1:24" x14ac:dyDescent="0.3">
      <c r="A2472" t="s">
        <v>123</v>
      </c>
      <c r="C2472" t="s">
        <v>2567</v>
      </c>
      <c r="D2472" s="1">
        <v>46058</v>
      </c>
      <c r="E2472" t="s">
        <v>2568</v>
      </c>
      <c r="F2472">
        <v>9</v>
      </c>
      <c r="G2472">
        <v>174</v>
      </c>
      <c r="H2472" t="str">
        <f>VLOOKUP(G2472,[1]OPERADORES!$A:$B,2,0)</f>
        <v>MIRIÃ LOBATO RODRIGUES</v>
      </c>
      <c r="I2472" t="s">
        <v>126</v>
      </c>
      <c r="J2472" t="s">
        <v>127</v>
      </c>
      <c r="K2472" t="s">
        <v>128</v>
      </c>
      <c r="L2472">
        <v>10230</v>
      </c>
      <c r="M2472" t="s">
        <v>193</v>
      </c>
      <c r="O2472" t="s">
        <v>11</v>
      </c>
      <c r="P2472">
        <v>6102</v>
      </c>
      <c r="Q2472">
        <v>20</v>
      </c>
      <c r="R2472">
        <v>2.79</v>
      </c>
      <c r="S2472">
        <v>55.8</v>
      </c>
      <c r="T2472">
        <v>46.4</v>
      </c>
      <c r="U2472">
        <v>16.850000000000001</v>
      </c>
      <c r="V2472" t="str">
        <f>VLOOKUP(L2472,'[2]tabela de preços'!$A:$D,4,0)</f>
        <v>NORTON</v>
      </c>
      <c r="W2472" t="str">
        <f>VLOOKUP(L2472,'[2]tabela de preços'!$A:$F,6,0)</f>
        <v xml:space="preserve">DISCOS / LIXAS / ABRASIVOS </v>
      </c>
      <c r="X2472" t="str">
        <f>VLOOKUP(L2472,'[2]tabela de preços'!$A:$G,7,0)</f>
        <v>AUTOMOTIVO</v>
      </c>
    </row>
    <row r="2473" spans="1:24" x14ac:dyDescent="0.3">
      <c r="A2473" t="s">
        <v>123</v>
      </c>
      <c r="C2473" t="s">
        <v>2567</v>
      </c>
      <c r="D2473" s="1">
        <v>46058</v>
      </c>
      <c r="E2473" t="s">
        <v>2569</v>
      </c>
      <c r="F2473">
        <v>9</v>
      </c>
      <c r="G2473">
        <v>174</v>
      </c>
      <c r="H2473" t="str">
        <f>VLOOKUP(G2473,[1]OPERADORES!$A:$B,2,0)</f>
        <v>MIRIÃ LOBATO RODRIGUES</v>
      </c>
      <c r="I2473" t="s">
        <v>126</v>
      </c>
      <c r="J2473" t="s">
        <v>127</v>
      </c>
      <c r="K2473" t="s">
        <v>128</v>
      </c>
      <c r="L2473">
        <v>10232</v>
      </c>
      <c r="M2473" t="s">
        <v>134</v>
      </c>
      <c r="O2473" t="s">
        <v>11</v>
      </c>
      <c r="P2473">
        <v>6102</v>
      </c>
      <c r="Q2473">
        <v>15</v>
      </c>
      <c r="R2473">
        <v>2.79</v>
      </c>
      <c r="S2473">
        <v>41.85</v>
      </c>
      <c r="T2473">
        <v>33.75</v>
      </c>
      <c r="U2473">
        <v>19.350000000000001</v>
      </c>
      <c r="V2473" t="str">
        <f>VLOOKUP(L2473,'[2]tabela de preços'!$A:$D,4,0)</f>
        <v>NORTON</v>
      </c>
      <c r="W2473" t="str">
        <f>VLOOKUP(L2473,'[2]tabela de preços'!$A:$F,6,0)</f>
        <v xml:space="preserve">DISCOS / LIXAS / ABRASIVOS </v>
      </c>
      <c r="X2473" t="str">
        <f>VLOOKUP(L2473,'[2]tabela de preços'!$A:$G,7,0)</f>
        <v>AUTOMOTIVO</v>
      </c>
    </row>
    <row r="2474" spans="1:24" x14ac:dyDescent="0.3">
      <c r="A2474" t="s">
        <v>123</v>
      </c>
      <c r="C2474" t="s">
        <v>2567</v>
      </c>
      <c r="D2474" s="1">
        <v>46058</v>
      </c>
      <c r="E2474" t="s">
        <v>2568</v>
      </c>
      <c r="F2474">
        <v>9</v>
      </c>
      <c r="G2474">
        <v>174</v>
      </c>
      <c r="H2474" t="str">
        <f>VLOOKUP(G2474,[1]OPERADORES!$A:$B,2,0)</f>
        <v>MIRIÃ LOBATO RODRIGUES</v>
      </c>
      <c r="I2474" t="s">
        <v>126</v>
      </c>
      <c r="J2474" t="s">
        <v>127</v>
      </c>
      <c r="K2474" t="s">
        <v>128</v>
      </c>
      <c r="L2474">
        <v>20525</v>
      </c>
      <c r="M2474" t="s">
        <v>137</v>
      </c>
      <c r="O2474" t="s">
        <v>11</v>
      </c>
      <c r="P2474">
        <v>6102</v>
      </c>
      <c r="Q2474">
        <v>3</v>
      </c>
      <c r="R2474">
        <v>13.65</v>
      </c>
      <c r="S2474">
        <v>40.950000000000003</v>
      </c>
      <c r="T2474">
        <v>31.08</v>
      </c>
      <c r="U2474">
        <v>24.1</v>
      </c>
      <c r="V2474" t="str">
        <f>VLOOKUP(L2474,'[2]tabela de preços'!$A:$D,4,0)</f>
        <v>SHERWIN WILLIAMS</v>
      </c>
      <c r="W2474" t="str">
        <f>VLOOKUP(L2474,'[2]tabela de preços'!$A:$F,6,0)</f>
        <v>MASSA DE PEQUENOS REPAROS</v>
      </c>
      <c r="X2474" t="str">
        <f>VLOOKUP(L2474,'[2]tabela de preços'!$A:$G,7,0)</f>
        <v>AUTOMOTIVO</v>
      </c>
    </row>
    <row r="2475" spans="1:24" x14ac:dyDescent="0.3">
      <c r="A2475" t="s">
        <v>123</v>
      </c>
      <c r="C2475" t="s">
        <v>2567</v>
      </c>
      <c r="D2475" s="1">
        <v>46058</v>
      </c>
      <c r="E2475" t="s">
        <v>2568</v>
      </c>
      <c r="F2475">
        <v>9</v>
      </c>
      <c r="G2475">
        <v>174</v>
      </c>
      <c r="H2475" t="str">
        <f>VLOOKUP(G2475,[1]OPERADORES!$A:$B,2,0)</f>
        <v>MIRIÃ LOBATO RODRIGUES</v>
      </c>
      <c r="I2475" t="s">
        <v>126</v>
      </c>
      <c r="J2475" t="s">
        <v>127</v>
      </c>
      <c r="K2475" t="s">
        <v>128</v>
      </c>
      <c r="L2475">
        <v>21078</v>
      </c>
      <c r="M2475" t="s">
        <v>141</v>
      </c>
      <c r="O2475" t="s">
        <v>11</v>
      </c>
      <c r="P2475">
        <v>6102</v>
      </c>
      <c r="Q2475">
        <v>4</v>
      </c>
      <c r="R2475">
        <v>22.89</v>
      </c>
      <c r="S2475">
        <v>91.56</v>
      </c>
      <c r="T2475">
        <v>74.64</v>
      </c>
      <c r="U2475">
        <v>18.48</v>
      </c>
      <c r="V2475" t="str">
        <f>VLOOKUP(L2475,'[2]tabela de preços'!$A:$D,4,0)</f>
        <v>SHERWIN WILLIAMS</v>
      </c>
      <c r="W2475" t="str">
        <f>VLOOKUP(L2475,'[2]tabela de preços'!$A:$F,6,0)</f>
        <v>MASSA POLIÉSTER</v>
      </c>
      <c r="X2475" t="str">
        <f>VLOOKUP(L2475,'[2]tabela de preços'!$A:$G,7,0)</f>
        <v>AUTOMOTIVO</v>
      </c>
    </row>
    <row r="2476" spans="1:24" x14ac:dyDescent="0.3">
      <c r="A2476" t="s">
        <v>123</v>
      </c>
      <c r="C2476" t="s">
        <v>2567</v>
      </c>
      <c r="D2476" s="1">
        <v>46058</v>
      </c>
      <c r="E2476" t="s">
        <v>2568</v>
      </c>
      <c r="F2476">
        <v>9</v>
      </c>
      <c r="G2476">
        <v>174</v>
      </c>
      <c r="H2476" t="str">
        <f>VLOOKUP(G2476,[1]OPERADORES!$A:$B,2,0)</f>
        <v>MIRIÃ LOBATO RODRIGUES</v>
      </c>
      <c r="I2476" t="s">
        <v>126</v>
      </c>
      <c r="J2476" t="s">
        <v>127</v>
      </c>
      <c r="K2476" t="s">
        <v>128</v>
      </c>
      <c r="L2476">
        <v>10297</v>
      </c>
      <c r="M2476" t="s">
        <v>41</v>
      </c>
      <c r="O2476" t="s">
        <v>11</v>
      </c>
      <c r="P2476">
        <v>6102</v>
      </c>
      <c r="Q2476">
        <v>6</v>
      </c>
      <c r="R2476">
        <v>10.89</v>
      </c>
      <c r="S2476">
        <v>65.34</v>
      </c>
      <c r="T2476">
        <v>55.02</v>
      </c>
      <c r="U2476">
        <v>15.79</v>
      </c>
      <c r="V2476" t="str">
        <f>VLOOKUP(L2476,'[2]tabela de preços'!$A:$D,4,0)</f>
        <v>ANJO</v>
      </c>
      <c r="W2476" t="str">
        <f>VLOOKUP(L2476,'[2]tabela de preços'!$A:$F,6,0)</f>
        <v>THINNER DE LIMPEZA</v>
      </c>
      <c r="X2476" t="str">
        <f>VLOOKUP(L2476,'[2]tabela de preços'!$A:$G,7,0)</f>
        <v>THINNER</v>
      </c>
    </row>
    <row r="2477" spans="1:24" x14ac:dyDescent="0.3">
      <c r="A2477" t="s">
        <v>123</v>
      </c>
      <c r="C2477" t="s">
        <v>2567</v>
      </c>
      <c r="D2477" s="1">
        <v>46058</v>
      </c>
      <c r="E2477" t="s">
        <v>2568</v>
      </c>
      <c r="F2477">
        <v>9</v>
      </c>
      <c r="G2477">
        <v>174</v>
      </c>
      <c r="H2477" t="str">
        <f>VLOOKUP(G2477,[1]OPERADORES!$A:$B,2,0)</f>
        <v>MIRIÃ LOBATO RODRIGUES</v>
      </c>
      <c r="I2477" t="s">
        <v>126</v>
      </c>
      <c r="J2477" t="s">
        <v>127</v>
      </c>
      <c r="K2477" t="s">
        <v>128</v>
      </c>
      <c r="L2477">
        <v>10404</v>
      </c>
      <c r="M2477" t="s">
        <v>130</v>
      </c>
      <c r="O2477" t="s">
        <v>11</v>
      </c>
      <c r="P2477">
        <v>6102</v>
      </c>
      <c r="Q2477">
        <v>4</v>
      </c>
      <c r="R2477">
        <v>16.29</v>
      </c>
      <c r="S2477">
        <v>65.16</v>
      </c>
      <c r="T2477">
        <v>50.04</v>
      </c>
      <c r="U2477">
        <v>23.2</v>
      </c>
      <c r="V2477" t="str">
        <f>VLOOKUP(L2477,'[2]tabela de preços'!$A:$D,4,0)</f>
        <v>MAXI RUBBER</v>
      </c>
      <c r="W2477" t="str">
        <f>VLOOKUP(L2477,'[2]tabela de preços'!$A:$F,6,0)</f>
        <v>VEDADORES / SELANTES</v>
      </c>
      <c r="X2477" t="str">
        <f>VLOOKUP(L2477,'[2]tabela de preços'!$A:$G,7,0)</f>
        <v>AUTOMOTIVO</v>
      </c>
    </row>
    <row r="2478" spans="1:24" x14ac:dyDescent="0.3">
      <c r="A2478" t="s">
        <v>123</v>
      </c>
      <c r="C2478" t="s">
        <v>2744</v>
      </c>
      <c r="D2478" s="1">
        <v>46059</v>
      </c>
      <c r="E2478" t="s">
        <v>2745</v>
      </c>
      <c r="F2478">
        <v>9</v>
      </c>
      <c r="G2478">
        <v>174</v>
      </c>
      <c r="H2478" t="str">
        <f>VLOOKUP(G2478,[1]OPERADORES!$A:$B,2,0)</f>
        <v>MIRIÃ LOBATO RODRIGUES</v>
      </c>
      <c r="I2478" t="s">
        <v>126</v>
      </c>
      <c r="J2478" t="s">
        <v>127</v>
      </c>
      <c r="K2478" t="s">
        <v>128</v>
      </c>
      <c r="L2478">
        <v>20431</v>
      </c>
      <c r="M2478" t="s">
        <v>202</v>
      </c>
      <c r="O2478" t="s">
        <v>11</v>
      </c>
      <c r="P2478">
        <v>6403</v>
      </c>
      <c r="Q2478">
        <v>7</v>
      </c>
      <c r="R2478">
        <v>36.89</v>
      </c>
      <c r="S2478">
        <v>258.23</v>
      </c>
      <c r="T2478">
        <v>211.82</v>
      </c>
      <c r="U2478">
        <v>17.97</v>
      </c>
      <c r="V2478" t="str">
        <f>VLOOKUP(L2478,'[2]tabela de preços'!$A:$D,4,0)</f>
        <v>SHERWIN WILLIAMS</v>
      </c>
      <c r="W2478" t="str">
        <f>VLOOKUP(L2478,'[2]tabela de preços'!$A:$F,6,0)</f>
        <v>VERNIZ AUTOMOTIVO</v>
      </c>
      <c r="X2478" t="str">
        <f>VLOOKUP(L2478,'[2]tabela de preços'!$A:$G,7,0)</f>
        <v>AUTOMOTIVO</v>
      </c>
    </row>
    <row r="2479" spans="1:24" x14ac:dyDescent="0.3">
      <c r="A2479" t="s">
        <v>165</v>
      </c>
      <c r="C2479" t="s">
        <v>2570</v>
      </c>
      <c r="D2479" s="1">
        <v>46058</v>
      </c>
      <c r="E2479" t="s">
        <v>2571</v>
      </c>
      <c r="F2479">
        <v>9</v>
      </c>
      <c r="G2479">
        <v>174</v>
      </c>
      <c r="H2479" t="str">
        <f>VLOOKUP(G2479,[1]OPERADORES!$A:$B,2,0)</f>
        <v>MIRIÃ LOBATO RODRIGUES</v>
      </c>
      <c r="I2479" t="s">
        <v>168</v>
      </c>
      <c r="J2479" t="s">
        <v>169</v>
      </c>
      <c r="K2479" t="s">
        <v>170</v>
      </c>
      <c r="L2479">
        <v>83825</v>
      </c>
      <c r="M2479" t="s">
        <v>332</v>
      </c>
      <c r="O2479" t="s">
        <v>11</v>
      </c>
      <c r="P2479">
        <v>6102</v>
      </c>
      <c r="Q2479">
        <v>50</v>
      </c>
      <c r="R2479">
        <v>2.64</v>
      </c>
      <c r="S2479">
        <v>132</v>
      </c>
      <c r="T2479">
        <v>100.5</v>
      </c>
      <c r="U2479">
        <v>23.86</v>
      </c>
      <c r="V2479" t="str">
        <f>VLOOKUP(L2479,'[2]tabela de preços'!$A:$D,4,0)</f>
        <v>NORTON</v>
      </c>
      <c r="W2479" t="str">
        <f>VLOOKUP(L2479,'[2]tabela de preços'!$A:$F,6,0)</f>
        <v xml:space="preserve">DISCOS / LIXAS / ABRASIVOS </v>
      </c>
      <c r="X2479" t="str">
        <f>VLOOKUP(L2479,'[2]tabela de preços'!$A:$G,7,0)</f>
        <v>AUTOMOTIVO</v>
      </c>
    </row>
    <row r="2480" spans="1:24" x14ac:dyDescent="0.3">
      <c r="A2480" t="s">
        <v>165</v>
      </c>
      <c r="C2480" t="s">
        <v>2570</v>
      </c>
      <c r="D2480" s="1">
        <v>46058</v>
      </c>
      <c r="E2480" t="s">
        <v>2571</v>
      </c>
      <c r="F2480">
        <v>9</v>
      </c>
      <c r="G2480">
        <v>174</v>
      </c>
      <c r="H2480" t="str">
        <f>VLOOKUP(G2480,[1]OPERADORES!$A:$B,2,0)</f>
        <v>MIRIÃ LOBATO RODRIGUES</v>
      </c>
      <c r="I2480" t="s">
        <v>168</v>
      </c>
      <c r="J2480" t="s">
        <v>169</v>
      </c>
      <c r="K2480" t="s">
        <v>170</v>
      </c>
      <c r="L2480">
        <v>23690</v>
      </c>
      <c r="M2480" t="s">
        <v>98</v>
      </c>
      <c r="O2480" t="s">
        <v>11</v>
      </c>
      <c r="P2480">
        <v>6403</v>
      </c>
      <c r="Q2480">
        <v>6</v>
      </c>
      <c r="R2480">
        <v>39.89</v>
      </c>
      <c r="S2480">
        <v>239.34</v>
      </c>
      <c r="T2480">
        <v>189.66</v>
      </c>
      <c r="U2480">
        <v>20.76</v>
      </c>
      <c r="V2480" t="str">
        <f>VLOOKUP(L2480,'[2]tabela de preços'!$A:$D,4,0)</f>
        <v>WANDA</v>
      </c>
      <c r="W2480" t="str">
        <f>VLOOKUP(L2480,'[2]tabela de preços'!$A:$F,6,0)</f>
        <v>VERNIZ AUTOMOTIVO</v>
      </c>
      <c r="X2480" t="str">
        <f>VLOOKUP(L2480,'[2]tabela de preços'!$A:$G,7,0)</f>
        <v>AUTOMOTIVO</v>
      </c>
    </row>
    <row r="2481" spans="1:24" x14ac:dyDescent="0.3">
      <c r="A2481" t="s">
        <v>165</v>
      </c>
      <c r="C2481" t="s">
        <v>2570</v>
      </c>
      <c r="D2481" s="1">
        <v>46058</v>
      </c>
      <c r="E2481" t="s">
        <v>2571</v>
      </c>
      <c r="F2481">
        <v>9</v>
      </c>
      <c r="G2481">
        <v>174</v>
      </c>
      <c r="H2481" t="str">
        <f>VLOOKUP(G2481,[1]OPERADORES!$A:$B,2,0)</f>
        <v>MIRIÃ LOBATO RODRIGUES</v>
      </c>
      <c r="I2481" t="s">
        <v>168</v>
      </c>
      <c r="J2481" t="s">
        <v>169</v>
      </c>
      <c r="K2481" t="s">
        <v>170</v>
      </c>
      <c r="L2481">
        <v>10238</v>
      </c>
      <c r="M2481" t="s">
        <v>79</v>
      </c>
      <c r="O2481" t="s">
        <v>11</v>
      </c>
      <c r="P2481">
        <v>6102</v>
      </c>
      <c r="Q2481">
        <v>100</v>
      </c>
      <c r="R2481">
        <v>2.79</v>
      </c>
      <c r="S2481">
        <v>279</v>
      </c>
      <c r="T2481">
        <v>224</v>
      </c>
      <c r="U2481">
        <v>19.71</v>
      </c>
      <c r="V2481" t="str">
        <f>VLOOKUP(L2481,'[2]tabela de preços'!$A:$D,4,0)</f>
        <v>NORTON</v>
      </c>
      <c r="W2481" t="str">
        <f>VLOOKUP(L2481,'[2]tabela de preços'!$A:$F,6,0)</f>
        <v xml:space="preserve">DISCOS / LIXAS / ABRASIVOS </v>
      </c>
      <c r="X2481" t="str">
        <f>VLOOKUP(L2481,'[2]tabela de preços'!$A:$G,7,0)</f>
        <v>AUTOMOTIVO</v>
      </c>
    </row>
    <row r="2482" spans="1:24" x14ac:dyDescent="0.3">
      <c r="A2482" t="s">
        <v>165</v>
      </c>
      <c r="C2482" t="s">
        <v>2570</v>
      </c>
      <c r="D2482" s="1">
        <v>46058</v>
      </c>
      <c r="E2482" t="s">
        <v>2571</v>
      </c>
      <c r="F2482">
        <v>9</v>
      </c>
      <c r="G2482">
        <v>174</v>
      </c>
      <c r="H2482" t="str">
        <f>VLOOKUP(G2482,[1]OPERADORES!$A:$B,2,0)</f>
        <v>MIRIÃ LOBATO RODRIGUES</v>
      </c>
      <c r="I2482" t="s">
        <v>168</v>
      </c>
      <c r="J2482" t="s">
        <v>169</v>
      </c>
      <c r="K2482" t="s">
        <v>170</v>
      </c>
      <c r="L2482">
        <v>10240</v>
      </c>
      <c r="M2482" t="s">
        <v>81</v>
      </c>
      <c r="O2482" t="s">
        <v>11</v>
      </c>
      <c r="P2482">
        <v>6102</v>
      </c>
      <c r="Q2482">
        <v>50</v>
      </c>
      <c r="R2482">
        <v>2.79</v>
      </c>
      <c r="S2482">
        <v>139.5</v>
      </c>
      <c r="T2482">
        <v>112</v>
      </c>
      <c r="U2482">
        <v>19.71</v>
      </c>
      <c r="V2482" t="str">
        <f>VLOOKUP(L2482,'[2]tabela de preços'!$A:$D,4,0)</f>
        <v>NORTON</v>
      </c>
      <c r="W2482" t="str">
        <f>VLOOKUP(L2482,'[2]tabela de preços'!$A:$F,6,0)</f>
        <v xml:space="preserve">DISCOS / LIXAS / ABRASIVOS </v>
      </c>
      <c r="X2482" t="str">
        <f>VLOOKUP(L2482,'[2]tabela de preços'!$A:$G,7,0)</f>
        <v>AUTOMOTIVO</v>
      </c>
    </row>
    <row r="2483" spans="1:24" x14ac:dyDescent="0.3">
      <c r="A2483" t="s">
        <v>165</v>
      </c>
      <c r="C2483" t="s">
        <v>2570</v>
      </c>
      <c r="D2483" s="1">
        <v>46058</v>
      </c>
      <c r="E2483" t="s">
        <v>2571</v>
      </c>
      <c r="F2483">
        <v>9</v>
      </c>
      <c r="G2483">
        <v>174</v>
      </c>
      <c r="H2483" t="str">
        <f>VLOOKUP(G2483,[1]OPERADORES!$A:$B,2,0)</f>
        <v>MIRIÃ LOBATO RODRIGUES</v>
      </c>
      <c r="I2483" t="s">
        <v>168</v>
      </c>
      <c r="J2483" t="s">
        <v>169</v>
      </c>
      <c r="K2483" t="s">
        <v>170</v>
      </c>
      <c r="L2483">
        <v>84460</v>
      </c>
      <c r="M2483" t="s">
        <v>322</v>
      </c>
      <c r="O2483" t="s">
        <v>11</v>
      </c>
      <c r="P2483">
        <v>6102</v>
      </c>
      <c r="Q2483">
        <v>6</v>
      </c>
      <c r="R2483">
        <v>31.07</v>
      </c>
      <c r="S2483">
        <v>186.42</v>
      </c>
      <c r="T2483">
        <v>141.47999999999999</v>
      </c>
      <c r="U2483">
        <v>24.11</v>
      </c>
      <c r="V2483" t="str">
        <f>VLOOKUP(L2483,'[2]tabela de preços'!$A:$D,4,0)</f>
        <v>BRASILUX</v>
      </c>
      <c r="W2483" t="str">
        <f>VLOOKUP(L2483,'[2]tabela de preços'!$A:$F,6,0)</f>
        <v>VEDADORES / SELANTES</v>
      </c>
      <c r="X2483" t="str">
        <f>VLOOKUP(L2483,'[2]tabela de preços'!$A:$G,7,0)</f>
        <v>AUTOMOTIVO</v>
      </c>
    </row>
    <row r="2484" spans="1:24" x14ac:dyDescent="0.3">
      <c r="A2484" t="s">
        <v>186</v>
      </c>
      <c r="C2484" t="s">
        <v>2478</v>
      </c>
      <c r="D2484" s="1">
        <v>46056</v>
      </c>
      <c r="E2484" t="s">
        <v>2479</v>
      </c>
      <c r="F2484">
        <v>9</v>
      </c>
      <c r="G2484">
        <v>236</v>
      </c>
      <c r="H2484" t="str">
        <f>VLOOKUP(G2484,[1]OPERADORES!$A:$B,2,0)</f>
        <v>DANIEL</v>
      </c>
      <c r="I2484" t="s">
        <v>21</v>
      </c>
      <c r="J2484" t="s">
        <v>189</v>
      </c>
      <c r="K2484" t="s">
        <v>190</v>
      </c>
      <c r="L2484">
        <v>85635</v>
      </c>
      <c r="M2484" t="s">
        <v>674</v>
      </c>
      <c r="O2484" t="s">
        <v>11</v>
      </c>
      <c r="P2484">
        <v>5102</v>
      </c>
      <c r="Q2484">
        <v>1</v>
      </c>
      <c r="R2484">
        <v>6.2</v>
      </c>
      <c r="S2484">
        <v>6.2</v>
      </c>
      <c r="T2484">
        <v>4</v>
      </c>
      <c r="U2484">
        <v>35.479999999999997</v>
      </c>
      <c r="V2484" t="str">
        <f>VLOOKUP(L2484,'[2]tabela de preços'!$A:$D,4,0)</f>
        <v>UNIPEGA</v>
      </c>
      <c r="W2484" t="str">
        <f>VLOOKUP(L2484,'[2]tabela de preços'!$A:$F,6,0)</f>
        <v>DESENGRIPANTE</v>
      </c>
      <c r="X2484" t="str">
        <f>VLOOKUP(L2484,'[2]tabela de preços'!$A:$G,7,0)</f>
        <v>AUTOMOTIVO</v>
      </c>
    </row>
    <row r="2485" spans="1:24" x14ac:dyDescent="0.3">
      <c r="A2485" t="s">
        <v>186</v>
      </c>
      <c r="C2485" t="s">
        <v>2478</v>
      </c>
      <c r="D2485" s="1">
        <v>46056</v>
      </c>
      <c r="E2485" t="s">
        <v>2479</v>
      </c>
      <c r="F2485">
        <v>9</v>
      </c>
      <c r="G2485">
        <v>236</v>
      </c>
      <c r="H2485" t="str">
        <f>VLOOKUP(G2485,[1]OPERADORES!$A:$B,2,0)</f>
        <v>DANIEL</v>
      </c>
      <c r="I2485" t="s">
        <v>21</v>
      </c>
      <c r="J2485" t="s">
        <v>189</v>
      </c>
      <c r="K2485" t="s">
        <v>190</v>
      </c>
      <c r="L2485">
        <v>22684</v>
      </c>
      <c r="M2485" t="s">
        <v>73</v>
      </c>
      <c r="O2485" t="s">
        <v>11</v>
      </c>
      <c r="P2485">
        <v>5102</v>
      </c>
      <c r="Q2485">
        <v>20</v>
      </c>
      <c r="R2485">
        <v>3.65</v>
      </c>
      <c r="S2485">
        <v>73</v>
      </c>
      <c r="T2485">
        <v>61.6</v>
      </c>
      <c r="U2485">
        <v>15.62</v>
      </c>
      <c r="V2485" t="str">
        <f>VLOOKUP(L2485,'[2]tabela de preços'!$A:$D,4,0)</f>
        <v>3M</v>
      </c>
      <c r="W2485" t="str">
        <f>VLOOKUP(L2485,'[2]tabela de preços'!$A:$F,6,0)</f>
        <v>FITA AUTOMOTIVA</v>
      </c>
      <c r="X2485" t="str">
        <f>VLOOKUP(L2485,'[2]tabela de preços'!$A:$G,7,0)</f>
        <v>AUTOMOTIVO</v>
      </c>
    </row>
    <row r="2486" spans="1:24" x14ac:dyDescent="0.3">
      <c r="A2486" t="s">
        <v>186</v>
      </c>
      <c r="C2486" t="s">
        <v>2478</v>
      </c>
      <c r="D2486" s="1">
        <v>46056</v>
      </c>
      <c r="E2486" t="s">
        <v>2479</v>
      </c>
      <c r="F2486">
        <v>9</v>
      </c>
      <c r="G2486">
        <v>236</v>
      </c>
      <c r="H2486" t="str">
        <f>VLOOKUP(G2486,[1]OPERADORES!$A:$B,2,0)</f>
        <v>DANIEL</v>
      </c>
      <c r="I2486" t="s">
        <v>21</v>
      </c>
      <c r="J2486" t="s">
        <v>189</v>
      </c>
      <c r="K2486" t="s">
        <v>190</v>
      </c>
      <c r="L2486">
        <v>85409</v>
      </c>
      <c r="M2486" t="s">
        <v>201</v>
      </c>
      <c r="O2486" t="s">
        <v>11</v>
      </c>
      <c r="P2486">
        <v>5403</v>
      </c>
      <c r="Q2486">
        <v>2</v>
      </c>
      <c r="R2486">
        <v>28.9</v>
      </c>
      <c r="S2486">
        <v>57.8</v>
      </c>
      <c r="T2486">
        <v>46.22</v>
      </c>
      <c r="U2486">
        <v>20.03</v>
      </c>
      <c r="V2486" t="str">
        <f>VLOOKUP(L2486,'[2]tabela de preços'!$A:$D,4,0)</f>
        <v>WANDA</v>
      </c>
      <c r="W2486" t="str">
        <f>VLOOKUP(L2486,'[2]tabela de preços'!$A:$F,6,0)</f>
        <v>PRIMER AUTOMOTIVO</v>
      </c>
      <c r="X2486" t="str">
        <f>VLOOKUP(L2486,'[2]tabela de preços'!$A:$G,7,0)</f>
        <v>AUTOMOTIVO</v>
      </c>
    </row>
    <row r="2487" spans="1:24" x14ac:dyDescent="0.3">
      <c r="A2487" t="s">
        <v>186</v>
      </c>
      <c r="C2487" t="s">
        <v>2478</v>
      </c>
      <c r="D2487" s="1">
        <v>46056</v>
      </c>
      <c r="E2487" t="s">
        <v>2479</v>
      </c>
      <c r="F2487">
        <v>9</v>
      </c>
      <c r="G2487">
        <v>236</v>
      </c>
      <c r="H2487" t="str">
        <f>VLOOKUP(G2487,[1]OPERADORES!$A:$B,2,0)</f>
        <v>DANIEL</v>
      </c>
      <c r="I2487" t="s">
        <v>21</v>
      </c>
      <c r="J2487" t="s">
        <v>189</v>
      </c>
      <c r="K2487" t="s">
        <v>190</v>
      </c>
      <c r="L2487">
        <v>13</v>
      </c>
      <c r="M2487" t="s">
        <v>152</v>
      </c>
      <c r="O2487" t="s">
        <v>11</v>
      </c>
      <c r="P2487">
        <v>5102</v>
      </c>
      <c r="Q2487">
        <v>5</v>
      </c>
      <c r="R2487">
        <v>5.79</v>
      </c>
      <c r="S2487">
        <v>28.95</v>
      </c>
      <c r="T2487">
        <v>20.8</v>
      </c>
      <c r="U2487">
        <v>28.15</v>
      </c>
      <c r="V2487" t="str">
        <f>VLOOKUP(L2487,'[2]tabela de preços'!$A:$D,4,0)</f>
        <v>3M</v>
      </c>
      <c r="W2487" t="str">
        <f>VLOOKUP(L2487,'[2]tabela de preços'!$A:$F,6,0)</f>
        <v>LIXA DÁGUA</v>
      </c>
      <c r="X2487" t="str">
        <f>VLOOKUP(L2487,'[2]tabela de preços'!$A:$G,7,0)</f>
        <v>AUTOMOTIVO</v>
      </c>
    </row>
    <row r="2488" spans="1:24" x14ac:dyDescent="0.3">
      <c r="A2488" t="s">
        <v>186</v>
      </c>
      <c r="C2488" t="s">
        <v>2478</v>
      </c>
      <c r="D2488" s="1">
        <v>46056</v>
      </c>
      <c r="E2488" t="s">
        <v>2479</v>
      </c>
      <c r="F2488">
        <v>9</v>
      </c>
      <c r="G2488">
        <v>236</v>
      </c>
      <c r="H2488" t="str">
        <f>VLOOKUP(G2488,[1]OPERADORES!$A:$B,2,0)</f>
        <v>DANIEL</v>
      </c>
      <c r="I2488" t="s">
        <v>21</v>
      </c>
      <c r="J2488" t="s">
        <v>189</v>
      </c>
      <c r="K2488" t="s">
        <v>190</v>
      </c>
      <c r="L2488">
        <v>10238</v>
      </c>
      <c r="M2488" t="s">
        <v>79</v>
      </c>
      <c r="O2488" t="s">
        <v>11</v>
      </c>
      <c r="P2488">
        <v>5102</v>
      </c>
      <c r="Q2488">
        <v>10</v>
      </c>
      <c r="R2488">
        <v>2.79</v>
      </c>
      <c r="S2488">
        <v>27.9</v>
      </c>
      <c r="T2488">
        <v>22.4</v>
      </c>
      <c r="U2488">
        <v>19.71</v>
      </c>
      <c r="V2488" t="str">
        <f>VLOOKUP(L2488,'[2]tabela de preços'!$A:$D,4,0)</f>
        <v>NORTON</v>
      </c>
      <c r="W2488" t="str">
        <f>VLOOKUP(L2488,'[2]tabela de preços'!$A:$F,6,0)</f>
        <v xml:space="preserve">DISCOS / LIXAS / ABRASIVOS </v>
      </c>
      <c r="X2488" t="str">
        <f>VLOOKUP(L2488,'[2]tabela de preços'!$A:$G,7,0)</f>
        <v>AUTOMOTIVO</v>
      </c>
    </row>
    <row r="2489" spans="1:24" x14ac:dyDescent="0.3">
      <c r="A2489" t="s">
        <v>186</v>
      </c>
      <c r="C2489" t="s">
        <v>2478</v>
      </c>
      <c r="D2489" s="1">
        <v>46056</v>
      </c>
      <c r="E2489" t="s">
        <v>2479</v>
      </c>
      <c r="F2489">
        <v>9</v>
      </c>
      <c r="G2489">
        <v>236</v>
      </c>
      <c r="H2489" t="str">
        <f>VLOOKUP(G2489,[1]OPERADORES!$A:$B,2,0)</f>
        <v>DANIEL</v>
      </c>
      <c r="I2489" t="s">
        <v>21</v>
      </c>
      <c r="J2489" t="s">
        <v>189</v>
      </c>
      <c r="K2489" t="s">
        <v>190</v>
      </c>
      <c r="L2489">
        <v>10242</v>
      </c>
      <c r="M2489" t="s">
        <v>82</v>
      </c>
      <c r="O2489" t="s">
        <v>11</v>
      </c>
      <c r="P2489">
        <v>5102</v>
      </c>
      <c r="Q2489">
        <v>10</v>
      </c>
      <c r="R2489">
        <v>2.79</v>
      </c>
      <c r="S2489">
        <v>27.9</v>
      </c>
      <c r="T2489">
        <v>22.4</v>
      </c>
      <c r="U2489">
        <v>19.71</v>
      </c>
      <c r="V2489" t="str">
        <f>VLOOKUP(L2489,'[2]tabela de preços'!$A:$D,4,0)</f>
        <v>NORTON</v>
      </c>
      <c r="W2489" t="str">
        <f>VLOOKUP(L2489,'[2]tabela de preços'!$A:$F,6,0)</f>
        <v xml:space="preserve">DISCOS / LIXAS / ABRASIVOS </v>
      </c>
      <c r="X2489" t="str">
        <f>VLOOKUP(L2489,'[2]tabela de preços'!$A:$G,7,0)</f>
        <v>AUTOMOTIVO</v>
      </c>
    </row>
    <row r="2490" spans="1:24" x14ac:dyDescent="0.3">
      <c r="A2490" t="s">
        <v>186</v>
      </c>
      <c r="C2490" t="s">
        <v>2478</v>
      </c>
      <c r="D2490" s="1">
        <v>46056</v>
      </c>
      <c r="E2490" t="s">
        <v>2479</v>
      </c>
      <c r="F2490">
        <v>9</v>
      </c>
      <c r="G2490">
        <v>236</v>
      </c>
      <c r="H2490" t="str">
        <f>VLOOKUP(G2490,[1]OPERADORES!$A:$B,2,0)</f>
        <v>DANIEL</v>
      </c>
      <c r="I2490" t="s">
        <v>21</v>
      </c>
      <c r="J2490" t="s">
        <v>189</v>
      </c>
      <c r="K2490" t="s">
        <v>190</v>
      </c>
      <c r="L2490">
        <v>10243</v>
      </c>
      <c r="M2490" t="s">
        <v>83</v>
      </c>
      <c r="O2490" t="s">
        <v>11</v>
      </c>
      <c r="P2490">
        <v>5102</v>
      </c>
      <c r="Q2490">
        <v>10</v>
      </c>
      <c r="R2490">
        <v>2.79</v>
      </c>
      <c r="S2490">
        <v>27.9</v>
      </c>
      <c r="T2490">
        <v>19.3</v>
      </c>
      <c r="U2490">
        <v>30.82</v>
      </c>
      <c r="V2490" t="str">
        <f>VLOOKUP(L2490,'[2]tabela de preços'!$A:$D,4,0)</f>
        <v>NORTON</v>
      </c>
      <c r="W2490" t="str">
        <f>VLOOKUP(L2490,'[2]tabela de preços'!$A:$F,6,0)</f>
        <v xml:space="preserve">DISCOS / LIXAS / ABRASIVOS </v>
      </c>
      <c r="X2490" t="str">
        <f>VLOOKUP(L2490,'[2]tabela de preços'!$A:$G,7,0)</f>
        <v>AUTOMOTIVO</v>
      </c>
    </row>
    <row r="2491" spans="1:24" x14ac:dyDescent="0.3">
      <c r="A2491" t="s">
        <v>186</v>
      </c>
      <c r="C2491" t="s">
        <v>2478</v>
      </c>
      <c r="D2491" s="1">
        <v>46056</v>
      </c>
      <c r="E2491" t="s">
        <v>2479</v>
      </c>
      <c r="F2491">
        <v>9</v>
      </c>
      <c r="G2491">
        <v>236</v>
      </c>
      <c r="H2491" t="str">
        <f>VLOOKUP(G2491,[1]OPERADORES!$A:$B,2,0)</f>
        <v>DANIEL</v>
      </c>
      <c r="I2491" t="s">
        <v>21</v>
      </c>
      <c r="J2491" t="s">
        <v>189</v>
      </c>
      <c r="K2491" t="s">
        <v>190</v>
      </c>
      <c r="L2491">
        <v>10245</v>
      </c>
      <c r="M2491" t="s">
        <v>195</v>
      </c>
      <c r="O2491" t="s">
        <v>11</v>
      </c>
      <c r="P2491">
        <v>5102</v>
      </c>
      <c r="Q2491">
        <v>10</v>
      </c>
      <c r="R2491">
        <v>2.79</v>
      </c>
      <c r="S2491">
        <v>27.9</v>
      </c>
      <c r="T2491">
        <v>19.3</v>
      </c>
      <c r="U2491">
        <v>30.82</v>
      </c>
      <c r="V2491" t="str">
        <f>VLOOKUP(L2491,'[2]tabela de preços'!$A:$D,4,0)</f>
        <v>NORTON</v>
      </c>
      <c r="W2491" t="str">
        <f>VLOOKUP(L2491,'[2]tabela de preços'!$A:$F,6,0)</f>
        <v xml:space="preserve">DISCOS / LIXAS / ABRASIVOS </v>
      </c>
      <c r="X2491" t="str">
        <f>VLOOKUP(L2491,'[2]tabela de preços'!$A:$G,7,0)</f>
        <v>AUTOMOTIVO</v>
      </c>
    </row>
    <row r="2492" spans="1:24" x14ac:dyDescent="0.3">
      <c r="A2492" t="s">
        <v>186</v>
      </c>
      <c r="C2492" t="s">
        <v>2478</v>
      </c>
      <c r="D2492" s="1">
        <v>46056</v>
      </c>
      <c r="E2492" t="s">
        <v>2479</v>
      </c>
      <c r="F2492">
        <v>9</v>
      </c>
      <c r="G2492">
        <v>236</v>
      </c>
      <c r="H2492" t="str">
        <f>VLOOKUP(G2492,[1]OPERADORES!$A:$B,2,0)</f>
        <v>DANIEL</v>
      </c>
      <c r="I2492" t="s">
        <v>21</v>
      </c>
      <c r="J2492" t="s">
        <v>189</v>
      </c>
      <c r="K2492" t="s">
        <v>190</v>
      </c>
      <c r="L2492">
        <v>21078</v>
      </c>
      <c r="M2492" t="s">
        <v>141</v>
      </c>
      <c r="O2492" t="s">
        <v>11</v>
      </c>
      <c r="P2492">
        <v>5102</v>
      </c>
      <c r="Q2492">
        <v>2</v>
      </c>
      <c r="R2492">
        <v>22.89</v>
      </c>
      <c r="S2492">
        <v>45.78</v>
      </c>
      <c r="T2492">
        <v>37.32</v>
      </c>
      <c r="U2492">
        <v>18.48</v>
      </c>
      <c r="V2492" t="str">
        <f>VLOOKUP(L2492,'[2]tabela de preços'!$A:$D,4,0)</f>
        <v>SHERWIN WILLIAMS</v>
      </c>
      <c r="W2492" t="str">
        <f>VLOOKUP(L2492,'[2]tabela de preços'!$A:$F,6,0)</f>
        <v>MASSA POLIÉSTER</v>
      </c>
      <c r="X2492" t="str">
        <f>VLOOKUP(L2492,'[2]tabela de preços'!$A:$G,7,0)</f>
        <v>AUTOMOTIVO</v>
      </c>
    </row>
    <row r="2493" spans="1:24" x14ac:dyDescent="0.3">
      <c r="A2493" t="s">
        <v>186</v>
      </c>
      <c r="C2493" t="s">
        <v>2478</v>
      </c>
      <c r="D2493" s="1">
        <v>46056</v>
      </c>
      <c r="E2493" t="s">
        <v>2479</v>
      </c>
      <c r="F2493">
        <v>9</v>
      </c>
      <c r="G2493">
        <v>236</v>
      </c>
      <c r="H2493" t="str">
        <f>VLOOKUP(G2493,[1]OPERADORES!$A:$B,2,0)</f>
        <v>DANIEL</v>
      </c>
      <c r="I2493" t="s">
        <v>21</v>
      </c>
      <c r="J2493" t="s">
        <v>189</v>
      </c>
      <c r="K2493" t="s">
        <v>190</v>
      </c>
      <c r="L2493">
        <v>87043</v>
      </c>
      <c r="M2493" t="s">
        <v>217</v>
      </c>
      <c r="O2493" t="s">
        <v>11</v>
      </c>
      <c r="P2493">
        <v>5102</v>
      </c>
      <c r="Q2493">
        <v>3</v>
      </c>
      <c r="R2493">
        <v>21.95</v>
      </c>
      <c r="S2493">
        <v>65.849999999999994</v>
      </c>
      <c r="T2493">
        <v>54.06</v>
      </c>
      <c r="U2493">
        <v>17.899999999999999</v>
      </c>
      <c r="V2493" t="str">
        <f>VLOOKUP(L2493,'[2]tabela de preços'!$A:$D,4,0)</f>
        <v>ROBERLO</v>
      </c>
      <c r="W2493" t="str">
        <f>VLOOKUP(L2493,'[2]tabela de preços'!$A:$F,6,0)</f>
        <v>MASSA POLIÉSTER</v>
      </c>
      <c r="X2493" t="str">
        <f>VLOOKUP(L2493,'[2]tabela de preços'!$A:$G,7,0)</f>
        <v>AUTOMOTIVO</v>
      </c>
    </row>
    <row r="2494" spans="1:24" x14ac:dyDescent="0.3">
      <c r="A2494" t="s">
        <v>186</v>
      </c>
      <c r="C2494" t="s">
        <v>2478</v>
      </c>
      <c r="D2494" s="1">
        <v>46056</v>
      </c>
      <c r="E2494" t="s">
        <v>2479</v>
      </c>
      <c r="F2494">
        <v>9</v>
      </c>
      <c r="G2494">
        <v>236</v>
      </c>
      <c r="H2494" t="str">
        <f>VLOOKUP(G2494,[1]OPERADORES!$A:$B,2,0)</f>
        <v>DANIEL</v>
      </c>
      <c r="I2494" t="s">
        <v>21</v>
      </c>
      <c r="J2494" t="s">
        <v>189</v>
      </c>
      <c r="K2494" t="s">
        <v>190</v>
      </c>
      <c r="L2494">
        <v>85189</v>
      </c>
      <c r="M2494" t="s">
        <v>197</v>
      </c>
      <c r="O2494" t="s">
        <v>11</v>
      </c>
      <c r="P2494">
        <v>5102</v>
      </c>
      <c r="Q2494">
        <v>1</v>
      </c>
      <c r="R2494">
        <v>177.9</v>
      </c>
      <c r="S2494">
        <v>177.9</v>
      </c>
      <c r="T2494">
        <v>138.15</v>
      </c>
      <c r="U2494">
        <v>22.34</v>
      </c>
      <c r="V2494" t="str">
        <f>VLOOKUP(L2494,'[2]tabela de preços'!$A:$D,4,0)</f>
        <v>PDR</v>
      </c>
      <c r="W2494" t="str">
        <f>VLOOKUP(L2494,'[2]tabela de preços'!$A:$F,6,0)</f>
        <v>PISTOLAS</v>
      </c>
      <c r="X2494" t="str">
        <f>VLOOKUP(L2494,'[2]tabela de preços'!$A:$G,7,0)</f>
        <v>AUTOMOTIVO</v>
      </c>
    </row>
    <row r="2495" spans="1:24" x14ac:dyDescent="0.3">
      <c r="A2495" t="s">
        <v>186</v>
      </c>
      <c r="C2495" t="s">
        <v>2478</v>
      </c>
      <c r="D2495" s="1">
        <v>46056</v>
      </c>
      <c r="E2495" t="s">
        <v>2479</v>
      </c>
      <c r="F2495">
        <v>9</v>
      </c>
      <c r="G2495">
        <v>236</v>
      </c>
      <c r="H2495" t="str">
        <f>VLOOKUP(G2495,[1]OPERADORES!$A:$B,2,0)</f>
        <v>DANIEL</v>
      </c>
      <c r="I2495" t="s">
        <v>21</v>
      </c>
      <c r="J2495" t="s">
        <v>189</v>
      </c>
      <c r="K2495" t="s">
        <v>190</v>
      </c>
      <c r="L2495">
        <v>20414</v>
      </c>
      <c r="M2495" t="s">
        <v>112</v>
      </c>
      <c r="O2495" t="s">
        <v>11</v>
      </c>
      <c r="P2495">
        <v>5102</v>
      </c>
      <c r="Q2495">
        <v>2</v>
      </c>
      <c r="R2495">
        <v>21.89</v>
      </c>
      <c r="S2495">
        <v>43.78</v>
      </c>
      <c r="T2495">
        <v>36</v>
      </c>
      <c r="U2495">
        <v>17.77</v>
      </c>
      <c r="V2495" t="str">
        <f>VLOOKUP(L2495,'[2]tabela de preços'!$A:$D,4,0)</f>
        <v>SHERWIN WILLIAMS</v>
      </c>
      <c r="W2495" t="str">
        <f>VLOOKUP(L2495,'[2]tabela de preços'!$A:$F,6,0)</f>
        <v>DILUENTE</v>
      </c>
      <c r="X2495" t="str">
        <f>VLOOKUP(L2495,'[2]tabela de preços'!$A:$G,7,0)</f>
        <v>AUTOMOTIVO</v>
      </c>
    </row>
    <row r="2496" spans="1:24" x14ac:dyDescent="0.3">
      <c r="A2496" t="s">
        <v>279</v>
      </c>
      <c r="C2496" t="s">
        <v>2572</v>
      </c>
      <c r="D2496" s="1">
        <v>46057</v>
      </c>
      <c r="E2496" t="s">
        <v>2573</v>
      </c>
      <c r="F2496">
        <v>9</v>
      </c>
      <c r="G2496">
        <v>197</v>
      </c>
      <c r="H2496" t="str">
        <f>VLOOKUP(G2496,[1]OPERADORES!$A:$B,2,0)</f>
        <v xml:space="preserve">POLIANA LORRANE DE AMORIM </v>
      </c>
      <c r="I2496" t="s">
        <v>282</v>
      </c>
      <c r="J2496" t="s">
        <v>283</v>
      </c>
      <c r="K2496" t="s">
        <v>284</v>
      </c>
      <c r="L2496">
        <v>84331</v>
      </c>
      <c r="M2496" t="s">
        <v>497</v>
      </c>
      <c r="O2496" t="s">
        <v>11</v>
      </c>
      <c r="P2496">
        <v>6403</v>
      </c>
      <c r="Q2496">
        <v>8</v>
      </c>
      <c r="R2496">
        <v>59.98</v>
      </c>
      <c r="S2496">
        <v>479.84</v>
      </c>
      <c r="T2496">
        <v>416</v>
      </c>
      <c r="U2496">
        <v>13.3</v>
      </c>
      <c r="V2496" t="str">
        <f>VLOOKUP(L2496,'[2]tabela de preços'!$A:$D,4,0)</f>
        <v>BRASILUX</v>
      </c>
      <c r="W2496" t="str">
        <f>VLOOKUP(L2496,'[2]tabela de preços'!$A:$F,6,0)</f>
        <v>ESMALTES</v>
      </c>
      <c r="X2496" t="str">
        <f>VLOOKUP(L2496,'[2]tabela de preços'!$A:$G,7,0)</f>
        <v>INDUSTRIAL</v>
      </c>
    </row>
    <row r="2497" spans="1:24" x14ac:dyDescent="0.3">
      <c r="A2497" t="s">
        <v>279</v>
      </c>
      <c r="C2497" t="s">
        <v>2572</v>
      </c>
      <c r="D2497" s="1">
        <v>46057</v>
      </c>
      <c r="E2497" t="s">
        <v>2573</v>
      </c>
      <c r="F2497">
        <v>9</v>
      </c>
      <c r="G2497">
        <v>197</v>
      </c>
      <c r="H2497" t="str">
        <f>VLOOKUP(G2497,[1]OPERADORES!$A:$B,2,0)</f>
        <v xml:space="preserve">POLIANA LORRANE DE AMORIM </v>
      </c>
      <c r="I2497" t="s">
        <v>282</v>
      </c>
      <c r="J2497" t="s">
        <v>283</v>
      </c>
      <c r="K2497" t="s">
        <v>284</v>
      </c>
      <c r="L2497">
        <v>84036</v>
      </c>
      <c r="M2497" t="s">
        <v>289</v>
      </c>
      <c r="O2497" t="s">
        <v>11</v>
      </c>
      <c r="P2497">
        <v>6102</v>
      </c>
      <c r="Q2497">
        <v>30</v>
      </c>
      <c r="R2497">
        <v>47.9</v>
      </c>
      <c r="S2497" s="2">
        <v>1437</v>
      </c>
      <c r="T2497" s="2">
        <v>1248.9000000000001</v>
      </c>
      <c r="U2497">
        <v>13.09</v>
      </c>
      <c r="V2497" t="str">
        <f>VLOOKUP(L2497,'[2]tabela de preços'!$A:$D,4,0)</f>
        <v>BRASILUX</v>
      </c>
      <c r="W2497" t="str">
        <f>VLOOKUP(L2497,'[2]tabela de preços'!$A:$F,6,0)</f>
        <v>MASSA CORRIDA / ACRÍLICA</v>
      </c>
      <c r="X2497" t="str">
        <f>VLOOKUP(L2497,'[2]tabela de preços'!$A:$G,7,0)</f>
        <v>IMOBILIÁRIO</v>
      </c>
    </row>
    <row r="2498" spans="1:24" x14ac:dyDescent="0.3">
      <c r="A2498" t="s">
        <v>279</v>
      </c>
      <c r="C2498" t="s">
        <v>2574</v>
      </c>
      <c r="D2498" s="1">
        <v>46058</v>
      </c>
      <c r="E2498" t="s">
        <v>2575</v>
      </c>
      <c r="F2498">
        <v>9</v>
      </c>
      <c r="G2498">
        <v>197</v>
      </c>
      <c r="H2498" t="str">
        <f>VLOOKUP(G2498,[1]OPERADORES!$A:$B,2,0)</f>
        <v xml:space="preserve">POLIANA LORRANE DE AMORIM </v>
      </c>
      <c r="I2498" t="s">
        <v>282</v>
      </c>
      <c r="J2498" t="s">
        <v>283</v>
      </c>
      <c r="K2498" t="s">
        <v>284</v>
      </c>
      <c r="L2498">
        <v>84189</v>
      </c>
      <c r="M2498" t="s">
        <v>2576</v>
      </c>
      <c r="O2498" t="s">
        <v>11</v>
      </c>
      <c r="P2498">
        <v>6403</v>
      </c>
      <c r="Q2498">
        <v>4</v>
      </c>
      <c r="R2498">
        <v>80.8</v>
      </c>
      <c r="S2498">
        <v>323.2</v>
      </c>
      <c r="T2498">
        <v>236.96</v>
      </c>
      <c r="U2498">
        <v>26.68</v>
      </c>
      <c r="V2498" t="str">
        <f>VLOOKUP(L2498,'[2]tabela de preços'!$A:$D,4,0)</f>
        <v>BRASILUX</v>
      </c>
      <c r="W2498" t="str">
        <f>VLOOKUP(L2498,'[2]tabela de preços'!$A:$F,6,0)</f>
        <v>LINHA MOVELEIRA</v>
      </c>
      <c r="X2498" t="str">
        <f>VLOOKUP(L2498,'[2]tabela de preços'!$A:$G,7,0)</f>
        <v>MOVELEIRA</v>
      </c>
    </row>
    <row r="2499" spans="1:24" x14ac:dyDescent="0.3">
      <c r="A2499" t="s">
        <v>279</v>
      </c>
      <c r="C2499" t="s">
        <v>2574</v>
      </c>
      <c r="D2499" s="1">
        <v>46058</v>
      </c>
      <c r="E2499" t="s">
        <v>2575</v>
      </c>
      <c r="F2499">
        <v>9</v>
      </c>
      <c r="G2499">
        <v>197</v>
      </c>
      <c r="H2499" t="str">
        <f>VLOOKUP(G2499,[1]OPERADORES!$A:$B,2,0)</f>
        <v xml:space="preserve">POLIANA LORRANE DE AMORIM </v>
      </c>
      <c r="I2499" t="s">
        <v>282</v>
      </c>
      <c r="J2499" t="s">
        <v>283</v>
      </c>
      <c r="K2499" t="s">
        <v>284</v>
      </c>
      <c r="L2499">
        <v>85266</v>
      </c>
      <c r="M2499" t="s">
        <v>2577</v>
      </c>
      <c r="O2499" t="s">
        <v>11</v>
      </c>
      <c r="P2499">
        <v>6403</v>
      </c>
      <c r="Q2499">
        <v>2</v>
      </c>
      <c r="R2499">
        <v>95.59</v>
      </c>
      <c r="S2499">
        <v>191.18</v>
      </c>
      <c r="T2499">
        <v>140.16</v>
      </c>
      <c r="U2499">
        <v>26.69</v>
      </c>
      <c r="V2499" t="str">
        <f>VLOOKUP(L2499,'[2]tabela de preços'!$A:$D,4,0)</f>
        <v>BRASILUX</v>
      </c>
      <c r="W2499" t="str">
        <f>VLOOKUP(L2499,'[2]tabela de preços'!$A:$F,6,0)</f>
        <v>ESMALTES</v>
      </c>
      <c r="X2499" t="str">
        <f>VLOOKUP(L2499,'[2]tabela de preços'!$A:$G,7,0)</f>
        <v>INDUSTRIAL</v>
      </c>
    </row>
    <row r="2500" spans="1:24" x14ac:dyDescent="0.3">
      <c r="A2500" t="s">
        <v>347</v>
      </c>
      <c r="C2500" t="s">
        <v>2420</v>
      </c>
      <c r="D2500" s="1">
        <v>46055</v>
      </c>
      <c r="E2500" t="s">
        <v>2421</v>
      </c>
      <c r="F2500">
        <v>9</v>
      </c>
      <c r="G2500">
        <v>174</v>
      </c>
      <c r="H2500" t="str">
        <f>VLOOKUP(G2500,[1]OPERADORES!$A:$B,2,0)</f>
        <v>MIRIÃ LOBATO RODRIGUES</v>
      </c>
      <c r="I2500" t="s">
        <v>21</v>
      </c>
      <c r="J2500" t="s">
        <v>350</v>
      </c>
      <c r="K2500" t="s">
        <v>351</v>
      </c>
      <c r="L2500">
        <v>84928</v>
      </c>
      <c r="M2500" t="s">
        <v>36</v>
      </c>
      <c r="O2500" t="s">
        <v>11</v>
      </c>
      <c r="P2500">
        <v>5102</v>
      </c>
      <c r="Q2500">
        <v>2</v>
      </c>
      <c r="R2500">
        <v>9.39</v>
      </c>
      <c r="S2500">
        <v>18.78</v>
      </c>
      <c r="T2500">
        <v>14.26</v>
      </c>
      <c r="U2500">
        <v>24.07</v>
      </c>
      <c r="V2500" t="str">
        <f>VLOOKUP(L2500,'[2]tabela de preços'!$A:$D,4,0)</f>
        <v>ADERE</v>
      </c>
      <c r="W2500" t="str">
        <f>VLOOKUP(L2500,'[2]tabela de preços'!$A:$F,6,0)</f>
        <v xml:space="preserve">FITA DE USO GERAL </v>
      </c>
      <c r="X2500" t="str">
        <f>VLOOKUP(L2500,'[2]tabela de preços'!$A:$G,7,0)</f>
        <v>IMOBILIÁRIO</v>
      </c>
    </row>
    <row r="2501" spans="1:24" x14ac:dyDescent="0.3">
      <c r="A2501" t="s">
        <v>347</v>
      </c>
      <c r="C2501" t="s">
        <v>2420</v>
      </c>
      <c r="D2501" s="1">
        <v>46055</v>
      </c>
      <c r="E2501" t="s">
        <v>2421</v>
      </c>
      <c r="F2501">
        <v>9</v>
      </c>
      <c r="G2501">
        <v>174</v>
      </c>
      <c r="H2501" t="str">
        <f>VLOOKUP(G2501,[1]OPERADORES!$A:$B,2,0)</f>
        <v>MIRIÃ LOBATO RODRIGUES</v>
      </c>
      <c r="I2501" t="s">
        <v>21</v>
      </c>
      <c r="J2501" t="s">
        <v>350</v>
      </c>
      <c r="K2501" t="s">
        <v>351</v>
      </c>
      <c r="L2501">
        <v>85698</v>
      </c>
      <c r="M2501" t="s">
        <v>1946</v>
      </c>
      <c r="O2501" t="s">
        <v>11</v>
      </c>
      <c r="P2501">
        <v>5102</v>
      </c>
      <c r="Q2501">
        <v>2</v>
      </c>
      <c r="R2501">
        <v>136.83000000000001</v>
      </c>
      <c r="S2501">
        <v>273.66000000000003</v>
      </c>
      <c r="T2501">
        <v>207.72</v>
      </c>
      <c r="U2501">
        <v>24.1</v>
      </c>
      <c r="V2501" t="str">
        <f>VLOOKUP(L2501,'[2]tabela de preços'!$A:$D,4,0)</f>
        <v>SIMAPPEL</v>
      </c>
      <c r="W2501" t="str">
        <f>VLOOKUP(L2501,'[2]tabela de preços'!$A:$F,6,0)</f>
        <v>PAPELAO ONDULADO</v>
      </c>
      <c r="X2501" t="str">
        <f>VLOOKUP(L2501,'[2]tabela de preços'!$A:$G,7,0)</f>
        <v>IMOBILIÁRIO</v>
      </c>
    </row>
    <row r="2502" spans="1:24" x14ac:dyDescent="0.3">
      <c r="A2502" t="s">
        <v>354</v>
      </c>
      <c r="C2502" t="s">
        <v>2578</v>
      </c>
      <c r="D2502" s="1">
        <v>46057</v>
      </c>
      <c r="E2502" t="s">
        <v>2579</v>
      </c>
      <c r="F2502">
        <v>9</v>
      </c>
      <c r="G2502">
        <v>231</v>
      </c>
      <c r="H2502" t="str">
        <f>VLOOKUP(G2502,[1]OPERADORES!$A:$B,2,0)</f>
        <v>EDIJANE</v>
      </c>
      <c r="I2502" t="s">
        <v>21</v>
      </c>
      <c r="J2502" t="s">
        <v>357</v>
      </c>
      <c r="K2502" t="s">
        <v>358</v>
      </c>
      <c r="L2502">
        <v>84324</v>
      </c>
      <c r="M2502" t="s">
        <v>359</v>
      </c>
      <c r="O2502" t="s">
        <v>11</v>
      </c>
      <c r="P2502">
        <v>5403</v>
      </c>
      <c r="Q2502">
        <v>40</v>
      </c>
      <c r="R2502">
        <v>86.55</v>
      </c>
      <c r="S2502" s="2">
        <v>3462</v>
      </c>
      <c r="T2502" s="2">
        <v>2788.4</v>
      </c>
      <c r="U2502">
        <v>19.46</v>
      </c>
      <c r="V2502" t="str">
        <f>VLOOKUP(L2502,'[2]tabela de preços'!$A:$D,4,0)</f>
        <v>BRASILUX</v>
      </c>
      <c r="W2502" t="str">
        <f>VLOOKUP(L2502,'[2]tabela de preços'!$A:$F,6,0)</f>
        <v>ESMALTES</v>
      </c>
      <c r="X2502" t="str">
        <f>VLOOKUP(L2502,'[2]tabela de preços'!$A:$G,7,0)</f>
        <v>INDUSTRIAL</v>
      </c>
    </row>
    <row r="2503" spans="1:24" x14ac:dyDescent="0.3">
      <c r="A2503" t="s">
        <v>360</v>
      </c>
      <c r="C2503" t="s">
        <v>2580</v>
      </c>
      <c r="D2503" s="1">
        <v>46057</v>
      </c>
      <c r="E2503" t="s">
        <v>2581</v>
      </c>
      <c r="F2503">
        <v>9</v>
      </c>
      <c r="G2503">
        <v>231</v>
      </c>
      <c r="H2503" t="str">
        <f>VLOOKUP(G2503,[1]OPERADORES!$A:$B,2,0)</f>
        <v>EDIJANE</v>
      </c>
      <c r="I2503" t="s">
        <v>21</v>
      </c>
      <c r="J2503" t="s">
        <v>363</v>
      </c>
      <c r="K2503" t="s">
        <v>364</v>
      </c>
      <c r="L2503">
        <v>85403</v>
      </c>
      <c r="M2503" t="s">
        <v>2582</v>
      </c>
      <c r="O2503" t="s">
        <v>11</v>
      </c>
      <c r="P2503">
        <v>5102</v>
      </c>
      <c r="Q2503">
        <v>1</v>
      </c>
      <c r="R2503">
        <v>570.62</v>
      </c>
      <c r="S2503">
        <v>570.62</v>
      </c>
      <c r="T2503">
        <v>406.86</v>
      </c>
      <c r="U2503">
        <v>28.7</v>
      </c>
      <c r="V2503" t="str">
        <f>VLOOKUP(L2503,'[2]tabela de preços'!$A:$D,4,0)</f>
        <v>BRASILUX</v>
      </c>
      <c r="W2503" t="str">
        <f>VLOOKUP(L2503,'[2]tabela de preços'!$A:$F,6,0)</f>
        <v>TINTA EM PÓ</v>
      </c>
      <c r="X2503" t="str">
        <f>VLOOKUP(L2503,'[2]tabela de preços'!$A:$G,7,0)</f>
        <v>INDUSTRIAL</v>
      </c>
    </row>
    <row r="2504" spans="1:24" x14ac:dyDescent="0.3">
      <c r="A2504" t="s">
        <v>360</v>
      </c>
      <c r="C2504" t="s">
        <v>2583</v>
      </c>
      <c r="D2504" s="1">
        <v>46058</v>
      </c>
      <c r="E2504" t="s">
        <v>2584</v>
      </c>
      <c r="F2504">
        <v>9</v>
      </c>
      <c r="G2504">
        <v>231</v>
      </c>
      <c r="H2504" t="str">
        <f>VLOOKUP(G2504,[1]OPERADORES!$A:$B,2,0)</f>
        <v>EDIJANE</v>
      </c>
      <c r="I2504" t="s">
        <v>21</v>
      </c>
      <c r="J2504" t="s">
        <v>363</v>
      </c>
      <c r="K2504" t="s">
        <v>364</v>
      </c>
      <c r="L2504">
        <v>85403</v>
      </c>
      <c r="M2504" t="s">
        <v>2582</v>
      </c>
      <c r="O2504" t="s">
        <v>11</v>
      </c>
      <c r="P2504">
        <v>5102</v>
      </c>
      <c r="Q2504">
        <v>1</v>
      </c>
      <c r="R2504">
        <v>570.62</v>
      </c>
      <c r="S2504">
        <v>570.62</v>
      </c>
      <c r="T2504">
        <v>406.86</v>
      </c>
      <c r="U2504">
        <v>28.7</v>
      </c>
      <c r="V2504" t="str">
        <f>VLOOKUP(L2504,'[2]tabela de preços'!$A:$D,4,0)</f>
        <v>BRASILUX</v>
      </c>
      <c r="W2504" t="str">
        <f>VLOOKUP(L2504,'[2]tabela de preços'!$A:$F,6,0)</f>
        <v>TINTA EM PÓ</v>
      </c>
      <c r="X2504" t="str">
        <f>VLOOKUP(L2504,'[2]tabela de preços'!$A:$G,7,0)</f>
        <v>INDUSTRIAL</v>
      </c>
    </row>
    <row r="2505" spans="1:24" x14ac:dyDescent="0.3">
      <c r="A2505" t="s">
        <v>369</v>
      </c>
      <c r="C2505" t="s">
        <v>2585</v>
      </c>
      <c r="D2505" s="1">
        <v>46058</v>
      </c>
      <c r="E2505" t="s">
        <v>2586</v>
      </c>
      <c r="F2505">
        <v>9</v>
      </c>
      <c r="G2505">
        <v>236</v>
      </c>
      <c r="H2505" t="str">
        <f>VLOOKUP(G2505,[1]OPERADORES!$A:$B,2,0)</f>
        <v>DANIEL</v>
      </c>
      <c r="I2505" t="s">
        <v>21</v>
      </c>
      <c r="J2505" t="s">
        <v>372</v>
      </c>
      <c r="K2505" t="s">
        <v>373</v>
      </c>
      <c r="L2505">
        <v>5</v>
      </c>
      <c r="M2505" t="s">
        <v>147</v>
      </c>
      <c r="O2505" t="s">
        <v>11</v>
      </c>
      <c r="P2505">
        <v>5102</v>
      </c>
      <c r="Q2505">
        <v>1</v>
      </c>
      <c r="R2505">
        <v>6.06</v>
      </c>
      <c r="S2505">
        <v>6.06</v>
      </c>
      <c r="T2505">
        <v>3.91</v>
      </c>
      <c r="U2505">
        <v>35.479999999999997</v>
      </c>
      <c r="V2505" t="str">
        <f>VLOOKUP(L2505,'[2]tabela de preços'!$A:$D,4,0)</f>
        <v>BRILHO ESTOPA</v>
      </c>
      <c r="W2505" t="str">
        <f>VLOOKUP(L2505,'[2]tabela de preços'!$A:$F,6,0)</f>
        <v>ESTOPAS</v>
      </c>
      <c r="X2505" t="str">
        <f>VLOOKUP(L2505,'[2]tabela de preços'!$A:$G,7,0)</f>
        <v>AUTOMOTIVO</v>
      </c>
    </row>
    <row r="2506" spans="1:24" x14ac:dyDescent="0.3">
      <c r="A2506" t="s">
        <v>369</v>
      </c>
      <c r="C2506" t="s">
        <v>2585</v>
      </c>
      <c r="D2506" s="1">
        <v>46058</v>
      </c>
      <c r="E2506" t="s">
        <v>2586</v>
      </c>
      <c r="F2506">
        <v>9</v>
      </c>
      <c r="G2506">
        <v>236</v>
      </c>
      <c r="H2506" t="str">
        <f>VLOOKUP(G2506,[1]OPERADORES!$A:$B,2,0)</f>
        <v>DANIEL</v>
      </c>
      <c r="I2506" t="s">
        <v>21</v>
      </c>
      <c r="J2506" t="s">
        <v>372</v>
      </c>
      <c r="K2506" t="s">
        <v>373</v>
      </c>
      <c r="L2506">
        <v>84411</v>
      </c>
      <c r="M2506" t="s">
        <v>35</v>
      </c>
      <c r="O2506" t="s">
        <v>11</v>
      </c>
      <c r="P2506">
        <v>5102</v>
      </c>
      <c r="Q2506">
        <v>1</v>
      </c>
      <c r="R2506">
        <v>4.29</v>
      </c>
      <c r="S2506">
        <v>4.29</v>
      </c>
      <c r="T2506">
        <v>3.54</v>
      </c>
      <c r="U2506">
        <v>17.48</v>
      </c>
      <c r="V2506" t="str">
        <f>VLOOKUP(L2506,'[2]tabela de preços'!$A:$D,4,0)</f>
        <v>ADERE</v>
      </c>
      <c r="W2506" t="str">
        <f>VLOOKUP(L2506,'[2]tabela de preços'!$A:$F,6,0)</f>
        <v xml:space="preserve">FITA DE USO GERAL </v>
      </c>
      <c r="X2506" t="str">
        <f>VLOOKUP(L2506,'[2]tabela de preços'!$A:$G,7,0)</f>
        <v>IMOBILIÁRIO</v>
      </c>
    </row>
    <row r="2507" spans="1:24" x14ac:dyDescent="0.3">
      <c r="A2507" t="s">
        <v>369</v>
      </c>
      <c r="C2507" t="s">
        <v>2585</v>
      </c>
      <c r="D2507" s="1">
        <v>46058</v>
      </c>
      <c r="E2507" t="s">
        <v>2586</v>
      </c>
      <c r="F2507">
        <v>9</v>
      </c>
      <c r="G2507">
        <v>236</v>
      </c>
      <c r="H2507" t="str">
        <f>VLOOKUP(G2507,[1]OPERADORES!$A:$B,2,0)</f>
        <v>DANIEL</v>
      </c>
      <c r="I2507" t="s">
        <v>21</v>
      </c>
      <c r="J2507" t="s">
        <v>372</v>
      </c>
      <c r="K2507" t="s">
        <v>373</v>
      </c>
      <c r="L2507">
        <v>84421</v>
      </c>
      <c r="M2507" t="s">
        <v>568</v>
      </c>
      <c r="O2507" t="s">
        <v>11</v>
      </c>
      <c r="P2507">
        <v>5102</v>
      </c>
      <c r="Q2507">
        <v>2</v>
      </c>
      <c r="R2507">
        <v>6.72</v>
      </c>
      <c r="S2507">
        <v>13.44</v>
      </c>
      <c r="T2507">
        <v>9.64</v>
      </c>
      <c r="U2507">
        <v>28.27</v>
      </c>
      <c r="V2507" t="str">
        <f>VLOOKUP(L2507,'[2]tabela de preços'!$A:$D,4,0)</f>
        <v>ATLAS</v>
      </c>
      <c r="W2507" t="str">
        <f>VLOOKUP(L2507,'[2]tabela de preços'!$A:$F,6,0)</f>
        <v>ROLOS / TRINCHAS / PINCÉIS / ESPÁTULAS</v>
      </c>
      <c r="X2507" t="str">
        <f>VLOOKUP(L2507,'[2]tabela de preços'!$A:$G,7,0)</f>
        <v>IMOBILIÁRIO</v>
      </c>
    </row>
    <row r="2508" spans="1:24" x14ac:dyDescent="0.3">
      <c r="A2508" t="s">
        <v>369</v>
      </c>
      <c r="C2508" t="s">
        <v>2585</v>
      </c>
      <c r="D2508" s="1">
        <v>46058</v>
      </c>
      <c r="E2508" t="s">
        <v>2586</v>
      </c>
      <c r="F2508">
        <v>9</v>
      </c>
      <c r="G2508">
        <v>236</v>
      </c>
      <c r="H2508" t="str">
        <f>VLOOKUP(G2508,[1]OPERADORES!$A:$B,2,0)</f>
        <v>DANIEL</v>
      </c>
      <c r="I2508" t="s">
        <v>21</v>
      </c>
      <c r="J2508" t="s">
        <v>372</v>
      </c>
      <c r="K2508" t="s">
        <v>373</v>
      </c>
      <c r="L2508">
        <v>84560</v>
      </c>
      <c r="M2508" t="s">
        <v>118</v>
      </c>
      <c r="O2508" t="s">
        <v>11</v>
      </c>
      <c r="P2508">
        <v>5102</v>
      </c>
      <c r="Q2508">
        <v>1</v>
      </c>
      <c r="R2508">
        <v>47.89</v>
      </c>
      <c r="S2508">
        <v>47.89</v>
      </c>
      <c r="T2508">
        <v>39.159999999999997</v>
      </c>
      <c r="U2508">
        <v>18.23</v>
      </c>
      <c r="V2508" t="str">
        <f>VLOOKUP(L2508,'[2]tabela de preços'!$A:$D,4,0)</f>
        <v>BRASILUX</v>
      </c>
      <c r="W2508" t="str">
        <f>VLOOKUP(L2508,'[2]tabela de preços'!$A:$F,6,0)</f>
        <v>THINNER DE LIMPEZA</v>
      </c>
      <c r="X2508" t="str">
        <f>VLOOKUP(L2508,'[2]tabela de preços'!$A:$G,7,0)</f>
        <v>THINNER</v>
      </c>
    </row>
    <row r="2509" spans="1:24" x14ac:dyDescent="0.3">
      <c r="A2509" t="s">
        <v>369</v>
      </c>
      <c r="C2509" t="s">
        <v>2585</v>
      </c>
      <c r="D2509" s="1">
        <v>46058</v>
      </c>
      <c r="E2509" t="s">
        <v>2586</v>
      </c>
      <c r="F2509">
        <v>9</v>
      </c>
      <c r="G2509">
        <v>236</v>
      </c>
      <c r="H2509" t="str">
        <f>VLOOKUP(G2509,[1]OPERADORES!$A:$B,2,0)</f>
        <v>DANIEL</v>
      </c>
      <c r="I2509" t="s">
        <v>21</v>
      </c>
      <c r="J2509" t="s">
        <v>372</v>
      </c>
      <c r="K2509" t="s">
        <v>373</v>
      </c>
      <c r="L2509">
        <v>10115</v>
      </c>
      <c r="M2509" t="s">
        <v>2587</v>
      </c>
      <c r="O2509" t="s">
        <v>11</v>
      </c>
      <c r="P2509">
        <v>5102</v>
      </c>
      <c r="Q2509">
        <v>2</v>
      </c>
      <c r="R2509">
        <v>3.15</v>
      </c>
      <c r="S2509">
        <v>6.3</v>
      </c>
      <c r="T2509">
        <v>4.5199999999999996</v>
      </c>
      <c r="U2509">
        <v>28.25</v>
      </c>
      <c r="V2509" t="str">
        <f>VLOOKUP(L2509,'[2]tabela de preços'!$A:$D,4,0)</f>
        <v>ATLAS</v>
      </c>
      <c r="W2509" t="str">
        <f>VLOOKUP(L2509,'[2]tabela de preços'!$A:$F,6,0)</f>
        <v>ROLOS / TRINCHAS / PINCÉIS / ESPÁTULAS</v>
      </c>
      <c r="X2509" t="str">
        <f>VLOOKUP(L2509,'[2]tabela de preços'!$A:$G,7,0)</f>
        <v>IMOBILIÁRIO</v>
      </c>
    </row>
    <row r="2510" spans="1:24" x14ac:dyDescent="0.3">
      <c r="A2510" t="s">
        <v>378</v>
      </c>
      <c r="C2510" t="s">
        <v>2588</v>
      </c>
      <c r="D2510" s="1">
        <v>46058</v>
      </c>
      <c r="E2510" t="s">
        <v>2589</v>
      </c>
      <c r="F2510">
        <v>9</v>
      </c>
      <c r="G2510">
        <v>174</v>
      </c>
      <c r="H2510" t="str">
        <f>VLOOKUP(G2510,[1]OPERADORES!$A:$B,2,0)</f>
        <v>MIRIÃ LOBATO RODRIGUES</v>
      </c>
      <c r="I2510" t="s">
        <v>21</v>
      </c>
      <c r="J2510" t="s">
        <v>381</v>
      </c>
      <c r="K2510" t="s">
        <v>382</v>
      </c>
      <c r="L2510">
        <v>9860</v>
      </c>
      <c r="M2510" t="s">
        <v>2590</v>
      </c>
      <c r="O2510" t="s">
        <v>11</v>
      </c>
      <c r="P2510">
        <v>5403</v>
      </c>
      <c r="Q2510">
        <v>1</v>
      </c>
      <c r="R2510">
        <v>687.51</v>
      </c>
      <c r="S2510">
        <v>687.51</v>
      </c>
      <c r="T2510">
        <v>521.83000000000004</v>
      </c>
      <c r="U2510">
        <v>24.1</v>
      </c>
      <c r="V2510" t="str">
        <f>VLOOKUP(L2510,'[2]tabela de preços'!$A:$D,4,0)</f>
        <v>WANDA</v>
      </c>
      <c r="W2510" t="str">
        <f>VLOOKUP(L2510,'[2]tabela de preços'!$A:$F,6,0)</f>
        <v>BASES POLIÉSTER</v>
      </c>
      <c r="X2510" t="str">
        <f>VLOOKUP(L2510,'[2]tabela de preços'!$A:$G,7,0)</f>
        <v>AUTOMOTIVO</v>
      </c>
    </row>
    <row r="2511" spans="1:24" x14ac:dyDescent="0.3">
      <c r="A2511" t="s">
        <v>378</v>
      </c>
      <c r="C2511" t="s">
        <v>2588</v>
      </c>
      <c r="D2511" s="1">
        <v>46058</v>
      </c>
      <c r="E2511" t="s">
        <v>2589</v>
      </c>
      <c r="F2511">
        <v>9</v>
      </c>
      <c r="G2511">
        <v>174</v>
      </c>
      <c r="H2511" t="str">
        <f>VLOOKUP(G2511,[1]OPERADORES!$A:$B,2,0)</f>
        <v>MIRIÃ LOBATO RODRIGUES</v>
      </c>
      <c r="I2511" t="s">
        <v>21</v>
      </c>
      <c r="J2511" t="s">
        <v>381</v>
      </c>
      <c r="K2511" t="s">
        <v>382</v>
      </c>
      <c r="L2511">
        <v>9911</v>
      </c>
      <c r="M2511" t="s">
        <v>2591</v>
      </c>
      <c r="O2511" t="s">
        <v>11</v>
      </c>
      <c r="P2511">
        <v>5403</v>
      </c>
      <c r="Q2511">
        <v>2</v>
      </c>
      <c r="R2511">
        <v>295.05</v>
      </c>
      <c r="S2511">
        <v>590.1</v>
      </c>
      <c r="T2511">
        <v>432.62</v>
      </c>
      <c r="U2511">
        <v>26.69</v>
      </c>
      <c r="V2511" t="str">
        <f>VLOOKUP(L2511,'[2]tabela de preços'!$A:$D,4,0)</f>
        <v>WANDA</v>
      </c>
      <c r="W2511" t="str">
        <f>VLOOKUP(L2511,'[2]tabela de preços'!$A:$F,6,0)</f>
        <v>BASES POLIÉSTER</v>
      </c>
      <c r="X2511" t="str">
        <f>VLOOKUP(L2511,'[2]tabela de preços'!$A:$G,7,0)</f>
        <v>AUTOMOTIVO</v>
      </c>
    </row>
    <row r="2512" spans="1:24" x14ac:dyDescent="0.3">
      <c r="A2512" t="s">
        <v>426</v>
      </c>
      <c r="B2512" t="s">
        <v>427</v>
      </c>
      <c r="C2512" t="s">
        <v>2592</v>
      </c>
      <c r="D2512" s="1">
        <v>46058</v>
      </c>
      <c r="E2512" t="s">
        <v>2593</v>
      </c>
      <c r="F2512">
        <v>9</v>
      </c>
      <c r="G2512">
        <v>236</v>
      </c>
      <c r="H2512" t="str">
        <f>VLOOKUP(G2512,[1]OPERADORES!$A:$B,2,0)</f>
        <v>DANIEL</v>
      </c>
      <c r="I2512" t="s">
        <v>21</v>
      </c>
      <c r="J2512" t="s">
        <v>430</v>
      </c>
      <c r="K2512" t="s">
        <v>431</v>
      </c>
      <c r="L2512">
        <v>85209</v>
      </c>
      <c r="M2512" t="s">
        <v>1072</v>
      </c>
      <c r="O2512" t="s">
        <v>11</v>
      </c>
      <c r="P2512">
        <v>5102</v>
      </c>
      <c r="Q2512">
        <v>1</v>
      </c>
      <c r="R2512">
        <v>25</v>
      </c>
      <c r="S2512">
        <v>25</v>
      </c>
      <c r="T2512">
        <v>15.64</v>
      </c>
      <c r="U2512">
        <v>37.44</v>
      </c>
      <c r="V2512" t="str">
        <f>VLOOKUP(L2512,'[2]tabela de preços'!$A:$D,4,0)</f>
        <v>VONIXX</v>
      </c>
      <c r="W2512" t="str">
        <f>VLOOKUP(L2512,'[2]tabela de preços'!$A:$F,6,0)</f>
        <v>LINHA DE HIGENIZAÇÃO E ESTÉTICA  AUTOMOTIVA</v>
      </c>
      <c r="X2512" t="str">
        <f>VLOOKUP(L2512,'[2]tabela de preços'!$A:$G,7,0)</f>
        <v>AUTOMOTIVO</v>
      </c>
    </row>
    <row r="2513" spans="1:24" x14ac:dyDescent="0.3">
      <c r="A2513" t="s">
        <v>426</v>
      </c>
      <c r="B2513" t="s">
        <v>427</v>
      </c>
      <c r="C2513" t="s">
        <v>2746</v>
      </c>
      <c r="D2513" s="1">
        <v>46059</v>
      </c>
      <c r="E2513" t="s">
        <v>2747</v>
      </c>
      <c r="F2513">
        <v>9</v>
      </c>
      <c r="G2513">
        <v>145</v>
      </c>
      <c r="H2513" t="str">
        <f>VLOOKUP(G2513,[1]OPERADORES!$A:$B,2,0)</f>
        <v xml:space="preserve">FABRICIA </v>
      </c>
      <c r="I2513" t="s">
        <v>21</v>
      </c>
      <c r="J2513" t="s">
        <v>430</v>
      </c>
      <c r="K2513" t="s">
        <v>431</v>
      </c>
      <c r="L2513">
        <v>244</v>
      </c>
      <c r="M2513" t="s">
        <v>2748</v>
      </c>
      <c r="O2513" t="s">
        <v>11</v>
      </c>
      <c r="P2513">
        <v>5102</v>
      </c>
      <c r="Q2513">
        <v>1</v>
      </c>
      <c r="R2513">
        <v>28.65</v>
      </c>
      <c r="S2513">
        <v>28.65</v>
      </c>
      <c r="T2513">
        <v>18.78</v>
      </c>
      <c r="U2513">
        <v>34.450000000000003</v>
      </c>
      <c r="V2513" t="str">
        <f>VLOOKUP(L2513,'[2]tabela de preços'!$A:$D,4,0)</f>
        <v>VONIXX</v>
      </c>
      <c r="W2513" t="str">
        <f>VLOOKUP(L2513,'[2]tabela de preços'!$A:$F,6,0)</f>
        <v>LINHA DE HIGENIZAÇÃO E ESTÉTICA  AUTOMOTIVA</v>
      </c>
      <c r="X2513" t="str">
        <f>VLOOKUP(L2513,'[2]tabela de preços'!$A:$G,7,0)</f>
        <v>AUTOMOTIVO</v>
      </c>
    </row>
    <row r="2514" spans="1:24" x14ac:dyDescent="0.3">
      <c r="A2514" t="s">
        <v>426</v>
      </c>
      <c r="B2514" t="s">
        <v>427</v>
      </c>
      <c r="C2514" t="s">
        <v>2804</v>
      </c>
      <c r="D2514" s="1">
        <v>46062</v>
      </c>
      <c r="E2514" t="s">
        <v>2805</v>
      </c>
      <c r="F2514">
        <v>9</v>
      </c>
      <c r="G2514">
        <v>236</v>
      </c>
      <c r="H2514" t="str">
        <f>VLOOKUP(G2514,[1]OPERADORES!$A:$B,2,0)</f>
        <v>DANIEL</v>
      </c>
      <c r="I2514" t="s">
        <v>21</v>
      </c>
      <c r="J2514" t="s">
        <v>430</v>
      </c>
      <c r="K2514" t="s">
        <v>431</v>
      </c>
      <c r="L2514">
        <v>21953</v>
      </c>
      <c r="M2514" t="s">
        <v>2806</v>
      </c>
      <c r="O2514" t="s">
        <v>11</v>
      </c>
      <c r="P2514">
        <v>5405</v>
      </c>
      <c r="Q2514">
        <v>1</v>
      </c>
      <c r="R2514">
        <v>17.43</v>
      </c>
      <c r="S2514">
        <v>17.43</v>
      </c>
      <c r="T2514">
        <v>12.36</v>
      </c>
      <c r="U2514">
        <v>29.09</v>
      </c>
      <c r="V2514" t="str">
        <f>VLOOKUP(L2514,'[2]tabela de preços'!$A:$D,4,0)</f>
        <v>SHERWIN WILLIAMS</v>
      </c>
      <c r="W2514" t="str">
        <f>VLOOKUP(L2514,'[2]tabela de preços'!$A:$F,6,0)</f>
        <v xml:space="preserve">SPRAYS </v>
      </c>
      <c r="X2514" t="str">
        <f>VLOOKUP(L2514,'[2]tabela de preços'!$A:$G,7,0)</f>
        <v>AUTOMOTIVO</v>
      </c>
    </row>
    <row r="2515" spans="1:24" x14ac:dyDescent="0.3">
      <c r="A2515" t="s">
        <v>452</v>
      </c>
      <c r="C2515" t="s">
        <v>2594</v>
      </c>
      <c r="D2515" s="1">
        <v>46058</v>
      </c>
      <c r="E2515" t="s">
        <v>2595</v>
      </c>
      <c r="F2515">
        <v>9</v>
      </c>
      <c r="G2515">
        <v>174</v>
      </c>
      <c r="H2515" t="str">
        <f>VLOOKUP(G2515,[1]OPERADORES!$A:$B,2,0)</f>
        <v>MIRIÃ LOBATO RODRIGUES</v>
      </c>
      <c r="I2515" t="s">
        <v>455</v>
      </c>
      <c r="J2515" t="s">
        <v>456</v>
      </c>
      <c r="K2515" t="s">
        <v>457</v>
      </c>
      <c r="L2515">
        <v>84658</v>
      </c>
      <c r="M2515" t="s">
        <v>100</v>
      </c>
      <c r="O2515" t="s">
        <v>11</v>
      </c>
      <c r="P2515">
        <v>6102</v>
      </c>
      <c r="Q2515">
        <v>6</v>
      </c>
      <c r="R2515">
        <v>40.840000000000003</v>
      </c>
      <c r="S2515">
        <v>245.04</v>
      </c>
      <c r="T2515">
        <v>186</v>
      </c>
      <c r="U2515">
        <v>24.09</v>
      </c>
      <c r="V2515" t="str">
        <f>VLOOKUP(L2515,'[2]tabela de preços'!$A:$D,4,0)</f>
        <v>ANJO</v>
      </c>
      <c r="W2515" t="str">
        <f>VLOOKUP(L2515,'[2]tabela de preços'!$A:$F,6,0)</f>
        <v>MASSA POLIÉSTER</v>
      </c>
      <c r="X2515" t="str">
        <f>VLOOKUP(L2515,'[2]tabela de preços'!$A:$G,7,0)</f>
        <v>AUTOMOTIVO</v>
      </c>
    </row>
    <row r="2516" spans="1:24" x14ac:dyDescent="0.3">
      <c r="A2516" t="s">
        <v>501</v>
      </c>
      <c r="C2516" t="s">
        <v>2807</v>
      </c>
      <c r="D2516" s="1">
        <v>46062</v>
      </c>
      <c r="E2516" t="s">
        <v>2808</v>
      </c>
      <c r="F2516">
        <v>9</v>
      </c>
      <c r="G2516">
        <v>197</v>
      </c>
      <c r="H2516" t="str">
        <f>VLOOKUP(G2516,[1]OPERADORES!$A:$B,2,0)</f>
        <v xml:space="preserve">POLIANA LORRANE DE AMORIM </v>
      </c>
      <c r="I2516" t="s">
        <v>21</v>
      </c>
      <c r="J2516" t="s">
        <v>504</v>
      </c>
      <c r="K2516" t="s">
        <v>505</v>
      </c>
      <c r="L2516">
        <v>23076</v>
      </c>
      <c r="M2516" t="s">
        <v>97</v>
      </c>
      <c r="O2516" t="s">
        <v>11</v>
      </c>
      <c r="P2516">
        <v>5403</v>
      </c>
      <c r="Q2516">
        <v>30</v>
      </c>
      <c r="R2516">
        <v>34.89</v>
      </c>
      <c r="S2516" s="2">
        <v>1046.7</v>
      </c>
      <c r="T2516">
        <v>795.9</v>
      </c>
      <c r="U2516">
        <v>23.96</v>
      </c>
      <c r="V2516" t="str">
        <f>VLOOKUP(L2516,'[2]tabela de preços'!$A:$D,4,0)</f>
        <v>WANDA</v>
      </c>
      <c r="W2516" t="str">
        <f>VLOOKUP(L2516,'[2]tabela de preços'!$A:$F,6,0)</f>
        <v>PRIMER AUTOMOTIVO</v>
      </c>
      <c r="X2516" t="str">
        <f>VLOOKUP(L2516,'[2]tabela de preços'!$A:$G,7,0)</f>
        <v>AUTOMOTIVO</v>
      </c>
    </row>
    <row r="2517" spans="1:24" x14ac:dyDescent="0.3">
      <c r="A2517" t="s">
        <v>508</v>
      </c>
      <c r="C2517" t="s">
        <v>2596</v>
      </c>
      <c r="D2517" s="1">
        <v>46058</v>
      </c>
      <c r="E2517" t="s">
        <v>2597</v>
      </c>
      <c r="F2517">
        <v>9</v>
      </c>
      <c r="G2517">
        <v>231</v>
      </c>
      <c r="H2517" t="str">
        <f>VLOOKUP(G2517,[1]OPERADORES!$A:$B,2,0)</f>
        <v>EDIJANE</v>
      </c>
      <c r="I2517" t="s">
        <v>21</v>
      </c>
      <c r="J2517" t="s">
        <v>66</v>
      </c>
      <c r="K2517" t="s">
        <v>511</v>
      </c>
      <c r="L2517">
        <v>84029</v>
      </c>
      <c r="M2517" t="s">
        <v>29</v>
      </c>
      <c r="O2517" t="s">
        <v>11</v>
      </c>
      <c r="P2517">
        <v>5102</v>
      </c>
      <c r="Q2517">
        <v>4</v>
      </c>
      <c r="R2517">
        <v>11.45</v>
      </c>
      <c r="S2517">
        <v>45.8</v>
      </c>
      <c r="T2517">
        <v>34.76</v>
      </c>
      <c r="U2517">
        <v>24.1</v>
      </c>
      <c r="V2517" t="str">
        <f>VLOOKUP(L2517,'[2]tabela de preços'!$A:$D,4,0)</f>
        <v>BRASILUX</v>
      </c>
      <c r="W2517" t="str">
        <f>VLOOKUP(L2517,'[2]tabela de preços'!$A:$F,6,0)</f>
        <v>AGUARRAS</v>
      </c>
      <c r="X2517" t="str">
        <f>VLOOKUP(L2517,'[2]tabela de preços'!$A:$G,7,0)</f>
        <v>IMOBILIÁRIO</v>
      </c>
    </row>
    <row r="2518" spans="1:24" x14ac:dyDescent="0.3">
      <c r="A2518" t="s">
        <v>508</v>
      </c>
      <c r="C2518" t="s">
        <v>2596</v>
      </c>
      <c r="D2518" s="1">
        <v>46058</v>
      </c>
      <c r="E2518" t="s">
        <v>2597</v>
      </c>
      <c r="F2518">
        <v>9</v>
      </c>
      <c r="G2518">
        <v>231</v>
      </c>
      <c r="H2518" t="str">
        <f>VLOOKUP(G2518,[1]OPERADORES!$A:$B,2,0)</f>
        <v>EDIJANE</v>
      </c>
      <c r="I2518" t="s">
        <v>21</v>
      </c>
      <c r="J2518" t="s">
        <v>66</v>
      </c>
      <c r="K2518" t="s">
        <v>511</v>
      </c>
      <c r="L2518">
        <v>85616</v>
      </c>
      <c r="M2518" t="s">
        <v>471</v>
      </c>
      <c r="O2518" t="s">
        <v>11</v>
      </c>
      <c r="P2518">
        <v>5102</v>
      </c>
      <c r="Q2518">
        <v>20</v>
      </c>
      <c r="R2518">
        <v>2.79</v>
      </c>
      <c r="S2518">
        <v>55.8</v>
      </c>
      <c r="T2518">
        <v>45.6</v>
      </c>
      <c r="U2518">
        <v>18.28</v>
      </c>
      <c r="V2518" t="str">
        <f>VLOOKUP(L2518,'[2]tabela de preços'!$A:$D,4,0)</f>
        <v>ADERE</v>
      </c>
      <c r="W2518" t="str">
        <f>VLOOKUP(L2518,'[2]tabela de preços'!$A:$F,6,0)</f>
        <v xml:space="preserve">FITA DE USO GERAL </v>
      </c>
      <c r="X2518" t="str">
        <f>VLOOKUP(L2518,'[2]tabela de preços'!$A:$G,7,0)</f>
        <v>IMOBILIÁRIO</v>
      </c>
    </row>
    <row r="2519" spans="1:24" x14ac:dyDescent="0.3">
      <c r="A2519" t="s">
        <v>508</v>
      </c>
      <c r="C2519" t="s">
        <v>2596</v>
      </c>
      <c r="D2519" s="1">
        <v>46058</v>
      </c>
      <c r="E2519" t="s">
        <v>2597</v>
      </c>
      <c r="F2519">
        <v>9</v>
      </c>
      <c r="G2519">
        <v>231</v>
      </c>
      <c r="H2519" t="str">
        <f>VLOOKUP(G2519,[1]OPERADORES!$A:$B,2,0)</f>
        <v>EDIJANE</v>
      </c>
      <c r="I2519" t="s">
        <v>21</v>
      </c>
      <c r="J2519" t="s">
        <v>66</v>
      </c>
      <c r="K2519" t="s">
        <v>511</v>
      </c>
      <c r="L2519">
        <v>10238</v>
      </c>
      <c r="M2519" t="s">
        <v>79</v>
      </c>
      <c r="O2519" t="s">
        <v>11</v>
      </c>
      <c r="P2519">
        <v>5102</v>
      </c>
      <c r="Q2519">
        <v>100</v>
      </c>
      <c r="R2519">
        <v>2.79</v>
      </c>
      <c r="S2519">
        <v>279</v>
      </c>
      <c r="T2519">
        <v>224</v>
      </c>
      <c r="U2519">
        <v>19.71</v>
      </c>
      <c r="V2519" t="str">
        <f>VLOOKUP(L2519,'[2]tabela de preços'!$A:$D,4,0)</f>
        <v>NORTON</v>
      </c>
      <c r="W2519" t="str">
        <f>VLOOKUP(L2519,'[2]tabela de preços'!$A:$F,6,0)</f>
        <v xml:space="preserve">DISCOS / LIXAS / ABRASIVOS </v>
      </c>
      <c r="X2519" t="str">
        <f>VLOOKUP(L2519,'[2]tabela de preços'!$A:$G,7,0)</f>
        <v>AUTOMOTIVO</v>
      </c>
    </row>
    <row r="2520" spans="1:24" x14ac:dyDescent="0.3">
      <c r="A2520" t="s">
        <v>508</v>
      </c>
      <c r="C2520" t="s">
        <v>2596</v>
      </c>
      <c r="D2520" s="1">
        <v>46058</v>
      </c>
      <c r="E2520" t="s">
        <v>2597</v>
      </c>
      <c r="F2520">
        <v>9</v>
      </c>
      <c r="G2520">
        <v>231</v>
      </c>
      <c r="H2520" t="str">
        <f>VLOOKUP(G2520,[1]OPERADORES!$A:$B,2,0)</f>
        <v>EDIJANE</v>
      </c>
      <c r="I2520" t="s">
        <v>21</v>
      </c>
      <c r="J2520" t="s">
        <v>66</v>
      </c>
      <c r="K2520" t="s">
        <v>511</v>
      </c>
      <c r="L2520">
        <v>10242</v>
      </c>
      <c r="M2520" t="s">
        <v>82</v>
      </c>
      <c r="O2520" t="s">
        <v>11</v>
      </c>
      <c r="P2520">
        <v>5102</v>
      </c>
      <c r="Q2520">
        <v>100</v>
      </c>
      <c r="R2520">
        <v>2.79</v>
      </c>
      <c r="S2520">
        <v>279</v>
      </c>
      <c r="T2520">
        <v>224</v>
      </c>
      <c r="U2520">
        <v>19.71</v>
      </c>
      <c r="V2520" t="str">
        <f>VLOOKUP(L2520,'[2]tabela de preços'!$A:$D,4,0)</f>
        <v>NORTON</v>
      </c>
      <c r="W2520" t="str">
        <f>VLOOKUP(L2520,'[2]tabela de preços'!$A:$F,6,0)</f>
        <v xml:space="preserve">DISCOS / LIXAS / ABRASIVOS </v>
      </c>
      <c r="X2520" t="str">
        <f>VLOOKUP(L2520,'[2]tabela de preços'!$A:$G,7,0)</f>
        <v>AUTOMOTIVO</v>
      </c>
    </row>
    <row r="2521" spans="1:24" x14ac:dyDescent="0.3">
      <c r="A2521" t="s">
        <v>508</v>
      </c>
      <c r="C2521" t="s">
        <v>2596</v>
      </c>
      <c r="D2521" s="1">
        <v>46058</v>
      </c>
      <c r="E2521" t="s">
        <v>2597</v>
      </c>
      <c r="F2521">
        <v>9</v>
      </c>
      <c r="G2521">
        <v>231</v>
      </c>
      <c r="H2521" t="str">
        <f>VLOOKUP(G2521,[1]OPERADORES!$A:$B,2,0)</f>
        <v>EDIJANE</v>
      </c>
      <c r="I2521" t="s">
        <v>21</v>
      </c>
      <c r="J2521" t="s">
        <v>66</v>
      </c>
      <c r="K2521" t="s">
        <v>511</v>
      </c>
      <c r="L2521">
        <v>10244</v>
      </c>
      <c r="M2521" t="s">
        <v>84</v>
      </c>
      <c r="O2521" t="s">
        <v>11</v>
      </c>
      <c r="P2521">
        <v>5102</v>
      </c>
      <c r="Q2521">
        <v>100</v>
      </c>
      <c r="R2521">
        <v>2.79</v>
      </c>
      <c r="S2521">
        <v>279</v>
      </c>
      <c r="T2521">
        <v>193</v>
      </c>
      <c r="U2521">
        <v>30.82</v>
      </c>
      <c r="V2521" t="str">
        <f>VLOOKUP(L2521,'[2]tabela de preços'!$A:$D,4,0)</f>
        <v>NORTON</v>
      </c>
      <c r="W2521" t="str">
        <f>VLOOKUP(L2521,'[2]tabela de preços'!$A:$F,6,0)</f>
        <v xml:space="preserve">DISCOS / LIXAS / ABRASIVOS </v>
      </c>
      <c r="X2521" t="str">
        <f>VLOOKUP(L2521,'[2]tabela de preços'!$A:$G,7,0)</f>
        <v>AUTOMOTIVO</v>
      </c>
    </row>
    <row r="2522" spans="1:24" x14ac:dyDescent="0.3">
      <c r="A2522" t="s">
        <v>508</v>
      </c>
      <c r="C2522" t="s">
        <v>2596</v>
      </c>
      <c r="D2522" s="1">
        <v>46058</v>
      </c>
      <c r="E2522" t="s">
        <v>2597</v>
      </c>
      <c r="F2522">
        <v>9</v>
      </c>
      <c r="G2522">
        <v>231</v>
      </c>
      <c r="H2522" t="str">
        <f>VLOOKUP(G2522,[1]OPERADORES!$A:$B,2,0)</f>
        <v>EDIJANE</v>
      </c>
      <c r="I2522" t="s">
        <v>21</v>
      </c>
      <c r="J2522" t="s">
        <v>66</v>
      </c>
      <c r="K2522" t="s">
        <v>511</v>
      </c>
      <c r="L2522">
        <v>85164</v>
      </c>
      <c r="M2522" t="s">
        <v>278</v>
      </c>
      <c r="O2522" t="s">
        <v>11</v>
      </c>
      <c r="P2522">
        <v>5102</v>
      </c>
      <c r="Q2522">
        <v>4</v>
      </c>
      <c r="R2522">
        <v>13.29</v>
      </c>
      <c r="S2522">
        <v>53.16</v>
      </c>
      <c r="T2522">
        <v>40.36</v>
      </c>
      <c r="U2522">
        <v>24.08</v>
      </c>
      <c r="V2522" t="str">
        <f>VLOOKUP(L2522,'[2]tabela de preços'!$A:$D,4,0)</f>
        <v>BRASILUX</v>
      </c>
      <c r="W2522" t="str">
        <f>VLOOKUP(L2522,'[2]tabela de preços'!$A:$F,6,0)</f>
        <v>QUEROSENE</v>
      </c>
      <c r="X2522" t="str">
        <f>VLOOKUP(L2522,'[2]tabela de preços'!$A:$G,7,0)</f>
        <v>AUTOMOTIVO</v>
      </c>
    </row>
    <row r="2523" spans="1:24" x14ac:dyDescent="0.3">
      <c r="A2523" t="s">
        <v>528</v>
      </c>
      <c r="C2523" t="s">
        <v>2422</v>
      </c>
      <c r="D2523" s="1">
        <v>46055</v>
      </c>
      <c r="E2523" t="s">
        <v>2423</v>
      </c>
      <c r="F2523">
        <v>9</v>
      </c>
      <c r="G2523">
        <v>231</v>
      </c>
      <c r="H2523" t="str">
        <f>VLOOKUP(G2523,[1]OPERADORES!$A:$B,2,0)</f>
        <v>EDIJANE</v>
      </c>
      <c r="I2523" t="s">
        <v>21</v>
      </c>
      <c r="J2523" t="s">
        <v>531</v>
      </c>
      <c r="K2523" t="s">
        <v>532</v>
      </c>
      <c r="L2523">
        <v>84500</v>
      </c>
      <c r="M2523" t="s">
        <v>2424</v>
      </c>
      <c r="O2523" t="s">
        <v>11</v>
      </c>
      <c r="P2523">
        <v>5102</v>
      </c>
      <c r="Q2523">
        <v>2</v>
      </c>
      <c r="R2523">
        <v>195.25</v>
      </c>
      <c r="S2523">
        <v>390.5</v>
      </c>
      <c r="T2523">
        <v>296.39999999999998</v>
      </c>
      <c r="U2523">
        <v>24.1</v>
      </c>
      <c r="V2523" t="str">
        <f>VLOOKUP(L2523,'[2]tabela de preços'!$A:$D,4,0)</f>
        <v>BRASILUX</v>
      </c>
      <c r="W2523" t="str">
        <f>VLOOKUP(L2523,'[2]tabela de preços'!$A:$F,6,0)</f>
        <v>AGUARRAS</v>
      </c>
      <c r="X2523" t="str">
        <f>VLOOKUP(L2523,'[2]tabela de preços'!$A:$G,7,0)</f>
        <v>IMOBILIÁRIO</v>
      </c>
    </row>
    <row r="2524" spans="1:24" x14ac:dyDescent="0.3">
      <c r="A2524" t="s">
        <v>528</v>
      </c>
      <c r="C2524" t="s">
        <v>2480</v>
      </c>
      <c r="D2524" s="1">
        <v>46056</v>
      </c>
      <c r="E2524" t="s">
        <v>2481</v>
      </c>
      <c r="F2524">
        <v>9</v>
      </c>
      <c r="G2524">
        <v>231</v>
      </c>
      <c r="H2524" t="str">
        <f>VLOOKUP(G2524,[1]OPERADORES!$A:$B,2,0)</f>
        <v>EDIJANE</v>
      </c>
      <c r="I2524" t="s">
        <v>21</v>
      </c>
      <c r="J2524" t="s">
        <v>531</v>
      </c>
      <c r="K2524" t="s">
        <v>532</v>
      </c>
      <c r="L2524">
        <v>85316</v>
      </c>
      <c r="M2524" t="s">
        <v>365</v>
      </c>
      <c r="O2524" t="s">
        <v>11</v>
      </c>
      <c r="P2524">
        <v>5102</v>
      </c>
      <c r="Q2524">
        <v>1</v>
      </c>
      <c r="R2524">
        <v>668</v>
      </c>
      <c r="S2524">
        <v>668</v>
      </c>
      <c r="T2524">
        <v>478.31</v>
      </c>
      <c r="U2524">
        <v>28.4</v>
      </c>
      <c r="V2524" t="str">
        <f>VLOOKUP(L2524,'[2]tabela de preços'!$A:$D,4,0)</f>
        <v>BRASILUX</v>
      </c>
      <c r="W2524" t="str">
        <f>VLOOKUP(L2524,'[2]tabela de preços'!$A:$F,6,0)</f>
        <v>TINTA EM PÓ</v>
      </c>
      <c r="X2524" t="str">
        <f>VLOOKUP(L2524,'[2]tabela de preços'!$A:$G,7,0)</f>
        <v>INDUSTRIAL</v>
      </c>
    </row>
    <row r="2525" spans="1:24" x14ac:dyDescent="0.3">
      <c r="A2525" t="s">
        <v>2749</v>
      </c>
      <c r="C2525" t="s">
        <v>2750</v>
      </c>
      <c r="D2525" s="1">
        <v>46059</v>
      </c>
      <c r="E2525" t="s">
        <v>2751</v>
      </c>
      <c r="F2525">
        <v>9</v>
      </c>
      <c r="G2525">
        <v>230</v>
      </c>
      <c r="H2525" t="str">
        <f>VLOOKUP(G2525,[1]OPERADORES!$A:$B,2,0)</f>
        <v>SÔNIA</v>
      </c>
      <c r="I2525" t="s">
        <v>21</v>
      </c>
      <c r="J2525" t="s">
        <v>66</v>
      </c>
      <c r="K2525" t="s">
        <v>2752</v>
      </c>
      <c r="L2525">
        <v>85448</v>
      </c>
      <c r="M2525" t="s">
        <v>1259</v>
      </c>
      <c r="O2525" t="s">
        <v>11</v>
      </c>
      <c r="P2525">
        <v>5403</v>
      </c>
      <c r="Q2525">
        <v>4</v>
      </c>
      <c r="R2525">
        <v>95.4</v>
      </c>
      <c r="S2525">
        <v>381.6</v>
      </c>
      <c r="T2525">
        <v>289.64</v>
      </c>
      <c r="U2525">
        <v>24.1</v>
      </c>
      <c r="V2525" t="str">
        <f>VLOOKUP(L2525,'[2]tabela de preços'!$A:$D,4,0)</f>
        <v>BRASILUX</v>
      </c>
      <c r="W2525" t="str">
        <f>VLOOKUP(L2525,'[2]tabela de preços'!$A:$F,6,0)</f>
        <v>TINTAS LACA</v>
      </c>
      <c r="X2525" t="str">
        <f>VLOOKUP(L2525,'[2]tabela de preços'!$A:$G,7,0)</f>
        <v>AUTOMOTIVO</v>
      </c>
    </row>
    <row r="2526" spans="1:24" x14ac:dyDescent="0.3">
      <c r="A2526" t="s">
        <v>2749</v>
      </c>
      <c r="C2526" t="s">
        <v>2750</v>
      </c>
      <c r="D2526" s="1">
        <v>46059</v>
      </c>
      <c r="E2526" t="s">
        <v>2751</v>
      </c>
      <c r="F2526">
        <v>9</v>
      </c>
      <c r="G2526">
        <v>230</v>
      </c>
      <c r="H2526" t="str">
        <f>VLOOKUP(G2526,[1]OPERADORES!$A:$B,2,0)</f>
        <v>SÔNIA</v>
      </c>
      <c r="I2526" t="s">
        <v>21</v>
      </c>
      <c r="J2526" t="s">
        <v>66</v>
      </c>
      <c r="K2526" t="s">
        <v>2752</v>
      </c>
      <c r="L2526">
        <v>85246</v>
      </c>
      <c r="M2526" t="s">
        <v>1036</v>
      </c>
      <c r="O2526" t="s">
        <v>11</v>
      </c>
      <c r="P2526">
        <v>5403</v>
      </c>
      <c r="Q2526">
        <v>8</v>
      </c>
      <c r="R2526">
        <v>121.98</v>
      </c>
      <c r="S2526">
        <v>975.84</v>
      </c>
      <c r="T2526">
        <v>740.72</v>
      </c>
      <c r="U2526">
        <v>24.09</v>
      </c>
      <c r="V2526" t="str">
        <f>VLOOKUP(L2526,'[2]tabela de preços'!$A:$D,4,0)</f>
        <v>BRASILUX</v>
      </c>
      <c r="W2526" t="str">
        <f>VLOOKUP(L2526,'[2]tabela de preços'!$A:$F,6,0)</f>
        <v>TINTAS LACA</v>
      </c>
      <c r="X2526" t="str">
        <f>VLOOKUP(L2526,'[2]tabela de preços'!$A:$G,7,0)</f>
        <v>AUTOMOTIVO</v>
      </c>
    </row>
    <row r="2527" spans="1:24" x14ac:dyDescent="0.3">
      <c r="A2527" t="s">
        <v>2749</v>
      </c>
      <c r="C2527" t="s">
        <v>2750</v>
      </c>
      <c r="D2527" s="1">
        <v>46059</v>
      </c>
      <c r="E2527" t="s">
        <v>2751</v>
      </c>
      <c r="F2527">
        <v>9</v>
      </c>
      <c r="G2527">
        <v>230</v>
      </c>
      <c r="H2527" t="str">
        <f>VLOOKUP(G2527,[1]OPERADORES!$A:$B,2,0)</f>
        <v>SÔNIA</v>
      </c>
      <c r="I2527" t="s">
        <v>21</v>
      </c>
      <c r="J2527" t="s">
        <v>66</v>
      </c>
      <c r="K2527" t="s">
        <v>2752</v>
      </c>
      <c r="L2527">
        <v>84145</v>
      </c>
      <c r="M2527" t="s">
        <v>301</v>
      </c>
      <c r="O2527" t="s">
        <v>11</v>
      </c>
      <c r="P2527">
        <v>5403</v>
      </c>
      <c r="Q2527">
        <v>4</v>
      </c>
      <c r="R2527">
        <v>59.98</v>
      </c>
      <c r="S2527">
        <v>239.92</v>
      </c>
      <c r="T2527">
        <v>208.04</v>
      </c>
      <c r="U2527">
        <v>13.29</v>
      </c>
      <c r="V2527" t="str">
        <f>VLOOKUP(L2527,'[2]tabela de preços'!$A:$D,4,0)</f>
        <v>BRASILUX</v>
      </c>
      <c r="W2527" t="str">
        <f>VLOOKUP(L2527,'[2]tabela de preços'!$A:$F,6,0)</f>
        <v>ESMALTES</v>
      </c>
      <c r="X2527" t="str">
        <f>VLOOKUP(L2527,'[2]tabela de preços'!$A:$G,7,0)</f>
        <v>INDUSTRIAL</v>
      </c>
    </row>
    <row r="2528" spans="1:24" x14ac:dyDescent="0.3">
      <c r="A2528" t="s">
        <v>2749</v>
      </c>
      <c r="C2528" t="s">
        <v>2750</v>
      </c>
      <c r="D2528" s="1">
        <v>46059</v>
      </c>
      <c r="E2528" t="s">
        <v>2751</v>
      </c>
      <c r="F2528">
        <v>9</v>
      </c>
      <c r="G2528">
        <v>230</v>
      </c>
      <c r="H2528" t="str">
        <f>VLOOKUP(G2528,[1]OPERADORES!$A:$B,2,0)</f>
        <v>SÔNIA</v>
      </c>
      <c r="I2528" t="s">
        <v>21</v>
      </c>
      <c r="J2528" t="s">
        <v>66</v>
      </c>
      <c r="K2528" t="s">
        <v>2752</v>
      </c>
      <c r="L2528">
        <v>10236</v>
      </c>
      <c r="M2528" t="s">
        <v>133</v>
      </c>
      <c r="O2528" t="s">
        <v>11</v>
      </c>
      <c r="P2528">
        <v>5102</v>
      </c>
      <c r="Q2528">
        <v>50</v>
      </c>
      <c r="R2528">
        <v>2.79</v>
      </c>
      <c r="S2528">
        <v>139.5</v>
      </c>
      <c r="T2528">
        <v>116</v>
      </c>
      <c r="U2528">
        <v>16.850000000000001</v>
      </c>
      <c r="V2528" t="str">
        <f>VLOOKUP(L2528,'[2]tabela de preços'!$A:$D,4,0)</f>
        <v>NORTON</v>
      </c>
      <c r="W2528" t="str">
        <f>VLOOKUP(L2528,'[2]tabela de preços'!$A:$F,6,0)</f>
        <v xml:space="preserve">DISCOS / LIXAS / ABRASIVOS </v>
      </c>
      <c r="X2528" t="str">
        <f>VLOOKUP(L2528,'[2]tabela de preços'!$A:$G,7,0)</f>
        <v>AUTOMOTIVO</v>
      </c>
    </row>
    <row r="2529" spans="1:24" x14ac:dyDescent="0.3">
      <c r="A2529" t="s">
        <v>2749</v>
      </c>
      <c r="C2529" t="s">
        <v>2750</v>
      </c>
      <c r="D2529" s="1">
        <v>46059</v>
      </c>
      <c r="E2529" t="s">
        <v>2751</v>
      </c>
      <c r="F2529">
        <v>9</v>
      </c>
      <c r="G2529">
        <v>230</v>
      </c>
      <c r="H2529" t="str">
        <f>VLOOKUP(G2529,[1]OPERADORES!$A:$B,2,0)</f>
        <v>SÔNIA</v>
      </c>
      <c r="I2529" t="s">
        <v>21</v>
      </c>
      <c r="J2529" t="s">
        <v>66</v>
      </c>
      <c r="K2529" t="s">
        <v>2752</v>
      </c>
      <c r="L2529">
        <v>84863</v>
      </c>
      <c r="M2529" t="s">
        <v>1049</v>
      </c>
      <c r="O2529" t="s">
        <v>11</v>
      </c>
      <c r="P2529">
        <v>5403</v>
      </c>
      <c r="Q2529">
        <v>8</v>
      </c>
      <c r="R2529">
        <v>113.35</v>
      </c>
      <c r="S2529">
        <v>906.8</v>
      </c>
      <c r="T2529">
        <v>688.24</v>
      </c>
      <c r="U2529">
        <v>24.1</v>
      </c>
      <c r="V2529" t="str">
        <f>VLOOKUP(L2529,'[2]tabela de preços'!$A:$D,4,0)</f>
        <v>BRASILUX</v>
      </c>
      <c r="W2529" t="str">
        <f>VLOOKUP(L2529,'[2]tabela de preços'!$A:$F,6,0)</f>
        <v>ESMALTES</v>
      </c>
      <c r="X2529" t="str">
        <f>VLOOKUP(L2529,'[2]tabela de preços'!$A:$G,7,0)</f>
        <v>INDUSTRIAL</v>
      </c>
    </row>
    <row r="2530" spans="1:24" x14ac:dyDescent="0.3">
      <c r="A2530" t="s">
        <v>2749</v>
      </c>
      <c r="C2530" t="s">
        <v>2750</v>
      </c>
      <c r="D2530" s="1">
        <v>46059</v>
      </c>
      <c r="E2530" t="s">
        <v>2751</v>
      </c>
      <c r="F2530">
        <v>9</v>
      </c>
      <c r="G2530">
        <v>230</v>
      </c>
      <c r="H2530" t="str">
        <f>VLOOKUP(G2530,[1]OPERADORES!$A:$B,2,0)</f>
        <v>SÔNIA</v>
      </c>
      <c r="I2530" t="s">
        <v>21</v>
      </c>
      <c r="J2530" t="s">
        <v>66</v>
      </c>
      <c r="K2530" t="s">
        <v>2752</v>
      </c>
      <c r="L2530">
        <v>5</v>
      </c>
      <c r="M2530" t="s">
        <v>147</v>
      </c>
      <c r="O2530" t="s">
        <v>11</v>
      </c>
      <c r="P2530">
        <v>5102</v>
      </c>
      <c r="Q2530">
        <v>20</v>
      </c>
      <c r="R2530">
        <v>5.15</v>
      </c>
      <c r="S2530">
        <v>103</v>
      </c>
      <c r="T2530">
        <v>78.2</v>
      </c>
      <c r="U2530">
        <v>24.08</v>
      </c>
      <c r="V2530" t="str">
        <f>VLOOKUP(L2530,'[2]tabela de preços'!$A:$D,4,0)</f>
        <v>BRILHO ESTOPA</v>
      </c>
      <c r="W2530" t="str">
        <f>VLOOKUP(L2530,'[2]tabela de preços'!$A:$F,6,0)</f>
        <v>ESTOPAS</v>
      </c>
      <c r="X2530" t="str">
        <f>VLOOKUP(L2530,'[2]tabela de preços'!$A:$G,7,0)</f>
        <v>AUTOMOTIVO</v>
      </c>
    </row>
    <row r="2531" spans="1:24" x14ac:dyDescent="0.3">
      <c r="A2531" t="s">
        <v>2749</v>
      </c>
      <c r="C2531" t="s">
        <v>2750</v>
      </c>
      <c r="D2531" s="1">
        <v>46059</v>
      </c>
      <c r="E2531" t="s">
        <v>2751</v>
      </c>
      <c r="F2531">
        <v>9</v>
      </c>
      <c r="G2531">
        <v>230</v>
      </c>
      <c r="H2531" t="str">
        <f>VLOOKUP(G2531,[1]OPERADORES!$A:$B,2,0)</f>
        <v>SÔNIA</v>
      </c>
      <c r="I2531" t="s">
        <v>21</v>
      </c>
      <c r="J2531" t="s">
        <v>66</v>
      </c>
      <c r="K2531" t="s">
        <v>2752</v>
      </c>
      <c r="L2531">
        <v>84411</v>
      </c>
      <c r="M2531" t="s">
        <v>35</v>
      </c>
      <c r="O2531" t="s">
        <v>11</v>
      </c>
      <c r="P2531">
        <v>5102</v>
      </c>
      <c r="Q2531">
        <v>6</v>
      </c>
      <c r="R2531">
        <v>4.29</v>
      </c>
      <c r="S2531">
        <v>25.74</v>
      </c>
      <c r="T2531">
        <v>21.24</v>
      </c>
      <c r="U2531">
        <v>17.48</v>
      </c>
      <c r="V2531" t="str">
        <f>VLOOKUP(L2531,'[2]tabela de preços'!$A:$D,4,0)</f>
        <v>ADERE</v>
      </c>
      <c r="W2531" t="str">
        <f>VLOOKUP(L2531,'[2]tabela de preços'!$A:$F,6,0)</f>
        <v xml:space="preserve">FITA DE USO GERAL </v>
      </c>
      <c r="X2531" t="str">
        <f>VLOOKUP(L2531,'[2]tabela de preços'!$A:$G,7,0)</f>
        <v>IMOBILIÁRIO</v>
      </c>
    </row>
    <row r="2532" spans="1:24" x14ac:dyDescent="0.3">
      <c r="A2532" t="s">
        <v>2749</v>
      </c>
      <c r="C2532" t="s">
        <v>2750</v>
      </c>
      <c r="D2532" s="1">
        <v>46059</v>
      </c>
      <c r="E2532" t="s">
        <v>2751</v>
      </c>
      <c r="F2532">
        <v>9</v>
      </c>
      <c r="G2532">
        <v>230</v>
      </c>
      <c r="H2532" t="str">
        <f>VLOOKUP(G2532,[1]OPERADORES!$A:$B,2,0)</f>
        <v>SÔNIA</v>
      </c>
      <c r="I2532" t="s">
        <v>21</v>
      </c>
      <c r="J2532" t="s">
        <v>66</v>
      </c>
      <c r="K2532" t="s">
        <v>2752</v>
      </c>
      <c r="L2532">
        <v>22180</v>
      </c>
      <c r="M2532" t="s">
        <v>404</v>
      </c>
      <c r="O2532" t="s">
        <v>11</v>
      </c>
      <c r="P2532">
        <v>5102</v>
      </c>
      <c r="Q2532">
        <v>3</v>
      </c>
      <c r="R2532">
        <v>19.29</v>
      </c>
      <c r="S2532">
        <v>57.87</v>
      </c>
      <c r="T2532">
        <v>43.92</v>
      </c>
      <c r="U2532">
        <v>24.11</v>
      </c>
      <c r="V2532" t="str">
        <f>VLOOKUP(L2532,'[2]tabela de preços'!$A:$D,4,0)</f>
        <v>MADRUGA</v>
      </c>
      <c r="W2532" t="str">
        <f>VLOOKUP(L2532,'[2]tabela de preços'!$A:$F,6,0)</f>
        <v>PAPEL DE MASCARAMENTO</v>
      </c>
      <c r="X2532" t="str">
        <f>VLOOKUP(L2532,'[2]tabela de preços'!$A:$G,7,0)</f>
        <v>AUTOMOTIVO</v>
      </c>
    </row>
    <row r="2533" spans="1:24" x14ac:dyDescent="0.3">
      <c r="A2533" t="s">
        <v>2749</v>
      </c>
      <c r="C2533" t="s">
        <v>2750</v>
      </c>
      <c r="D2533" s="1">
        <v>46059</v>
      </c>
      <c r="E2533" t="s">
        <v>2751</v>
      </c>
      <c r="F2533">
        <v>9</v>
      </c>
      <c r="G2533">
        <v>230</v>
      </c>
      <c r="H2533" t="str">
        <f>VLOOKUP(G2533,[1]OPERADORES!$A:$B,2,0)</f>
        <v>SÔNIA</v>
      </c>
      <c r="I2533" t="s">
        <v>21</v>
      </c>
      <c r="J2533" t="s">
        <v>66</v>
      </c>
      <c r="K2533" t="s">
        <v>2752</v>
      </c>
      <c r="L2533">
        <v>23710</v>
      </c>
      <c r="M2533" t="s">
        <v>927</v>
      </c>
      <c r="O2533" t="s">
        <v>11</v>
      </c>
      <c r="P2533">
        <v>5102</v>
      </c>
      <c r="Q2533">
        <v>1</v>
      </c>
      <c r="R2533">
        <v>38</v>
      </c>
      <c r="S2533">
        <v>38</v>
      </c>
      <c r="T2533">
        <v>28.84</v>
      </c>
      <c r="U2533">
        <v>24.11</v>
      </c>
      <c r="V2533" t="str">
        <f>VLOOKUP(L2533,'[2]tabela de preços'!$A:$D,4,0)</f>
        <v>NEW PAD</v>
      </c>
      <c r="W2533" t="str">
        <f>VLOOKUP(L2533,'[2]tabela de preços'!$A:$F,6,0)</f>
        <v>APLICADORES / ADAPTADORES / ENGATES / SUPORTES</v>
      </c>
      <c r="X2533" t="str">
        <f>VLOOKUP(L2533,'[2]tabela de preços'!$A:$G,7,0)</f>
        <v>AUTOMOTIVO</v>
      </c>
    </row>
    <row r="2534" spans="1:24" x14ac:dyDescent="0.3">
      <c r="A2534" t="s">
        <v>2749</v>
      </c>
      <c r="C2534" t="s">
        <v>2750</v>
      </c>
      <c r="D2534" s="1">
        <v>46059</v>
      </c>
      <c r="E2534" t="s">
        <v>2751</v>
      </c>
      <c r="F2534">
        <v>9</v>
      </c>
      <c r="G2534">
        <v>230</v>
      </c>
      <c r="H2534" t="str">
        <f>VLOOKUP(G2534,[1]OPERADORES!$A:$B,2,0)</f>
        <v>SÔNIA</v>
      </c>
      <c r="I2534" t="s">
        <v>21</v>
      </c>
      <c r="J2534" t="s">
        <v>66</v>
      </c>
      <c r="K2534" t="s">
        <v>2752</v>
      </c>
      <c r="L2534">
        <v>84560</v>
      </c>
      <c r="M2534" t="s">
        <v>118</v>
      </c>
      <c r="O2534" t="s">
        <v>11</v>
      </c>
      <c r="P2534">
        <v>5102</v>
      </c>
      <c r="Q2534">
        <v>5</v>
      </c>
      <c r="R2534">
        <v>47.89</v>
      </c>
      <c r="S2534">
        <v>239.45</v>
      </c>
      <c r="T2534">
        <v>195.8</v>
      </c>
      <c r="U2534">
        <v>18.23</v>
      </c>
      <c r="V2534" t="str">
        <f>VLOOKUP(L2534,'[2]tabela de preços'!$A:$D,4,0)</f>
        <v>BRASILUX</v>
      </c>
      <c r="W2534" t="str">
        <f>VLOOKUP(L2534,'[2]tabela de preços'!$A:$F,6,0)</f>
        <v>THINNER DE LIMPEZA</v>
      </c>
      <c r="X2534" t="str">
        <f>VLOOKUP(L2534,'[2]tabela de preços'!$A:$G,7,0)</f>
        <v>THINNER</v>
      </c>
    </row>
    <row r="2535" spans="1:24" x14ac:dyDescent="0.3">
      <c r="A2535" t="s">
        <v>555</v>
      </c>
      <c r="C2535" t="s">
        <v>2598</v>
      </c>
      <c r="D2535" s="1">
        <v>46058</v>
      </c>
      <c r="E2535" t="s">
        <v>2599</v>
      </c>
      <c r="F2535">
        <v>9</v>
      </c>
      <c r="G2535">
        <v>236</v>
      </c>
      <c r="H2535" t="str">
        <f>VLOOKUP(G2535,[1]OPERADORES!$A:$B,2,0)</f>
        <v>DANIEL</v>
      </c>
      <c r="I2535" t="s">
        <v>21</v>
      </c>
      <c r="J2535" t="s">
        <v>558</v>
      </c>
      <c r="K2535" t="s">
        <v>559</v>
      </c>
      <c r="L2535">
        <v>84565</v>
      </c>
      <c r="M2535" t="s">
        <v>236</v>
      </c>
      <c r="O2535" t="s">
        <v>11</v>
      </c>
      <c r="P2535">
        <v>5102</v>
      </c>
      <c r="Q2535">
        <v>3</v>
      </c>
      <c r="R2535">
        <v>9.7799999999999994</v>
      </c>
      <c r="S2535">
        <v>29.34</v>
      </c>
      <c r="T2535">
        <v>21.03</v>
      </c>
      <c r="U2535">
        <v>28.32</v>
      </c>
      <c r="V2535" t="str">
        <f>VLOOKUP(L2535,'[2]tabela de preços'!$A:$D,4,0)</f>
        <v>BRASILUX</v>
      </c>
      <c r="W2535" t="str">
        <f>VLOOKUP(L2535,'[2]tabela de preços'!$A:$F,6,0)</f>
        <v>PRETO FOSCO VINÍLICO</v>
      </c>
      <c r="X2535" t="str">
        <f>VLOOKUP(L2535,'[2]tabela de preços'!$A:$G,7,0)</f>
        <v>AUTOMOTIVO</v>
      </c>
    </row>
    <row r="2536" spans="1:24" x14ac:dyDescent="0.3">
      <c r="A2536" t="s">
        <v>555</v>
      </c>
      <c r="C2536" t="s">
        <v>2598</v>
      </c>
      <c r="D2536" s="1">
        <v>46058</v>
      </c>
      <c r="E2536" t="s">
        <v>2599</v>
      </c>
      <c r="F2536">
        <v>9</v>
      </c>
      <c r="G2536">
        <v>236</v>
      </c>
      <c r="H2536" t="str">
        <f>VLOOKUP(G2536,[1]OPERADORES!$A:$B,2,0)</f>
        <v>DANIEL</v>
      </c>
      <c r="I2536" t="s">
        <v>21</v>
      </c>
      <c r="J2536" t="s">
        <v>558</v>
      </c>
      <c r="K2536" t="s">
        <v>559</v>
      </c>
      <c r="L2536">
        <v>23425</v>
      </c>
      <c r="M2536" t="s">
        <v>2544</v>
      </c>
      <c r="O2536" t="s">
        <v>11</v>
      </c>
      <c r="P2536">
        <v>5102</v>
      </c>
      <c r="Q2536">
        <v>1</v>
      </c>
      <c r="R2536">
        <v>17.760000000000002</v>
      </c>
      <c r="S2536">
        <v>17.760000000000002</v>
      </c>
      <c r="T2536">
        <v>13.48</v>
      </c>
      <c r="U2536">
        <v>24.1</v>
      </c>
      <c r="V2536" t="str">
        <f>VLOOKUP(L2536,'[2]tabela de preços'!$A:$D,4,0)</f>
        <v>NORTON</v>
      </c>
      <c r="W2536" t="str">
        <f>VLOOKUP(L2536,'[2]tabela de preços'!$A:$F,6,0)</f>
        <v xml:space="preserve">OUTROS DISCOS </v>
      </c>
      <c r="X2536" t="str">
        <f>VLOOKUP(L2536,'[2]tabela de preços'!$A:$G,7,0)</f>
        <v>AUTOMOTIVO</v>
      </c>
    </row>
    <row r="2537" spans="1:24" x14ac:dyDescent="0.3">
      <c r="A2537" t="s">
        <v>555</v>
      </c>
      <c r="C2537" t="s">
        <v>2598</v>
      </c>
      <c r="D2537" s="1">
        <v>46058</v>
      </c>
      <c r="E2537" t="s">
        <v>2599</v>
      </c>
      <c r="F2537">
        <v>9</v>
      </c>
      <c r="G2537">
        <v>236</v>
      </c>
      <c r="H2537" t="str">
        <f>VLOOKUP(G2537,[1]OPERADORES!$A:$B,2,0)</f>
        <v>DANIEL</v>
      </c>
      <c r="I2537" t="s">
        <v>21</v>
      </c>
      <c r="J2537" t="s">
        <v>558</v>
      </c>
      <c r="K2537" t="s">
        <v>559</v>
      </c>
      <c r="L2537">
        <v>84042</v>
      </c>
      <c r="M2537" t="s">
        <v>2600</v>
      </c>
      <c r="O2537" t="s">
        <v>11</v>
      </c>
      <c r="P2537">
        <v>5102</v>
      </c>
      <c r="Q2537">
        <v>1</v>
      </c>
      <c r="R2537">
        <v>13.26</v>
      </c>
      <c r="S2537">
        <v>13.26</v>
      </c>
      <c r="T2537">
        <v>9.7200000000000006</v>
      </c>
      <c r="U2537">
        <v>26.7</v>
      </c>
      <c r="V2537" t="str">
        <f>VLOOKUP(L2537,'[2]tabela de preços'!$A:$D,4,0)</f>
        <v>BRASILUX</v>
      </c>
      <c r="W2537" t="str">
        <f>VLOOKUP(L2537,'[2]tabela de preços'!$A:$F,6,0)</f>
        <v>FERRUGEM</v>
      </c>
      <c r="X2537" t="str">
        <f>VLOOKUP(L2537,'[2]tabela de preços'!$A:$G,7,0)</f>
        <v>AUTOMOTIVO</v>
      </c>
    </row>
    <row r="2538" spans="1:24" x14ac:dyDescent="0.3">
      <c r="A2538" t="s">
        <v>555</v>
      </c>
      <c r="C2538" t="s">
        <v>2598</v>
      </c>
      <c r="D2538" s="1">
        <v>46058</v>
      </c>
      <c r="E2538" t="s">
        <v>2599</v>
      </c>
      <c r="F2538">
        <v>9</v>
      </c>
      <c r="G2538">
        <v>236</v>
      </c>
      <c r="H2538" t="str">
        <f>VLOOKUP(G2538,[1]OPERADORES!$A:$B,2,0)</f>
        <v>DANIEL</v>
      </c>
      <c r="I2538" t="s">
        <v>21</v>
      </c>
      <c r="J2538" t="s">
        <v>558</v>
      </c>
      <c r="K2538" t="s">
        <v>559</v>
      </c>
      <c r="L2538">
        <v>84318</v>
      </c>
      <c r="M2538" t="s">
        <v>2601</v>
      </c>
      <c r="O2538" t="s">
        <v>11</v>
      </c>
      <c r="P2538">
        <v>5403</v>
      </c>
      <c r="Q2538">
        <v>2</v>
      </c>
      <c r="R2538">
        <v>59.38</v>
      </c>
      <c r="S2538">
        <v>118.76</v>
      </c>
      <c r="T2538">
        <v>90.14</v>
      </c>
      <c r="U2538">
        <v>24.1</v>
      </c>
      <c r="V2538" t="str">
        <f>VLOOKUP(L2538,'[2]tabela de preços'!$A:$D,4,0)</f>
        <v>BRASILUX</v>
      </c>
      <c r="W2538" t="str">
        <f>VLOOKUP(L2538,'[2]tabela de preços'!$A:$F,6,0)</f>
        <v>IMPERMEABILIZANTES</v>
      </c>
      <c r="X2538" t="str">
        <f>VLOOKUP(L2538,'[2]tabela de preços'!$A:$G,7,0)</f>
        <v>IMOBILIÁRIO</v>
      </c>
    </row>
    <row r="2539" spans="1:24" x14ac:dyDescent="0.3">
      <c r="A2539" t="s">
        <v>555</v>
      </c>
      <c r="C2539" t="s">
        <v>2598</v>
      </c>
      <c r="D2539" s="1">
        <v>46058</v>
      </c>
      <c r="E2539" t="s">
        <v>2599</v>
      </c>
      <c r="F2539">
        <v>9</v>
      </c>
      <c r="G2539">
        <v>236</v>
      </c>
      <c r="H2539" t="str">
        <f>VLOOKUP(G2539,[1]OPERADORES!$A:$B,2,0)</f>
        <v>DANIEL</v>
      </c>
      <c r="I2539" t="s">
        <v>21</v>
      </c>
      <c r="J2539" t="s">
        <v>558</v>
      </c>
      <c r="K2539" t="s">
        <v>559</v>
      </c>
      <c r="L2539">
        <v>84424</v>
      </c>
      <c r="M2539" t="s">
        <v>567</v>
      </c>
      <c r="O2539" t="s">
        <v>11</v>
      </c>
      <c r="P2539">
        <v>5102</v>
      </c>
      <c r="Q2539">
        <v>1</v>
      </c>
      <c r="R2539">
        <v>14.3</v>
      </c>
      <c r="S2539">
        <v>14.3</v>
      </c>
      <c r="T2539">
        <v>10.85</v>
      </c>
      <c r="U2539">
        <v>24.13</v>
      </c>
      <c r="V2539" t="str">
        <f>VLOOKUP(L2539,'[2]tabela de preços'!$A:$D,4,0)</f>
        <v>ATLAS</v>
      </c>
      <c r="W2539" t="str">
        <f>VLOOKUP(L2539,'[2]tabela de preços'!$A:$F,6,0)</f>
        <v>ROLOS / TRINCHAS / PINCÉIS / ESPÁTULAS</v>
      </c>
      <c r="X2539" t="str">
        <f>VLOOKUP(L2539,'[2]tabela de preços'!$A:$G,7,0)</f>
        <v>IMOBILIÁRIO</v>
      </c>
    </row>
    <row r="2540" spans="1:24" x14ac:dyDescent="0.3">
      <c r="A2540" t="s">
        <v>555</v>
      </c>
      <c r="C2540" t="s">
        <v>2598</v>
      </c>
      <c r="D2540" s="1">
        <v>46058</v>
      </c>
      <c r="E2540" t="s">
        <v>2599</v>
      </c>
      <c r="F2540">
        <v>9</v>
      </c>
      <c r="G2540">
        <v>236</v>
      </c>
      <c r="H2540" t="str">
        <f>VLOOKUP(G2540,[1]OPERADORES!$A:$B,2,0)</f>
        <v>DANIEL</v>
      </c>
      <c r="I2540" t="s">
        <v>21</v>
      </c>
      <c r="J2540" t="s">
        <v>558</v>
      </c>
      <c r="K2540" t="s">
        <v>559</v>
      </c>
      <c r="L2540">
        <v>84422</v>
      </c>
      <c r="M2540" t="s">
        <v>569</v>
      </c>
      <c r="O2540" t="s">
        <v>11</v>
      </c>
      <c r="P2540">
        <v>5102</v>
      </c>
      <c r="Q2540">
        <v>1</v>
      </c>
      <c r="R2540">
        <v>9.32</v>
      </c>
      <c r="S2540">
        <v>9.32</v>
      </c>
      <c r="T2540">
        <v>7.08</v>
      </c>
      <c r="U2540">
        <v>24.03</v>
      </c>
      <c r="V2540" t="str">
        <f>VLOOKUP(L2540,'[2]tabela de preços'!$A:$D,4,0)</f>
        <v>ATLAS</v>
      </c>
      <c r="W2540" t="str">
        <f>VLOOKUP(L2540,'[2]tabela de preços'!$A:$F,6,0)</f>
        <v>ROLOS / TRINCHAS / PINCÉIS / ESPÁTULAS</v>
      </c>
      <c r="X2540" t="str">
        <f>VLOOKUP(L2540,'[2]tabela de preços'!$A:$G,7,0)</f>
        <v>IMOBILIÁRIO</v>
      </c>
    </row>
    <row r="2541" spans="1:24" x14ac:dyDescent="0.3">
      <c r="A2541" t="s">
        <v>555</v>
      </c>
      <c r="C2541" t="s">
        <v>2598</v>
      </c>
      <c r="D2541" s="1">
        <v>46058</v>
      </c>
      <c r="E2541" t="s">
        <v>2599</v>
      </c>
      <c r="F2541">
        <v>9</v>
      </c>
      <c r="G2541">
        <v>236</v>
      </c>
      <c r="H2541" t="str">
        <f>VLOOKUP(G2541,[1]OPERADORES!$A:$B,2,0)</f>
        <v>DANIEL</v>
      </c>
      <c r="I2541" t="s">
        <v>21</v>
      </c>
      <c r="J2541" t="s">
        <v>558</v>
      </c>
      <c r="K2541" t="s">
        <v>559</v>
      </c>
      <c r="L2541">
        <v>85363</v>
      </c>
      <c r="M2541" t="s">
        <v>237</v>
      </c>
      <c r="O2541" t="s">
        <v>11</v>
      </c>
      <c r="P2541">
        <v>5102</v>
      </c>
      <c r="Q2541">
        <v>3</v>
      </c>
      <c r="R2541">
        <v>25.36</v>
      </c>
      <c r="S2541">
        <v>76.08</v>
      </c>
      <c r="T2541">
        <v>54.54</v>
      </c>
      <c r="U2541">
        <v>28.31</v>
      </c>
      <c r="V2541" t="str">
        <f>VLOOKUP(L2541,'[2]tabela de preços'!$A:$D,4,0)</f>
        <v>BRASILUX</v>
      </c>
      <c r="W2541" t="str">
        <f>VLOOKUP(L2541,'[2]tabela de preços'!$A:$F,6,0)</f>
        <v>PRETO FOSCO VINÍLICO</v>
      </c>
      <c r="X2541" t="str">
        <f>VLOOKUP(L2541,'[2]tabela de preços'!$A:$G,7,0)</f>
        <v>AUTOMOTIVO</v>
      </c>
    </row>
    <row r="2542" spans="1:24" x14ac:dyDescent="0.3">
      <c r="A2542" t="s">
        <v>555</v>
      </c>
      <c r="C2542" t="s">
        <v>2602</v>
      </c>
      <c r="D2542" s="1">
        <v>46058</v>
      </c>
      <c r="F2542">
        <v>9</v>
      </c>
      <c r="G2542">
        <v>236</v>
      </c>
      <c r="H2542" t="str">
        <f>VLOOKUP(G2542,[1]OPERADORES!$A:$B,2,0)</f>
        <v>DANIEL</v>
      </c>
      <c r="I2542" t="s">
        <v>21</v>
      </c>
      <c r="J2542" t="s">
        <v>558</v>
      </c>
      <c r="K2542" t="s">
        <v>559</v>
      </c>
      <c r="L2542">
        <v>84318</v>
      </c>
      <c r="M2542" t="s">
        <v>2601</v>
      </c>
      <c r="N2542" t="s">
        <v>2603</v>
      </c>
      <c r="O2542" t="s">
        <v>11</v>
      </c>
      <c r="P2542">
        <v>1411</v>
      </c>
      <c r="Q2542">
        <v>-1</v>
      </c>
      <c r="R2542">
        <v>59.38</v>
      </c>
      <c r="S2542">
        <v>-59.38</v>
      </c>
      <c r="T2542">
        <v>-45.07</v>
      </c>
      <c r="U2542">
        <v>24.1</v>
      </c>
      <c r="V2542" t="str">
        <f>VLOOKUP(L2542,'[2]tabela de preços'!$A:$D,4,0)</f>
        <v>BRASILUX</v>
      </c>
      <c r="W2542" t="str">
        <f>VLOOKUP(L2542,'[2]tabela de preços'!$A:$F,6,0)</f>
        <v>IMPERMEABILIZANTES</v>
      </c>
      <c r="X2542" t="str">
        <f>VLOOKUP(L2542,'[2]tabela de preços'!$A:$G,7,0)</f>
        <v>IMOBILIÁRIO</v>
      </c>
    </row>
    <row r="2543" spans="1:24" x14ac:dyDescent="0.3">
      <c r="A2543" t="s">
        <v>626</v>
      </c>
      <c r="B2543" t="s">
        <v>627</v>
      </c>
      <c r="C2543" t="s">
        <v>2425</v>
      </c>
      <c r="D2543" s="1">
        <v>46055</v>
      </c>
      <c r="F2543">
        <v>9</v>
      </c>
      <c r="G2543">
        <v>174</v>
      </c>
      <c r="H2543" t="str">
        <f>VLOOKUP(G2543,[1]OPERADORES!$A:$B,2,0)</f>
        <v>MIRIÃ LOBATO RODRIGUES</v>
      </c>
      <c r="I2543" t="s">
        <v>21</v>
      </c>
      <c r="J2543" t="s">
        <v>630</v>
      </c>
      <c r="K2543" t="s">
        <v>631</v>
      </c>
      <c r="L2543">
        <v>85636</v>
      </c>
      <c r="M2543" t="s">
        <v>696</v>
      </c>
      <c r="N2543" t="s">
        <v>2426</v>
      </c>
      <c r="O2543" t="s">
        <v>11</v>
      </c>
      <c r="P2543">
        <v>1202</v>
      </c>
      <c r="Q2543">
        <v>-12</v>
      </c>
      <c r="R2543">
        <v>7.36</v>
      </c>
      <c r="S2543">
        <v>-88.32</v>
      </c>
      <c r="T2543">
        <v>-67.08</v>
      </c>
      <c r="U2543">
        <v>24.05</v>
      </c>
      <c r="V2543" t="str">
        <f>VLOOKUP(L2543,'[2]tabela de preços'!$A:$D,4,0)</f>
        <v>UNIPEGA</v>
      </c>
      <c r="W2543" t="str">
        <f>VLOOKUP(L2543,'[2]tabela de preços'!$A:$F,6,0)</f>
        <v>DESENGRIPANTE</v>
      </c>
      <c r="X2543" t="str">
        <f>VLOOKUP(L2543,'[2]tabela de preços'!$A:$G,7,0)</f>
        <v>AUTOMOTIVO</v>
      </c>
    </row>
    <row r="2544" spans="1:24" x14ac:dyDescent="0.3">
      <c r="A2544" t="s">
        <v>626</v>
      </c>
      <c r="B2544" t="s">
        <v>627</v>
      </c>
      <c r="C2544" t="s">
        <v>2427</v>
      </c>
      <c r="D2544" s="1">
        <v>46055</v>
      </c>
      <c r="E2544" t="s">
        <v>2428</v>
      </c>
      <c r="F2544">
        <v>9</v>
      </c>
      <c r="G2544">
        <v>174</v>
      </c>
      <c r="H2544" t="str">
        <f>VLOOKUP(G2544,[1]OPERADORES!$A:$B,2,0)</f>
        <v>MIRIÃ LOBATO RODRIGUES</v>
      </c>
      <c r="I2544" t="s">
        <v>21</v>
      </c>
      <c r="J2544" t="s">
        <v>630</v>
      </c>
      <c r="K2544" t="s">
        <v>631</v>
      </c>
      <c r="L2544">
        <v>23716</v>
      </c>
      <c r="M2544" t="s">
        <v>220</v>
      </c>
      <c r="O2544" t="s">
        <v>11</v>
      </c>
      <c r="P2544">
        <v>5102</v>
      </c>
      <c r="Q2544">
        <v>2</v>
      </c>
      <c r="R2544">
        <v>40.71</v>
      </c>
      <c r="S2544">
        <v>81.42</v>
      </c>
      <c r="T2544">
        <v>61.8</v>
      </c>
      <c r="U2544">
        <v>24.1</v>
      </c>
      <c r="V2544" t="str">
        <f>VLOOKUP(L2544,'[2]tabela de preços'!$A:$D,4,0)</f>
        <v>NEW PAD</v>
      </c>
      <c r="W2544" t="str">
        <f>VLOOKUP(L2544,'[2]tabela de preços'!$A:$F,6,0)</f>
        <v>BOINAS PARA POLIMENTO</v>
      </c>
      <c r="X2544" t="str">
        <f>VLOOKUP(L2544,'[2]tabela de preços'!$A:$G,7,0)</f>
        <v>AUTOMOTIVO</v>
      </c>
    </row>
    <row r="2545" spans="1:24" x14ac:dyDescent="0.3">
      <c r="A2545" t="s">
        <v>626</v>
      </c>
      <c r="B2545" t="s">
        <v>627</v>
      </c>
      <c r="C2545" t="s">
        <v>2427</v>
      </c>
      <c r="D2545" s="1">
        <v>46055</v>
      </c>
      <c r="E2545" t="s">
        <v>2428</v>
      </c>
      <c r="F2545">
        <v>9</v>
      </c>
      <c r="G2545">
        <v>174</v>
      </c>
      <c r="H2545" t="str">
        <f>VLOOKUP(G2545,[1]OPERADORES!$A:$B,2,0)</f>
        <v>MIRIÃ LOBATO RODRIGUES</v>
      </c>
      <c r="I2545" t="s">
        <v>21</v>
      </c>
      <c r="J2545" t="s">
        <v>630</v>
      </c>
      <c r="K2545" t="s">
        <v>631</v>
      </c>
      <c r="L2545">
        <v>86866</v>
      </c>
      <c r="M2545" t="s">
        <v>2071</v>
      </c>
      <c r="O2545" t="s">
        <v>11</v>
      </c>
      <c r="P2545">
        <v>5403</v>
      </c>
      <c r="Q2545">
        <v>6</v>
      </c>
      <c r="R2545">
        <v>4.4400000000000004</v>
      </c>
      <c r="S2545">
        <v>26.64</v>
      </c>
      <c r="T2545">
        <v>20.7</v>
      </c>
      <c r="U2545">
        <v>22.3</v>
      </c>
      <c r="V2545" t="str">
        <f>VLOOKUP(L2545,'[2]tabela de preços'!$A:$D,4,0)</f>
        <v>SHERWIN WILLIAMS</v>
      </c>
      <c r="W2545" t="str">
        <f>VLOOKUP(L2545,'[2]tabela de preços'!$A:$F,6,0)</f>
        <v>CORANTES</v>
      </c>
      <c r="X2545" t="str">
        <f>VLOOKUP(L2545,'[2]tabela de preços'!$A:$G,7,0)</f>
        <v>IMOBILIÁRIO</v>
      </c>
    </row>
    <row r="2546" spans="1:24" x14ac:dyDescent="0.3">
      <c r="A2546" t="s">
        <v>626</v>
      </c>
      <c r="B2546" t="s">
        <v>627</v>
      </c>
      <c r="C2546" t="s">
        <v>2427</v>
      </c>
      <c r="D2546" s="1">
        <v>46055</v>
      </c>
      <c r="E2546" t="s">
        <v>2428</v>
      </c>
      <c r="F2546">
        <v>9</v>
      </c>
      <c r="G2546">
        <v>174</v>
      </c>
      <c r="H2546" t="str">
        <f>VLOOKUP(G2546,[1]OPERADORES!$A:$B,2,0)</f>
        <v>MIRIÃ LOBATO RODRIGUES</v>
      </c>
      <c r="I2546" t="s">
        <v>21</v>
      </c>
      <c r="J2546" t="s">
        <v>630</v>
      </c>
      <c r="K2546" t="s">
        <v>631</v>
      </c>
      <c r="L2546">
        <v>23110</v>
      </c>
      <c r="M2546" t="s">
        <v>409</v>
      </c>
      <c r="O2546" t="s">
        <v>11</v>
      </c>
      <c r="P2546">
        <v>5102</v>
      </c>
      <c r="Q2546">
        <v>50</v>
      </c>
      <c r="R2546">
        <v>2.35</v>
      </c>
      <c r="S2546">
        <v>117.5</v>
      </c>
      <c r="T2546">
        <v>92.5</v>
      </c>
      <c r="U2546">
        <v>21.28</v>
      </c>
      <c r="V2546" t="str">
        <f>VLOOKUP(L2546,'[2]tabela de preços'!$A:$D,4,0)</f>
        <v>3M</v>
      </c>
      <c r="W2546" t="str">
        <f>VLOOKUP(L2546,'[2]tabela de preços'!$A:$F,6,0)</f>
        <v xml:space="preserve">DISCOS / LIXAS / ABRASIVOS </v>
      </c>
      <c r="X2546" t="str">
        <f>VLOOKUP(L2546,'[2]tabela de preços'!$A:$G,7,0)</f>
        <v>AUTOMOTIVO</v>
      </c>
    </row>
    <row r="2547" spans="1:24" x14ac:dyDescent="0.3">
      <c r="A2547" t="s">
        <v>626</v>
      </c>
      <c r="B2547" t="s">
        <v>627</v>
      </c>
      <c r="C2547" t="s">
        <v>2427</v>
      </c>
      <c r="D2547" s="1">
        <v>46055</v>
      </c>
      <c r="E2547" t="s">
        <v>2428</v>
      </c>
      <c r="F2547">
        <v>9</v>
      </c>
      <c r="G2547">
        <v>174</v>
      </c>
      <c r="H2547" t="str">
        <f>VLOOKUP(G2547,[1]OPERADORES!$A:$B,2,0)</f>
        <v>MIRIÃ LOBATO RODRIGUES</v>
      </c>
      <c r="I2547" t="s">
        <v>21</v>
      </c>
      <c r="J2547" t="s">
        <v>630</v>
      </c>
      <c r="K2547" t="s">
        <v>631</v>
      </c>
      <c r="L2547">
        <v>23106</v>
      </c>
      <c r="M2547" t="s">
        <v>403</v>
      </c>
      <c r="O2547" t="s">
        <v>11</v>
      </c>
      <c r="P2547">
        <v>5102</v>
      </c>
      <c r="Q2547">
        <v>50</v>
      </c>
      <c r="R2547">
        <v>2.35</v>
      </c>
      <c r="S2547">
        <v>117.5</v>
      </c>
      <c r="T2547">
        <v>96</v>
      </c>
      <c r="U2547">
        <v>18.3</v>
      </c>
      <c r="V2547" t="str">
        <f>VLOOKUP(L2547,'[2]tabela de preços'!$A:$D,4,0)</f>
        <v>3M</v>
      </c>
      <c r="W2547" t="str">
        <f>VLOOKUP(L2547,'[2]tabela de preços'!$A:$F,6,0)</f>
        <v xml:space="preserve">DISCOS / LIXAS / ABRASIVOS </v>
      </c>
      <c r="X2547" t="str">
        <f>VLOOKUP(L2547,'[2]tabela de preços'!$A:$G,7,0)</f>
        <v>AUTOMOTIVO</v>
      </c>
    </row>
    <row r="2548" spans="1:24" x14ac:dyDescent="0.3">
      <c r="A2548" t="s">
        <v>626</v>
      </c>
      <c r="B2548" t="s">
        <v>627</v>
      </c>
      <c r="C2548" t="s">
        <v>2427</v>
      </c>
      <c r="D2548" s="1">
        <v>46055</v>
      </c>
      <c r="E2548" t="s">
        <v>2428</v>
      </c>
      <c r="F2548">
        <v>9</v>
      </c>
      <c r="G2548">
        <v>174</v>
      </c>
      <c r="H2548" t="str">
        <f>VLOOKUP(G2548,[1]OPERADORES!$A:$B,2,0)</f>
        <v>MIRIÃ LOBATO RODRIGUES</v>
      </c>
      <c r="I2548" t="s">
        <v>21</v>
      </c>
      <c r="J2548" t="s">
        <v>630</v>
      </c>
      <c r="K2548" t="s">
        <v>631</v>
      </c>
      <c r="L2548">
        <v>20384</v>
      </c>
      <c r="M2548" t="s">
        <v>648</v>
      </c>
      <c r="O2548" t="s">
        <v>11</v>
      </c>
      <c r="P2548">
        <v>5403</v>
      </c>
      <c r="Q2548">
        <v>1</v>
      </c>
      <c r="R2548">
        <v>32.159999999999997</v>
      </c>
      <c r="S2548">
        <v>32.159999999999997</v>
      </c>
      <c r="T2548">
        <v>22.93</v>
      </c>
      <c r="U2548">
        <v>28.7</v>
      </c>
      <c r="V2548" t="str">
        <f>VLOOKUP(L2548,'[2]tabela de preços'!$A:$D,4,0)</f>
        <v>SHERWIN WILLIAMS</v>
      </c>
      <c r="W2548" t="str">
        <f>VLOOKUP(L2548,'[2]tabela de preços'!$A:$F,6,0)</f>
        <v>TINTAS PU</v>
      </c>
      <c r="X2548" t="str">
        <f>VLOOKUP(L2548,'[2]tabela de preços'!$A:$G,7,0)</f>
        <v>AUTOMOTIVO</v>
      </c>
    </row>
    <row r="2549" spans="1:24" x14ac:dyDescent="0.3">
      <c r="A2549" t="s">
        <v>626</v>
      </c>
      <c r="B2549" t="s">
        <v>627</v>
      </c>
      <c r="C2549" t="s">
        <v>2427</v>
      </c>
      <c r="D2549" s="1">
        <v>46055</v>
      </c>
      <c r="E2549" t="s">
        <v>2428</v>
      </c>
      <c r="F2549">
        <v>9</v>
      </c>
      <c r="G2549">
        <v>174</v>
      </c>
      <c r="H2549" t="str">
        <f>VLOOKUP(G2549,[1]OPERADORES!$A:$B,2,0)</f>
        <v>MIRIÃ LOBATO RODRIGUES</v>
      </c>
      <c r="I2549" t="s">
        <v>21</v>
      </c>
      <c r="J2549" t="s">
        <v>630</v>
      </c>
      <c r="K2549" t="s">
        <v>631</v>
      </c>
      <c r="L2549">
        <v>20817</v>
      </c>
      <c r="M2549" t="s">
        <v>153</v>
      </c>
      <c r="O2549" t="s">
        <v>11</v>
      </c>
      <c r="P2549">
        <v>5102</v>
      </c>
      <c r="Q2549">
        <v>2</v>
      </c>
      <c r="R2549">
        <v>22.89</v>
      </c>
      <c r="S2549">
        <v>45.78</v>
      </c>
      <c r="T2549">
        <v>37.24</v>
      </c>
      <c r="U2549">
        <v>18.649999999999999</v>
      </c>
      <c r="V2549" t="str">
        <f>VLOOKUP(L2549,'[2]tabela de preços'!$A:$D,4,0)</f>
        <v>AUTO AMERICA</v>
      </c>
      <c r="W2549" t="str">
        <f>VLOOKUP(L2549,'[2]tabela de preços'!$A:$F,6,0)</f>
        <v>MASSA DE POLIR</v>
      </c>
      <c r="X2549" t="str">
        <f>VLOOKUP(L2549,'[2]tabela de preços'!$A:$G,7,0)</f>
        <v>AUTOMOTIVO</v>
      </c>
    </row>
    <row r="2550" spans="1:24" x14ac:dyDescent="0.3">
      <c r="A2550" t="s">
        <v>626</v>
      </c>
      <c r="B2550" t="s">
        <v>627</v>
      </c>
      <c r="C2550" t="s">
        <v>2427</v>
      </c>
      <c r="D2550" s="1">
        <v>46055</v>
      </c>
      <c r="E2550" t="s">
        <v>2428</v>
      </c>
      <c r="F2550">
        <v>9</v>
      </c>
      <c r="G2550">
        <v>174</v>
      </c>
      <c r="H2550" t="str">
        <f>VLOOKUP(G2550,[1]OPERADORES!$A:$B,2,0)</f>
        <v>MIRIÃ LOBATO RODRIGUES</v>
      </c>
      <c r="I2550" t="s">
        <v>21</v>
      </c>
      <c r="J2550" t="s">
        <v>630</v>
      </c>
      <c r="K2550" t="s">
        <v>631</v>
      </c>
      <c r="L2550">
        <v>85189</v>
      </c>
      <c r="M2550" t="s">
        <v>197</v>
      </c>
      <c r="O2550" t="s">
        <v>11</v>
      </c>
      <c r="P2550">
        <v>5102</v>
      </c>
      <c r="Q2550">
        <v>1</v>
      </c>
      <c r="R2550">
        <v>177.9</v>
      </c>
      <c r="S2550">
        <v>177.9</v>
      </c>
      <c r="T2550">
        <v>138.15</v>
      </c>
      <c r="U2550">
        <v>22.34</v>
      </c>
      <c r="V2550" t="str">
        <f>VLOOKUP(L2550,'[2]tabela de preços'!$A:$D,4,0)</f>
        <v>PDR</v>
      </c>
      <c r="W2550" t="str">
        <f>VLOOKUP(L2550,'[2]tabela de preços'!$A:$F,6,0)</f>
        <v>PISTOLAS</v>
      </c>
      <c r="X2550" t="str">
        <f>VLOOKUP(L2550,'[2]tabela de preços'!$A:$G,7,0)</f>
        <v>AUTOMOTIVO</v>
      </c>
    </row>
    <row r="2551" spans="1:24" x14ac:dyDescent="0.3">
      <c r="A2551" t="s">
        <v>626</v>
      </c>
      <c r="B2551" t="s">
        <v>627</v>
      </c>
      <c r="C2551" t="s">
        <v>2427</v>
      </c>
      <c r="D2551" s="1">
        <v>46055</v>
      </c>
      <c r="E2551" t="s">
        <v>2428</v>
      </c>
      <c r="F2551">
        <v>9</v>
      </c>
      <c r="G2551">
        <v>174</v>
      </c>
      <c r="H2551" t="str">
        <f>VLOOKUP(G2551,[1]OPERADORES!$A:$B,2,0)</f>
        <v>MIRIÃ LOBATO RODRIGUES</v>
      </c>
      <c r="I2551" t="s">
        <v>21</v>
      </c>
      <c r="J2551" t="s">
        <v>630</v>
      </c>
      <c r="K2551" t="s">
        <v>631</v>
      </c>
      <c r="L2551">
        <v>84426</v>
      </c>
      <c r="M2551" t="s">
        <v>1957</v>
      </c>
      <c r="O2551" t="s">
        <v>11</v>
      </c>
      <c r="P2551">
        <v>5102</v>
      </c>
      <c r="Q2551">
        <v>1</v>
      </c>
      <c r="R2551">
        <v>4.32</v>
      </c>
      <c r="S2551">
        <v>4.32</v>
      </c>
      <c r="T2551">
        <v>3.28</v>
      </c>
      <c r="U2551">
        <v>24.07</v>
      </c>
      <c r="V2551" t="str">
        <f>VLOOKUP(L2551,'[2]tabela de preços'!$A:$D,4,0)</f>
        <v>ATLAS</v>
      </c>
      <c r="W2551" t="str">
        <f>VLOOKUP(L2551,'[2]tabela de preços'!$A:$F,6,0)</f>
        <v>ROLOS / TRINCHAS / PINCÉIS / ESPÁTULAS</v>
      </c>
      <c r="X2551" t="str">
        <f>VLOOKUP(L2551,'[2]tabela de preços'!$A:$G,7,0)</f>
        <v>IMOBILIÁRIO</v>
      </c>
    </row>
    <row r="2552" spans="1:24" x14ac:dyDescent="0.3">
      <c r="A2552" t="s">
        <v>626</v>
      </c>
      <c r="B2552" t="s">
        <v>627</v>
      </c>
      <c r="C2552" t="s">
        <v>2427</v>
      </c>
      <c r="D2552" s="1">
        <v>46055</v>
      </c>
      <c r="E2552" t="s">
        <v>2428</v>
      </c>
      <c r="F2552">
        <v>9</v>
      </c>
      <c r="G2552">
        <v>174</v>
      </c>
      <c r="H2552" t="str">
        <f>VLOOKUP(G2552,[1]OPERADORES!$A:$B,2,0)</f>
        <v>MIRIÃ LOBATO RODRIGUES</v>
      </c>
      <c r="I2552" t="s">
        <v>21</v>
      </c>
      <c r="J2552" t="s">
        <v>630</v>
      </c>
      <c r="K2552" t="s">
        <v>631</v>
      </c>
      <c r="L2552">
        <v>84560</v>
      </c>
      <c r="M2552" t="s">
        <v>118</v>
      </c>
      <c r="O2552" t="s">
        <v>11</v>
      </c>
      <c r="P2552">
        <v>5102</v>
      </c>
      <c r="Q2552">
        <v>20</v>
      </c>
      <c r="R2552">
        <v>47.89</v>
      </c>
      <c r="S2552">
        <v>957.8</v>
      </c>
      <c r="T2552">
        <v>783.2</v>
      </c>
      <c r="U2552">
        <v>18.23</v>
      </c>
      <c r="V2552" t="str">
        <f>VLOOKUP(L2552,'[2]tabela de preços'!$A:$D,4,0)</f>
        <v>BRASILUX</v>
      </c>
      <c r="W2552" t="str">
        <f>VLOOKUP(L2552,'[2]tabela de preços'!$A:$F,6,0)</f>
        <v>THINNER DE LIMPEZA</v>
      </c>
      <c r="X2552" t="str">
        <f>VLOOKUP(L2552,'[2]tabela de preços'!$A:$G,7,0)</f>
        <v>THINNER</v>
      </c>
    </row>
    <row r="2553" spans="1:24" x14ac:dyDescent="0.3">
      <c r="A2553" t="s">
        <v>626</v>
      </c>
      <c r="B2553" t="s">
        <v>627</v>
      </c>
      <c r="C2553" t="s">
        <v>2427</v>
      </c>
      <c r="D2553" s="1">
        <v>46055</v>
      </c>
      <c r="E2553" t="s">
        <v>2428</v>
      </c>
      <c r="F2553">
        <v>9</v>
      </c>
      <c r="G2553">
        <v>174</v>
      </c>
      <c r="H2553" t="str">
        <f>VLOOKUP(G2553,[1]OPERADORES!$A:$B,2,0)</f>
        <v>MIRIÃ LOBATO RODRIGUES</v>
      </c>
      <c r="I2553" t="s">
        <v>21</v>
      </c>
      <c r="J2553" t="s">
        <v>630</v>
      </c>
      <c r="K2553" t="s">
        <v>631</v>
      </c>
      <c r="L2553">
        <v>20414</v>
      </c>
      <c r="M2553" t="s">
        <v>112</v>
      </c>
      <c r="O2553" t="s">
        <v>11</v>
      </c>
      <c r="P2553">
        <v>5102</v>
      </c>
      <c r="Q2553">
        <v>20</v>
      </c>
      <c r="R2553">
        <v>21.89</v>
      </c>
      <c r="S2553">
        <v>437.8</v>
      </c>
      <c r="T2553">
        <v>360</v>
      </c>
      <c r="U2553">
        <v>17.77</v>
      </c>
      <c r="V2553" t="str">
        <f>VLOOKUP(L2553,'[2]tabela de preços'!$A:$D,4,0)</f>
        <v>SHERWIN WILLIAMS</v>
      </c>
      <c r="W2553" t="str">
        <f>VLOOKUP(L2553,'[2]tabela de preços'!$A:$F,6,0)</f>
        <v>DILUENTE</v>
      </c>
      <c r="X2553" t="str">
        <f>VLOOKUP(L2553,'[2]tabela de preços'!$A:$G,7,0)</f>
        <v>AUTOMOTIVO</v>
      </c>
    </row>
    <row r="2554" spans="1:24" x14ac:dyDescent="0.3">
      <c r="A2554" t="s">
        <v>626</v>
      </c>
      <c r="B2554" t="s">
        <v>627</v>
      </c>
      <c r="C2554" t="s">
        <v>2427</v>
      </c>
      <c r="D2554" s="1">
        <v>46055</v>
      </c>
      <c r="E2554" t="s">
        <v>2428</v>
      </c>
      <c r="F2554">
        <v>9</v>
      </c>
      <c r="G2554">
        <v>174</v>
      </c>
      <c r="H2554" t="str">
        <f>VLOOKUP(G2554,[1]OPERADORES!$A:$B,2,0)</f>
        <v>MIRIÃ LOBATO RODRIGUES</v>
      </c>
      <c r="I2554" t="s">
        <v>21</v>
      </c>
      <c r="J2554" t="s">
        <v>630</v>
      </c>
      <c r="K2554" t="s">
        <v>631</v>
      </c>
      <c r="L2554">
        <v>23287</v>
      </c>
      <c r="M2554" t="s">
        <v>273</v>
      </c>
      <c r="O2554" t="s">
        <v>11</v>
      </c>
      <c r="P2554">
        <v>5102</v>
      </c>
      <c r="Q2554">
        <v>2</v>
      </c>
      <c r="R2554">
        <v>39.979999999999997</v>
      </c>
      <c r="S2554">
        <v>79.959999999999994</v>
      </c>
      <c r="T2554">
        <v>60.7</v>
      </c>
      <c r="U2554">
        <v>24.09</v>
      </c>
      <c r="V2554" t="str">
        <f>VLOOKUP(L2554,'[2]tabela de preços'!$A:$D,4,0)</f>
        <v>AUTO AMERICA</v>
      </c>
      <c r="W2554" t="str">
        <f>VLOOKUP(L2554,'[2]tabela de preços'!$A:$F,6,0)</f>
        <v>CERA  / LIMPEZA /  POLIMENTO VEICULAR</v>
      </c>
      <c r="X2554" t="str">
        <f>VLOOKUP(L2554,'[2]tabela de preços'!$A:$G,7,0)</f>
        <v>AUTOMOTIVO</v>
      </c>
    </row>
    <row r="2555" spans="1:24" x14ac:dyDescent="0.3">
      <c r="A2555" t="s">
        <v>626</v>
      </c>
      <c r="B2555" t="s">
        <v>627</v>
      </c>
      <c r="C2555" t="s">
        <v>2482</v>
      </c>
      <c r="D2555" s="1">
        <v>46056</v>
      </c>
      <c r="E2555" t="s">
        <v>2483</v>
      </c>
      <c r="F2555">
        <v>9</v>
      </c>
      <c r="G2555">
        <v>174</v>
      </c>
      <c r="H2555" t="str">
        <f>VLOOKUP(G2555,[1]OPERADORES!$A:$B,2,0)</f>
        <v>MIRIÃ LOBATO RODRIGUES</v>
      </c>
      <c r="I2555" t="s">
        <v>21</v>
      </c>
      <c r="J2555" t="s">
        <v>630</v>
      </c>
      <c r="K2555" t="s">
        <v>631</v>
      </c>
      <c r="L2555">
        <v>85693</v>
      </c>
      <c r="M2555" t="s">
        <v>526</v>
      </c>
      <c r="O2555" t="s">
        <v>11</v>
      </c>
      <c r="P2555">
        <v>5102</v>
      </c>
      <c r="Q2555">
        <v>12</v>
      </c>
      <c r="R2555">
        <v>7.89</v>
      </c>
      <c r="S2555">
        <v>94.68</v>
      </c>
      <c r="T2555">
        <v>78.12</v>
      </c>
      <c r="U2555">
        <v>17.489999999999998</v>
      </c>
      <c r="V2555" t="str">
        <f>VLOOKUP(L2555,'[2]tabela de preços'!$A:$D,4,0)</f>
        <v>UNIPEGA</v>
      </c>
      <c r="W2555" t="str">
        <f>VLOOKUP(L2555,'[2]tabela de preços'!$A:$F,6,0)</f>
        <v>PU 40</v>
      </c>
      <c r="X2555" t="str">
        <f>VLOOKUP(L2555,'[2]tabela de preços'!$A:$G,7,0)</f>
        <v>IMOBILIÁRIO</v>
      </c>
    </row>
    <row r="2556" spans="1:24" x14ac:dyDescent="0.3">
      <c r="A2556" t="s">
        <v>626</v>
      </c>
      <c r="B2556" t="s">
        <v>627</v>
      </c>
      <c r="C2556" t="s">
        <v>2482</v>
      </c>
      <c r="D2556" s="1">
        <v>46056</v>
      </c>
      <c r="E2556" t="s">
        <v>2483</v>
      </c>
      <c r="F2556">
        <v>9</v>
      </c>
      <c r="G2556">
        <v>174</v>
      </c>
      <c r="H2556" t="str">
        <f>VLOOKUP(G2556,[1]OPERADORES!$A:$B,2,0)</f>
        <v>MIRIÃ LOBATO RODRIGUES</v>
      </c>
      <c r="I2556" t="s">
        <v>21</v>
      </c>
      <c r="J2556" t="s">
        <v>630</v>
      </c>
      <c r="K2556" t="s">
        <v>631</v>
      </c>
      <c r="L2556">
        <v>85691</v>
      </c>
      <c r="M2556" t="s">
        <v>1231</v>
      </c>
      <c r="O2556" t="s">
        <v>11</v>
      </c>
      <c r="P2556">
        <v>5102</v>
      </c>
      <c r="Q2556">
        <v>12</v>
      </c>
      <c r="R2556">
        <v>14.81</v>
      </c>
      <c r="S2556">
        <v>177.72</v>
      </c>
      <c r="T2556">
        <v>134.88</v>
      </c>
      <c r="U2556">
        <v>24.11</v>
      </c>
      <c r="V2556" t="str">
        <f>VLOOKUP(L2556,'[2]tabela de preços'!$A:$D,4,0)</f>
        <v>UNIPEGA</v>
      </c>
      <c r="W2556" t="str">
        <f>VLOOKUP(L2556,'[2]tabela de preços'!$A:$F,6,0)</f>
        <v>COLA INST./ ADESIVOS COLANTES</v>
      </c>
      <c r="X2556" t="str">
        <f>VLOOKUP(L2556,'[2]tabela de preços'!$A:$G,7,0)</f>
        <v>AUTOMOTIVO</v>
      </c>
    </row>
    <row r="2557" spans="1:24" x14ac:dyDescent="0.3">
      <c r="A2557" t="s">
        <v>626</v>
      </c>
      <c r="B2557" t="s">
        <v>627</v>
      </c>
      <c r="C2557" t="s">
        <v>2482</v>
      </c>
      <c r="D2557" s="1">
        <v>46056</v>
      </c>
      <c r="E2557" t="s">
        <v>2483</v>
      </c>
      <c r="F2557">
        <v>9</v>
      </c>
      <c r="G2557">
        <v>174</v>
      </c>
      <c r="H2557" t="str">
        <f>VLOOKUP(G2557,[1]OPERADORES!$A:$B,2,0)</f>
        <v>MIRIÃ LOBATO RODRIGUES</v>
      </c>
      <c r="I2557" t="s">
        <v>21</v>
      </c>
      <c r="J2557" t="s">
        <v>630</v>
      </c>
      <c r="K2557" t="s">
        <v>631</v>
      </c>
      <c r="L2557">
        <v>23110</v>
      </c>
      <c r="M2557" t="s">
        <v>409</v>
      </c>
      <c r="O2557" t="s">
        <v>11</v>
      </c>
      <c r="P2557">
        <v>5102</v>
      </c>
      <c r="Q2557">
        <v>250</v>
      </c>
      <c r="R2557">
        <v>2.35</v>
      </c>
      <c r="S2557">
        <v>587.5</v>
      </c>
      <c r="T2557">
        <v>462.5</v>
      </c>
      <c r="U2557">
        <v>21.28</v>
      </c>
      <c r="V2557" t="str">
        <f>VLOOKUP(L2557,'[2]tabela de preços'!$A:$D,4,0)</f>
        <v>3M</v>
      </c>
      <c r="W2557" t="str">
        <f>VLOOKUP(L2557,'[2]tabela de preços'!$A:$F,6,0)</f>
        <v xml:space="preserve">DISCOS / LIXAS / ABRASIVOS </v>
      </c>
      <c r="X2557" t="str">
        <f>VLOOKUP(L2557,'[2]tabela de preços'!$A:$G,7,0)</f>
        <v>AUTOMOTIVO</v>
      </c>
    </row>
    <row r="2558" spans="1:24" x14ac:dyDescent="0.3">
      <c r="A2558" t="s">
        <v>626</v>
      </c>
      <c r="B2558" t="s">
        <v>627</v>
      </c>
      <c r="C2558" t="s">
        <v>2482</v>
      </c>
      <c r="D2558" s="1">
        <v>46056</v>
      </c>
      <c r="E2558" t="s">
        <v>2483</v>
      </c>
      <c r="F2558">
        <v>9</v>
      </c>
      <c r="G2558">
        <v>174</v>
      </c>
      <c r="H2558" t="str">
        <f>VLOOKUP(G2558,[1]OPERADORES!$A:$B,2,0)</f>
        <v>MIRIÃ LOBATO RODRIGUES</v>
      </c>
      <c r="I2558" t="s">
        <v>21</v>
      </c>
      <c r="J2558" t="s">
        <v>630</v>
      </c>
      <c r="K2558" t="s">
        <v>631</v>
      </c>
      <c r="L2558">
        <v>23105</v>
      </c>
      <c r="M2558" t="s">
        <v>402</v>
      </c>
      <c r="O2558" t="s">
        <v>11</v>
      </c>
      <c r="P2558">
        <v>5102</v>
      </c>
      <c r="Q2558">
        <v>200</v>
      </c>
      <c r="R2558">
        <v>2.35</v>
      </c>
      <c r="S2558">
        <v>470</v>
      </c>
      <c r="T2558">
        <v>384</v>
      </c>
      <c r="U2558">
        <v>18.3</v>
      </c>
      <c r="V2558" t="str">
        <f>VLOOKUP(L2558,'[2]tabela de preços'!$A:$D,4,0)</f>
        <v>3M</v>
      </c>
      <c r="W2558" t="str">
        <f>VLOOKUP(L2558,'[2]tabela de preços'!$A:$F,6,0)</f>
        <v xml:space="preserve">DISCOS / LIXAS / ABRASIVOS </v>
      </c>
      <c r="X2558" t="str">
        <f>VLOOKUP(L2558,'[2]tabela de preços'!$A:$G,7,0)</f>
        <v>AUTOMOTIVO</v>
      </c>
    </row>
    <row r="2559" spans="1:24" x14ac:dyDescent="0.3">
      <c r="A2559" t="s">
        <v>626</v>
      </c>
      <c r="B2559" t="s">
        <v>627</v>
      </c>
      <c r="C2559" t="s">
        <v>2482</v>
      </c>
      <c r="D2559" s="1">
        <v>46056</v>
      </c>
      <c r="E2559" t="s">
        <v>2483</v>
      </c>
      <c r="F2559">
        <v>9</v>
      </c>
      <c r="G2559">
        <v>174</v>
      </c>
      <c r="H2559" t="str">
        <f>VLOOKUP(G2559,[1]OPERADORES!$A:$B,2,0)</f>
        <v>MIRIÃ LOBATO RODRIGUES</v>
      </c>
      <c r="I2559" t="s">
        <v>21</v>
      </c>
      <c r="J2559" t="s">
        <v>630</v>
      </c>
      <c r="K2559" t="s">
        <v>631</v>
      </c>
      <c r="L2559">
        <v>23106</v>
      </c>
      <c r="M2559" t="s">
        <v>403</v>
      </c>
      <c r="O2559" t="s">
        <v>11</v>
      </c>
      <c r="P2559">
        <v>5102</v>
      </c>
      <c r="Q2559">
        <v>200</v>
      </c>
      <c r="R2559">
        <v>2.35</v>
      </c>
      <c r="S2559">
        <v>470</v>
      </c>
      <c r="T2559">
        <v>384</v>
      </c>
      <c r="U2559">
        <v>18.3</v>
      </c>
      <c r="V2559" t="str">
        <f>VLOOKUP(L2559,'[2]tabela de preços'!$A:$D,4,0)</f>
        <v>3M</v>
      </c>
      <c r="W2559" t="str">
        <f>VLOOKUP(L2559,'[2]tabela de preços'!$A:$F,6,0)</f>
        <v xml:space="preserve">DISCOS / LIXAS / ABRASIVOS </v>
      </c>
      <c r="X2559" t="str">
        <f>VLOOKUP(L2559,'[2]tabela de preços'!$A:$G,7,0)</f>
        <v>AUTOMOTIVO</v>
      </c>
    </row>
    <row r="2560" spans="1:24" x14ac:dyDescent="0.3">
      <c r="A2560" t="s">
        <v>626</v>
      </c>
      <c r="B2560" t="s">
        <v>627</v>
      </c>
      <c r="C2560" t="s">
        <v>2482</v>
      </c>
      <c r="D2560" s="1">
        <v>46056</v>
      </c>
      <c r="E2560" t="s">
        <v>2483</v>
      </c>
      <c r="F2560">
        <v>9</v>
      </c>
      <c r="G2560">
        <v>174</v>
      </c>
      <c r="H2560" t="str">
        <f>VLOOKUP(G2560,[1]OPERADORES!$A:$B,2,0)</f>
        <v>MIRIÃ LOBATO RODRIGUES</v>
      </c>
      <c r="I2560" t="s">
        <v>21</v>
      </c>
      <c r="J2560" t="s">
        <v>630</v>
      </c>
      <c r="K2560" t="s">
        <v>631</v>
      </c>
      <c r="L2560">
        <v>23107</v>
      </c>
      <c r="M2560" t="s">
        <v>247</v>
      </c>
      <c r="O2560" t="s">
        <v>11</v>
      </c>
      <c r="P2560">
        <v>5102</v>
      </c>
      <c r="Q2560">
        <v>250</v>
      </c>
      <c r="R2560">
        <v>2.35</v>
      </c>
      <c r="S2560">
        <v>587.5</v>
      </c>
      <c r="T2560">
        <v>462.5</v>
      </c>
      <c r="U2560">
        <v>21.28</v>
      </c>
      <c r="V2560" t="str">
        <f>VLOOKUP(L2560,'[2]tabela de preços'!$A:$D,4,0)</f>
        <v>3M</v>
      </c>
      <c r="W2560" t="str">
        <f>VLOOKUP(L2560,'[2]tabela de preços'!$A:$F,6,0)</f>
        <v xml:space="preserve">DISCOS / LIXAS / ABRASIVOS </v>
      </c>
      <c r="X2560" t="str">
        <f>VLOOKUP(L2560,'[2]tabela de preços'!$A:$G,7,0)</f>
        <v>AUTOMOTIVO</v>
      </c>
    </row>
    <row r="2561" spans="1:24" x14ac:dyDescent="0.3">
      <c r="A2561" t="s">
        <v>626</v>
      </c>
      <c r="B2561" t="s">
        <v>627</v>
      </c>
      <c r="C2561" t="s">
        <v>2482</v>
      </c>
      <c r="D2561" s="1">
        <v>46056</v>
      </c>
      <c r="E2561" t="s">
        <v>2483</v>
      </c>
      <c r="F2561">
        <v>9</v>
      </c>
      <c r="G2561">
        <v>174</v>
      </c>
      <c r="H2561" t="str">
        <f>VLOOKUP(G2561,[1]OPERADORES!$A:$B,2,0)</f>
        <v>MIRIÃ LOBATO RODRIGUES</v>
      </c>
      <c r="I2561" t="s">
        <v>21</v>
      </c>
      <c r="J2561" t="s">
        <v>630</v>
      </c>
      <c r="K2561" t="s">
        <v>631</v>
      </c>
      <c r="L2561">
        <v>23108</v>
      </c>
      <c r="M2561" t="s">
        <v>248</v>
      </c>
      <c r="O2561" t="s">
        <v>11</v>
      </c>
      <c r="P2561">
        <v>5102</v>
      </c>
      <c r="Q2561">
        <v>100</v>
      </c>
      <c r="R2561">
        <v>2.35</v>
      </c>
      <c r="S2561">
        <v>235</v>
      </c>
      <c r="T2561">
        <v>185</v>
      </c>
      <c r="U2561">
        <v>21.28</v>
      </c>
      <c r="V2561" t="str">
        <f>VLOOKUP(L2561,'[2]tabela de preços'!$A:$D,4,0)</f>
        <v>3M</v>
      </c>
      <c r="W2561" t="str">
        <f>VLOOKUP(L2561,'[2]tabela de preços'!$A:$F,6,0)</f>
        <v xml:space="preserve">DISCOS / LIXAS / ABRASIVOS </v>
      </c>
      <c r="X2561" t="str">
        <f>VLOOKUP(L2561,'[2]tabela de preços'!$A:$G,7,0)</f>
        <v>AUTOMOTIVO</v>
      </c>
    </row>
    <row r="2562" spans="1:24" x14ac:dyDescent="0.3">
      <c r="A2562" t="s">
        <v>626</v>
      </c>
      <c r="B2562" t="s">
        <v>627</v>
      </c>
      <c r="C2562" t="s">
        <v>2482</v>
      </c>
      <c r="D2562" s="1">
        <v>46056</v>
      </c>
      <c r="E2562" t="s">
        <v>2483</v>
      </c>
      <c r="F2562">
        <v>9</v>
      </c>
      <c r="G2562">
        <v>174</v>
      </c>
      <c r="H2562" t="str">
        <f>VLOOKUP(G2562,[1]OPERADORES!$A:$B,2,0)</f>
        <v>MIRIÃ LOBATO RODRIGUES</v>
      </c>
      <c r="I2562" t="s">
        <v>21</v>
      </c>
      <c r="J2562" t="s">
        <v>630</v>
      </c>
      <c r="K2562" t="s">
        <v>631</v>
      </c>
      <c r="L2562">
        <v>24248</v>
      </c>
      <c r="M2562" t="s">
        <v>107</v>
      </c>
      <c r="O2562" t="s">
        <v>11</v>
      </c>
      <c r="P2562">
        <v>5102</v>
      </c>
      <c r="Q2562">
        <v>12</v>
      </c>
      <c r="R2562">
        <v>8</v>
      </c>
      <c r="S2562">
        <v>96</v>
      </c>
      <c r="T2562">
        <v>78</v>
      </c>
      <c r="U2562">
        <v>18.75</v>
      </c>
      <c r="V2562" t="str">
        <f>VLOOKUP(L2562,'[2]tabela de preços'!$A:$D,4,0)</f>
        <v>SHERWIN WILLIAMS</v>
      </c>
      <c r="W2562" t="str">
        <f>VLOOKUP(L2562,'[2]tabela de preços'!$A:$F,6,0)</f>
        <v>PRIMER AUTOMOTIVO</v>
      </c>
      <c r="X2562" t="str">
        <f>VLOOKUP(L2562,'[2]tabela de preços'!$A:$G,7,0)</f>
        <v>AUTOMOTIVO</v>
      </c>
    </row>
    <row r="2563" spans="1:24" x14ac:dyDescent="0.3">
      <c r="A2563" t="s">
        <v>626</v>
      </c>
      <c r="B2563" t="s">
        <v>627</v>
      </c>
      <c r="C2563" t="s">
        <v>2482</v>
      </c>
      <c r="D2563" s="1">
        <v>46056</v>
      </c>
      <c r="E2563" t="s">
        <v>2483</v>
      </c>
      <c r="F2563">
        <v>9</v>
      </c>
      <c r="G2563">
        <v>174</v>
      </c>
      <c r="H2563" t="str">
        <f>VLOOKUP(G2563,[1]OPERADORES!$A:$B,2,0)</f>
        <v>MIRIÃ LOBATO RODRIGUES</v>
      </c>
      <c r="I2563" t="s">
        <v>21</v>
      </c>
      <c r="J2563" t="s">
        <v>630</v>
      </c>
      <c r="K2563" t="s">
        <v>631</v>
      </c>
      <c r="L2563">
        <v>85670</v>
      </c>
      <c r="M2563" t="s">
        <v>981</v>
      </c>
      <c r="O2563" t="s">
        <v>11</v>
      </c>
      <c r="P2563">
        <v>5102</v>
      </c>
      <c r="Q2563">
        <v>4</v>
      </c>
      <c r="R2563">
        <v>12.2</v>
      </c>
      <c r="S2563">
        <v>48.8</v>
      </c>
      <c r="T2563">
        <v>37.04</v>
      </c>
      <c r="U2563">
        <v>24.1</v>
      </c>
      <c r="V2563" t="str">
        <f>VLOOKUP(L2563,'[2]tabela de preços'!$A:$D,4,0)</f>
        <v>UNIPEGA</v>
      </c>
      <c r="W2563" t="str">
        <f>VLOOKUP(L2563,'[2]tabela de preços'!$A:$F,6,0)</f>
        <v>ESPUMA EXPANSIVA</v>
      </c>
      <c r="X2563" t="str">
        <f>VLOOKUP(L2563,'[2]tabela de preços'!$A:$G,7,0)</f>
        <v>IMOBILIÁRIO</v>
      </c>
    </row>
    <row r="2564" spans="1:24" x14ac:dyDescent="0.3">
      <c r="A2564" t="s">
        <v>626</v>
      </c>
      <c r="B2564" t="s">
        <v>627</v>
      </c>
      <c r="C2564" t="s">
        <v>2482</v>
      </c>
      <c r="D2564" s="1">
        <v>46056</v>
      </c>
      <c r="E2564" t="s">
        <v>2483</v>
      </c>
      <c r="F2564">
        <v>9</v>
      </c>
      <c r="G2564">
        <v>174</v>
      </c>
      <c r="H2564" t="str">
        <f>VLOOKUP(G2564,[1]OPERADORES!$A:$B,2,0)</f>
        <v>MIRIÃ LOBATO RODRIGUES</v>
      </c>
      <c r="I2564" t="s">
        <v>21</v>
      </c>
      <c r="J2564" t="s">
        <v>630</v>
      </c>
      <c r="K2564" t="s">
        <v>631</v>
      </c>
      <c r="L2564">
        <v>60</v>
      </c>
      <c r="M2564" t="s">
        <v>2484</v>
      </c>
      <c r="O2564" t="s">
        <v>11</v>
      </c>
      <c r="P2564">
        <v>5102</v>
      </c>
      <c r="Q2564">
        <v>100</v>
      </c>
      <c r="R2564">
        <v>1.53</v>
      </c>
      <c r="S2564">
        <v>153</v>
      </c>
      <c r="T2564">
        <v>99</v>
      </c>
      <c r="U2564">
        <v>35.29</v>
      </c>
      <c r="V2564" t="str">
        <f>VLOOKUP(L2564,'[2]tabela de preços'!$A:$D,4,0)</f>
        <v>3M</v>
      </c>
      <c r="W2564" t="str">
        <f>VLOOKUP(L2564,'[2]tabela de preços'!$A:$F,6,0)</f>
        <v>LIXA DÁGUA</v>
      </c>
      <c r="X2564" t="str">
        <f>VLOOKUP(L2564,'[2]tabela de preços'!$A:$G,7,0)</f>
        <v>AUTOMOTIVO</v>
      </c>
    </row>
    <row r="2565" spans="1:24" x14ac:dyDescent="0.3">
      <c r="A2565" t="s">
        <v>626</v>
      </c>
      <c r="B2565" t="s">
        <v>627</v>
      </c>
      <c r="C2565" t="s">
        <v>2482</v>
      </c>
      <c r="D2565" s="1">
        <v>46056</v>
      </c>
      <c r="E2565" t="s">
        <v>2483</v>
      </c>
      <c r="F2565">
        <v>9</v>
      </c>
      <c r="G2565">
        <v>174</v>
      </c>
      <c r="H2565" t="str">
        <f>VLOOKUP(G2565,[1]OPERADORES!$A:$B,2,0)</f>
        <v>MIRIÃ LOBATO RODRIGUES</v>
      </c>
      <c r="I2565" t="s">
        <v>21</v>
      </c>
      <c r="J2565" t="s">
        <v>630</v>
      </c>
      <c r="K2565" t="s">
        <v>631</v>
      </c>
      <c r="L2565">
        <v>61</v>
      </c>
      <c r="M2565" t="s">
        <v>2485</v>
      </c>
      <c r="O2565" t="s">
        <v>11</v>
      </c>
      <c r="P2565">
        <v>5102</v>
      </c>
      <c r="Q2565">
        <v>100</v>
      </c>
      <c r="R2565">
        <v>1.53</v>
      </c>
      <c r="S2565">
        <v>153</v>
      </c>
      <c r="T2565">
        <v>99</v>
      </c>
      <c r="U2565">
        <v>35.29</v>
      </c>
      <c r="V2565" t="str">
        <f>VLOOKUP(L2565,'[2]tabela de preços'!$A:$D,4,0)</f>
        <v>3M</v>
      </c>
      <c r="W2565" t="str">
        <f>VLOOKUP(L2565,'[2]tabela de preços'!$A:$F,6,0)</f>
        <v>LIXA DÁGUA</v>
      </c>
      <c r="X2565" t="str">
        <f>VLOOKUP(L2565,'[2]tabela de preços'!$A:$G,7,0)</f>
        <v>AUTOMOTIVO</v>
      </c>
    </row>
    <row r="2566" spans="1:24" x14ac:dyDescent="0.3">
      <c r="A2566" t="s">
        <v>626</v>
      </c>
      <c r="B2566" t="s">
        <v>627</v>
      </c>
      <c r="C2566" t="s">
        <v>2482</v>
      </c>
      <c r="D2566" s="1">
        <v>46056</v>
      </c>
      <c r="E2566" t="s">
        <v>2483</v>
      </c>
      <c r="F2566">
        <v>9</v>
      </c>
      <c r="G2566">
        <v>174</v>
      </c>
      <c r="H2566" t="str">
        <f>VLOOKUP(G2566,[1]OPERADORES!$A:$B,2,0)</f>
        <v>MIRIÃ LOBATO RODRIGUES</v>
      </c>
      <c r="I2566" t="s">
        <v>21</v>
      </c>
      <c r="J2566" t="s">
        <v>630</v>
      </c>
      <c r="K2566" t="s">
        <v>631</v>
      </c>
      <c r="L2566">
        <v>13</v>
      </c>
      <c r="M2566" t="s">
        <v>152</v>
      </c>
      <c r="O2566" t="s">
        <v>11</v>
      </c>
      <c r="P2566">
        <v>5102</v>
      </c>
      <c r="Q2566">
        <v>100</v>
      </c>
      <c r="R2566">
        <v>5.79</v>
      </c>
      <c r="S2566">
        <v>579</v>
      </c>
      <c r="T2566">
        <v>416</v>
      </c>
      <c r="U2566">
        <v>28.15</v>
      </c>
      <c r="V2566" t="str">
        <f>VLOOKUP(L2566,'[2]tabela de preços'!$A:$D,4,0)</f>
        <v>3M</v>
      </c>
      <c r="W2566" t="str">
        <f>VLOOKUP(L2566,'[2]tabela de preços'!$A:$F,6,0)</f>
        <v>LIXA DÁGUA</v>
      </c>
      <c r="X2566" t="str">
        <f>VLOOKUP(L2566,'[2]tabela de preços'!$A:$G,7,0)</f>
        <v>AUTOMOTIVO</v>
      </c>
    </row>
    <row r="2567" spans="1:24" x14ac:dyDescent="0.3">
      <c r="A2567" t="s">
        <v>626</v>
      </c>
      <c r="B2567" t="s">
        <v>627</v>
      </c>
      <c r="C2567" t="s">
        <v>2482</v>
      </c>
      <c r="D2567" s="1">
        <v>46056</v>
      </c>
      <c r="E2567" t="s">
        <v>2483</v>
      </c>
      <c r="F2567">
        <v>9</v>
      </c>
      <c r="G2567">
        <v>174</v>
      </c>
      <c r="H2567" t="str">
        <f>VLOOKUP(G2567,[1]OPERADORES!$A:$B,2,0)</f>
        <v>MIRIÃ LOBATO RODRIGUES</v>
      </c>
      <c r="I2567" t="s">
        <v>21</v>
      </c>
      <c r="J2567" t="s">
        <v>630</v>
      </c>
      <c r="K2567" t="s">
        <v>631</v>
      </c>
      <c r="L2567">
        <v>15</v>
      </c>
      <c r="M2567" t="s">
        <v>205</v>
      </c>
      <c r="O2567" t="s">
        <v>11</v>
      </c>
      <c r="P2567">
        <v>5102</v>
      </c>
      <c r="Q2567">
        <v>150</v>
      </c>
      <c r="R2567">
        <v>5.79</v>
      </c>
      <c r="S2567">
        <v>868.5</v>
      </c>
      <c r="T2567">
        <v>624</v>
      </c>
      <c r="U2567">
        <v>28.15</v>
      </c>
      <c r="V2567" t="str">
        <f>VLOOKUP(L2567,'[2]tabela de preços'!$A:$D,4,0)</f>
        <v>3M</v>
      </c>
      <c r="W2567" t="str">
        <f>VLOOKUP(L2567,'[2]tabela de preços'!$A:$F,6,0)</f>
        <v>LIXA DÁGUA</v>
      </c>
      <c r="X2567" t="str">
        <f>VLOOKUP(L2567,'[2]tabela de preços'!$A:$G,7,0)</f>
        <v>AUTOMOTIVO</v>
      </c>
    </row>
    <row r="2568" spans="1:24" x14ac:dyDescent="0.3">
      <c r="A2568" t="s">
        <v>626</v>
      </c>
      <c r="B2568" t="s">
        <v>627</v>
      </c>
      <c r="C2568" t="s">
        <v>2482</v>
      </c>
      <c r="D2568" s="1">
        <v>46056</v>
      </c>
      <c r="E2568" t="s">
        <v>2483</v>
      </c>
      <c r="F2568">
        <v>9</v>
      </c>
      <c r="G2568">
        <v>174</v>
      </c>
      <c r="H2568" t="str">
        <f>VLOOKUP(G2568,[1]OPERADORES!$A:$B,2,0)</f>
        <v>MIRIÃ LOBATO RODRIGUES</v>
      </c>
      <c r="I2568" t="s">
        <v>21</v>
      </c>
      <c r="J2568" t="s">
        <v>630</v>
      </c>
      <c r="K2568" t="s">
        <v>631</v>
      </c>
      <c r="L2568">
        <v>54</v>
      </c>
      <c r="M2568" t="s">
        <v>2486</v>
      </c>
      <c r="O2568" t="s">
        <v>11</v>
      </c>
      <c r="P2568">
        <v>5102</v>
      </c>
      <c r="Q2568">
        <v>100</v>
      </c>
      <c r="R2568">
        <v>1.53</v>
      </c>
      <c r="S2568">
        <v>153</v>
      </c>
      <c r="T2568">
        <v>99</v>
      </c>
      <c r="U2568">
        <v>35.29</v>
      </c>
      <c r="V2568" t="str">
        <f>VLOOKUP(L2568,'[2]tabela de preços'!$A:$D,4,0)</f>
        <v>3M</v>
      </c>
      <c r="W2568" t="str">
        <f>VLOOKUP(L2568,'[2]tabela de preços'!$A:$F,6,0)</f>
        <v>LIXA DÁGUA</v>
      </c>
      <c r="X2568" t="str">
        <f>VLOOKUP(L2568,'[2]tabela de preços'!$A:$G,7,0)</f>
        <v>AUTOMOTIVO</v>
      </c>
    </row>
    <row r="2569" spans="1:24" x14ac:dyDescent="0.3">
      <c r="A2569" t="s">
        <v>626</v>
      </c>
      <c r="B2569" t="s">
        <v>627</v>
      </c>
      <c r="C2569" t="s">
        <v>2482</v>
      </c>
      <c r="D2569" s="1">
        <v>46056</v>
      </c>
      <c r="E2569" t="s">
        <v>2483</v>
      </c>
      <c r="F2569">
        <v>9</v>
      </c>
      <c r="G2569">
        <v>174</v>
      </c>
      <c r="H2569" t="str">
        <f>VLOOKUP(G2569,[1]OPERADORES!$A:$B,2,0)</f>
        <v>MIRIÃ LOBATO RODRIGUES</v>
      </c>
      <c r="I2569" t="s">
        <v>21</v>
      </c>
      <c r="J2569" t="s">
        <v>630</v>
      </c>
      <c r="K2569" t="s">
        <v>631</v>
      </c>
      <c r="L2569">
        <v>55</v>
      </c>
      <c r="M2569" t="s">
        <v>1640</v>
      </c>
      <c r="O2569" t="s">
        <v>11</v>
      </c>
      <c r="P2569">
        <v>5102</v>
      </c>
      <c r="Q2569">
        <v>100</v>
      </c>
      <c r="R2569">
        <v>1.1299999999999999</v>
      </c>
      <c r="S2569">
        <v>113</v>
      </c>
      <c r="T2569">
        <v>73</v>
      </c>
      <c r="U2569">
        <v>35.4</v>
      </c>
      <c r="V2569" t="str">
        <f>VLOOKUP(L2569,'[2]tabela de preços'!$A:$D,4,0)</f>
        <v>3M</v>
      </c>
      <c r="W2569" t="str">
        <f>VLOOKUP(L2569,'[2]tabela de preços'!$A:$F,6,0)</f>
        <v>LIXA DÁGUA</v>
      </c>
      <c r="X2569" t="str">
        <f>VLOOKUP(L2569,'[2]tabela de preços'!$A:$G,7,0)</f>
        <v>AUTOMOTIVO</v>
      </c>
    </row>
    <row r="2570" spans="1:24" x14ac:dyDescent="0.3">
      <c r="A2570" t="s">
        <v>626</v>
      </c>
      <c r="B2570" t="s">
        <v>627</v>
      </c>
      <c r="C2570" t="s">
        <v>2482</v>
      </c>
      <c r="D2570" s="1">
        <v>46056</v>
      </c>
      <c r="E2570" t="s">
        <v>2483</v>
      </c>
      <c r="F2570">
        <v>9</v>
      </c>
      <c r="G2570">
        <v>174</v>
      </c>
      <c r="H2570" t="str">
        <f>VLOOKUP(G2570,[1]OPERADORES!$A:$B,2,0)</f>
        <v>MIRIÃ LOBATO RODRIGUES</v>
      </c>
      <c r="I2570" t="s">
        <v>21</v>
      </c>
      <c r="J2570" t="s">
        <v>630</v>
      </c>
      <c r="K2570" t="s">
        <v>631</v>
      </c>
      <c r="L2570">
        <v>57</v>
      </c>
      <c r="M2570" t="s">
        <v>1089</v>
      </c>
      <c r="O2570" t="s">
        <v>11</v>
      </c>
      <c r="P2570">
        <v>5102</v>
      </c>
      <c r="Q2570">
        <v>100</v>
      </c>
      <c r="R2570">
        <v>1.1299999999999999</v>
      </c>
      <c r="S2570">
        <v>113</v>
      </c>
      <c r="T2570">
        <v>73</v>
      </c>
      <c r="U2570">
        <v>35.4</v>
      </c>
      <c r="V2570" t="str">
        <f>VLOOKUP(L2570,'[2]tabela de preços'!$A:$D,4,0)</f>
        <v>3M</v>
      </c>
      <c r="W2570" t="str">
        <f>VLOOKUP(L2570,'[2]tabela de preços'!$A:$F,6,0)</f>
        <v>LIXA DÁGUA</v>
      </c>
      <c r="X2570" t="str">
        <f>VLOOKUP(L2570,'[2]tabela de preços'!$A:$G,7,0)</f>
        <v>AUTOMOTIVO</v>
      </c>
    </row>
    <row r="2571" spans="1:24" x14ac:dyDescent="0.3">
      <c r="A2571" t="s">
        <v>626</v>
      </c>
      <c r="B2571" t="s">
        <v>627</v>
      </c>
      <c r="C2571" t="s">
        <v>2482</v>
      </c>
      <c r="D2571" s="1">
        <v>46056</v>
      </c>
      <c r="E2571" t="s">
        <v>2483</v>
      </c>
      <c r="F2571">
        <v>9</v>
      </c>
      <c r="G2571">
        <v>174</v>
      </c>
      <c r="H2571" t="str">
        <f>VLOOKUP(G2571,[1]OPERADORES!$A:$B,2,0)</f>
        <v>MIRIÃ LOBATO RODRIGUES</v>
      </c>
      <c r="I2571" t="s">
        <v>21</v>
      </c>
      <c r="J2571" t="s">
        <v>630</v>
      </c>
      <c r="K2571" t="s">
        <v>631</v>
      </c>
      <c r="L2571">
        <v>21077</v>
      </c>
      <c r="M2571" t="s">
        <v>207</v>
      </c>
      <c r="O2571" t="s">
        <v>11</v>
      </c>
      <c r="P2571">
        <v>5102</v>
      </c>
      <c r="Q2571">
        <v>2</v>
      </c>
      <c r="R2571">
        <v>44.68</v>
      </c>
      <c r="S2571">
        <v>89.36</v>
      </c>
      <c r="T2571">
        <v>67.84</v>
      </c>
      <c r="U2571">
        <v>24.08</v>
      </c>
      <c r="V2571" t="str">
        <f>VLOOKUP(L2571,'[2]tabela de preços'!$A:$D,4,0)</f>
        <v>SHERWIN WILLIAMS</v>
      </c>
      <c r="W2571" t="str">
        <f>VLOOKUP(L2571,'[2]tabela de preços'!$A:$F,6,0)</f>
        <v>MASSA POLIÉSTER</v>
      </c>
      <c r="X2571" t="str">
        <f>VLOOKUP(L2571,'[2]tabela de preços'!$A:$G,7,0)</f>
        <v>AUTOMOTIVO</v>
      </c>
    </row>
    <row r="2572" spans="1:24" x14ac:dyDescent="0.3">
      <c r="A2572" t="s">
        <v>626</v>
      </c>
      <c r="B2572" t="s">
        <v>627</v>
      </c>
      <c r="C2572" t="s">
        <v>2482</v>
      </c>
      <c r="D2572" s="1">
        <v>46056</v>
      </c>
      <c r="E2572" t="s">
        <v>2483</v>
      </c>
      <c r="F2572">
        <v>9</v>
      </c>
      <c r="G2572">
        <v>174</v>
      </c>
      <c r="H2572" t="str">
        <f>VLOOKUP(G2572,[1]OPERADORES!$A:$B,2,0)</f>
        <v>MIRIÃ LOBATO RODRIGUES</v>
      </c>
      <c r="I2572" t="s">
        <v>21</v>
      </c>
      <c r="J2572" t="s">
        <v>630</v>
      </c>
      <c r="K2572" t="s">
        <v>631</v>
      </c>
      <c r="L2572">
        <v>84658</v>
      </c>
      <c r="M2572" t="s">
        <v>100</v>
      </c>
      <c r="O2572" t="s">
        <v>11</v>
      </c>
      <c r="P2572">
        <v>5102</v>
      </c>
      <c r="Q2572">
        <v>1</v>
      </c>
      <c r="R2572">
        <v>40.840000000000003</v>
      </c>
      <c r="S2572">
        <v>40.840000000000003</v>
      </c>
      <c r="T2572">
        <v>31</v>
      </c>
      <c r="U2572">
        <v>24.09</v>
      </c>
      <c r="V2572" t="str">
        <f>VLOOKUP(L2572,'[2]tabela de preços'!$A:$D,4,0)</f>
        <v>ANJO</v>
      </c>
      <c r="W2572" t="str">
        <f>VLOOKUP(L2572,'[2]tabela de preços'!$A:$F,6,0)</f>
        <v>MASSA POLIÉSTER</v>
      </c>
      <c r="X2572" t="str">
        <f>VLOOKUP(L2572,'[2]tabela de preços'!$A:$G,7,0)</f>
        <v>AUTOMOTIVO</v>
      </c>
    </row>
    <row r="2573" spans="1:24" x14ac:dyDescent="0.3">
      <c r="A2573" t="s">
        <v>626</v>
      </c>
      <c r="B2573" t="s">
        <v>627</v>
      </c>
      <c r="C2573" t="s">
        <v>2482</v>
      </c>
      <c r="D2573" s="1">
        <v>46056</v>
      </c>
      <c r="E2573" t="s">
        <v>2483</v>
      </c>
      <c r="F2573">
        <v>9</v>
      </c>
      <c r="G2573">
        <v>174</v>
      </c>
      <c r="H2573" t="str">
        <f>VLOOKUP(G2573,[1]OPERADORES!$A:$B,2,0)</f>
        <v>MIRIÃ LOBATO RODRIGUES</v>
      </c>
      <c r="I2573" t="s">
        <v>21</v>
      </c>
      <c r="J2573" t="s">
        <v>630</v>
      </c>
      <c r="K2573" t="s">
        <v>631</v>
      </c>
      <c r="L2573">
        <v>24247</v>
      </c>
      <c r="M2573" t="s">
        <v>160</v>
      </c>
      <c r="O2573" t="s">
        <v>11</v>
      </c>
      <c r="P2573">
        <v>5403</v>
      </c>
      <c r="Q2573">
        <v>12</v>
      </c>
      <c r="R2573">
        <v>21</v>
      </c>
      <c r="S2573">
        <v>252</v>
      </c>
      <c r="T2573">
        <v>202.44</v>
      </c>
      <c r="U2573">
        <v>19.670000000000002</v>
      </c>
      <c r="V2573" t="str">
        <f>VLOOKUP(L2573,'[2]tabela de preços'!$A:$D,4,0)</f>
        <v>SHERWIN WILLIAMS</v>
      </c>
      <c r="W2573" t="str">
        <f>VLOOKUP(L2573,'[2]tabela de preços'!$A:$F,6,0)</f>
        <v>PRIMER AUTOMOTIVO</v>
      </c>
      <c r="X2573" t="str">
        <f>VLOOKUP(L2573,'[2]tabela de preços'!$A:$G,7,0)</f>
        <v>AUTOMOTIVO</v>
      </c>
    </row>
    <row r="2574" spans="1:24" x14ac:dyDescent="0.3">
      <c r="A2574" t="s">
        <v>626</v>
      </c>
      <c r="B2574" t="s">
        <v>627</v>
      </c>
      <c r="C2574" t="s">
        <v>2482</v>
      </c>
      <c r="D2574" s="1">
        <v>46056</v>
      </c>
      <c r="E2574" t="s">
        <v>2483</v>
      </c>
      <c r="F2574">
        <v>9</v>
      </c>
      <c r="G2574">
        <v>174</v>
      </c>
      <c r="H2574" t="str">
        <f>VLOOKUP(G2574,[1]OPERADORES!$A:$B,2,0)</f>
        <v>MIRIÃ LOBATO RODRIGUES</v>
      </c>
      <c r="I2574" t="s">
        <v>21</v>
      </c>
      <c r="J2574" t="s">
        <v>630</v>
      </c>
      <c r="K2574" t="s">
        <v>631</v>
      </c>
      <c r="L2574">
        <v>9997</v>
      </c>
      <c r="M2574" t="s">
        <v>2487</v>
      </c>
      <c r="O2574" t="s">
        <v>11</v>
      </c>
      <c r="P2574">
        <v>5102</v>
      </c>
      <c r="Q2574">
        <v>2</v>
      </c>
      <c r="R2574">
        <v>41.04</v>
      </c>
      <c r="S2574">
        <v>82.08</v>
      </c>
      <c r="T2574">
        <v>62.3</v>
      </c>
      <c r="U2574">
        <v>24.1</v>
      </c>
      <c r="V2574" t="str">
        <f>VLOOKUP(L2574,'[2]tabela de preços'!$A:$D,4,0)</f>
        <v>SIKKENS</v>
      </c>
      <c r="W2574" t="str">
        <f>VLOOKUP(L2574,'[2]tabela de preços'!$A:$F,6,0)</f>
        <v>DILUENTE</v>
      </c>
      <c r="X2574" t="str">
        <f>VLOOKUP(L2574,'[2]tabela de preços'!$A:$G,7,0)</f>
        <v>AUTOMOTIVO</v>
      </c>
    </row>
    <row r="2575" spans="1:24" x14ac:dyDescent="0.3">
      <c r="A2575" t="s">
        <v>626</v>
      </c>
      <c r="B2575" t="s">
        <v>627</v>
      </c>
      <c r="C2575" t="s">
        <v>2482</v>
      </c>
      <c r="D2575" s="1">
        <v>46056</v>
      </c>
      <c r="E2575" t="s">
        <v>2483</v>
      </c>
      <c r="F2575">
        <v>9</v>
      </c>
      <c r="G2575">
        <v>174</v>
      </c>
      <c r="H2575" t="str">
        <f>VLOOKUP(G2575,[1]OPERADORES!$A:$B,2,0)</f>
        <v>MIRIÃ LOBATO RODRIGUES</v>
      </c>
      <c r="I2575" t="s">
        <v>21</v>
      </c>
      <c r="J2575" t="s">
        <v>630</v>
      </c>
      <c r="K2575" t="s">
        <v>631</v>
      </c>
      <c r="L2575">
        <v>84460</v>
      </c>
      <c r="M2575" t="s">
        <v>322</v>
      </c>
      <c r="O2575" t="s">
        <v>11</v>
      </c>
      <c r="P2575">
        <v>5102</v>
      </c>
      <c r="Q2575">
        <v>5</v>
      </c>
      <c r="R2575">
        <v>31.07</v>
      </c>
      <c r="S2575">
        <v>155.35</v>
      </c>
      <c r="T2575">
        <v>117.9</v>
      </c>
      <c r="U2575">
        <v>24.11</v>
      </c>
      <c r="V2575" t="str">
        <f>VLOOKUP(L2575,'[2]tabela de preços'!$A:$D,4,0)</f>
        <v>BRASILUX</v>
      </c>
      <c r="W2575" t="str">
        <f>VLOOKUP(L2575,'[2]tabela de preços'!$A:$F,6,0)</f>
        <v>VEDADORES / SELANTES</v>
      </c>
      <c r="X2575" t="str">
        <f>VLOOKUP(L2575,'[2]tabela de preços'!$A:$G,7,0)</f>
        <v>AUTOMOTIVO</v>
      </c>
    </row>
    <row r="2576" spans="1:24" x14ac:dyDescent="0.3">
      <c r="A2576" t="s">
        <v>626</v>
      </c>
      <c r="B2576" t="s">
        <v>627</v>
      </c>
      <c r="C2576" t="s">
        <v>2604</v>
      </c>
      <c r="D2576" s="1">
        <v>46057</v>
      </c>
      <c r="E2576" t="s">
        <v>2605</v>
      </c>
      <c r="F2576">
        <v>9</v>
      </c>
      <c r="G2576">
        <v>174</v>
      </c>
      <c r="H2576" t="str">
        <f>VLOOKUP(G2576,[1]OPERADORES!$A:$B,2,0)</f>
        <v>MIRIÃ LOBATO RODRIGUES</v>
      </c>
      <c r="I2576" t="s">
        <v>21</v>
      </c>
      <c r="J2576" t="s">
        <v>630</v>
      </c>
      <c r="K2576" t="s">
        <v>631</v>
      </c>
      <c r="L2576">
        <v>84487</v>
      </c>
      <c r="M2576" t="s">
        <v>633</v>
      </c>
      <c r="O2576" t="s">
        <v>11</v>
      </c>
      <c r="P2576">
        <v>5403</v>
      </c>
      <c r="Q2576">
        <v>2</v>
      </c>
      <c r="R2576">
        <v>28.84</v>
      </c>
      <c r="S2576">
        <v>57.68</v>
      </c>
      <c r="T2576">
        <v>43.78</v>
      </c>
      <c r="U2576">
        <v>24.1</v>
      </c>
      <c r="V2576" t="str">
        <f>VLOOKUP(L2576,'[2]tabela de preços'!$A:$D,4,0)</f>
        <v>BRASILUX</v>
      </c>
      <c r="W2576" t="str">
        <f>VLOOKUP(L2576,'[2]tabela de preços'!$A:$F,6,0)</f>
        <v>TINTAS LACA</v>
      </c>
      <c r="X2576" t="str">
        <f>VLOOKUP(L2576,'[2]tabela de preços'!$A:$G,7,0)</f>
        <v>AUTOMOTIVO</v>
      </c>
    </row>
    <row r="2577" spans="1:24" x14ac:dyDescent="0.3">
      <c r="A2577" t="s">
        <v>626</v>
      </c>
      <c r="B2577" t="s">
        <v>627</v>
      </c>
      <c r="C2577" t="s">
        <v>2604</v>
      </c>
      <c r="D2577" s="1">
        <v>46057</v>
      </c>
      <c r="E2577" t="s">
        <v>2605</v>
      </c>
      <c r="F2577">
        <v>9</v>
      </c>
      <c r="G2577">
        <v>174</v>
      </c>
      <c r="H2577" t="str">
        <f>VLOOKUP(G2577,[1]OPERADORES!$A:$B,2,0)</f>
        <v>MIRIÃ LOBATO RODRIGUES</v>
      </c>
      <c r="I2577" t="s">
        <v>21</v>
      </c>
      <c r="J2577" t="s">
        <v>630</v>
      </c>
      <c r="K2577" t="s">
        <v>631</v>
      </c>
      <c r="L2577">
        <v>24248</v>
      </c>
      <c r="M2577" t="s">
        <v>107</v>
      </c>
      <c r="O2577" t="s">
        <v>11</v>
      </c>
      <c r="P2577">
        <v>5102</v>
      </c>
      <c r="Q2577">
        <v>18</v>
      </c>
      <c r="R2577">
        <v>8</v>
      </c>
      <c r="S2577">
        <v>144</v>
      </c>
      <c r="T2577">
        <v>117</v>
      </c>
      <c r="U2577">
        <v>18.75</v>
      </c>
      <c r="V2577" t="str">
        <f>VLOOKUP(L2577,'[2]tabela de preços'!$A:$D,4,0)</f>
        <v>SHERWIN WILLIAMS</v>
      </c>
      <c r="W2577" t="str">
        <f>VLOOKUP(L2577,'[2]tabela de preços'!$A:$F,6,0)</f>
        <v>PRIMER AUTOMOTIVO</v>
      </c>
      <c r="X2577" t="str">
        <f>VLOOKUP(L2577,'[2]tabela de preços'!$A:$G,7,0)</f>
        <v>AUTOMOTIVO</v>
      </c>
    </row>
    <row r="2578" spans="1:24" x14ac:dyDescent="0.3">
      <c r="A2578" t="s">
        <v>626</v>
      </c>
      <c r="B2578" t="s">
        <v>627</v>
      </c>
      <c r="C2578" t="s">
        <v>2604</v>
      </c>
      <c r="D2578" s="1">
        <v>46057</v>
      </c>
      <c r="E2578" t="s">
        <v>2605</v>
      </c>
      <c r="F2578">
        <v>9</v>
      </c>
      <c r="G2578">
        <v>174</v>
      </c>
      <c r="H2578" t="str">
        <f>VLOOKUP(G2578,[1]OPERADORES!$A:$B,2,0)</f>
        <v>MIRIÃ LOBATO RODRIGUES</v>
      </c>
      <c r="I2578" t="s">
        <v>21</v>
      </c>
      <c r="J2578" t="s">
        <v>630</v>
      </c>
      <c r="K2578" t="s">
        <v>631</v>
      </c>
      <c r="L2578">
        <v>23076</v>
      </c>
      <c r="M2578" t="s">
        <v>97</v>
      </c>
      <c r="O2578" t="s">
        <v>11</v>
      </c>
      <c r="P2578">
        <v>5403</v>
      </c>
      <c r="Q2578">
        <v>18</v>
      </c>
      <c r="R2578">
        <v>34.89</v>
      </c>
      <c r="S2578">
        <v>628.02</v>
      </c>
      <c r="T2578">
        <v>477.54</v>
      </c>
      <c r="U2578">
        <v>23.96</v>
      </c>
      <c r="V2578" t="str">
        <f>VLOOKUP(L2578,'[2]tabela de preços'!$A:$D,4,0)</f>
        <v>WANDA</v>
      </c>
      <c r="W2578" t="str">
        <f>VLOOKUP(L2578,'[2]tabela de preços'!$A:$F,6,0)</f>
        <v>PRIMER AUTOMOTIVO</v>
      </c>
      <c r="X2578" t="str">
        <f>VLOOKUP(L2578,'[2]tabela de preços'!$A:$G,7,0)</f>
        <v>AUTOMOTIVO</v>
      </c>
    </row>
    <row r="2579" spans="1:24" x14ac:dyDescent="0.3">
      <c r="A2579" t="s">
        <v>626</v>
      </c>
      <c r="B2579" t="s">
        <v>627</v>
      </c>
      <c r="C2579" t="s">
        <v>2604</v>
      </c>
      <c r="D2579" s="1">
        <v>46057</v>
      </c>
      <c r="E2579" t="s">
        <v>2605</v>
      </c>
      <c r="F2579">
        <v>9</v>
      </c>
      <c r="G2579">
        <v>174</v>
      </c>
      <c r="H2579" t="str">
        <f>VLOOKUP(G2579,[1]OPERADORES!$A:$B,2,0)</f>
        <v>MIRIÃ LOBATO RODRIGUES</v>
      </c>
      <c r="I2579" t="s">
        <v>21</v>
      </c>
      <c r="J2579" t="s">
        <v>630</v>
      </c>
      <c r="K2579" t="s">
        <v>631</v>
      </c>
      <c r="L2579">
        <v>23602</v>
      </c>
      <c r="M2579" t="s">
        <v>215</v>
      </c>
      <c r="O2579" t="s">
        <v>11</v>
      </c>
      <c r="P2579">
        <v>5403</v>
      </c>
      <c r="Q2579">
        <v>6</v>
      </c>
      <c r="R2579">
        <v>35.89</v>
      </c>
      <c r="S2579">
        <v>215.34</v>
      </c>
      <c r="T2579">
        <v>175.5</v>
      </c>
      <c r="U2579">
        <v>18.5</v>
      </c>
      <c r="V2579" t="str">
        <f>VLOOKUP(L2579,'[2]tabela de preços'!$A:$D,4,0)</f>
        <v>SHERWIN WILLIAMS</v>
      </c>
      <c r="W2579" t="str">
        <f>VLOOKUP(L2579,'[2]tabela de preços'!$A:$F,6,0)</f>
        <v>VERNIZ AUTOMOTIVO</v>
      </c>
      <c r="X2579" t="str">
        <f>VLOOKUP(L2579,'[2]tabela de preços'!$A:$G,7,0)</f>
        <v>AUTOMOTIVO</v>
      </c>
    </row>
    <row r="2580" spans="1:24" x14ac:dyDescent="0.3">
      <c r="A2580" t="s">
        <v>626</v>
      </c>
      <c r="B2580" t="s">
        <v>627</v>
      </c>
      <c r="C2580" t="s">
        <v>2604</v>
      </c>
      <c r="D2580" s="1">
        <v>46057</v>
      </c>
      <c r="E2580" t="s">
        <v>2605</v>
      </c>
      <c r="F2580">
        <v>9</v>
      </c>
      <c r="G2580">
        <v>174</v>
      </c>
      <c r="H2580" t="str">
        <f>VLOOKUP(G2580,[1]OPERADORES!$A:$B,2,0)</f>
        <v>MIRIÃ LOBATO RODRIGUES</v>
      </c>
      <c r="I2580" t="s">
        <v>21</v>
      </c>
      <c r="J2580" t="s">
        <v>630</v>
      </c>
      <c r="K2580" t="s">
        <v>631</v>
      </c>
      <c r="L2580">
        <v>10238</v>
      </c>
      <c r="M2580" t="s">
        <v>79</v>
      </c>
      <c r="O2580" t="s">
        <v>11</v>
      </c>
      <c r="P2580">
        <v>5102</v>
      </c>
      <c r="Q2580">
        <v>4</v>
      </c>
      <c r="R2580">
        <v>2.79</v>
      </c>
      <c r="S2580">
        <v>11.16</v>
      </c>
      <c r="T2580">
        <v>8.9600000000000009</v>
      </c>
      <c r="U2580">
        <v>19.71</v>
      </c>
      <c r="V2580" t="str">
        <f>VLOOKUP(L2580,'[2]tabela de preços'!$A:$D,4,0)</f>
        <v>NORTON</v>
      </c>
      <c r="W2580" t="str">
        <f>VLOOKUP(L2580,'[2]tabela de preços'!$A:$F,6,0)</f>
        <v xml:space="preserve">DISCOS / LIXAS / ABRASIVOS </v>
      </c>
      <c r="X2580" t="str">
        <f>VLOOKUP(L2580,'[2]tabela de preços'!$A:$G,7,0)</f>
        <v>AUTOMOTIVO</v>
      </c>
    </row>
    <row r="2581" spans="1:24" x14ac:dyDescent="0.3">
      <c r="A2581" t="s">
        <v>626</v>
      </c>
      <c r="B2581" t="s">
        <v>627</v>
      </c>
      <c r="C2581" t="s">
        <v>2604</v>
      </c>
      <c r="D2581" s="1">
        <v>46057</v>
      </c>
      <c r="E2581" t="s">
        <v>2605</v>
      </c>
      <c r="F2581">
        <v>9</v>
      </c>
      <c r="G2581">
        <v>174</v>
      </c>
      <c r="H2581" t="str">
        <f>VLOOKUP(G2581,[1]OPERADORES!$A:$B,2,0)</f>
        <v>MIRIÃ LOBATO RODRIGUES</v>
      </c>
      <c r="I2581" t="s">
        <v>21</v>
      </c>
      <c r="J2581" t="s">
        <v>630</v>
      </c>
      <c r="K2581" t="s">
        <v>631</v>
      </c>
      <c r="L2581">
        <v>10240</v>
      </c>
      <c r="M2581" t="s">
        <v>81</v>
      </c>
      <c r="O2581" t="s">
        <v>11</v>
      </c>
      <c r="P2581">
        <v>5102</v>
      </c>
      <c r="Q2581">
        <v>6</v>
      </c>
      <c r="R2581">
        <v>2.79</v>
      </c>
      <c r="S2581">
        <v>16.739999999999998</v>
      </c>
      <c r="T2581">
        <v>13.44</v>
      </c>
      <c r="U2581">
        <v>19.71</v>
      </c>
      <c r="V2581" t="str">
        <f>VLOOKUP(L2581,'[2]tabela de preços'!$A:$D,4,0)</f>
        <v>NORTON</v>
      </c>
      <c r="W2581" t="str">
        <f>VLOOKUP(L2581,'[2]tabela de preços'!$A:$F,6,0)</f>
        <v xml:space="preserve">DISCOS / LIXAS / ABRASIVOS </v>
      </c>
      <c r="X2581" t="str">
        <f>VLOOKUP(L2581,'[2]tabela de preços'!$A:$G,7,0)</f>
        <v>AUTOMOTIVO</v>
      </c>
    </row>
    <row r="2582" spans="1:24" x14ac:dyDescent="0.3">
      <c r="A2582" t="s">
        <v>626</v>
      </c>
      <c r="B2582" t="s">
        <v>627</v>
      </c>
      <c r="C2582" t="s">
        <v>2604</v>
      </c>
      <c r="D2582" s="1">
        <v>46057</v>
      </c>
      <c r="E2582" t="s">
        <v>2605</v>
      </c>
      <c r="F2582">
        <v>9</v>
      </c>
      <c r="G2582">
        <v>174</v>
      </c>
      <c r="H2582" t="str">
        <f>VLOOKUP(G2582,[1]OPERADORES!$A:$B,2,0)</f>
        <v>MIRIÃ LOBATO RODRIGUES</v>
      </c>
      <c r="I2582" t="s">
        <v>21</v>
      </c>
      <c r="J2582" t="s">
        <v>630</v>
      </c>
      <c r="K2582" t="s">
        <v>631</v>
      </c>
      <c r="L2582">
        <v>20817</v>
      </c>
      <c r="M2582" t="s">
        <v>153</v>
      </c>
      <c r="O2582" t="s">
        <v>11</v>
      </c>
      <c r="P2582">
        <v>5102</v>
      </c>
      <c r="Q2582">
        <v>4</v>
      </c>
      <c r="R2582">
        <v>22.89</v>
      </c>
      <c r="S2582">
        <v>91.56</v>
      </c>
      <c r="T2582">
        <v>74.48</v>
      </c>
      <c r="U2582">
        <v>18.649999999999999</v>
      </c>
      <c r="V2582" t="str">
        <f>VLOOKUP(L2582,'[2]tabela de preços'!$A:$D,4,0)</f>
        <v>AUTO AMERICA</v>
      </c>
      <c r="W2582" t="str">
        <f>VLOOKUP(L2582,'[2]tabela de preços'!$A:$F,6,0)</f>
        <v>MASSA DE POLIR</v>
      </c>
      <c r="X2582" t="str">
        <f>VLOOKUP(L2582,'[2]tabela de preços'!$A:$G,7,0)</f>
        <v>AUTOMOTIVO</v>
      </c>
    </row>
    <row r="2583" spans="1:24" x14ac:dyDescent="0.3">
      <c r="A2583" t="s">
        <v>626</v>
      </c>
      <c r="B2583" t="s">
        <v>627</v>
      </c>
      <c r="C2583" t="s">
        <v>2604</v>
      </c>
      <c r="D2583" s="1">
        <v>46057</v>
      </c>
      <c r="E2583" t="s">
        <v>2605</v>
      </c>
      <c r="F2583">
        <v>9</v>
      </c>
      <c r="G2583">
        <v>174</v>
      </c>
      <c r="H2583" t="str">
        <f>VLOOKUP(G2583,[1]OPERADORES!$A:$B,2,0)</f>
        <v>MIRIÃ LOBATO RODRIGUES</v>
      </c>
      <c r="I2583" t="s">
        <v>21</v>
      </c>
      <c r="J2583" t="s">
        <v>630</v>
      </c>
      <c r="K2583" t="s">
        <v>631</v>
      </c>
      <c r="L2583">
        <v>21077</v>
      </c>
      <c r="M2583" t="s">
        <v>207</v>
      </c>
      <c r="O2583" t="s">
        <v>11</v>
      </c>
      <c r="P2583">
        <v>5102</v>
      </c>
      <c r="Q2583">
        <v>12</v>
      </c>
      <c r="R2583">
        <v>44.68</v>
      </c>
      <c r="S2583">
        <v>536.16</v>
      </c>
      <c r="T2583">
        <v>407.04</v>
      </c>
      <c r="U2583">
        <v>24.08</v>
      </c>
      <c r="V2583" t="str">
        <f>VLOOKUP(L2583,'[2]tabela de preços'!$A:$D,4,0)</f>
        <v>SHERWIN WILLIAMS</v>
      </c>
      <c r="W2583" t="str">
        <f>VLOOKUP(L2583,'[2]tabela de preços'!$A:$F,6,0)</f>
        <v>MASSA POLIÉSTER</v>
      </c>
      <c r="X2583" t="str">
        <f>VLOOKUP(L2583,'[2]tabela de preços'!$A:$G,7,0)</f>
        <v>AUTOMOTIVO</v>
      </c>
    </row>
    <row r="2584" spans="1:24" x14ac:dyDescent="0.3">
      <c r="A2584" t="s">
        <v>626</v>
      </c>
      <c r="B2584" t="s">
        <v>627</v>
      </c>
      <c r="C2584" t="s">
        <v>2604</v>
      </c>
      <c r="D2584" s="1">
        <v>46057</v>
      </c>
      <c r="E2584" t="s">
        <v>2605</v>
      </c>
      <c r="F2584">
        <v>9</v>
      </c>
      <c r="G2584">
        <v>174</v>
      </c>
      <c r="H2584" t="str">
        <f>VLOOKUP(G2584,[1]OPERADORES!$A:$B,2,0)</f>
        <v>MIRIÃ LOBATO RODRIGUES</v>
      </c>
      <c r="I2584" t="s">
        <v>21</v>
      </c>
      <c r="J2584" t="s">
        <v>630</v>
      </c>
      <c r="K2584" t="s">
        <v>631</v>
      </c>
      <c r="L2584">
        <v>87043</v>
      </c>
      <c r="M2584" t="s">
        <v>217</v>
      </c>
      <c r="O2584" t="s">
        <v>11</v>
      </c>
      <c r="P2584">
        <v>5102</v>
      </c>
      <c r="Q2584">
        <v>8</v>
      </c>
      <c r="R2584">
        <v>21.95</v>
      </c>
      <c r="S2584">
        <v>175.6</v>
      </c>
      <c r="T2584">
        <v>144.16</v>
      </c>
      <c r="U2584">
        <v>17.899999999999999</v>
      </c>
      <c r="V2584" t="str">
        <f>VLOOKUP(L2584,'[2]tabela de preços'!$A:$D,4,0)</f>
        <v>ROBERLO</v>
      </c>
      <c r="W2584" t="str">
        <f>VLOOKUP(L2584,'[2]tabela de preços'!$A:$F,6,0)</f>
        <v>MASSA POLIÉSTER</v>
      </c>
      <c r="X2584" t="str">
        <f>VLOOKUP(L2584,'[2]tabela de preços'!$A:$G,7,0)</f>
        <v>AUTOMOTIVO</v>
      </c>
    </row>
    <row r="2585" spans="1:24" x14ac:dyDescent="0.3">
      <c r="A2585" t="s">
        <v>626</v>
      </c>
      <c r="B2585" t="s">
        <v>627</v>
      </c>
      <c r="C2585" t="s">
        <v>2604</v>
      </c>
      <c r="D2585" s="1">
        <v>46057</v>
      </c>
      <c r="E2585" t="s">
        <v>2605</v>
      </c>
      <c r="F2585">
        <v>9</v>
      </c>
      <c r="G2585">
        <v>174</v>
      </c>
      <c r="H2585" t="str">
        <f>VLOOKUP(G2585,[1]OPERADORES!$A:$B,2,0)</f>
        <v>MIRIÃ LOBATO RODRIGUES</v>
      </c>
      <c r="I2585" t="s">
        <v>21</v>
      </c>
      <c r="J2585" t="s">
        <v>630</v>
      </c>
      <c r="K2585" t="s">
        <v>631</v>
      </c>
      <c r="L2585">
        <v>24247</v>
      </c>
      <c r="M2585" t="s">
        <v>160</v>
      </c>
      <c r="O2585" t="s">
        <v>11</v>
      </c>
      <c r="P2585">
        <v>5403</v>
      </c>
      <c r="Q2585">
        <v>18</v>
      </c>
      <c r="R2585">
        <v>21</v>
      </c>
      <c r="S2585">
        <v>378</v>
      </c>
      <c r="T2585">
        <v>303.66000000000003</v>
      </c>
      <c r="U2585">
        <v>19.670000000000002</v>
      </c>
      <c r="V2585" t="str">
        <f>VLOOKUP(L2585,'[2]tabela de preços'!$A:$D,4,0)</f>
        <v>SHERWIN WILLIAMS</v>
      </c>
      <c r="W2585" t="str">
        <f>VLOOKUP(L2585,'[2]tabela de preços'!$A:$F,6,0)</f>
        <v>PRIMER AUTOMOTIVO</v>
      </c>
      <c r="X2585" t="str">
        <f>VLOOKUP(L2585,'[2]tabela de preços'!$A:$G,7,0)</f>
        <v>AUTOMOTIVO</v>
      </c>
    </row>
    <row r="2586" spans="1:24" x14ac:dyDescent="0.3">
      <c r="A2586" t="s">
        <v>626</v>
      </c>
      <c r="B2586" t="s">
        <v>627</v>
      </c>
      <c r="C2586" t="s">
        <v>2809</v>
      </c>
      <c r="D2586" s="1">
        <v>46062</v>
      </c>
      <c r="E2586" t="s">
        <v>2810</v>
      </c>
      <c r="F2586">
        <v>9</v>
      </c>
      <c r="G2586">
        <v>174</v>
      </c>
      <c r="H2586" t="str">
        <f>VLOOKUP(G2586,[1]OPERADORES!$A:$B,2,0)</f>
        <v>MIRIÃ LOBATO RODRIGUES</v>
      </c>
      <c r="I2586" t="s">
        <v>21</v>
      </c>
      <c r="J2586" t="s">
        <v>630</v>
      </c>
      <c r="K2586" t="s">
        <v>631</v>
      </c>
      <c r="L2586">
        <v>23259</v>
      </c>
      <c r="M2586" t="s">
        <v>632</v>
      </c>
      <c r="O2586" t="s">
        <v>11</v>
      </c>
      <c r="P2586">
        <v>5403</v>
      </c>
      <c r="Q2586">
        <v>2</v>
      </c>
      <c r="R2586">
        <v>42.56</v>
      </c>
      <c r="S2586">
        <v>85.12</v>
      </c>
      <c r="T2586">
        <v>61.02</v>
      </c>
      <c r="U2586">
        <v>28.31</v>
      </c>
      <c r="V2586" t="str">
        <f>VLOOKUP(L2586,'[2]tabela de preços'!$A:$D,4,0)</f>
        <v>WANDA</v>
      </c>
      <c r="W2586" t="str">
        <f>VLOOKUP(L2586,'[2]tabela de preços'!$A:$F,6,0)</f>
        <v>TINTAS POLIÉSTER</v>
      </c>
      <c r="X2586" t="str">
        <f>VLOOKUP(L2586,'[2]tabela de preços'!$A:$G,7,0)</f>
        <v>AUTOMOTIVO</v>
      </c>
    </row>
    <row r="2587" spans="1:24" x14ac:dyDescent="0.3">
      <c r="A2587" t="s">
        <v>626</v>
      </c>
      <c r="B2587" t="s">
        <v>627</v>
      </c>
      <c r="C2587" t="s">
        <v>2809</v>
      </c>
      <c r="D2587" s="1">
        <v>46062</v>
      </c>
      <c r="E2587" t="s">
        <v>2810</v>
      </c>
      <c r="F2587">
        <v>9</v>
      </c>
      <c r="G2587">
        <v>174</v>
      </c>
      <c r="H2587" t="str">
        <f>VLOOKUP(G2587,[1]OPERADORES!$A:$B,2,0)</f>
        <v>MIRIÃ LOBATO RODRIGUES</v>
      </c>
      <c r="I2587" t="s">
        <v>21</v>
      </c>
      <c r="J2587" t="s">
        <v>630</v>
      </c>
      <c r="K2587" t="s">
        <v>631</v>
      </c>
      <c r="L2587">
        <v>84487</v>
      </c>
      <c r="M2587" t="s">
        <v>633</v>
      </c>
      <c r="O2587" t="s">
        <v>11</v>
      </c>
      <c r="P2587">
        <v>5403</v>
      </c>
      <c r="Q2587">
        <v>6</v>
      </c>
      <c r="R2587">
        <v>28.84</v>
      </c>
      <c r="S2587">
        <v>173.04</v>
      </c>
      <c r="T2587">
        <v>131.34</v>
      </c>
      <c r="U2587">
        <v>24.1</v>
      </c>
      <c r="V2587" t="str">
        <f>VLOOKUP(L2587,'[2]tabela de preços'!$A:$D,4,0)</f>
        <v>BRASILUX</v>
      </c>
      <c r="W2587" t="str">
        <f>VLOOKUP(L2587,'[2]tabela de preços'!$A:$F,6,0)</f>
        <v>TINTAS LACA</v>
      </c>
      <c r="X2587" t="str">
        <f>VLOOKUP(L2587,'[2]tabela de preços'!$A:$G,7,0)</f>
        <v>AUTOMOTIVO</v>
      </c>
    </row>
    <row r="2588" spans="1:24" x14ac:dyDescent="0.3">
      <c r="A2588" t="s">
        <v>626</v>
      </c>
      <c r="B2588" t="s">
        <v>627</v>
      </c>
      <c r="C2588" t="s">
        <v>2809</v>
      </c>
      <c r="D2588" s="1">
        <v>46062</v>
      </c>
      <c r="E2588" t="s">
        <v>2810</v>
      </c>
      <c r="F2588">
        <v>9</v>
      </c>
      <c r="G2588">
        <v>174</v>
      </c>
      <c r="H2588" t="str">
        <f>VLOOKUP(G2588,[1]OPERADORES!$A:$B,2,0)</f>
        <v>MIRIÃ LOBATO RODRIGUES</v>
      </c>
      <c r="I2588" t="s">
        <v>21</v>
      </c>
      <c r="J2588" t="s">
        <v>630</v>
      </c>
      <c r="K2588" t="s">
        <v>631</v>
      </c>
      <c r="L2588">
        <v>84108</v>
      </c>
      <c r="M2588" t="s">
        <v>144</v>
      </c>
      <c r="O2588" t="s">
        <v>11</v>
      </c>
      <c r="P2588">
        <v>5403</v>
      </c>
      <c r="Q2588">
        <v>6</v>
      </c>
      <c r="R2588">
        <v>27.29</v>
      </c>
      <c r="S2588">
        <v>163.74</v>
      </c>
      <c r="T2588">
        <v>124.26</v>
      </c>
      <c r="U2588">
        <v>24.11</v>
      </c>
      <c r="V2588" t="str">
        <f>VLOOKUP(L2588,'[2]tabela de preços'!$A:$D,4,0)</f>
        <v>BRASILUX</v>
      </c>
      <c r="W2588" t="str">
        <f>VLOOKUP(L2588,'[2]tabela de preços'!$A:$F,6,0)</f>
        <v>TINTAS LACA</v>
      </c>
      <c r="X2588" t="str">
        <f>VLOOKUP(L2588,'[2]tabela de preços'!$A:$G,7,0)</f>
        <v>AUTOMOTIVO</v>
      </c>
    </row>
    <row r="2589" spans="1:24" x14ac:dyDescent="0.3">
      <c r="A2589" t="s">
        <v>626</v>
      </c>
      <c r="B2589" t="s">
        <v>627</v>
      </c>
      <c r="C2589" t="s">
        <v>2809</v>
      </c>
      <c r="D2589" s="1">
        <v>46062</v>
      </c>
      <c r="E2589" t="s">
        <v>2810</v>
      </c>
      <c r="F2589">
        <v>9</v>
      </c>
      <c r="G2589">
        <v>174</v>
      </c>
      <c r="H2589" t="str">
        <f>VLOOKUP(G2589,[1]OPERADORES!$A:$B,2,0)</f>
        <v>MIRIÃ LOBATO RODRIGUES</v>
      </c>
      <c r="I2589" t="s">
        <v>21</v>
      </c>
      <c r="J2589" t="s">
        <v>630</v>
      </c>
      <c r="K2589" t="s">
        <v>631</v>
      </c>
      <c r="L2589">
        <v>24248</v>
      </c>
      <c r="M2589" t="s">
        <v>107</v>
      </c>
      <c r="O2589" t="s">
        <v>11</v>
      </c>
      <c r="P2589">
        <v>5102</v>
      </c>
      <c r="Q2589">
        <v>24</v>
      </c>
      <c r="R2589">
        <v>8</v>
      </c>
      <c r="S2589">
        <v>192</v>
      </c>
      <c r="T2589">
        <v>156</v>
      </c>
      <c r="U2589">
        <v>18.75</v>
      </c>
      <c r="V2589" t="str">
        <f>VLOOKUP(L2589,'[2]tabela de preços'!$A:$D,4,0)</f>
        <v>SHERWIN WILLIAMS</v>
      </c>
      <c r="W2589" t="str">
        <f>VLOOKUP(L2589,'[2]tabela de preços'!$A:$F,6,0)</f>
        <v>PRIMER AUTOMOTIVO</v>
      </c>
      <c r="X2589" t="str">
        <f>VLOOKUP(L2589,'[2]tabela de preços'!$A:$G,7,0)</f>
        <v>AUTOMOTIVO</v>
      </c>
    </row>
    <row r="2590" spans="1:24" x14ac:dyDescent="0.3">
      <c r="A2590" t="s">
        <v>626</v>
      </c>
      <c r="B2590" t="s">
        <v>627</v>
      </c>
      <c r="C2590" t="s">
        <v>2809</v>
      </c>
      <c r="D2590" s="1">
        <v>46062</v>
      </c>
      <c r="E2590" t="s">
        <v>2810</v>
      </c>
      <c r="F2590">
        <v>9</v>
      </c>
      <c r="G2590">
        <v>174</v>
      </c>
      <c r="H2590" t="str">
        <f>VLOOKUP(G2590,[1]OPERADORES!$A:$B,2,0)</f>
        <v>MIRIÃ LOBATO RODRIGUES</v>
      </c>
      <c r="I2590" t="s">
        <v>21</v>
      </c>
      <c r="J2590" t="s">
        <v>630</v>
      </c>
      <c r="K2590" t="s">
        <v>631</v>
      </c>
      <c r="L2590">
        <v>85621</v>
      </c>
      <c r="M2590" t="s">
        <v>1656</v>
      </c>
      <c r="O2590" t="s">
        <v>11</v>
      </c>
      <c r="P2590">
        <v>5102</v>
      </c>
      <c r="Q2590">
        <v>10</v>
      </c>
      <c r="R2590">
        <v>15.99</v>
      </c>
      <c r="S2590">
        <v>159.9</v>
      </c>
      <c r="T2590">
        <v>122.8</v>
      </c>
      <c r="U2590">
        <v>23.2</v>
      </c>
      <c r="V2590" t="str">
        <f>VLOOKUP(L2590,'[2]tabela de preços'!$A:$D,4,0)</f>
        <v>ADERE</v>
      </c>
      <c r="W2590" t="str">
        <f>VLOOKUP(L2590,'[2]tabela de preços'!$A:$F,6,0)</f>
        <v xml:space="preserve">FITA DE USO GERAL </v>
      </c>
      <c r="X2590" t="str">
        <f>VLOOKUP(L2590,'[2]tabela de preços'!$A:$G,7,0)</f>
        <v>IMOBILIÁRIO</v>
      </c>
    </row>
    <row r="2591" spans="1:24" x14ac:dyDescent="0.3">
      <c r="A2591" t="s">
        <v>626</v>
      </c>
      <c r="B2591" t="s">
        <v>627</v>
      </c>
      <c r="C2591" t="s">
        <v>2809</v>
      </c>
      <c r="D2591" s="1">
        <v>46062</v>
      </c>
      <c r="E2591" t="s">
        <v>2810</v>
      </c>
      <c r="F2591">
        <v>9</v>
      </c>
      <c r="G2591">
        <v>174</v>
      </c>
      <c r="H2591" t="str">
        <f>VLOOKUP(G2591,[1]OPERADORES!$A:$B,2,0)</f>
        <v>MIRIÃ LOBATO RODRIGUES</v>
      </c>
      <c r="I2591" t="s">
        <v>21</v>
      </c>
      <c r="J2591" t="s">
        <v>630</v>
      </c>
      <c r="K2591" t="s">
        <v>631</v>
      </c>
      <c r="L2591">
        <v>23690</v>
      </c>
      <c r="M2591" t="s">
        <v>98</v>
      </c>
      <c r="O2591" t="s">
        <v>11</v>
      </c>
      <c r="P2591">
        <v>5403</v>
      </c>
      <c r="Q2591">
        <v>6</v>
      </c>
      <c r="R2591">
        <v>39.89</v>
      </c>
      <c r="S2591">
        <v>239.34</v>
      </c>
      <c r="T2591">
        <v>189.66</v>
      </c>
      <c r="U2591">
        <v>20.76</v>
      </c>
      <c r="V2591" t="str">
        <f>VLOOKUP(L2591,'[2]tabela de preços'!$A:$D,4,0)</f>
        <v>WANDA</v>
      </c>
      <c r="W2591" t="str">
        <f>VLOOKUP(L2591,'[2]tabela de preços'!$A:$F,6,0)</f>
        <v>VERNIZ AUTOMOTIVO</v>
      </c>
      <c r="X2591" t="str">
        <f>VLOOKUP(L2591,'[2]tabela de preços'!$A:$G,7,0)</f>
        <v>AUTOMOTIVO</v>
      </c>
    </row>
    <row r="2592" spans="1:24" x14ac:dyDescent="0.3">
      <c r="A2592" t="s">
        <v>626</v>
      </c>
      <c r="B2592" t="s">
        <v>627</v>
      </c>
      <c r="C2592" t="s">
        <v>2809</v>
      </c>
      <c r="D2592" s="1">
        <v>46062</v>
      </c>
      <c r="E2592" t="s">
        <v>2810</v>
      </c>
      <c r="F2592">
        <v>9</v>
      </c>
      <c r="G2592">
        <v>174</v>
      </c>
      <c r="H2592" t="str">
        <f>VLOOKUP(G2592,[1]OPERADORES!$A:$B,2,0)</f>
        <v>MIRIÃ LOBATO RODRIGUES</v>
      </c>
      <c r="I2592" t="s">
        <v>21</v>
      </c>
      <c r="J2592" t="s">
        <v>630</v>
      </c>
      <c r="K2592" t="s">
        <v>631</v>
      </c>
      <c r="L2592">
        <v>87043</v>
      </c>
      <c r="M2592" t="s">
        <v>217</v>
      </c>
      <c r="O2592" t="s">
        <v>11</v>
      </c>
      <c r="P2592">
        <v>5102</v>
      </c>
      <c r="Q2592">
        <v>16</v>
      </c>
      <c r="R2592">
        <v>21.95</v>
      </c>
      <c r="S2592">
        <v>351.2</v>
      </c>
      <c r="T2592">
        <v>288.32</v>
      </c>
      <c r="U2592">
        <v>17.899999999999999</v>
      </c>
      <c r="V2592" t="str">
        <f>VLOOKUP(L2592,'[2]tabela de preços'!$A:$D,4,0)</f>
        <v>ROBERLO</v>
      </c>
      <c r="W2592" t="str">
        <f>VLOOKUP(L2592,'[2]tabela de preços'!$A:$F,6,0)</f>
        <v>MASSA POLIÉSTER</v>
      </c>
      <c r="X2592" t="str">
        <f>VLOOKUP(L2592,'[2]tabela de preços'!$A:$G,7,0)</f>
        <v>AUTOMOTIVO</v>
      </c>
    </row>
    <row r="2593" spans="1:24" x14ac:dyDescent="0.3">
      <c r="A2593" t="s">
        <v>626</v>
      </c>
      <c r="B2593" t="s">
        <v>627</v>
      </c>
      <c r="C2593" t="s">
        <v>2809</v>
      </c>
      <c r="D2593" s="1">
        <v>46062</v>
      </c>
      <c r="E2593" t="s">
        <v>2810</v>
      </c>
      <c r="F2593">
        <v>9</v>
      </c>
      <c r="G2593">
        <v>174</v>
      </c>
      <c r="H2593" t="str">
        <f>VLOOKUP(G2593,[1]OPERADORES!$A:$B,2,0)</f>
        <v>MIRIÃ LOBATO RODRIGUES</v>
      </c>
      <c r="I2593" t="s">
        <v>21</v>
      </c>
      <c r="J2593" t="s">
        <v>630</v>
      </c>
      <c r="K2593" t="s">
        <v>631</v>
      </c>
      <c r="L2593">
        <v>24247</v>
      </c>
      <c r="M2593" t="s">
        <v>160</v>
      </c>
      <c r="O2593" t="s">
        <v>11</v>
      </c>
      <c r="P2593">
        <v>5403</v>
      </c>
      <c r="Q2593">
        <v>24</v>
      </c>
      <c r="R2593">
        <v>21</v>
      </c>
      <c r="S2593">
        <v>504</v>
      </c>
      <c r="T2593">
        <v>404.88</v>
      </c>
      <c r="U2593">
        <v>19.670000000000002</v>
      </c>
      <c r="V2593" t="str">
        <f>VLOOKUP(L2593,'[2]tabela de preços'!$A:$D,4,0)</f>
        <v>SHERWIN WILLIAMS</v>
      </c>
      <c r="W2593" t="str">
        <f>VLOOKUP(L2593,'[2]tabela de preços'!$A:$F,6,0)</f>
        <v>PRIMER AUTOMOTIVO</v>
      </c>
      <c r="X2593" t="str">
        <f>VLOOKUP(L2593,'[2]tabela de preços'!$A:$G,7,0)</f>
        <v>AUTOMOTIVO</v>
      </c>
    </row>
    <row r="2594" spans="1:24" x14ac:dyDescent="0.3">
      <c r="A2594" t="s">
        <v>626</v>
      </c>
      <c r="B2594" t="s">
        <v>627</v>
      </c>
      <c r="C2594" t="s">
        <v>2809</v>
      </c>
      <c r="D2594" s="1">
        <v>46062</v>
      </c>
      <c r="E2594" t="s">
        <v>2810</v>
      </c>
      <c r="F2594">
        <v>9</v>
      </c>
      <c r="G2594">
        <v>174</v>
      </c>
      <c r="H2594" t="str">
        <f>VLOOKUP(G2594,[1]OPERADORES!$A:$B,2,0)</f>
        <v>MIRIÃ LOBATO RODRIGUES</v>
      </c>
      <c r="I2594" t="s">
        <v>21</v>
      </c>
      <c r="J2594" t="s">
        <v>630</v>
      </c>
      <c r="K2594" t="s">
        <v>631</v>
      </c>
      <c r="L2594">
        <v>10297</v>
      </c>
      <c r="M2594" t="s">
        <v>41</v>
      </c>
      <c r="O2594" t="s">
        <v>11</v>
      </c>
      <c r="P2594">
        <v>5102</v>
      </c>
      <c r="Q2594">
        <v>12</v>
      </c>
      <c r="R2594">
        <v>10.89</v>
      </c>
      <c r="S2594">
        <v>130.68</v>
      </c>
      <c r="T2594">
        <v>110.04</v>
      </c>
      <c r="U2594">
        <v>15.79</v>
      </c>
      <c r="V2594" t="str">
        <f>VLOOKUP(L2594,'[2]tabela de preços'!$A:$D,4,0)</f>
        <v>ANJO</v>
      </c>
      <c r="W2594" t="str">
        <f>VLOOKUP(L2594,'[2]tabela de preços'!$A:$F,6,0)</f>
        <v>THINNER DE LIMPEZA</v>
      </c>
      <c r="X2594" t="str">
        <f>VLOOKUP(L2594,'[2]tabela de preços'!$A:$G,7,0)</f>
        <v>THINNER</v>
      </c>
    </row>
    <row r="2595" spans="1:24" x14ac:dyDescent="0.3">
      <c r="A2595" t="s">
        <v>626</v>
      </c>
      <c r="B2595" t="s">
        <v>627</v>
      </c>
      <c r="C2595" t="s">
        <v>2811</v>
      </c>
      <c r="D2595" s="1">
        <v>46062</v>
      </c>
      <c r="E2595" t="s">
        <v>2812</v>
      </c>
      <c r="F2595">
        <v>9</v>
      </c>
      <c r="G2595">
        <v>174</v>
      </c>
      <c r="H2595" t="str">
        <f>VLOOKUP(G2595,[1]OPERADORES!$A:$B,2,0)</f>
        <v>MIRIÃ LOBATO RODRIGUES</v>
      </c>
      <c r="I2595" t="s">
        <v>21</v>
      </c>
      <c r="J2595" t="s">
        <v>630</v>
      </c>
      <c r="K2595" t="s">
        <v>631</v>
      </c>
      <c r="L2595">
        <v>5</v>
      </c>
      <c r="M2595" t="s">
        <v>147</v>
      </c>
      <c r="O2595" t="s">
        <v>11</v>
      </c>
      <c r="P2595">
        <v>5102</v>
      </c>
      <c r="Q2595">
        <v>5</v>
      </c>
      <c r="R2595">
        <v>5.15</v>
      </c>
      <c r="S2595">
        <v>25.75</v>
      </c>
      <c r="T2595">
        <v>19.55</v>
      </c>
      <c r="U2595">
        <v>24.08</v>
      </c>
      <c r="V2595" t="str">
        <f>VLOOKUP(L2595,'[2]tabela de preços'!$A:$D,4,0)</f>
        <v>BRILHO ESTOPA</v>
      </c>
      <c r="W2595" t="str">
        <f>VLOOKUP(L2595,'[2]tabela de preços'!$A:$F,6,0)</f>
        <v>ESTOPAS</v>
      </c>
      <c r="X2595" t="str">
        <f>VLOOKUP(L2595,'[2]tabela de preços'!$A:$G,7,0)</f>
        <v>AUTOMOTIVO</v>
      </c>
    </row>
    <row r="2596" spans="1:24" x14ac:dyDescent="0.3">
      <c r="A2596" t="s">
        <v>626</v>
      </c>
      <c r="B2596" t="s">
        <v>627</v>
      </c>
      <c r="C2596" t="s">
        <v>2811</v>
      </c>
      <c r="D2596" s="1">
        <v>46062</v>
      </c>
      <c r="E2596" t="s">
        <v>2812</v>
      </c>
      <c r="F2596">
        <v>9</v>
      </c>
      <c r="G2596">
        <v>174</v>
      </c>
      <c r="H2596" t="str">
        <f>VLOOKUP(G2596,[1]OPERADORES!$A:$B,2,0)</f>
        <v>MIRIÃ LOBATO RODRIGUES</v>
      </c>
      <c r="I2596" t="s">
        <v>21</v>
      </c>
      <c r="J2596" t="s">
        <v>630</v>
      </c>
      <c r="K2596" t="s">
        <v>631</v>
      </c>
      <c r="L2596">
        <v>20383</v>
      </c>
      <c r="M2596" t="s">
        <v>129</v>
      </c>
      <c r="O2596" t="s">
        <v>11</v>
      </c>
      <c r="P2596">
        <v>5403</v>
      </c>
      <c r="Q2596">
        <v>2</v>
      </c>
      <c r="R2596">
        <v>33.79</v>
      </c>
      <c r="S2596">
        <v>67.58</v>
      </c>
      <c r="T2596">
        <v>48.18</v>
      </c>
      <c r="U2596">
        <v>28.71</v>
      </c>
      <c r="V2596" t="str">
        <f>VLOOKUP(L2596,'[2]tabela de preços'!$A:$D,4,0)</f>
        <v>SHERWIN WILLIAMS</v>
      </c>
      <c r="W2596" t="str">
        <f>VLOOKUP(L2596,'[2]tabela de preços'!$A:$F,6,0)</f>
        <v>TINTAS POLIÉSTER</v>
      </c>
      <c r="X2596" t="str">
        <f>VLOOKUP(L2596,'[2]tabela de preços'!$A:$G,7,0)</f>
        <v>AUTOMOTIVO</v>
      </c>
    </row>
    <row r="2597" spans="1:24" x14ac:dyDescent="0.3">
      <c r="A2597" t="s">
        <v>626</v>
      </c>
      <c r="B2597" t="s">
        <v>627</v>
      </c>
      <c r="C2597" t="s">
        <v>2811</v>
      </c>
      <c r="D2597" s="1">
        <v>46062</v>
      </c>
      <c r="E2597" t="s">
        <v>2812</v>
      </c>
      <c r="F2597">
        <v>9</v>
      </c>
      <c r="G2597">
        <v>174</v>
      </c>
      <c r="H2597" t="str">
        <f>VLOOKUP(G2597,[1]OPERADORES!$A:$B,2,0)</f>
        <v>MIRIÃ LOBATO RODRIGUES</v>
      </c>
      <c r="I2597" t="s">
        <v>21</v>
      </c>
      <c r="J2597" t="s">
        <v>630</v>
      </c>
      <c r="K2597" t="s">
        <v>631</v>
      </c>
      <c r="L2597">
        <v>10240</v>
      </c>
      <c r="M2597" t="s">
        <v>81</v>
      </c>
      <c r="O2597" t="s">
        <v>11</v>
      </c>
      <c r="P2597">
        <v>5102</v>
      </c>
      <c r="Q2597">
        <v>10</v>
      </c>
      <c r="R2597">
        <v>2.79</v>
      </c>
      <c r="S2597">
        <v>27.9</v>
      </c>
      <c r="T2597">
        <v>22.4</v>
      </c>
      <c r="U2597">
        <v>19.71</v>
      </c>
      <c r="V2597" t="str">
        <f>VLOOKUP(L2597,'[2]tabela de preços'!$A:$D,4,0)</f>
        <v>NORTON</v>
      </c>
      <c r="W2597" t="str">
        <f>VLOOKUP(L2597,'[2]tabela de preços'!$A:$F,6,0)</f>
        <v xml:space="preserve">DISCOS / LIXAS / ABRASIVOS </v>
      </c>
      <c r="X2597" t="str">
        <f>VLOOKUP(L2597,'[2]tabela de preços'!$A:$G,7,0)</f>
        <v>AUTOMOTIVO</v>
      </c>
    </row>
    <row r="2598" spans="1:24" x14ac:dyDescent="0.3">
      <c r="A2598" t="s">
        <v>626</v>
      </c>
      <c r="B2598" t="s">
        <v>627</v>
      </c>
      <c r="C2598" t="s">
        <v>2811</v>
      </c>
      <c r="D2598" s="1">
        <v>46062</v>
      </c>
      <c r="E2598" t="s">
        <v>2812</v>
      </c>
      <c r="F2598">
        <v>9</v>
      </c>
      <c r="G2598">
        <v>174</v>
      </c>
      <c r="H2598" t="str">
        <f>VLOOKUP(G2598,[1]OPERADORES!$A:$B,2,0)</f>
        <v>MIRIÃ LOBATO RODRIGUES</v>
      </c>
      <c r="I2598" t="s">
        <v>21</v>
      </c>
      <c r="J2598" t="s">
        <v>630</v>
      </c>
      <c r="K2598" t="s">
        <v>631</v>
      </c>
      <c r="L2598">
        <v>10242</v>
      </c>
      <c r="M2598" t="s">
        <v>82</v>
      </c>
      <c r="O2598" t="s">
        <v>11</v>
      </c>
      <c r="P2598">
        <v>5102</v>
      </c>
      <c r="Q2598">
        <v>10</v>
      </c>
      <c r="R2598">
        <v>2.79</v>
      </c>
      <c r="S2598">
        <v>27.9</v>
      </c>
      <c r="T2598">
        <v>22.4</v>
      </c>
      <c r="U2598">
        <v>19.71</v>
      </c>
      <c r="V2598" t="str">
        <f>VLOOKUP(L2598,'[2]tabela de preços'!$A:$D,4,0)</f>
        <v>NORTON</v>
      </c>
      <c r="W2598" t="str">
        <f>VLOOKUP(L2598,'[2]tabela de preços'!$A:$F,6,0)</f>
        <v xml:space="preserve">DISCOS / LIXAS / ABRASIVOS </v>
      </c>
      <c r="X2598" t="str">
        <f>VLOOKUP(L2598,'[2]tabela de preços'!$A:$G,7,0)</f>
        <v>AUTOMOTIVO</v>
      </c>
    </row>
    <row r="2599" spans="1:24" x14ac:dyDescent="0.3">
      <c r="A2599" t="s">
        <v>626</v>
      </c>
      <c r="B2599" t="s">
        <v>627</v>
      </c>
      <c r="C2599" t="s">
        <v>2811</v>
      </c>
      <c r="D2599" s="1">
        <v>46062</v>
      </c>
      <c r="E2599" t="s">
        <v>2812</v>
      </c>
      <c r="F2599">
        <v>9</v>
      </c>
      <c r="G2599">
        <v>174</v>
      </c>
      <c r="H2599" t="str">
        <f>VLOOKUP(G2599,[1]OPERADORES!$A:$B,2,0)</f>
        <v>MIRIÃ LOBATO RODRIGUES</v>
      </c>
      <c r="I2599" t="s">
        <v>21</v>
      </c>
      <c r="J2599" t="s">
        <v>630</v>
      </c>
      <c r="K2599" t="s">
        <v>631</v>
      </c>
      <c r="L2599">
        <v>85189</v>
      </c>
      <c r="M2599" t="s">
        <v>197</v>
      </c>
      <c r="O2599" t="s">
        <v>11</v>
      </c>
      <c r="P2599">
        <v>5102</v>
      </c>
      <c r="Q2599">
        <v>2</v>
      </c>
      <c r="R2599">
        <v>177.9</v>
      </c>
      <c r="S2599">
        <v>355.8</v>
      </c>
      <c r="T2599">
        <v>276.3</v>
      </c>
      <c r="U2599">
        <v>22.34</v>
      </c>
      <c r="V2599" t="str">
        <f>VLOOKUP(L2599,'[2]tabela de preços'!$A:$D,4,0)</f>
        <v>PDR</v>
      </c>
      <c r="W2599" t="str">
        <f>VLOOKUP(L2599,'[2]tabela de preços'!$A:$F,6,0)</f>
        <v>PISTOLAS</v>
      </c>
      <c r="X2599" t="str">
        <f>VLOOKUP(L2599,'[2]tabela de preços'!$A:$G,7,0)</f>
        <v>AUTOMOTIVO</v>
      </c>
    </row>
    <row r="2600" spans="1:24" x14ac:dyDescent="0.3">
      <c r="A2600" t="s">
        <v>626</v>
      </c>
      <c r="B2600" t="s">
        <v>627</v>
      </c>
      <c r="C2600" t="s">
        <v>2811</v>
      </c>
      <c r="D2600" s="1">
        <v>46062</v>
      </c>
      <c r="E2600" t="s">
        <v>2812</v>
      </c>
      <c r="F2600">
        <v>9</v>
      </c>
      <c r="G2600">
        <v>174</v>
      </c>
      <c r="H2600" t="str">
        <f>VLOOKUP(G2600,[1]OPERADORES!$A:$B,2,0)</f>
        <v>MIRIÃ LOBATO RODRIGUES</v>
      </c>
      <c r="I2600" t="s">
        <v>21</v>
      </c>
      <c r="J2600" t="s">
        <v>630</v>
      </c>
      <c r="K2600" t="s">
        <v>631</v>
      </c>
      <c r="L2600">
        <v>20414</v>
      </c>
      <c r="M2600" t="s">
        <v>112</v>
      </c>
      <c r="O2600" t="s">
        <v>11</v>
      </c>
      <c r="P2600">
        <v>5102</v>
      </c>
      <c r="Q2600">
        <v>8</v>
      </c>
      <c r="R2600">
        <v>21.89</v>
      </c>
      <c r="S2600">
        <v>175.12</v>
      </c>
      <c r="T2600">
        <v>144</v>
      </c>
      <c r="U2600">
        <v>17.77</v>
      </c>
      <c r="V2600" t="str">
        <f>VLOOKUP(L2600,'[2]tabela de preços'!$A:$D,4,0)</f>
        <v>SHERWIN WILLIAMS</v>
      </c>
      <c r="W2600" t="str">
        <f>VLOOKUP(L2600,'[2]tabela de preços'!$A:$F,6,0)</f>
        <v>DILUENTE</v>
      </c>
      <c r="X2600" t="str">
        <f>VLOOKUP(L2600,'[2]tabela de preços'!$A:$G,7,0)</f>
        <v>AUTOMOTIVO</v>
      </c>
    </row>
    <row r="2601" spans="1:24" x14ac:dyDescent="0.3">
      <c r="A2601" t="s">
        <v>2753</v>
      </c>
      <c r="C2601" t="s">
        <v>2754</v>
      </c>
      <c r="D2601" s="1">
        <v>46059</v>
      </c>
      <c r="E2601" t="s">
        <v>2755</v>
      </c>
      <c r="F2601">
        <v>9</v>
      </c>
      <c r="G2601">
        <v>231</v>
      </c>
      <c r="H2601" t="str">
        <f>VLOOKUP(G2601,[1]OPERADORES!$A:$B,2,0)</f>
        <v>EDIJANE</v>
      </c>
      <c r="I2601" t="s">
        <v>21</v>
      </c>
      <c r="J2601" t="s">
        <v>2756</v>
      </c>
      <c r="K2601" t="s">
        <v>2757</v>
      </c>
      <c r="L2601">
        <v>85320</v>
      </c>
      <c r="M2601" t="s">
        <v>2758</v>
      </c>
      <c r="O2601" t="s">
        <v>11</v>
      </c>
      <c r="P2601">
        <v>5102</v>
      </c>
      <c r="Q2601">
        <v>4</v>
      </c>
      <c r="R2601">
        <v>513</v>
      </c>
      <c r="S2601" s="2">
        <v>2052</v>
      </c>
      <c r="T2601" s="2">
        <v>1615.16</v>
      </c>
      <c r="U2601">
        <v>21.29</v>
      </c>
      <c r="V2601" t="str">
        <f>VLOOKUP(L2601,'[2]tabela de preços'!$A:$D,4,0)</f>
        <v>BRASILUX</v>
      </c>
      <c r="W2601" t="str">
        <f>VLOOKUP(L2601,'[2]tabela de preços'!$A:$F,6,0)</f>
        <v>TINTA EM PÓ</v>
      </c>
      <c r="X2601" t="str">
        <f>VLOOKUP(L2601,'[2]tabela de preços'!$A:$G,7,0)</f>
        <v>INDUSTRIAL</v>
      </c>
    </row>
    <row r="2602" spans="1:24" x14ac:dyDescent="0.3">
      <c r="A2602" t="s">
        <v>2759</v>
      </c>
      <c r="C2602" t="s">
        <v>2760</v>
      </c>
      <c r="D2602" s="1">
        <v>46059</v>
      </c>
      <c r="E2602" t="s">
        <v>2761</v>
      </c>
      <c r="F2602">
        <v>9</v>
      </c>
      <c r="G2602">
        <v>236</v>
      </c>
      <c r="H2602" t="str">
        <f>VLOOKUP(G2602,[1]OPERADORES!$A:$B,2,0)</f>
        <v>DANIEL</v>
      </c>
      <c r="I2602" t="s">
        <v>21</v>
      </c>
      <c r="J2602" t="s">
        <v>66</v>
      </c>
      <c r="K2602" t="s">
        <v>2762</v>
      </c>
      <c r="L2602">
        <v>86541</v>
      </c>
      <c r="M2602" t="s">
        <v>2763</v>
      </c>
      <c r="O2602" t="s">
        <v>11</v>
      </c>
      <c r="P2602">
        <v>5102</v>
      </c>
      <c r="Q2602">
        <v>1</v>
      </c>
      <c r="R2602">
        <v>219.22</v>
      </c>
      <c r="S2602">
        <v>219.22</v>
      </c>
      <c r="T2602">
        <v>172.48</v>
      </c>
      <c r="U2602">
        <v>21.32</v>
      </c>
      <c r="V2602" t="str">
        <f>VLOOKUP(L2602,'[2]tabela de preços'!$A:$D,4,0)</f>
        <v>CORAL</v>
      </c>
      <c r="W2602" t="str">
        <f>VLOOKUP(L2602,'[2]tabela de preços'!$A:$F,6,0)</f>
        <v>MASSA CORRIDA / ACRÍLICA</v>
      </c>
      <c r="X2602" t="str">
        <f>VLOOKUP(L2602,'[2]tabela de preços'!$A:$G,7,0)</f>
        <v>IMOBILIÁRIO</v>
      </c>
    </row>
    <row r="2603" spans="1:24" x14ac:dyDescent="0.3">
      <c r="A2603" t="s">
        <v>2759</v>
      </c>
      <c r="C2603" t="s">
        <v>2760</v>
      </c>
      <c r="D2603" s="1">
        <v>46059</v>
      </c>
      <c r="E2603" t="s">
        <v>2761</v>
      </c>
      <c r="F2603">
        <v>9</v>
      </c>
      <c r="G2603">
        <v>236</v>
      </c>
      <c r="H2603" t="str">
        <f>VLOOKUP(G2603,[1]OPERADORES!$A:$B,2,0)</f>
        <v>DANIEL</v>
      </c>
      <c r="I2603" t="s">
        <v>21</v>
      </c>
      <c r="J2603" t="s">
        <v>66</v>
      </c>
      <c r="K2603" t="s">
        <v>2762</v>
      </c>
      <c r="L2603">
        <v>24241</v>
      </c>
      <c r="M2603" t="s">
        <v>233</v>
      </c>
      <c r="O2603" t="s">
        <v>11</v>
      </c>
      <c r="P2603">
        <v>5102</v>
      </c>
      <c r="Q2603">
        <v>3</v>
      </c>
      <c r="R2603">
        <v>12.2</v>
      </c>
      <c r="S2603">
        <v>36.6</v>
      </c>
      <c r="T2603">
        <v>27.78</v>
      </c>
      <c r="U2603">
        <v>24.1</v>
      </c>
      <c r="V2603" t="str">
        <f>VLOOKUP(L2603,'[2]tabela de preços'!$A:$D,4,0)</f>
        <v>ADERE</v>
      </c>
      <c r="W2603" t="str">
        <f>VLOOKUP(L2603,'[2]tabela de preços'!$A:$F,6,0)</f>
        <v>FITA AUTOMOTIVA</v>
      </c>
      <c r="X2603" t="str">
        <f>VLOOKUP(L2603,'[2]tabela de preços'!$A:$G,7,0)</f>
        <v>AUTOMOTIVO</v>
      </c>
    </row>
    <row r="2604" spans="1:24" x14ac:dyDescent="0.3">
      <c r="A2604" t="s">
        <v>2759</v>
      </c>
      <c r="C2604" t="s">
        <v>2760</v>
      </c>
      <c r="D2604" s="1">
        <v>46059</v>
      </c>
      <c r="E2604" t="s">
        <v>2761</v>
      </c>
      <c r="F2604">
        <v>9</v>
      </c>
      <c r="G2604">
        <v>236</v>
      </c>
      <c r="H2604" t="str">
        <f>VLOOKUP(G2604,[1]OPERADORES!$A:$B,2,0)</f>
        <v>DANIEL</v>
      </c>
      <c r="I2604" t="s">
        <v>21</v>
      </c>
      <c r="J2604" t="s">
        <v>66</v>
      </c>
      <c r="K2604" t="s">
        <v>2762</v>
      </c>
      <c r="L2604">
        <v>84020</v>
      </c>
      <c r="M2604" t="s">
        <v>518</v>
      </c>
      <c r="O2604" t="s">
        <v>11</v>
      </c>
      <c r="P2604">
        <v>5102</v>
      </c>
      <c r="Q2604">
        <v>4</v>
      </c>
      <c r="R2604">
        <v>0.96</v>
      </c>
      <c r="S2604">
        <v>3.84</v>
      </c>
      <c r="T2604">
        <v>2.76</v>
      </c>
      <c r="U2604">
        <v>28.13</v>
      </c>
      <c r="V2604" t="str">
        <f>VLOOKUP(L2604,'[2]tabela de preços'!$A:$D,4,0)</f>
        <v>3M</v>
      </c>
      <c r="W2604" t="str">
        <f>VLOOKUP(L2604,'[2]tabela de preços'!$A:$F,6,0)</f>
        <v>LIXA MASSA  /MADEIRA / PAREDE</v>
      </c>
      <c r="X2604" t="str">
        <f>VLOOKUP(L2604,'[2]tabela de preços'!$A:$G,7,0)</f>
        <v>IMOBILIÁRIO</v>
      </c>
    </row>
    <row r="2605" spans="1:24" x14ac:dyDescent="0.3">
      <c r="A2605" t="s">
        <v>2759</v>
      </c>
      <c r="C2605" t="s">
        <v>2760</v>
      </c>
      <c r="D2605" s="1">
        <v>46059</v>
      </c>
      <c r="E2605" t="s">
        <v>2761</v>
      </c>
      <c r="F2605">
        <v>9</v>
      </c>
      <c r="G2605">
        <v>236</v>
      </c>
      <c r="H2605" t="str">
        <f>VLOOKUP(G2605,[1]OPERADORES!$A:$B,2,0)</f>
        <v>DANIEL</v>
      </c>
      <c r="I2605" t="s">
        <v>21</v>
      </c>
      <c r="J2605" t="s">
        <v>66</v>
      </c>
      <c r="K2605" t="s">
        <v>2762</v>
      </c>
      <c r="L2605">
        <v>85139</v>
      </c>
      <c r="M2605" t="s">
        <v>45</v>
      </c>
      <c r="O2605" t="s">
        <v>46</v>
      </c>
      <c r="P2605">
        <v>5403</v>
      </c>
      <c r="Q2605">
        <v>1</v>
      </c>
      <c r="R2605">
        <v>106.91</v>
      </c>
      <c r="S2605">
        <v>106.91</v>
      </c>
      <c r="T2605">
        <v>78.38</v>
      </c>
      <c r="U2605">
        <v>26.69</v>
      </c>
      <c r="V2605" t="str">
        <f>VLOOKUP(L2605,'[2]tabela de preços'!$A:$D,4,0)</f>
        <v>MULTILONA</v>
      </c>
      <c r="W2605" t="str">
        <f>VLOOKUP(L2605,'[2]tabela de preços'!$A:$F,6,0)</f>
        <v>LONAS</v>
      </c>
      <c r="X2605" t="str">
        <f>VLOOKUP(L2605,'[2]tabela de preços'!$A:$G,7,0)</f>
        <v>IMOBILIÁRIO</v>
      </c>
    </row>
    <row r="2606" spans="1:24" x14ac:dyDescent="0.3">
      <c r="A2606" t="s">
        <v>727</v>
      </c>
      <c r="C2606" t="s">
        <v>2606</v>
      </c>
      <c r="D2606" s="1">
        <v>46057</v>
      </c>
      <c r="E2606" t="s">
        <v>2607</v>
      </c>
      <c r="F2606">
        <v>9</v>
      </c>
      <c r="G2606">
        <v>231</v>
      </c>
      <c r="H2606" t="str">
        <f>VLOOKUP(G2606,[1]OPERADORES!$A:$B,2,0)</f>
        <v>EDIJANE</v>
      </c>
      <c r="I2606" t="s">
        <v>21</v>
      </c>
      <c r="J2606" t="s">
        <v>730</v>
      </c>
      <c r="K2606" t="s">
        <v>731</v>
      </c>
      <c r="L2606">
        <v>84113</v>
      </c>
      <c r="M2606" t="s">
        <v>737</v>
      </c>
      <c r="O2606" t="s">
        <v>11</v>
      </c>
      <c r="P2606">
        <v>5403</v>
      </c>
      <c r="Q2606">
        <v>10</v>
      </c>
      <c r="R2606">
        <v>153.99</v>
      </c>
      <c r="S2606" s="2">
        <v>1539.9</v>
      </c>
      <c r="T2606" s="2">
        <v>1168.8</v>
      </c>
      <c r="U2606">
        <v>24.1</v>
      </c>
      <c r="V2606" t="str">
        <f>VLOOKUP(L2606,'[2]tabela de preços'!$A:$D,4,0)</f>
        <v>BRASILUX</v>
      </c>
      <c r="W2606" t="str">
        <f>VLOOKUP(L2606,'[2]tabela de preços'!$A:$F,6,0)</f>
        <v>EPOXI</v>
      </c>
      <c r="X2606" t="str">
        <f>VLOOKUP(L2606,'[2]tabela de preços'!$A:$G,7,0)</f>
        <v>INDUSTRIAL</v>
      </c>
    </row>
    <row r="2607" spans="1:24" x14ac:dyDescent="0.3">
      <c r="A2607" t="s">
        <v>727</v>
      </c>
      <c r="C2607" t="s">
        <v>2813</v>
      </c>
      <c r="D2607" s="1">
        <v>46062</v>
      </c>
      <c r="E2607" t="s">
        <v>2814</v>
      </c>
      <c r="F2607">
        <v>9</v>
      </c>
      <c r="G2607">
        <v>231</v>
      </c>
      <c r="H2607" t="str">
        <f>VLOOKUP(G2607,[1]OPERADORES!$A:$B,2,0)</f>
        <v>EDIJANE</v>
      </c>
      <c r="I2607" t="s">
        <v>21</v>
      </c>
      <c r="J2607" t="s">
        <v>730</v>
      </c>
      <c r="K2607" t="s">
        <v>731</v>
      </c>
      <c r="L2607">
        <v>86891</v>
      </c>
      <c r="M2607" t="s">
        <v>1726</v>
      </c>
      <c r="O2607" t="s">
        <v>11</v>
      </c>
      <c r="P2607">
        <v>5403</v>
      </c>
      <c r="Q2607">
        <v>3</v>
      </c>
      <c r="R2607">
        <v>229.22</v>
      </c>
      <c r="S2607">
        <v>687.66</v>
      </c>
      <c r="T2607">
        <v>577.86</v>
      </c>
      <c r="U2607">
        <v>15.97</v>
      </c>
      <c r="V2607" t="str">
        <f>VLOOKUP(L2607,'[2]tabela de preços'!$A:$D,4,0)</f>
        <v>VEDACIT</v>
      </c>
      <c r="W2607" t="str">
        <f>VLOOKUP(L2607,'[2]tabela de preços'!$A:$F,6,0)</f>
        <v>IMPERMEABILIZANTES</v>
      </c>
      <c r="X2607" t="str">
        <f>VLOOKUP(L2607,'[2]tabela de preços'!$A:$G,7,0)</f>
        <v>IMOBILIÁRIO</v>
      </c>
    </row>
    <row r="2608" spans="1:24" x14ac:dyDescent="0.3">
      <c r="A2608" t="s">
        <v>727</v>
      </c>
      <c r="C2608" t="s">
        <v>2813</v>
      </c>
      <c r="D2608" s="1">
        <v>46062</v>
      </c>
      <c r="E2608" t="s">
        <v>2814</v>
      </c>
      <c r="F2608">
        <v>9</v>
      </c>
      <c r="G2608">
        <v>231</v>
      </c>
      <c r="H2608" t="str">
        <f>VLOOKUP(G2608,[1]OPERADORES!$A:$B,2,0)</f>
        <v>EDIJANE</v>
      </c>
      <c r="I2608" t="s">
        <v>21</v>
      </c>
      <c r="J2608" t="s">
        <v>730</v>
      </c>
      <c r="K2608" t="s">
        <v>731</v>
      </c>
      <c r="L2608">
        <v>85164</v>
      </c>
      <c r="M2608" t="s">
        <v>278</v>
      </c>
      <c r="O2608" t="s">
        <v>11</v>
      </c>
      <c r="P2608">
        <v>5102</v>
      </c>
      <c r="Q2608">
        <v>48</v>
      </c>
      <c r="R2608">
        <v>13.29</v>
      </c>
      <c r="S2608">
        <v>637.91999999999996</v>
      </c>
      <c r="T2608">
        <v>484.32</v>
      </c>
      <c r="U2608">
        <v>24.08</v>
      </c>
      <c r="V2608" t="str">
        <f>VLOOKUP(L2608,'[2]tabela de preços'!$A:$D,4,0)</f>
        <v>BRASILUX</v>
      </c>
      <c r="W2608" t="str">
        <f>VLOOKUP(L2608,'[2]tabela de preços'!$A:$F,6,0)</f>
        <v>QUEROSENE</v>
      </c>
      <c r="X2608" t="str">
        <f>VLOOKUP(L2608,'[2]tabela de preços'!$A:$G,7,0)</f>
        <v>AUTOMOTIVO</v>
      </c>
    </row>
    <row r="2609" spans="1:24" x14ac:dyDescent="0.3">
      <c r="A2609" t="s">
        <v>727</v>
      </c>
      <c r="C2609" t="s">
        <v>2813</v>
      </c>
      <c r="D2609" s="1">
        <v>46062</v>
      </c>
      <c r="E2609" t="s">
        <v>2814</v>
      </c>
      <c r="F2609">
        <v>9</v>
      </c>
      <c r="G2609">
        <v>231</v>
      </c>
      <c r="H2609" t="str">
        <f>VLOOKUP(G2609,[1]OPERADORES!$A:$B,2,0)</f>
        <v>EDIJANE</v>
      </c>
      <c r="I2609" t="s">
        <v>21</v>
      </c>
      <c r="J2609" t="s">
        <v>730</v>
      </c>
      <c r="K2609" t="s">
        <v>731</v>
      </c>
      <c r="L2609">
        <v>10297</v>
      </c>
      <c r="M2609" t="s">
        <v>41</v>
      </c>
      <c r="O2609" t="s">
        <v>11</v>
      </c>
      <c r="P2609">
        <v>5102</v>
      </c>
      <c r="Q2609">
        <v>48</v>
      </c>
      <c r="R2609">
        <v>10.89</v>
      </c>
      <c r="S2609">
        <v>522.72</v>
      </c>
      <c r="T2609">
        <v>440.16</v>
      </c>
      <c r="U2609">
        <v>15.79</v>
      </c>
      <c r="V2609" t="str">
        <f>VLOOKUP(L2609,'[2]tabela de preços'!$A:$D,4,0)</f>
        <v>ANJO</v>
      </c>
      <c r="W2609" t="str">
        <f>VLOOKUP(L2609,'[2]tabela de preços'!$A:$F,6,0)</f>
        <v>THINNER DE LIMPEZA</v>
      </c>
      <c r="X2609" t="str">
        <f>VLOOKUP(L2609,'[2]tabela de preços'!$A:$G,7,0)</f>
        <v>THINNER</v>
      </c>
    </row>
    <row r="2610" spans="1:24" x14ac:dyDescent="0.3">
      <c r="A2610" t="s">
        <v>770</v>
      </c>
      <c r="C2610" t="s">
        <v>2608</v>
      </c>
      <c r="D2610" s="1">
        <v>46058</v>
      </c>
      <c r="E2610" t="s">
        <v>2609</v>
      </c>
      <c r="F2610">
        <v>9</v>
      </c>
      <c r="G2610">
        <v>230</v>
      </c>
      <c r="H2610" t="str">
        <f>VLOOKUP(G2610,[1]OPERADORES!$A:$B,2,0)</f>
        <v>SÔNIA</v>
      </c>
      <c r="I2610" t="s">
        <v>21</v>
      </c>
      <c r="J2610" t="s">
        <v>397</v>
      </c>
      <c r="K2610" t="s">
        <v>773</v>
      </c>
      <c r="L2610">
        <v>84557</v>
      </c>
      <c r="M2610" t="s">
        <v>116</v>
      </c>
      <c r="O2610" t="s">
        <v>11</v>
      </c>
      <c r="P2610">
        <v>5102</v>
      </c>
      <c r="Q2610">
        <v>3</v>
      </c>
      <c r="R2610">
        <v>17.489999999999998</v>
      </c>
      <c r="S2610">
        <v>52.47</v>
      </c>
      <c r="T2610">
        <v>41.88</v>
      </c>
      <c r="U2610">
        <v>20.18</v>
      </c>
      <c r="V2610" t="str">
        <f>VLOOKUP(L2610,'[2]tabela de preços'!$A:$D,4,0)</f>
        <v>BRASILUX</v>
      </c>
      <c r="W2610" t="str">
        <f>VLOOKUP(L2610,'[2]tabela de preços'!$A:$F,6,0)</f>
        <v>DILUENTE</v>
      </c>
      <c r="X2610" t="str">
        <f>VLOOKUP(L2610,'[2]tabela de preços'!$A:$G,7,0)</f>
        <v>AUTOMOTIVO</v>
      </c>
    </row>
    <row r="2611" spans="1:24" x14ac:dyDescent="0.3">
      <c r="A2611" t="s">
        <v>770</v>
      </c>
      <c r="C2611" t="s">
        <v>2608</v>
      </c>
      <c r="D2611" s="1">
        <v>46058</v>
      </c>
      <c r="E2611" t="s">
        <v>2609</v>
      </c>
      <c r="F2611">
        <v>9</v>
      </c>
      <c r="G2611">
        <v>230</v>
      </c>
      <c r="H2611" t="str">
        <f>VLOOKUP(G2611,[1]OPERADORES!$A:$B,2,0)</f>
        <v>SÔNIA</v>
      </c>
      <c r="I2611" t="s">
        <v>21</v>
      </c>
      <c r="J2611" t="s">
        <v>397</v>
      </c>
      <c r="K2611" t="s">
        <v>773</v>
      </c>
      <c r="L2611">
        <v>23653</v>
      </c>
      <c r="M2611" t="s">
        <v>644</v>
      </c>
      <c r="O2611" t="s">
        <v>11</v>
      </c>
      <c r="P2611">
        <v>5102</v>
      </c>
      <c r="Q2611">
        <v>2</v>
      </c>
      <c r="R2611">
        <v>67.150000000000006</v>
      </c>
      <c r="S2611">
        <v>134.30000000000001</v>
      </c>
      <c r="T2611">
        <v>101.94</v>
      </c>
      <c r="U2611">
        <v>24.1</v>
      </c>
      <c r="V2611" t="str">
        <f>VLOOKUP(L2611,'[2]tabela de preços'!$A:$D,4,0)</f>
        <v>SIKKENS</v>
      </c>
      <c r="W2611" t="str">
        <f>VLOOKUP(L2611,'[2]tabela de preços'!$A:$F,6,0)</f>
        <v>CATALISADORES INDIVIDUAS</v>
      </c>
      <c r="X2611" t="str">
        <f>VLOOKUP(L2611,'[2]tabela de preços'!$A:$G,7,0)</f>
        <v>AUTOMOTIVO</v>
      </c>
    </row>
    <row r="2612" spans="1:24" x14ac:dyDescent="0.3">
      <c r="A2612" t="s">
        <v>770</v>
      </c>
      <c r="C2612" t="s">
        <v>2608</v>
      </c>
      <c r="D2612" s="1">
        <v>46058</v>
      </c>
      <c r="E2612" t="s">
        <v>2609</v>
      </c>
      <c r="F2612">
        <v>9</v>
      </c>
      <c r="G2612">
        <v>230</v>
      </c>
      <c r="H2612" t="str">
        <f>VLOOKUP(G2612,[1]OPERADORES!$A:$B,2,0)</f>
        <v>SÔNIA</v>
      </c>
      <c r="I2612" t="s">
        <v>21</v>
      </c>
      <c r="J2612" t="s">
        <v>397</v>
      </c>
      <c r="K2612" t="s">
        <v>773</v>
      </c>
      <c r="L2612">
        <v>23926</v>
      </c>
      <c r="M2612" t="s">
        <v>645</v>
      </c>
      <c r="O2612" t="s">
        <v>11</v>
      </c>
      <c r="P2612">
        <v>5403</v>
      </c>
      <c r="Q2612">
        <v>1</v>
      </c>
      <c r="R2612">
        <v>147.1</v>
      </c>
      <c r="S2612">
        <v>147.1</v>
      </c>
      <c r="T2612">
        <v>98.89</v>
      </c>
      <c r="U2612">
        <v>32.770000000000003</v>
      </c>
      <c r="V2612" t="str">
        <f>VLOOKUP(L2612,'[2]tabela de preços'!$A:$D,4,0)</f>
        <v>SIKKENS</v>
      </c>
      <c r="W2612" t="str">
        <f>VLOOKUP(L2612,'[2]tabela de preços'!$A:$F,6,0)</f>
        <v>PRIMER AUTOMOTIVO</v>
      </c>
      <c r="X2612" t="str">
        <f>VLOOKUP(L2612,'[2]tabela de preços'!$A:$G,7,0)</f>
        <v>AUTOMOTIVO</v>
      </c>
    </row>
    <row r="2613" spans="1:24" x14ac:dyDescent="0.3">
      <c r="A2613" t="s">
        <v>2488</v>
      </c>
      <c r="B2613" t="s">
        <v>2489</v>
      </c>
      <c r="C2613" t="s">
        <v>2490</v>
      </c>
      <c r="D2613" s="1">
        <v>46056</v>
      </c>
      <c r="E2613" t="s">
        <v>2491</v>
      </c>
      <c r="F2613">
        <v>9</v>
      </c>
      <c r="G2613">
        <v>197</v>
      </c>
      <c r="H2613" t="str">
        <f>VLOOKUP(G2613,[1]OPERADORES!$A:$B,2,0)</f>
        <v xml:space="preserve">POLIANA LORRANE DE AMORIM </v>
      </c>
      <c r="I2613" t="s">
        <v>282</v>
      </c>
      <c r="J2613" t="s">
        <v>2492</v>
      </c>
      <c r="K2613" t="s">
        <v>2493</v>
      </c>
      <c r="L2613">
        <v>85135</v>
      </c>
      <c r="M2613" t="s">
        <v>2494</v>
      </c>
      <c r="O2613" t="s">
        <v>11</v>
      </c>
      <c r="P2613">
        <v>6403</v>
      </c>
      <c r="Q2613">
        <v>16</v>
      </c>
      <c r="R2613">
        <v>147.53</v>
      </c>
      <c r="S2613" s="2">
        <v>2360.48</v>
      </c>
      <c r="T2613" s="2">
        <v>1430.56</v>
      </c>
      <c r="U2613">
        <v>39.4</v>
      </c>
      <c r="V2613" t="str">
        <f>VLOOKUP(L2613,'[2]tabela de preços'!$A:$D,4,0)</f>
        <v>BRASILUX</v>
      </c>
      <c r="W2613" t="str">
        <f>VLOOKUP(L2613,'[2]tabela de preços'!$A:$F,6,0)</f>
        <v>TINTA DE LABORATÓRIO</v>
      </c>
      <c r="X2613" t="str">
        <f>VLOOKUP(L2613,'[2]tabela de preços'!$A:$G,7,0)</f>
        <v>AUTOMOTIVO</v>
      </c>
    </row>
    <row r="2614" spans="1:24" x14ac:dyDescent="0.3">
      <c r="A2614" t="s">
        <v>2488</v>
      </c>
      <c r="B2614" t="s">
        <v>2489</v>
      </c>
      <c r="C2614" t="s">
        <v>2490</v>
      </c>
      <c r="D2614" s="1">
        <v>46056</v>
      </c>
      <c r="E2614" t="s">
        <v>2491</v>
      </c>
      <c r="F2614">
        <v>9</v>
      </c>
      <c r="G2614">
        <v>197</v>
      </c>
      <c r="H2614" t="str">
        <f>VLOOKUP(G2614,[1]OPERADORES!$A:$B,2,0)</f>
        <v xml:space="preserve">POLIANA LORRANE DE AMORIM </v>
      </c>
      <c r="I2614" t="s">
        <v>282</v>
      </c>
      <c r="J2614" t="s">
        <v>2492</v>
      </c>
      <c r="K2614" t="s">
        <v>2493</v>
      </c>
      <c r="L2614">
        <v>85280</v>
      </c>
      <c r="M2614" t="s">
        <v>943</v>
      </c>
      <c r="O2614" t="s">
        <v>11</v>
      </c>
      <c r="P2614">
        <v>6102</v>
      </c>
      <c r="Q2614">
        <v>16</v>
      </c>
      <c r="R2614">
        <v>55.72</v>
      </c>
      <c r="S2614">
        <v>891.52</v>
      </c>
      <c r="T2614">
        <v>676.64</v>
      </c>
      <c r="U2614">
        <v>24.1</v>
      </c>
      <c r="V2614" t="str">
        <f>VLOOKUP(L2614,'[2]tabela de preços'!$A:$D,4,0)</f>
        <v>BRASILUX</v>
      </c>
      <c r="W2614" t="str">
        <f>VLOOKUP(L2614,'[2]tabela de preços'!$A:$F,6,0)</f>
        <v>CATALISADORES INDIVIDUAIS</v>
      </c>
      <c r="X2614" t="str">
        <f>VLOOKUP(L2614,'[2]tabela de preços'!$A:$G,7,0)</f>
        <v>IMOBILIÁRIO</v>
      </c>
    </row>
    <row r="2615" spans="1:24" x14ac:dyDescent="0.3">
      <c r="A2615" t="s">
        <v>2488</v>
      </c>
      <c r="B2615" t="s">
        <v>2489</v>
      </c>
      <c r="C2615" t="s">
        <v>2490</v>
      </c>
      <c r="D2615" s="1">
        <v>46056</v>
      </c>
      <c r="E2615" t="s">
        <v>2491</v>
      </c>
      <c r="F2615">
        <v>9</v>
      </c>
      <c r="G2615">
        <v>197</v>
      </c>
      <c r="H2615" t="str">
        <f>VLOOKUP(G2615,[1]OPERADORES!$A:$B,2,0)</f>
        <v xml:space="preserve">POLIANA LORRANE DE AMORIM </v>
      </c>
      <c r="I2615" t="s">
        <v>282</v>
      </c>
      <c r="J2615" t="s">
        <v>2492</v>
      </c>
      <c r="K2615" t="s">
        <v>2493</v>
      </c>
      <c r="L2615">
        <v>10277</v>
      </c>
      <c r="M2615" t="s">
        <v>135</v>
      </c>
      <c r="O2615" t="s">
        <v>11</v>
      </c>
      <c r="P2615">
        <v>6102</v>
      </c>
      <c r="Q2615">
        <v>30</v>
      </c>
      <c r="R2615">
        <v>15.89</v>
      </c>
      <c r="S2615">
        <v>476.7</v>
      </c>
      <c r="T2615">
        <v>386.4</v>
      </c>
      <c r="U2615">
        <v>18.940000000000001</v>
      </c>
      <c r="V2615" t="str">
        <f>VLOOKUP(L2615,'[2]tabela de preços'!$A:$D,4,0)</f>
        <v>RETOQUE</v>
      </c>
      <c r="W2615" t="str">
        <f>VLOOKUP(L2615,'[2]tabela de preços'!$A:$F,6,0)</f>
        <v xml:space="preserve">COLA  PLÁSTICA </v>
      </c>
      <c r="X2615" t="str">
        <f>VLOOKUP(L2615,'[2]tabela de preços'!$A:$G,7,0)</f>
        <v>AUTOMOTIVO</v>
      </c>
    </row>
    <row r="2616" spans="1:24" x14ac:dyDescent="0.3">
      <c r="A2616" t="s">
        <v>2495</v>
      </c>
      <c r="C2616" t="s">
        <v>2496</v>
      </c>
      <c r="D2616" s="1">
        <v>46056</v>
      </c>
      <c r="E2616" t="s">
        <v>2497</v>
      </c>
      <c r="F2616">
        <v>9</v>
      </c>
      <c r="G2616">
        <v>236</v>
      </c>
      <c r="H2616" t="str">
        <f>VLOOKUP(G2616,[1]OPERADORES!$A:$B,2,0)</f>
        <v>DANIEL</v>
      </c>
      <c r="I2616" t="s">
        <v>21</v>
      </c>
      <c r="J2616" t="s">
        <v>2498</v>
      </c>
      <c r="K2616" t="s">
        <v>2499</v>
      </c>
      <c r="L2616">
        <v>23069</v>
      </c>
      <c r="M2616" t="s">
        <v>2500</v>
      </c>
      <c r="O2616" t="s">
        <v>11</v>
      </c>
      <c r="P2616">
        <v>5403</v>
      </c>
      <c r="Q2616">
        <v>6</v>
      </c>
      <c r="R2616">
        <v>46.54</v>
      </c>
      <c r="S2616">
        <v>279.24</v>
      </c>
      <c r="T2616">
        <v>204.72</v>
      </c>
      <c r="U2616">
        <v>26.69</v>
      </c>
      <c r="V2616" t="str">
        <f>VLOOKUP(L2616,'[2]tabela de preços'!$A:$D,4,0)</f>
        <v>WANDA</v>
      </c>
      <c r="W2616" t="str">
        <f>VLOOKUP(L2616,'[2]tabela de preços'!$A:$F,6,0)</f>
        <v>PRIMER AUTOMOTIVO</v>
      </c>
      <c r="X2616" t="str">
        <f>VLOOKUP(L2616,'[2]tabela de preços'!$A:$G,7,0)</f>
        <v>AUTOMOTIVO</v>
      </c>
    </row>
    <row r="2617" spans="1:24" x14ac:dyDescent="0.3">
      <c r="A2617" t="s">
        <v>2495</v>
      </c>
      <c r="C2617" t="s">
        <v>2764</v>
      </c>
      <c r="D2617" s="1">
        <v>46059</v>
      </c>
      <c r="E2617" t="s">
        <v>2765</v>
      </c>
      <c r="F2617">
        <v>9</v>
      </c>
      <c r="G2617">
        <v>236</v>
      </c>
      <c r="H2617" t="str">
        <f>VLOOKUP(G2617,[1]OPERADORES!$A:$B,2,0)</f>
        <v>DANIEL</v>
      </c>
      <c r="I2617" t="s">
        <v>21</v>
      </c>
      <c r="J2617" t="s">
        <v>2498</v>
      </c>
      <c r="K2617" t="s">
        <v>2499</v>
      </c>
      <c r="L2617">
        <v>84565</v>
      </c>
      <c r="M2617" t="s">
        <v>236</v>
      </c>
      <c r="O2617" t="s">
        <v>11</v>
      </c>
      <c r="P2617">
        <v>5102</v>
      </c>
      <c r="Q2617">
        <v>1</v>
      </c>
      <c r="R2617">
        <v>9.24</v>
      </c>
      <c r="S2617">
        <v>9.24</v>
      </c>
      <c r="T2617">
        <v>7.01</v>
      </c>
      <c r="U2617">
        <v>24.13</v>
      </c>
      <c r="V2617" t="str">
        <f>VLOOKUP(L2617,'[2]tabela de preços'!$A:$D,4,0)</f>
        <v>BRASILUX</v>
      </c>
      <c r="W2617" t="str">
        <f>VLOOKUP(L2617,'[2]tabela de preços'!$A:$F,6,0)</f>
        <v>PRETO FOSCO VINÍLICO</v>
      </c>
      <c r="X2617" t="str">
        <f>VLOOKUP(L2617,'[2]tabela de preços'!$A:$G,7,0)</f>
        <v>AUTOMOTIVO</v>
      </c>
    </row>
    <row r="2618" spans="1:24" x14ac:dyDescent="0.3">
      <c r="A2618" t="s">
        <v>2495</v>
      </c>
      <c r="C2618" t="s">
        <v>2764</v>
      </c>
      <c r="D2618" s="1">
        <v>46059</v>
      </c>
      <c r="E2618" t="s">
        <v>2765</v>
      </c>
      <c r="F2618">
        <v>9</v>
      </c>
      <c r="G2618">
        <v>236</v>
      </c>
      <c r="H2618" t="str">
        <f>VLOOKUP(G2618,[1]OPERADORES!$A:$B,2,0)</f>
        <v>DANIEL</v>
      </c>
      <c r="I2618" t="s">
        <v>21</v>
      </c>
      <c r="J2618" t="s">
        <v>2498</v>
      </c>
      <c r="K2618" t="s">
        <v>2499</v>
      </c>
      <c r="L2618">
        <v>20461</v>
      </c>
      <c r="M2618" t="s">
        <v>1085</v>
      </c>
      <c r="O2618" t="s">
        <v>11</v>
      </c>
      <c r="P2618">
        <v>5102</v>
      </c>
      <c r="Q2618">
        <v>6</v>
      </c>
      <c r="R2618">
        <v>57.23</v>
      </c>
      <c r="S2618">
        <v>343.38</v>
      </c>
      <c r="T2618">
        <v>260.64</v>
      </c>
      <c r="U2618">
        <v>24.1</v>
      </c>
      <c r="V2618" t="str">
        <f>VLOOKUP(L2618,'[2]tabela de preços'!$A:$D,4,0)</f>
        <v>SHERWIN WILLIAMS</v>
      </c>
      <c r="W2618" t="str">
        <f>VLOOKUP(L2618,'[2]tabela de preços'!$A:$F,6,0)</f>
        <v>VERNIZ AUTOMOTIVO</v>
      </c>
      <c r="X2618" t="str">
        <f>VLOOKUP(L2618,'[2]tabela de preços'!$A:$G,7,0)</f>
        <v>AUTOMOTIVO</v>
      </c>
    </row>
    <row r="2619" spans="1:24" x14ac:dyDescent="0.3">
      <c r="A2619" t="s">
        <v>2495</v>
      </c>
      <c r="C2619" t="s">
        <v>2764</v>
      </c>
      <c r="D2619" s="1">
        <v>46059</v>
      </c>
      <c r="E2619" t="s">
        <v>2765</v>
      </c>
      <c r="F2619">
        <v>9</v>
      </c>
      <c r="G2619">
        <v>236</v>
      </c>
      <c r="H2619" t="str">
        <f>VLOOKUP(G2619,[1]OPERADORES!$A:$B,2,0)</f>
        <v>DANIEL</v>
      </c>
      <c r="I2619" t="s">
        <v>21</v>
      </c>
      <c r="J2619" t="s">
        <v>2498</v>
      </c>
      <c r="K2619" t="s">
        <v>2499</v>
      </c>
      <c r="L2619">
        <v>84864</v>
      </c>
      <c r="M2619" t="s">
        <v>2766</v>
      </c>
      <c r="O2619" t="s">
        <v>11</v>
      </c>
      <c r="P2619">
        <v>5403</v>
      </c>
      <c r="Q2619">
        <v>2</v>
      </c>
      <c r="R2619">
        <v>22.04</v>
      </c>
      <c r="S2619">
        <v>44.08</v>
      </c>
      <c r="T2619">
        <v>33.46</v>
      </c>
      <c r="U2619">
        <v>24.09</v>
      </c>
      <c r="V2619" t="str">
        <f>VLOOKUP(L2619,'[2]tabela de preços'!$A:$D,4,0)</f>
        <v>BRASILUX</v>
      </c>
      <c r="W2619" t="str">
        <f>VLOOKUP(L2619,'[2]tabela de preços'!$A:$F,6,0)</f>
        <v>ESMALTES</v>
      </c>
      <c r="X2619" t="str">
        <f>VLOOKUP(L2619,'[2]tabela de preços'!$A:$G,7,0)</f>
        <v>INDUSTRIAL</v>
      </c>
    </row>
    <row r="2620" spans="1:24" x14ac:dyDescent="0.3">
      <c r="A2620" t="s">
        <v>2495</v>
      </c>
      <c r="C2620" t="s">
        <v>2764</v>
      </c>
      <c r="D2620" s="1">
        <v>46059</v>
      </c>
      <c r="E2620" t="s">
        <v>2765</v>
      </c>
      <c r="F2620">
        <v>9</v>
      </c>
      <c r="G2620">
        <v>236</v>
      </c>
      <c r="H2620" t="str">
        <f>VLOOKUP(G2620,[1]OPERADORES!$A:$B,2,0)</f>
        <v>DANIEL</v>
      </c>
      <c r="I2620" t="s">
        <v>21</v>
      </c>
      <c r="J2620" t="s">
        <v>2498</v>
      </c>
      <c r="K2620" t="s">
        <v>2499</v>
      </c>
      <c r="L2620">
        <v>21037</v>
      </c>
      <c r="M2620" t="s">
        <v>108</v>
      </c>
      <c r="O2620" t="s">
        <v>11</v>
      </c>
      <c r="P2620">
        <v>5102</v>
      </c>
      <c r="Q2620">
        <v>4</v>
      </c>
      <c r="R2620">
        <v>17.03</v>
      </c>
      <c r="S2620">
        <v>68.12</v>
      </c>
      <c r="T2620">
        <v>51.68</v>
      </c>
      <c r="U2620">
        <v>24.13</v>
      </c>
      <c r="V2620" t="str">
        <f>VLOOKUP(L2620,'[2]tabela de preços'!$A:$D,4,0)</f>
        <v>SHERWIN WILLIAMS</v>
      </c>
      <c r="W2620" t="str">
        <f>VLOOKUP(L2620,'[2]tabela de preços'!$A:$F,6,0)</f>
        <v>CATALISADORES INDIVIDUAS</v>
      </c>
      <c r="X2620" t="str">
        <f>VLOOKUP(L2620,'[2]tabela de preços'!$A:$G,7,0)</f>
        <v>AUTOMOTIVO</v>
      </c>
    </row>
    <row r="2621" spans="1:24" x14ac:dyDescent="0.3">
      <c r="A2621" t="s">
        <v>2495</v>
      </c>
      <c r="C2621" t="s">
        <v>2764</v>
      </c>
      <c r="D2621" s="1">
        <v>46059</v>
      </c>
      <c r="E2621" t="s">
        <v>2765</v>
      </c>
      <c r="F2621">
        <v>9</v>
      </c>
      <c r="G2621">
        <v>236</v>
      </c>
      <c r="H2621" t="str">
        <f>VLOOKUP(G2621,[1]OPERADORES!$A:$B,2,0)</f>
        <v>DANIEL</v>
      </c>
      <c r="I2621" t="s">
        <v>21</v>
      </c>
      <c r="J2621" t="s">
        <v>2498</v>
      </c>
      <c r="K2621" t="s">
        <v>2499</v>
      </c>
      <c r="L2621">
        <v>20321</v>
      </c>
      <c r="M2621" t="s">
        <v>639</v>
      </c>
      <c r="O2621" t="s">
        <v>11</v>
      </c>
      <c r="P2621">
        <v>5403</v>
      </c>
      <c r="Q2621">
        <v>10</v>
      </c>
      <c r="R2621">
        <v>34.6</v>
      </c>
      <c r="S2621">
        <v>346</v>
      </c>
      <c r="T2621">
        <v>246.7</v>
      </c>
      <c r="U2621">
        <v>28.7</v>
      </c>
      <c r="V2621" t="str">
        <f>VLOOKUP(L2621,'[2]tabela de preços'!$A:$D,4,0)</f>
        <v>SHERWIN WILLIAMS</v>
      </c>
      <c r="W2621" t="str">
        <f>VLOOKUP(L2621,'[2]tabela de preços'!$A:$F,6,0)</f>
        <v>TINTAS POLIÉSTER</v>
      </c>
      <c r="X2621" t="str">
        <f>VLOOKUP(L2621,'[2]tabela de preços'!$A:$G,7,0)</f>
        <v>AUTOMOTIVO</v>
      </c>
    </row>
    <row r="2622" spans="1:24" x14ac:dyDescent="0.3">
      <c r="A2622" t="s">
        <v>2495</v>
      </c>
      <c r="C2622" t="s">
        <v>2764</v>
      </c>
      <c r="D2622" s="1">
        <v>46059</v>
      </c>
      <c r="E2622" t="s">
        <v>2765</v>
      </c>
      <c r="F2622">
        <v>9</v>
      </c>
      <c r="G2622">
        <v>236</v>
      </c>
      <c r="H2622" t="str">
        <f>VLOOKUP(G2622,[1]OPERADORES!$A:$B,2,0)</f>
        <v>DANIEL</v>
      </c>
      <c r="I2622" t="s">
        <v>21</v>
      </c>
      <c r="J2622" t="s">
        <v>2498</v>
      </c>
      <c r="K2622" t="s">
        <v>2499</v>
      </c>
      <c r="L2622">
        <v>87105</v>
      </c>
      <c r="M2622" t="s">
        <v>2767</v>
      </c>
      <c r="O2622" t="s">
        <v>11</v>
      </c>
      <c r="P2622">
        <v>5102</v>
      </c>
      <c r="Q2622">
        <v>4</v>
      </c>
      <c r="R2622">
        <v>35.049999999999997</v>
      </c>
      <c r="S2622">
        <v>140.19999999999999</v>
      </c>
      <c r="T2622">
        <v>106.4</v>
      </c>
      <c r="U2622">
        <v>24.11</v>
      </c>
      <c r="V2622" t="str">
        <f>VLOOKUP(L2622,'[2]tabela de preços'!$A:$D,4,0)</f>
        <v>SHERWIN WILLIAMS</v>
      </c>
      <c r="W2622" t="str">
        <f>VLOOKUP(L2622,'[2]tabela de preços'!$A:$F,6,0)</f>
        <v>TINTAS POLIÉSTER</v>
      </c>
      <c r="X2622" t="str">
        <f>VLOOKUP(L2622,'[2]tabela de preços'!$A:$G,7,0)</f>
        <v>AUTOMOTIVO</v>
      </c>
    </row>
    <row r="2623" spans="1:24" x14ac:dyDescent="0.3">
      <c r="A2623" t="s">
        <v>2495</v>
      </c>
      <c r="C2623" t="s">
        <v>2764</v>
      </c>
      <c r="D2623" s="1">
        <v>46059</v>
      </c>
      <c r="E2623" t="s">
        <v>2765</v>
      </c>
      <c r="F2623">
        <v>9</v>
      </c>
      <c r="G2623">
        <v>236</v>
      </c>
      <c r="H2623" t="str">
        <f>VLOOKUP(G2623,[1]OPERADORES!$A:$B,2,0)</f>
        <v>DANIEL</v>
      </c>
      <c r="I2623" t="s">
        <v>21</v>
      </c>
      <c r="J2623" t="s">
        <v>2498</v>
      </c>
      <c r="K2623" t="s">
        <v>2499</v>
      </c>
      <c r="L2623">
        <v>20454</v>
      </c>
      <c r="M2623" t="s">
        <v>1086</v>
      </c>
      <c r="O2623" t="s">
        <v>11</v>
      </c>
      <c r="P2623">
        <v>5403</v>
      </c>
      <c r="Q2623">
        <v>2</v>
      </c>
      <c r="R2623">
        <v>184.14</v>
      </c>
      <c r="S2623">
        <v>368.28</v>
      </c>
      <c r="T2623">
        <v>279.54000000000002</v>
      </c>
      <c r="U2623">
        <v>24.1</v>
      </c>
      <c r="V2623" t="str">
        <f>VLOOKUP(L2623,'[2]tabela de preços'!$A:$D,4,0)</f>
        <v>SHERWIN WILLIAMS</v>
      </c>
      <c r="W2623" t="str">
        <f>VLOOKUP(L2623,'[2]tabela de preços'!$A:$F,6,0)</f>
        <v>VERNIZ AUTOMOTIVO</v>
      </c>
      <c r="X2623" t="str">
        <f>VLOOKUP(L2623,'[2]tabela de preços'!$A:$G,7,0)</f>
        <v>AUTOMOTIVO</v>
      </c>
    </row>
    <row r="2624" spans="1:24" x14ac:dyDescent="0.3">
      <c r="A2624" t="s">
        <v>2495</v>
      </c>
      <c r="C2624" t="s">
        <v>2764</v>
      </c>
      <c r="D2624" s="1">
        <v>46059</v>
      </c>
      <c r="E2624" t="s">
        <v>2765</v>
      </c>
      <c r="F2624">
        <v>9</v>
      </c>
      <c r="G2624">
        <v>236</v>
      </c>
      <c r="H2624" t="str">
        <f>VLOOKUP(G2624,[1]OPERADORES!$A:$B,2,0)</f>
        <v>DANIEL</v>
      </c>
      <c r="I2624" t="s">
        <v>21</v>
      </c>
      <c r="J2624" t="s">
        <v>2498</v>
      </c>
      <c r="K2624" t="s">
        <v>2499</v>
      </c>
      <c r="L2624">
        <v>85363</v>
      </c>
      <c r="M2624" t="s">
        <v>237</v>
      </c>
      <c r="O2624" t="s">
        <v>11</v>
      </c>
      <c r="P2624">
        <v>5102</v>
      </c>
      <c r="Q2624">
        <v>1</v>
      </c>
      <c r="R2624">
        <v>23.95</v>
      </c>
      <c r="S2624">
        <v>23.95</v>
      </c>
      <c r="T2624">
        <v>18.18</v>
      </c>
      <c r="U2624">
        <v>24.09</v>
      </c>
      <c r="V2624" t="str">
        <f>VLOOKUP(L2624,'[2]tabela de preços'!$A:$D,4,0)</f>
        <v>BRASILUX</v>
      </c>
      <c r="W2624" t="str">
        <f>VLOOKUP(L2624,'[2]tabela de preços'!$A:$F,6,0)</f>
        <v>PRETO FOSCO VINÍLICO</v>
      </c>
      <c r="X2624" t="str">
        <f>VLOOKUP(L2624,'[2]tabela de preços'!$A:$G,7,0)</f>
        <v>AUTOMOTIVO</v>
      </c>
    </row>
    <row r="2625" spans="1:24" x14ac:dyDescent="0.3">
      <c r="A2625" t="s">
        <v>2610</v>
      </c>
      <c r="C2625" t="s">
        <v>2611</v>
      </c>
      <c r="D2625" s="1">
        <v>46057</v>
      </c>
      <c r="E2625" t="s">
        <v>2612</v>
      </c>
      <c r="F2625">
        <v>9</v>
      </c>
      <c r="G2625">
        <v>174</v>
      </c>
      <c r="H2625" t="str">
        <f>VLOOKUP(G2625,[1]OPERADORES!$A:$B,2,0)</f>
        <v>MIRIÃ LOBATO RODRIGUES</v>
      </c>
      <c r="I2625" t="s">
        <v>21</v>
      </c>
      <c r="J2625" t="s">
        <v>372</v>
      </c>
      <c r="K2625" t="s">
        <v>2613</v>
      </c>
      <c r="L2625">
        <v>84384</v>
      </c>
      <c r="M2625" t="s">
        <v>1529</v>
      </c>
      <c r="O2625" t="s">
        <v>11</v>
      </c>
      <c r="P2625">
        <v>5403</v>
      </c>
      <c r="Q2625">
        <v>6</v>
      </c>
      <c r="R2625">
        <v>159.9</v>
      </c>
      <c r="S2625">
        <v>959.4</v>
      </c>
      <c r="T2625">
        <v>825.66</v>
      </c>
      <c r="U2625">
        <v>13.94</v>
      </c>
      <c r="V2625" t="str">
        <f>VLOOKUP(L2625,'[2]tabela de preços'!$A:$D,4,0)</f>
        <v>BRASILUX</v>
      </c>
      <c r="W2625" t="str">
        <f>VLOOKUP(L2625,'[2]tabela de preços'!$A:$F,6,0)</f>
        <v>TINTA PARA PISO</v>
      </c>
      <c r="X2625" t="str">
        <f>VLOOKUP(L2625,'[2]tabela de preços'!$A:$G,7,0)</f>
        <v>IMOBILIÁRIO</v>
      </c>
    </row>
    <row r="2626" spans="1:24" x14ac:dyDescent="0.3">
      <c r="A2626" t="s">
        <v>2610</v>
      </c>
      <c r="C2626" t="s">
        <v>2768</v>
      </c>
      <c r="D2626" s="1">
        <v>46059</v>
      </c>
      <c r="E2626" t="s">
        <v>2769</v>
      </c>
      <c r="F2626">
        <v>9</v>
      </c>
      <c r="G2626">
        <v>174</v>
      </c>
      <c r="H2626" t="str">
        <f>VLOOKUP(G2626,[1]OPERADORES!$A:$B,2,0)</f>
        <v>MIRIÃ LOBATO RODRIGUES</v>
      </c>
      <c r="I2626" t="s">
        <v>21</v>
      </c>
      <c r="J2626" t="s">
        <v>372</v>
      </c>
      <c r="K2626" t="s">
        <v>2613</v>
      </c>
      <c r="L2626">
        <v>84382</v>
      </c>
      <c r="M2626" t="s">
        <v>835</v>
      </c>
      <c r="O2626" t="s">
        <v>11</v>
      </c>
      <c r="P2626">
        <v>5403</v>
      </c>
      <c r="Q2626">
        <v>5</v>
      </c>
      <c r="R2626">
        <v>159.9</v>
      </c>
      <c r="S2626">
        <v>799.5</v>
      </c>
      <c r="T2626">
        <v>688.05</v>
      </c>
      <c r="U2626">
        <v>13.94</v>
      </c>
      <c r="V2626" t="str">
        <f>VLOOKUP(L2626,'[2]tabela de preços'!$A:$D,4,0)</f>
        <v>BRASILUX</v>
      </c>
      <c r="W2626" t="str">
        <f>VLOOKUP(L2626,'[2]tabela de preços'!$A:$F,6,0)</f>
        <v>TINTA PARA PISO</v>
      </c>
      <c r="X2626" t="str">
        <f>VLOOKUP(L2626,'[2]tabela de preços'!$A:$G,7,0)</f>
        <v>IMOBILIÁRIO</v>
      </c>
    </row>
    <row r="2627" spans="1:24" x14ac:dyDescent="0.3">
      <c r="A2627" t="s">
        <v>2610</v>
      </c>
      <c r="C2627" t="s">
        <v>2768</v>
      </c>
      <c r="D2627" s="1">
        <v>46059</v>
      </c>
      <c r="E2627" t="s">
        <v>2769</v>
      </c>
      <c r="F2627">
        <v>9</v>
      </c>
      <c r="G2627">
        <v>174</v>
      </c>
      <c r="H2627" t="str">
        <f>VLOOKUP(G2627,[1]OPERADORES!$A:$B,2,0)</f>
        <v>MIRIÃ LOBATO RODRIGUES</v>
      </c>
      <c r="I2627" t="s">
        <v>21</v>
      </c>
      <c r="J2627" t="s">
        <v>372</v>
      </c>
      <c r="K2627" t="s">
        <v>2613</v>
      </c>
      <c r="L2627">
        <v>84824</v>
      </c>
      <c r="M2627" t="s">
        <v>1242</v>
      </c>
      <c r="O2627" t="s">
        <v>11</v>
      </c>
      <c r="P2627">
        <v>5102</v>
      </c>
      <c r="Q2627">
        <v>3</v>
      </c>
      <c r="R2627">
        <v>335.76</v>
      </c>
      <c r="S2627" s="2">
        <v>1007.28</v>
      </c>
      <c r="T2627">
        <v>738.48</v>
      </c>
      <c r="U2627">
        <v>26.69</v>
      </c>
      <c r="V2627" t="str">
        <f>VLOOKUP(L2627,'[2]tabela de preços'!$A:$D,4,0)</f>
        <v>BRASILUX</v>
      </c>
      <c r="W2627" t="str">
        <f>VLOOKUP(L2627,'[2]tabela de preços'!$A:$F,6,0)</f>
        <v>DILUENTE</v>
      </c>
      <c r="X2627" t="str">
        <f>VLOOKUP(L2627,'[2]tabela de preços'!$A:$G,7,0)</f>
        <v>AUTOMOTIVO</v>
      </c>
    </row>
    <row r="2628" spans="1:24" x14ac:dyDescent="0.3">
      <c r="A2628" t="s">
        <v>2610</v>
      </c>
      <c r="C2628" t="s">
        <v>2768</v>
      </c>
      <c r="D2628" s="1">
        <v>46059</v>
      </c>
      <c r="E2628" t="s">
        <v>2769</v>
      </c>
      <c r="F2628">
        <v>9</v>
      </c>
      <c r="G2628">
        <v>174</v>
      </c>
      <c r="H2628" t="str">
        <f>VLOOKUP(G2628,[1]OPERADORES!$A:$B,2,0)</f>
        <v>MIRIÃ LOBATO RODRIGUES</v>
      </c>
      <c r="I2628" t="s">
        <v>21</v>
      </c>
      <c r="J2628" t="s">
        <v>372</v>
      </c>
      <c r="K2628" t="s">
        <v>2613</v>
      </c>
      <c r="L2628">
        <v>84928</v>
      </c>
      <c r="M2628" t="s">
        <v>36</v>
      </c>
      <c r="O2628" t="s">
        <v>11</v>
      </c>
      <c r="P2628">
        <v>5102</v>
      </c>
      <c r="Q2628">
        <v>35</v>
      </c>
      <c r="R2628">
        <v>9.7200000000000006</v>
      </c>
      <c r="S2628">
        <v>340.2</v>
      </c>
      <c r="T2628">
        <v>249.55</v>
      </c>
      <c r="U2628">
        <v>26.65</v>
      </c>
      <c r="V2628" t="str">
        <f>VLOOKUP(L2628,'[2]tabela de preços'!$A:$D,4,0)</f>
        <v>ADERE</v>
      </c>
      <c r="W2628" t="str">
        <f>VLOOKUP(L2628,'[2]tabela de preços'!$A:$F,6,0)</f>
        <v xml:space="preserve">FITA DE USO GERAL </v>
      </c>
      <c r="X2628" t="str">
        <f>VLOOKUP(L2628,'[2]tabela de preços'!$A:$G,7,0)</f>
        <v>IMOBILIÁRIO</v>
      </c>
    </row>
    <row r="2629" spans="1:24" x14ac:dyDescent="0.3">
      <c r="A2629" t="s">
        <v>2610</v>
      </c>
      <c r="C2629" t="s">
        <v>2768</v>
      </c>
      <c r="D2629" s="1">
        <v>46059</v>
      </c>
      <c r="E2629" t="s">
        <v>2769</v>
      </c>
      <c r="F2629">
        <v>9</v>
      </c>
      <c r="G2629">
        <v>174</v>
      </c>
      <c r="H2629" t="str">
        <f>VLOOKUP(G2629,[1]OPERADORES!$A:$B,2,0)</f>
        <v>MIRIÃ LOBATO RODRIGUES</v>
      </c>
      <c r="I2629" t="s">
        <v>21</v>
      </c>
      <c r="J2629" t="s">
        <v>372</v>
      </c>
      <c r="K2629" t="s">
        <v>2613</v>
      </c>
      <c r="L2629">
        <v>23878</v>
      </c>
      <c r="M2629" t="s">
        <v>851</v>
      </c>
      <c r="O2629" t="s">
        <v>11</v>
      </c>
      <c r="P2629">
        <v>5102</v>
      </c>
      <c r="Q2629">
        <v>23</v>
      </c>
      <c r="R2629">
        <v>8.6999999999999993</v>
      </c>
      <c r="S2629">
        <v>200.1</v>
      </c>
      <c r="T2629">
        <v>134.32</v>
      </c>
      <c r="U2629">
        <v>32.869999999999997</v>
      </c>
      <c r="V2629" t="str">
        <f>VLOOKUP(L2629,'[2]tabela de preços'!$A:$D,4,0)</f>
        <v>ATLAS</v>
      </c>
      <c r="W2629" t="str">
        <f>VLOOKUP(L2629,'[2]tabela de preços'!$A:$F,6,0)</f>
        <v>ROLOS / TRINCHAS / PINCÉIS / ESPÁTULAS</v>
      </c>
      <c r="X2629" t="str">
        <f>VLOOKUP(L2629,'[2]tabela de preços'!$A:$G,7,0)</f>
        <v>IMOBILIÁRIO</v>
      </c>
    </row>
    <row r="2630" spans="1:24" x14ac:dyDescent="0.3">
      <c r="A2630" t="s">
        <v>2610</v>
      </c>
      <c r="C2630" t="s">
        <v>2768</v>
      </c>
      <c r="D2630" s="1">
        <v>46059</v>
      </c>
      <c r="E2630" t="s">
        <v>2769</v>
      </c>
      <c r="F2630">
        <v>9</v>
      </c>
      <c r="G2630">
        <v>174</v>
      </c>
      <c r="H2630" t="str">
        <f>VLOOKUP(G2630,[1]OPERADORES!$A:$B,2,0)</f>
        <v>MIRIÃ LOBATO RODRIGUES</v>
      </c>
      <c r="I2630" t="s">
        <v>21</v>
      </c>
      <c r="J2630" t="s">
        <v>372</v>
      </c>
      <c r="K2630" t="s">
        <v>2613</v>
      </c>
      <c r="L2630">
        <v>84785</v>
      </c>
      <c r="M2630" t="s">
        <v>944</v>
      </c>
      <c r="O2630" t="s">
        <v>11</v>
      </c>
      <c r="P2630">
        <v>5403</v>
      </c>
      <c r="Q2630">
        <v>24</v>
      </c>
      <c r="R2630">
        <v>178.31</v>
      </c>
      <c r="S2630" s="2">
        <v>4279.4399999999996</v>
      </c>
      <c r="T2630" s="2">
        <v>3137.28</v>
      </c>
      <c r="U2630">
        <v>26.69</v>
      </c>
      <c r="V2630" t="str">
        <f>VLOOKUP(L2630,'[2]tabela de preços'!$A:$D,4,0)</f>
        <v>BRASILUX</v>
      </c>
      <c r="W2630" t="str">
        <f>VLOOKUP(L2630,'[2]tabela de preços'!$A:$F,6,0)</f>
        <v>EPOXI</v>
      </c>
      <c r="X2630" t="str">
        <f>VLOOKUP(L2630,'[2]tabela de preços'!$A:$G,7,0)</f>
        <v>INDUSTRIAL</v>
      </c>
    </row>
    <row r="2631" spans="1:24" x14ac:dyDescent="0.3">
      <c r="A2631" t="s">
        <v>2610</v>
      </c>
      <c r="C2631" t="s">
        <v>2768</v>
      </c>
      <c r="D2631" s="1">
        <v>46059</v>
      </c>
      <c r="E2631" t="s">
        <v>2769</v>
      </c>
      <c r="F2631">
        <v>9</v>
      </c>
      <c r="G2631">
        <v>174</v>
      </c>
      <c r="H2631" t="str">
        <f>VLOOKUP(G2631,[1]OPERADORES!$A:$B,2,0)</f>
        <v>MIRIÃ LOBATO RODRIGUES</v>
      </c>
      <c r="I2631" t="s">
        <v>21</v>
      </c>
      <c r="J2631" t="s">
        <v>372</v>
      </c>
      <c r="K2631" t="s">
        <v>2613</v>
      </c>
      <c r="L2631">
        <v>84423</v>
      </c>
      <c r="M2631" t="s">
        <v>1198</v>
      </c>
      <c r="O2631" t="s">
        <v>11</v>
      </c>
      <c r="P2631">
        <v>5102</v>
      </c>
      <c r="Q2631">
        <v>10</v>
      </c>
      <c r="R2631">
        <v>18.440000000000001</v>
      </c>
      <c r="S2631">
        <v>184.4</v>
      </c>
      <c r="T2631">
        <v>135.19999999999999</v>
      </c>
      <c r="U2631">
        <v>26.68</v>
      </c>
      <c r="V2631" t="str">
        <f>VLOOKUP(L2631,'[2]tabela de preços'!$A:$D,4,0)</f>
        <v>ATLAS</v>
      </c>
      <c r="W2631" t="str">
        <f>VLOOKUP(L2631,'[2]tabela de preços'!$A:$F,6,0)</f>
        <v>ROLOS / TRINCHAS / PINCÉIS / ESPÁTULAS</v>
      </c>
      <c r="X2631" t="str">
        <f>VLOOKUP(L2631,'[2]tabela de preços'!$A:$G,7,0)</f>
        <v>IMOBILIÁRIO</v>
      </c>
    </row>
    <row r="2632" spans="1:24" x14ac:dyDescent="0.3">
      <c r="A2632" t="s">
        <v>2610</v>
      </c>
      <c r="C2632" t="s">
        <v>2768</v>
      </c>
      <c r="D2632" s="1">
        <v>46059</v>
      </c>
      <c r="E2632" t="s">
        <v>2769</v>
      </c>
      <c r="F2632">
        <v>9</v>
      </c>
      <c r="G2632">
        <v>174</v>
      </c>
      <c r="H2632" t="str">
        <f>VLOOKUP(G2632,[1]OPERADORES!$A:$B,2,0)</f>
        <v>MIRIÃ LOBATO RODRIGUES</v>
      </c>
      <c r="I2632" t="s">
        <v>21</v>
      </c>
      <c r="J2632" t="s">
        <v>372</v>
      </c>
      <c r="K2632" t="s">
        <v>2613</v>
      </c>
      <c r="L2632">
        <v>84422</v>
      </c>
      <c r="M2632" t="s">
        <v>569</v>
      </c>
      <c r="O2632" t="s">
        <v>11</v>
      </c>
      <c r="P2632">
        <v>5102</v>
      </c>
      <c r="Q2632">
        <v>4</v>
      </c>
      <c r="R2632">
        <v>9.65</v>
      </c>
      <c r="S2632">
        <v>38.6</v>
      </c>
      <c r="T2632">
        <v>28.32</v>
      </c>
      <c r="U2632">
        <v>26.63</v>
      </c>
      <c r="V2632" t="str">
        <f>VLOOKUP(L2632,'[2]tabela de preços'!$A:$D,4,0)</f>
        <v>ATLAS</v>
      </c>
      <c r="W2632" t="str">
        <f>VLOOKUP(L2632,'[2]tabela de preços'!$A:$F,6,0)</f>
        <v>ROLOS / TRINCHAS / PINCÉIS / ESPÁTULAS</v>
      </c>
      <c r="X2632" t="str">
        <f>VLOOKUP(L2632,'[2]tabela de preços'!$A:$G,7,0)</f>
        <v>IMOBILIÁRIO</v>
      </c>
    </row>
    <row r="2633" spans="1:24" x14ac:dyDescent="0.3">
      <c r="A2633" t="s">
        <v>2610</v>
      </c>
      <c r="C2633" t="s">
        <v>2768</v>
      </c>
      <c r="D2633" s="1">
        <v>46059</v>
      </c>
      <c r="E2633" t="s">
        <v>2769</v>
      </c>
      <c r="F2633">
        <v>9</v>
      </c>
      <c r="G2633">
        <v>174</v>
      </c>
      <c r="H2633" t="str">
        <f>VLOOKUP(G2633,[1]OPERADORES!$A:$B,2,0)</f>
        <v>MIRIÃ LOBATO RODRIGUES</v>
      </c>
      <c r="I2633" t="s">
        <v>21</v>
      </c>
      <c r="J2633" t="s">
        <v>372</v>
      </c>
      <c r="K2633" t="s">
        <v>2613</v>
      </c>
      <c r="L2633">
        <v>84897</v>
      </c>
      <c r="M2633" t="s">
        <v>852</v>
      </c>
      <c r="O2633" t="s">
        <v>11</v>
      </c>
      <c r="P2633">
        <v>5403</v>
      </c>
      <c r="Q2633">
        <v>6</v>
      </c>
      <c r="R2633">
        <v>239.02</v>
      </c>
      <c r="S2633" s="2">
        <v>1434.12</v>
      </c>
      <c r="T2633" s="2">
        <v>1051.3800000000001</v>
      </c>
      <c r="U2633">
        <v>26.69</v>
      </c>
      <c r="V2633" t="str">
        <f>VLOOKUP(L2633,'[2]tabela de preços'!$A:$D,4,0)</f>
        <v>BRASILUX</v>
      </c>
      <c r="W2633" t="str">
        <f>VLOOKUP(L2633,'[2]tabela de preços'!$A:$F,6,0)</f>
        <v>EPOXI</v>
      </c>
      <c r="X2633" t="str">
        <f>VLOOKUP(L2633,'[2]tabela de preços'!$A:$G,7,0)</f>
        <v>INDUSTRIAL</v>
      </c>
    </row>
    <row r="2634" spans="1:24" x14ac:dyDescent="0.3">
      <c r="A2634" t="s">
        <v>2610</v>
      </c>
      <c r="C2634" t="s">
        <v>2768</v>
      </c>
      <c r="D2634" s="1">
        <v>46059</v>
      </c>
      <c r="E2634" t="s">
        <v>2769</v>
      </c>
      <c r="F2634">
        <v>9</v>
      </c>
      <c r="G2634">
        <v>174</v>
      </c>
      <c r="H2634" t="str">
        <f>VLOOKUP(G2634,[1]OPERADORES!$A:$B,2,0)</f>
        <v>MIRIÃ LOBATO RODRIGUES</v>
      </c>
      <c r="I2634" t="s">
        <v>21</v>
      </c>
      <c r="J2634" t="s">
        <v>372</v>
      </c>
      <c r="K2634" t="s">
        <v>2613</v>
      </c>
      <c r="L2634">
        <v>84898</v>
      </c>
      <c r="M2634" t="s">
        <v>853</v>
      </c>
      <c r="O2634" t="s">
        <v>11</v>
      </c>
      <c r="P2634">
        <v>5403</v>
      </c>
      <c r="Q2634">
        <v>9</v>
      </c>
      <c r="R2634">
        <v>216.41</v>
      </c>
      <c r="S2634" s="2">
        <v>1947.69</v>
      </c>
      <c r="T2634" s="2">
        <v>1157.1300000000001</v>
      </c>
      <c r="U2634">
        <v>40.590000000000003</v>
      </c>
      <c r="V2634" t="str">
        <f>VLOOKUP(L2634,'[2]tabela de preços'!$A:$D,4,0)</f>
        <v>BRASILUX</v>
      </c>
      <c r="W2634" t="str">
        <f>VLOOKUP(L2634,'[2]tabela de preços'!$A:$F,6,0)</f>
        <v>EPOXI</v>
      </c>
      <c r="X2634" t="str">
        <f>VLOOKUP(L2634,'[2]tabela de preços'!$A:$G,7,0)</f>
        <v>INDUSTRIAL</v>
      </c>
    </row>
    <row r="2635" spans="1:24" x14ac:dyDescent="0.3">
      <c r="A2635" t="s">
        <v>2610</v>
      </c>
      <c r="C2635" t="s">
        <v>2768</v>
      </c>
      <c r="D2635" s="1">
        <v>46059</v>
      </c>
      <c r="E2635" t="s">
        <v>2769</v>
      </c>
      <c r="F2635">
        <v>9</v>
      </c>
      <c r="G2635">
        <v>174</v>
      </c>
      <c r="H2635" t="str">
        <f>VLOOKUP(G2635,[1]OPERADORES!$A:$B,2,0)</f>
        <v>MIRIÃ LOBATO RODRIGUES</v>
      </c>
      <c r="I2635" t="s">
        <v>21</v>
      </c>
      <c r="J2635" t="s">
        <v>372</v>
      </c>
      <c r="K2635" t="s">
        <v>2613</v>
      </c>
      <c r="L2635">
        <v>84899</v>
      </c>
      <c r="M2635" t="s">
        <v>854</v>
      </c>
      <c r="O2635" t="s">
        <v>11</v>
      </c>
      <c r="P2635">
        <v>5403</v>
      </c>
      <c r="Q2635">
        <v>3</v>
      </c>
      <c r="R2635">
        <v>175.37</v>
      </c>
      <c r="S2635">
        <v>526.11</v>
      </c>
      <c r="T2635">
        <v>385.71</v>
      </c>
      <c r="U2635">
        <v>26.69</v>
      </c>
      <c r="V2635" t="str">
        <f>VLOOKUP(L2635,'[2]tabela de preços'!$A:$D,4,0)</f>
        <v>BRASILUX</v>
      </c>
      <c r="W2635" t="str">
        <f>VLOOKUP(L2635,'[2]tabela de preços'!$A:$F,6,0)</f>
        <v>EPOXI</v>
      </c>
      <c r="X2635" t="str">
        <f>VLOOKUP(L2635,'[2]tabela de preços'!$A:$G,7,0)</f>
        <v>INDUSTRIAL</v>
      </c>
    </row>
    <row r="2636" spans="1:24" x14ac:dyDescent="0.3">
      <c r="A2636" t="s">
        <v>2610</v>
      </c>
      <c r="C2636" t="s">
        <v>2768</v>
      </c>
      <c r="D2636" s="1">
        <v>46059</v>
      </c>
      <c r="E2636" t="s">
        <v>2769</v>
      </c>
      <c r="F2636">
        <v>9</v>
      </c>
      <c r="G2636">
        <v>174</v>
      </c>
      <c r="H2636" t="str">
        <f>VLOOKUP(G2636,[1]OPERADORES!$A:$B,2,0)</f>
        <v>MIRIÃ LOBATO RODRIGUES</v>
      </c>
      <c r="I2636" t="s">
        <v>21</v>
      </c>
      <c r="J2636" t="s">
        <v>372</v>
      </c>
      <c r="K2636" t="s">
        <v>2613</v>
      </c>
      <c r="L2636">
        <v>84900</v>
      </c>
      <c r="M2636" t="s">
        <v>1261</v>
      </c>
      <c r="O2636" t="s">
        <v>11</v>
      </c>
      <c r="P2636">
        <v>5403</v>
      </c>
      <c r="Q2636">
        <v>24</v>
      </c>
      <c r="R2636">
        <v>175.37</v>
      </c>
      <c r="S2636" s="2">
        <v>4208.88</v>
      </c>
      <c r="T2636" s="2">
        <v>3085.68</v>
      </c>
      <c r="U2636">
        <v>26.69</v>
      </c>
      <c r="V2636" t="str">
        <f>VLOOKUP(L2636,'[2]tabela de preços'!$A:$D,4,0)</f>
        <v>BRASILUX</v>
      </c>
      <c r="W2636" t="str">
        <f>VLOOKUP(L2636,'[2]tabela de preços'!$A:$F,6,0)</f>
        <v>EPOXI</v>
      </c>
      <c r="X2636" t="str">
        <f>VLOOKUP(L2636,'[2]tabela de preços'!$A:$G,7,0)</f>
        <v>INDUSTRIAL</v>
      </c>
    </row>
    <row r="2637" spans="1:24" x14ac:dyDescent="0.3">
      <c r="A2637" t="s">
        <v>2610</v>
      </c>
      <c r="C2637" t="s">
        <v>2768</v>
      </c>
      <c r="D2637" s="1">
        <v>46059</v>
      </c>
      <c r="E2637" t="s">
        <v>2769</v>
      </c>
      <c r="F2637">
        <v>9</v>
      </c>
      <c r="G2637">
        <v>174</v>
      </c>
      <c r="H2637" t="str">
        <f>VLOOKUP(G2637,[1]OPERADORES!$A:$B,2,0)</f>
        <v>MIRIÃ LOBATO RODRIGUES</v>
      </c>
      <c r="I2637" t="s">
        <v>21</v>
      </c>
      <c r="J2637" t="s">
        <v>372</v>
      </c>
      <c r="K2637" t="s">
        <v>2613</v>
      </c>
      <c r="L2637">
        <v>84901</v>
      </c>
      <c r="M2637" t="s">
        <v>2432</v>
      </c>
      <c r="O2637" t="s">
        <v>11</v>
      </c>
      <c r="P2637">
        <v>5403</v>
      </c>
      <c r="Q2637">
        <v>16</v>
      </c>
      <c r="R2637">
        <v>223.23</v>
      </c>
      <c r="S2637" s="2">
        <v>3571.68</v>
      </c>
      <c r="T2637" s="2">
        <v>2618.56</v>
      </c>
      <c r="U2637">
        <v>26.69</v>
      </c>
      <c r="V2637" t="str">
        <f>VLOOKUP(L2637,'[2]tabela de preços'!$A:$D,4,0)</f>
        <v>BRASILUX</v>
      </c>
      <c r="W2637" t="str">
        <f>VLOOKUP(L2637,'[2]tabela de preços'!$A:$F,6,0)</f>
        <v>EPOXI</v>
      </c>
      <c r="X2637" t="str">
        <f>VLOOKUP(L2637,'[2]tabela de preços'!$A:$G,7,0)</f>
        <v>INDUSTRIAL</v>
      </c>
    </row>
    <row r="2638" spans="1:24" x14ac:dyDescent="0.3">
      <c r="A2638" t="s">
        <v>2610</v>
      </c>
      <c r="C2638" t="s">
        <v>2770</v>
      </c>
      <c r="D2638" s="1">
        <v>46059</v>
      </c>
      <c r="E2638" t="s">
        <v>2771</v>
      </c>
      <c r="F2638">
        <v>9</v>
      </c>
      <c r="G2638">
        <v>174</v>
      </c>
      <c r="H2638" t="str">
        <f>VLOOKUP(G2638,[1]OPERADORES!$A:$B,2,0)</f>
        <v>MIRIÃ LOBATO RODRIGUES</v>
      </c>
      <c r="I2638" t="s">
        <v>21</v>
      </c>
      <c r="J2638" t="s">
        <v>372</v>
      </c>
      <c r="K2638" t="s">
        <v>2613</v>
      </c>
      <c r="L2638">
        <v>84382</v>
      </c>
      <c r="M2638" t="s">
        <v>835</v>
      </c>
      <c r="O2638" t="s">
        <v>11</v>
      </c>
      <c r="P2638">
        <v>5403</v>
      </c>
      <c r="Q2638">
        <v>5</v>
      </c>
      <c r="R2638">
        <v>159.9</v>
      </c>
      <c r="S2638">
        <v>799.5</v>
      </c>
      <c r="T2638">
        <v>688.05</v>
      </c>
      <c r="U2638">
        <v>13.94</v>
      </c>
      <c r="V2638" t="str">
        <f>VLOOKUP(L2638,'[2]tabela de preços'!$A:$D,4,0)</f>
        <v>BRASILUX</v>
      </c>
      <c r="W2638" t="str">
        <f>VLOOKUP(L2638,'[2]tabela de preços'!$A:$F,6,0)</f>
        <v>TINTA PARA PISO</v>
      </c>
      <c r="X2638" t="str">
        <f>VLOOKUP(L2638,'[2]tabela de preços'!$A:$G,7,0)</f>
        <v>IMOBILIÁRIO</v>
      </c>
    </row>
    <row r="2639" spans="1:24" x14ac:dyDescent="0.3">
      <c r="A2639" t="s">
        <v>2610</v>
      </c>
      <c r="C2639" t="s">
        <v>2770</v>
      </c>
      <c r="D2639" s="1">
        <v>46059</v>
      </c>
      <c r="E2639" t="s">
        <v>2771</v>
      </c>
      <c r="F2639">
        <v>9</v>
      </c>
      <c r="G2639">
        <v>174</v>
      </c>
      <c r="H2639" t="str">
        <f>VLOOKUP(G2639,[1]OPERADORES!$A:$B,2,0)</f>
        <v>MIRIÃ LOBATO RODRIGUES</v>
      </c>
      <c r="I2639" t="s">
        <v>21</v>
      </c>
      <c r="J2639" t="s">
        <v>372</v>
      </c>
      <c r="K2639" t="s">
        <v>2613</v>
      </c>
      <c r="L2639">
        <v>84824</v>
      </c>
      <c r="M2639" t="s">
        <v>1242</v>
      </c>
      <c r="O2639" t="s">
        <v>11</v>
      </c>
      <c r="P2639">
        <v>5102</v>
      </c>
      <c r="Q2639">
        <v>3</v>
      </c>
      <c r="R2639">
        <v>335.76</v>
      </c>
      <c r="S2639" s="2">
        <v>1007.28</v>
      </c>
      <c r="T2639">
        <v>738.48</v>
      </c>
      <c r="U2639">
        <v>26.69</v>
      </c>
      <c r="V2639" t="str">
        <f>VLOOKUP(L2639,'[2]tabela de preços'!$A:$D,4,0)</f>
        <v>BRASILUX</v>
      </c>
      <c r="W2639" t="str">
        <f>VLOOKUP(L2639,'[2]tabela de preços'!$A:$F,6,0)</f>
        <v>DILUENTE</v>
      </c>
      <c r="X2639" t="str">
        <f>VLOOKUP(L2639,'[2]tabela de preços'!$A:$G,7,0)</f>
        <v>AUTOMOTIVO</v>
      </c>
    </row>
    <row r="2640" spans="1:24" x14ac:dyDescent="0.3">
      <c r="A2640" t="s">
        <v>2610</v>
      </c>
      <c r="C2640" t="s">
        <v>2770</v>
      </c>
      <c r="D2640" s="1">
        <v>46059</v>
      </c>
      <c r="E2640" t="s">
        <v>2771</v>
      </c>
      <c r="F2640">
        <v>9</v>
      </c>
      <c r="G2640">
        <v>174</v>
      </c>
      <c r="H2640" t="str">
        <f>VLOOKUP(G2640,[1]OPERADORES!$A:$B,2,0)</f>
        <v>MIRIÃ LOBATO RODRIGUES</v>
      </c>
      <c r="I2640" t="s">
        <v>21</v>
      </c>
      <c r="J2640" t="s">
        <v>372</v>
      </c>
      <c r="K2640" t="s">
        <v>2613</v>
      </c>
      <c r="L2640">
        <v>84928</v>
      </c>
      <c r="M2640" t="s">
        <v>36</v>
      </c>
      <c r="O2640" t="s">
        <v>11</v>
      </c>
      <c r="P2640">
        <v>5102</v>
      </c>
      <c r="Q2640">
        <v>35</v>
      </c>
      <c r="R2640">
        <v>9.7200000000000006</v>
      </c>
      <c r="S2640">
        <v>340.2</v>
      </c>
      <c r="T2640">
        <v>249.55</v>
      </c>
      <c r="U2640">
        <v>26.65</v>
      </c>
      <c r="V2640" t="str">
        <f>VLOOKUP(L2640,'[2]tabela de preços'!$A:$D,4,0)</f>
        <v>ADERE</v>
      </c>
      <c r="W2640" t="str">
        <f>VLOOKUP(L2640,'[2]tabela de preços'!$A:$F,6,0)</f>
        <v xml:space="preserve">FITA DE USO GERAL </v>
      </c>
      <c r="X2640" t="str">
        <f>VLOOKUP(L2640,'[2]tabela de preços'!$A:$G,7,0)</f>
        <v>IMOBILIÁRIO</v>
      </c>
    </row>
    <row r="2641" spans="1:24" x14ac:dyDescent="0.3">
      <c r="A2641" t="s">
        <v>2610</v>
      </c>
      <c r="C2641" t="s">
        <v>2770</v>
      </c>
      <c r="D2641" s="1">
        <v>46059</v>
      </c>
      <c r="E2641" t="s">
        <v>2771</v>
      </c>
      <c r="F2641">
        <v>9</v>
      </c>
      <c r="G2641">
        <v>174</v>
      </c>
      <c r="H2641" t="str">
        <f>VLOOKUP(G2641,[1]OPERADORES!$A:$B,2,0)</f>
        <v>MIRIÃ LOBATO RODRIGUES</v>
      </c>
      <c r="I2641" t="s">
        <v>21</v>
      </c>
      <c r="J2641" t="s">
        <v>372</v>
      </c>
      <c r="K2641" t="s">
        <v>2613</v>
      </c>
      <c r="L2641">
        <v>23878</v>
      </c>
      <c r="M2641" t="s">
        <v>851</v>
      </c>
      <c r="O2641" t="s">
        <v>11</v>
      </c>
      <c r="P2641">
        <v>5102</v>
      </c>
      <c r="Q2641">
        <v>23</v>
      </c>
      <c r="R2641">
        <v>8.6999999999999993</v>
      </c>
      <c r="S2641">
        <v>200.1</v>
      </c>
      <c r="T2641">
        <v>134.32</v>
      </c>
      <c r="U2641">
        <v>32.869999999999997</v>
      </c>
      <c r="V2641" t="str">
        <f>VLOOKUP(L2641,'[2]tabela de preços'!$A:$D,4,0)</f>
        <v>ATLAS</v>
      </c>
      <c r="W2641" t="str">
        <f>VLOOKUP(L2641,'[2]tabela de preços'!$A:$F,6,0)</f>
        <v>ROLOS / TRINCHAS / PINCÉIS / ESPÁTULAS</v>
      </c>
      <c r="X2641" t="str">
        <f>VLOOKUP(L2641,'[2]tabela de preços'!$A:$G,7,0)</f>
        <v>IMOBILIÁRIO</v>
      </c>
    </row>
    <row r="2642" spans="1:24" x14ac:dyDescent="0.3">
      <c r="A2642" t="s">
        <v>2610</v>
      </c>
      <c r="C2642" t="s">
        <v>2770</v>
      </c>
      <c r="D2642" s="1">
        <v>46059</v>
      </c>
      <c r="E2642" t="s">
        <v>2771</v>
      </c>
      <c r="F2642">
        <v>9</v>
      </c>
      <c r="G2642">
        <v>174</v>
      </c>
      <c r="H2642" t="str">
        <f>VLOOKUP(G2642,[1]OPERADORES!$A:$B,2,0)</f>
        <v>MIRIÃ LOBATO RODRIGUES</v>
      </c>
      <c r="I2642" t="s">
        <v>21</v>
      </c>
      <c r="J2642" t="s">
        <v>372</v>
      </c>
      <c r="K2642" t="s">
        <v>2613</v>
      </c>
      <c r="L2642">
        <v>84785</v>
      </c>
      <c r="M2642" t="s">
        <v>944</v>
      </c>
      <c r="O2642" t="s">
        <v>11</v>
      </c>
      <c r="P2642">
        <v>5403</v>
      </c>
      <c r="Q2642">
        <v>24</v>
      </c>
      <c r="R2642">
        <v>178.31</v>
      </c>
      <c r="S2642" s="2">
        <v>4279.4399999999996</v>
      </c>
      <c r="T2642" s="2">
        <v>3137.28</v>
      </c>
      <c r="U2642">
        <v>26.69</v>
      </c>
      <c r="V2642" t="str">
        <f>VLOOKUP(L2642,'[2]tabela de preços'!$A:$D,4,0)</f>
        <v>BRASILUX</v>
      </c>
      <c r="W2642" t="str">
        <f>VLOOKUP(L2642,'[2]tabela de preços'!$A:$F,6,0)</f>
        <v>EPOXI</v>
      </c>
      <c r="X2642" t="str">
        <f>VLOOKUP(L2642,'[2]tabela de preços'!$A:$G,7,0)</f>
        <v>INDUSTRIAL</v>
      </c>
    </row>
    <row r="2643" spans="1:24" x14ac:dyDescent="0.3">
      <c r="A2643" t="s">
        <v>2610</v>
      </c>
      <c r="C2643" t="s">
        <v>2770</v>
      </c>
      <c r="D2643" s="1">
        <v>46059</v>
      </c>
      <c r="E2643" t="s">
        <v>2771</v>
      </c>
      <c r="F2643">
        <v>9</v>
      </c>
      <c r="G2643">
        <v>174</v>
      </c>
      <c r="H2643" t="str">
        <f>VLOOKUP(G2643,[1]OPERADORES!$A:$B,2,0)</f>
        <v>MIRIÃ LOBATO RODRIGUES</v>
      </c>
      <c r="I2643" t="s">
        <v>21</v>
      </c>
      <c r="J2643" t="s">
        <v>372</v>
      </c>
      <c r="K2643" t="s">
        <v>2613</v>
      </c>
      <c r="L2643">
        <v>84423</v>
      </c>
      <c r="M2643" t="s">
        <v>1198</v>
      </c>
      <c r="O2643" t="s">
        <v>11</v>
      </c>
      <c r="P2643">
        <v>5102</v>
      </c>
      <c r="Q2643">
        <v>10</v>
      </c>
      <c r="R2643">
        <v>18.440000000000001</v>
      </c>
      <c r="S2643">
        <v>184.4</v>
      </c>
      <c r="T2643">
        <v>135.19999999999999</v>
      </c>
      <c r="U2643">
        <v>26.68</v>
      </c>
      <c r="V2643" t="str">
        <f>VLOOKUP(L2643,'[2]tabela de preços'!$A:$D,4,0)</f>
        <v>ATLAS</v>
      </c>
      <c r="W2643" t="str">
        <f>VLOOKUP(L2643,'[2]tabela de preços'!$A:$F,6,0)</f>
        <v>ROLOS / TRINCHAS / PINCÉIS / ESPÁTULAS</v>
      </c>
      <c r="X2643" t="str">
        <f>VLOOKUP(L2643,'[2]tabela de preços'!$A:$G,7,0)</f>
        <v>IMOBILIÁRIO</v>
      </c>
    </row>
    <row r="2644" spans="1:24" x14ac:dyDescent="0.3">
      <c r="A2644" t="s">
        <v>2610</v>
      </c>
      <c r="C2644" t="s">
        <v>2770</v>
      </c>
      <c r="D2644" s="1">
        <v>46059</v>
      </c>
      <c r="E2644" t="s">
        <v>2771</v>
      </c>
      <c r="F2644">
        <v>9</v>
      </c>
      <c r="G2644">
        <v>174</v>
      </c>
      <c r="H2644" t="str">
        <f>VLOOKUP(G2644,[1]OPERADORES!$A:$B,2,0)</f>
        <v>MIRIÃ LOBATO RODRIGUES</v>
      </c>
      <c r="I2644" t="s">
        <v>21</v>
      </c>
      <c r="J2644" t="s">
        <v>372</v>
      </c>
      <c r="K2644" t="s">
        <v>2613</v>
      </c>
      <c r="L2644">
        <v>84422</v>
      </c>
      <c r="M2644" t="s">
        <v>569</v>
      </c>
      <c r="O2644" t="s">
        <v>11</v>
      </c>
      <c r="P2644">
        <v>5102</v>
      </c>
      <c r="Q2644">
        <v>4</v>
      </c>
      <c r="R2644">
        <v>9.65</v>
      </c>
      <c r="S2644">
        <v>38.6</v>
      </c>
      <c r="T2644">
        <v>28.32</v>
      </c>
      <c r="U2644">
        <v>26.63</v>
      </c>
      <c r="V2644" t="str">
        <f>VLOOKUP(L2644,'[2]tabela de preços'!$A:$D,4,0)</f>
        <v>ATLAS</v>
      </c>
      <c r="W2644" t="str">
        <f>VLOOKUP(L2644,'[2]tabela de preços'!$A:$F,6,0)</f>
        <v>ROLOS / TRINCHAS / PINCÉIS / ESPÁTULAS</v>
      </c>
      <c r="X2644" t="str">
        <f>VLOOKUP(L2644,'[2]tabela de preços'!$A:$G,7,0)</f>
        <v>IMOBILIÁRIO</v>
      </c>
    </row>
    <row r="2645" spans="1:24" x14ac:dyDescent="0.3">
      <c r="A2645" t="s">
        <v>2610</v>
      </c>
      <c r="C2645" t="s">
        <v>2770</v>
      </c>
      <c r="D2645" s="1">
        <v>46059</v>
      </c>
      <c r="E2645" t="s">
        <v>2771</v>
      </c>
      <c r="F2645">
        <v>9</v>
      </c>
      <c r="G2645">
        <v>174</v>
      </c>
      <c r="H2645" t="str">
        <f>VLOOKUP(G2645,[1]OPERADORES!$A:$B,2,0)</f>
        <v>MIRIÃ LOBATO RODRIGUES</v>
      </c>
      <c r="I2645" t="s">
        <v>21</v>
      </c>
      <c r="J2645" t="s">
        <v>372</v>
      </c>
      <c r="K2645" t="s">
        <v>2613</v>
      </c>
      <c r="L2645">
        <v>84897</v>
      </c>
      <c r="M2645" t="s">
        <v>852</v>
      </c>
      <c r="O2645" t="s">
        <v>11</v>
      </c>
      <c r="P2645">
        <v>5403</v>
      </c>
      <c r="Q2645">
        <v>6</v>
      </c>
      <c r="R2645">
        <v>239.02</v>
      </c>
      <c r="S2645" s="2">
        <v>1434.12</v>
      </c>
      <c r="T2645" s="2">
        <v>1051.3800000000001</v>
      </c>
      <c r="U2645">
        <v>26.69</v>
      </c>
      <c r="V2645" t="str">
        <f>VLOOKUP(L2645,'[2]tabela de preços'!$A:$D,4,0)</f>
        <v>BRASILUX</v>
      </c>
      <c r="W2645" t="str">
        <f>VLOOKUP(L2645,'[2]tabela de preços'!$A:$F,6,0)</f>
        <v>EPOXI</v>
      </c>
      <c r="X2645" t="str">
        <f>VLOOKUP(L2645,'[2]tabela de preços'!$A:$G,7,0)</f>
        <v>INDUSTRIAL</v>
      </c>
    </row>
    <row r="2646" spans="1:24" x14ac:dyDescent="0.3">
      <c r="A2646" t="s">
        <v>2610</v>
      </c>
      <c r="C2646" t="s">
        <v>2770</v>
      </c>
      <c r="D2646" s="1">
        <v>46059</v>
      </c>
      <c r="E2646" t="s">
        <v>2771</v>
      </c>
      <c r="F2646">
        <v>9</v>
      </c>
      <c r="G2646">
        <v>174</v>
      </c>
      <c r="H2646" t="str">
        <f>VLOOKUP(G2646,[1]OPERADORES!$A:$B,2,0)</f>
        <v>MIRIÃ LOBATO RODRIGUES</v>
      </c>
      <c r="I2646" t="s">
        <v>21</v>
      </c>
      <c r="J2646" t="s">
        <v>372</v>
      </c>
      <c r="K2646" t="s">
        <v>2613</v>
      </c>
      <c r="L2646">
        <v>84898</v>
      </c>
      <c r="M2646" t="s">
        <v>853</v>
      </c>
      <c r="O2646" t="s">
        <v>11</v>
      </c>
      <c r="P2646">
        <v>5403</v>
      </c>
      <c r="Q2646">
        <v>9</v>
      </c>
      <c r="R2646">
        <v>216.41</v>
      </c>
      <c r="S2646" s="2">
        <v>1947.69</v>
      </c>
      <c r="T2646" s="2">
        <v>1157.1300000000001</v>
      </c>
      <c r="U2646">
        <v>40.590000000000003</v>
      </c>
      <c r="V2646" t="str">
        <f>VLOOKUP(L2646,'[2]tabela de preços'!$A:$D,4,0)</f>
        <v>BRASILUX</v>
      </c>
      <c r="W2646" t="str">
        <f>VLOOKUP(L2646,'[2]tabela de preços'!$A:$F,6,0)</f>
        <v>EPOXI</v>
      </c>
      <c r="X2646" t="str">
        <f>VLOOKUP(L2646,'[2]tabela de preços'!$A:$G,7,0)</f>
        <v>INDUSTRIAL</v>
      </c>
    </row>
    <row r="2647" spans="1:24" x14ac:dyDescent="0.3">
      <c r="A2647" t="s">
        <v>2610</v>
      </c>
      <c r="C2647" t="s">
        <v>2770</v>
      </c>
      <c r="D2647" s="1">
        <v>46059</v>
      </c>
      <c r="E2647" t="s">
        <v>2771</v>
      </c>
      <c r="F2647">
        <v>9</v>
      </c>
      <c r="G2647">
        <v>174</v>
      </c>
      <c r="H2647" t="str">
        <f>VLOOKUP(G2647,[1]OPERADORES!$A:$B,2,0)</f>
        <v>MIRIÃ LOBATO RODRIGUES</v>
      </c>
      <c r="I2647" t="s">
        <v>21</v>
      </c>
      <c r="J2647" t="s">
        <v>372</v>
      </c>
      <c r="K2647" t="s">
        <v>2613</v>
      </c>
      <c r="L2647">
        <v>84899</v>
      </c>
      <c r="M2647" t="s">
        <v>854</v>
      </c>
      <c r="O2647" t="s">
        <v>11</v>
      </c>
      <c r="P2647">
        <v>5403</v>
      </c>
      <c r="Q2647">
        <v>3</v>
      </c>
      <c r="R2647">
        <v>175.37</v>
      </c>
      <c r="S2647">
        <v>526.11</v>
      </c>
      <c r="T2647">
        <v>385.71</v>
      </c>
      <c r="U2647">
        <v>26.69</v>
      </c>
      <c r="V2647" t="str">
        <f>VLOOKUP(L2647,'[2]tabela de preços'!$A:$D,4,0)</f>
        <v>BRASILUX</v>
      </c>
      <c r="W2647" t="str">
        <f>VLOOKUP(L2647,'[2]tabela de preços'!$A:$F,6,0)</f>
        <v>EPOXI</v>
      </c>
      <c r="X2647" t="str">
        <f>VLOOKUP(L2647,'[2]tabela de preços'!$A:$G,7,0)</f>
        <v>INDUSTRIAL</v>
      </c>
    </row>
    <row r="2648" spans="1:24" x14ac:dyDescent="0.3">
      <c r="A2648" t="s">
        <v>2610</v>
      </c>
      <c r="C2648" t="s">
        <v>2770</v>
      </c>
      <c r="D2648" s="1">
        <v>46059</v>
      </c>
      <c r="E2648" t="s">
        <v>2771</v>
      </c>
      <c r="F2648">
        <v>9</v>
      </c>
      <c r="G2648">
        <v>174</v>
      </c>
      <c r="H2648" t="str">
        <f>VLOOKUP(G2648,[1]OPERADORES!$A:$B,2,0)</f>
        <v>MIRIÃ LOBATO RODRIGUES</v>
      </c>
      <c r="I2648" t="s">
        <v>21</v>
      </c>
      <c r="J2648" t="s">
        <v>372</v>
      </c>
      <c r="K2648" t="s">
        <v>2613</v>
      </c>
      <c r="L2648">
        <v>84900</v>
      </c>
      <c r="M2648" t="s">
        <v>1261</v>
      </c>
      <c r="O2648" t="s">
        <v>11</v>
      </c>
      <c r="P2648">
        <v>5403</v>
      </c>
      <c r="Q2648">
        <v>24</v>
      </c>
      <c r="R2648">
        <v>175.37</v>
      </c>
      <c r="S2648" s="2">
        <v>4208.88</v>
      </c>
      <c r="T2648" s="2">
        <v>3085.68</v>
      </c>
      <c r="U2648">
        <v>26.69</v>
      </c>
      <c r="V2648" t="str">
        <f>VLOOKUP(L2648,'[2]tabela de preços'!$A:$D,4,0)</f>
        <v>BRASILUX</v>
      </c>
      <c r="W2648" t="str">
        <f>VLOOKUP(L2648,'[2]tabela de preços'!$A:$F,6,0)</f>
        <v>EPOXI</v>
      </c>
      <c r="X2648" t="str">
        <f>VLOOKUP(L2648,'[2]tabela de preços'!$A:$G,7,0)</f>
        <v>INDUSTRIAL</v>
      </c>
    </row>
    <row r="2649" spans="1:24" x14ac:dyDescent="0.3">
      <c r="A2649" t="s">
        <v>2610</v>
      </c>
      <c r="C2649" t="s">
        <v>2770</v>
      </c>
      <c r="D2649" s="1">
        <v>46059</v>
      </c>
      <c r="E2649" t="s">
        <v>2771</v>
      </c>
      <c r="F2649">
        <v>9</v>
      </c>
      <c r="G2649">
        <v>174</v>
      </c>
      <c r="H2649" t="str">
        <f>VLOOKUP(G2649,[1]OPERADORES!$A:$B,2,0)</f>
        <v>MIRIÃ LOBATO RODRIGUES</v>
      </c>
      <c r="I2649" t="s">
        <v>21</v>
      </c>
      <c r="J2649" t="s">
        <v>372</v>
      </c>
      <c r="K2649" t="s">
        <v>2613</v>
      </c>
      <c r="L2649">
        <v>84901</v>
      </c>
      <c r="M2649" t="s">
        <v>2432</v>
      </c>
      <c r="O2649" t="s">
        <v>11</v>
      </c>
      <c r="P2649">
        <v>5403</v>
      </c>
      <c r="Q2649">
        <v>16</v>
      </c>
      <c r="R2649">
        <v>223.23</v>
      </c>
      <c r="S2649" s="2">
        <v>3571.68</v>
      </c>
      <c r="T2649" s="2">
        <v>2618.56</v>
      </c>
      <c r="U2649">
        <v>26.69</v>
      </c>
      <c r="V2649" t="str">
        <f>VLOOKUP(L2649,'[2]tabela de preços'!$A:$D,4,0)</f>
        <v>BRASILUX</v>
      </c>
      <c r="W2649" t="str">
        <f>VLOOKUP(L2649,'[2]tabela de preços'!$A:$F,6,0)</f>
        <v>EPOXI</v>
      </c>
      <c r="X2649" t="str">
        <f>VLOOKUP(L2649,'[2]tabela de preços'!$A:$G,7,0)</f>
        <v>INDUSTRIAL</v>
      </c>
    </row>
    <row r="2650" spans="1:24" x14ac:dyDescent="0.3">
      <c r="A2650" t="s">
        <v>2610</v>
      </c>
      <c r="C2650" t="s">
        <v>2772</v>
      </c>
      <c r="D2650" s="1">
        <v>46059</v>
      </c>
      <c r="E2650" t="s">
        <v>2773</v>
      </c>
      <c r="F2650">
        <v>9</v>
      </c>
      <c r="G2650">
        <v>174</v>
      </c>
      <c r="H2650" t="str">
        <f>VLOOKUP(G2650,[1]OPERADORES!$A:$B,2,0)</f>
        <v>MIRIÃ LOBATO RODRIGUES</v>
      </c>
      <c r="I2650" t="s">
        <v>21</v>
      </c>
      <c r="J2650" t="s">
        <v>372</v>
      </c>
      <c r="K2650" t="s">
        <v>2613</v>
      </c>
      <c r="L2650">
        <v>84382</v>
      </c>
      <c r="M2650" t="s">
        <v>835</v>
      </c>
      <c r="O2650" t="s">
        <v>11</v>
      </c>
      <c r="P2650">
        <v>5403</v>
      </c>
      <c r="Q2650">
        <v>5</v>
      </c>
      <c r="R2650">
        <v>159.9</v>
      </c>
      <c r="S2650">
        <v>799.5</v>
      </c>
      <c r="T2650">
        <v>688.05</v>
      </c>
      <c r="U2650">
        <v>13.94</v>
      </c>
      <c r="V2650" t="str">
        <f>VLOOKUP(L2650,'[2]tabela de preços'!$A:$D,4,0)</f>
        <v>BRASILUX</v>
      </c>
      <c r="W2650" t="str">
        <f>VLOOKUP(L2650,'[2]tabela de preços'!$A:$F,6,0)</f>
        <v>TINTA PARA PISO</v>
      </c>
      <c r="X2650" t="str">
        <f>VLOOKUP(L2650,'[2]tabela de preços'!$A:$G,7,0)</f>
        <v>IMOBILIÁRIO</v>
      </c>
    </row>
    <row r="2651" spans="1:24" x14ac:dyDescent="0.3">
      <c r="A2651" t="s">
        <v>2610</v>
      </c>
      <c r="C2651" t="s">
        <v>2772</v>
      </c>
      <c r="D2651" s="1">
        <v>46059</v>
      </c>
      <c r="E2651" t="s">
        <v>2773</v>
      </c>
      <c r="F2651">
        <v>9</v>
      </c>
      <c r="G2651">
        <v>174</v>
      </c>
      <c r="H2651" t="str">
        <f>VLOOKUP(G2651,[1]OPERADORES!$A:$B,2,0)</f>
        <v>MIRIÃ LOBATO RODRIGUES</v>
      </c>
      <c r="I2651" t="s">
        <v>21</v>
      </c>
      <c r="J2651" t="s">
        <v>372</v>
      </c>
      <c r="K2651" t="s">
        <v>2613</v>
      </c>
      <c r="L2651">
        <v>84824</v>
      </c>
      <c r="M2651" t="s">
        <v>1242</v>
      </c>
      <c r="O2651" t="s">
        <v>11</v>
      </c>
      <c r="P2651">
        <v>5102</v>
      </c>
      <c r="Q2651">
        <v>3</v>
      </c>
      <c r="R2651">
        <v>335.76</v>
      </c>
      <c r="S2651" s="2">
        <v>1007.28</v>
      </c>
      <c r="T2651">
        <v>738.48</v>
      </c>
      <c r="U2651">
        <v>26.69</v>
      </c>
      <c r="V2651" t="str">
        <f>VLOOKUP(L2651,'[2]tabela de preços'!$A:$D,4,0)</f>
        <v>BRASILUX</v>
      </c>
      <c r="W2651" t="str">
        <f>VLOOKUP(L2651,'[2]tabela de preços'!$A:$F,6,0)</f>
        <v>DILUENTE</v>
      </c>
      <c r="X2651" t="str">
        <f>VLOOKUP(L2651,'[2]tabela de preços'!$A:$G,7,0)</f>
        <v>AUTOMOTIVO</v>
      </c>
    </row>
    <row r="2652" spans="1:24" x14ac:dyDescent="0.3">
      <c r="A2652" t="s">
        <v>2610</v>
      </c>
      <c r="C2652" t="s">
        <v>2772</v>
      </c>
      <c r="D2652" s="1">
        <v>46059</v>
      </c>
      <c r="E2652" t="s">
        <v>2773</v>
      </c>
      <c r="F2652">
        <v>9</v>
      </c>
      <c r="G2652">
        <v>174</v>
      </c>
      <c r="H2652" t="str">
        <f>VLOOKUP(G2652,[1]OPERADORES!$A:$B,2,0)</f>
        <v>MIRIÃ LOBATO RODRIGUES</v>
      </c>
      <c r="I2652" t="s">
        <v>21</v>
      </c>
      <c r="J2652" t="s">
        <v>372</v>
      </c>
      <c r="K2652" t="s">
        <v>2613</v>
      </c>
      <c r="L2652">
        <v>84928</v>
      </c>
      <c r="M2652" t="s">
        <v>36</v>
      </c>
      <c r="O2652" t="s">
        <v>11</v>
      </c>
      <c r="P2652">
        <v>5102</v>
      </c>
      <c r="Q2652">
        <v>35</v>
      </c>
      <c r="R2652">
        <v>9.39</v>
      </c>
      <c r="S2652">
        <v>328.65</v>
      </c>
      <c r="T2652">
        <v>249.55</v>
      </c>
      <c r="U2652">
        <v>24.07</v>
      </c>
      <c r="V2652" t="str">
        <f>VLOOKUP(L2652,'[2]tabela de preços'!$A:$D,4,0)</f>
        <v>ADERE</v>
      </c>
      <c r="W2652" t="str">
        <f>VLOOKUP(L2652,'[2]tabela de preços'!$A:$F,6,0)</f>
        <v xml:space="preserve">FITA DE USO GERAL </v>
      </c>
      <c r="X2652" t="str">
        <f>VLOOKUP(L2652,'[2]tabela de preços'!$A:$G,7,0)</f>
        <v>IMOBILIÁRIO</v>
      </c>
    </row>
    <row r="2653" spans="1:24" x14ac:dyDescent="0.3">
      <c r="A2653" t="s">
        <v>2610</v>
      </c>
      <c r="C2653" t="s">
        <v>2772</v>
      </c>
      <c r="D2653" s="1">
        <v>46059</v>
      </c>
      <c r="E2653" t="s">
        <v>2773</v>
      </c>
      <c r="F2653">
        <v>9</v>
      </c>
      <c r="G2653">
        <v>174</v>
      </c>
      <c r="H2653" t="str">
        <f>VLOOKUP(G2653,[1]OPERADORES!$A:$B,2,0)</f>
        <v>MIRIÃ LOBATO RODRIGUES</v>
      </c>
      <c r="I2653" t="s">
        <v>21</v>
      </c>
      <c r="J2653" t="s">
        <v>372</v>
      </c>
      <c r="K2653" t="s">
        <v>2613</v>
      </c>
      <c r="L2653">
        <v>23878</v>
      </c>
      <c r="M2653" t="s">
        <v>851</v>
      </c>
      <c r="O2653" t="s">
        <v>11</v>
      </c>
      <c r="P2653">
        <v>5102</v>
      </c>
      <c r="Q2653">
        <v>10</v>
      </c>
      <c r="R2653">
        <v>8.6999999999999993</v>
      </c>
      <c r="S2653">
        <v>87</v>
      </c>
      <c r="T2653">
        <v>58.4</v>
      </c>
      <c r="U2653">
        <v>32.869999999999997</v>
      </c>
      <c r="V2653" t="str">
        <f>VLOOKUP(L2653,'[2]tabela de preços'!$A:$D,4,0)</f>
        <v>ATLAS</v>
      </c>
      <c r="W2653" t="str">
        <f>VLOOKUP(L2653,'[2]tabela de preços'!$A:$F,6,0)</f>
        <v>ROLOS / TRINCHAS / PINCÉIS / ESPÁTULAS</v>
      </c>
      <c r="X2653" t="str">
        <f>VLOOKUP(L2653,'[2]tabela de preços'!$A:$G,7,0)</f>
        <v>IMOBILIÁRIO</v>
      </c>
    </row>
    <row r="2654" spans="1:24" x14ac:dyDescent="0.3">
      <c r="A2654" t="s">
        <v>2610</v>
      </c>
      <c r="C2654" t="s">
        <v>2772</v>
      </c>
      <c r="D2654" s="1">
        <v>46059</v>
      </c>
      <c r="E2654" t="s">
        <v>2773</v>
      </c>
      <c r="F2654">
        <v>9</v>
      </c>
      <c r="G2654">
        <v>174</v>
      </c>
      <c r="H2654" t="str">
        <f>VLOOKUP(G2654,[1]OPERADORES!$A:$B,2,0)</f>
        <v>MIRIÃ LOBATO RODRIGUES</v>
      </c>
      <c r="I2654" t="s">
        <v>21</v>
      </c>
      <c r="J2654" t="s">
        <v>372</v>
      </c>
      <c r="K2654" t="s">
        <v>2613</v>
      </c>
      <c r="L2654">
        <v>84785</v>
      </c>
      <c r="M2654" t="s">
        <v>944</v>
      </c>
      <c r="O2654" t="s">
        <v>11</v>
      </c>
      <c r="P2654">
        <v>5403</v>
      </c>
      <c r="Q2654">
        <v>24</v>
      </c>
      <c r="R2654">
        <v>182.36</v>
      </c>
      <c r="S2654" s="2">
        <v>4376.6400000000003</v>
      </c>
      <c r="T2654" s="2">
        <v>3137.28</v>
      </c>
      <c r="U2654">
        <v>28.32</v>
      </c>
      <c r="V2654" t="str">
        <f>VLOOKUP(L2654,'[2]tabela de preços'!$A:$D,4,0)</f>
        <v>BRASILUX</v>
      </c>
      <c r="W2654" t="str">
        <f>VLOOKUP(L2654,'[2]tabela de preços'!$A:$F,6,0)</f>
        <v>EPOXI</v>
      </c>
      <c r="X2654" t="str">
        <f>VLOOKUP(L2654,'[2]tabela de preços'!$A:$G,7,0)</f>
        <v>INDUSTRIAL</v>
      </c>
    </row>
    <row r="2655" spans="1:24" x14ac:dyDescent="0.3">
      <c r="A2655" t="s">
        <v>2610</v>
      </c>
      <c r="C2655" t="s">
        <v>2772</v>
      </c>
      <c r="D2655" s="1">
        <v>46059</v>
      </c>
      <c r="E2655" t="s">
        <v>2773</v>
      </c>
      <c r="F2655">
        <v>9</v>
      </c>
      <c r="G2655">
        <v>174</v>
      </c>
      <c r="H2655" t="str">
        <f>VLOOKUP(G2655,[1]OPERADORES!$A:$B,2,0)</f>
        <v>MIRIÃ LOBATO RODRIGUES</v>
      </c>
      <c r="I2655" t="s">
        <v>21</v>
      </c>
      <c r="J2655" t="s">
        <v>372</v>
      </c>
      <c r="K2655" t="s">
        <v>2613</v>
      </c>
      <c r="L2655">
        <v>84423</v>
      </c>
      <c r="M2655" t="s">
        <v>1198</v>
      </c>
      <c r="O2655" t="s">
        <v>11</v>
      </c>
      <c r="P2655">
        <v>5102</v>
      </c>
      <c r="Q2655">
        <v>10</v>
      </c>
      <c r="R2655">
        <v>18.86</v>
      </c>
      <c r="S2655">
        <v>188.6</v>
      </c>
      <c r="T2655">
        <v>135.19999999999999</v>
      </c>
      <c r="U2655">
        <v>28.31</v>
      </c>
      <c r="V2655" t="str">
        <f>VLOOKUP(L2655,'[2]tabela de preços'!$A:$D,4,0)</f>
        <v>ATLAS</v>
      </c>
      <c r="W2655" t="str">
        <f>VLOOKUP(L2655,'[2]tabela de preços'!$A:$F,6,0)</f>
        <v>ROLOS / TRINCHAS / PINCÉIS / ESPÁTULAS</v>
      </c>
      <c r="X2655" t="str">
        <f>VLOOKUP(L2655,'[2]tabela de preços'!$A:$G,7,0)</f>
        <v>IMOBILIÁRIO</v>
      </c>
    </row>
    <row r="2656" spans="1:24" x14ac:dyDescent="0.3">
      <c r="A2656" t="s">
        <v>2610</v>
      </c>
      <c r="C2656" t="s">
        <v>2772</v>
      </c>
      <c r="D2656" s="1">
        <v>46059</v>
      </c>
      <c r="E2656" t="s">
        <v>2773</v>
      </c>
      <c r="F2656">
        <v>9</v>
      </c>
      <c r="G2656">
        <v>174</v>
      </c>
      <c r="H2656" t="str">
        <f>VLOOKUP(G2656,[1]OPERADORES!$A:$B,2,0)</f>
        <v>MIRIÃ LOBATO RODRIGUES</v>
      </c>
      <c r="I2656" t="s">
        <v>21</v>
      </c>
      <c r="J2656" t="s">
        <v>372</v>
      </c>
      <c r="K2656" t="s">
        <v>2613</v>
      </c>
      <c r="L2656">
        <v>84422</v>
      </c>
      <c r="M2656" t="s">
        <v>569</v>
      </c>
      <c r="O2656" t="s">
        <v>11</v>
      </c>
      <c r="P2656">
        <v>5102</v>
      </c>
      <c r="Q2656">
        <v>4</v>
      </c>
      <c r="R2656">
        <v>9.8699999999999992</v>
      </c>
      <c r="S2656">
        <v>39.479999999999997</v>
      </c>
      <c r="T2656">
        <v>28.32</v>
      </c>
      <c r="U2656">
        <v>28.27</v>
      </c>
      <c r="V2656" t="str">
        <f>VLOOKUP(L2656,'[2]tabela de preços'!$A:$D,4,0)</f>
        <v>ATLAS</v>
      </c>
      <c r="W2656" t="str">
        <f>VLOOKUP(L2656,'[2]tabela de preços'!$A:$F,6,0)</f>
        <v>ROLOS / TRINCHAS / PINCÉIS / ESPÁTULAS</v>
      </c>
      <c r="X2656" t="str">
        <f>VLOOKUP(L2656,'[2]tabela de preços'!$A:$G,7,0)</f>
        <v>IMOBILIÁRIO</v>
      </c>
    </row>
    <row r="2657" spans="1:24" x14ac:dyDescent="0.3">
      <c r="A2657" t="s">
        <v>2610</v>
      </c>
      <c r="C2657" t="s">
        <v>2772</v>
      </c>
      <c r="D2657" s="1">
        <v>46059</v>
      </c>
      <c r="E2657" t="s">
        <v>2773</v>
      </c>
      <c r="F2657">
        <v>9</v>
      </c>
      <c r="G2657">
        <v>174</v>
      </c>
      <c r="H2657" t="str">
        <f>VLOOKUP(G2657,[1]OPERADORES!$A:$B,2,0)</f>
        <v>MIRIÃ LOBATO RODRIGUES</v>
      </c>
      <c r="I2657" t="s">
        <v>21</v>
      </c>
      <c r="J2657" t="s">
        <v>372</v>
      </c>
      <c r="K2657" t="s">
        <v>2613</v>
      </c>
      <c r="L2657">
        <v>84897</v>
      </c>
      <c r="M2657" t="s">
        <v>852</v>
      </c>
      <c r="O2657" t="s">
        <v>11</v>
      </c>
      <c r="P2657">
        <v>5403</v>
      </c>
      <c r="Q2657">
        <v>6</v>
      </c>
      <c r="R2657">
        <v>239.02</v>
      </c>
      <c r="S2657" s="2">
        <v>1434.12</v>
      </c>
      <c r="T2657" s="2">
        <v>1051.3800000000001</v>
      </c>
      <c r="U2657">
        <v>26.69</v>
      </c>
      <c r="V2657" t="str">
        <f>VLOOKUP(L2657,'[2]tabela de preços'!$A:$D,4,0)</f>
        <v>BRASILUX</v>
      </c>
      <c r="W2657" t="str">
        <f>VLOOKUP(L2657,'[2]tabela de preços'!$A:$F,6,0)</f>
        <v>EPOXI</v>
      </c>
      <c r="X2657" t="str">
        <f>VLOOKUP(L2657,'[2]tabela de preços'!$A:$G,7,0)</f>
        <v>INDUSTRIAL</v>
      </c>
    </row>
    <row r="2658" spans="1:24" x14ac:dyDescent="0.3">
      <c r="A2658" t="s">
        <v>2610</v>
      </c>
      <c r="C2658" t="s">
        <v>2772</v>
      </c>
      <c r="D2658" s="1">
        <v>46059</v>
      </c>
      <c r="E2658" t="s">
        <v>2773</v>
      </c>
      <c r="F2658">
        <v>9</v>
      </c>
      <c r="G2658">
        <v>174</v>
      </c>
      <c r="H2658" t="str">
        <f>VLOOKUP(G2658,[1]OPERADORES!$A:$B,2,0)</f>
        <v>MIRIÃ LOBATO RODRIGUES</v>
      </c>
      <c r="I2658" t="s">
        <v>21</v>
      </c>
      <c r="J2658" t="s">
        <v>372</v>
      </c>
      <c r="K2658" t="s">
        <v>2613</v>
      </c>
      <c r="L2658">
        <v>84898</v>
      </c>
      <c r="M2658" t="s">
        <v>853</v>
      </c>
      <c r="O2658" t="s">
        <v>11</v>
      </c>
      <c r="P2658">
        <v>5403</v>
      </c>
      <c r="Q2658">
        <v>9</v>
      </c>
      <c r="R2658">
        <v>216.41</v>
      </c>
      <c r="S2658" s="2">
        <v>1947.69</v>
      </c>
      <c r="T2658" s="2">
        <v>1157.1300000000001</v>
      </c>
      <c r="U2658">
        <v>40.590000000000003</v>
      </c>
      <c r="V2658" t="str">
        <f>VLOOKUP(L2658,'[2]tabela de preços'!$A:$D,4,0)</f>
        <v>BRASILUX</v>
      </c>
      <c r="W2658" t="str">
        <f>VLOOKUP(L2658,'[2]tabela de preços'!$A:$F,6,0)</f>
        <v>EPOXI</v>
      </c>
      <c r="X2658" t="str">
        <f>VLOOKUP(L2658,'[2]tabela de preços'!$A:$G,7,0)</f>
        <v>INDUSTRIAL</v>
      </c>
    </row>
    <row r="2659" spans="1:24" x14ac:dyDescent="0.3">
      <c r="A2659" t="s">
        <v>2610</v>
      </c>
      <c r="C2659" t="s">
        <v>2772</v>
      </c>
      <c r="D2659" s="1">
        <v>46059</v>
      </c>
      <c r="E2659" t="s">
        <v>2773</v>
      </c>
      <c r="F2659">
        <v>9</v>
      </c>
      <c r="G2659">
        <v>174</v>
      </c>
      <c r="H2659" t="str">
        <f>VLOOKUP(G2659,[1]OPERADORES!$A:$B,2,0)</f>
        <v>MIRIÃ LOBATO RODRIGUES</v>
      </c>
      <c r="I2659" t="s">
        <v>21</v>
      </c>
      <c r="J2659" t="s">
        <v>372</v>
      </c>
      <c r="K2659" t="s">
        <v>2613</v>
      </c>
      <c r="L2659">
        <v>84899</v>
      </c>
      <c r="M2659" t="s">
        <v>854</v>
      </c>
      <c r="O2659" t="s">
        <v>11</v>
      </c>
      <c r="P2659">
        <v>5403</v>
      </c>
      <c r="Q2659">
        <v>3</v>
      </c>
      <c r="R2659">
        <v>175.37</v>
      </c>
      <c r="S2659">
        <v>526.11</v>
      </c>
      <c r="T2659">
        <v>385.71</v>
      </c>
      <c r="U2659">
        <v>26.69</v>
      </c>
      <c r="V2659" t="str">
        <f>VLOOKUP(L2659,'[2]tabela de preços'!$A:$D,4,0)</f>
        <v>BRASILUX</v>
      </c>
      <c r="W2659" t="str">
        <f>VLOOKUP(L2659,'[2]tabela de preços'!$A:$F,6,0)</f>
        <v>EPOXI</v>
      </c>
      <c r="X2659" t="str">
        <f>VLOOKUP(L2659,'[2]tabela de preços'!$A:$G,7,0)</f>
        <v>INDUSTRIAL</v>
      </c>
    </row>
    <row r="2660" spans="1:24" x14ac:dyDescent="0.3">
      <c r="A2660" t="s">
        <v>2610</v>
      </c>
      <c r="C2660" t="s">
        <v>2772</v>
      </c>
      <c r="D2660" s="1">
        <v>46059</v>
      </c>
      <c r="E2660" t="s">
        <v>2773</v>
      </c>
      <c r="F2660">
        <v>9</v>
      </c>
      <c r="G2660">
        <v>174</v>
      </c>
      <c r="H2660" t="str">
        <f>VLOOKUP(G2660,[1]OPERADORES!$A:$B,2,0)</f>
        <v>MIRIÃ LOBATO RODRIGUES</v>
      </c>
      <c r="I2660" t="s">
        <v>21</v>
      </c>
      <c r="J2660" t="s">
        <v>372</v>
      </c>
      <c r="K2660" t="s">
        <v>2613</v>
      </c>
      <c r="L2660">
        <v>84900</v>
      </c>
      <c r="M2660" t="s">
        <v>1261</v>
      </c>
      <c r="O2660" t="s">
        <v>11</v>
      </c>
      <c r="P2660">
        <v>5403</v>
      </c>
      <c r="Q2660">
        <v>24</v>
      </c>
      <c r="R2660">
        <v>175.37</v>
      </c>
      <c r="S2660" s="2">
        <v>4208.88</v>
      </c>
      <c r="T2660" s="2">
        <v>3085.68</v>
      </c>
      <c r="U2660">
        <v>26.69</v>
      </c>
      <c r="V2660" t="str">
        <f>VLOOKUP(L2660,'[2]tabela de preços'!$A:$D,4,0)</f>
        <v>BRASILUX</v>
      </c>
      <c r="W2660" t="str">
        <f>VLOOKUP(L2660,'[2]tabela de preços'!$A:$F,6,0)</f>
        <v>EPOXI</v>
      </c>
      <c r="X2660" t="str">
        <f>VLOOKUP(L2660,'[2]tabela de preços'!$A:$G,7,0)</f>
        <v>INDUSTRIAL</v>
      </c>
    </row>
    <row r="2661" spans="1:24" x14ac:dyDescent="0.3">
      <c r="A2661" t="s">
        <v>2610</v>
      </c>
      <c r="C2661" t="s">
        <v>2772</v>
      </c>
      <c r="D2661" s="1">
        <v>46059</v>
      </c>
      <c r="E2661" t="s">
        <v>2773</v>
      </c>
      <c r="F2661">
        <v>9</v>
      </c>
      <c r="G2661">
        <v>174</v>
      </c>
      <c r="H2661" t="str">
        <f>VLOOKUP(G2661,[1]OPERADORES!$A:$B,2,0)</f>
        <v>MIRIÃ LOBATO RODRIGUES</v>
      </c>
      <c r="I2661" t="s">
        <v>21</v>
      </c>
      <c r="J2661" t="s">
        <v>372</v>
      </c>
      <c r="K2661" t="s">
        <v>2613</v>
      </c>
      <c r="L2661">
        <v>84901</v>
      </c>
      <c r="M2661" t="s">
        <v>2432</v>
      </c>
      <c r="O2661" t="s">
        <v>11</v>
      </c>
      <c r="P2661">
        <v>5403</v>
      </c>
      <c r="Q2661">
        <v>16</v>
      </c>
      <c r="R2661">
        <v>223.23</v>
      </c>
      <c r="S2661" s="2">
        <v>3571.68</v>
      </c>
      <c r="T2661" s="2">
        <v>2618.56</v>
      </c>
      <c r="U2661">
        <v>26.69</v>
      </c>
      <c r="V2661" t="str">
        <f>VLOOKUP(L2661,'[2]tabela de preços'!$A:$D,4,0)</f>
        <v>BRASILUX</v>
      </c>
      <c r="W2661" t="str">
        <f>VLOOKUP(L2661,'[2]tabela de preços'!$A:$F,6,0)</f>
        <v>EPOXI</v>
      </c>
      <c r="X2661" t="str">
        <f>VLOOKUP(L2661,'[2]tabela de preços'!$A:$G,7,0)</f>
        <v>INDUSTRIAL</v>
      </c>
    </row>
    <row r="2662" spans="1:24" x14ac:dyDescent="0.3">
      <c r="A2662" t="s">
        <v>846</v>
      </c>
      <c r="C2662" t="s">
        <v>2429</v>
      </c>
      <c r="D2662" s="1">
        <v>46055</v>
      </c>
      <c r="F2662">
        <v>9</v>
      </c>
      <c r="G2662">
        <v>174</v>
      </c>
      <c r="H2662" t="str">
        <f>VLOOKUP(G2662,[1]OPERADORES!$A:$B,2,0)</f>
        <v>MIRIÃ LOBATO RODRIGUES</v>
      </c>
      <c r="I2662" t="s">
        <v>21</v>
      </c>
      <c r="J2662" t="s">
        <v>339</v>
      </c>
      <c r="K2662" t="s">
        <v>849</v>
      </c>
      <c r="L2662">
        <v>84898</v>
      </c>
      <c r="M2662" t="s">
        <v>853</v>
      </c>
      <c r="N2662" t="s">
        <v>857</v>
      </c>
      <c r="O2662" t="s">
        <v>11</v>
      </c>
      <c r="P2662">
        <v>1411</v>
      </c>
      <c r="Q2662">
        <v>-2</v>
      </c>
      <c r="R2662">
        <v>209.03</v>
      </c>
      <c r="S2662">
        <v>-418.06</v>
      </c>
      <c r="T2662">
        <v>-317.32</v>
      </c>
      <c r="U2662">
        <v>24.1</v>
      </c>
      <c r="V2662" t="str">
        <f>VLOOKUP(L2662,'[2]tabela de preços'!$A:$D,4,0)</f>
        <v>BRASILUX</v>
      </c>
      <c r="W2662" t="str">
        <f>VLOOKUP(L2662,'[2]tabela de preços'!$A:$F,6,0)</f>
        <v>EPOXI</v>
      </c>
      <c r="X2662" t="str">
        <f>VLOOKUP(L2662,'[2]tabela de preços'!$A:$G,7,0)</f>
        <v>INDUSTRIAL</v>
      </c>
    </row>
    <row r="2663" spans="1:24" x14ac:dyDescent="0.3">
      <c r="A2663" t="s">
        <v>846</v>
      </c>
      <c r="C2663" t="s">
        <v>2430</v>
      </c>
      <c r="D2663" s="1">
        <v>46055</v>
      </c>
      <c r="E2663" t="s">
        <v>2431</v>
      </c>
      <c r="F2663">
        <v>9</v>
      </c>
      <c r="G2663">
        <v>174</v>
      </c>
      <c r="H2663" t="str">
        <f>VLOOKUP(G2663,[1]OPERADORES!$A:$B,2,0)</f>
        <v>MIRIÃ LOBATO RODRIGUES</v>
      </c>
      <c r="I2663" t="s">
        <v>21</v>
      </c>
      <c r="J2663" t="s">
        <v>339</v>
      </c>
      <c r="K2663" t="s">
        <v>849</v>
      </c>
      <c r="L2663">
        <v>84328</v>
      </c>
      <c r="M2663" t="s">
        <v>496</v>
      </c>
      <c r="O2663" t="s">
        <v>11</v>
      </c>
      <c r="P2663">
        <v>5403</v>
      </c>
      <c r="Q2663">
        <v>3</v>
      </c>
      <c r="R2663">
        <v>60.85</v>
      </c>
      <c r="S2663">
        <v>182.55</v>
      </c>
      <c r="T2663">
        <v>138.57</v>
      </c>
      <c r="U2663">
        <v>24.09</v>
      </c>
      <c r="V2663" t="str">
        <f>VLOOKUP(L2663,'[2]tabela de preços'!$A:$D,4,0)</f>
        <v>BRASILUX</v>
      </c>
      <c r="W2663" t="str">
        <f>VLOOKUP(L2663,'[2]tabela de preços'!$A:$F,6,0)</f>
        <v>ESMALTES</v>
      </c>
      <c r="X2663" t="str">
        <f>VLOOKUP(L2663,'[2]tabela de preços'!$A:$G,7,0)</f>
        <v>INDUSTRIAL</v>
      </c>
    </row>
    <row r="2664" spans="1:24" x14ac:dyDescent="0.3">
      <c r="A2664" t="s">
        <v>846</v>
      </c>
      <c r="C2664" t="s">
        <v>2430</v>
      </c>
      <c r="D2664" s="1">
        <v>46055</v>
      </c>
      <c r="E2664" t="s">
        <v>2431</v>
      </c>
      <c r="F2664">
        <v>9</v>
      </c>
      <c r="G2664">
        <v>174</v>
      </c>
      <c r="H2664" t="str">
        <f>VLOOKUP(G2664,[1]OPERADORES!$A:$B,2,0)</f>
        <v>MIRIÃ LOBATO RODRIGUES</v>
      </c>
      <c r="I2664" t="s">
        <v>21</v>
      </c>
      <c r="J2664" t="s">
        <v>339</v>
      </c>
      <c r="K2664" t="s">
        <v>849</v>
      </c>
      <c r="L2664">
        <v>86627</v>
      </c>
      <c r="M2664" t="s">
        <v>1419</v>
      </c>
      <c r="O2664" t="s">
        <v>11</v>
      </c>
      <c r="P2664">
        <v>5403</v>
      </c>
      <c r="Q2664">
        <v>2</v>
      </c>
      <c r="R2664">
        <v>285.87</v>
      </c>
      <c r="S2664">
        <v>571.74</v>
      </c>
      <c r="T2664">
        <v>433.96</v>
      </c>
      <c r="U2664">
        <v>24.1</v>
      </c>
      <c r="V2664" t="str">
        <f>VLOOKUP(L2664,'[2]tabela de preços'!$A:$D,4,0)</f>
        <v>CORAL</v>
      </c>
      <c r="W2664" t="str">
        <f>VLOOKUP(L2664,'[2]tabela de preços'!$A:$F,6,0)</f>
        <v>TINTA PAREDE</v>
      </c>
      <c r="X2664" t="str">
        <f>VLOOKUP(L2664,'[2]tabela de preços'!$A:$G,7,0)</f>
        <v>IMOBILIÁRIO</v>
      </c>
    </row>
    <row r="2665" spans="1:24" x14ac:dyDescent="0.3">
      <c r="A2665" t="s">
        <v>846</v>
      </c>
      <c r="C2665" t="s">
        <v>2430</v>
      </c>
      <c r="D2665" s="1">
        <v>46055</v>
      </c>
      <c r="E2665" t="s">
        <v>2431</v>
      </c>
      <c r="F2665">
        <v>9</v>
      </c>
      <c r="G2665">
        <v>174</v>
      </c>
      <c r="H2665" t="str">
        <f>VLOOKUP(G2665,[1]OPERADORES!$A:$B,2,0)</f>
        <v>MIRIÃ LOBATO RODRIGUES</v>
      </c>
      <c r="I2665" t="s">
        <v>21</v>
      </c>
      <c r="J2665" t="s">
        <v>339</v>
      </c>
      <c r="K2665" t="s">
        <v>849</v>
      </c>
      <c r="L2665">
        <v>84823</v>
      </c>
      <c r="M2665" t="s">
        <v>331</v>
      </c>
      <c r="O2665" t="s">
        <v>11</v>
      </c>
      <c r="P2665">
        <v>5102</v>
      </c>
      <c r="Q2665">
        <v>2</v>
      </c>
      <c r="R2665">
        <v>94.64</v>
      </c>
      <c r="S2665">
        <v>189.28</v>
      </c>
      <c r="T2665">
        <v>143.66</v>
      </c>
      <c r="U2665">
        <v>24.1</v>
      </c>
      <c r="V2665" t="str">
        <f>VLOOKUP(L2665,'[2]tabela de preços'!$A:$D,4,0)</f>
        <v>BRASILUX</v>
      </c>
      <c r="W2665" t="str">
        <f>VLOOKUP(L2665,'[2]tabela de preços'!$A:$F,6,0)</f>
        <v>DILUENTE</v>
      </c>
      <c r="X2665" t="str">
        <f>VLOOKUP(L2665,'[2]tabela de preços'!$A:$G,7,0)</f>
        <v>AUTOMOTIVO</v>
      </c>
    </row>
    <row r="2666" spans="1:24" x14ac:dyDescent="0.3">
      <c r="A2666" t="s">
        <v>846</v>
      </c>
      <c r="C2666" t="s">
        <v>2430</v>
      </c>
      <c r="D2666" s="1">
        <v>46055</v>
      </c>
      <c r="E2666" t="s">
        <v>2431</v>
      </c>
      <c r="F2666">
        <v>9</v>
      </c>
      <c r="G2666">
        <v>174</v>
      </c>
      <c r="H2666" t="str">
        <f>VLOOKUP(G2666,[1]OPERADORES!$A:$B,2,0)</f>
        <v>MIRIÃ LOBATO RODRIGUES</v>
      </c>
      <c r="I2666" t="s">
        <v>21</v>
      </c>
      <c r="J2666" t="s">
        <v>339</v>
      </c>
      <c r="K2666" t="s">
        <v>849</v>
      </c>
      <c r="L2666">
        <v>5</v>
      </c>
      <c r="M2666" t="s">
        <v>147</v>
      </c>
      <c r="O2666" t="s">
        <v>11</v>
      </c>
      <c r="P2666">
        <v>5102</v>
      </c>
      <c r="Q2666">
        <v>2</v>
      </c>
      <c r="R2666">
        <v>5.15</v>
      </c>
      <c r="S2666">
        <v>10.3</v>
      </c>
      <c r="T2666">
        <v>7.82</v>
      </c>
      <c r="U2666">
        <v>24.08</v>
      </c>
      <c r="V2666" t="str">
        <f>VLOOKUP(L2666,'[2]tabela de preços'!$A:$D,4,0)</f>
        <v>BRILHO ESTOPA</v>
      </c>
      <c r="W2666" t="str">
        <f>VLOOKUP(L2666,'[2]tabela de preços'!$A:$F,6,0)</f>
        <v>ESTOPAS</v>
      </c>
      <c r="X2666" t="str">
        <f>VLOOKUP(L2666,'[2]tabela de preços'!$A:$G,7,0)</f>
        <v>AUTOMOTIVO</v>
      </c>
    </row>
    <row r="2667" spans="1:24" x14ac:dyDescent="0.3">
      <c r="A2667" t="s">
        <v>846</v>
      </c>
      <c r="C2667" t="s">
        <v>2430</v>
      </c>
      <c r="D2667" s="1">
        <v>46055</v>
      </c>
      <c r="E2667" t="s">
        <v>2431</v>
      </c>
      <c r="F2667">
        <v>9</v>
      </c>
      <c r="G2667">
        <v>174</v>
      </c>
      <c r="H2667" t="str">
        <f>VLOOKUP(G2667,[1]OPERADORES!$A:$B,2,0)</f>
        <v>MIRIÃ LOBATO RODRIGUES</v>
      </c>
      <c r="I2667" t="s">
        <v>21</v>
      </c>
      <c r="J2667" t="s">
        <v>339</v>
      </c>
      <c r="K2667" t="s">
        <v>849</v>
      </c>
      <c r="L2667">
        <v>84411</v>
      </c>
      <c r="M2667" t="s">
        <v>35</v>
      </c>
      <c r="O2667" t="s">
        <v>11</v>
      </c>
      <c r="P2667">
        <v>5102</v>
      </c>
      <c r="Q2667">
        <v>6</v>
      </c>
      <c r="R2667">
        <v>4.67</v>
      </c>
      <c r="S2667">
        <v>28.02</v>
      </c>
      <c r="T2667">
        <v>21.24</v>
      </c>
      <c r="U2667">
        <v>24.2</v>
      </c>
      <c r="V2667" t="str">
        <f>VLOOKUP(L2667,'[2]tabela de preços'!$A:$D,4,0)</f>
        <v>ADERE</v>
      </c>
      <c r="W2667" t="str">
        <f>VLOOKUP(L2667,'[2]tabela de preços'!$A:$F,6,0)</f>
        <v xml:space="preserve">FITA DE USO GERAL </v>
      </c>
      <c r="X2667" t="str">
        <f>VLOOKUP(L2667,'[2]tabela de preços'!$A:$G,7,0)</f>
        <v>IMOBILIÁRIO</v>
      </c>
    </row>
    <row r="2668" spans="1:24" x14ac:dyDescent="0.3">
      <c r="A2668" t="s">
        <v>846</v>
      </c>
      <c r="C2668" t="s">
        <v>2430</v>
      </c>
      <c r="D2668" s="1">
        <v>46055</v>
      </c>
      <c r="E2668" t="s">
        <v>2431</v>
      </c>
      <c r="F2668">
        <v>9</v>
      </c>
      <c r="G2668">
        <v>174</v>
      </c>
      <c r="H2668" t="str">
        <f>VLOOKUP(G2668,[1]OPERADORES!$A:$B,2,0)</f>
        <v>MIRIÃ LOBATO RODRIGUES</v>
      </c>
      <c r="I2668" t="s">
        <v>21</v>
      </c>
      <c r="J2668" t="s">
        <v>339</v>
      </c>
      <c r="K2668" t="s">
        <v>849</v>
      </c>
      <c r="L2668">
        <v>84928</v>
      </c>
      <c r="M2668" t="s">
        <v>36</v>
      </c>
      <c r="O2668" t="s">
        <v>11</v>
      </c>
      <c r="P2668">
        <v>5102</v>
      </c>
      <c r="Q2668">
        <v>3</v>
      </c>
      <c r="R2668">
        <v>9.39</v>
      </c>
      <c r="S2668">
        <v>28.17</v>
      </c>
      <c r="T2668">
        <v>21.39</v>
      </c>
      <c r="U2668">
        <v>24.07</v>
      </c>
      <c r="V2668" t="str">
        <f>VLOOKUP(L2668,'[2]tabela de preços'!$A:$D,4,0)</f>
        <v>ADERE</v>
      </c>
      <c r="W2668" t="str">
        <f>VLOOKUP(L2668,'[2]tabela de preços'!$A:$F,6,0)</f>
        <v xml:space="preserve">FITA DE USO GERAL </v>
      </c>
      <c r="X2668" t="str">
        <f>VLOOKUP(L2668,'[2]tabela de preços'!$A:$G,7,0)</f>
        <v>IMOBILIÁRIO</v>
      </c>
    </row>
    <row r="2669" spans="1:24" x14ac:dyDescent="0.3">
      <c r="A2669" t="s">
        <v>846</v>
      </c>
      <c r="C2669" t="s">
        <v>2430</v>
      </c>
      <c r="D2669" s="1">
        <v>46055</v>
      </c>
      <c r="E2669" t="s">
        <v>2431</v>
      </c>
      <c r="F2669">
        <v>9</v>
      </c>
      <c r="G2669">
        <v>174</v>
      </c>
      <c r="H2669" t="str">
        <f>VLOOKUP(G2669,[1]OPERADORES!$A:$B,2,0)</f>
        <v>MIRIÃ LOBATO RODRIGUES</v>
      </c>
      <c r="I2669" t="s">
        <v>21</v>
      </c>
      <c r="J2669" t="s">
        <v>339</v>
      </c>
      <c r="K2669" t="s">
        <v>849</v>
      </c>
      <c r="L2669">
        <v>23878</v>
      </c>
      <c r="M2669" t="s">
        <v>851</v>
      </c>
      <c r="O2669" t="s">
        <v>11</v>
      </c>
      <c r="P2669">
        <v>5102</v>
      </c>
      <c r="Q2669">
        <v>5</v>
      </c>
      <c r="R2669">
        <v>7.69</v>
      </c>
      <c r="S2669">
        <v>38.450000000000003</v>
      </c>
      <c r="T2669">
        <v>29.2</v>
      </c>
      <c r="U2669">
        <v>24.06</v>
      </c>
      <c r="V2669" t="str">
        <f>VLOOKUP(L2669,'[2]tabela de preços'!$A:$D,4,0)</f>
        <v>ATLAS</v>
      </c>
      <c r="W2669" t="str">
        <f>VLOOKUP(L2669,'[2]tabela de preços'!$A:$F,6,0)</f>
        <v>ROLOS / TRINCHAS / PINCÉIS / ESPÁTULAS</v>
      </c>
      <c r="X2669" t="str">
        <f>VLOOKUP(L2669,'[2]tabela de preços'!$A:$G,7,0)</f>
        <v>IMOBILIÁRIO</v>
      </c>
    </row>
    <row r="2670" spans="1:24" x14ac:dyDescent="0.3">
      <c r="A2670" t="s">
        <v>846</v>
      </c>
      <c r="C2670" t="s">
        <v>2430</v>
      </c>
      <c r="D2670" s="1">
        <v>46055</v>
      </c>
      <c r="E2670" t="s">
        <v>2431</v>
      </c>
      <c r="F2670">
        <v>9</v>
      </c>
      <c r="G2670">
        <v>174</v>
      </c>
      <c r="H2670" t="str">
        <f>VLOOKUP(G2670,[1]OPERADORES!$A:$B,2,0)</f>
        <v>MIRIÃ LOBATO RODRIGUES</v>
      </c>
      <c r="I2670" t="s">
        <v>21</v>
      </c>
      <c r="J2670" t="s">
        <v>339</v>
      </c>
      <c r="K2670" t="s">
        <v>849</v>
      </c>
      <c r="L2670">
        <v>84785</v>
      </c>
      <c r="M2670" t="s">
        <v>944</v>
      </c>
      <c r="O2670" t="s">
        <v>11</v>
      </c>
      <c r="P2670">
        <v>5403</v>
      </c>
      <c r="Q2670">
        <v>2</v>
      </c>
      <c r="R2670">
        <v>172.23</v>
      </c>
      <c r="S2670">
        <v>344.46</v>
      </c>
      <c r="T2670">
        <v>261.44</v>
      </c>
      <c r="U2670">
        <v>24.1</v>
      </c>
      <c r="V2670" t="str">
        <f>VLOOKUP(L2670,'[2]tabela de preços'!$A:$D,4,0)</f>
        <v>BRASILUX</v>
      </c>
      <c r="W2670" t="str">
        <f>VLOOKUP(L2670,'[2]tabela de preços'!$A:$F,6,0)</f>
        <v>EPOXI</v>
      </c>
      <c r="X2670" t="str">
        <f>VLOOKUP(L2670,'[2]tabela de preços'!$A:$G,7,0)</f>
        <v>INDUSTRIAL</v>
      </c>
    </row>
    <row r="2671" spans="1:24" x14ac:dyDescent="0.3">
      <c r="A2671" t="s">
        <v>846</v>
      </c>
      <c r="C2671" t="s">
        <v>2430</v>
      </c>
      <c r="D2671" s="1">
        <v>46055</v>
      </c>
      <c r="E2671" t="s">
        <v>2431</v>
      </c>
      <c r="F2671">
        <v>9</v>
      </c>
      <c r="G2671">
        <v>174</v>
      </c>
      <c r="H2671" t="str">
        <f>VLOOKUP(G2671,[1]OPERADORES!$A:$B,2,0)</f>
        <v>MIRIÃ LOBATO RODRIGUES</v>
      </c>
      <c r="I2671" t="s">
        <v>21</v>
      </c>
      <c r="J2671" t="s">
        <v>339</v>
      </c>
      <c r="K2671" t="s">
        <v>849</v>
      </c>
      <c r="L2671">
        <v>85139</v>
      </c>
      <c r="M2671" t="s">
        <v>45</v>
      </c>
      <c r="O2671" t="s">
        <v>46</v>
      </c>
      <c r="P2671">
        <v>5403</v>
      </c>
      <c r="Q2671">
        <v>1</v>
      </c>
      <c r="R2671">
        <v>103.27</v>
      </c>
      <c r="S2671">
        <v>103.27</v>
      </c>
      <c r="T2671">
        <v>78.38</v>
      </c>
      <c r="U2671">
        <v>24.1</v>
      </c>
      <c r="V2671" t="str">
        <f>VLOOKUP(L2671,'[2]tabela de preços'!$A:$D,4,0)</f>
        <v>MULTILONA</v>
      </c>
      <c r="W2671" t="str">
        <f>VLOOKUP(L2671,'[2]tabela de preços'!$A:$F,6,0)</f>
        <v>LONAS</v>
      </c>
      <c r="X2671" t="str">
        <f>VLOOKUP(L2671,'[2]tabela de preços'!$A:$G,7,0)</f>
        <v>IMOBILIÁRIO</v>
      </c>
    </row>
    <row r="2672" spans="1:24" x14ac:dyDescent="0.3">
      <c r="A2672" t="s">
        <v>846</v>
      </c>
      <c r="C2672" t="s">
        <v>2430</v>
      </c>
      <c r="D2672" s="1">
        <v>46055</v>
      </c>
      <c r="E2672" t="s">
        <v>2431</v>
      </c>
      <c r="F2672">
        <v>9</v>
      </c>
      <c r="G2672">
        <v>174</v>
      </c>
      <c r="H2672" t="str">
        <f>VLOOKUP(G2672,[1]OPERADORES!$A:$B,2,0)</f>
        <v>MIRIÃ LOBATO RODRIGUES</v>
      </c>
      <c r="I2672" t="s">
        <v>21</v>
      </c>
      <c r="J2672" t="s">
        <v>339</v>
      </c>
      <c r="K2672" t="s">
        <v>849</v>
      </c>
      <c r="L2672">
        <v>84423</v>
      </c>
      <c r="M2672" t="s">
        <v>1198</v>
      </c>
      <c r="O2672" t="s">
        <v>11</v>
      </c>
      <c r="P2672">
        <v>5102</v>
      </c>
      <c r="Q2672">
        <v>4</v>
      </c>
      <c r="R2672">
        <v>17.82</v>
      </c>
      <c r="S2672">
        <v>71.28</v>
      </c>
      <c r="T2672">
        <v>54.08</v>
      </c>
      <c r="U2672">
        <v>24.13</v>
      </c>
      <c r="V2672" t="str">
        <f>VLOOKUP(L2672,'[2]tabela de preços'!$A:$D,4,0)</f>
        <v>ATLAS</v>
      </c>
      <c r="W2672" t="str">
        <f>VLOOKUP(L2672,'[2]tabela de preços'!$A:$F,6,0)</f>
        <v>ROLOS / TRINCHAS / PINCÉIS / ESPÁTULAS</v>
      </c>
      <c r="X2672" t="str">
        <f>VLOOKUP(L2672,'[2]tabela de preços'!$A:$G,7,0)</f>
        <v>IMOBILIÁRIO</v>
      </c>
    </row>
    <row r="2673" spans="1:24" x14ac:dyDescent="0.3">
      <c r="A2673" t="s">
        <v>846</v>
      </c>
      <c r="C2673" t="s">
        <v>2430</v>
      </c>
      <c r="D2673" s="1">
        <v>46055</v>
      </c>
      <c r="E2673" t="s">
        <v>2431</v>
      </c>
      <c r="F2673">
        <v>9</v>
      </c>
      <c r="G2673">
        <v>174</v>
      </c>
      <c r="H2673" t="str">
        <f>VLOOKUP(G2673,[1]OPERADORES!$A:$B,2,0)</f>
        <v>MIRIÃ LOBATO RODRIGUES</v>
      </c>
      <c r="I2673" t="s">
        <v>21</v>
      </c>
      <c r="J2673" t="s">
        <v>339</v>
      </c>
      <c r="K2673" t="s">
        <v>849</v>
      </c>
      <c r="L2673">
        <v>84421</v>
      </c>
      <c r="M2673" t="s">
        <v>568</v>
      </c>
      <c r="O2673" t="s">
        <v>11</v>
      </c>
      <c r="P2673">
        <v>5102</v>
      </c>
      <c r="Q2673">
        <v>2</v>
      </c>
      <c r="R2673">
        <v>6.35</v>
      </c>
      <c r="S2673">
        <v>12.7</v>
      </c>
      <c r="T2673">
        <v>9.64</v>
      </c>
      <c r="U2673">
        <v>24.09</v>
      </c>
      <c r="V2673" t="str">
        <f>VLOOKUP(L2673,'[2]tabela de preços'!$A:$D,4,0)</f>
        <v>ATLAS</v>
      </c>
      <c r="W2673" t="str">
        <f>VLOOKUP(L2673,'[2]tabela de preços'!$A:$F,6,0)</f>
        <v>ROLOS / TRINCHAS / PINCÉIS / ESPÁTULAS</v>
      </c>
      <c r="X2673" t="str">
        <f>VLOOKUP(L2673,'[2]tabela de preços'!$A:$G,7,0)</f>
        <v>IMOBILIÁRIO</v>
      </c>
    </row>
    <row r="2674" spans="1:24" x14ac:dyDescent="0.3">
      <c r="A2674" t="s">
        <v>846</v>
      </c>
      <c r="C2674" t="s">
        <v>2430</v>
      </c>
      <c r="D2674" s="1">
        <v>46055</v>
      </c>
      <c r="E2674" t="s">
        <v>2431</v>
      </c>
      <c r="F2674">
        <v>9</v>
      </c>
      <c r="G2674">
        <v>174</v>
      </c>
      <c r="H2674" t="str">
        <f>VLOOKUP(G2674,[1]OPERADORES!$A:$B,2,0)</f>
        <v>MIRIÃ LOBATO RODRIGUES</v>
      </c>
      <c r="I2674" t="s">
        <v>21</v>
      </c>
      <c r="J2674" t="s">
        <v>339</v>
      </c>
      <c r="K2674" t="s">
        <v>849</v>
      </c>
      <c r="L2674">
        <v>86939</v>
      </c>
      <c r="M2674" t="s">
        <v>346</v>
      </c>
      <c r="O2674" t="s">
        <v>11</v>
      </c>
      <c r="P2674">
        <v>5102</v>
      </c>
      <c r="Q2674">
        <v>1</v>
      </c>
      <c r="R2674">
        <v>52.92</v>
      </c>
      <c r="S2674">
        <v>52.92</v>
      </c>
      <c r="T2674">
        <v>40.17</v>
      </c>
      <c r="U2674">
        <v>24.09</v>
      </c>
      <c r="V2674" t="str">
        <f>VLOOKUP(L2674,'[2]tabela de preços'!$A:$D,4,0)</f>
        <v>ATLAS</v>
      </c>
      <c r="W2674" t="str">
        <f>VLOOKUP(L2674,'[2]tabela de preços'!$A:$F,6,0)</f>
        <v>ROLOS / TRINCHAS / PINCÉIS / ESPÁTULAS</v>
      </c>
      <c r="X2674" t="str">
        <f>VLOOKUP(L2674,'[2]tabela de preços'!$A:$G,7,0)</f>
        <v>IMOBILIÁRIO</v>
      </c>
    </row>
    <row r="2675" spans="1:24" x14ac:dyDescent="0.3">
      <c r="A2675" t="s">
        <v>846</v>
      </c>
      <c r="C2675" t="s">
        <v>2430</v>
      </c>
      <c r="D2675" s="1">
        <v>46055</v>
      </c>
      <c r="E2675" t="s">
        <v>2431</v>
      </c>
      <c r="F2675">
        <v>9</v>
      </c>
      <c r="G2675">
        <v>174</v>
      </c>
      <c r="H2675" t="str">
        <f>VLOOKUP(G2675,[1]OPERADORES!$A:$B,2,0)</f>
        <v>MIRIÃ LOBATO RODRIGUES</v>
      </c>
      <c r="I2675" t="s">
        <v>21</v>
      </c>
      <c r="J2675" t="s">
        <v>339</v>
      </c>
      <c r="K2675" t="s">
        <v>849</v>
      </c>
      <c r="L2675">
        <v>84703</v>
      </c>
      <c r="M2675" t="s">
        <v>1423</v>
      </c>
      <c r="O2675" t="s">
        <v>11</v>
      </c>
      <c r="P2675">
        <v>5102</v>
      </c>
      <c r="Q2675">
        <v>1</v>
      </c>
      <c r="R2675">
        <v>16.03</v>
      </c>
      <c r="S2675">
        <v>16.03</v>
      </c>
      <c r="T2675">
        <v>12.17</v>
      </c>
      <c r="U2675">
        <v>24.08</v>
      </c>
      <c r="V2675" t="str">
        <f>VLOOKUP(L2675,'[2]tabela de preços'!$A:$D,4,0)</f>
        <v>ATLAS</v>
      </c>
      <c r="W2675" t="str">
        <f>VLOOKUP(L2675,'[2]tabela de preços'!$A:$F,6,0)</f>
        <v>ROLOS / TRINCHAS / PINCÉIS / ESPÁTULAS</v>
      </c>
      <c r="X2675" t="str">
        <f>VLOOKUP(L2675,'[2]tabela de preços'!$A:$G,7,0)</f>
        <v>IMOBILIÁRIO</v>
      </c>
    </row>
    <row r="2676" spans="1:24" x14ac:dyDescent="0.3">
      <c r="A2676" t="s">
        <v>846</v>
      </c>
      <c r="C2676" t="s">
        <v>2430</v>
      </c>
      <c r="D2676" s="1">
        <v>46055</v>
      </c>
      <c r="E2676" t="s">
        <v>2431</v>
      </c>
      <c r="F2676">
        <v>9</v>
      </c>
      <c r="G2676">
        <v>174</v>
      </c>
      <c r="H2676" t="str">
        <f>VLOOKUP(G2676,[1]OPERADORES!$A:$B,2,0)</f>
        <v>MIRIÃ LOBATO RODRIGUES</v>
      </c>
      <c r="I2676" t="s">
        <v>21</v>
      </c>
      <c r="J2676" t="s">
        <v>339</v>
      </c>
      <c r="K2676" t="s">
        <v>849</v>
      </c>
      <c r="L2676">
        <v>84898</v>
      </c>
      <c r="M2676" t="s">
        <v>853</v>
      </c>
      <c r="O2676" t="s">
        <v>11</v>
      </c>
      <c r="P2676">
        <v>5403</v>
      </c>
      <c r="Q2676">
        <v>2</v>
      </c>
      <c r="R2676">
        <v>169.39</v>
      </c>
      <c r="S2676">
        <v>338.78</v>
      </c>
      <c r="T2676">
        <v>257.14</v>
      </c>
      <c r="U2676">
        <v>24.1</v>
      </c>
      <c r="V2676" t="str">
        <f>VLOOKUP(L2676,'[2]tabela de preços'!$A:$D,4,0)</f>
        <v>BRASILUX</v>
      </c>
      <c r="W2676" t="str">
        <f>VLOOKUP(L2676,'[2]tabela de preços'!$A:$F,6,0)</f>
        <v>EPOXI</v>
      </c>
      <c r="X2676" t="str">
        <f>VLOOKUP(L2676,'[2]tabela de preços'!$A:$G,7,0)</f>
        <v>INDUSTRIAL</v>
      </c>
    </row>
    <row r="2677" spans="1:24" x14ac:dyDescent="0.3">
      <c r="A2677" t="s">
        <v>846</v>
      </c>
      <c r="C2677" t="s">
        <v>2430</v>
      </c>
      <c r="D2677" s="1">
        <v>46055</v>
      </c>
      <c r="E2677" t="s">
        <v>2431</v>
      </c>
      <c r="F2677">
        <v>9</v>
      </c>
      <c r="G2677">
        <v>174</v>
      </c>
      <c r="H2677" t="str">
        <f>VLOOKUP(G2677,[1]OPERADORES!$A:$B,2,0)</f>
        <v>MIRIÃ LOBATO RODRIGUES</v>
      </c>
      <c r="I2677" t="s">
        <v>21</v>
      </c>
      <c r="J2677" t="s">
        <v>339</v>
      </c>
      <c r="K2677" t="s">
        <v>849</v>
      </c>
      <c r="L2677">
        <v>84899</v>
      </c>
      <c r="M2677" t="s">
        <v>854</v>
      </c>
      <c r="O2677" t="s">
        <v>11</v>
      </c>
      <c r="P2677">
        <v>5403</v>
      </c>
      <c r="Q2677">
        <v>1</v>
      </c>
      <c r="R2677">
        <v>169.39</v>
      </c>
      <c r="S2677">
        <v>169.39</v>
      </c>
      <c r="T2677">
        <v>128.57</v>
      </c>
      <c r="U2677">
        <v>24.1</v>
      </c>
      <c r="V2677" t="str">
        <f>VLOOKUP(L2677,'[2]tabela de preços'!$A:$D,4,0)</f>
        <v>BRASILUX</v>
      </c>
      <c r="W2677" t="str">
        <f>VLOOKUP(L2677,'[2]tabela de preços'!$A:$F,6,0)</f>
        <v>EPOXI</v>
      </c>
      <c r="X2677" t="str">
        <f>VLOOKUP(L2677,'[2]tabela de preços'!$A:$G,7,0)</f>
        <v>INDUSTRIAL</v>
      </c>
    </row>
    <row r="2678" spans="1:24" x14ac:dyDescent="0.3">
      <c r="A2678" t="s">
        <v>846</v>
      </c>
      <c r="C2678" t="s">
        <v>2430</v>
      </c>
      <c r="D2678" s="1">
        <v>46055</v>
      </c>
      <c r="E2678" t="s">
        <v>2431</v>
      </c>
      <c r="F2678">
        <v>9</v>
      </c>
      <c r="G2678">
        <v>174</v>
      </c>
      <c r="H2678" t="str">
        <f>VLOOKUP(G2678,[1]OPERADORES!$A:$B,2,0)</f>
        <v>MIRIÃ LOBATO RODRIGUES</v>
      </c>
      <c r="I2678" t="s">
        <v>21</v>
      </c>
      <c r="J2678" t="s">
        <v>339</v>
      </c>
      <c r="K2678" t="s">
        <v>849</v>
      </c>
      <c r="L2678">
        <v>84901</v>
      </c>
      <c r="M2678" t="s">
        <v>2432</v>
      </c>
      <c r="O2678" t="s">
        <v>11</v>
      </c>
      <c r="P2678">
        <v>5403</v>
      </c>
      <c r="Q2678">
        <v>5</v>
      </c>
      <c r="R2678">
        <v>215.62</v>
      </c>
      <c r="S2678" s="2">
        <v>1078.0999999999999</v>
      </c>
      <c r="T2678">
        <v>818.3</v>
      </c>
      <c r="U2678">
        <v>24.1</v>
      </c>
      <c r="V2678" t="str">
        <f>VLOOKUP(L2678,'[2]tabela de preços'!$A:$D,4,0)</f>
        <v>BRASILUX</v>
      </c>
      <c r="W2678" t="str">
        <f>VLOOKUP(L2678,'[2]tabela de preços'!$A:$F,6,0)</f>
        <v>EPOXI</v>
      </c>
      <c r="X2678" t="str">
        <f>VLOOKUP(L2678,'[2]tabela de preços'!$A:$G,7,0)</f>
        <v>INDUSTRIAL</v>
      </c>
    </row>
    <row r="2679" spans="1:24" x14ac:dyDescent="0.3">
      <c r="A2679" t="s">
        <v>846</v>
      </c>
      <c r="C2679" t="s">
        <v>2430</v>
      </c>
      <c r="D2679" s="1">
        <v>46055</v>
      </c>
      <c r="E2679" t="s">
        <v>2431</v>
      </c>
      <c r="F2679">
        <v>9</v>
      </c>
      <c r="G2679">
        <v>174</v>
      </c>
      <c r="H2679" t="str">
        <f>VLOOKUP(G2679,[1]OPERADORES!$A:$B,2,0)</f>
        <v>MIRIÃ LOBATO RODRIGUES</v>
      </c>
      <c r="I2679" t="s">
        <v>21</v>
      </c>
      <c r="J2679" t="s">
        <v>339</v>
      </c>
      <c r="K2679" t="s">
        <v>849</v>
      </c>
      <c r="L2679">
        <v>10118</v>
      </c>
      <c r="M2679" t="s">
        <v>572</v>
      </c>
      <c r="O2679" t="s">
        <v>11</v>
      </c>
      <c r="P2679">
        <v>5102</v>
      </c>
      <c r="Q2679">
        <v>4</v>
      </c>
      <c r="R2679">
        <v>5.0199999999999996</v>
      </c>
      <c r="S2679">
        <v>20.079999999999998</v>
      </c>
      <c r="T2679">
        <v>15.24</v>
      </c>
      <c r="U2679">
        <v>24.1</v>
      </c>
      <c r="V2679" t="str">
        <f>VLOOKUP(L2679,'[2]tabela de preços'!$A:$D,4,0)</f>
        <v>ATLAS</v>
      </c>
      <c r="W2679" t="str">
        <f>VLOOKUP(L2679,'[2]tabela de preços'!$A:$F,6,0)</f>
        <v>ROLOS / TRINCHAS / PINCÉIS / ESPÁTULAS</v>
      </c>
      <c r="X2679" t="str">
        <f>VLOOKUP(L2679,'[2]tabela de preços'!$A:$G,7,0)</f>
        <v>IMOBILIÁRIO</v>
      </c>
    </row>
    <row r="2680" spans="1:24" x14ac:dyDescent="0.3">
      <c r="A2680" t="s">
        <v>846</v>
      </c>
      <c r="C2680" t="s">
        <v>2815</v>
      </c>
      <c r="D2680" s="1">
        <v>46062</v>
      </c>
      <c r="E2680" t="s">
        <v>2816</v>
      </c>
      <c r="F2680">
        <v>9</v>
      </c>
      <c r="G2680">
        <v>174</v>
      </c>
      <c r="H2680" t="str">
        <f>VLOOKUP(G2680,[1]OPERADORES!$A:$B,2,0)</f>
        <v>MIRIÃ LOBATO RODRIGUES</v>
      </c>
      <c r="I2680" t="s">
        <v>21</v>
      </c>
      <c r="J2680" t="s">
        <v>339</v>
      </c>
      <c r="K2680" t="s">
        <v>849</v>
      </c>
      <c r="L2680">
        <v>86995</v>
      </c>
      <c r="M2680" t="s">
        <v>2817</v>
      </c>
      <c r="O2680" t="s">
        <v>11</v>
      </c>
      <c r="P2680">
        <v>5102</v>
      </c>
      <c r="Q2680">
        <v>11</v>
      </c>
      <c r="R2680">
        <v>7.4</v>
      </c>
      <c r="S2680">
        <v>81.400000000000006</v>
      </c>
      <c r="T2680">
        <v>64.13</v>
      </c>
      <c r="U2680">
        <v>21.22</v>
      </c>
      <c r="V2680" t="str">
        <f>VLOOKUP(L2680,'[2]tabela de preços'!$A:$D,4,0)</f>
        <v>AUTOAMERICA</v>
      </c>
      <c r="W2680" t="str">
        <f>VLOOKUP(L2680,'[2]tabela de preços'!$A:$F,6,0)</f>
        <v>FLANELAS / PANOS</v>
      </c>
      <c r="X2680" t="str">
        <f>VLOOKUP(L2680,'[2]tabela de preços'!$A:$G,7,0)</f>
        <v>AUTOMOTIVO</v>
      </c>
    </row>
    <row r="2681" spans="1:24" x14ac:dyDescent="0.3">
      <c r="A2681" t="s">
        <v>846</v>
      </c>
      <c r="C2681" t="s">
        <v>2815</v>
      </c>
      <c r="D2681" s="1">
        <v>46062</v>
      </c>
      <c r="E2681" t="s">
        <v>2816</v>
      </c>
      <c r="F2681">
        <v>9</v>
      </c>
      <c r="G2681">
        <v>174</v>
      </c>
      <c r="H2681" t="str">
        <f>VLOOKUP(G2681,[1]OPERADORES!$A:$B,2,0)</f>
        <v>MIRIÃ LOBATO RODRIGUES</v>
      </c>
      <c r="I2681" t="s">
        <v>21</v>
      </c>
      <c r="J2681" t="s">
        <v>339</v>
      </c>
      <c r="K2681" t="s">
        <v>849</v>
      </c>
      <c r="L2681">
        <v>85590</v>
      </c>
      <c r="M2681" t="s">
        <v>2818</v>
      </c>
      <c r="O2681" t="s">
        <v>11</v>
      </c>
      <c r="P2681">
        <v>5102</v>
      </c>
      <c r="Q2681">
        <v>1</v>
      </c>
      <c r="R2681">
        <v>115.81</v>
      </c>
      <c r="S2681">
        <v>115.81</v>
      </c>
      <c r="T2681">
        <v>85.39</v>
      </c>
      <c r="U2681">
        <v>26.27</v>
      </c>
      <c r="V2681" t="str">
        <f>VLOOKUP(L2681,'[2]tabela de preços'!$A:$D,4,0)</f>
        <v>VONIXX</v>
      </c>
      <c r="W2681" t="str">
        <f>VLOOKUP(L2681,'[2]tabela de preços'!$A:$F,6,0)</f>
        <v>LINHA DE HIGENIZAÇÃO E ESTÉTICA  AUTOMOTIVA</v>
      </c>
      <c r="X2681" t="str">
        <f>VLOOKUP(L2681,'[2]tabela de preços'!$A:$G,7,0)</f>
        <v>AUTOMOTIVO</v>
      </c>
    </row>
    <row r="2682" spans="1:24" x14ac:dyDescent="0.3">
      <c r="A2682" t="s">
        <v>868</v>
      </c>
      <c r="B2682" t="s">
        <v>869</v>
      </c>
      <c r="C2682" t="s">
        <v>2433</v>
      </c>
      <c r="D2682" s="1">
        <v>46055</v>
      </c>
      <c r="E2682" t="s">
        <v>2434</v>
      </c>
      <c r="F2682">
        <v>9</v>
      </c>
      <c r="G2682">
        <v>197</v>
      </c>
      <c r="H2682" t="str">
        <f>VLOOKUP(G2682,[1]OPERADORES!$A:$B,2,0)</f>
        <v xml:space="preserve">POLIANA LORRANE DE AMORIM </v>
      </c>
      <c r="I2682" t="s">
        <v>21</v>
      </c>
      <c r="J2682" t="s">
        <v>872</v>
      </c>
      <c r="K2682" t="s">
        <v>873</v>
      </c>
      <c r="L2682">
        <v>10298</v>
      </c>
      <c r="M2682" t="s">
        <v>85</v>
      </c>
      <c r="O2682" t="s">
        <v>11</v>
      </c>
      <c r="P2682">
        <v>5102</v>
      </c>
      <c r="Q2682">
        <v>40</v>
      </c>
      <c r="R2682">
        <v>54.9</v>
      </c>
      <c r="S2682" s="2">
        <v>2196</v>
      </c>
      <c r="T2682" s="2">
        <v>1895.2</v>
      </c>
      <c r="U2682">
        <v>13.7</v>
      </c>
      <c r="V2682" t="str">
        <f>VLOOKUP(L2682,'[2]tabela de preços'!$A:$D,4,0)</f>
        <v>ANJO</v>
      </c>
      <c r="W2682" t="str">
        <f>VLOOKUP(L2682,'[2]tabela de preços'!$A:$F,6,0)</f>
        <v>THINNER DE LIMPEZA</v>
      </c>
      <c r="X2682" t="str">
        <f>VLOOKUP(L2682,'[2]tabela de preços'!$A:$G,7,0)</f>
        <v>THINNER</v>
      </c>
    </row>
    <row r="2683" spans="1:24" x14ac:dyDescent="0.3">
      <c r="A2683" t="s">
        <v>868</v>
      </c>
      <c r="B2683" t="s">
        <v>869</v>
      </c>
      <c r="C2683" t="s">
        <v>2433</v>
      </c>
      <c r="D2683" s="1">
        <v>46055</v>
      </c>
      <c r="E2683" t="s">
        <v>2434</v>
      </c>
      <c r="F2683">
        <v>9</v>
      </c>
      <c r="G2683">
        <v>197</v>
      </c>
      <c r="H2683" t="str">
        <f>VLOOKUP(G2683,[1]OPERADORES!$A:$B,2,0)</f>
        <v xml:space="preserve">POLIANA LORRANE DE AMORIM </v>
      </c>
      <c r="I2683" t="s">
        <v>21</v>
      </c>
      <c r="J2683" t="s">
        <v>872</v>
      </c>
      <c r="K2683" t="s">
        <v>873</v>
      </c>
      <c r="L2683">
        <v>10297</v>
      </c>
      <c r="M2683" t="s">
        <v>41</v>
      </c>
      <c r="O2683" t="s">
        <v>11</v>
      </c>
      <c r="P2683">
        <v>5102</v>
      </c>
      <c r="Q2683">
        <v>36</v>
      </c>
      <c r="R2683">
        <v>10.49</v>
      </c>
      <c r="S2683">
        <v>377.64</v>
      </c>
      <c r="T2683">
        <v>330.12</v>
      </c>
      <c r="U2683">
        <v>12.58</v>
      </c>
      <c r="V2683" t="str">
        <f>VLOOKUP(L2683,'[2]tabela de preços'!$A:$D,4,0)</f>
        <v>ANJO</v>
      </c>
      <c r="W2683" t="str">
        <f>VLOOKUP(L2683,'[2]tabela de preços'!$A:$F,6,0)</f>
        <v>THINNER DE LIMPEZA</v>
      </c>
      <c r="X2683" t="str">
        <f>VLOOKUP(L2683,'[2]tabela de preços'!$A:$G,7,0)</f>
        <v>THINNER</v>
      </c>
    </row>
    <row r="2684" spans="1:24" x14ac:dyDescent="0.3">
      <c r="A2684" t="s">
        <v>868</v>
      </c>
      <c r="B2684" t="s">
        <v>869</v>
      </c>
      <c r="C2684" t="s">
        <v>2614</v>
      </c>
      <c r="D2684" s="1">
        <v>46058</v>
      </c>
      <c r="E2684" t="s">
        <v>2615</v>
      </c>
      <c r="F2684">
        <v>9</v>
      </c>
      <c r="G2684">
        <v>197</v>
      </c>
      <c r="H2684" t="str">
        <f>VLOOKUP(G2684,[1]OPERADORES!$A:$B,2,0)</f>
        <v xml:space="preserve">POLIANA LORRANE DE AMORIM </v>
      </c>
      <c r="I2684" t="s">
        <v>21</v>
      </c>
      <c r="J2684" t="s">
        <v>872</v>
      </c>
      <c r="K2684" t="s">
        <v>873</v>
      </c>
      <c r="L2684">
        <v>84217</v>
      </c>
      <c r="M2684" t="s">
        <v>882</v>
      </c>
      <c r="O2684" t="s">
        <v>11</v>
      </c>
      <c r="P2684">
        <v>5403</v>
      </c>
      <c r="Q2684">
        <v>4</v>
      </c>
      <c r="R2684">
        <v>51.16</v>
      </c>
      <c r="S2684">
        <v>204.64</v>
      </c>
      <c r="T2684">
        <v>155.32</v>
      </c>
      <c r="U2684">
        <v>24.1</v>
      </c>
      <c r="V2684" t="str">
        <f>VLOOKUP(L2684,'[2]tabela de preços'!$A:$D,4,0)</f>
        <v>BRASILUX</v>
      </c>
      <c r="W2684" t="str">
        <f>VLOOKUP(L2684,'[2]tabela de preços'!$A:$F,6,0)</f>
        <v>ESMALTES</v>
      </c>
      <c r="X2684" t="str">
        <f>VLOOKUP(L2684,'[2]tabela de preços'!$A:$G,7,0)</f>
        <v>INDUSTRIAL</v>
      </c>
    </row>
    <row r="2685" spans="1:24" x14ac:dyDescent="0.3">
      <c r="A2685" t="s">
        <v>868</v>
      </c>
      <c r="B2685" t="s">
        <v>869</v>
      </c>
      <c r="C2685" t="s">
        <v>2614</v>
      </c>
      <c r="D2685" s="1">
        <v>46058</v>
      </c>
      <c r="E2685" t="s">
        <v>2615</v>
      </c>
      <c r="F2685">
        <v>9</v>
      </c>
      <c r="G2685">
        <v>197</v>
      </c>
      <c r="H2685" t="str">
        <f>VLOOKUP(G2685,[1]OPERADORES!$A:$B,2,0)</f>
        <v xml:space="preserve">POLIANA LORRANE DE AMORIM </v>
      </c>
      <c r="I2685" t="s">
        <v>21</v>
      </c>
      <c r="J2685" t="s">
        <v>872</v>
      </c>
      <c r="K2685" t="s">
        <v>873</v>
      </c>
      <c r="L2685">
        <v>84331</v>
      </c>
      <c r="M2685" t="s">
        <v>497</v>
      </c>
      <c r="O2685" t="s">
        <v>11</v>
      </c>
      <c r="P2685">
        <v>5403</v>
      </c>
      <c r="Q2685">
        <v>8</v>
      </c>
      <c r="R2685">
        <v>59.98</v>
      </c>
      <c r="S2685">
        <v>479.84</v>
      </c>
      <c r="T2685">
        <v>416</v>
      </c>
      <c r="U2685">
        <v>13.3</v>
      </c>
      <c r="V2685" t="str">
        <f>VLOOKUP(L2685,'[2]tabela de preços'!$A:$D,4,0)</f>
        <v>BRASILUX</v>
      </c>
      <c r="W2685" t="str">
        <f>VLOOKUP(L2685,'[2]tabela de preços'!$A:$F,6,0)</f>
        <v>ESMALTES</v>
      </c>
      <c r="X2685" t="str">
        <f>VLOOKUP(L2685,'[2]tabela de preços'!$A:$G,7,0)</f>
        <v>INDUSTRIAL</v>
      </c>
    </row>
    <row r="2686" spans="1:24" x14ac:dyDescent="0.3">
      <c r="A2686" t="s">
        <v>868</v>
      </c>
      <c r="B2686" t="s">
        <v>869</v>
      </c>
      <c r="C2686" t="s">
        <v>2614</v>
      </c>
      <c r="D2686" s="1">
        <v>46058</v>
      </c>
      <c r="E2686" t="s">
        <v>2615</v>
      </c>
      <c r="F2686">
        <v>9</v>
      </c>
      <c r="G2686">
        <v>197</v>
      </c>
      <c r="H2686" t="str">
        <f>VLOOKUP(G2686,[1]OPERADORES!$A:$B,2,0)</f>
        <v xml:space="preserve">POLIANA LORRANE DE AMORIM </v>
      </c>
      <c r="I2686" t="s">
        <v>21</v>
      </c>
      <c r="J2686" t="s">
        <v>872</v>
      </c>
      <c r="K2686" t="s">
        <v>873</v>
      </c>
      <c r="L2686">
        <v>23076</v>
      </c>
      <c r="M2686" t="s">
        <v>97</v>
      </c>
      <c r="O2686" t="s">
        <v>11</v>
      </c>
      <c r="P2686">
        <v>5403</v>
      </c>
      <c r="Q2686">
        <v>10</v>
      </c>
      <c r="R2686">
        <v>34.89</v>
      </c>
      <c r="S2686">
        <v>348.9</v>
      </c>
      <c r="T2686">
        <v>265.3</v>
      </c>
      <c r="U2686">
        <v>23.96</v>
      </c>
      <c r="V2686" t="str">
        <f>VLOOKUP(L2686,'[2]tabela de preços'!$A:$D,4,0)</f>
        <v>WANDA</v>
      </c>
      <c r="W2686" t="str">
        <f>VLOOKUP(L2686,'[2]tabela de preços'!$A:$F,6,0)</f>
        <v>PRIMER AUTOMOTIVO</v>
      </c>
      <c r="X2686" t="str">
        <f>VLOOKUP(L2686,'[2]tabela de preços'!$A:$G,7,0)</f>
        <v>AUTOMOTIVO</v>
      </c>
    </row>
    <row r="2687" spans="1:24" x14ac:dyDescent="0.3">
      <c r="A2687" t="s">
        <v>868</v>
      </c>
      <c r="B2687" t="s">
        <v>869</v>
      </c>
      <c r="C2687" t="s">
        <v>2614</v>
      </c>
      <c r="D2687" s="1">
        <v>46058</v>
      </c>
      <c r="E2687" t="s">
        <v>2615</v>
      </c>
      <c r="F2687">
        <v>9</v>
      </c>
      <c r="G2687">
        <v>197</v>
      </c>
      <c r="H2687" t="str">
        <f>VLOOKUP(G2687,[1]OPERADORES!$A:$B,2,0)</f>
        <v xml:space="preserve">POLIANA LORRANE DE AMORIM </v>
      </c>
      <c r="I2687" t="s">
        <v>21</v>
      </c>
      <c r="J2687" t="s">
        <v>872</v>
      </c>
      <c r="K2687" t="s">
        <v>873</v>
      </c>
      <c r="L2687">
        <v>84034</v>
      </c>
      <c r="M2687" t="s">
        <v>890</v>
      </c>
      <c r="O2687" t="s">
        <v>11</v>
      </c>
      <c r="P2687">
        <v>5102</v>
      </c>
      <c r="Q2687">
        <v>4</v>
      </c>
      <c r="R2687">
        <v>26</v>
      </c>
      <c r="S2687">
        <v>104</v>
      </c>
      <c r="T2687">
        <v>76.239999999999995</v>
      </c>
      <c r="U2687">
        <v>26.69</v>
      </c>
      <c r="V2687" t="str">
        <f>VLOOKUP(L2687,'[2]tabela de preços'!$A:$D,4,0)</f>
        <v>BRASILUX</v>
      </c>
      <c r="W2687" t="str">
        <f>VLOOKUP(L2687,'[2]tabela de preços'!$A:$F,6,0)</f>
        <v>MASSA CORRIDA / ACRÍLICA</v>
      </c>
      <c r="X2687" t="str">
        <f>VLOOKUP(L2687,'[2]tabela de preços'!$A:$G,7,0)</f>
        <v>IMOBILIÁRIO</v>
      </c>
    </row>
    <row r="2688" spans="1:24" x14ac:dyDescent="0.3">
      <c r="A2688" t="s">
        <v>868</v>
      </c>
      <c r="B2688" t="s">
        <v>869</v>
      </c>
      <c r="C2688" t="s">
        <v>2614</v>
      </c>
      <c r="D2688" s="1">
        <v>46058</v>
      </c>
      <c r="E2688" t="s">
        <v>2615</v>
      </c>
      <c r="F2688">
        <v>9</v>
      </c>
      <c r="G2688">
        <v>197</v>
      </c>
      <c r="H2688" t="str">
        <f>VLOOKUP(G2688,[1]OPERADORES!$A:$B,2,0)</f>
        <v xml:space="preserve">POLIANA LORRANE DE AMORIM </v>
      </c>
      <c r="I2688" t="s">
        <v>21</v>
      </c>
      <c r="J2688" t="s">
        <v>872</v>
      </c>
      <c r="K2688" t="s">
        <v>873</v>
      </c>
      <c r="L2688">
        <v>84039</v>
      </c>
      <c r="M2688" t="s">
        <v>594</v>
      </c>
      <c r="O2688" t="s">
        <v>11</v>
      </c>
      <c r="P2688">
        <v>5102</v>
      </c>
      <c r="Q2688">
        <v>6</v>
      </c>
      <c r="R2688">
        <v>6.55</v>
      </c>
      <c r="S2688">
        <v>39.299999999999997</v>
      </c>
      <c r="T2688">
        <v>28.8</v>
      </c>
      <c r="U2688">
        <v>26.72</v>
      </c>
      <c r="V2688" t="str">
        <f>VLOOKUP(L2688,'[2]tabela de preços'!$A:$D,4,0)</f>
        <v>BRASILUX</v>
      </c>
      <c r="W2688" t="str">
        <f>VLOOKUP(L2688,'[2]tabela de preços'!$A:$F,6,0)</f>
        <v>MASSA CORRIDA / ACRÍLICA</v>
      </c>
      <c r="X2688" t="str">
        <f>VLOOKUP(L2688,'[2]tabela de preços'!$A:$G,7,0)</f>
        <v>IMOBILIÁRIO</v>
      </c>
    </row>
    <row r="2689" spans="1:24" x14ac:dyDescent="0.3">
      <c r="A2689" t="s">
        <v>2501</v>
      </c>
      <c r="C2689" t="s">
        <v>2502</v>
      </c>
      <c r="D2689" s="1">
        <v>46056</v>
      </c>
      <c r="E2689" t="s">
        <v>2503</v>
      </c>
      <c r="F2689">
        <v>9</v>
      </c>
      <c r="G2689">
        <v>197</v>
      </c>
      <c r="H2689" t="str">
        <f>VLOOKUP(G2689,[1]OPERADORES!$A:$B,2,0)</f>
        <v xml:space="preserve">POLIANA LORRANE DE AMORIM </v>
      </c>
      <c r="I2689" t="s">
        <v>2504</v>
      </c>
      <c r="J2689" t="s">
        <v>2505</v>
      </c>
      <c r="K2689" t="s">
        <v>2506</v>
      </c>
      <c r="L2689">
        <v>85324</v>
      </c>
      <c r="M2689" t="s">
        <v>1846</v>
      </c>
      <c r="O2689" t="s">
        <v>11</v>
      </c>
      <c r="P2689">
        <v>5102</v>
      </c>
      <c r="Q2689">
        <v>2</v>
      </c>
      <c r="R2689">
        <v>550</v>
      </c>
      <c r="S2689" s="2">
        <v>1100</v>
      </c>
      <c r="T2689">
        <v>733.3</v>
      </c>
      <c r="U2689">
        <v>33.340000000000003</v>
      </c>
      <c r="V2689" t="str">
        <f>VLOOKUP(L2689,'[2]tabela de preços'!$A:$D,4,0)</f>
        <v>BRASILUX</v>
      </c>
      <c r="W2689" t="str">
        <f>VLOOKUP(L2689,'[2]tabela de preços'!$A:$F,6,0)</f>
        <v>TINTA EM PÓ</v>
      </c>
      <c r="X2689" t="str">
        <f>VLOOKUP(L2689,'[2]tabela de preços'!$A:$G,7,0)</f>
        <v>INDUSTRIAL</v>
      </c>
    </row>
    <row r="2690" spans="1:24" x14ac:dyDescent="0.3">
      <c r="A2690" t="s">
        <v>2774</v>
      </c>
      <c r="C2690" t="s">
        <v>2775</v>
      </c>
      <c r="D2690" s="1">
        <v>46059</v>
      </c>
      <c r="E2690" t="s">
        <v>2776</v>
      </c>
      <c r="F2690">
        <v>9</v>
      </c>
      <c r="G2690">
        <v>231</v>
      </c>
      <c r="H2690" t="str">
        <f>VLOOKUP(G2690,[1]OPERADORES!$A:$B,2,0)</f>
        <v>EDIJANE</v>
      </c>
      <c r="I2690" t="s">
        <v>21</v>
      </c>
      <c r="J2690" t="s">
        <v>531</v>
      </c>
      <c r="K2690" t="s">
        <v>2777</v>
      </c>
      <c r="L2690">
        <v>10298</v>
      </c>
      <c r="M2690" t="s">
        <v>85</v>
      </c>
      <c r="O2690" t="s">
        <v>11</v>
      </c>
      <c r="P2690">
        <v>5102</v>
      </c>
      <c r="Q2690">
        <v>1</v>
      </c>
      <c r="R2690">
        <v>56.89</v>
      </c>
      <c r="S2690">
        <v>56.89</v>
      </c>
      <c r="T2690">
        <v>47.38</v>
      </c>
      <c r="U2690">
        <v>16.72</v>
      </c>
      <c r="V2690" t="str">
        <f>VLOOKUP(L2690,'[2]tabela de preços'!$A:$D,4,0)</f>
        <v>ANJO</v>
      </c>
      <c r="W2690" t="str">
        <f>VLOOKUP(L2690,'[2]tabela de preços'!$A:$F,6,0)</f>
        <v>THINNER DE LIMPEZA</v>
      </c>
      <c r="X2690" t="str">
        <f>VLOOKUP(L2690,'[2]tabela de preços'!$A:$G,7,0)</f>
        <v>THINNER</v>
      </c>
    </row>
    <row r="2691" spans="1:24" x14ac:dyDescent="0.3">
      <c r="A2691" t="s">
        <v>2774</v>
      </c>
      <c r="C2691" t="s">
        <v>2775</v>
      </c>
      <c r="D2691" s="1">
        <v>46059</v>
      </c>
      <c r="E2691" t="s">
        <v>2776</v>
      </c>
      <c r="F2691">
        <v>9</v>
      </c>
      <c r="G2691">
        <v>231</v>
      </c>
      <c r="H2691" t="str">
        <f>VLOOKUP(G2691,[1]OPERADORES!$A:$B,2,0)</f>
        <v>EDIJANE</v>
      </c>
      <c r="I2691" t="s">
        <v>21</v>
      </c>
      <c r="J2691" t="s">
        <v>531</v>
      </c>
      <c r="K2691" t="s">
        <v>2777</v>
      </c>
      <c r="L2691">
        <v>85424</v>
      </c>
      <c r="M2691" t="s">
        <v>2644</v>
      </c>
      <c r="O2691" t="s">
        <v>11</v>
      </c>
      <c r="P2691">
        <v>5102</v>
      </c>
      <c r="Q2691">
        <v>1</v>
      </c>
      <c r="R2691">
        <v>530.51</v>
      </c>
      <c r="S2691">
        <v>530.51</v>
      </c>
      <c r="T2691">
        <v>378.26</v>
      </c>
      <c r="U2691">
        <v>28.7</v>
      </c>
      <c r="V2691" t="str">
        <f>VLOOKUP(L2691,'[2]tabela de preços'!$A:$D,4,0)</f>
        <v>BRASILUX</v>
      </c>
      <c r="W2691" t="str">
        <f>VLOOKUP(L2691,'[2]tabela de preços'!$A:$F,6,0)</f>
        <v>TINTA EM PÓ</v>
      </c>
      <c r="X2691" t="str">
        <f>VLOOKUP(L2691,'[2]tabela de preços'!$A:$G,7,0)</f>
        <v>INDUSTRIAL</v>
      </c>
    </row>
    <row r="2692" spans="1:24" x14ac:dyDescent="0.3">
      <c r="A2692" t="s">
        <v>923</v>
      </c>
      <c r="C2692" t="s">
        <v>2778</v>
      </c>
      <c r="D2692" s="1">
        <v>46059</v>
      </c>
      <c r="E2692" t="s">
        <v>2779</v>
      </c>
      <c r="F2692">
        <v>9</v>
      </c>
      <c r="G2692">
        <v>236</v>
      </c>
      <c r="H2692" t="str">
        <f>VLOOKUP(G2692,[1]OPERADORES!$A:$B,2,0)</f>
        <v>DANIEL</v>
      </c>
      <c r="I2692" t="s">
        <v>21</v>
      </c>
      <c r="J2692" t="s">
        <v>211</v>
      </c>
      <c r="K2692" t="s">
        <v>926</v>
      </c>
      <c r="L2692">
        <v>23926</v>
      </c>
      <c r="M2692" t="s">
        <v>645</v>
      </c>
      <c r="O2692" t="s">
        <v>11</v>
      </c>
      <c r="P2692">
        <v>5403</v>
      </c>
      <c r="Q2692">
        <v>1</v>
      </c>
      <c r="R2692">
        <v>159.22</v>
      </c>
      <c r="S2692">
        <v>159.22</v>
      </c>
      <c r="T2692">
        <v>98.89</v>
      </c>
      <c r="U2692">
        <v>37.89</v>
      </c>
      <c r="V2692" t="str">
        <f>VLOOKUP(L2692,'[2]tabela de preços'!$A:$D,4,0)</f>
        <v>SIKKENS</v>
      </c>
      <c r="W2692" t="str">
        <f>VLOOKUP(L2692,'[2]tabela de preços'!$A:$F,6,0)</f>
        <v>PRIMER AUTOMOTIVO</v>
      </c>
      <c r="X2692" t="str">
        <f>VLOOKUP(L2692,'[2]tabela de preços'!$A:$G,7,0)</f>
        <v>AUTOMOTIVO</v>
      </c>
    </row>
    <row r="2693" spans="1:24" x14ac:dyDescent="0.3">
      <c r="A2693" t="s">
        <v>923</v>
      </c>
      <c r="C2693" t="s">
        <v>2778</v>
      </c>
      <c r="D2693" s="1">
        <v>46059</v>
      </c>
      <c r="E2693" t="s">
        <v>2779</v>
      </c>
      <c r="F2693">
        <v>9</v>
      </c>
      <c r="G2693">
        <v>236</v>
      </c>
      <c r="H2693" t="str">
        <f>VLOOKUP(G2693,[1]OPERADORES!$A:$B,2,0)</f>
        <v>DANIEL</v>
      </c>
      <c r="I2693" t="s">
        <v>21</v>
      </c>
      <c r="J2693" t="s">
        <v>211</v>
      </c>
      <c r="K2693" t="s">
        <v>926</v>
      </c>
      <c r="L2693">
        <v>20414</v>
      </c>
      <c r="M2693" t="s">
        <v>112</v>
      </c>
      <c r="O2693" t="s">
        <v>11</v>
      </c>
      <c r="P2693">
        <v>5102</v>
      </c>
      <c r="Q2693">
        <v>5</v>
      </c>
      <c r="R2693">
        <v>21.89</v>
      </c>
      <c r="S2693">
        <v>109.45</v>
      </c>
      <c r="T2693">
        <v>90</v>
      </c>
      <c r="U2693">
        <v>17.77</v>
      </c>
      <c r="V2693" t="str">
        <f>VLOOKUP(L2693,'[2]tabela de preços'!$A:$D,4,0)</f>
        <v>SHERWIN WILLIAMS</v>
      </c>
      <c r="W2693" t="str">
        <f>VLOOKUP(L2693,'[2]tabela de preços'!$A:$F,6,0)</f>
        <v>DILUENTE</v>
      </c>
      <c r="X2693" t="str">
        <f>VLOOKUP(L2693,'[2]tabela de preços'!$A:$G,7,0)</f>
        <v>AUTOMOTIVO</v>
      </c>
    </row>
    <row r="2694" spans="1:24" x14ac:dyDescent="0.3">
      <c r="A2694" t="s">
        <v>2616</v>
      </c>
      <c r="C2694" t="s">
        <v>2617</v>
      </c>
      <c r="D2694" s="1">
        <v>46057</v>
      </c>
      <c r="E2694" t="s">
        <v>2618</v>
      </c>
      <c r="F2694">
        <v>9</v>
      </c>
      <c r="G2694">
        <v>236</v>
      </c>
      <c r="H2694" t="str">
        <f>VLOOKUP(G2694,[1]OPERADORES!$A:$B,2,0)</f>
        <v>DANIEL</v>
      </c>
      <c r="I2694" t="s">
        <v>21</v>
      </c>
      <c r="J2694" t="s">
        <v>1868</v>
      </c>
      <c r="K2694" t="s">
        <v>2619</v>
      </c>
      <c r="L2694">
        <v>86995</v>
      </c>
      <c r="M2694" t="s">
        <v>37</v>
      </c>
      <c r="O2694" t="s">
        <v>11</v>
      </c>
      <c r="P2694">
        <v>5102</v>
      </c>
      <c r="Q2694">
        <v>30</v>
      </c>
      <c r="R2694">
        <v>8</v>
      </c>
      <c r="S2694">
        <v>240</v>
      </c>
      <c r="T2694">
        <v>174.9</v>
      </c>
      <c r="U2694">
        <v>27.13</v>
      </c>
      <c r="V2694" t="str">
        <f>VLOOKUP(L2694,'[2]tabela de preços'!$A:$D,4,0)</f>
        <v>AUTOAMERICA</v>
      </c>
      <c r="W2694" t="str">
        <f>VLOOKUP(L2694,'[2]tabela de preços'!$A:$F,6,0)</f>
        <v>FLANELAS / PANOS</v>
      </c>
      <c r="X2694" t="str">
        <f>VLOOKUP(L2694,'[2]tabela de preços'!$A:$G,7,0)</f>
        <v>AUTOMOTIVO</v>
      </c>
    </row>
    <row r="2695" spans="1:24" x14ac:dyDescent="0.3">
      <c r="A2695" t="s">
        <v>2616</v>
      </c>
      <c r="C2695" t="s">
        <v>2620</v>
      </c>
      <c r="D2695" s="1">
        <v>46057</v>
      </c>
      <c r="E2695" t="s">
        <v>2621</v>
      </c>
      <c r="F2695">
        <v>9</v>
      </c>
      <c r="G2695">
        <v>236</v>
      </c>
      <c r="H2695" t="str">
        <f>VLOOKUP(G2695,[1]OPERADORES!$A:$B,2,0)</f>
        <v>DANIEL</v>
      </c>
      <c r="I2695" t="s">
        <v>21</v>
      </c>
      <c r="J2695" t="s">
        <v>1868</v>
      </c>
      <c r="K2695" t="s">
        <v>2619</v>
      </c>
      <c r="L2695">
        <v>86995</v>
      </c>
      <c r="M2695" t="s">
        <v>37</v>
      </c>
      <c r="O2695" t="s">
        <v>11</v>
      </c>
      <c r="P2695">
        <v>5102</v>
      </c>
      <c r="Q2695">
        <v>10</v>
      </c>
      <c r="R2695">
        <v>8</v>
      </c>
      <c r="S2695">
        <v>80</v>
      </c>
      <c r="T2695">
        <v>58.3</v>
      </c>
      <c r="U2695">
        <v>27.13</v>
      </c>
      <c r="V2695" t="str">
        <f>VLOOKUP(L2695,'[2]tabela de preços'!$A:$D,4,0)</f>
        <v>AUTOAMERICA</v>
      </c>
      <c r="W2695" t="str">
        <f>VLOOKUP(L2695,'[2]tabela de preços'!$A:$F,6,0)</f>
        <v>FLANELAS / PANOS</v>
      </c>
      <c r="X2695" t="str">
        <f>VLOOKUP(L2695,'[2]tabela de preços'!$A:$G,7,0)</f>
        <v>AUTOMOTIVO</v>
      </c>
    </row>
    <row r="2696" spans="1:24" x14ac:dyDescent="0.3">
      <c r="A2696" t="s">
        <v>974</v>
      </c>
      <c r="C2696" t="s">
        <v>2507</v>
      </c>
      <c r="D2696" s="1">
        <v>46056</v>
      </c>
      <c r="E2696" t="s">
        <v>2508</v>
      </c>
      <c r="F2696">
        <v>9</v>
      </c>
      <c r="G2696">
        <v>197</v>
      </c>
      <c r="H2696" t="str">
        <f>VLOOKUP(G2696,[1]OPERADORES!$A:$B,2,0)</f>
        <v xml:space="preserve">POLIANA LORRANE DE AMORIM </v>
      </c>
      <c r="I2696" t="s">
        <v>21</v>
      </c>
      <c r="J2696" t="s">
        <v>397</v>
      </c>
      <c r="K2696" t="s">
        <v>977</v>
      </c>
      <c r="L2696">
        <v>84565</v>
      </c>
      <c r="M2696" t="s">
        <v>236</v>
      </c>
      <c r="O2696" t="s">
        <v>11</v>
      </c>
      <c r="P2696">
        <v>5102</v>
      </c>
      <c r="Q2696">
        <v>4</v>
      </c>
      <c r="R2696">
        <v>9.57</v>
      </c>
      <c r="S2696">
        <v>38.28</v>
      </c>
      <c r="T2696">
        <v>28.04</v>
      </c>
      <c r="U2696">
        <v>26.75</v>
      </c>
      <c r="V2696" t="str">
        <f>VLOOKUP(L2696,'[2]tabela de preços'!$A:$D,4,0)</f>
        <v>BRASILUX</v>
      </c>
      <c r="W2696" t="str">
        <f>VLOOKUP(L2696,'[2]tabela de preços'!$A:$F,6,0)</f>
        <v>PRETO FOSCO VINÍLICO</v>
      </c>
      <c r="X2696" t="str">
        <f>VLOOKUP(L2696,'[2]tabela de preços'!$A:$G,7,0)</f>
        <v>AUTOMOTIVO</v>
      </c>
    </row>
    <row r="2697" spans="1:24" x14ac:dyDescent="0.3">
      <c r="A2697" t="s">
        <v>974</v>
      </c>
      <c r="C2697" t="s">
        <v>2507</v>
      </c>
      <c r="D2697" s="1">
        <v>46056</v>
      </c>
      <c r="E2697" t="s">
        <v>2508</v>
      </c>
      <c r="F2697">
        <v>9</v>
      </c>
      <c r="G2697">
        <v>197</v>
      </c>
      <c r="H2697" t="str">
        <f>VLOOKUP(G2697,[1]OPERADORES!$A:$B,2,0)</f>
        <v xml:space="preserve">POLIANA LORRANE DE AMORIM </v>
      </c>
      <c r="I2697" t="s">
        <v>21</v>
      </c>
      <c r="J2697" t="s">
        <v>397</v>
      </c>
      <c r="K2697" t="s">
        <v>977</v>
      </c>
      <c r="L2697">
        <v>84111</v>
      </c>
      <c r="M2697" t="s">
        <v>1393</v>
      </c>
      <c r="O2697" t="s">
        <v>11</v>
      </c>
      <c r="P2697">
        <v>5403</v>
      </c>
      <c r="Q2697">
        <v>1</v>
      </c>
      <c r="R2697">
        <v>153.99</v>
      </c>
      <c r="S2697">
        <v>153.99</v>
      </c>
      <c r="T2697">
        <v>116.88</v>
      </c>
      <c r="U2697">
        <v>24.1</v>
      </c>
      <c r="V2697" t="str">
        <f>VLOOKUP(L2697,'[2]tabela de preços'!$A:$D,4,0)</f>
        <v>BRASILUX</v>
      </c>
      <c r="W2697" t="str">
        <f>VLOOKUP(L2697,'[2]tabela de preços'!$A:$F,6,0)</f>
        <v>EPOXI</v>
      </c>
      <c r="X2697" t="str">
        <f>VLOOKUP(L2697,'[2]tabela de preços'!$A:$G,7,0)</f>
        <v>INDUSTRIAL</v>
      </c>
    </row>
    <row r="2698" spans="1:24" x14ac:dyDescent="0.3">
      <c r="A2698" t="s">
        <v>974</v>
      </c>
      <c r="C2698" t="s">
        <v>2507</v>
      </c>
      <c r="D2698" s="1">
        <v>46056</v>
      </c>
      <c r="E2698" t="s">
        <v>2508</v>
      </c>
      <c r="F2698">
        <v>9</v>
      </c>
      <c r="G2698">
        <v>197</v>
      </c>
      <c r="H2698" t="str">
        <f>VLOOKUP(G2698,[1]OPERADORES!$A:$B,2,0)</f>
        <v xml:space="preserve">POLIANA LORRANE DE AMORIM </v>
      </c>
      <c r="I2698" t="s">
        <v>21</v>
      </c>
      <c r="J2698" t="s">
        <v>397</v>
      </c>
      <c r="K2698" t="s">
        <v>977</v>
      </c>
      <c r="L2698">
        <v>85363</v>
      </c>
      <c r="M2698" t="s">
        <v>237</v>
      </c>
      <c r="O2698" t="s">
        <v>11</v>
      </c>
      <c r="P2698">
        <v>5102</v>
      </c>
      <c r="Q2698">
        <v>4</v>
      </c>
      <c r="R2698">
        <v>24.8</v>
      </c>
      <c r="S2698">
        <v>99.2</v>
      </c>
      <c r="T2698">
        <v>72.72</v>
      </c>
      <c r="U2698">
        <v>26.69</v>
      </c>
      <c r="V2698" t="str">
        <f>VLOOKUP(L2698,'[2]tabela de preços'!$A:$D,4,0)</f>
        <v>BRASILUX</v>
      </c>
      <c r="W2698" t="str">
        <f>VLOOKUP(L2698,'[2]tabela de preços'!$A:$F,6,0)</f>
        <v>PRETO FOSCO VINÍLICO</v>
      </c>
      <c r="X2698" t="str">
        <f>VLOOKUP(L2698,'[2]tabela de preços'!$A:$G,7,0)</f>
        <v>AUTOMOTIVO</v>
      </c>
    </row>
    <row r="2699" spans="1:24" x14ac:dyDescent="0.3">
      <c r="A2699" t="s">
        <v>974</v>
      </c>
      <c r="C2699" t="s">
        <v>2780</v>
      </c>
      <c r="D2699" s="1">
        <v>46059</v>
      </c>
      <c r="E2699" t="s">
        <v>2781</v>
      </c>
      <c r="F2699">
        <v>9</v>
      </c>
      <c r="G2699">
        <v>197</v>
      </c>
      <c r="H2699" t="str">
        <f>VLOOKUP(G2699,[1]OPERADORES!$A:$B,2,0)</f>
        <v xml:space="preserve">POLIANA LORRANE DE AMORIM </v>
      </c>
      <c r="I2699" t="s">
        <v>21</v>
      </c>
      <c r="J2699" t="s">
        <v>397</v>
      </c>
      <c r="K2699" t="s">
        <v>977</v>
      </c>
      <c r="L2699">
        <v>84325</v>
      </c>
      <c r="M2699" t="s">
        <v>678</v>
      </c>
      <c r="O2699" t="s">
        <v>11</v>
      </c>
      <c r="P2699">
        <v>5403</v>
      </c>
      <c r="Q2699">
        <v>6</v>
      </c>
      <c r="R2699">
        <v>59.98</v>
      </c>
      <c r="S2699">
        <v>359.88</v>
      </c>
      <c r="T2699">
        <v>312</v>
      </c>
      <c r="U2699">
        <v>13.3</v>
      </c>
      <c r="V2699" t="str">
        <f>VLOOKUP(L2699,'[2]tabela de preços'!$A:$D,4,0)</f>
        <v>BRASILUX</v>
      </c>
      <c r="W2699" t="str">
        <f>VLOOKUP(L2699,'[2]tabela de preços'!$A:$F,6,0)</f>
        <v>ESMALTES</v>
      </c>
      <c r="X2699" t="str">
        <f>VLOOKUP(L2699,'[2]tabela de preços'!$A:$G,7,0)</f>
        <v>INDUSTRIAL</v>
      </c>
    </row>
    <row r="2700" spans="1:24" x14ac:dyDescent="0.3">
      <c r="A2700" t="s">
        <v>974</v>
      </c>
      <c r="C2700" t="s">
        <v>2780</v>
      </c>
      <c r="D2700" s="1">
        <v>46059</v>
      </c>
      <c r="E2700" t="s">
        <v>2781</v>
      </c>
      <c r="F2700">
        <v>9</v>
      </c>
      <c r="G2700">
        <v>197</v>
      </c>
      <c r="H2700" t="str">
        <f>VLOOKUP(G2700,[1]OPERADORES!$A:$B,2,0)</f>
        <v xml:space="preserve">POLIANA LORRANE DE AMORIM </v>
      </c>
      <c r="I2700" t="s">
        <v>21</v>
      </c>
      <c r="J2700" t="s">
        <v>397</v>
      </c>
      <c r="K2700" t="s">
        <v>977</v>
      </c>
      <c r="L2700">
        <v>84354</v>
      </c>
      <c r="M2700" t="s">
        <v>2782</v>
      </c>
      <c r="O2700" t="s">
        <v>11</v>
      </c>
      <c r="P2700">
        <v>5403</v>
      </c>
      <c r="Q2700">
        <v>4</v>
      </c>
      <c r="R2700">
        <v>17.100000000000001</v>
      </c>
      <c r="S2700">
        <v>68.400000000000006</v>
      </c>
      <c r="T2700">
        <v>51.92</v>
      </c>
      <c r="U2700">
        <v>24.09</v>
      </c>
      <c r="V2700" t="str">
        <f>VLOOKUP(L2700,'[2]tabela de preços'!$A:$D,4,0)</f>
        <v>BRASILUX</v>
      </c>
      <c r="W2700" t="str">
        <f>VLOOKUP(L2700,'[2]tabela de preços'!$A:$F,6,0)</f>
        <v>ESMALTES</v>
      </c>
      <c r="X2700" t="str">
        <f>VLOOKUP(L2700,'[2]tabela de preços'!$A:$G,7,0)</f>
        <v>INDUSTRIAL</v>
      </c>
    </row>
    <row r="2701" spans="1:24" x14ac:dyDescent="0.3">
      <c r="A2701" t="s">
        <v>974</v>
      </c>
      <c r="C2701" t="s">
        <v>2780</v>
      </c>
      <c r="D2701" s="1">
        <v>46059</v>
      </c>
      <c r="E2701" t="s">
        <v>2781</v>
      </c>
      <c r="F2701">
        <v>9</v>
      </c>
      <c r="G2701">
        <v>197</v>
      </c>
      <c r="H2701" t="str">
        <f>VLOOKUP(G2701,[1]OPERADORES!$A:$B,2,0)</f>
        <v xml:space="preserve">POLIANA LORRANE DE AMORIM </v>
      </c>
      <c r="I2701" t="s">
        <v>21</v>
      </c>
      <c r="J2701" t="s">
        <v>397</v>
      </c>
      <c r="K2701" t="s">
        <v>977</v>
      </c>
      <c r="L2701">
        <v>84331</v>
      </c>
      <c r="M2701" t="s">
        <v>497</v>
      </c>
      <c r="O2701" t="s">
        <v>11</v>
      </c>
      <c r="P2701">
        <v>5403</v>
      </c>
      <c r="Q2701">
        <v>3</v>
      </c>
      <c r="R2701">
        <v>59.98</v>
      </c>
      <c r="S2701">
        <v>179.94</v>
      </c>
      <c r="T2701">
        <v>156</v>
      </c>
      <c r="U2701">
        <v>13.3</v>
      </c>
      <c r="V2701" t="str">
        <f>VLOOKUP(L2701,'[2]tabela de preços'!$A:$D,4,0)</f>
        <v>BRASILUX</v>
      </c>
      <c r="W2701" t="str">
        <f>VLOOKUP(L2701,'[2]tabela de preços'!$A:$F,6,0)</f>
        <v>ESMALTES</v>
      </c>
      <c r="X2701" t="str">
        <f>VLOOKUP(L2701,'[2]tabela de preços'!$A:$G,7,0)</f>
        <v>INDUSTRIAL</v>
      </c>
    </row>
    <row r="2702" spans="1:24" x14ac:dyDescent="0.3">
      <c r="A2702" t="s">
        <v>974</v>
      </c>
      <c r="C2702" t="s">
        <v>2780</v>
      </c>
      <c r="D2702" s="1">
        <v>46059</v>
      </c>
      <c r="E2702" t="s">
        <v>2781</v>
      </c>
      <c r="F2702">
        <v>9</v>
      </c>
      <c r="G2702">
        <v>197</v>
      </c>
      <c r="H2702" t="str">
        <f>VLOOKUP(G2702,[1]OPERADORES!$A:$B,2,0)</f>
        <v xml:space="preserve">POLIANA LORRANE DE AMORIM </v>
      </c>
      <c r="I2702" t="s">
        <v>21</v>
      </c>
      <c r="J2702" t="s">
        <v>397</v>
      </c>
      <c r="K2702" t="s">
        <v>977</v>
      </c>
      <c r="L2702">
        <v>84335</v>
      </c>
      <c r="M2702" t="s">
        <v>269</v>
      </c>
      <c r="O2702" t="s">
        <v>11</v>
      </c>
      <c r="P2702">
        <v>5403</v>
      </c>
      <c r="Q2702">
        <v>2</v>
      </c>
      <c r="R2702">
        <v>59.98</v>
      </c>
      <c r="S2702">
        <v>119.96</v>
      </c>
      <c r="T2702">
        <v>101.3</v>
      </c>
      <c r="U2702">
        <v>15.56</v>
      </c>
      <c r="V2702" t="str">
        <f>VLOOKUP(L2702,'[2]tabela de preços'!$A:$D,4,0)</f>
        <v>BRASILUX</v>
      </c>
      <c r="W2702" t="str">
        <f>VLOOKUP(L2702,'[2]tabela de preços'!$A:$F,6,0)</f>
        <v>ESMALTES</v>
      </c>
      <c r="X2702" t="str">
        <f>VLOOKUP(L2702,'[2]tabela de preços'!$A:$G,7,0)</f>
        <v>INDUSTRIAL</v>
      </c>
    </row>
    <row r="2703" spans="1:24" x14ac:dyDescent="0.3">
      <c r="A2703" t="s">
        <v>974</v>
      </c>
      <c r="C2703" t="s">
        <v>2780</v>
      </c>
      <c r="D2703" s="1">
        <v>46059</v>
      </c>
      <c r="E2703" t="s">
        <v>2781</v>
      </c>
      <c r="F2703">
        <v>9</v>
      </c>
      <c r="G2703">
        <v>197</v>
      </c>
      <c r="H2703" t="str">
        <f>VLOOKUP(G2703,[1]OPERADORES!$A:$B,2,0)</f>
        <v xml:space="preserve">POLIANA LORRANE DE AMORIM </v>
      </c>
      <c r="I2703" t="s">
        <v>21</v>
      </c>
      <c r="J2703" t="s">
        <v>397</v>
      </c>
      <c r="K2703" t="s">
        <v>977</v>
      </c>
      <c r="L2703">
        <v>84145</v>
      </c>
      <c r="M2703" t="s">
        <v>301</v>
      </c>
      <c r="O2703" t="s">
        <v>11</v>
      </c>
      <c r="P2703">
        <v>5403</v>
      </c>
      <c r="Q2703">
        <v>2</v>
      </c>
      <c r="R2703">
        <v>59.98</v>
      </c>
      <c r="S2703">
        <v>119.96</v>
      </c>
      <c r="T2703">
        <v>104.02</v>
      </c>
      <c r="U2703">
        <v>13.29</v>
      </c>
      <c r="V2703" t="str">
        <f>VLOOKUP(L2703,'[2]tabela de preços'!$A:$D,4,0)</f>
        <v>BRASILUX</v>
      </c>
      <c r="W2703" t="str">
        <f>VLOOKUP(L2703,'[2]tabela de preços'!$A:$F,6,0)</f>
        <v>ESMALTES</v>
      </c>
      <c r="X2703" t="str">
        <f>VLOOKUP(L2703,'[2]tabela de preços'!$A:$G,7,0)</f>
        <v>INDUSTRIAL</v>
      </c>
    </row>
    <row r="2704" spans="1:24" x14ac:dyDescent="0.3">
      <c r="A2704" t="s">
        <v>974</v>
      </c>
      <c r="C2704" t="s">
        <v>2780</v>
      </c>
      <c r="D2704" s="1">
        <v>46059</v>
      </c>
      <c r="E2704" t="s">
        <v>2781</v>
      </c>
      <c r="F2704">
        <v>9</v>
      </c>
      <c r="G2704">
        <v>197</v>
      </c>
      <c r="H2704" t="str">
        <f>VLOOKUP(G2704,[1]OPERADORES!$A:$B,2,0)</f>
        <v xml:space="preserve">POLIANA LORRANE DE AMORIM </v>
      </c>
      <c r="I2704" t="s">
        <v>21</v>
      </c>
      <c r="J2704" t="s">
        <v>397</v>
      </c>
      <c r="K2704" t="s">
        <v>977</v>
      </c>
      <c r="L2704">
        <v>84344</v>
      </c>
      <c r="M2704" t="s">
        <v>1000</v>
      </c>
      <c r="O2704" t="s">
        <v>11</v>
      </c>
      <c r="P2704">
        <v>5403</v>
      </c>
      <c r="Q2704">
        <v>2</v>
      </c>
      <c r="R2704">
        <v>59.98</v>
      </c>
      <c r="S2704">
        <v>119.96</v>
      </c>
      <c r="T2704">
        <v>99.32</v>
      </c>
      <c r="U2704">
        <v>17.21</v>
      </c>
      <c r="V2704" t="str">
        <f>VLOOKUP(L2704,'[2]tabela de preços'!$A:$D,4,0)</f>
        <v>BRASILUX</v>
      </c>
      <c r="W2704" t="str">
        <f>VLOOKUP(L2704,'[2]tabela de preços'!$A:$F,6,0)</f>
        <v>ESMALTES</v>
      </c>
      <c r="X2704" t="str">
        <f>VLOOKUP(L2704,'[2]tabela de preços'!$A:$G,7,0)</f>
        <v>INDUSTRIAL</v>
      </c>
    </row>
    <row r="2705" spans="1:24" x14ac:dyDescent="0.3">
      <c r="A2705" t="s">
        <v>974</v>
      </c>
      <c r="C2705" t="s">
        <v>2780</v>
      </c>
      <c r="D2705" s="1">
        <v>46059</v>
      </c>
      <c r="E2705" t="s">
        <v>2781</v>
      </c>
      <c r="F2705">
        <v>9</v>
      </c>
      <c r="G2705">
        <v>197</v>
      </c>
      <c r="H2705" t="str">
        <f>VLOOKUP(G2705,[1]OPERADORES!$A:$B,2,0)</f>
        <v xml:space="preserve">POLIANA LORRANE DE AMORIM </v>
      </c>
      <c r="I2705" t="s">
        <v>21</v>
      </c>
      <c r="J2705" t="s">
        <v>397</v>
      </c>
      <c r="K2705" t="s">
        <v>977</v>
      </c>
      <c r="L2705">
        <v>84347</v>
      </c>
      <c r="M2705" t="s">
        <v>1150</v>
      </c>
      <c r="O2705" t="s">
        <v>11</v>
      </c>
      <c r="P2705">
        <v>5403</v>
      </c>
      <c r="Q2705">
        <v>2</v>
      </c>
      <c r="R2705">
        <v>59.98</v>
      </c>
      <c r="S2705">
        <v>119.96</v>
      </c>
      <c r="T2705">
        <v>104</v>
      </c>
      <c r="U2705">
        <v>13.3</v>
      </c>
      <c r="V2705" t="str">
        <f>VLOOKUP(L2705,'[2]tabela de preços'!$A:$D,4,0)</f>
        <v>BRASILUX</v>
      </c>
      <c r="W2705" t="str">
        <f>VLOOKUP(L2705,'[2]tabela de preços'!$A:$F,6,0)</f>
        <v>ESMALTES</v>
      </c>
      <c r="X2705" t="str">
        <f>VLOOKUP(L2705,'[2]tabela de preços'!$A:$G,7,0)</f>
        <v>INDUSTRIAL</v>
      </c>
    </row>
    <row r="2706" spans="1:24" x14ac:dyDescent="0.3">
      <c r="A2706" t="s">
        <v>974</v>
      </c>
      <c r="C2706" t="s">
        <v>2780</v>
      </c>
      <c r="D2706" s="1">
        <v>46059</v>
      </c>
      <c r="E2706" t="s">
        <v>2781</v>
      </c>
      <c r="F2706">
        <v>9</v>
      </c>
      <c r="G2706">
        <v>197</v>
      </c>
      <c r="H2706" t="str">
        <f>VLOOKUP(G2706,[1]OPERADORES!$A:$B,2,0)</f>
        <v xml:space="preserve">POLIANA LORRANE DE AMORIM </v>
      </c>
      <c r="I2706" t="s">
        <v>21</v>
      </c>
      <c r="J2706" t="s">
        <v>397</v>
      </c>
      <c r="K2706" t="s">
        <v>977</v>
      </c>
      <c r="L2706">
        <v>84250</v>
      </c>
      <c r="M2706" t="s">
        <v>922</v>
      </c>
      <c r="O2706" t="s">
        <v>11</v>
      </c>
      <c r="P2706">
        <v>5403</v>
      </c>
      <c r="Q2706">
        <v>6</v>
      </c>
      <c r="R2706">
        <v>112.9</v>
      </c>
      <c r="S2706">
        <v>677.4</v>
      </c>
      <c r="T2706">
        <v>567.96</v>
      </c>
      <c r="U2706">
        <v>16.16</v>
      </c>
      <c r="V2706" t="str">
        <f>VLOOKUP(L2706,'[2]tabela de preços'!$A:$D,4,0)</f>
        <v>BRASILUX</v>
      </c>
      <c r="W2706" t="str">
        <f>VLOOKUP(L2706,'[2]tabela de preços'!$A:$F,6,0)</f>
        <v>TINTA PAREDE</v>
      </c>
      <c r="X2706" t="str">
        <f>VLOOKUP(L2706,'[2]tabela de preços'!$A:$G,7,0)</f>
        <v>IMOBILIÁRIO</v>
      </c>
    </row>
    <row r="2707" spans="1:24" x14ac:dyDescent="0.3">
      <c r="A2707" t="s">
        <v>974</v>
      </c>
      <c r="C2707" t="s">
        <v>2780</v>
      </c>
      <c r="D2707" s="1">
        <v>46059</v>
      </c>
      <c r="E2707" t="s">
        <v>2781</v>
      </c>
      <c r="F2707">
        <v>9</v>
      </c>
      <c r="G2707">
        <v>197</v>
      </c>
      <c r="H2707" t="str">
        <f>VLOOKUP(G2707,[1]OPERADORES!$A:$B,2,0)</f>
        <v xml:space="preserve">POLIANA LORRANE DE AMORIM </v>
      </c>
      <c r="I2707" t="s">
        <v>21</v>
      </c>
      <c r="J2707" t="s">
        <v>397</v>
      </c>
      <c r="K2707" t="s">
        <v>977</v>
      </c>
      <c r="L2707">
        <v>84557</v>
      </c>
      <c r="M2707" t="s">
        <v>116</v>
      </c>
      <c r="O2707" t="s">
        <v>11</v>
      </c>
      <c r="P2707">
        <v>5102</v>
      </c>
      <c r="Q2707">
        <v>8</v>
      </c>
      <c r="R2707">
        <v>17.489999999999998</v>
      </c>
      <c r="S2707">
        <v>139.91999999999999</v>
      </c>
      <c r="T2707">
        <v>111.68</v>
      </c>
      <c r="U2707">
        <v>20.18</v>
      </c>
      <c r="V2707" t="str">
        <f>VLOOKUP(L2707,'[2]tabela de preços'!$A:$D,4,0)</f>
        <v>BRASILUX</v>
      </c>
      <c r="W2707" t="str">
        <f>VLOOKUP(L2707,'[2]tabela de preços'!$A:$F,6,0)</f>
        <v>DILUENTE</v>
      </c>
      <c r="X2707" t="str">
        <f>VLOOKUP(L2707,'[2]tabela de preços'!$A:$G,7,0)</f>
        <v>AUTOMOTIVO</v>
      </c>
    </row>
    <row r="2708" spans="1:24" x14ac:dyDescent="0.3">
      <c r="A2708" t="s">
        <v>974</v>
      </c>
      <c r="C2708" t="s">
        <v>2780</v>
      </c>
      <c r="D2708" s="1">
        <v>46059</v>
      </c>
      <c r="E2708" t="s">
        <v>2781</v>
      </c>
      <c r="F2708">
        <v>9</v>
      </c>
      <c r="G2708">
        <v>197</v>
      </c>
      <c r="H2708" t="str">
        <f>VLOOKUP(G2708,[1]OPERADORES!$A:$B,2,0)</f>
        <v xml:space="preserve">POLIANA LORRANE DE AMORIM </v>
      </c>
      <c r="I2708" t="s">
        <v>21</v>
      </c>
      <c r="J2708" t="s">
        <v>397</v>
      </c>
      <c r="K2708" t="s">
        <v>977</v>
      </c>
      <c r="L2708">
        <v>84047</v>
      </c>
      <c r="M2708" t="s">
        <v>222</v>
      </c>
      <c r="O2708" t="s">
        <v>11</v>
      </c>
      <c r="P2708">
        <v>5102</v>
      </c>
      <c r="Q2708">
        <v>2</v>
      </c>
      <c r="R2708">
        <v>20.149999999999999</v>
      </c>
      <c r="S2708">
        <v>40.299999999999997</v>
      </c>
      <c r="T2708">
        <v>30.6</v>
      </c>
      <c r="U2708">
        <v>24.07</v>
      </c>
      <c r="V2708" t="str">
        <f>VLOOKUP(L2708,'[2]tabela de preços'!$A:$D,4,0)</f>
        <v>BRASILUX</v>
      </c>
      <c r="W2708" t="str">
        <f>VLOOKUP(L2708,'[2]tabela de preços'!$A:$F,6,0)</f>
        <v>MASSA DE POLIR</v>
      </c>
      <c r="X2708" t="str">
        <f>VLOOKUP(L2708,'[2]tabela de preços'!$A:$G,7,0)</f>
        <v>AUTOMOTIVO</v>
      </c>
    </row>
    <row r="2709" spans="1:24" x14ac:dyDescent="0.3">
      <c r="A2709" t="s">
        <v>974</v>
      </c>
      <c r="C2709" t="s">
        <v>2780</v>
      </c>
      <c r="D2709" s="1">
        <v>46059</v>
      </c>
      <c r="E2709" t="s">
        <v>2781</v>
      </c>
      <c r="F2709">
        <v>9</v>
      </c>
      <c r="G2709">
        <v>197</v>
      </c>
      <c r="H2709" t="str">
        <f>VLOOKUP(G2709,[1]OPERADORES!$A:$B,2,0)</f>
        <v xml:space="preserve">POLIANA LORRANE DE AMORIM </v>
      </c>
      <c r="I2709" t="s">
        <v>21</v>
      </c>
      <c r="J2709" t="s">
        <v>397</v>
      </c>
      <c r="K2709" t="s">
        <v>977</v>
      </c>
      <c r="L2709">
        <v>85164</v>
      </c>
      <c r="M2709" t="s">
        <v>278</v>
      </c>
      <c r="O2709" t="s">
        <v>11</v>
      </c>
      <c r="P2709">
        <v>5102</v>
      </c>
      <c r="Q2709">
        <v>8</v>
      </c>
      <c r="R2709">
        <v>13.29</v>
      </c>
      <c r="S2709">
        <v>106.32</v>
      </c>
      <c r="T2709">
        <v>80.72</v>
      </c>
      <c r="U2709">
        <v>24.08</v>
      </c>
      <c r="V2709" t="str">
        <f>VLOOKUP(L2709,'[2]tabela de preços'!$A:$D,4,0)</f>
        <v>BRASILUX</v>
      </c>
      <c r="W2709" t="str">
        <f>VLOOKUP(L2709,'[2]tabela de preços'!$A:$F,6,0)</f>
        <v>QUEROSENE</v>
      </c>
      <c r="X2709" t="str">
        <f>VLOOKUP(L2709,'[2]tabela de preços'!$A:$G,7,0)</f>
        <v>AUTOMOTIVO</v>
      </c>
    </row>
    <row r="2710" spans="1:24" x14ac:dyDescent="0.3">
      <c r="A2710" t="s">
        <v>1015</v>
      </c>
      <c r="C2710" t="s">
        <v>2509</v>
      </c>
      <c r="D2710" s="1">
        <v>46056</v>
      </c>
      <c r="E2710" t="s">
        <v>2510</v>
      </c>
      <c r="F2710">
        <v>9</v>
      </c>
      <c r="G2710">
        <v>197</v>
      </c>
      <c r="H2710" t="str">
        <f>VLOOKUP(G2710,[1]OPERADORES!$A:$B,2,0)</f>
        <v xml:space="preserve">POLIANA LORRANE DE AMORIM </v>
      </c>
      <c r="I2710" t="s">
        <v>21</v>
      </c>
      <c r="J2710" t="s">
        <v>1018</v>
      </c>
      <c r="K2710" t="s">
        <v>1019</v>
      </c>
      <c r="L2710">
        <v>84487</v>
      </c>
      <c r="M2710" t="s">
        <v>633</v>
      </c>
      <c r="O2710" t="s">
        <v>11</v>
      </c>
      <c r="P2710">
        <v>5403</v>
      </c>
      <c r="Q2710">
        <v>2</v>
      </c>
      <c r="R2710">
        <v>28.84</v>
      </c>
      <c r="S2710">
        <v>57.68</v>
      </c>
      <c r="T2710">
        <v>43.78</v>
      </c>
      <c r="U2710">
        <v>24.1</v>
      </c>
      <c r="V2710" t="str">
        <f>VLOOKUP(L2710,'[2]tabela de preços'!$A:$D,4,0)</f>
        <v>BRASILUX</v>
      </c>
      <c r="W2710" t="str">
        <f>VLOOKUP(L2710,'[2]tabela de preços'!$A:$F,6,0)</f>
        <v>TINTAS LACA</v>
      </c>
      <c r="X2710" t="str">
        <f>VLOOKUP(L2710,'[2]tabela de preços'!$A:$G,7,0)</f>
        <v>AUTOMOTIVO</v>
      </c>
    </row>
    <row r="2711" spans="1:24" x14ac:dyDescent="0.3">
      <c r="A2711" t="s">
        <v>1015</v>
      </c>
      <c r="C2711" t="s">
        <v>2509</v>
      </c>
      <c r="D2711" s="1">
        <v>46056</v>
      </c>
      <c r="E2711" t="s">
        <v>2510</v>
      </c>
      <c r="F2711">
        <v>9</v>
      </c>
      <c r="G2711">
        <v>197</v>
      </c>
      <c r="H2711" t="str">
        <f>VLOOKUP(G2711,[1]OPERADORES!$A:$B,2,0)</f>
        <v xml:space="preserve">POLIANA LORRANE DE AMORIM </v>
      </c>
      <c r="I2711" t="s">
        <v>21</v>
      </c>
      <c r="J2711" t="s">
        <v>1018</v>
      </c>
      <c r="K2711" t="s">
        <v>1019</v>
      </c>
      <c r="L2711">
        <v>24248</v>
      </c>
      <c r="M2711" t="s">
        <v>107</v>
      </c>
      <c r="O2711" t="s">
        <v>11</v>
      </c>
      <c r="P2711">
        <v>5102</v>
      </c>
      <c r="Q2711">
        <v>6</v>
      </c>
      <c r="R2711">
        <v>9</v>
      </c>
      <c r="S2711">
        <v>54</v>
      </c>
      <c r="T2711">
        <v>39</v>
      </c>
      <c r="U2711">
        <v>27.78</v>
      </c>
      <c r="V2711" t="str">
        <f>VLOOKUP(L2711,'[2]tabela de preços'!$A:$D,4,0)</f>
        <v>SHERWIN WILLIAMS</v>
      </c>
      <c r="W2711" t="str">
        <f>VLOOKUP(L2711,'[2]tabela de preços'!$A:$F,6,0)</f>
        <v>PRIMER AUTOMOTIVO</v>
      </c>
      <c r="X2711" t="str">
        <f>VLOOKUP(L2711,'[2]tabela de preços'!$A:$G,7,0)</f>
        <v>AUTOMOTIVO</v>
      </c>
    </row>
    <row r="2712" spans="1:24" x14ac:dyDescent="0.3">
      <c r="A2712" t="s">
        <v>1015</v>
      </c>
      <c r="C2712" t="s">
        <v>2509</v>
      </c>
      <c r="D2712" s="1">
        <v>46056</v>
      </c>
      <c r="E2712" t="s">
        <v>2510</v>
      </c>
      <c r="F2712">
        <v>9</v>
      </c>
      <c r="G2712">
        <v>197</v>
      </c>
      <c r="H2712" t="str">
        <f>VLOOKUP(G2712,[1]OPERADORES!$A:$B,2,0)</f>
        <v xml:space="preserve">POLIANA LORRANE DE AMORIM </v>
      </c>
      <c r="I2712" t="s">
        <v>21</v>
      </c>
      <c r="J2712" t="s">
        <v>1018</v>
      </c>
      <c r="K2712" t="s">
        <v>1019</v>
      </c>
      <c r="L2712">
        <v>24240</v>
      </c>
      <c r="M2712" t="s">
        <v>240</v>
      </c>
      <c r="O2712" t="s">
        <v>11</v>
      </c>
      <c r="P2712">
        <v>5102</v>
      </c>
      <c r="Q2712">
        <v>32</v>
      </c>
      <c r="R2712">
        <v>3.81</v>
      </c>
      <c r="S2712">
        <v>121.92</v>
      </c>
      <c r="T2712">
        <v>104.96</v>
      </c>
      <c r="U2712">
        <v>13.91</v>
      </c>
      <c r="V2712" t="str">
        <f>VLOOKUP(L2712,'[2]tabela de preços'!$A:$D,4,0)</f>
        <v>ADERE</v>
      </c>
      <c r="W2712" t="str">
        <f>VLOOKUP(L2712,'[2]tabela de preços'!$A:$F,6,0)</f>
        <v>FITA AUTOMOTIVA</v>
      </c>
      <c r="X2712" t="str">
        <f>VLOOKUP(L2712,'[2]tabela de preços'!$A:$G,7,0)</f>
        <v>AUTOMOTIVO</v>
      </c>
    </row>
    <row r="2713" spans="1:24" x14ac:dyDescent="0.3">
      <c r="A2713" t="s">
        <v>1015</v>
      </c>
      <c r="C2713" t="s">
        <v>2509</v>
      </c>
      <c r="D2713" s="1">
        <v>46056</v>
      </c>
      <c r="E2713" t="s">
        <v>2510</v>
      </c>
      <c r="F2713">
        <v>9</v>
      </c>
      <c r="G2713">
        <v>197</v>
      </c>
      <c r="H2713" t="str">
        <f>VLOOKUP(G2713,[1]OPERADORES!$A:$B,2,0)</f>
        <v xml:space="preserve">POLIANA LORRANE DE AMORIM </v>
      </c>
      <c r="I2713" t="s">
        <v>21</v>
      </c>
      <c r="J2713" t="s">
        <v>1018</v>
      </c>
      <c r="K2713" t="s">
        <v>1019</v>
      </c>
      <c r="L2713">
        <v>87043</v>
      </c>
      <c r="M2713" t="s">
        <v>217</v>
      </c>
      <c r="O2713" t="s">
        <v>11</v>
      </c>
      <c r="P2713">
        <v>5102</v>
      </c>
      <c r="Q2713">
        <v>8</v>
      </c>
      <c r="R2713">
        <v>21.95</v>
      </c>
      <c r="S2713">
        <v>175.6</v>
      </c>
      <c r="T2713">
        <v>144.16</v>
      </c>
      <c r="U2713">
        <v>17.899999999999999</v>
      </c>
      <c r="V2713" t="str">
        <f>VLOOKUP(L2713,'[2]tabela de preços'!$A:$D,4,0)</f>
        <v>ROBERLO</v>
      </c>
      <c r="W2713" t="str">
        <f>VLOOKUP(L2713,'[2]tabela de preços'!$A:$F,6,0)</f>
        <v>MASSA POLIÉSTER</v>
      </c>
      <c r="X2713" t="str">
        <f>VLOOKUP(L2713,'[2]tabela de preços'!$A:$G,7,0)</f>
        <v>AUTOMOTIVO</v>
      </c>
    </row>
    <row r="2714" spans="1:24" x14ac:dyDescent="0.3">
      <c r="A2714" t="s">
        <v>1015</v>
      </c>
      <c r="C2714" t="s">
        <v>2509</v>
      </c>
      <c r="D2714" s="1">
        <v>46056</v>
      </c>
      <c r="E2714" t="s">
        <v>2510</v>
      </c>
      <c r="F2714">
        <v>9</v>
      </c>
      <c r="G2714">
        <v>197</v>
      </c>
      <c r="H2714" t="str">
        <f>VLOOKUP(G2714,[1]OPERADORES!$A:$B,2,0)</f>
        <v xml:space="preserve">POLIANA LORRANE DE AMORIM </v>
      </c>
      <c r="I2714" t="s">
        <v>21</v>
      </c>
      <c r="J2714" t="s">
        <v>1018</v>
      </c>
      <c r="K2714" t="s">
        <v>1019</v>
      </c>
      <c r="L2714">
        <v>24247</v>
      </c>
      <c r="M2714" t="s">
        <v>160</v>
      </c>
      <c r="O2714" t="s">
        <v>11</v>
      </c>
      <c r="P2714">
        <v>5403</v>
      </c>
      <c r="Q2714">
        <v>6</v>
      </c>
      <c r="R2714">
        <v>20</v>
      </c>
      <c r="S2714">
        <v>120</v>
      </c>
      <c r="T2714">
        <v>101.22</v>
      </c>
      <c r="U2714">
        <v>15.65</v>
      </c>
      <c r="V2714" t="str">
        <f>VLOOKUP(L2714,'[2]tabela de preços'!$A:$D,4,0)</f>
        <v>SHERWIN WILLIAMS</v>
      </c>
      <c r="W2714" t="str">
        <f>VLOOKUP(L2714,'[2]tabela de preços'!$A:$F,6,0)</f>
        <v>PRIMER AUTOMOTIVO</v>
      </c>
      <c r="X2714" t="str">
        <f>VLOOKUP(L2714,'[2]tabela de preços'!$A:$G,7,0)</f>
        <v>AUTOMOTIVO</v>
      </c>
    </row>
    <row r="2715" spans="1:24" x14ac:dyDescent="0.3">
      <c r="A2715" t="s">
        <v>1015</v>
      </c>
      <c r="C2715" t="s">
        <v>2509</v>
      </c>
      <c r="D2715" s="1">
        <v>46056</v>
      </c>
      <c r="E2715" t="s">
        <v>2510</v>
      </c>
      <c r="F2715">
        <v>9</v>
      </c>
      <c r="G2715">
        <v>197</v>
      </c>
      <c r="H2715" t="str">
        <f>VLOOKUP(G2715,[1]OPERADORES!$A:$B,2,0)</f>
        <v xml:space="preserve">POLIANA LORRANE DE AMORIM </v>
      </c>
      <c r="I2715" t="s">
        <v>21</v>
      </c>
      <c r="J2715" t="s">
        <v>1018</v>
      </c>
      <c r="K2715" t="s">
        <v>1019</v>
      </c>
      <c r="L2715">
        <v>10298</v>
      </c>
      <c r="M2715" t="s">
        <v>85</v>
      </c>
      <c r="O2715" t="s">
        <v>11</v>
      </c>
      <c r="P2715">
        <v>5102</v>
      </c>
      <c r="Q2715">
        <v>2</v>
      </c>
      <c r="R2715">
        <v>56.89</v>
      </c>
      <c r="S2715">
        <v>113.78</v>
      </c>
      <c r="T2715">
        <v>94.76</v>
      </c>
      <c r="U2715">
        <v>16.72</v>
      </c>
      <c r="V2715" t="str">
        <f>VLOOKUP(L2715,'[2]tabela de preços'!$A:$D,4,0)</f>
        <v>ANJO</v>
      </c>
      <c r="W2715" t="str">
        <f>VLOOKUP(L2715,'[2]tabela de preços'!$A:$F,6,0)</f>
        <v>THINNER DE LIMPEZA</v>
      </c>
      <c r="X2715" t="str">
        <f>VLOOKUP(L2715,'[2]tabela de preços'!$A:$G,7,0)</f>
        <v>THINNER</v>
      </c>
    </row>
    <row r="2716" spans="1:24" x14ac:dyDescent="0.3">
      <c r="A2716" t="s">
        <v>1015</v>
      </c>
      <c r="C2716" t="s">
        <v>2509</v>
      </c>
      <c r="D2716" s="1">
        <v>46056</v>
      </c>
      <c r="E2716" t="s">
        <v>2510</v>
      </c>
      <c r="F2716">
        <v>9</v>
      </c>
      <c r="G2716">
        <v>197</v>
      </c>
      <c r="H2716" t="str">
        <f>VLOOKUP(G2716,[1]OPERADORES!$A:$B,2,0)</f>
        <v xml:space="preserve">POLIANA LORRANE DE AMORIM </v>
      </c>
      <c r="I2716" t="s">
        <v>21</v>
      </c>
      <c r="J2716" t="s">
        <v>1018</v>
      </c>
      <c r="K2716" t="s">
        <v>1019</v>
      </c>
      <c r="L2716">
        <v>10297</v>
      </c>
      <c r="M2716" t="s">
        <v>41</v>
      </c>
      <c r="O2716" t="s">
        <v>11</v>
      </c>
      <c r="P2716">
        <v>5102</v>
      </c>
      <c r="Q2716">
        <v>12</v>
      </c>
      <c r="R2716">
        <v>10.89</v>
      </c>
      <c r="S2716">
        <v>130.68</v>
      </c>
      <c r="T2716">
        <v>110.04</v>
      </c>
      <c r="U2716">
        <v>15.79</v>
      </c>
      <c r="V2716" t="str">
        <f>VLOOKUP(L2716,'[2]tabela de preços'!$A:$D,4,0)</f>
        <v>ANJO</v>
      </c>
      <c r="W2716" t="str">
        <f>VLOOKUP(L2716,'[2]tabela de preços'!$A:$F,6,0)</f>
        <v>THINNER DE LIMPEZA</v>
      </c>
      <c r="X2716" t="str">
        <f>VLOOKUP(L2716,'[2]tabela de preços'!$A:$G,7,0)</f>
        <v>THINNER</v>
      </c>
    </row>
    <row r="2717" spans="1:24" x14ac:dyDescent="0.3">
      <c r="A2717" t="s">
        <v>1031</v>
      </c>
      <c r="C2717" t="s">
        <v>2511</v>
      </c>
      <c r="D2717" s="1">
        <v>46056</v>
      </c>
      <c r="E2717" t="s">
        <v>2512</v>
      </c>
      <c r="F2717">
        <v>9</v>
      </c>
      <c r="G2717">
        <v>230</v>
      </c>
      <c r="H2717" t="str">
        <f>VLOOKUP(G2717,[1]OPERADORES!$A:$B,2,0)</f>
        <v>SÔNIA</v>
      </c>
      <c r="I2717" t="s">
        <v>168</v>
      </c>
      <c r="J2717" t="s">
        <v>1034</v>
      </c>
      <c r="K2717" t="s">
        <v>1035</v>
      </c>
      <c r="L2717">
        <v>84030</v>
      </c>
      <c r="M2717" t="s">
        <v>900</v>
      </c>
      <c r="O2717" t="s">
        <v>11</v>
      </c>
      <c r="P2717">
        <v>6108</v>
      </c>
      <c r="Q2717">
        <v>1</v>
      </c>
      <c r="R2717">
        <v>55.81</v>
      </c>
      <c r="S2717">
        <v>55.81</v>
      </c>
      <c r="T2717">
        <v>42.36</v>
      </c>
      <c r="U2717">
        <v>24.1</v>
      </c>
      <c r="V2717" t="str">
        <f>VLOOKUP(L2717,'[2]tabela de preços'!$A:$D,4,0)</f>
        <v>BRASILUX</v>
      </c>
      <c r="W2717" t="str">
        <f>VLOOKUP(L2717,'[2]tabela de preços'!$A:$F,6,0)</f>
        <v>AGUARRAS</v>
      </c>
      <c r="X2717" t="str">
        <f>VLOOKUP(L2717,'[2]tabela de preços'!$A:$G,7,0)</f>
        <v>IMOBILIÁRIO</v>
      </c>
    </row>
    <row r="2718" spans="1:24" x14ac:dyDescent="0.3">
      <c r="A2718" t="s">
        <v>1031</v>
      </c>
      <c r="C2718" t="s">
        <v>2511</v>
      </c>
      <c r="D2718" s="1">
        <v>46056</v>
      </c>
      <c r="E2718" t="s">
        <v>2512</v>
      </c>
      <c r="F2718">
        <v>9</v>
      </c>
      <c r="G2718">
        <v>230</v>
      </c>
      <c r="H2718" t="str">
        <f>VLOOKUP(G2718,[1]OPERADORES!$A:$B,2,0)</f>
        <v>SÔNIA</v>
      </c>
      <c r="I2718" t="s">
        <v>168</v>
      </c>
      <c r="J2718" t="s">
        <v>1034</v>
      </c>
      <c r="K2718" t="s">
        <v>1035</v>
      </c>
      <c r="L2718">
        <v>84331</v>
      </c>
      <c r="M2718" t="s">
        <v>497</v>
      </c>
      <c r="O2718" t="s">
        <v>11</v>
      </c>
      <c r="P2718">
        <v>6108</v>
      </c>
      <c r="Q2718">
        <v>2</v>
      </c>
      <c r="R2718">
        <v>59.98</v>
      </c>
      <c r="S2718">
        <v>119.96</v>
      </c>
      <c r="T2718">
        <v>104</v>
      </c>
      <c r="U2718">
        <v>13.3</v>
      </c>
      <c r="V2718" t="str">
        <f>VLOOKUP(L2718,'[2]tabela de preços'!$A:$D,4,0)</f>
        <v>BRASILUX</v>
      </c>
      <c r="W2718" t="str">
        <f>VLOOKUP(L2718,'[2]tabela de preços'!$A:$F,6,0)</f>
        <v>ESMALTES</v>
      </c>
      <c r="X2718" t="str">
        <f>VLOOKUP(L2718,'[2]tabela de preços'!$A:$G,7,0)</f>
        <v>INDUSTRIAL</v>
      </c>
    </row>
    <row r="2719" spans="1:24" x14ac:dyDescent="0.3">
      <c r="A2719" t="s">
        <v>1031</v>
      </c>
      <c r="C2719" t="s">
        <v>2511</v>
      </c>
      <c r="D2719" s="1">
        <v>46056</v>
      </c>
      <c r="E2719" t="s">
        <v>2512</v>
      </c>
      <c r="F2719">
        <v>9</v>
      </c>
      <c r="G2719">
        <v>230</v>
      </c>
      <c r="H2719" t="str">
        <f>VLOOKUP(G2719,[1]OPERADORES!$A:$B,2,0)</f>
        <v>SÔNIA</v>
      </c>
      <c r="I2719" t="s">
        <v>168</v>
      </c>
      <c r="J2719" t="s">
        <v>1034</v>
      </c>
      <c r="K2719" t="s">
        <v>1035</v>
      </c>
      <c r="L2719">
        <v>23602</v>
      </c>
      <c r="M2719" t="s">
        <v>215</v>
      </c>
      <c r="O2719" t="s">
        <v>11</v>
      </c>
      <c r="P2719">
        <v>6108</v>
      </c>
      <c r="Q2719">
        <v>1</v>
      </c>
      <c r="R2719">
        <v>35.89</v>
      </c>
      <c r="S2719">
        <v>35.89</v>
      </c>
      <c r="T2719">
        <v>29.25</v>
      </c>
      <c r="U2719">
        <v>18.5</v>
      </c>
      <c r="V2719" t="str">
        <f>VLOOKUP(L2719,'[2]tabela de preços'!$A:$D,4,0)</f>
        <v>SHERWIN WILLIAMS</v>
      </c>
      <c r="W2719" t="str">
        <f>VLOOKUP(L2719,'[2]tabela de preços'!$A:$F,6,0)</f>
        <v>VERNIZ AUTOMOTIVO</v>
      </c>
      <c r="X2719" t="str">
        <f>VLOOKUP(L2719,'[2]tabela de preços'!$A:$G,7,0)</f>
        <v>AUTOMOTIVO</v>
      </c>
    </row>
    <row r="2720" spans="1:24" x14ac:dyDescent="0.3">
      <c r="A2720" t="s">
        <v>1031</v>
      </c>
      <c r="C2720" t="s">
        <v>2511</v>
      </c>
      <c r="D2720" s="1">
        <v>46056</v>
      </c>
      <c r="E2720" t="s">
        <v>2512</v>
      </c>
      <c r="F2720">
        <v>9</v>
      </c>
      <c r="G2720">
        <v>230</v>
      </c>
      <c r="H2720" t="str">
        <f>VLOOKUP(G2720,[1]OPERADORES!$A:$B,2,0)</f>
        <v>SÔNIA</v>
      </c>
      <c r="I2720" t="s">
        <v>168</v>
      </c>
      <c r="J2720" t="s">
        <v>1034</v>
      </c>
      <c r="K2720" t="s">
        <v>1035</v>
      </c>
      <c r="L2720">
        <v>84014</v>
      </c>
      <c r="M2720" t="s">
        <v>1152</v>
      </c>
      <c r="O2720" t="s">
        <v>11</v>
      </c>
      <c r="P2720">
        <v>6108</v>
      </c>
      <c r="Q2720">
        <v>4</v>
      </c>
      <c r="R2720">
        <v>2.2000000000000002</v>
      </c>
      <c r="S2720">
        <v>8.8000000000000007</v>
      </c>
      <c r="T2720">
        <v>6.68</v>
      </c>
      <c r="U2720">
        <v>24.09</v>
      </c>
      <c r="V2720" t="str">
        <f>VLOOKUP(L2720,'[2]tabela de preços'!$A:$D,4,0)</f>
        <v>3M</v>
      </c>
      <c r="W2720" t="str">
        <f>VLOOKUP(L2720,'[2]tabela de preços'!$A:$F,6,0)</f>
        <v>LIXA FERRO</v>
      </c>
      <c r="X2720" t="str">
        <f>VLOOKUP(L2720,'[2]tabela de preços'!$A:$G,7,0)</f>
        <v>IMOBILIÁRIO</v>
      </c>
    </row>
    <row r="2721" spans="1:24" x14ac:dyDescent="0.3">
      <c r="A2721" t="s">
        <v>1031</v>
      </c>
      <c r="C2721" t="s">
        <v>2622</v>
      </c>
      <c r="D2721" s="1">
        <v>46058</v>
      </c>
      <c r="E2721" t="s">
        <v>2623</v>
      </c>
      <c r="F2721">
        <v>9</v>
      </c>
      <c r="G2721">
        <v>236</v>
      </c>
      <c r="H2721" t="str">
        <f>VLOOKUP(G2721,[1]OPERADORES!$A:$B,2,0)</f>
        <v>DANIEL</v>
      </c>
      <c r="I2721" t="s">
        <v>168</v>
      </c>
      <c r="J2721" t="s">
        <v>1034</v>
      </c>
      <c r="K2721" t="s">
        <v>1035</v>
      </c>
      <c r="L2721">
        <v>85448</v>
      </c>
      <c r="M2721" t="s">
        <v>1259</v>
      </c>
      <c r="O2721" t="s">
        <v>11</v>
      </c>
      <c r="P2721">
        <v>6108</v>
      </c>
      <c r="Q2721">
        <v>1</v>
      </c>
      <c r="R2721">
        <v>98.77</v>
      </c>
      <c r="S2721">
        <v>98.77</v>
      </c>
      <c r="T2721">
        <v>72.41</v>
      </c>
      <c r="U2721">
        <v>26.69</v>
      </c>
      <c r="V2721" t="str">
        <f>VLOOKUP(L2721,'[2]tabela de preços'!$A:$D,4,0)</f>
        <v>BRASILUX</v>
      </c>
      <c r="W2721" t="str">
        <f>VLOOKUP(L2721,'[2]tabela de preços'!$A:$F,6,0)</f>
        <v>TINTAS LACA</v>
      </c>
      <c r="X2721" t="str">
        <f>VLOOKUP(L2721,'[2]tabela de preços'!$A:$G,7,0)</f>
        <v>AUTOMOTIVO</v>
      </c>
    </row>
    <row r="2722" spans="1:24" x14ac:dyDescent="0.3">
      <c r="A2722" t="s">
        <v>1031</v>
      </c>
      <c r="C2722" t="s">
        <v>2622</v>
      </c>
      <c r="D2722" s="1">
        <v>46058</v>
      </c>
      <c r="E2722" t="s">
        <v>2623</v>
      </c>
      <c r="F2722">
        <v>9</v>
      </c>
      <c r="G2722">
        <v>236</v>
      </c>
      <c r="H2722" t="str">
        <f>VLOOKUP(G2722,[1]OPERADORES!$A:$B,2,0)</f>
        <v>DANIEL</v>
      </c>
      <c r="I2722" t="s">
        <v>168</v>
      </c>
      <c r="J2722" t="s">
        <v>1034</v>
      </c>
      <c r="K2722" t="s">
        <v>1035</v>
      </c>
      <c r="L2722">
        <v>23105</v>
      </c>
      <c r="M2722" t="s">
        <v>402</v>
      </c>
      <c r="O2722" t="s">
        <v>11</v>
      </c>
      <c r="P2722">
        <v>6108</v>
      </c>
      <c r="Q2722">
        <v>50</v>
      </c>
      <c r="R2722">
        <v>2.35</v>
      </c>
      <c r="S2722">
        <v>117.5</v>
      </c>
      <c r="T2722">
        <v>96</v>
      </c>
      <c r="U2722">
        <v>18.3</v>
      </c>
      <c r="V2722" t="str">
        <f>VLOOKUP(L2722,'[2]tabela de preços'!$A:$D,4,0)</f>
        <v>3M</v>
      </c>
      <c r="W2722" t="str">
        <f>VLOOKUP(L2722,'[2]tabela de preços'!$A:$F,6,0)</f>
        <v xml:space="preserve">DISCOS / LIXAS / ABRASIVOS </v>
      </c>
      <c r="X2722" t="str">
        <f>VLOOKUP(L2722,'[2]tabela de preços'!$A:$G,7,0)</f>
        <v>AUTOMOTIVO</v>
      </c>
    </row>
    <row r="2723" spans="1:24" x14ac:dyDescent="0.3">
      <c r="A2723" t="s">
        <v>1031</v>
      </c>
      <c r="C2723" t="s">
        <v>2622</v>
      </c>
      <c r="D2723" s="1">
        <v>46058</v>
      </c>
      <c r="E2723" t="s">
        <v>2623</v>
      </c>
      <c r="F2723">
        <v>9</v>
      </c>
      <c r="G2723">
        <v>236</v>
      </c>
      <c r="H2723" t="str">
        <f>VLOOKUP(G2723,[1]OPERADORES!$A:$B,2,0)</f>
        <v>DANIEL</v>
      </c>
      <c r="I2723" t="s">
        <v>168</v>
      </c>
      <c r="J2723" t="s">
        <v>1034</v>
      </c>
      <c r="K2723" t="s">
        <v>1035</v>
      </c>
      <c r="L2723">
        <v>23602</v>
      </c>
      <c r="M2723" t="s">
        <v>215</v>
      </c>
      <c r="O2723" t="s">
        <v>11</v>
      </c>
      <c r="P2723">
        <v>6108</v>
      </c>
      <c r="Q2723">
        <v>2</v>
      </c>
      <c r="R2723">
        <v>35.89</v>
      </c>
      <c r="S2723">
        <v>71.78</v>
      </c>
      <c r="T2723">
        <v>58.5</v>
      </c>
      <c r="U2723">
        <v>18.5</v>
      </c>
      <c r="V2723" t="str">
        <f>VLOOKUP(L2723,'[2]tabela de preços'!$A:$D,4,0)</f>
        <v>SHERWIN WILLIAMS</v>
      </c>
      <c r="W2723" t="str">
        <f>VLOOKUP(L2723,'[2]tabela de preços'!$A:$F,6,0)</f>
        <v>VERNIZ AUTOMOTIVO</v>
      </c>
      <c r="X2723" t="str">
        <f>VLOOKUP(L2723,'[2]tabela de preços'!$A:$G,7,0)</f>
        <v>AUTOMOTIVO</v>
      </c>
    </row>
    <row r="2724" spans="1:24" x14ac:dyDescent="0.3">
      <c r="A2724" t="s">
        <v>1031</v>
      </c>
      <c r="C2724" t="s">
        <v>2622</v>
      </c>
      <c r="D2724" s="1">
        <v>46058</v>
      </c>
      <c r="E2724" t="s">
        <v>2623</v>
      </c>
      <c r="F2724">
        <v>9</v>
      </c>
      <c r="G2724">
        <v>236</v>
      </c>
      <c r="H2724" t="str">
        <f>VLOOKUP(G2724,[1]OPERADORES!$A:$B,2,0)</f>
        <v>DANIEL</v>
      </c>
      <c r="I2724" t="s">
        <v>168</v>
      </c>
      <c r="J2724" t="s">
        <v>1034</v>
      </c>
      <c r="K2724" t="s">
        <v>1035</v>
      </c>
      <c r="L2724">
        <v>10396</v>
      </c>
      <c r="M2724" t="s">
        <v>2624</v>
      </c>
      <c r="O2724" t="s">
        <v>11</v>
      </c>
      <c r="P2724">
        <v>6108</v>
      </c>
      <c r="Q2724">
        <v>1</v>
      </c>
      <c r="R2724">
        <v>31.47</v>
      </c>
      <c r="S2724">
        <v>31.47</v>
      </c>
      <c r="T2724">
        <v>23.07</v>
      </c>
      <c r="U2724">
        <v>26.69</v>
      </c>
      <c r="V2724" t="str">
        <f>VLOOKUP(L2724,'[2]tabela de preços'!$A:$D,4,0)</f>
        <v>MAXI RUBBER</v>
      </c>
      <c r="W2724" t="str">
        <f>VLOOKUP(L2724,'[2]tabela de preços'!$A:$F,6,0)</f>
        <v>MASSA POLIÉSTER</v>
      </c>
      <c r="X2724" t="str">
        <f>VLOOKUP(L2724,'[2]tabela de preços'!$A:$G,7,0)</f>
        <v>AUTOMOTIVO</v>
      </c>
    </row>
    <row r="2725" spans="1:24" x14ac:dyDescent="0.3">
      <c r="A2725" t="s">
        <v>1031</v>
      </c>
      <c r="C2725" t="s">
        <v>2622</v>
      </c>
      <c r="D2725" s="1">
        <v>46058</v>
      </c>
      <c r="E2725" t="s">
        <v>2623</v>
      </c>
      <c r="F2725">
        <v>9</v>
      </c>
      <c r="G2725">
        <v>236</v>
      </c>
      <c r="H2725" t="str">
        <f>VLOOKUP(G2725,[1]OPERADORES!$A:$B,2,0)</f>
        <v>DANIEL</v>
      </c>
      <c r="I2725" t="s">
        <v>168</v>
      </c>
      <c r="J2725" t="s">
        <v>1034</v>
      </c>
      <c r="K2725" t="s">
        <v>1035</v>
      </c>
      <c r="L2725">
        <v>84560</v>
      </c>
      <c r="M2725" t="s">
        <v>118</v>
      </c>
      <c r="O2725" t="s">
        <v>11</v>
      </c>
      <c r="P2725">
        <v>6108</v>
      </c>
      <c r="Q2725">
        <v>4</v>
      </c>
      <c r="R2725">
        <v>47.89</v>
      </c>
      <c r="S2725">
        <v>191.56</v>
      </c>
      <c r="T2725">
        <v>156.63999999999999</v>
      </c>
      <c r="U2725">
        <v>18.23</v>
      </c>
      <c r="V2725" t="str">
        <f>VLOOKUP(L2725,'[2]tabela de preços'!$A:$D,4,0)</f>
        <v>BRASILUX</v>
      </c>
      <c r="W2725" t="str">
        <f>VLOOKUP(L2725,'[2]tabela de preços'!$A:$F,6,0)</f>
        <v>THINNER DE LIMPEZA</v>
      </c>
      <c r="X2725" t="str">
        <f>VLOOKUP(L2725,'[2]tabela de preços'!$A:$G,7,0)</f>
        <v>THINNER</v>
      </c>
    </row>
    <row r="2726" spans="1:24" x14ac:dyDescent="0.3">
      <c r="A2726" t="s">
        <v>1031</v>
      </c>
      <c r="C2726" t="s">
        <v>2622</v>
      </c>
      <c r="D2726" s="1">
        <v>46058</v>
      </c>
      <c r="E2726" t="s">
        <v>2623</v>
      </c>
      <c r="F2726">
        <v>9</v>
      </c>
      <c r="G2726">
        <v>236</v>
      </c>
      <c r="H2726" t="str">
        <f>VLOOKUP(G2726,[1]OPERADORES!$A:$B,2,0)</f>
        <v>DANIEL</v>
      </c>
      <c r="I2726" t="s">
        <v>168</v>
      </c>
      <c r="J2726" t="s">
        <v>1034</v>
      </c>
      <c r="K2726" t="s">
        <v>1035</v>
      </c>
      <c r="L2726">
        <v>84899</v>
      </c>
      <c r="M2726" t="s">
        <v>854</v>
      </c>
      <c r="O2726" t="s">
        <v>11</v>
      </c>
      <c r="P2726">
        <v>6108</v>
      </c>
      <c r="Q2726">
        <v>1</v>
      </c>
      <c r="R2726">
        <v>175.37</v>
      </c>
      <c r="S2726">
        <v>175.37</v>
      </c>
      <c r="T2726">
        <v>128.57</v>
      </c>
      <c r="U2726">
        <v>26.69</v>
      </c>
      <c r="V2726" t="str">
        <f>VLOOKUP(L2726,'[2]tabela de preços'!$A:$D,4,0)</f>
        <v>BRASILUX</v>
      </c>
      <c r="W2726" t="str">
        <f>VLOOKUP(L2726,'[2]tabela de preços'!$A:$F,6,0)</f>
        <v>EPOXI</v>
      </c>
      <c r="X2726" t="str">
        <f>VLOOKUP(L2726,'[2]tabela de preços'!$A:$G,7,0)</f>
        <v>INDUSTRIAL</v>
      </c>
    </row>
    <row r="2727" spans="1:24" x14ac:dyDescent="0.3">
      <c r="A2727" t="s">
        <v>1080</v>
      </c>
      <c r="C2727" t="s">
        <v>2819</v>
      </c>
      <c r="D2727" s="1">
        <v>46062</v>
      </c>
      <c r="E2727" t="s">
        <v>2820</v>
      </c>
      <c r="F2727">
        <v>9</v>
      </c>
      <c r="G2727">
        <v>230</v>
      </c>
      <c r="H2727" t="str">
        <f>VLOOKUP(G2727,[1]OPERADORES!$A:$B,2,0)</f>
        <v>SÔNIA</v>
      </c>
      <c r="I2727" t="s">
        <v>715</v>
      </c>
      <c r="J2727" t="s">
        <v>1083</v>
      </c>
      <c r="K2727" t="s">
        <v>1084</v>
      </c>
      <c r="L2727">
        <v>20461</v>
      </c>
      <c r="M2727" t="s">
        <v>1085</v>
      </c>
      <c r="O2727" t="s">
        <v>11</v>
      </c>
      <c r="P2727">
        <v>6102</v>
      </c>
      <c r="Q2727">
        <v>6</v>
      </c>
      <c r="R2727">
        <v>57.23</v>
      </c>
      <c r="S2727">
        <v>343.38</v>
      </c>
      <c r="T2727">
        <v>260.64</v>
      </c>
      <c r="U2727">
        <v>24.1</v>
      </c>
      <c r="V2727" t="str">
        <f>VLOOKUP(L2727,'[2]tabela de preços'!$A:$D,4,0)</f>
        <v>SHERWIN WILLIAMS</v>
      </c>
      <c r="W2727" t="str">
        <f>VLOOKUP(L2727,'[2]tabela de preços'!$A:$F,6,0)</f>
        <v>VERNIZ AUTOMOTIVO</v>
      </c>
      <c r="X2727" t="str">
        <f>VLOOKUP(L2727,'[2]tabela de preços'!$A:$G,7,0)</f>
        <v>AUTOMOTIVO</v>
      </c>
    </row>
    <row r="2728" spans="1:24" x14ac:dyDescent="0.3">
      <c r="A2728" t="s">
        <v>1080</v>
      </c>
      <c r="C2728" t="s">
        <v>2819</v>
      </c>
      <c r="D2728" s="1">
        <v>46062</v>
      </c>
      <c r="E2728" t="s">
        <v>2820</v>
      </c>
      <c r="F2728">
        <v>9</v>
      </c>
      <c r="G2728">
        <v>230</v>
      </c>
      <c r="H2728" t="str">
        <f>VLOOKUP(G2728,[1]OPERADORES!$A:$B,2,0)</f>
        <v>SÔNIA</v>
      </c>
      <c r="I2728" t="s">
        <v>715</v>
      </c>
      <c r="J2728" t="s">
        <v>1083</v>
      </c>
      <c r="K2728" t="s">
        <v>1084</v>
      </c>
      <c r="L2728">
        <v>24248</v>
      </c>
      <c r="M2728" t="s">
        <v>107</v>
      </c>
      <c r="O2728" t="s">
        <v>11</v>
      </c>
      <c r="P2728">
        <v>6102</v>
      </c>
      <c r="Q2728">
        <v>12</v>
      </c>
      <c r="R2728">
        <v>8.56</v>
      </c>
      <c r="S2728">
        <v>102.72</v>
      </c>
      <c r="T2728">
        <v>78</v>
      </c>
      <c r="U2728">
        <v>24.07</v>
      </c>
      <c r="V2728" t="str">
        <f>VLOOKUP(L2728,'[2]tabela de preços'!$A:$D,4,0)</f>
        <v>SHERWIN WILLIAMS</v>
      </c>
      <c r="W2728" t="str">
        <f>VLOOKUP(L2728,'[2]tabela de preços'!$A:$F,6,0)</f>
        <v>PRIMER AUTOMOTIVO</v>
      </c>
      <c r="X2728" t="str">
        <f>VLOOKUP(L2728,'[2]tabela de preços'!$A:$G,7,0)</f>
        <v>AUTOMOTIVO</v>
      </c>
    </row>
    <row r="2729" spans="1:24" x14ac:dyDescent="0.3">
      <c r="A2729" t="s">
        <v>1080</v>
      </c>
      <c r="C2729" t="s">
        <v>2819</v>
      </c>
      <c r="D2729" s="1">
        <v>46062</v>
      </c>
      <c r="E2729" t="s">
        <v>2820</v>
      </c>
      <c r="F2729">
        <v>9</v>
      </c>
      <c r="G2729">
        <v>230</v>
      </c>
      <c r="H2729" t="str">
        <f>VLOOKUP(G2729,[1]OPERADORES!$A:$B,2,0)</f>
        <v>SÔNIA</v>
      </c>
      <c r="I2729" t="s">
        <v>715</v>
      </c>
      <c r="J2729" t="s">
        <v>1083</v>
      </c>
      <c r="K2729" t="s">
        <v>1084</v>
      </c>
      <c r="L2729">
        <v>24247</v>
      </c>
      <c r="M2729" t="s">
        <v>160</v>
      </c>
      <c r="O2729" t="s">
        <v>11</v>
      </c>
      <c r="P2729">
        <v>6403</v>
      </c>
      <c r="Q2729">
        <v>12</v>
      </c>
      <c r="R2729">
        <v>22.23</v>
      </c>
      <c r="S2729">
        <v>266.76</v>
      </c>
      <c r="T2729">
        <v>202.44</v>
      </c>
      <c r="U2729">
        <v>24.11</v>
      </c>
      <c r="V2729" t="str">
        <f>VLOOKUP(L2729,'[2]tabela de preços'!$A:$D,4,0)</f>
        <v>SHERWIN WILLIAMS</v>
      </c>
      <c r="W2729" t="str">
        <f>VLOOKUP(L2729,'[2]tabela de preços'!$A:$F,6,0)</f>
        <v>PRIMER AUTOMOTIVO</v>
      </c>
      <c r="X2729" t="str">
        <f>VLOOKUP(L2729,'[2]tabela de preços'!$A:$G,7,0)</f>
        <v>AUTOMOTIVO</v>
      </c>
    </row>
    <row r="2730" spans="1:24" x14ac:dyDescent="0.3">
      <c r="A2730" t="s">
        <v>1080</v>
      </c>
      <c r="C2730" t="s">
        <v>2819</v>
      </c>
      <c r="D2730" s="1">
        <v>46062</v>
      </c>
      <c r="E2730" t="s">
        <v>2820</v>
      </c>
      <c r="F2730">
        <v>9</v>
      </c>
      <c r="G2730">
        <v>230</v>
      </c>
      <c r="H2730" t="str">
        <f>VLOOKUP(G2730,[1]OPERADORES!$A:$B,2,0)</f>
        <v>SÔNIA</v>
      </c>
      <c r="I2730" t="s">
        <v>715</v>
      </c>
      <c r="J2730" t="s">
        <v>1083</v>
      </c>
      <c r="K2730" t="s">
        <v>1084</v>
      </c>
      <c r="L2730">
        <v>84560</v>
      </c>
      <c r="M2730" t="s">
        <v>118</v>
      </c>
      <c r="O2730" t="s">
        <v>11</v>
      </c>
      <c r="P2730">
        <v>6102</v>
      </c>
      <c r="Q2730">
        <v>3</v>
      </c>
      <c r="R2730">
        <v>47.89</v>
      </c>
      <c r="S2730">
        <v>143.66999999999999</v>
      </c>
      <c r="T2730">
        <v>117.48</v>
      </c>
      <c r="U2730">
        <v>18.23</v>
      </c>
      <c r="V2730" t="str">
        <f>VLOOKUP(L2730,'[2]tabela de preços'!$A:$D,4,0)</f>
        <v>BRASILUX</v>
      </c>
      <c r="W2730" t="str">
        <f>VLOOKUP(L2730,'[2]tabela de preços'!$A:$F,6,0)</f>
        <v>THINNER DE LIMPEZA</v>
      </c>
      <c r="X2730" t="str">
        <f>VLOOKUP(L2730,'[2]tabela de preços'!$A:$G,7,0)</f>
        <v>THINNER</v>
      </c>
    </row>
    <row r="2731" spans="1:24" x14ac:dyDescent="0.3">
      <c r="A2731" t="s">
        <v>1080</v>
      </c>
      <c r="C2731" t="s">
        <v>2819</v>
      </c>
      <c r="D2731" s="1">
        <v>46062</v>
      </c>
      <c r="E2731" t="s">
        <v>2820</v>
      </c>
      <c r="F2731">
        <v>9</v>
      </c>
      <c r="G2731">
        <v>230</v>
      </c>
      <c r="H2731" t="str">
        <f>VLOOKUP(G2731,[1]OPERADORES!$A:$B,2,0)</f>
        <v>SÔNIA</v>
      </c>
      <c r="I2731" t="s">
        <v>715</v>
      </c>
      <c r="J2731" t="s">
        <v>1083</v>
      </c>
      <c r="K2731" t="s">
        <v>1084</v>
      </c>
      <c r="L2731">
        <v>20414</v>
      </c>
      <c r="M2731" t="s">
        <v>112</v>
      </c>
      <c r="O2731" t="s">
        <v>11</v>
      </c>
      <c r="P2731">
        <v>6102</v>
      </c>
      <c r="Q2731">
        <v>5</v>
      </c>
      <c r="R2731">
        <v>23.71</v>
      </c>
      <c r="S2731">
        <v>118.55</v>
      </c>
      <c r="T2731">
        <v>90</v>
      </c>
      <c r="U2731">
        <v>24.08</v>
      </c>
      <c r="V2731" t="str">
        <f>VLOOKUP(L2731,'[2]tabela de preços'!$A:$D,4,0)</f>
        <v>SHERWIN WILLIAMS</v>
      </c>
      <c r="W2731" t="str">
        <f>VLOOKUP(L2731,'[2]tabela de preços'!$A:$F,6,0)</f>
        <v>DILUENTE</v>
      </c>
      <c r="X2731" t="str">
        <f>VLOOKUP(L2731,'[2]tabela de preços'!$A:$G,7,0)</f>
        <v>AUTOMOTIVO</v>
      </c>
    </row>
    <row r="2732" spans="1:24" x14ac:dyDescent="0.3">
      <c r="A2732" t="s">
        <v>1080</v>
      </c>
      <c r="C2732" t="s">
        <v>2819</v>
      </c>
      <c r="D2732" s="1">
        <v>46062</v>
      </c>
      <c r="E2732" t="s">
        <v>2820</v>
      </c>
      <c r="F2732">
        <v>9</v>
      </c>
      <c r="G2732">
        <v>230</v>
      </c>
      <c r="H2732" t="str">
        <f>VLOOKUP(G2732,[1]OPERADORES!$A:$B,2,0)</f>
        <v>SÔNIA</v>
      </c>
      <c r="I2732" t="s">
        <v>715</v>
      </c>
      <c r="J2732" t="s">
        <v>1083</v>
      </c>
      <c r="K2732" t="s">
        <v>1084</v>
      </c>
      <c r="L2732">
        <v>20454</v>
      </c>
      <c r="M2732" t="s">
        <v>1086</v>
      </c>
      <c r="O2732" t="s">
        <v>11</v>
      </c>
      <c r="P2732">
        <v>6403</v>
      </c>
      <c r="Q2732">
        <v>2</v>
      </c>
      <c r="R2732">
        <v>184.14</v>
      </c>
      <c r="S2732">
        <v>368.28</v>
      </c>
      <c r="T2732">
        <v>279.54000000000002</v>
      </c>
      <c r="U2732">
        <v>24.1</v>
      </c>
      <c r="V2732" t="str">
        <f>VLOOKUP(L2732,'[2]tabela de preços'!$A:$D,4,0)</f>
        <v>SHERWIN WILLIAMS</v>
      </c>
      <c r="W2732" t="str">
        <f>VLOOKUP(L2732,'[2]tabela de preços'!$A:$F,6,0)</f>
        <v>VERNIZ AUTOMOTIVO</v>
      </c>
      <c r="X2732" t="str">
        <f>VLOOKUP(L2732,'[2]tabela de preços'!$A:$G,7,0)</f>
        <v>AUTOMOTIVO</v>
      </c>
    </row>
    <row r="2733" spans="1:24" x14ac:dyDescent="0.3">
      <c r="A2733" t="s">
        <v>1090</v>
      </c>
      <c r="C2733" t="s">
        <v>2625</v>
      </c>
      <c r="D2733" s="1">
        <v>46057</v>
      </c>
      <c r="E2733" t="s">
        <v>2626</v>
      </c>
      <c r="F2733">
        <v>9</v>
      </c>
      <c r="G2733">
        <v>236</v>
      </c>
      <c r="H2733" t="str">
        <f>VLOOKUP(G2733,[1]OPERADORES!$A:$B,2,0)</f>
        <v>DANIEL</v>
      </c>
      <c r="I2733" t="s">
        <v>21</v>
      </c>
      <c r="J2733" t="s">
        <v>450</v>
      </c>
      <c r="K2733" t="s">
        <v>1093</v>
      </c>
      <c r="L2733">
        <v>84030</v>
      </c>
      <c r="M2733" t="s">
        <v>900</v>
      </c>
      <c r="O2733" t="s">
        <v>11</v>
      </c>
      <c r="P2733">
        <v>5102</v>
      </c>
      <c r="Q2733">
        <v>2</v>
      </c>
      <c r="R2733">
        <v>57.12</v>
      </c>
      <c r="S2733">
        <v>114.24</v>
      </c>
      <c r="T2733">
        <v>84.72</v>
      </c>
      <c r="U2733">
        <v>25.84</v>
      </c>
      <c r="V2733" t="str">
        <f>VLOOKUP(L2733,'[2]tabela de preços'!$A:$D,4,0)</f>
        <v>BRASILUX</v>
      </c>
      <c r="W2733" t="str">
        <f>VLOOKUP(L2733,'[2]tabela de preços'!$A:$F,6,0)</f>
        <v>AGUARRAS</v>
      </c>
      <c r="X2733" t="str">
        <f>VLOOKUP(L2733,'[2]tabela de preços'!$A:$G,7,0)</f>
        <v>IMOBILIÁRIO</v>
      </c>
    </row>
    <row r="2734" spans="1:24" x14ac:dyDescent="0.3">
      <c r="A2734" t="s">
        <v>1090</v>
      </c>
      <c r="C2734" t="s">
        <v>2625</v>
      </c>
      <c r="D2734" s="1">
        <v>46057</v>
      </c>
      <c r="E2734" t="s">
        <v>2626</v>
      </c>
      <c r="F2734">
        <v>9</v>
      </c>
      <c r="G2734">
        <v>236</v>
      </c>
      <c r="H2734" t="str">
        <f>VLOOKUP(G2734,[1]OPERADORES!$A:$B,2,0)</f>
        <v>DANIEL</v>
      </c>
      <c r="I2734" t="s">
        <v>21</v>
      </c>
      <c r="J2734" t="s">
        <v>450</v>
      </c>
      <c r="K2734" t="s">
        <v>1093</v>
      </c>
      <c r="L2734">
        <v>10298</v>
      </c>
      <c r="M2734" t="s">
        <v>85</v>
      </c>
      <c r="O2734" t="s">
        <v>11</v>
      </c>
      <c r="P2734">
        <v>5102</v>
      </c>
      <c r="Q2734">
        <v>1</v>
      </c>
      <c r="R2734">
        <v>56.89</v>
      </c>
      <c r="S2734">
        <v>56.89</v>
      </c>
      <c r="T2734">
        <v>47.38</v>
      </c>
      <c r="U2734">
        <v>16.72</v>
      </c>
      <c r="V2734" t="str">
        <f>VLOOKUP(L2734,'[2]tabela de preços'!$A:$D,4,0)</f>
        <v>ANJO</v>
      </c>
      <c r="W2734" t="str">
        <f>VLOOKUP(L2734,'[2]tabela de preços'!$A:$F,6,0)</f>
        <v>THINNER DE LIMPEZA</v>
      </c>
      <c r="X2734" t="str">
        <f>VLOOKUP(L2734,'[2]tabela de preços'!$A:$G,7,0)</f>
        <v>THINNER</v>
      </c>
    </row>
    <row r="2735" spans="1:24" x14ac:dyDescent="0.3">
      <c r="A2735" t="s">
        <v>1090</v>
      </c>
      <c r="C2735" t="s">
        <v>2821</v>
      </c>
      <c r="D2735" s="1">
        <v>46062</v>
      </c>
      <c r="E2735" t="s">
        <v>2822</v>
      </c>
      <c r="F2735">
        <v>9</v>
      </c>
      <c r="G2735">
        <v>236</v>
      </c>
      <c r="H2735" t="str">
        <f>VLOOKUP(G2735,[1]OPERADORES!$A:$B,2,0)</f>
        <v>DANIEL</v>
      </c>
      <c r="I2735" t="s">
        <v>21</v>
      </c>
      <c r="J2735" t="s">
        <v>450</v>
      </c>
      <c r="K2735" t="s">
        <v>1093</v>
      </c>
      <c r="L2735">
        <v>85310</v>
      </c>
      <c r="M2735" t="s">
        <v>1050</v>
      </c>
      <c r="O2735" t="s">
        <v>11</v>
      </c>
      <c r="P2735">
        <v>5403</v>
      </c>
      <c r="Q2735">
        <v>2</v>
      </c>
      <c r="R2735">
        <v>93.71</v>
      </c>
      <c r="S2735">
        <v>187.42</v>
      </c>
      <c r="T2735">
        <v>134.34</v>
      </c>
      <c r="U2735">
        <v>28.32</v>
      </c>
      <c r="V2735" t="str">
        <f>VLOOKUP(L2735,'[2]tabela de preços'!$A:$D,4,0)</f>
        <v>BRASILUX</v>
      </c>
      <c r="W2735" t="str">
        <f>VLOOKUP(L2735,'[2]tabela de preços'!$A:$F,6,0)</f>
        <v>ESMALTES</v>
      </c>
      <c r="X2735" t="str">
        <f>VLOOKUP(L2735,'[2]tabela de preços'!$A:$G,7,0)</f>
        <v>INDUSTRIAL</v>
      </c>
    </row>
    <row r="2736" spans="1:24" x14ac:dyDescent="0.3">
      <c r="A2736" t="s">
        <v>1112</v>
      </c>
      <c r="C2736" t="s">
        <v>2435</v>
      </c>
      <c r="D2736" s="1">
        <v>46055</v>
      </c>
      <c r="E2736" t="s">
        <v>2436</v>
      </c>
      <c r="F2736">
        <v>9</v>
      </c>
      <c r="G2736">
        <v>236</v>
      </c>
      <c r="H2736" t="str">
        <f>VLOOKUP(G2736,[1]OPERADORES!$A:$B,2,0)</f>
        <v>DANIEL</v>
      </c>
      <c r="I2736" t="s">
        <v>21</v>
      </c>
      <c r="J2736" t="s">
        <v>211</v>
      </c>
      <c r="K2736" t="s">
        <v>1115</v>
      </c>
      <c r="L2736">
        <v>21627</v>
      </c>
      <c r="M2736" t="s">
        <v>1142</v>
      </c>
      <c r="O2736" t="s">
        <v>11</v>
      </c>
      <c r="P2736">
        <v>5102</v>
      </c>
      <c r="Q2736">
        <v>3</v>
      </c>
      <c r="R2736">
        <v>34.369999999999997</v>
      </c>
      <c r="S2736">
        <v>103.11</v>
      </c>
      <c r="T2736">
        <v>76.47</v>
      </c>
      <c r="U2736">
        <v>25.84</v>
      </c>
      <c r="V2736" t="str">
        <f>VLOOKUP(L2736,'[2]tabela de preços'!$A:$D,4,0)</f>
        <v>SHERWIN WILLIAMS</v>
      </c>
      <c r="W2736" t="str">
        <f>VLOOKUP(L2736,'[2]tabela de preços'!$A:$F,6,0)</f>
        <v>VERNIZ AUTOMOTIVO</v>
      </c>
      <c r="X2736" t="str">
        <f>VLOOKUP(L2736,'[2]tabela de preços'!$A:$G,7,0)</f>
        <v>AUTOMOTIVO</v>
      </c>
    </row>
    <row r="2737" spans="1:24" x14ac:dyDescent="0.3">
      <c r="A2737" t="s">
        <v>1112</v>
      </c>
      <c r="C2737" t="s">
        <v>2435</v>
      </c>
      <c r="D2737" s="1">
        <v>46055</v>
      </c>
      <c r="E2737" t="s">
        <v>2436</v>
      </c>
      <c r="F2737">
        <v>9</v>
      </c>
      <c r="G2737">
        <v>236</v>
      </c>
      <c r="H2737" t="str">
        <f>VLOOKUP(G2737,[1]OPERADORES!$A:$B,2,0)</f>
        <v>DANIEL</v>
      </c>
      <c r="I2737" t="s">
        <v>21</v>
      </c>
      <c r="J2737" t="s">
        <v>211</v>
      </c>
      <c r="K2737" t="s">
        <v>1115</v>
      </c>
      <c r="L2737">
        <v>23602</v>
      </c>
      <c r="M2737" t="s">
        <v>215</v>
      </c>
      <c r="O2737" t="s">
        <v>11</v>
      </c>
      <c r="P2737">
        <v>5403</v>
      </c>
      <c r="Q2737">
        <v>9</v>
      </c>
      <c r="R2737">
        <v>35.89</v>
      </c>
      <c r="S2737">
        <v>323.01</v>
      </c>
      <c r="T2737">
        <v>263.25</v>
      </c>
      <c r="U2737">
        <v>18.5</v>
      </c>
      <c r="V2737" t="str">
        <f>VLOOKUP(L2737,'[2]tabela de preços'!$A:$D,4,0)</f>
        <v>SHERWIN WILLIAMS</v>
      </c>
      <c r="W2737" t="str">
        <f>VLOOKUP(L2737,'[2]tabela de preços'!$A:$F,6,0)</f>
        <v>VERNIZ AUTOMOTIVO</v>
      </c>
      <c r="X2737" t="str">
        <f>VLOOKUP(L2737,'[2]tabela de preços'!$A:$G,7,0)</f>
        <v>AUTOMOTIVO</v>
      </c>
    </row>
    <row r="2738" spans="1:24" x14ac:dyDescent="0.3">
      <c r="A2738" t="s">
        <v>1112</v>
      </c>
      <c r="C2738" t="s">
        <v>2435</v>
      </c>
      <c r="D2738" s="1">
        <v>46055</v>
      </c>
      <c r="E2738" t="s">
        <v>2436</v>
      </c>
      <c r="F2738">
        <v>9</v>
      </c>
      <c r="G2738">
        <v>236</v>
      </c>
      <c r="H2738" t="str">
        <f>VLOOKUP(G2738,[1]OPERADORES!$A:$B,2,0)</f>
        <v>DANIEL</v>
      </c>
      <c r="I2738" t="s">
        <v>21</v>
      </c>
      <c r="J2738" t="s">
        <v>211</v>
      </c>
      <c r="K2738" t="s">
        <v>1115</v>
      </c>
      <c r="L2738">
        <v>10298</v>
      </c>
      <c r="M2738" t="s">
        <v>85</v>
      </c>
      <c r="O2738" t="s">
        <v>11</v>
      </c>
      <c r="P2738">
        <v>5102</v>
      </c>
      <c r="Q2738">
        <v>2</v>
      </c>
      <c r="R2738">
        <v>56.89</v>
      </c>
      <c r="S2738">
        <v>113.78</v>
      </c>
      <c r="T2738">
        <v>94.76</v>
      </c>
      <c r="U2738">
        <v>16.72</v>
      </c>
      <c r="V2738" t="str">
        <f>VLOOKUP(L2738,'[2]tabela de preços'!$A:$D,4,0)</f>
        <v>ANJO</v>
      </c>
      <c r="W2738" t="str">
        <f>VLOOKUP(L2738,'[2]tabela de preços'!$A:$F,6,0)</f>
        <v>THINNER DE LIMPEZA</v>
      </c>
      <c r="X2738" t="str">
        <f>VLOOKUP(L2738,'[2]tabela de preços'!$A:$G,7,0)</f>
        <v>THINNER</v>
      </c>
    </row>
    <row r="2739" spans="1:24" x14ac:dyDescent="0.3">
      <c r="A2739" t="s">
        <v>1112</v>
      </c>
      <c r="C2739" t="s">
        <v>2435</v>
      </c>
      <c r="D2739" s="1">
        <v>46055</v>
      </c>
      <c r="E2739" t="s">
        <v>2436</v>
      </c>
      <c r="F2739">
        <v>9</v>
      </c>
      <c r="G2739">
        <v>236</v>
      </c>
      <c r="H2739" t="str">
        <f>VLOOKUP(G2739,[1]OPERADORES!$A:$B,2,0)</f>
        <v>DANIEL</v>
      </c>
      <c r="I2739" t="s">
        <v>21</v>
      </c>
      <c r="J2739" t="s">
        <v>211</v>
      </c>
      <c r="K2739" t="s">
        <v>1115</v>
      </c>
      <c r="L2739">
        <v>10297</v>
      </c>
      <c r="M2739" t="s">
        <v>41</v>
      </c>
      <c r="O2739" t="s">
        <v>11</v>
      </c>
      <c r="P2739">
        <v>5102</v>
      </c>
      <c r="Q2739">
        <v>6</v>
      </c>
      <c r="R2739">
        <v>10.89</v>
      </c>
      <c r="S2739">
        <v>65.34</v>
      </c>
      <c r="T2739">
        <v>55.02</v>
      </c>
      <c r="U2739">
        <v>15.79</v>
      </c>
      <c r="V2739" t="str">
        <f>VLOOKUP(L2739,'[2]tabela de preços'!$A:$D,4,0)</f>
        <v>ANJO</v>
      </c>
      <c r="W2739" t="str">
        <f>VLOOKUP(L2739,'[2]tabela de preços'!$A:$F,6,0)</f>
        <v>THINNER DE LIMPEZA</v>
      </c>
      <c r="X2739" t="str">
        <f>VLOOKUP(L2739,'[2]tabela de preços'!$A:$G,7,0)</f>
        <v>THINNER</v>
      </c>
    </row>
    <row r="2740" spans="1:24" x14ac:dyDescent="0.3">
      <c r="A2740" t="s">
        <v>1112</v>
      </c>
      <c r="C2740" t="s">
        <v>2435</v>
      </c>
      <c r="D2740" s="1">
        <v>46055</v>
      </c>
      <c r="E2740" t="s">
        <v>2436</v>
      </c>
      <c r="F2740">
        <v>9</v>
      </c>
      <c r="G2740">
        <v>236</v>
      </c>
      <c r="H2740" t="str">
        <f>VLOOKUP(G2740,[1]OPERADORES!$A:$B,2,0)</f>
        <v>DANIEL</v>
      </c>
      <c r="I2740" t="s">
        <v>21</v>
      </c>
      <c r="J2740" t="s">
        <v>211</v>
      </c>
      <c r="K2740" t="s">
        <v>1115</v>
      </c>
      <c r="L2740">
        <v>20399</v>
      </c>
      <c r="M2740" t="s">
        <v>465</v>
      </c>
      <c r="O2740" t="s">
        <v>11</v>
      </c>
      <c r="P2740">
        <v>5403</v>
      </c>
      <c r="Q2740">
        <v>3</v>
      </c>
      <c r="R2740">
        <v>36.090000000000003</v>
      </c>
      <c r="S2740">
        <v>108.27</v>
      </c>
      <c r="T2740">
        <v>80.34</v>
      </c>
      <c r="U2740">
        <v>25.8</v>
      </c>
      <c r="V2740" t="str">
        <f>VLOOKUP(L2740,'[2]tabela de preços'!$A:$D,4,0)</f>
        <v>SHERWIN WILLIAMS</v>
      </c>
      <c r="W2740" t="str">
        <f>VLOOKUP(L2740,'[2]tabela de preços'!$A:$F,6,0)</f>
        <v>VERNIZ AUTOMOTIVO</v>
      </c>
      <c r="X2740" t="str">
        <f>VLOOKUP(L2740,'[2]tabela de preços'!$A:$G,7,0)</f>
        <v>AUTOMOTIVO</v>
      </c>
    </row>
    <row r="2741" spans="1:24" x14ac:dyDescent="0.3">
      <c r="A2741" t="s">
        <v>1112</v>
      </c>
      <c r="C2741" t="s">
        <v>2627</v>
      </c>
      <c r="D2741" s="1">
        <v>46057</v>
      </c>
      <c r="E2741" t="s">
        <v>2628</v>
      </c>
      <c r="F2741">
        <v>9</v>
      </c>
      <c r="G2741">
        <v>236</v>
      </c>
      <c r="H2741" t="str">
        <f>VLOOKUP(G2741,[1]OPERADORES!$A:$B,2,0)</f>
        <v>DANIEL</v>
      </c>
      <c r="I2741" t="s">
        <v>21</v>
      </c>
      <c r="J2741" t="s">
        <v>211</v>
      </c>
      <c r="K2741" t="s">
        <v>1115</v>
      </c>
      <c r="L2741">
        <v>21078</v>
      </c>
      <c r="M2741" t="s">
        <v>141</v>
      </c>
      <c r="O2741" t="s">
        <v>11</v>
      </c>
      <c r="P2741">
        <v>5102</v>
      </c>
      <c r="Q2741">
        <v>6</v>
      </c>
      <c r="R2741">
        <v>22.89</v>
      </c>
      <c r="S2741">
        <v>137.34</v>
      </c>
      <c r="T2741">
        <v>111.96</v>
      </c>
      <c r="U2741">
        <v>18.48</v>
      </c>
      <c r="V2741" t="str">
        <f>VLOOKUP(L2741,'[2]tabela de preços'!$A:$D,4,0)</f>
        <v>SHERWIN WILLIAMS</v>
      </c>
      <c r="W2741" t="str">
        <f>VLOOKUP(L2741,'[2]tabela de preços'!$A:$F,6,0)</f>
        <v>MASSA POLIÉSTER</v>
      </c>
      <c r="X2741" t="str">
        <f>VLOOKUP(L2741,'[2]tabela de preços'!$A:$G,7,0)</f>
        <v>AUTOMOTIVO</v>
      </c>
    </row>
    <row r="2742" spans="1:24" x14ac:dyDescent="0.3">
      <c r="A2742" t="s">
        <v>1112</v>
      </c>
      <c r="C2742" t="s">
        <v>2627</v>
      </c>
      <c r="D2742" s="1">
        <v>46057</v>
      </c>
      <c r="E2742" t="s">
        <v>2628</v>
      </c>
      <c r="F2742">
        <v>9</v>
      </c>
      <c r="G2742">
        <v>236</v>
      </c>
      <c r="H2742" t="str">
        <f>VLOOKUP(G2742,[1]OPERADORES!$A:$B,2,0)</f>
        <v>DANIEL</v>
      </c>
      <c r="I2742" t="s">
        <v>21</v>
      </c>
      <c r="J2742" t="s">
        <v>211</v>
      </c>
      <c r="K2742" t="s">
        <v>1115</v>
      </c>
      <c r="L2742">
        <v>23267</v>
      </c>
      <c r="M2742" t="s">
        <v>164</v>
      </c>
      <c r="O2742" t="s">
        <v>11</v>
      </c>
      <c r="P2742">
        <v>5102</v>
      </c>
      <c r="Q2742">
        <v>6</v>
      </c>
      <c r="R2742">
        <v>22.89</v>
      </c>
      <c r="S2742">
        <v>137.34</v>
      </c>
      <c r="T2742">
        <v>117.24</v>
      </c>
      <c r="U2742">
        <v>14.64</v>
      </c>
      <c r="V2742" t="str">
        <f>VLOOKUP(L2742,'[2]tabela de preços'!$A:$D,4,0)</f>
        <v>ANJO</v>
      </c>
      <c r="W2742" t="str">
        <f>VLOOKUP(L2742,'[2]tabela de preços'!$A:$F,6,0)</f>
        <v>MASSA POLIÉSTER</v>
      </c>
      <c r="X2742" t="str">
        <f>VLOOKUP(L2742,'[2]tabela de preços'!$A:$G,7,0)</f>
        <v>AUTOMOTIVO</v>
      </c>
    </row>
    <row r="2743" spans="1:24" x14ac:dyDescent="0.3">
      <c r="A2743" t="s">
        <v>1125</v>
      </c>
      <c r="C2743" t="s">
        <v>2823</v>
      </c>
      <c r="D2743" s="1">
        <v>46062</v>
      </c>
      <c r="E2743" t="s">
        <v>2824</v>
      </c>
      <c r="F2743">
        <v>9</v>
      </c>
      <c r="G2743">
        <v>174</v>
      </c>
      <c r="H2743" t="str">
        <f>VLOOKUP(G2743,[1]OPERADORES!$A:$B,2,0)</f>
        <v>MIRIÃ LOBATO RODRIGUES</v>
      </c>
      <c r="I2743" t="s">
        <v>21</v>
      </c>
      <c r="J2743" t="s">
        <v>1128</v>
      </c>
      <c r="K2743" t="s">
        <v>1129</v>
      </c>
      <c r="L2743">
        <v>84335</v>
      </c>
      <c r="M2743" t="s">
        <v>269</v>
      </c>
      <c r="O2743" t="s">
        <v>11</v>
      </c>
      <c r="P2743">
        <v>5403</v>
      </c>
      <c r="Q2743">
        <v>5</v>
      </c>
      <c r="R2743">
        <v>59.98</v>
      </c>
      <c r="S2743">
        <v>299.89999999999998</v>
      </c>
      <c r="T2743">
        <v>253.25</v>
      </c>
      <c r="U2743">
        <v>15.56</v>
      </c>
      <c r="V2743" t="str">
        <f>VLOOKUP(L2743,'[2]tabela de preços'!$A:$D,4,0)</f>
        <v>BRASILUX</v>
      </c>
      <c r="W2743" t="str">
        <f>VLOOKUP(L2743,'[2]tabela de preços'!$A:$F,6,0)</f>
        <v>ESMALTES</v>
      </c>
      <c r="X2743" t="str">
        <f>VLOOKUP(L2743,'[2]tabela de preços'!$A:$G,7,0)</f>
        <v>INDUSTRIAL</v>
      </c>
    </row>
    <row r="2744" spans="1:24" x14ac:dyDescent="0.3">
      <c r="A2744" t="s">
        <v>1125</v>
      </c>
      <c r="C2744" t="s">
        <v>2823</v>
      </c>
      <c r="D2744" s="1">
        <v>46062</v>
      </c>
      <c r="E2744" t="s">
        <v>2824</v>
      </c>
      <c r="F2744">
        <v>9</v>
      </c>
      <c r="G2744">
        <v>174</v>
      </c>
      <c r="H2744" t="str">
        <f>VLOOKUP(G2744,[1]OPERADORES!$A:$B,2,0)</f>
        <v>MIRIÃ LOBATO RODRIGUES</v>
      </c>
      <c r="I2744" t="s">
        <v>21</v>
      </c>
      <c r="J2744" t="s">
        <v>1128</v>
      </c>
      <c r="K2744" t="s">
        <v>1129</v>
      </c>
      <c r="L2744">
        <v>84411</v>
      </c>
      <c r="M2744" t="s">
        <v>35</v>
      </c>
      <c r="O2744" t="s">
        <v>11</v>
      </c>
      <c r="P2744">
        <v>5102</v>
      </c>
      <c r="Q2744">
        <v>10</v>
      </c>
      <c r="R2744">
        <v>4.29</v>
      </c>
      <c r="S2744">
        <v>42.9</v>
      </c>
      <c r="T2744">
        <v>35.4</v>
      </c>
      <c r="U2744">
        <v>17.48</v>
      </c>
      <c r="V2744" t="str">
        <f>VLOOKUP(L2744,'[2]tabela de preços'!$A:$D,4,0)</f>
        <v>ADERE</v>
      </c>
      <c r="W2744" t="str">
        <f>VLOOKUP(L2744,'[2]tabela de preços'!$A:$F,6,0)</f>
        <v xml:space="preserve">FITA DE USO GERAL </v>
      </c>
      <c r="X2744" t="str">
        <f>VLOOKUP(L2744,'[2]tabela de preços'!$A:$G,7,0)</f>
        <v>IMOBILIÁRIO</v>
      </c>
    </row>
    <row r="2745" spans="1:24" x14ac:dyDescent="0.3">
      <c r="A2745" t="s">
        <v>1125</v>
      </c>
      <c r="C2745" t="s">
        <v>2823</v>
      </c>
      <c r="D2745" s="1">
        <v>46062</v>
      </c>
      <c r="E2745" t="s">
        <v>2824</v>
      </c>
      <c r="F2745">
        <v>9</v>
      </c>
      <c r="G2745">
        <v>174</v>
      </c>
      <c r="H2745" t="str">
        <f>VLOOKUP(G2745,[1]OPERADORES!$A:$B,2,0)</f>
        <v>MIRIÃ LOBATO RODRIGUES</v>
      </c>
      <c r="I2745" t="s">
        <v>21</v>
      </c>
      <c r="J2745" t="s">
        <v>1128</v>
      </c>
      <c r="K2745" t="s">
        <v>1129</v>
      </c>
      <c r="L2745">
        <v>85698</v>
      </c>
      <c r="M2745" t="s">
        <v>1946</v>
      </c>
      <c r="O2745" t="s">
        <v>11</v>
      </c>
      <c r="P2745">
        <v>5102</v>
      </c>
      <c r="Q2745">
        <v>1</v>
      </c>
      <c r="R2745">
        <v>129.9</v>
      </c>
      <c r="S2745">
        <v>129.9</v>
      </c>
      <c r="T2745">
        <v>103.86</v>
      </c>
      <c r="U2745">
        <v>20.05</v>
      </c>
      <c r="V2745" t="str">
        <f>VLOOKUP(L2745,'[2]tabela de preços'!$A:$D,4,0)</f>
        <v>SIMAPPEL</v>
      </c>
      <c r="W2745" t="str">
        <f>VLOOKUP(L2745,'[2]tabela de preços'!$A:$F,6,0)</f>
        <v>PAPELAO ONDULADO</v>
      </c>
      <c r="X2745" t="str">
        <f>VLOOKUP(L2745,'[2]tabela de preços'!$A:$G,7,0)</f>
        <v>IMOBILIÁRIO</v>
      </c>
    </row>
    <row r="2746" spans="1:24" x14ac:dyDescent="0.3">
      <c r="A2746" t="s">
        <v>1125</v>
      </c>
      <c r="C2746" t="s">
        <v>2823</v>
      </c>
      <c r="D2746" s="1">
        <v>46062</v>
      </c>
      <c r="E2746" t="s">
        <v>2824</v>
      </c>
      <c r="F2746">
        <v>9</v>
      </c>
      <c r="G2746">
        <v>174</v>
      </c>
      <c r="H2746" t="str">
        <f>VLOOKUP(G2746,[1]OPERADORES!$A:$B,2,0)</f>
        <v>MIRIÃ LOBATO RODRIGUES</v>
      </c>
      <c r="I2746" t="s">
        <v>21</v>
      </c>
      <c r="J2746" t="s">
        <v>1128</v>
      </c>
      <c r="K2746" t="s">
        <v>1129</v>
      </c>
      <c r="L2746">
        <v>84560</v>
      </c>
      <c r="M2746" t="s">
        <v>118</v>
      </c>
      <c r="O2746" t="s">
        <v>11</v>
      </c>
      <c r="P2746">
        <v>5102</v>
      </c>
      <c r="Q2746">
        <v>5</v>
      </c>
      <c r="R2746">
        <v>47.89</v>
      </c>
      <c r="S2746">
        <v>239.45</v>
      </c>
      <c r="T2746">
        <v>195.8</v>
      </c>
      <c r="U2746">
        <v>18.23</v>
      </c>
      <c r="V2746" t="str">
        <f>VLOOKUP(L2746,'[2]tabela de preços'!$A:$D,4,0)</f>
        <v>BRASILUX</v>
      </c>
      <c r="W2746" t="str">
        <f>VLOOKUP(L2746,'[2]tabela de preços'!$A:$F,6,0)</f>
        <v>THINNER DE LIMPEZA</v>
      </c>
      <c r="X2746" t="str">
        <f>VLOOKUP(L2746,'[2]tabela de preços'!$A:$G,7,0)</f>
        <v>THINNER</v>
      </c>
    </row>
    <row r="2747" spans="1:24" x14ac:dyDescent="0.3">
      <c r="A2747" t="s">
        <v>1135</v>
      </c>
      <c r="C2747" t="s">
        <v>2437</v>
      </c>
      <c r="D2747" s="1">
        <v>46055</v>
      </c>
      <c r="E2747" t="s">
        <v>2438</v>
      </c>
      <c r="F2747">
        <v>9</v>
      </c>
      <c r="G2747">
        <v>230</v>
      </c>
      <c r="H2747" t="str">
        <f>VLOOKUP(G2747,[1]OPERADORES!$A:$B,2,0)</f>
        <v>SÔNIA</v>
      </c>
      <c r="I2747" t="s">
        <v>1138</v>
      </c>
      <c r="J2747" t="s">
        <v>1139</v>
      </c>
      <c r="K2747" t="s">
        <v>1140</v>
      </c>
      <c r="L2747">
        <v>84325</v>
      </c>
      <c r="M2747" t="s">
        <v>678</v>
      </c>
      <c r="O2747" t="s">
        <v>11</v>
      </c>
      <c r="P2747">
        <v>6403</v>
      </c>
      <c r="Q2747">
        <v>1</v>
      </c>
      <c r="R2747">
        <v>85.8</v>
      </c>
      <c r="S2747">
        <v>85.8</v>
      </c>
      <c r="T2747">
        <v>52</v>
      </c>
      <c r="U2747">
        <v>39.39</v>
      </c>
      <c r="V2747" t="str">
        <f>VLOOKUP(L2747,'[2]tabela de preços'!$A:$D,4,0)</f>
        <v>BRASILUX</v>
      </c>
      <c r="W2747" t="str">
        <f>VLOOKUP(L2747,'[2]tabela de preços'!$A:$F,6,0)</f>
        <v>ESMALTES</v>
      </c>
      <c r="X2747" t="str">
        <f>VLOOKUP(L2747,'[2]tabela de preços'!$A:$G,7,0)</f>
        <v>INDUSTRIAL</v>
      </c>
    </row>
    <row r="2748" spans="1:24" x14ac:dyDescent="0.3">
      <c r="A2748" t="s">
        <v>1135</v>
      </c>
      <c r="C2748" t="s">
        <v>2437</v>
      </c>
      <c r="D2748" s="1">
        <v>46055</v>
      </c>
      <c r="E2748" t="s">
        <v>2438</v>
      </c>
      <c r="F2748">
        <v>9</v>
      </c>
      <c r="G2748">
        <v>230</v>
      </c>
      <c r="H2748" t="str">
        <f>VLOOKUP(G2748,[1]OPERADORES!$A:$B,2,0)</f>
        <v>SÔNIA</v>
      </c>
      <c r="I2748" t="s">
        <v>1138</v>
      </c>
      <c r="J2748" t="s">
        <v>1139</v>
      </c>
      <c r="K2748" t="s">
        <v>1140</v>
      </c>
      <c r="L2748">
        <v>84329</v>
      </c>
      <c r="M2748" t="s">
        <v>285</v>
      </c>
      <c r="O2748" t="s">
        <v>11</v>
      </c>
      <c r="P2748">
        <v>6403</v>
      </c>
      <c r="Q2748">
        <v>1</v>
      </c>
      <c r="R2748">
        <v>79.650000000000006</v>
      </c>
      <c r="S2748">
        <v>79.650000000000006</v>
      </c>
      <c r="T2748">
        <v>48.27</v>
      </c>
      <c r="U2748">
        <v>39.4</v>
      </c>
      <c r="V2748" t="str">
        <f>VLOOKUP(L2748,'[2]tabela de preços'!$A:$D,4,0)</f>
        <v>BRASILUX</v>
      </c>
      <c r="W2748" t="str">
        <f>VLOOKUP(L2748,'[2]tabela de preços'!$A:$F,6,0)</f>
        <v>ESMALTES</v>
      </c>
      <c r="X2748" t="str">
        <f>VLOOKUP(L2748,'[2]tabela de preços'!$A:$G,7,0)</f>
        <v>INDUSTRIAL</v>
      </c>
    </row>
    <row r="2749" spans="1:24" x14ac:dyDescent="0.3">
      <c r="A2749" t="s">
        <v>1135</v>
      </c>
      <c r="C2749" t="s">
        <v>2437</v>
      </c>
      <c r="D2749" s="1">
        <v>46055</v>
      </c>
      <c r="E2749" t="s">
        <v>2438</v>
      </c>
      <c r="F2749">
        <v>9</v>
      </c>
      <c r="G2749">
        <v>230</v>
      </c>
      <c r="H2749" t="str">
        <f>VLOOKUP(G2749,[1]OPERADORES!$A:$B,2,0)</f>
        <v>SÔNIA</v>
      </c>
      <c r="I2749" t="s">
        <v>1138</v>
      </c>
      <c r="J2749" t="s">
        <v>1139</v>
      </c>
      <c r="K2749" t="s">
        <v>1140</v>
      </c>
      <c r="L2749">
        <v>85499</v>
      </c>
      <c r="M2749" t="s">
        <v>1149</v>
      </c>
      <c r="O2749" t="s">
        <v>11</v>
      </c>
      <c r="P2749">
        <v>6403</v>
      </c>
      <c r="Q2749">
        <v>1</v>
      </c>
      <c r="R2749">
        <v>66.97</v>
      </c>
      <c r="S2749">
        <v>66.97</v>
      </c>
      <c r="T2749">
        <v>47.75</v>
      </c>
      <c r="U2749">
        <v>28.7</v>
      </c>
      <c r="V2749" t="str">
        <f>VLOOKUP(L2749,'[2]tabela de preços'!$A:$D,4,0)</f>
        <v>BRASILUX</v>
      </c>
      <c r="W2749" t="str">
        <f>VLOOKUP(L2749,'[2]tabela de preços'!$A:$F,6,0)</f>
        <v>ESMALTES</v>
      </c>
      <c r="X2749" t="str">
        <f>VLOOKUP(L2749,'[2]tabela de preços'!$A:$G,7,0)</f>
        <v>INDUSTRIAL</v>
      </c>
    </row>
    <row r="2750" spans="1:24" x14ac:dyDescent="0.3">
      <c r="A2750" t="s">
        <v>1135</v>
      </c>
      <c r="C2750" t="s">
        <v>2437</v>
      </c>
      <c r="D2750" s="1">
        <v>46055</v>
      </c>
      <c r="E2750" t="s">
        <v>2438</v>
      </c>
      <c r="F2750">
        <v>9</v>
      </c>
      <c r="G2750">
        <v>230</v>
      </c>
      <c r="H2750" t="str">
        <f>VLOOKUP(G2750,[1]OPERADORES!$A:$B,2,0)</f>
        <v>SÔNIA</v>
      </c>
      <c r="I2750" t="s">
        <v>1138</v>
      </c>
      <c r="J2750" t="s">
        <v>1139</v>
      </c>
      <c r="K2750" t="s">
        <v>1140</v>
      </c>
      <c r="L2750">
        <v>84347</v>
      </c>
      <c r="M2750" t="s">
        <v>1150</v>
      </c>
      <c r="O2750" t="s">
        <v>11</v>
      </c>
      <c r="P2750">
        <v>6403</v>
      </c>
      <c r="Q2750">
        <v>1</v>
      </c>
      <c r="R2750">
        <v>85.81</v>
      </c>
      <c r="S2750">
        <v>85.81</v>
      </c>
      <c r="T2750">
        <v>52</v>
      </c>
      <c r="U2750">
        <v>39.4</v>
      </c>
      <c r="V2750" t="str">
        <f>VLOOKUP(L2750,'[2]tabela de preços'!$A:$D,4,0)</f>
        <v>BRASILUX</v>
      </c>
      <c r="W2750" t="str">
        <f>VLOOKUP(L2750,'[2]tabela de preços'!$A:$F,6,0)</f>
        <v>ESMALTES</v>
      </c>
      <c r="X2750" t="str">
        <f>VLOOKUP(L2750,'[2]tabela de preços'!$A:$G,7,0)</f>
        <v>INDUSTRIAL</v>
      </c>
    </row>
    <row r="2751" spans="1:24" x14ac:dyDescent="0.3">
      <c r="A2751" t="s">
        <v>1135</v>
      </c>
      <c r="C2751" t="s">
        <v>2437</v>
      </c>
      <c r="D2751" s="1">
        <v>46055</v>
      </c>
      <c r="E2751" t="s">
        <v>2438</v>
      </c>
      <c r="F2751">
        <v>9</v>
      </c>
      <c r="G2751">
        <v>230</v>
      </c>
      <c r="H2751" t="str">
        <f>VLOOKUP(G2751,[1]OPERADORES!$A:$B,2,0)</f>
        <v>SÔNIA</v>
      </c>
      <c r="I2751" t="s">
        <v>1138</v>
      </c>
      <c r="J2751" t="s">
        <v>1139</v>
      </c>
      <c r="K2751" t="s">
        <v>1140</v>
      </c>
      <c r="L2751">
        <v>84014</v>
      </c>
      <c r="M2751" t="s">
        <v>1152</v>
      </c>
      <c r="O2751" t="s">
        <v>11</v>
      </c>
      <c r="P2751">
        <v>6102</v>
      </c>
      <c r="Q2751">
        <v>10</v>
      </c>
      <c r="R2751">
        <v>2.2000000000000002</v>
      </c>
      <c r="S2751">
        <v>22</v>
      </c>
      <c r="T2751">
        <v>16.7</v>
      </c>
      <c r="U2751">
        <v>24.09</v>
      </c>
      <c r="V2751" t="str">
        <f>VLOOKUP(L2751,'[2]tabela de preços'!$A:$D,4,0)</f>
        <v>3M</v>
      </c>
      <c r="W2751" t="str">
        <f>VLOOKUP(L2751,'[2]tabela de preços'!$A:$F,6,0)</f>
        <v>LIXA FERRO</v>
      </c>
      <c r="X2751" t="str">
        <f>VLOOKUP(L2751,'[2]tabela de preços'!$A:$G,7,0)</f>
        <v>IMOBILIÁRIO</v>
      </c>
    </row>
    <row r="2752" spans="1:24" x14ac:dyDescent="0.3">
      <c r="A2752" t="s">
        <v>1135</v>
      </c>
      <c r="C2752" t="s">
        <v>2437</v>
      </c>
      <c r="D2752" s="1">
        <v>46055</v>
      </c>
      <c r="E2752" t="s">
        <v>2438</v>
      </c>
      <c r="F2752">
        <v>9</v>
      </c>
      <c r="G2752">
        <v>230</v>
      </c>
      <c r="H2752" t="str">
        <f>VLOOKUP(G2752,[1]OPERADORES!$A:$B,2,0)</f>
        <v>SÔNIA</v>
      </c>
      <c r="I2752" t="s">
        <v>1138</v>
      </c>
      <c r="J2752" t="s">
        <v>1139</v>
      </c>
      <c r="K2752" t="s">
        <v>1140</v>
      </c>
      <c r="L2752">
        <v>10298</v>
      </c>
      <c r="M2752" t="s">
        <v>85</v>
      </c>
      <c r="O2752" t="s">
        <v>11</v>
      </c>
      <c r="P2752">
        <v>6102</v>
      </c>
      <c r="Q2752">
        <v>2</v>
      </c>
      <c r="R2752">
        <v>73.44</v>
      </c>
      <c r="S2752">
        <v>146.88</v>
      </c>
      <c r="T2752">
        <v>94.76</v>
      </c>
      <c r="U2752">
        <v>35.479999999999997</v>
      </c>
      <c r="V2752" t="str">
        <f>VLOOKUP(L2752,'[2]tabela de preços'!$A:$D,4,0)</f>
        <v>ANJO</v>
      </c>
      <c r="W2752" t="str">
        <f>VLOOKUP(L2752,'[2]tabela de preços'!$A:$F,6,0)</f>
        <v>THINNER DE LIMPEZA</v>
      </c>
      <c r="X2752" t="str">
        <f>VLOOKUP(L2752,'[2]tabela de preços'!$A:$G,7,0)</f>
        <v>THINNER</v>
      </c>
    </row>
    <row r="2753" spans="1:24" x14ac:dyDescent="0.3">
      <c r="A2753" t="s">
        <v>1135</v>
      </c>
      <c r="C2753" t="s">
        <v>2439</v>
      </c>
      <c r="D2753" s="1">
        <v>46055</v>
      </c>
      <c r="E2753" t="s">
        <v>2440</v>
      </c>
      <c r="F2753">
        <v>9</v>
      </c>
      <c r="G2753">
        <v>230</v>
      </c>
      <c r="H2753" t="str">
        <f>VLOOKUP(G2753,[1]OPERADORES!$A:$B,2,0)</f>
        <v>SÔNIA</v>
      </c>
      <c r="I2753" t="s">
        <v>1138</v>
      </c>
      <c r="J2753" t="s">
        <v>1139</v>
      </c>
      <c r="K2753" t="s">
        <v>1140</v>
      </c>
      <c r="L2753">
        <v>85135</v>
      </c>
      <c r="M2753" t="s">
        <v>1141</v>
      </c>
      <c r="O2753" t="s">
        <v>11</v>
      </c>
      <c r="P2753">
        <v>6403</v>
      </c>
      <c r="Q2753">
        <v>10</v>
      </c>
      <c r="R2753">
        <v>174.83</v>
      </c>
      <c r="S2753" s="2">
        <v>1748.3</v>
      </c>
      <c r="T2753">
        <v>934.91</v>
      </c>
      <c r="U2753">
        <v>46.52</v>
      </c>
      <c r="V2753" t="str">
        <f>VLOOKUP(L2753,'[2]tabela de preços'!$A:$D,4,0)</f>
        <v>BRASILUX</v>
      </c>
      <c r="W2753" t="str">
        <f>VLOOKUP(L2753,'[2]tabela de preços'!$A:$F,6,0)</f>
        <v>TINTA DE LABORATÓRIO</v>
      </c>
      <c r="X2753" t="str">
        <f>VLOOKUP(L2753,'[2]tabela de preços'!$A:$G,7,0)</f>
        <v>AUTOMOTIVO</v>
      </c>
    </row>
    <row r="2754" spans="1:24" x14ac:dyDescent="0.3">
      <c r="A2754" t="s">
        <v>1135</v>
      </c>
      <c r="C2754" t="s">
        <v>2439</v>
      </c>
      <c r="D2754" s="1">
        <v>46055</v>
      </c>
      <c r="E2754" t="s">
        <v>2440</v>
      </c>
      <c r="F2754">
        <v>9</v>
      </c>
      <c r="G2754">
        <v>230</v>
      </c>
      <c r="H2754" t="str">
        <f>VLOOKUP(G2754,[1]OPERADORES!$A:$B,2,0)</f>
        <v>SÔNIA</v>
      </c>
      <c r="I2754" t="s">
        <v>1138</v>
      </c>
      <c r="J2754" t="s">
        <v>1139</v>
      </c>
      <c r="K2754" t="s">
        <v>1140</v>
      </c>
      <c r="L2754">
        <v>85280</v>
      </c>
      <c r="M2754" t="s">
        <v>943</v>
      </c>
      <c r="O2754" t="s">
        <v>11</v>
      </c>
      <c r="P2754">
        <v>6102</v>
      </c>
      <c r="Q2754">
        <v>10</v>
      </c>
      <c r="R2754">
        <v>55.72</v>
      </c>
      <c r="S2754">
        <v>557.20000000000005</v>
      </c>
      <c r="T2754">
        <v>422.9</v>
      </c>
      <c r="U2754">
        <v>24.1</v>
      </c>
      <c r="V2754" t="str">
        <f>VLOOKUP(L2754,'[2]tabela de preços'!$A:$D,4,0)</f>
        <v>BRASILUX</v>
      </c>
      <c r="W2754" t="str">
        <f>VLOOKUP(L2754,'[2]tabela de preços'!$A:$F,6,0)</f>
        <v>CATALISADORES INDIVIDUAIS</v>
      </c>
      <c r="X2754" t="str">
        <f>VLOOKUP(L2754,'[2]tabela de preços'!$A:$G,7,0)</f>
        <v>IMOBILIÁRIO</v>
      </c>
    </row>
    <row r="2755" spans="1:24" x14ac:dyDescent="0.3">
      <c r="A2755" t="s">
        <v>1155</v>
      </c>
      <c r="C2755" t="s">
        <v>2629</v>
      </c>
      <c r="D2755" s="1">
        <v>46058</v>
      </c>
      <c r="E2755" t="s">
        <v>2630</v>
      </c>
      <c r="F2755">
        <v>9</v>
      </c>
      <c r="G2755">
        <v>174</v>
      </c>
      <c r="H2755" t="str">
        <f>VLOOKUP(G2755,[1]OPERADORES!$A:$B,2,0)</f>
        <v>MIRIÃ LOBATO RODRIGUES</v>
      </c>
      <c r="I2755" t="s">
        <v>21</v>
      </c>
      <c r="J2755" t="s">
        <v>211</v>
      </c>
      <c r="K2755" t="s">
        <v>1158</v>
      </c>
      <c r="L2755">
        <v>84385</v>
      </c>
      <c r="M2755" t="s">
        <v>2012</v>
      </c>
      <c r="O2755" t="s">
        <v>11</v>
      </c>
      <c r="P2755">
        <v>5403</v>
      </c>
      <c r="Q2755">
        <v>1</v>
      </c>
      <c r="R2755">
        <v>159.9</v>
      </c>
      <c r="S2755">
        <v>159.9</v>
      </c>
      <c r="T2755">
        <v>137.61000000000001</v>
      </c>
      <c r="U2755">
        <v>13.94</v>
      </c>
      <c r="V2755" t="str">
        <f>VLOOKUP(L2755,'[2]tabela de preços'!$A:$D,4,0)</f>
        <v>BRASILUX</v>
      </c>
      <c r="W2755" t="str">
        <f>VLOOKUP(L2755,'[2]tabela de preços'!$A:$F,6,0)</f>
        <v>TINTA PARA PISO</v>
      </c>
      <c r="X2755" t="str">
        <f>VLOOKUP(L2755,'[2]tabela de preços'!$A:$G,7,0)</f>
        <v>IMOBILIÁRIO</v>
      </c>
    </row>
    <row r="2756" spans="1:24" x14ac:dyDescent="0.3">
      <c r="A2756" t="s">
        <v>1155</v>
      </c>
      <c r="C2756" t="s">
        <v>2629</v>
      </c>
      <c r="D2756" s="1">
        <v>46058</v>
      </c>
      <c r="E2756" t="s">
        <v>2630</v>
      </c>
      <c r="F2756">
        <v>9</v>
      </c>
      <c r="G2756">
        <v>174</v>
      </c>
      <c r="H2756" t="str">
        <f>VLOOKUP(G2756,[1]OPERADORES!$A:$B,2,0)</f>
        <v>MIRIÃ LOBATO RODRIGUES</v>
      </c>
      <c r="I2756" t="s">
        <v>21</v>
      </c>
      <c r="J2756" t="s">
        <v>211</v>
      </c>
      <c r="K2756" t="s">
        <v>1158</v>
      </c>
      <c r="L2756">
        <v>20433</v>
      </c>
      <c r="M2756" t="s">
        <v>460</v>
      </c>
      <c r="O2756" t="s">
        <v>11</v>
      </c>
      <c r="P2756">
        <v>5102</v>
      </c>
      <c r="Q2756">
        <v>4</v>
      </c>
      <c r="R2756">
        <v>32.19</v>
      </c>
      <c r="S2756">
        <v>128.76</v>
      </c>
      <c r="T2756">
        <v>97.72</v>
      </c>
      <c r="U2756">
        <v>24.11</v>
      </c>
      <c r="V2756" t="str">
        <f>VLOOKUP(L2756,'[2]tabela de preços'!$A:$D,4,0)</f>
        <v>SHERWIN WILLIAMS</v>
      </c>
      <c r="W2756" t="str">
        <f>VLOOKUP(L2756,'[2]tabela de preços'!$A:$F,6,0)</f>
        <v>VERNIZ AUTOMOTIVO</v>
      </c>
      <c r="X2756" t="str">
        <f>VLOOKUP(L2756,'[2]tabela de preços'!$A:$G,7,0)</f>
        <v>AUTOMOTIVO</v>
      </c>
    </row>
    <row r="2757" spans="1:24" x14ac:dyDescent="0.3">
      <c r="A2757" t="s">
        <v>1155</v>
      </c>
      <c r="C2757" t="s">
        <v>2629</v>
      </c>
      <c r="D2757" s="1">
        <v>46058</v>
      </c>
      <c r="E2757" t="s">
        <v>2630</v>
      </c>
      <c r="F2757">
        <v>9</v>
      </c>
      <c r="G2757">
        <v>174</v>
      </c>
      <c r="H2757" t="str">
        <f>VLOOKUP(G2757,[1]OPERADORES!$A:$B,2,0)</f>
        <v>MIRIÃ LOBATO RODRIGUES</v>
      </c>
      <c r="I2757" t="s">
        <v>21</v>
      </c>
      <c r="J2757" t="s">
        <v>211</v>
      </c>
      <c r="K2757" t="s">
        <v>1158</v>
      </c>
      <c r="L2757">
        <v>22188</v>
      </c>
      <c r="M2757" t="s">
        <v>78</v>
      </c>
      <c r="O2757" t="s">
        <v>11</v>
      </c>
      <c r="P2757">
        <v>5102</v>
      </c>
      <c r="Q2757">
        <v>2</v>
      </c>
      <c r="R2757">
        <v>14.35</v>
      </c>
      <c r="S2757">
        <v>28.7</v>
      </c>
      <c r="T2757">
        <v>21.78</v>
      </c>
      <c r="U2757">
        <v>24.11</v>
      </c>
      <c r="V2757" t="str">
        <f>VLOOKUP(L2757,'[2]tabela de preços'!$A:$D,4,0)</f>
        <v>3M</v>
      </c>
      <c r="W2757" t="str">
        <f>VLOOKUP(L2757,'[2]tabela de preços'!$A:$F,6,0)</f>
        <v>FITA AUTOMOTIVA</v>
      </c>
      <c r="X2757" t="str">
        <f>VLOOKUP(L2757,'[2]tabela de preços'!$A:$G,7,0)</f>
        <v>AUTOMOTIVO</v>
      </c>
    </row>
    <row r="2758" spans="1:24" x14ac:dyDescent="0.3">
      <c r="A2758" t="s">
        <v>1155</v>
      </c>
      <c r="C2758" t="s">
        <v>2629</v>
      </c>
      <c r="D2758" s="1">
        <v>46058</v>
      </c>
      <c r="E2758" t="s">
        <v>2630</v>
      </c>
      <c r="F2758">
        <v>9</v>
      </c>
      <c r="G2758">
        <v>174</v>
      </c>
      <c r="H2758" t="str">
        <f>VLOOKUP(G2758,[1]OPERADORES!$A:$B,2,0)</f>
        <v>MIRIÃ LOBATO RODRIGUES</v>
      </c>
      <c r="I2758" t="s">
        <v>21</v>
      </c>
      <c r="J2758" t="s">
        <v>211</v>
      </c>
      <c r="K2758" t="s">
        <v>1158</v>
      </c>
      <c r="L2758">
        <v>23364</v>
      </c>
      <c r="M2758" t="s">
        <v>55</v>
      </c>
      <c r="O2758" t="s">
        <v>11</v>
      </c>
      <c r="P2758">
        <v>5102</v>
      </c>
      <c r="Q2758">
        <v>2</v>
      </c>
      <c r="R2758">
        <v>6.19</v>
      </c>
      <c r="S2758">
        <v>12.38</v>
      </c>
      <c r="T2758">
        <v>9.82</v>
      </c>
      <c r="U2758">
        <v>20.68</v>
      </c>
      <c r="V2758" t="str">
        <f>VLOOKUP(L2758,'[2]tabela de preços'!$A:$D,4,0)</f>
        <v>AUTO AMERICA</v>
      </c>
      <c r="W2758" t="str">
        <f>VLOOKUP(L2758,'[2]tabela de preços'!$A:$F,6,0)</f>
        <v>FLANELAS / PANOS</v>
      </c>
      <c r="X2758" t="str">
        <f>VLOOKUP(L2758,'[2]tabela de preços'!$A:$G,7,0)</f>
        <v>AUTOMOTIVO</v>
      </c>
    </row>
    <row r="2759" spans="1:24" x14ac:dyDescent="0.3">
      <c r="A2759" t="s">
        <v>1155</v>
      </c>
      <c r="C2759" t="s">
        <v>2629</v>
      </c>
      <c r="D2759" s="1">
        <v>46058</v>
      </c>
      <c r="E2759" t="s">
        <v>2630</v>
      </c>
      <c r="F2759">
        <v>9</v>
      </c>
      <c r="G2759">
        <v>174</v>
      </c>
      <c r="H2759" t="str">
        <f>VLOOKUP(G2759,[1]OPERADORES!$A:$B,2,0)</f>
        <v>MIRIÃ LOBATO RODRIGUES</v>
      </c>
      <c r="I2759" t="s">
        <v>21</v>
      </c>
      <c r="J2759" t="s">
        <v>211</v>
      </c>
      <c r="K2759" t="s">
        <v>1158</v>
      </c>
      <c r="L2759">
        <v>20472</v>
      </c>
      <c r="M2759" t="s">
        <v>709</v>
      </c>
      <c r="O2759" t="s">
        <v>11</v>
      </c>
      <c r="P2759">
        <v>5403</v>
      </c>
      <c r="Q2759">
        <v>1</v>
      </c>
      <c r="R2759">
        <v>37.880000000000003</v>
      </c>
      <c r="S2759">
        <v>37.880000000000003</v>
      </c>
      <c r="T2759">
        <v>25.51</v>
      </c>
      <c r="U2759">
        <v>32.659999999999997</v>
      </c>
      <c r="V2759" t="str">
        <f>VLOOKUP(L2759,'[2]tabela de preços'!$A:$D,4,0)</f>
        <v>SHERWIN WILLIAMS</v>
      </c>
      <c r="W2759" t="str">
        <f>VLOOKUP(L2759,'[2]tabela de preços'!$A:$F,6,0)</f>
        <v>TINTAS POLIÉSTER</v>
      </c>
      <c r="X2759" t="str">
        <f>VLOOKUP(L2759,'[2]tabela de preços'!$A:$G,7,0)</f>
        <v>AUTOMOTIVO</v>
      </c>
    </row>
    <row r="2760" spans="1:24" x14ac:dyDescent="0.3">
      <c r="A2760" t="s">
        <v>1155</v>
      </c>
      <c r="C2760" t="s">
        <v>2629</v>
      </c>
      <c r="D2760" s="1">
        <v>46058</v>
      </c>
      <c r="E2760" t="s">
        <v>2630</v>
      </c>
      <c r="F2760">
        <v>9</v>
      </c>
      <c r="G2760">
        <v>174</v>
      </c>
      <c r="H2760" t="str">
        <f>VLOOKUP(G2760,[1]OPERADORES!$A:$B,2,0)</f>
        <v>MIRIÃ LOBATO RODRIGUES</v>
      </c>
      <c r="I2760" t="s">
        <v>21</v>
      </c>
      <c r="J2760" t="s">
        <v>211</v>
      </c>
      <c r="K2760" t="s">
        <v>1158</v>
      </c>
      <c r="L2760">
        <v>16</v>
      </c>
      <c r="M2760" t="s">
        <v>122</v>
      </c>
      <c r="O2760" t="s">
        <v>11</v>
      </c>
      <c r="P2760">
        <v>5102</v>
      </c>
      <c r="Q2760">
        <v>2</v>
      </c>
      <c r="R2760">
        <v>3.07</v>
      </c>
      <c r="S2760">
        <v>6.14</v>
      </c>
      <c r="T2760">
        <v>4.4000000000000004</v>
      </c>
      <c r="U2760">
        <v>28.34</v>
      </c>
      <c r="V2760" t="str">
        <f>VLOOKUP(L2760,'[2]tabela de preços'!$A:$D,4,0)</f>
        <v>3M</v>
      </c>
      <c r="W2760" t="str">
        <f>VLOOKUP(L2760,'[2]tabela de preços'!$A:$F,6,0)</f>
        <v>LIXA DÁGUA</v>
      </c>
      <c r="X2760" t="str">
        <f>VLOOKUP(L2760,'[2]tabela de preços'!$A:$G,7,0)</f>
        <v>AUTOMOTIVO</v>
      </c>
    </row>
    <row r="2761" spans="1:24" x14ac:dyDescent="0.3">
      <c r="A2761" t="s">
        <v>1155</v>
      </c>
      <c r="C2761" t="s">
        <v>2629</v>
      </c>
      <c r="D2761" s="1">
        <v>46058</v>
      </c>
      <c r="E2761" t="s">
        <v>2630</v>
      </c>
      <c r="F2761">
        <v>9</v>
      </c>
      <c r="G2761">
        <v>174</v>
      </c>
      <c r="H2761" t="str">
        <f>VLOOKUP(G2761,[1]OPERADORES!$A:$B,2,0)</f>
        <v>MIRIÃ LOBATO RODRIGUES</v>
      </c>
      <c r="I2761" t="s">
        <v>21</v>
      </c>
      <c r="J2761" t="s">
        <v>211</v>
      </c>
      <c r="K2761" t="s">
        <v>1158</v>
      </c>
      <c r="L2761">
        <v>20414</v>
      </c>
      <c r="M2761" t="s">
        <v>112</v>
      </c>
      <c r="O2761" t="s">
        <v>11</v>
      </c>
      <c r="P2761">
        <v>5102</v>
      </c>
      <c r="Q2761">
        <v>2</v>
      </c>
      <c r="R2761">
        <v>21.89</v>
      </c>
      <c r="S2761">
        <v>43.78</v>
      </c>
      <c r="T2761">
        <v>36</v>
      </c>
      <c r="U2761">
        <v>17.77</v>
      </c>
      <c r="V2761" t="str">
        <f>VLOOKUP(L2761,'[2]tabela de preços'!$A:$D,4,0)</f>
        <v>SHERWIN WILLIAMS</v>
      </c>
      <c r="W2761" t="str">
        <f>VLOOKUP(L2761,'[2]tabela de preços'!$A:$F,6,0)</f>
        <v>DILUENTE</v>
      </c>
      <c r="X2761" t="str">
        <f>VLOOKUP(L2761,'[2]tabela de preços'!$A:$G,7,0)</f>
        <v>AUTOMOTIVO</v>
      </c>
    </row>
    <row r="2762" spans="1:24" x14ac:dyDescent="0.3">
      <c r="A2762" t="s">
        <v>1155</v>
      </c>
      <c r="C2762" t="s">
        <v>2629</v>
      </c>
      <c r="D2762" s="1">
        <v>46058</v>
      </c>
      <c r="E2762" t="s">
        <v>2630</v>
      </c>
      <c r="F2762">
        <v>9</v>
      </c>
      <c r="G2762">
        <v>174</v>
      </c>
      <c r="H2762" t="str">
        <f>VLOOKUP(G2762,[1]OPERADORES!$A:$B,2,0)</f>
        <v>MIRIÃ LOBATO RODRIGUES</v>
      </c>
      <c r="I2762" t="s">
        <v>21</v>
      </c>
      <c r="J2762" t="s">
        <v>211</v>
      </c>
      <c r="K2762" t="s">
        <v>1158</v>
      </c>
      <c r="L2762">
        <v>85043</v>
      </c>
      <c r="M2762" t="s">
        <v>1841</v>
      </c>
      <c r="O2762" t="s">
        <v>11</v>
      </c>
      <c r="P2762">
        <v>5102</v>
      </c>
      <c r="Q2762">
        <v>2</v>
      </c>
      <c r="R2762">
        <v>3.69</v>
      </c>
      <c r="S2762">
        <v>7.38</v>
      </c>
      <c r="T2762">
        <v>5.4</v>
      </c>
      <c r="U2762">
        <v>26.83</v>
      </c>
      <c r="V2762" t="str">
        <f>VLOOKUP(L2762,'[2]tabela de preços'!$A:$D,4,0)</f>
        <v>ATLAS</v>
      </c>
      <c r="W2762" t="str">
        <f>VLOOKUP(L2762,'[2]tabela de preços'!$A:$F,6,0)</f>
        <v>ROLOS / TRINCHAS / PINCÉIS / ESPÁTULAS</v>
      </c>
      <c r="X2762" t="str">
        <f>VLOOKUP(L2762,'[2]tabela de preços'!$A:$G,7,0)</f>
        <v>IMOBILIÁRIO</v>
      </c>
    </row>
    <row r="2763" spans="1:24" x14ac:dyDescent="0.3">
      <c r="A2763" t="s">
        <v>1155</v>
      </c>
      <c r="C2763" t="s">
        <v>2629</v>
      </c>
      <c r="D2763" s="1">
        <v>46058</v>
      </c>
      <c r="E2763" t="s">
        <v>2630</v>
      </c>
      <c r="F2763">
        <v>9</v>
      </c>
      <c r="G2763">
        <v>174</v>
      </c>
      <c r="H2763" t="str">
        <f>VLOOKUP(G2763,[1]OPERADORES!$A:$B,2,0)</f>
        <v>MIRIÃ LOBATO RODRIGUES</v>
      </c>
      <c r="I2763" t="s">
        <v>21</v>
      </c>
      <c r="J2763" t="s">
        <v>211</v>
      </c>
      <c r="K2763" t="s">
        <v>1158</v>
      </c>
      <c r="L2763">
        <v>20399</v>
      </c>
      <c r="M2763" t="s">
        <v>465</v>
      </c>
      <c r="O2763" t="s">
        <v>11</v>
      </c>
      <c r="P2763">
        <v>5403</v>
      </c>
      <c r="Q2763">
        <v>4</v>
      </c>
      <c r="R2763">
        <v>35.26</v>
      </c>
      <c r="S2763">
        <v>141.04</v>
      </c>
      <c r="T2763">
        <v>107.12</v>
      </c>
      <c r="U2763">
        <v>24.05</v>
      </c>
      <c r="V2763" t="str">
        <f>VLOOKUP(L2763,'[2]tabela de preços'!$A:$D,4,0)</f>
        <v>SHERWIN WILLIAMS</v>
      </c>
      <c r="W2763" t="str">
        <f>VLOOKUP(L2763,'[2]tabela de preços'!$A:$F,6,0)</f>
        <v>VERNIZ AUTOMOTIVO</v>
      </c>
      <c r="X2763" t="str">
        <f>VLOOKUP(L2763,'[2]tabela de preços'!$A:$G,7,0)</f>
        <v>AUTOMOTIVO</v>
      </c>
    </row>
    <row r="2764" spans="1:24" x14ac:dyDescent="0.3">
      <c r="A2764" t="s">
        <v>1170</v>
      </c>
      <c r="C2764" t="s">
        <v>2513</v>
      </c>
      <c r="D2764" s="1">
        <v>46056</v>
      </c>
      <c r="E2764" t="s">
        <v>2514</v>
      </c>
      <c r="F2764">
        <v>9</v>
      </c>
      <c r="G2764">
        <v>174</v>
      </c>
      <c r="H2764" t="str">
        <f>VLOOKUP(G2764,[1]OPERADORES!$A:$B,2,0)</f>
        <v>MIRIÃ LOBATO RODRIGUES</v>
      </c>
      <c r="I2764" t="s">
        <v>21</v>
      </c>
      <c r="J2764" t="s">
        <v>1173</v>
      </c>
      <c r="K2764" t="s">
        <v>1174</v>
      </c>
      <c r="L2764">
        <v>22684</v>
      </c>
      <c r="M2764" t="s">
        <v>73</v>
      </c>
      <c r="O2764" t="s">
        <v>11</v>
      </c>
      <c r="P2764">
        <v>5102</v>
      </c>
      <c r="Q2764">
        <v>160</v>
      </c>
      <c r="R2764">
        <v>3.65</v>
      </c>
      <c r="S2764">
        <v>584</v>
      </c>
      <c r="T2764">
        <v>492.8</v>
      </c>
      <c r="U2764">
        <v>15.62</v>
      </c>
      <c r="V2764" t="str">
        <f>VLOOKUP(L2764,'[2]tabela de preços'!$A:$D,4,0)</f>
        <v>3M</v>
      </c>
      <c r="W2764" t="str">
        <f>VLOOKUP(L2764,'[2]tabela de preços'!$A:$F,6,0)</f>
        <v>FITA AUTOMOTIVA</v>
      </c>
      <c r="X2764" t="str">
        <f>VLOOKUP(L2764,'[2]tabela de preços'!$A:$G,7,0)</f>
        <v>AUTOMOTIVO</v>
      </c>
    </row>
    <row r="2765" spans="1:24" x14ac:dyDescent="0.3">
      <c r="A2765" t="s">
        <v>1170</v>
      </c>
      <c r="C2765" t="s">
        <v>2513</v>
      </c>
      <c r="D2765" s="1">
        <v>46056</v>
      </c>
      <c r="E2765" t="s">
        <v>2514</v>
      </c>
      <c r="F2765">
        <v>9</v>
      </c>
      <c r="G2765">
        <v>174</v>
      </c>
      <c r="H2765" t="str">
        <f>VLOOKUP(G2765,[1]OPERADORES!$A:$B,2,0)</f>
        <v>MIRIÃ LOBATO RODRIGUES</v>
      </c>
      <c r="I2765" t="s">
        <v>21</v>
      </c>
      <c r="J2765" t="s">
        <v>1173</v>
      </c>
      <c r="K2765" t="s">
        <v>1174</v>
      </c>
      <c r="L2765">
        <v>23076</v>
      </c>
      <c r="M2765" t="s">
        <v>97</v>
      </c>
      <c r="O2765" t="s">
        <v>11</v>
      </c>
      <c r="P2765">
        <v>5403</v>
      </c>
      <c r="Q2765">
        <v>12</v>
      </c>
      <c r="R2765">
        <v>34.89</v>
      </c>
      <c r="S2765">
        <v>418.68</v>
      </c>
      <c r="T2765">
        <v>318.36</v>
      </c>
      <c r="U2765">
        <v>23.96</v>
      </c>
      <c r="V2765" t="str">
        <f>VLOOKUP(L2765,'[2]tabela de preços'!$A:$D,4,0)</f>
        <v>WANDA</v>
      </c>
      <c r="W2765" t="str">
        <f>VLOOKUP(L2765,'[2]tabela de preços'!$A:$F,6,0)</f>
        <v>PRIMER AUTOMOTIVO</v>
      </c>
      <c r="X2765" t="str">
        <f>VLOOKUP(L2765,'[2]tabela de preços'!$A:$G,7,0)</f>
        <v>AUTOMOTIVO</v>
      </c>
    </row>
    <row r="2766" spans="1:24" x14ac:dyDescent="0.3">
      <c r="A2766" t="s">
        <v>1170</v>
      </c>
      <c r="C2766" t="s">
        <v>2513</v>
      </c>
      <c r="D2766" s="1">
        <v>46056</v>
      </c>
      <c r="E2766" t="s">
        <v>2514</v>
      </c>
      <c r="F2766">
        <v>9</v>
      </c>
      <c r="G2766">
        <v>174</v>
      </c>
      <c r="H2766" t="str">
        <f>VLOOKUP(G2766,[1]OPERADORES!$A:$B,2,0)</f>
        <v>MIRIÃ LOBATO RODRIGUES</v>
      </c>
      <c r="I2766" t="s">
        <v>21</v>
      </c>
      <c r="J2766" t="s">
        <v>1173</v>
      </c>
      <c r="K2766" t="s">
        <v>1174</v>
      </c>
      <c r="L2766">
        <v>16</v>
      </c>
      <c r="M2766" t="s">
        <v>122</v>
      </c>
      <c r="O2766" t="s">
        <v>11</v>
      </c>
      <c r="P2766">
        <v>5102</v>
      </c>
      <c r="Q2766">
        <v>50</v>
      </c>
      <c r="R2766">
        <v>2.9</v>
      </c>
      <c r="S2766">
        <v>145</v>
      </c>
      <c r="T2766">
        <v>110</v>
      </c>
      <c r="U2766">
        <v>24.14</v>
      </c>
      <c r="V2766" t="str">
        <f>VLOOKUP(L2766,'[2]tabela de preços'!$A:$D,4,0)</f>
        <v>3M</v>
      </c>
      <c r="W2766" t="str">
        <f>VLOOKUP(L2766,'[2]tabela de preços'!$A:$F,6,0)</f>
        <v>LIXA DÁGUA</v>
      </c>
      <c r="X2766" t="str">
        <f>VLOOKUP(L2766,'[2]tabela de preços'!$A:$G,7,0)</f>
        <v>AUTOMOTIVO</v>
      </c>
    </row>
    <row r="2767" spans="1:24" x14ac:dyDescent="0.3">
      <c r="A2767" t="s">
        <v>1170</v>
      </c>
      <c r="C2767" t="s">
        <v>2513</v>
      </c>
      <c r="D2767" s="1">
        <v>46056</v>
      </c>
      <c r="E2767" t="s">
        <v>2514</v>
      </c>
      <c r="F2767">
        <v>9</v>
      </c>
      <c r="G2767">
        <v>174</v>
      </c>
      <c r="H2767" t="str">
        <f>VLOOKUP(G2767,[1]OPERADORES!$A:$B,2,0)</f>
        <v>MIRIÃ LOBATO RODRIGUES</v>
      </c>
      <c r="I2767" t="s">
        <v>21</v>
      </c>
      <c r="J2767" t="s">
        <v>1173</v>
      </c>
      <c r="K2767" t="s">
        <v>1174</v>
      </c>
      <c r="L2767">
        <v>9997</v>
      </c>
      <c r="M2767" t="s">
        <v>2487</v>
      </c>
      <c r="O2767" t="s">
        <v>11</v>
      </c>
      <c r="P2767">
        <v>5102</v>
      </c>
      <c r="Q2767">
        <v>3</v>
      </c>
      <c r="R2767">
        <v>41.04</v>
      </c>
      <c r="S2767">
        <v>123.12</v>
      </c>
      <c r="T2767">
        <v>93.45</v>
      </c>
      <c r="U2767">
        <v>24.1</v>
      </c>
      <c r="V2767" t="str">
        <f>VLOOKUP(L2767,'[2]tabela de preços'!$A:$D,4,0)</f>
        <v>SIKKENS</v>
      </c>
      <c r="W2767" t="str">
        <f>VLOOKUP(L2767,'[2]tabela de preços'!$A:$F,6,0)</f>
        <v>DILUENTE</v>
      </c>
      <c r="X2767" t="str">
        <f>VLOOKUP(L2767,'[2]tabela de preços'!$A:$G,7,0)</f>
        <v>AUTOMOTIVO</v>
      </c>
    </row>
    <row r="2768" spans="1:24" x14ac:dyDescent="0.3">
      <c r="A2768" t="s">
        <v>2515</v>
      </c>
      <c r="C2768" t="s">
        <v>2516</v>
      </c>
      <c r="D2768" s="1">
        <v>46056</v>
      </c>
      <c r="E2768" t="s">
        <v>2517</v>
      </c>
      <c r="F2768">
        <v>9</v>
      </c>
      <c r="G2768">
        <v>197</v>
      </c>
      <c r="H2768" t="str">
        <f>VLOOKUP(G2768,[1]OPERADORES!$A:$B,2,0)</f>
        <v xml:space="preserve">POLIANA LORRANE DE AMORIM </v>
      </c>
      <c r="I2768" t="s">
        <v>21</v>
      </c>
      <c r="J2768" t="s">
        <v>357</v>
      </c>
      <c r="K2768" t="s">
        <v>2518</v>
      </c>
      <c r="L2768">
        <v>84500</v>
      </c>
      <c r="M2768" t="s">
        <v>2424</v>
      </c>
      <c r="O2768" t="s">
        <v>11</v>
      </c>
      <c r="P2768">
        <v>5102</v>
      </c>
      <c r="Q2768">
        <v>1</v>
      </c>
      <c r="R2768">
        <v>195.25</v>
      </c>
      <c r="S2768">
        <v>195.25</v>
      </c>
      <c r="T2768">
        <v>148.19999999999999</v>
      </c>
      <c r="U2768">
        <v>24.1</v>
      </c>
      <c r="V2768" t="str">
        <f>VLOOKUP(L2768,'[2]tabela de preços'!$A:$D,4,0)</f>
        <v>BRASILUX</v>
      </c>
      <c r="W2768" t="str">
        <f>VLOOKUP(L2768,'[2]tabela de preços'!$A:$F,6,0)</f>
        <v>AGUARRAS</v>
      </c>
      <c r="X2768" t="str">
        <f>VLOOKUP(L2768,'[2]tabela de preços'!$A:$G,7,0)</f>
        <v>IMOBILIÁRIO</v>
      </c>
    </row>
    <row r="2769" spans="1:24" x14ac:dyDescent="0.3">
      <c r="A2769" t="s">
        <v>2515</v>
      </c>
      <c r="C2769" t="s">
        <v>2516</v>
      </c>
      <c r="D2769" s="1">
        <v>46056</v>
      </c>
      <c r="E2769" t="s">
        <v>2517</v>
      </c>
      <c r="F2769">
        <v>9</v>
      </c>
      <c r="G2769">
        <v>197</v>
      </c>
      <c r="H2769" t="str">
        <f>VLOOKUP(G2769,[1]OPERADORES!$A:$B,2,0)</f>
        <v xml:space="preserve">POLIANA LORRANE DE AMORIM </v>
      </c>
      <c r="I2769" t="s">
        <v>21</v>
      </c>
      <c r="J2769" t="s">
        <v>357</v>
      </c>
      <c r="K2769" t="s">
        <v>2518</v>
      </c>
      <c r="L2769">
        <v>84560</v>
      </c>
      <c r="M2769" t="s">
        <v>118</v>
      </c>
      <c r="O2769" t="s">
        <v>11</v>
      </c>
      <c r="P2769">
        <v>5102</v>
      </c>
      <c r="Q2769">
        <v>4</v>
      </c>
      <c r="R2769">
        <v>47.89</v>
      </c>
      <c r="S2769">
        <v>191.56</v>
      </c>
      <c r="T2769">
        <v>156.63999999999999</v>
      </c>
      <c r="U2769">
        <v>18.23</v>
      </c>
      <c r="V2769" t="str">
        <f>VLOOKUP(L2769,'[2]tabela de preços'!$A:$D,4,0)</f>
        <v>BRASILUX</v>
      </c>
      <c r="W2769" t="str">
        <f>VLOOKUP(L2769,'[2]tabela de preços'!$A:$F,6,0)</f>
        <v>THINNER DE LIMPEZA</v>
      </c>
      <c r="X2769" t="str">
        <f>VLOOKUP(L2769,'[2]tabela de preços'!$A:$G,7,0)</f>
        <v>THINNER</v>
      </c>
    </row>
    <row r="2770" spans="1:24" x14ac:dyDescent="0.3">
      <c r="A2770" t="s">
        <v>2631</v>
      </c>
      <c r="C2770" t="s">
        <v>2632</v>
      </c>
      <c r="D2770" s="1">
        <v>46058</v>
      </c>
      <c r="E2770" t="s">
        <v>2633</v>
      </c>
      <c r="F2770">
        <v>9</v>
      </c>
      <c r="G2770">
        <v>174</v>
      </c>
      <c r="H2770" t="str">
        <f>VLOOKUP(G2770,[1]OPERADORES!$A:$B,2,0)</f>
        <v>MIRIÃ LOBATO RODRIGUES</v>
      </c>
      <c r="I2770" t="s">
        <v>715</v>
      </c>
      <c r="J2770" t="s">
        <v>2634</v>
      </c>
      <c r="K2770" t="s">
        <v>2635</v>
      </c>
      <c r="L2770">
        <v>20817</v>
      </c>
      <c r="M2770" t="s">
        <v>153</v>
      </c>
      <c r="O2770" t="s">
        <v>11</v>
      </c>
      <c r="P2770">
        <v>6102</v>
      </c>
      <c r="Q2770">
        <v>24</v>
      </c>
      <c r="R2770">
        <v>22.89</v>
      </c>
      <c r="S2770">
        <v>549.36</v>
      </c>
      <c r="T2770">
        <v>446.88</v>
      </c>
      <c r="U2770">
        <v>18.649999999999999</v>
      </c>
      <c r="V2770" t="str">
        <f>VLOOKUP(L2770,'[2]tabela de preços'!$A:$D,4,0)</f>
        <v>AUTO AMERICA</v>
      </c>
      <c r="W2770" t="str">
        <f>VLOOKUP(L2770,'[2]tabela de preços'!$A:$F,6,0)</f>
        <v>MASSA DE POLIR</v>
      </c>
      <c r="X2770" t="str">
        <f>VLOOKUP(L2770,'[2]tabela de preços'!$A:$G,7,0)</f>
        <v>AUTOMOTIVO</v>
      </c>
    </row>
    <row r="2771" spans="1:24" x14ac:dyDescent="0.3">
      <c r="A2771" t="s">
        <v>2631</v>
      </c>
      <c r="C2771" t="s">
        <v>2632</v>
      </c>
      <c r="D2771" s="1">
        <v>46058</v>
      </c>
      <c r="E2771" t="s">
        <v>2633</v>
      </c>
      <c r="F2771">
        <v>9</v>
      </c>
      <c r="G2771">
        <v>174</v>
      </c>
      <c r="H2771" t="str">
        <f>VLOOKUP(G2771,[1]OPERADORES!$A:$B,2,0)</f>
        <v>MIRIÃ LOBATO RODRIGUES</v>
      </c>
      <c r="I2771" t="s">
        <v>715</v>
      </c>
      <c r="J2771" t="s">
        <v>2634</v>
      </c>
      <c r="K2771" t="s">
        <v>2635</v>
      </c>
      <c r="L2771">
        <v>84560</v>
      </c>
      <c r="M2771" t="s">
        <v>118</v>
      </c>
      <c r="O2771" t="s">
        <v>11</v>
      </c>
      <c r="P2771">
        <v>6102</v>
      </c>
      <c r="Q2771">
        <v>32</v>
      </c>
      <c r="R2771">
        <v>47.89</v>
      </c>
      <c r="S2771" s="2">
        <v>1532.48</v>
      </c>
      <c r="T2771" s="2">
        <v>1253.1199999999999</v>
      </c>
      <c r="U2771">
        <v>18.23</v>
      </c>
      <c r="V2771" t="str">
        <f>VLOOKUP(L2771,'[2]tabela de preços'!$A:$D,4,0)</f>
        <v>BRASILUX</v>
      </c>
      <c r="W2771" t="str">
        <f>VLOOKUP(L2771,'[2]tabela de preços'!$A:$F,6,0)</f>
        <v>THINNER DE LIMPEZA</v>
      </c>
      <c r="X2771" t="str">
        <f>VLOOKUP(L2771,'[2]tabela de preços'!$A:$G,7,0)</f>
        <v>THINNER</v>
      </c>
    </row>
    <row r="2772" spans="1:24" x14ac:dyDescent="0.3">
      <c r="A2772" t="s">
        <v>1222</v>
      </c>
      <c r="C2772" t="s">
        <v>2636</v>
      </c>
      <c r="D2772" s="1">
        <v>46057</v>
      </c>
      <c r="E2772" t="s">
        <v>2637</v>
      </c>
      <c r="F2772">
        <v>9</v>
      </c>
      <c r="G2772">
        <v>174</v>
      </c>
      <c r="H2772" t="str">
        <f>VLOOKUP(G2772,[1]OPERADORES!$A:$B,2,0)</f>
        <v>MIRIÃ LOBATO RODRIGUES</v>
      </c>
      <c r="I2772" t="s">
        <v>21</v>
      </c>
      <c r="J2772" t="s">
        <v>1225</v>
      </c>
      <c r="K2772" t="s">
        <v>1226</v>
      </c>
      <c r="L2772">
        <v>23076</v>
      </c>
      <c r="M2772" t="s">
        <v>97</v>
      </c>
      <c r="O2772" t="s">
        <v>11</v>
      </c>
      <c r="P2772">
        <v>5405</v>
      </c>
      <c r="Q2772">
        <v>12</v>
      </c>
      <c r="R2772">
        <v>34.89</v>
      </c>
      <c r="S2772">
        <v>418.68</v>
      </c>
      <c r="T2772">
        <v>318.36</v>
      </c>
      <c r="U2772">
        <v>23.96</v>
      </c>
      <c r="V2772" t="str">
        <f>VLOOKUP(L2772,'[2]tabela de preços'!$A:$D,4,0)</f>
        <v>WANDA</v>
      </c>
      <c r="W2772" t="str">
        <f>VLOOKUP(L2772,'[2]tabela de preços'!$A:$F,6,0)</f>
        <v>PRIMER AUTOMOTIVO</v>
      </c>
      <c r="X2772" t="str">
        <f>VLOOKUP(L2772,'[2]tabela de preços'!$A:$G,7,0)</f>
        <v>AUTOMOTIVO</v>
      </c>
    </row>
    <row r="2773" spans="1:24" x14ac:dyDescent="0.3">
      <c r="A2773" t="s">
        <v>1222</v>
      </c>
      <c r="C2773" t="s">
        <v>2636</v>
      </c>
      <c r="D2773" s="1">
        <v>46057</v>
      </c>
      <c r="E2773" t="s">
        <v>2637</v>
      </c>
      <c r="F2773">
        <v>9</v>
      </c>
      <c r="G2773">
        <v>174</v>
      </c>
      <c r="H2773" t="str">
        <f>VLOOKUP(G2773,[1]OPERADORES!$A:$B,2,0)</f>
        <v>MIRIÃ LOBATO RODRIGUES</v>
      </c>
      <c r="I2773" t="s">
        <v>21</v>
      </c>
      <c r="J2773" t="s">
        <v>1225</v>
      </c>
      <c r="K2773" t="s">
        <v>1226</v>
      </c>
      <c r="L2773">
        <v>23602</v>
      </c>
      <c r="M2773" t="s">
        <v>215</v>
      </c>
      <c r="O2773" t="s">
        <v>11</v>
      </c>
      <c r="P2773">
        <v>5405</v>
      </c>
      <c r="Q2773">
        <v>9</v>
      </c>
      <c r="R2773">
        <v>35.89</v>
      </c>
      <c r="S2773">
        <v>323.01</v>
      </c>
      <c r="T2773">
        <v>263.25</v>
      </c>
      <c r="U2773">
        <v>18.5</v>
      </c>
      <c r="V2773" t="str">
        <f>VLOOKUP(L2773,'[2]tabela de preços'!$A:$D,4,0)</f>
        <v>SHERWIN WILLIAMS</v>
      </c>
      <c r="W2773" t="str">
        <f>VLOOKUP(L2773,'[2]tabela de preços'!$A:$F,6,0)</f>
        <v>VERNIZ AUTOMOTIVO</v>
      </c>
      <c r="X2773" t="str">
        <f>VLOOKUP(L2773,'[2]tabela de preços'!$A:$G,7,0)</f>
        <v>AUTOMOTIVO</v>
      </c>
    </row>
    <row r="2774" spans="1:24" x14ac:dyDescent="0.3">
      <c r="A2774" t="s">
        <v>1222</v>
      </c>
      <c r="C2774" t="s">
        <v>2638</v>
      </c>
      <c r="D2774" s="1">
        <v>46058</v>
      </c>
      <c r="E2774" t="s">
        <v>2639</v>
      </c>
      <c r="F2774">
        <v>9</v>
      </c>
      <c r="G2774">
        <v>174</v>
      </c>
      <c r="H2774" t="str">
        <f>VLOOKUP(G2774,[1]OPERADORES!$A:$B,2,0)</f>
        <v>MIRIÃ LOBATO RODRIGUES</v>
      </c>
      <c r="I2774" t="s">
        <v>21</v>
      </c>
      <c r="J2774" t="s">
        <v>1225</v>
      </c>
      <c r="K2774" t="s">
        <v>1226</v>
      </c>
      <c r="L2774">
        <v>21067</v>
      </c>
      <c r="M2774" t="s">
        <v>640</v>
      </c>
      <c r="O2774" t="s">
        <v>11</v>
      </c>
      <c r="P2774">
        <v>5102</v>
      </c>
      <c r="Q2774">
        <v>6</v>
      </c>
      <c r="R2774">
        <v>36.07</v>
      </c>
      <c r="S2774">
        <v>216.42</v>
      </c>
      <c r="T2774">
        <v>164.28</v>
      </c>
      <c r="U2774">
        <v>24.09</v>
      </c>
      <c r="V2774" t="str">
        <f>VLOOKUP(L2774,'[2]tabela de preços'!$A:$D,4,0)</f>
        <v>SIKKENS</v>
      </c>
      <c r="W2774" t="str">
        <f>VLOOKUP(L2774,'[2]tabela de preços'!$A:$F,6,0)</f>
        <v>DILUENTE</v>
      </c>
      <c r="X2774" t="str">
        <f>VLOOKUP(L2774,'[2]tabela de preços'!$A:$G,7,0)</f>
        <v>AUTOMOTIVO</v>
      </c>
    </row>
    <row r="2775" spans="1:24" x14ac:dyDescent="0.3">
      <c r="A2775" t="s">
        <v>1222</v>
      </c>
      <c r="C2775" t="s">
        <v>2783</v>
      </c>
      <c r="D2775" s="1">
        <v>46059</v>
      </c>
      <c r="E2775" t="s">
        <v>2784</v>
      </c>
      <c r="F2775">
        <v>9</v>
      </c>
      <c r="G2775">
        <v>174</v>
      </c>
      <c r="H2775" t="str">
        <f>VLOOKUP(G2775,[1]OPERADORES!$A:$B,2,0)</f>
        <v>MIRIÃ LOBATO RODRIGUES</v>
      </c>
      <c r="I2775" t="s">
        <v>21</v>
      </c>
      <c r="J2775" t="s">
        <v>1225</v>
      </c>
      <c r="K2775" t="s">
        <v>1226</v>
      </c>
      <c r="L2775">
        <v>23602</v>
      </c>
      <c r="M2775" t="s">
        <v>215</v>
      </c>
      <c r="O2775" t="s">
        <v>11</v>
      </c>
      <c r="P2775">
        <v>5405</v>
      </c>
      <c r="Q2775">
        <v>135</v>
      </c>
      <c r="R2775">
        <v>35.89</v>
      </c>
      <c r="S2775" s="2">
        <v>4845.1499999999996</v>
      </c>
      <c r="T2775" s="2">
        <v>3948.75</v>
      </c>
      <c r="U2775">
        <v>18.5</v>
      </c>
      <c r="V2775" t="str">
        <f>VLOOKUP(L2775,'[2]tabela de preços'!$A:$D,4,0)</f>
        <v>SHERWIN WILLIAMS</v>
      </c>
      <c r="W2775" t="str">
        <f>VLOOKUP(L2775,'[2]tabela de preços'!$A:$F,6,0)</f>
        <v>VERNIZ AUTOMOTIVO</v>
      </c>
      <c r="X2775" t="str">
        <f>VLOOKUP(L2775,'[2]tabela de preços'!$A:$G,7,0)</f>
        <v>AUTOMOTIVO</v>
      </c>
    </row>
    <row r="2776" spans="1:24" x14ac:dyDescent="0.3">
      <c r="A2776" t="s">
        <v>2825</v>
      </c>
      <c r="C2776" t="s">
        <v>2826</v>
      </c>
      <c r="D2776" s="1">
        <v>46062</v>
      </c>
      <c r="E2776" t="s">
        <v>2827</v>
      </c>
      <c r="F2776">
        <v>9</v>
      </c>
      <c r="G2776">
        <v>174</v>
      </c>
      <c r="H2776" t="str">
        <f>VLOOKUP(G2776,[1]OPERADORES!$A:$B,2,0)</f>
        <v>MIRIÃ LOBATO RODRIGUES</v>
      </c>
      <c r="I2776" t="s">
        <v>21</v>
      </c>
      <c r="J2776" t="s">
        <v>730</v>
      </c>
      <c r="K2776" t="s">
        <v>2828</v>
      </c>
      <c r="L2776">
        <v>84268</v>
      </c>
      <c r="M2776" t="s">
        <v>1566</v>
      </c>
      <c r="O2776" t="s">
        <v>11</v>
      </c>
      <c r="P2776">
        <v>5403</v>
      </c>
      <c r="Q2776">
        <v>1</v>
      </c>
      <c r="R2776">
        <v>193.92</v>
      </c>
      <c r="S2776">
        <v>193.92</v>
      </c>
      <c r="T2776">
        <v>147.19</v>
      </c>
      <c r="U2776">
        <v>24.1</v>
      </c>
      <c r="V2776" t="str">
        <f>VLOOKUP(L2776,'[2]tabela de preços'!$A:$D,4,0)</f>
        <v>BRASILUX</v>
      </c>
      <c r="W2776" t="str">
        <f>VLOOKUP(L2776,'[2]tabela de preços'!$A:$F,6,0)</f>
        <v>TINTA PAREDE</v>
      </c>
      <c r="X2776" t="str">
        <f>VLOOKUP(L2776,'[2]tabela de preços'!$A:$G,7,0)</f>
        <v>IMOBILIÁRIO</v>
      </c>
    </row>
    <row r="2777" spans="1:24" x14ac:dyDescent="0.3">
      <c r="A2777" t="s">
        <v>2825</v>
      </c>
      <c r="C2777" t="s">
        <v>2826</v>
      </c>
      <c r="D2777" s="1">
        <v>46062</v>
      </c>
      <c r="E2777" t="s">
        <v>2827</v>
      </c>
      <c r="F2777">
        <v>9</v>
      </c>
      <c r="G2777">
        <v>174</v>
      </c>
      <c r="H2777" t="str">
        <f>VLOOKUP(G2777,[1]OPERADORES!$A:$B,2,0)</f>
        <v>MIRIÃ LOBATO RODRIGUES</v>
      </c>
      <c r="I2777" t="s">
        <v>21</v>
      </c>
      <c r="J2777" t="s">
        <v>730</v>
      </c>
      <c r="K2777" t="s">
        <v>2828</v>
      </c>
      <c r="L2777">
        <v>86230</v>
      </c>
      <c r="M2777" t="s">
        <v>375</v>
      </c>
      <c r="O2777" t="s">
        <v>11</v>
      </c>
      <c r="P2777">
        <v>5403</v>
      </c>
      <c r="Q2777">
        <v>1</v>
      </c>
      <c r="R2777">
        <v>290.88</v>
      </c>
      <c r="S2777">
        <v>290.88</v>
      </c>
      <c r="T2777">
        <v>220.78</v>
      </c>
      <c r="U2777">
        <v>24.1</v>
      </c>
      <c r="V2777" t="str">
        <f>VLOOKUP(L2777,'[2]tabela de preços'!$A:$D,4,0)</f>
        <v>CORAL</v>
      </c>
      <c r="W2777" t="str">
        <f>VLOOKUP(L2777,'[2]tabela de preços'!$A:$F,6,0)</f>
        <v>TINTA PAREDE</v>
      </c>
      <c r="X2777" t="str">
        <f>VLOOKUP(L2777,'[2]tabela de preços'!$A:$G,7,0)</f>
        <v>IMOBILIÁRIO</v>
      </c>
    </row>
    <row r="2778" spans="1:24" x14ac:dyDescent="0.3">
      <c r="A2778" t="s">
        <v>2825</v>
      </c>
      <c r="C2778" t="s">
        <v>2826</v>
      </c>
      <c r="D2778" s="1">
        <v>46062</v>
      </c>
      <c r="E2778" t="s">
        <v>2827</v>
      </c>
      <c r="F2778">
        <v>9</v>
      </c>
      <c r="G2778">
        <v>174</v>
      </c>
      <c r="H2778" t="str">
        <f>VLOOKUP(G2778,[1]OPERADORES!$A:$B,2,0)</f>
        <v>MIRIÃ LOBATO RODRIGUES</v>
      </c>
      <c r="I2778" t="s">
        <v>21</v>
      </c>
      <c r="J2778" t="s">
        <v>730</v>
      </c>
      <c r="K2778" t="s">
        <v>2828</v>
      </c>
      <c r="L2778">
        <v>84036</v>
      </c>
      <c r="M2778" t="s">
        <v>289</v>
      </c>
      <c r="O2778" t="s">
        <v>11</v>
      </c>
      <c r="P2778">
        <v>5102</v>
      </c>
      <c r="Q2778">
        <v>2</v>
      </c>
      <c r="R2778">
        <v>47.9</v>
      </c>
      <c r="S2778">
        <v>95.8</v>
      </c>
      <c r="T2778">
        <v>83.26</v>
      </c>
      <c r="U2778">
        <v>13.09</v>
      </c>
      <c r="V2778" t="str">
        <f>VLOOKUP(L2778,'[2]tabela de preços'!$A:$D,4,0)</f>
        <v>BRASILUX</v>
      </c>
      <c r="W2778" t="str">
        <f>VLOOKUP(L2778,'[2]tabela de preços'!$A:$F,6,0)</f>
        <v>MASSA CORRIDA / ACRÍLICA</v>
      </c>
      <c r="X2778" t="str">
        <f>VLOOKUP(L2778,'[2]tabela de preços'!$A:$G,7,0)</f>
        <v>IMOBILIÁRIO</v>
      </c>
    </row>
    <row r="2779" spans="1:24" x14ac:dyDescent="0.3">
      <c r="A2779" t="s">
        <v>2640</v>
      </c>
      <c r="C2779" t="s">
        <v>2641</v>
      </c>
      <c r="D2779" s="1">
        <v>46058</v>
      </c>
      <c r="E2779" t="s">
        <v>2642</v>
      </c>
      <c r="F2779">
        <v>9</v>
      </c>
      <c r="G2779">
        <v>236</v>
      </c>
      <c r="H2779" t="str">
        <f>VLOOKUP(G2779,[1]OPERADORES!$A:$B,2,0)</f>
        <v>DANIEL</v>
      </c>
      <c r="I2779" t="s">
        <v>21</v>
      </c>
      <c r="J2779" t="s">
        <v>22</v>
      </c>
      <c r="K2779" t="s">
        <v>2643</v>
      </c>
      <c r="L2779">
        <v>85424</v>
      </c>
      <c r="M2779" t="s">
        <v>2644</v>
      </c>
      <c r="O2779" t="s">
        <v>11</v>
      </c>
      <c r="P2779">
        <v>5102</v>
      </c>
      <c r="Q2779">
        <v>1</v>
      </c>
      <c r="R2779">
        <v>549.23</v>
      </c>
      <c r="S2779">
        <v>549.23</v>
      </c>
      <c r="T2779">
        <v>378.26</v>
      </c>
      <c r="U2779">
        <v>31.13</v>
      </c>
      <c r="V2779" t="str">
        <f>VLOOKUP(L2779,'[2]tabela de preços'!$A:$D,4,0)</f>
        <v>BRASILUX</v>
      </c>
      <c r="W2779" t="str">
        <f>VLOOKUP(L2779,'[2]tabela de preços'!$A:$F,6,0)</f>
        <v>TINTA EM PÓ</v>
      </c>
      <c r="X2779" t="str">
        <f>VLOOKUP(L2779,'[2]tabela de preços'!$A:$G,7,0)</f>
        <v>INDUSTRIAL</v>
      </c>
    </row>
    <row r="2780" spans="1:24" x14ac:dyDescent="0.3">
      <c r="A2780" t="s">
        <v>1267</v>
      </c>
      <c r="C2780" t="s">
        <v>2645</v>
      </c>
      <c r="D2780" s="1">
        <v>46057</v>
      </c>
      <c r="E2780" t="s">
        <v>2646</v>
      </c>
      <c r="F2780">
        <v>9</v>
      </c>
      <c r="G2780">
        <v>174</v>
      </c>
      <c r="H2780" t="str">
        <f>VLOOKUP(G2780,[1]OPERADORES!$A:$B,2,0)</f>
        <v>MIRIÃ LOBATO RODRIGUES</v>
      </c>
      <c r="I2780" t="s">
        <v>21</v>
      </c>
      <c r="J2780" t="s">
        <v>372</v>
      </c>
      <c r="K2780" t="s">
        <v>1270</v>
      </c>
      <c r="L2780">
        <v>23076</v>
      </c>
      <c r="M2780" t="s">
        <v>97</v>
      </c>
      <c r="O2780" t="s">
        <v>11</v>
      </c>
      <c r="P2780">
        <v>5403</v>
      </c>
      <c r="Q2780">
        <v>6</v>
      </c>
      <c r="R2780">
        <v>39.94</v>
      </c>
      <c r="S2780">
        <v>239.64</v>
      </c>
      <c r="T2780">
        <v>159.18</v>
      </c>
      <c r="U2780">
        <v>33.58</v>
      </c>
      <c r="V2780" t="str">
        <f>VLOOKUP(L2780,'[2]tabela de preços'!$A:$D,4,0)</f>
        <v>WANDA</v>
      </c>
      <c r="W2780" t="str">
        <f>VLOOKUP(L2780,'[2]tabela de preços'!$A:$F,6,0)</f>
        <v>PRIMER AUTOMOTIVO</v>
      </c>
      <c r="X2780" t="str">
        <f>VLOOKUP(L2780,'[2]tabela de preços'!$A:$G,7,0)</f>
        <v>AUTOMOTIVO</v>
      </c>
    </row>
    <row r="2781" spans="1:24" x14ac:dyDescent="0.3">
      <c r="A2781" t="s">
        <v>1275</v>
      </c>
      <c r="C2781" t="s">
        <v>2647</v>
      </c>
      <c r="D2781" s="1">
        <v>46058</v>
      </c>
      <c r="E2781" t="s">
        <v>2648</v>
      </c>
      <c r="F2781">
        <v>9</v>
      </c>
      <c r="G2781">
        <v>197</v>
      </c>
      <c r="H2781" t="str">
        <f>VLOOKUP(G2781,[1]OPERADORES!$A:$B,2,0)</f>
        <v xml:space="preserve">POLIANA LORRANE DE AMORIM </v>
      </c>
      <c r="I2781" t="s">
        <v>21</v>
      </c>
      <c r="J2781" t="s">
        <v>1278</v>
      </c>
      <c r="K2781" t="s">
        <v>1279</v>
      </c>
      <c r="L2781">
        <v>84243</v>
      </c>
      <c r="M2781" t="s">
        <v>2649</v>
      </c>
      <c r="O2781" t="s">
        <v>11</v>
      </c>
      <c r="P2781">
        <v>5403</v>
      </c>
      <c r="Q2781">
        <v>5</v>
      </c>
      <c r="R2781">
        <v>149.9</v>
      </c>
      <c r="S2781">
        <v>749.5</v>
      </c>
      <c r="T2781">
        <v>616.20000000000005</v>
      </c>
      <c r="U2781">
        <v>17.79</v>
      </c>
      <c r="V2781" t="str">
        <f>VLOOKUP(L2781,'[2]tabela de preços'!$A:$D,4,0)</f>
        <v>BRASILUX</v>
      </c>
      <c r="W2781" t="str">
        <f>VLOOKUP(L2781,'[2]tabela de preços'!$A:$F,6,0)</f>
        <v>IMPERMEABILIZANTES</v>
      </c>
      <c r="X2781" t="str">
        <f>VLOOKUP(L2781,'[2]tabela de preços'!$A:$G,7,0)</f>
        <v>IMOBILIÁRIO</v>
      </c>
    </row>
    <row r="2782" spans="1:24" x14ac:dyDescent="0.3">
      <c r="A2782" t="s">
        <v>1275</v>
      </c>
      <c r="C2782" t="s">
        <v>2647</v>
      </c>
      <c r="D2782" s="1">
        <v>46058</v>
      </c>
      <c r="E2782" t="s">
        <v>2648</v>
      </c>
      <c r="F2782">
        <v>9</v>
      </c>
      <c r="G2782">
        <v>197</v>
      </c>
      <c r="H2782" t="str">
        <f>VLOOKUP(G2782,[1]OPERADORES!$A:$B,2,0)</f>
        <v xml:space="preserve">POLIANA LORRANE DE AMORIM </v>
      </c>
      <c r="I2782" t="s">
        <v>21</v>
      </c>
      <c r="J2782" t="s">
        <v>1278</v>
      </c>
      <c r="K2782" t="s">
        <v>1279</v>
      </c>
      <c r="L2782">
        <v>84328</v>
      </c>
      <c r="M2782" t="s">
        <v>496</v>
      </c>
      <c r="O2782" t="s">
        <v>11</v>
      </c>
      <c r="P2782">
        <v>5403</v>
      </c>
      <c r="Q2782">
        <v>12</v>
      </c>
      <c r="R2782">
        <v>59.98</v>
      </c>
      <c r="S2782">
        <v>719.76</v>
      </c>
      <c r="T2782">
        <v>554.28</v>
      </c>
      <c r="U2782">
        <v>22.99</v>
      </c>
      <c r="V2782" t="str">
        <f>VLOOKUP(L2782,'[2]tabela de preços'!$A:$D,4,0)</f>
        <v>BRASILUX</v>
      </c>
      <c r="W2782" t="str">
        <f>VLOOKUP(L2782,'[2]tabela de preços'!$A:$F,6,0)</f>
        <v>ESMALTES</v>
      </c>
      <c r="X2782" t="str">
        <f>VLOOKUP(L2782,'[2]tabela de preços'!$A:$G,7,0)</f>
        <v>INDUSTRIAL</v>
      </c>
    </row>
    <row r="2783" spans="1:24" x14ac:dyDescent="0.3">
      <c r="A2783" t="s">
        <v>1275</v>
      </c>
      <c r="C2783" t="s">
        <v>2647</v>
      </c>
      <c r="D2783" s="1">
        <v>46058</v>
      </c>
      <c r="E2783" t="s">
        <v>2648</v>
      </c>
      <c r="F2783">
        <v>9</v>
      </c>
      <c r="G2783">
        <v>197</v>
      </c>
      <c r="H2783" t="str">
        <f>VLOOKUP(G2783,[1]OPERADORES!$A:$B,2,0)</f>
        <v xml:space="preserve">POLIANA LORRANE DE AMORIM </v>
      </c>
      <c r="I2783" t="s">
        <v>21</v>
      </c>
      <c r="J2783" t="s">
        <v>1278</v>
      </c>
      <c r="K2783" t="s">
        <v>1279</v>
      </c>
      <c r="L2783">
        <v>84357</v>
      </c>
      <c r="M2783" t="s">
        <v>580</v>
      </c>
      <c r="O2783" t="s">
        <v>11</v>
      </c>
      <c r="P2783">
        <v>5403</v>
      </c>
      <c r="Q2783">
        <v>6</v>
      </c>
      <c r="R2783">
        <v>21.7</v>
      </c>
      <c r="S2783">
        <v>130.19999999999999</v>
      </c>
      <c r="T2783">
        <v>98.82</v>
      </c>
      <c r="U2783">
        <v>24.1</v>
      </c>
      <c r="V2783" t="str">
        <f>VLOOKUP(L2783,'[2]tabela de preços'!$A:$D,4,0)</f>
        <v>BRASILUX</v>
      </c>
      <c r="W2783" t="str">
        <f>VLOOKUP(L2783,'[2]tabela de preços'!$A:$F,6,0)</f>
        <v>ESMALTES</v>
      </c>
      <c r="X2783" t="str">
        <f>VLOOKUP(L2783,'[2]tabela de preços'!$A:$G,7,0)</f>
        <v>INDUSTRIAL</v>
      </c>
    </row>
    <row r="2784" spans="1:24" x14ac:dyDescent="0.3">
      <c r="A2784" t="s">
        <v>1275</v>
      </c>
      <c r="C2784" t="s">
        <v>2647</v>
      </c>
      <c r="D2784" s="1">
        <v>46058</v>
      </c>
      <c r="E2784" t="s">
        <v>2648</v>
      </c>
      <c r="F2784">
        <v>9</v>
      </c>
      <c r="G2784">
        <v>197</v>
      </c>
      <c r="H2784" t="str">
        <f>VLOOKUP(G2784,[1]OPERADORES!$A:$B,2,0)</f>
        <v xml:space="preserve">POLIANA LORRANE DE AMORIM </v>
      </c>
      <c r="I2784" t="s">
        <v>21</v>
      </c>
      <c r="J2784" t="s">
        <v>1278</v>
      </c>
      <c r="K2784" t="s">
        <v>1279</v>
      </c>
      <c r="L2784">
        <v>84334</v>
      </c>
      <c r="M2784" t="s">
        <v>895</v>
      </c>
      <c r="O2784" t="s">
        <v>11</v>
      </c>
      <c r="P2784">
        <v>5403</v>
      </c>
      <c r="Q2784">
        <v>4</v>
      </c>
      <c r="R2784">
        <v>59.98</v>
      </c>
      <c r="S2784">
        <v>239.92</v>
      </c>
      <c r="T2784">
        <v>190.64</v>
      </c>
      <c r="U2784">
        <v>20.54</v>
      </c>
      <c r="V2784" t="str">
        <f>VLOOKUP(L2784,'[2]tabela de preços'!$A:$D,4,0)</f>
        <v>BRASILUX</v>
      </c>
      <c r="W2784" t="str">
        <f>VLOOKUP(L2784,'[2]tabela de preços'!$A:$F,6,0)</f>
        <v>ESMALTES</v>
      </c>
      <c r="X2784" t="str">
        <f>VLOOKUP(L2784,'[2]tabela de preços'!$A:$G,7,0)</f>
        <v>INDUSTRIAL</v>
      </c>
    </row>
    <row r="2785" spans="1:24" x14ac:dyDescent="0.3">
      <c r="A2785" t="s">
        <v>1275</v>
      </c>
      <c r="C2785" t="s">
        <v>2647</v>
      </c>
      <c r="D2785" s="1">
        <v>46058</v>
      </c>
      <c r="E2785" t="s">
        <v>2648</v>
      </c>
      <c r="F2785">
        <v>9</v>
      </c>
      <c r="G2785">
        <v>197</v>
      </c>
      <c r="H2785" t="str">
        <f>VLOOKUP(G2785,[1]OPERADORES!$A:$B,2,0)</f>
        <v xml:space="preserve">POLIANA LORRANE DE AMORIM </v>
      </c>
      <c r="I2785" t="s">
        <v>21</v>
      </c>
      <c r="J2785" t="s">
        <v>1278</v>
      </c>
      <c r="K2785" t="s">
        <v>1279</v>
      </c>
      <c r="L2785">
        <v>84335</v>
      </c>
      <c r="M2785" t="s">
        <v>269</v>
      </c>
      <c r="O2785" t="s">
        <v>11</v>
      </c>
      <c r="P2785">
        <v>5403</v>
      </c>
      <c r="Q2785">
        <v>4</v>
      </c>
      <c r="R2785">
        <v>59.98</v>
      </c>
      <c r="S2785">
        <v>239.92</v>
      </c>
      <c r="T2785">
        <v>202.6</v>
      </c>
      <c r="U2785">
        <v>15.56</v>
      </c>
      <c r="V2785" t="str">
        <f>VLOOKUP(L2785,'[2]tabela de preços'!$A:$D,4,0)</f>
        <v>BRASILUX</v>
      </c>
      <c r="W2785" t="str">
        <f>VLOOKUP(L2785,'[2]tabela de preços'!$A:$F,6,0)</f>
        <v>ESMALTES</v>
      </c>
      <c r="X2785" t="str">
        <f>VLOOKUP(L2785,'[2]tabela de preços'!$A:$G,7,0)</f>
        <v>INDUSTRIAL</v>
      </c>
    </row>
    <row r="2786" spans="1:24" x14ac:dyDescent="0.3">
      <c r="A2786" t="s">
        <v>1275</v>
      </c>
      <c r="C2786" t="s">
        <v>2647</v>
      </c>
      <c r="D2786" s="1">
        <v>46058</v>
      </c>
      <c r="E2786" t="s">
        <v>2648</v>
      </c>
      <c r="F2786">
        <v>9</v>
      </c>
      <c r="G2786">
        <v>197</v>
      </c>
      <c r="H2786" t="str">
        <f>VLOOKUP(G2786,[1]OPERADORES!$A:$B,2,0)</f>
        <v xml:space="preserve">POLIANA LORRANE DE AMORIM </v>
      </c>
      <c r="I2786" t="s">
        <v>21</v>
      </c>
      <c r="J2786" t="s">
        <v>1278</v>
      </c>
      <c r="K2786" t="s">
        <v>1279</v>
      </c>
      <c r="L2786">
        <v>84342</v>
      </c>
      <c r="M2786" t="s">
        <v>498</v>
      </c>
      <c r="O2786" t="s">
        <v>11</v>
      </c>
      <c r="P2786">
        <v>5403</v>
      </c>
      <c r="Q2786">
        <v>12</v>
      </c>
      <c r="R2786">
        <v>59.98</v>
      </c>
      <c r="S2786">
        <v>719.76</v>
      </c>
      <c r="T2786">
        <v>549.36</v>
      </c>
      <c r="U2786">
        <v>23.67</v>
      </c>
      <c r="V2786" t="str">
        <f>VLOOKUP(L2786,'[2]tabela de preços'!$A:$D,4,0)</f>
        <v>BRASILUX</v>
      </c>
      <c r="W2786" t="str">
        <f>VLOOKUP(L2786,'[2]tabela de preços'!$A:$F,6,0)</f>
        <v>ESMALTES</v>
      </c>
      <c r="X2786" t="str">
        <f>VLOOKUP(L2786,'[2]tabela de preços'!$A:$G,7,0)</f>
        <v>INDUSTRIAL</v>
      </c>
    </row>
    <row r="2787" spans="1:24" x14ac:dyDescent="0.3">
      <c r="A2787" t="s">
        <v>1275</v>
      </c>
      <c r="C2787" t="s">
        <v>2647</v>
      </c>
      <c r="D2787" s="1">
        <v>46058</v>
      </c>
      <c r="E2787" t="s">
        <v>2648</v>
      </c>
      <c r="F2787">
        <v>9</v>
      </c>
      <c r="G2787">
        <v>197</v>
      </c>
      <c r="H2787" t="str">
        <f>VLOOKUP(G2787,[1]OPERADORES!$A:$B,2,0)</f>
        <v xml:space="preserve">POLIANA LORRANE DE AMORIM </v>
      </c>
      <c r="I2787" t="s">
        <v>21</v>
      </c>
      <c r="J2787" t="s">
        <v>1278</v>
      </c>
      <c r="K2787" t="s">
        <v>1279</v>
      </c>
      <c r="L2787">
        <v>84200</v>
      </c>
      <c r="M2787" t="s">
        <v>1552</v>
      </c>
      <c r="O2787" t="s">
        <v>11</v>
      </c>
      <c r="P2787">
        <v>5403</v>
      </c>
      <c r="Q2787">
        <v>2</v>
      </c>
      <c r="R2787">
        <v>224.04</v>
      </c>
      <c r="S2787">
        <v>448.08</v>
      </c>
      <c r="T2787">
        <v>340.1</v>
      </c>
      <c r="U2787">
        <v>24.1</v>
      </c>
      <c r="V2787" t="str">
        <f>VLOOKUP(L2787,'[2]tabela de preços'!$A:$D,4,0)</f>
        <v>BRASILUX</v>
      </c>
      <c r="W2787" t="str">
        <f>VLOOKUP(L2787,'[2]tabela de preços'!$A:$F,6,0)</f>
        <v>EPOXI</v>
      </c>
      <c r="X2787" t="str">
        <f>VLOOKUP(L2787,'[2]tabela de preços'!$A:$G,7,0)</f>
        <v>INDUSTRIAL</v>
      </c>
    </row>
    <row r="2788" spans="1:24" x14ac:dyDescent="0.3">
      <c r="A2788" t="s">
        <v>1291</v>
      </c>
      <c r="C2788" t="s">
        <v>2519</v>
      </c>
      <c r="D2788" s="1">
        <v>46056</v>
      </c>
      <c r="E2788" t="s">
        <v>2520</v>
      </c>
      <c r="F2788">
        <v>9</v>
      </c>
      <c r="G2788">
        <v>197</v>
      </c>
      <c r="H2788" t="str">
        <f>VLOOKUP(G2788,[1]OPERADORES!$A:$B,2,0)</f>
        <v xml:space="preserve">POLIANA LORRANE DE AMORIM </v>
      </c>
      <c r="I2788" t="s">
        <v>282</v>
      </c>
      <c r="J2788" t="s">
        <v>1294</v>
      </c>
      <c r="K2788" t="s">
        <v>1295</v>
      </c>
      <c r="L2788">
        <v>84113</v>
      </c>
      <c r="M2788" t="s">
        <v>737</v>
      </c>
      <c r="O2788" t="s">
        <v>11</v>
      </c>
      <c r="P2788">
        <v>6403</v>
      </c>
      <c r="Q2788">
        <v>4</v>
      </c>
      <c r="R2788">
        <v>153.99</v>
      </c>
      <c r="S2788">
        <v>615.96</v>
      </c>
      <c r="T2788">
        <v>467.52</v>
      </c>
      <c r="U2788">
        <v>24.1</v>
      </c>
      <c r="V2788" t="str">
        <f>VLOOKUP(L2788,'[2]tabela de preços'!$A:$D,4,0)</f>
        <v>BRASILUX</v>
      </c>
      <c r="W2788" t="str">
        <f>VLOOKUP(L2788,'[2]tabela de preços'!$A:$F,6,0)</f>
        <v>EPOXI</v>
      </c>
      <c r="X2788" t="str">
        <f>VLOOKUP(L2788,'[2]tabela de preços'!$A:$G,7,0)</f>
        <v>INDUSTRIAL</v>
      </c>
    </row>
    <row r="2789" spans="1:24" x14ac:dyDescent="0.3">
      <c r="A2789" t="s">
        <v>1291</v>
      </c>
      <c r="C2789" t="s">
        <v>2519</v>
      </c>
      <c r="D2789" s="1">
        <v>46056</v>
      </c>
      <c r="E2789" t="s">
        <v>2520</v>
      </c>
      <c r="F2789">
        <v>9</v>
      </c>
      <c r="G2789">
        <v>197</v>
      </c>
      <c r="H2789" t="str">
        <f>VLOOKUP(G2789,[1]OPERADORES!$A:$B,2,0)</f>
        <v xml:space="preserve">POLIANA LORRANE DE AMORIM </v>
      </c>
      <c r="I2789" t="s">
        <v>282</v>
      </c>
      <c r="J2789" t="s">
        <v>1294</v>
      </c>
      <c r="K2789" t="s">
        <v>1295</v>
      </c>
      <c r="L2789">
        <v>84767</v>
      </c>
      <c r="M2789" t="s">
        <v>732</v>
      </c>
      <c r="O2789" t="s">
        <v>11</v>
      </c>
      <c r="P2789">
        <v>6403</v>
      </c>
      <c r="Q2789">
        <v>10</v>
      </c>
      <c r="R2789">
        <v>153.99</v>
      </c>
      <c r="S2789" s="2">
        <v>1539.9</v>
      </c>
      <c r="T2789" s="2">
        <v>1168.8</v>
      </c>
      <c r="U2789">
        <v>24.1</v>
      </c>
      <c r="V2789" t="str">
        <f>VLOOKUP(L2789,'[2]tabela de preços'!$A:$D,4,0)</f>
        <v>BRASILUX</v>
      </c>
      <c r="W2789" t="str">
        <f>VLOOKUP(L2789,'[2]tabela de preços'!$A:$F,6,0)</f>
        <v>EPOXI</v>
      </c>
      <c r="X2789" t="str">
        <f>VLOOKUP(L2789,'[2]tabela de preços'!$A:$G,7,0)</f>
        <v>INDUSTRIAL</v>
      </c>
    </row>
    <row r="2790" spans="1:24" x14ac:dyDescent="0.3">
      <c r="A2790" t="s">
        <v>1297</v>
      </c>
      <c r="C2790" t="s">
        <v>2441</v>
      </c>
      <c r="D2790" s="1">
        <v>46055</v>
      </c>
      <c r="E2790" t="s">
        <v>2442</v>
      </c>
      <c r="F2790">
        <v>9</v>
      </c>
      <c r="G2790">
        <v>236</v>
      </c>
      <c r="H2790" t="str">
        <f>VLOOKUP(G2790,[1]OPERADORES!$A:$B,2,0)</f>
        <v>DANIEL</v>
      </c>
      <c r="I2790" t="s">
        <v>168</v>
      </c>
      <c r="J2790" t="s">
        <v>1300</v>
      </c>
      <c r="K2790" t="s">
        <v>1301</v>
      </c>
      <c r="L2790">
        <v>84691</v>
      </c>
      <c r="M2790" t="s">
        <v>2443</v>
      </c>
      <c r="O2790" t="s">
        <v>11</v>
      </c>
      <c r="P2790">
        <v>6403</v>
      </c>
      <c r="Q2790">
        <v>3</v>
      </c>
      <c r="R2790">
        <v>8.68</v>
      </c>
      <c r="S2790">
        <v>26.04</v>
      </c>
      <c r="T2790">
        <v>19.079999999999998</v>
      </c>
      <c r="U2790">
        <v>26.73</v>
      </c>
      <c r="V2790" t="str">
        <f>VLOOKUP(L2790,'[2]tabela de preços'!$A:$D,4,0)</f>
        <v>BRASILUX</v>
      </c>
      <c r="W2790" t="str">
        <f>VLOOKUP(L2790,'[2]tabela de preços'!$A:$F,6,0)</f>
        <v>LINHA MOVELEIRA</v>
      </c>
      <c r="X2790" t="str">
        <f>VLOOKUP(L2790,'[2]tabela de preços'!$A:$G,7,0)</f>
        <v>MOVELEIRA</v>
      </c>
    </row>
    <row r="2791" spans="1:24" x14ac:dyDescent="0.3">
      <c r="A2791" t="s">
        <v>1297</v>
      </c>
      <c r="C2791" t="s">
        <v>2441</v>
      </c>
      <c r="D2791" s="1">
        <v>46055</v>
      </c>
      <c r="E2791" t="s">
        <v>2442</v>
      </c>
      <c r="F2791">
        <v>9</v>
      </c>
      <c r="G2791">
        <v>236</v>
      </c>
      <c r="H2791" t="str">
        <f>VLOOKUP(G2791,[1]OPERADORES!$A:$B,2,0)</f>
        <v>DANIEL</v>
      </c>
      <c r="I2791" t="s">
        <v>168</v>
      </c>
      <c r="J2791" t="s">
        <v>1300</v>
      </c>
      <c r="K2791" t="s">
        <v>1301</v>
      </c>
      <c r="L2791">
        <v>84024</v>
      </c>
      <c r="M2791" t="s">
        <v>2444</v>
      </c>
      <c r="O2791" t="s">
        <v>11</v>
      </c>
      <c r="P2791">
        <v>6102</v>
      </c>
      <c r="Q2791">
        <v>2</v>
      </c>
      <c r="R2791">
        <v>18.11</v>
      </c>
      <c r="S2791">
        <v>36.22</v>
      </c>
      <c r="T2791">
        <v>24.98</v>
      </c>
      <c r="U2791">
        <v>31.03</v>
      </c>
      <c r="V2791" t="str">
        <f>VLOOKUP(L2791,'[2]tabela de preços'!$A:$D,4,0)</f>
        <v>BRASILUX</v>
      </c>
      <c r="W2791" t="str">
        <f>VLOOKUP(L2791,'[2]tabela de preços'!$A:$F,6,0)</f>
        <v>EPOXI</v>
      </c>
      <c r="X2791" t="str">
        <f>VLOOKUP(L2791,'[2]tabela de preços'!$A:$G,7,0)</f>
        <v>INDUSTRIAL</v>
      </c>
    </row>
    <row r="2792" spans="1:24" x14ac:dyDescent="0.3">
      <c r="A2792" t="s">
        <v>1297</v>
      </c>
      <c r="C2792" t="s">
        <v>2441</v>
      </c>
      <c r="D2792" s="1">
        <v>46055</v>
      </c>
      <c r="E2792" t="s">
        <v>2442</v>
      </c>
      <c r="F2792">
        <v>9</v>
      </c>
      <c r="G2792">
        <v>236</v>
      </c>
      <c r="H2792" t="str">
        <f>VLOOKUP(G2792,[1]OPERADORES!$A:$B,2,0)</f>
        <v>DANIEL</v>
      </c>
      <c r="I2792" t="s">
        <v>168</v>
      </c>
      <c r="J2792" t="s">
        <v>1300</v>
      </c>
      <c r="K2792" t="s">
        <v>1301</v>
      </c>
      <c r="L2792">
        <v>84762</v>
      </c>
      <c r="M2792" t="s">
        <v>1014</v>
      </c>
      <c r="O2792" t="s">
        <v>11</v>
      </c>
      <c r="P2792">
        <v>6403</v>
      </c>
      <c r="Q2792">
        <v>2</v>
      </c>
      <c r="R2792">
        <v>163.04</v>
      </c>
      <c r="S2792">
        <v>326.08</v>
      </c>
      <c r="T2792">
        <v>233.76</v>
      </c>
      <c r="U2792">
        <v>28.31</v>
      </c>
      <c r="V2792" t="str">
        <f>VLOOKUP(L2792,'[2]tabela de preços'!$A:$D,4,0)</f>
        <v>BRASILUX</v>
      </c>
      <c r="W2792" t="str">
        <f>VLOOKUP(L2792,'[2]tabela de preços'!$A:$F,6,0)</f>
        <v>EPOXI</v>
      </c>
      <c r="X2792" t="str">
        <f>VLOOKUP(L2792,'[2]tabela de preços'!$A:$G,7,0)</f>
        <v>INDUSTRIAL</v>
      </c>
    </row>
    <row r="2793" spans="1:24" x14ac:dyDescent="0.3">
      <c r="A2793" t="s">
        <v>1297</v>
      </c>
      <c r="C2793" t="s">
        <v>2441</v>
      </c>
      <c r="D2793" s="1">
        <v>46055</v>
      </c>
      <c r="E2793" t="s">
        <v>2442</v>
      </c>
      <c r="F2793">
        <v>9</v>
      </c>
      <c r="G2793">
        <v>236</v>
      </c>
      <c r="H2793" t="str">
        <f>VLOOKUP(G2793,[1]OPERADORES!$A:$B,2,0)</f>
        <v>DANIEL</v>
      </c>
      <c r="I2793" t="s">
        <v>168</v>
      </c>
      <c r="J2793" t="s">
        <v>1300</v>
      </c>
      <c r="K2793" t="s">
        <v>1301</v>
      </c>
      <c r="L2793">
        <v>10297</v>
      </c>
      <c r="M2793" t="s">
        <v>41</v>
      </c>
      <c r="O2793" t="s">
        <v>11</v>
      </c>
      <c r="P2793">
        <v>6102</v>
      </c>
      <c r="Q2793">
        <v>6</v>
      </c>
      <c r="R2793">
        <v>10.89</v>
      </c>
      <c r="S2793">
        <v>65.34</v>
      </c>
      <c r="T2793">
        <v>55.02</v>
      </c>
      <c r="U2793">
        <v>15.79</v>
      </c>
      <c r="V2793" t="str">
        <f>VLOOKUP(L2793,'[2]tabela de preços'!$A:$D,4,0)</f>
        <v>ANJO</v>
      </c>
      <c r="W2793" t="str">
        <f>VLOOKUP(L2793,'[2]tabela de preços'!$A:$F,6,0)</f>
        <v>THINNER DE LIMPEZA</v>
      </c>
      <c r="X2793" t="str">
        <f>VLOOKUP(L2793,'[2]tabela de preços'!$A:$G,7,0)</f>
        <v>THINNER</v>
      </c>
    </row>
    <row r="2794" spans="1:24" x14ac:dyDescent="0.3">
      <c r="A2794" t="s">
        <v>1302</v>
      </c>
      <c r="C2794" t="s">
        <v>2650</v>
      </c>
      <c r="D2794" s="1">
        <v>46057</v>
      </c>
      <c r="E2794" t="s">
        <v>2651</v>
      </c>
      <c r="F2794">
        <v>9</v>
      </c>
      <c r="G2794">
        <v>236</v>
      </c>
      <c r="H2794" t="str">
        <f>VLOOKUP(G2794,[1]OPERADORES!$A:$B,2,0)</f>
        <v>DANIEL</v>
      </c>
      <c r="I2794" t="s">
        <v>21</v>
      </c>
      <c r="J2794" t="s">
        <v>494</v>
      </c>
      <c r="K2794" t="s">
        <v>1305</v>
      </c>
      <c r="L2794">
        <v>20099</v>
      </c>
      <c r="M2794" t="s">
        <v>1308</v>
      </c>
      <c r="O2794" t="s">
        <v>11</v>
      </c>
      <c r="P2794">
        <v>5403</v>
      </c>
      <c r="Q2794">
        <v>4</v>
      </c>
      <c r="R2794">
        <v>16.46</v>
      </c>
      <c r="S2794">
        <v>65.84</v>
      </c>
      <c r="T2794">
        <v>48.28</v>
      </c>
      <c r="U2794">
        <v>26.67</v>
      </c>
      <c r="V2794" t="str">
        <f>VLOOKUP(L2794,'[2]tabela de preços'!$A:$D,4,0)</f>
        <v>MAXI RUBBER</v>
      </c>
      <c r="W2794" t="str">
        <f>VLOOKUP(L2794,'[2]tabela de preços'!$A:$F,6,0)</f>
        <v>BATIDA DE PEDRA</v>
      </c>
      <c r="X2794" t="str">
        <f>VLOOKUP(L2794,'[2]tabela de preços'!$A:$G,7,0)</f>
        <v>AUTOMOTIVO</v>
      </c>
    </row>
    <row r="2795" spans="1:24" x14ac:dyDescent="0.3">
      <c r="A2795" t="s">
        <v>1302</v>
      </c>
      <c r="C2795" t="s">
        <v>2650</v>
      </c>
      <c r="D2795" s="1">
        <v>46057</v>
      </c>
      <c r="E2795" t="s">
        <v>2651</v>
      </c>
      <c r="F2795">
        <v>9</v>
      </c>
      <c r="G2795">
        <v>236</v>
      </c>
      <c r="H2795" t="str">
        <f>VLOOKUP(G2795,[1]OPERADORES!$A:$B,2,0)</f>
        <v>DANIEL</v>
      </c>
      <c r="I2795" t="s">
        <v>21</v>
      </c>
      <c r="J2795" t="s">
        <v>494</v>
      </c>
      <c r="K2795" t="s">
        <v>1305</v>
      </c>
      <c r="L2795">
        <v>10236</v>
      </c>
      <c r="M2795" t="s">
        <v>133</v>
      </c>
      <c r="O2795" t="s">
        <v>11</v>
      </c>
      <c r="P2795">
        <v>5102</v>
      </c>
      <c r="Q2795">
        <v>20</v>
      </c>
      <c r="R2795">
        <v>2.79</v>
      </c>
      <c r="S2795">
        <v>55.8</v>
      </c>
      <c r="T2795">
        <v>46.4</v>
      </c>
      <c r="U2795">
        <v>16.850000000000001</v>
      </c>
      <c r="V2795" t="str">
        <f>VLOOKUP(L2795,'[2]tabela de preços'!$A:$D,4,0)</f>
        <v>NORTON</v>
      </c>
      <c r="W2795" t="str">
        <f>VLOOKUP(L2795,'[2]tabela de preços'!$A:$F,6,0)</f>
        <v xml:space="preserve">DISCOS / LIXAS / ABRASIVOS </v>
      </c>
      <c r="X2795" t="str">
        <f>VLOOKUP(L2795,'[2]tabela de preços'!$A:$G,7,0)</f>
        <v>AUTOMOTIVO</v>
      </c>
    </row>
    <row r="2796" spans="1:24" x14ac:dyDescent="0.3">
      <c r="A2796" t="s">
        <v>1302</v>
      </c>
      <c r="C2796" t="s">
        <v>2650</v>
      </c>
      <c r="D2796" s="1">
        <v>46057</v>
      </c>
      <c r="E2796" t="s">
        <v>2651</v>
      </c>
      <c r="F2796">
        <v>9</v>
      </c>
      <c r="G2796">
        <v>236</v>
      </c>
      <c r="H2796" t="str">
        <f>VLOOKUP(G2796,[1]OPERADORES!$A:$B,2,0)</f>
        <v>DANIEL</v>
      </c>
      <c r="I2796" t="s">
        <v>21</v>
      </c>
      <c r="J2796" t="s">
        <v>494</v>
      </c>
      <c r="K2796" t="s">
        <v>1305</v>
      </c>
      <c r="L2796">
        <v>10232</v>
      </c>
      <c r="M2796" t="s">
        <v>134</v>
      </c>
      <c r="O2796" t="s">
        <v>11</v>
      </c>
      <c r="P2796">
        <v>5102</v>
      </c>
      <c r="Q2796">
        <v>20</v>
      </c>
      <c r="R2796">
        <v>2.79</v>
      </c>
      <c r="S2796">
        <v>55.8</v>
      </c>
      <c r="T2796">
        <v>45</v>
      </c>
      <c r="U2796">
        <v>19.350000000000001</v>
      </c>
      <c r="V2796" t="str">
        <f>VLOOKUP(L2796,'[2]tabela de preços'!$A:$D,4,0)</f>
        <v>NORTON</v>
      </c>
      <c r="W2796" t="str">
        <f>VLOOKUP(L2796,'[2]tabela de preços'!$A:$F,6,0)</f>
        <v xml:space="preserve">DISCOS / LIXAS / ABRASIVOS </v>
      </c>
      <c r="X2796" t="str">
        <f>VLOOKUP(L2796,'[2]tabela de preços'!$A:$G,7,0)</f>
        <v>AUTOMOTIVO</v>
      </c>
    </row>
    <row r="2797" spans="1:24" x14ac:dyDescent="0.3">
      <c r="A2797" t="s">
        <v>1302</v>
      </c>
      <c r="C2797" t="s">
        <v>2650</v>
      </c>
      <c r="D2797" s="1">
        <v>46057</v>
      </c>
      <c r="E2797" t="s">
        <v>2651</v>
      </c>
      <c r="F2797">
        <v>9</v>
      </c>
      <c r="G2797">
        <v>236</v>
      </c>
      <c r="H2797" t="str">
        <f>VLOOKUP(G2797,[1]OPERADORES!$A:$B,2,0)</f>
        <v>DANIEL</v>
      </c>
      <c r="I2797" t="s">
        <v>21</v>
      </c>
      <c r="J2797" t="s">
        <v>494</v>
      </c>
      <c r="K2797" t="s">
        <v>1305</v>
      </c>
      <c r="L2797">
        <v>10234</v>
      </c>
      <c r="M2797" t="s">
        <v>157</v>
      </c>
      <c r="O2797" t="s">
        <v>11</v>
      </c>
      <c r="P2797">
        <v>5102</v>
      </c>
      <c r="Q2797">
        <v>20</v>
      </c>
      <c r="R2797">
        <v>2.79</v>
      </c>
      <c r="S2797">
        <v>55.8</v>
      </c>
      <c r="T2797">
        <v>46.4</v>
      </c>
      <c r="U2797">
        <v>16.850000000000001</v>
      </c>
      <c r="V2797" t="str">
        <f>VLOOKUP(L2797,'[2]tabela de preços'!$A:$D,4,0)</f>
        <v>NORTON</v>
      </c>
      <c r="W2797" t="str">
        <f>VLOOKUP(L2797,'[2]tabela de preços'!$A:$F,6,0)</f>
        <v xml:space="preserve">DISCOS / LIXAS / ABRASIVOS </v>
      </c>
      <c r="X2797" t="str">
        <f>VLOOKUP(L2797,'[2]tabela de preços'!$A:$G,7,0)</f>
        <v>AUTOMOTIVO</v>
      </c>
    </row>
    <row r="2798" spans="1:24" x14ac:dyDescent="0.3">
      <c r="A2798" t="s">
        <v>1337</v>
      </c>
      <c r="C2798" t="s">
        <v>2445</v>
      </c>
      <c r="D2798" s="1">
        <v>46055</v>
      </c>
      <c r="E2798" t="s">
        <v>2446</v>
      </c>
      <c r="F2798">
        <v>9</v>
      </c>
      <c r="G2798">
        <v>174</v>
      </c>
      <c r="H2798" t="str">
        <f>VLOOKUP(G2798,[1]OPERADORES!$A:$B,2,0)</f>
        <v>MIRIÃ LOBATO RODRIGUES</v>
      </c>
      <c r="I2798" t="s">
        <v>21</v>
      </c>
      <c r="J2798" t="s">
        <v>1340</v>
      </c>
      <c r="K2798" t="s">
        <v>1341</v>
      </c>
      <c r="L2798">
        <v>24248</v>
      </c>
      <c r="M2798" t="s">
        <v>107</v>
      </c>
      <c r="O2798" t="s">
        <v>11</v>
      </c>
      <c r="P2798">
        <v>5102</v>
      </c>
      <c r="Q2798">
        <v>8</v>
      </c>
      <c r="R2798">
        <v>8</v>
      </c>
      <c r="S2798">
        <v>64</v>
      </c>
      <c r="T2798">
        <v>52</v>
      </c>
      <c r="U2798">
        <v>18.75</v>
      </c>
      <c r="V2798" t="str">
        <f>VLOOKUP(L2798,'[2]tabela de preços'!$A:$D,4,0)</f>
        <v>SHERWIN WILLIAMS</v>
      </c>
      <c r="W2798" t="str">
        <f>VLOOKUP(L2798,'[2]tabela de preços'!$A:$F,6,0)</f>
        <v>PRIMER AUTOMOTIVO</v>
      </c>
      <c r="X2798" t="str">
        <f>VLOOKUP(L2798,'[2]tabela de preços'!$A:$G,7,0)</f>
        <v>AUTOMOTIVO</v>
      </c>
    </row>
    <row r="2799" spans="1:24" x14ac:dyDescent="0.3">
      <c r="A2799" t="s">
        <v>1337</v>
      </c>
      <c r="C2799" t="s">
        <v>2445</v>
      </c>
      <c r="D2799" s="1">
        <v>46055</v>
      </c>
      <c r="E2799" t="s">
        <v>2446</v>
      </c>
      <c r="F2799">
        <v>9</v>
      </c>
      <c r="G2799">
        <v>174</v>
      </c>
      <c r="H2799" t="str">
        <f>VLOOKUP(G2799,[1]OPERADORES!$A:$B,2,0)</f>
        <v>MIRIÃ LOBATO RODRIGUES</v>
      </c>
      <c r="I2799" t="s">
        <v>21</v>
      </c>
      <c r="J2799" t="s">
        <v>1340</v>
      </c>
      <c r="K2799" t="s">
        <v>1341</v>
      </c>
      <c r="L2799">
        <v>22684</v>
      </c>
      <c r="M2799" t="s">
        <v>73</v>
      </c>
      <c r="O2799" t="s">
        <v>11</v>
      </c>
      <c r="P2799">
        <v>5102</v>
      </c>
      <c r="Q2799">
        <v>10</v>
      </c>
      <c r="R2799">
        <v>3.65</v>
      </c>
      <c r="S2799">
        <v>36.5</v>
      </c>
      <c r="T2799">
        <v>30.8</v>
      </c>
      <c r="U2799">
        <v>15.62</v>
      </c>
      <c r="V2799" t="str">
        <f>VLOOKUP(L2799,'[2]tabela de preços'!$A:$D,4,0)</f>
        <v>3M</v>
      </c>
      <c r="W2799" t="str">
        <f>VLOOKUP(L2799,'[2]tabela de preços'!$A:$F,6,0)</f>
        <v>FITA AUTOMOTIVA</v>
      </c>
      <c r="X2799" t="str">
        <f>VLOOKUP(L2799,'[2]tabela de preços'!$A:$G,7,0)</f>
        <v>AUTOMOTIVO</v>
      </c>
    </row>
    <row r="2800" spans="1:24" x14ac:dyDescent="0.3">
      <c r="A2800" t="s">
        <v>1337</v>
      </c>
      <c r="C2800" t="s">
        <v>2445</v>
      </c>
      <c r="D2800" s="1">
        <v>46055</v>
      </c>
      <c r="E2800" t="s">
        <v>2446</v>
      </c>
      <c r="F2800">
        <v>9</v>
      </c>
      <c r="G2800">
        <v>174</v>
      </c>
      <c r="H2800" t="str">
        <f>VLOOKUP(G2800,[1]OPERADORES!$A:$B,2,0)</f>
        <v>MIRIÃ LOBATO RODRIGUES</v>
      </c>
      <c r="I2800" t="s">
        <v>21</v>
      </c>
      <c r="J2800" t="s">
        <v>1340</v>
      </c>
      <c r="K2800" t="s">
        <v>1341</v>
      </c>
      <c r="L2800">
        <v>10242</v>
      </c>
      <c r="M2800" t="s">
        <v>82</v>
      </c>
      <c r="O2800" t="s">
        <v>11</v>
      </c>
      <c r="P2800">
        <v>5102</v>
      </c>
      <c r="Q2800">
        <v>10</v>
      </c>
      <c r="R2800">
        <v>2.79</v>
      </c>
      <c r="S2800">
        <v>27.9</v>
      </c>
      <c r="T2800">
        <v>22.4</v>
      </c>
      <c r="U2800">
        <v>19.71</v>
      </c>
      <c r="V2800" t="str">
        <f>VLOOKUP(L2800,'[2]tabela de preços'!$A:$D,4,0)</f>
        <v>NORTON</v>
      </c>
      <c r="W2800" t="str">
        <f>VLOOKUP(L2800,'[2]tabela de preços'!$A:$F,6,0)</f>
        <v xml:space="preserve">DISCOS / LIXAS / ABRASIVOS </v>
      </c>
      <c r="X2800" t="str">
        <f>VLOOKUP(L2800,'[2]tabela de preços'!$A:$G,7,0)</f>
        <v>AUTOMOTIVO</v>
      </c>
    </row>
    <row r="2801" spans="1:24" x14ac:dyDescent="0.3">
      <c r="A2801" t="s">
        <v>1337</v>
      </c>
      <c r="C2801" t="s">
        <v>2445</v>
      </c>
      <c r="D2801" s="1">
        <v>46055</v>
      </c>
      <c r="E2801" t="s">
        <v>2446</v>
      </c>
      <c r="F2801">
        <v>9</v>
      </c>
      <c r="G2801">
        <v>174</v>
      </c>
      <c r="H2801" t="str">
        <f>VLOOKUP(G2801,[1]OPERADORES!$A:$B,2,0)</f>
        <v>MIRIÃ LOBATO RODRIGUES</v>
      </c>
      <c r="I2801" t="s">
        <v>21</v>
      </c>
      <c r="J2801" t="s">
        <v>1340</v>
      </c>
      <c r="K2801" t="s">
        <v>1341</v>
      </c>
      <c r="L2801">
        <v>10243</v>
      </c>
      <c r="M2801" t="s">
        <v>83</v>
      </c>
      <c r="O2801" t="s">
        <v>11</v>
      </c>
      <c r="P2801">
        <v>5102</v>
      </c>
      <c r="Q2801">
        <v>10</v>
      </c>
      <c r="R2801">
        <v>2.79</v>
      </c>
      <c r="S2801">
        <v>27.9</v>
      </c>
      <c r="T2801">
        <v>19.3</v>
      </c>
      <c r="U2801">
        <v>30.82</v>
      </c>
      <c r="V2801" t="str">
        <f>VLOOKUP(L2801,'[2]tabela de preços'!$A:$D,4,0)</f>
        <v>NORTON</v>
      </c>
      <c r="W2801" t="str">
        <f>VLOOKUP(L2801,'[2]tabela de preços'!$A:$F,6,0)</f>
        <v xml:space="preserve">DISCOS / LIXAS / ABRASIVOS </v>
      </c>
      <c r="X2801" t="str">
        <f>VLOOKUP(L2801,'[2]tabela de preços'!$A:$G,7,0)</f>
        <v>AUTOMOTIVO</v>
      </c>
    </row>
    <row r="2802" spans="1:24" x14ac:dyDescent="0.3">
      <c r="A2802" t="s">
        <v>1337</v>
      </c>
      <c r="C2802" t="s">
        <v>2445</v>
      </c>
      <c r="D2802" s="1">
        <v>46055</v>
      </c>
      <c r="E2802" t="s">
        <v>2446</v>
      </c>
      <c r="F2802">
        <v>9</v>
      </c>
      <c r="G2802">
        <v>174</v>
      </c>
      <c r="H2802" t="str">
        <f>VLOOKUP(G2802,[1]OPERADORES!$A:$B,2,0)</f>
        <v>MIRIÃ LOBATO RODRIGUES</v>
      </c>
      <c r="I2802" t="s">
        <v>21</v>
      </c>
      <c r="J2802" t="s">
        <v>1340</v>
      </c>
      <c r="K2802" t="s">
        <v>1341</v>
      </c>
      <c r="L2802">
        <v>10245</v>
      </c>
      <c r="M2802" t="s">
        <v>195</v>
      </c>
      <c r="O2802" t="s">
        <v>11</v>
      </c>
      <c r="P2802">
        <v>5102</v>
      </c>
      <c r="Q2802">
        <v>10</v>
      </c>
      <c r="R2802">
        <v>2.79</v>
      </c>
      <c r="S2802">
        <v>27.9</v>
      </c>
      <c r="T2802">
        <v>19.3</v>
      </c>
      <c r="U2802">
        <v>30.82</v>
      </c>
      <c r="V2802" t="str">
        <f>VLOOKUP(L2802,'[2]tabela de preços'!$A:$D,4,0)</f>
        <v>NORTON</v>
      </c>
      <c r="W2802" t="str">
        <f>VLOOKUP(L2802,'[2]tabela de preços'!$A:$F,6,0)</f>
        <v xml:space="preserve">DISCOS / LIXAS / ABRASIVOS </v>
      </c>
      <c r="X2802" t="str">
        <f>VLOOKUP(L2802,'[2]tabela de preços'!$A:$G,7,0)</f>
        <v>AUTOMOTIVO</v>
      </c>
    </row>
    <row r="2803" spans="1:24" x14ac:dyDescent="0.3">
      <c r="A2803" t="s">
        <v>1337</v>
      </c>
      <c r="C2803" t="s">
        <v>2445</v>
      </c>
      <c r="D2803" s="1">
        <v>46055</v>
      </c>
      <c r="E2803" t="s">
        <v>2446</v>
      </c>
      <c r="F2803">
        <v>9</v>
      </c>
      <c r="G2803">
        <v>174</v>
      </c>
      <c r="H2803" t="str">
        <f>VLOOKUP(G2803,[1]OPERADORES!$A:$B,2,0)</f>
        <v>MIRIÃ LOBATO RODRIGUES</v>
      </c>
      <c r="I2803" t="s">
        <v>21</v>
      </c>
      <c r="J2803" t="s">
        <v>1340</v>
      </c>
      <c r="K2803" t="s">
        <v>1341</v>
      </c>
      <c r="L2803">
        <v>21078</v>
      </c>
      <c r="M2803" t="s">
        <v>141</v>
      </c>
      <c r="O2803" t="s">
        <v>11</v>
      </c>
      <c r="P2803">
        <v>5102</v>
      </c>
      <c r="Q2803">
        <v>8</v>
      </c>
      <c r="R2803">
        <v>19.46</v>
      </c>
      <c r="S2803">
        <v>155.68</v>
      </c>
      <c r="T2803">
        <v>149.28</v>
      </c>
      <c r="U2803">
        <v>4.1100000000000003</v>
      </c>
      <c r="V2803" t="str">
        <f>VLOOKUP(L2803,'[2]tabela de preços'!$A:$D,4,0)</f>
        <v>SHERWIN WILLIAMS</v>
      </c>
      <c r="W2803" t="str">
        <f>VLOOKUP(L2803,'[2]tabela de preços'!$A:$F,6,0)</f>
        <v>MASSA POLIÉSTER</v>
      </c>
      <c r="X2803" t="str">
        <f>VLOOKUP(L2803,'[2]tabela de preços'!$A:$G,7,0)</f>
        <v>AUTOMOTIVO</v>
      </c>
    </row>
    <row r="2804" spans="1:24" x14ac:dyDescent="0.3">
      <c r="A2804" t="s">
        <v>1337</v>
      </c>
      <c r="C2804" t="s">
        <v>2445</v>
      </c>
      <c r="D2804" s="1">
        <v>46055</v>
      </c>
      <c r="E2804" t="s">
        <v>2446</v>
      </c>
      <c r="F2804">
        <v>9</v>
      </c>
      <c r="G2804">
        <v>174</v>
      </c>
      <c r="H2804" t="str">
        <f>VLOOKUP(G2804,[1]OPERADORES!$A:$B,2,0)</f>
        <v>MIRIÃ LOBATO RODRIGUES</v>
      </c>
      <c r="I2804" t="s">
        <v>21</v>
      </c>
      <c r="J2804" t="s">
        <v>1340</v>
      </c>
      <c r="K2804" t="s">
        <v>1341</v>
      </c>
      <c r="L2804">
        <v>24247</v>
      </c>
      <c r="M2804" t="s">
        <v>160</v>
      </c>
      <c r="O2804" t="s">
        <v>11</v>
      </c>
      <c r="P2804">
        <v>5405</v>
      </c>
      <c r="Q2804">
        <v>8</v>
      </c>
      <c r="R2804">
        <v>21</v>
      </c>
      <c r="S2804">
        <v>168</v>
      </c>
      <c r="T2804">
        <v>134.96</v>
      </c>
      <c r="U2804">
        <v>19.670000000000002</v>
      </c>
      <c r="V2804" t="str">
        <f>VLOOKUP(L2804,'[2]tabela de preços'!$A:$D,4,0)</f>
        <v>SHERWIN WILLIAMS</v>
      </c>
      <c r="W2804" t="str">
        <f>VLOOKUP(L2804,'[2]tabela de preços'!$A:$F,6,0)</f>
        <v>PRIMER AUTOMOTIVO</v>
      </c>
      <c r="X2804" t="str">
        <f>VLOOKUP(L2804,'[2]tabela de preços'!$A:$G,7,0)</f>
        <v>AUTOMOTIVO</v>
      </c>
    </row>
    <row r="2805" spans="1:24" x14ac:dyDescent="0.3">
      <c r="A2805" t="s">
        <v>1337</v>
      </c>
      <c r="C2805" t="s">
        <v>2445</v>
      </c>
      <c r="D2805" s="1">
        <v>46055</v>
      </c>
      <c r="E2805" t="s">
        <v>2446</v>
      </c>
      <c r="F2805">
        <v>9</v>
      </c>
      <c r="G2805">
        <v>174</v>
      </c>
      <c r="H2805" t="str">
        <f>VLOOKUP(G2805,[1]OPERADORES!$A:$B,2,0)</f>
        <v>MIRIÃ LOBATO RODRIGUES</v>
      </c>
      <c r="I2805" t="s">
        <v>21</v>
      </c>
      <c r="J2805" t="s">
        <v>1340</v>
      </c>
      <c r="K2805" t="s">
        <v>1341</v>
      </c>
      <c r="L2805">
        <v>10298</v>
      </c>
      <c r="M2805" t="s">
        <v>85</v>
      </c>
      <c r="O2805" t="s">
        <v>11</v>
      </c>
      <c r="P2805">
        <v>5102</v>
      </c>
      <c r="Q2805">
        <v>20</v>
      </c>
      <c r="R2805">
        <v>54.9</v>
      </c>
      <c r="S2805" s="2">
        <v>1098</v>
      </c>
      <c r="T2805">
        <v>947.6</v>
      </c>
      <c r="U2805">
        <v>13.7</v>
      </c>
      <c r="V2805" t="str">
        <f>VLOOKUP(L2805,'[2]tabela de preços'!$A:$D,4,0)</f>
        <v>ANJO</v>
      </c>
      <c r="W2805" t="str">
        <f>VLOOKUP(L2805,'[2]tabela de preços'!$A:$F,6,0)</f>
        <v>THINNER DE LIMPEZA</v>
      </c>
      <c r="X2805" t="str">
        <f>VLOOKUP(L2805,'[2]tabela de preços'!$A:$G,7,0)</f>
        <v>THINNER</v>
      </c>
    </row>
    <row r="2806" spans="1:24" x14ac:dyDescent="0.3">
      <c r="A2806" t="s">
        <v>1337</v>
      </c>
      <c r="C2806" t="s">
        <v>2445</v>
      </c>
      <c r="D2806" s="1">
        <v>46055</v>
      </c>
      <c r="E2806" t="s">
        <v>2446</v>
      </c>
      <c r="F2806">
        <v>9</v>
      </c>
      <c r="G2806">
        <v>174</v>
      </c>
      <c r="H2806" t="str">
        <f>VLOOKUP(G2806,[1]OPERADORES!$A:$B,2,0)</f>
        <v>MIRIÃ LOBATO RODRIGUES</v>
      </c>
      <c r="I2806" t="s">
        <v>21</v>
      </c>
      <c r="J2806" t="s">
        <v>1340</v>
      </c>
      <c r="K2806" t="s">
        <v>1341</v>
      </c>
      <c r="L2806">
        <v>20414</v>
      </c>
      <c r="M2806" t="s">
        <v>112</v>
      </c>
      <c r="O2806" t="s">
        <v>11</v>
      </c>
      <c r="P2806">
        <v>5102</v>
      </c>
      <c r="Q2806">
        <v>30</v>
      </c>
      <c r="R2806">
        <v>21.89</v>
      </c>
      <c r="S2806">
        <v>656.7</v>
      </c>
      <c r="T2806">
        <v>540</v>
      </c>
      <c r="U2806">
        <v>17.77</v>
      </c>
      <c r="V2806" t="str">
        <f>VLOOKUP(L2806,'[2]tabela de preços'!$A:$D,4,0)</f>
        <v>SHERWIN WILLIAMS</v>
      </c>
      <c r="W2806" t="str">
        <f>VLOOKUP(L2806,'[2]tabela de preços'!$A:$F,6,0)</f>
        <v>DILUENTE</v>
      </c>
      <c r="X2806" t="str">
        <f>VLOOKUP(L2806,'[2]tabela de preços'!$A:$G,7,0)</f>
        <v>AUTOMOTIVO</v>
      </c>
    </row>
    <row r="2807" spans="1:24" x14ac:dyDescent="0.3">
      <c r="A2807" t="s">
        <v>1381</v>
      </c>
      <c r="C2807" t="s">
        <v>2829</v>
      </c>
      <c r="D2807" s="1">
        <v>46062</v>
      </c>
      <c r="E2807" t="s">
        <v>2830</v>
      </c>
      <c r="F2807">
        <v>9</v>
      </c>
      <c r="G2807">
        <v>231</v>
      </c>
      <c r="H2807" t="str">
        <f>VLOOKUP(G2807,[1]OPERADORES!$A:$B,2,0)</f>
        <v>EDIJANE</v>
      </c>
      <c r="I2807" t="s">
        <v>168</v>
      </c>
      <c r="J2807" t="s">
        <v>1384</v>
      </c>
      <c r="K2807" t="s">
        <v>1385</v>
      </c>
      <c r="L2807">
        <v>85355</v>
      </c>
      <c r="M2807" t="s">
        <v>1434</v>
      </c>
      <c r="O2807" t="s">
        <v>11</v>
      </c>
      <c r="P2807">
        <v>6102</v>
      </c>
      <c r="Q2807">
        <v>1</v>
      </c>
      <c r="R2807">
        <v>594.16999999999996</v>
      </c>
      <c r="S2807">
        <v>594.16999999999996</v>
      </c>
      <c r="T2807">
        <v>423.65</v>
      </c>
      <c r="U2807">
        <v>28.7</v>
      </c>
      <c r="V2807" t="str">
        <f>VLOOKUP(L2807,'[2]tabela de preços'!$A:$D,4,0)</f>
        <v>BRASILUX</v>
      </c>
      <c r="W2807" t="str">
        <f>VLOOKUP(L2807,'[2]tabela de preços'!$A:$F,6,0)</f>
        <v>TINTA EM PÓ</v>
      </c>
      <c r="X2807" t="str">
        <f>VLOOKUP(L2807,'[2]tabela de preços'!$A:$G,7,0)</f>
        <v>INDUSTRIAL</v>
      </c>
    </row>
    <row r="2808" spans="1:24" x14ac:dyDescent="0.3">
      <c r="A2808" t="s">
        <v>1389</v>
      </c>
      <c r="C2808" t="s">
        <v>2521</v>
      </c>
      <c r="D2808" s="1">
        <v>46056</v>
      </c>
      <c r="E2808" t="s">
        <v>2522</v>
      </c>
      <c r="F2808">
        <v>9</v>
      </c>
      <c r="G2808">
        <v>230</v>
      </c>
      <c r="H2808" t="str">
        <f>VLOOKUP(G2808,[1]OPERADORES!$A:$B,2,0)</f>
        <v>SÔNIA</v>
      </c>
      <c r="I2808" t="s">
        <v>21</v>
      </c>
      <c r="J2808" t="s">
        <v>66</v>
      </c>
      <c r="K2808" t="s">
        <v>1392</v>
      </c>
      <c r="L2808">
        <v>84785</v>
      </c>
      <c r="M2808" t="s">
        <v>944</v>
      </c>
      <c r="O2808" t="s">
        <v>11</v>
      </c>
      <c r="P2808">
        <v>5403</v>
      </c>
      <c r="Q2808">
        <v>11</v>
      </c>
      <c r="R2808">
        <v>202.62</v>
      </c>
      <c r="S2808" s="2">
        <v>2228.8200000000002</v>
      </c>
      <c r="T2808" s="2">
        <v>1437.92</v>
      </c>
      <c r="U2808">
        <v>35.49</v>
      </c>
      <c r="V2808" t="str">
        <f>VLOOKUP(L2808,'[2]tabela de preços'!$A:$D,4,0)</f>
        <v>BRASILUX</v>
      </c>
      <c r="W2808" t="str">
        <f>VLOOKUP(L2808,'[2]tabela de preços'!$A:$F,6,0)</f>
        <v>EPOXI</v>
      </c>
      <c r="X2808" t="str">
        <f>VLOOKUP(L2808,'[2]tabela de preços'!$A:$G,7,0)</f>
        <v>INDUSTRIAL</v>
      </c>
    </row>
    <row r="2809" spans="1:24" x14ac:dyDescent="0.3">
      <c r="A2809" t="s">
        <v>1389</v>
      </c>
      <c r="C2809" t="s">
        <v>2521</v>
      </c>
      <c r="D2809" s="1">
        <v>46056</v>
      </c>
      <c r="E2809" t="s">
        <v>2522</v>
      </c>
      <c r="F2809">
        <v>9</v>
      </c>
      <c r="G2809">
        <v>230</v>
      </c>
      <c r="H2809" t="str">
        <f>VLOOKUP(G2809,[1]OPERADORES!$A:$B,2,0)</f>
        <v>SÔNIA</v>
      </c>
      <c r="I2809" t="s">
        <v>21</v>
      </c>
      <c r="J2809" t="s">
        <v>66</v>
      </c>
      <c r="K2809" t="s">
        <v>1392</v>
      </c>
      <c r="L2809">
        <v>85558</v>
      </c>
      <c r="M2809" t="s">
        <v>1643</v>
      </c>
      <c r="O2809" t="s">
        <v>11</v>
      </c>
      <c r="P2809">
        <v>5405</v>
      </c>
      <c r="Q2809">
        <v>23</v>
      </c>
      <c r="R2809">
        <v>164.47</v>
      </c>
      <c r="S2809" s="2">
        <v>3782.81</v>
      </c>
      <c r="T2809" s="2">
        <v>2871.09</v>
      </c>
      <c r="U2809">
        <v>24.1</v>
      </c>
      <c r="V2809" t="str">
        <f>VLOOKUP(L2809,'[2]tabela de preços'!$A:$D,4,0)</f>
        <v>BRASILUX</v>
      </c>
      <c r="W2809" t="str">
        <f>VLOOKUP(L2809,'[2]tabela de preços'!$A:$F,6,0)</f>
        <v>EPOXI</v>
      </c>
      <c r="X2809" t="str">
        <f>VLOOKUP(L2809,'[2]tabela de preços'!$A:$G,7,0)</f>
        <v>INDUSTRIAL</v>
      </c>
    </row>
    <row r="2810" spans="1:24" x14ac:dyDescent="0.3">
      <c r="A2810" t="s">
        <v>1389</v>
      </c>
      <c r="C2810" t="s">
        <v>2652</v>
      </c>
      <c r="D2810" s="1">
        <v>46057</v>
      </c>
      <c r="F2810">
        <v>9</v>
      </c>
      <c r="G2810">
        <v>230</v>
      </c>
      <c r="H2810" t="str">
        <f>VLOOKUP(G2810,[1]OPERADORES!$A:$B,2,0)</f>
        <v>SÔNIA</v>
      </c>
      <c r="I2810" t="s">
        <v>21</v>
      </c>
      <c r="J2810" t="s">
        <v>66</v>
      </c>
      <c r="K2810" t="s">
        <v>1392</v>
      </c>
      <c r="L2810">
        <v>84785</v>
      </c>
      <c r="M2810" t="s">
        <v>944</v>
      </c>
      <c r="N2810" t="s">
        <v>2653</v>
      </c>
      <c r="O2810" t="s">
        <v>11</v>
      </c>
      <c r="P2810">
        <v>1411</v>
      </c>
      <c r="Q2810">
        <v>-11</v>
      </c>
      <c r="R2810">
        <v>202.62</v>
      </c>
      <c r="S2810" s="2">
        <v>-2228.8200000000002</v>
      </c>
      <c r="T2810" s="2">
        <v>-1437.92</v>
      </c>
      <c r="U2810">
        <v>35.49</v>
      </c>
      <c r="V2810" t="str">
        <f>VLOOKUP(L2810,'[2]tabela de preços'!$A:$D,4,0)</f>
        <v>BRASILUX</v>
      </c>
      <c r="W2810" t="str">
        <f>VLOOKUP(L2810,'[2]tabela de preços'!$A:$F,6,0)</f>
        <v>EPOXI</v>
      </c>
      <c r="X2810" t="str">
        <f>VLOOKUP(L2810,'[2]tabela de preços'!$A:$G,7,0)</f>
        <v>INDUSTRIAL</v>
      </c>
    </row>
    <row r="2811" spans="1:24" x14ac:dyDescent="0.3">
      <c r="A2811" t="s">
        <v>1389</v>
      </c>
      <c r="C2811" t="s">
        <v>2652</v>
      </c>
      <c r="D2811" s="1">
        <v>46057</v>
      </c>
      <c r="F2811">
        <v>9</v>
      </c>
      <c r="G2811">
        <v>230</v>
      </c>
      <c r="H2811" t="str">
        <f>VLOOKUP(G2811,[1]OPERADORES!$A:$B,2,0)</f>
        <v>SÔNIA</v>
      </c>
      <c r="I2811" t="s">
        <v>21</v>
      </c>
      <c r="J2811" t="s">
        <v>66</v>
      </c>
      <c r="K2811" t="s">
        <v>1392</v>
      </c>
      <c r="L2811">
        <v>85558</v>
      </c>
      <c r="M2811" t="s">
        <v>1643</v>
      </c>
      <c r="N2811" t="s">
        <v>2653</v>
      </c>
      <c r="O2811" t="s">
        <v>11</v>
      </c>
      <c r="P2811">
        <v>1411</v>
      </c>
      <c r="Q2811">
        <v>-23</v>
      </c>
      <c r="R2811">
        <v>164.47</v>
      </c>
      <c r="S2811" s="2">
        <v>-3782.81</v>
      </c>
      <c r="T2811" s="2">
        <v>-2871.09</v>
      </c>
      <c r="U2811">
        <v>24.1</v>
      </c>
      <c r="V2811" t="str">
        <f>VLOOKUP(L2811,'[2]tabela de preços'!$A:$D,4,0)</f>
        <v>BRASILUX</v>
      </c>
      <c r="W2811" t="str">
        <f>VLOOKUP(L2811,'[2]tabela de preços'!$A:$F,6,0)</f>
        <v>EPOXI</v>
      </c>
      <c r="X2811" t="str">
        <f>VLOOKUP(L2811,'[2]tabela de preços'!$A:$G,7,0)</f>
        <v>INDUSTRIAL</v>
      </c>
    </row>
    <row r="2812" spans="1:24" x14ac:dyDescent="0.3">
      <c r="A2812" t="s">
        <v>1389</v>
      </c>
      <c r="C2812" t="s">
        <v>2654</v>
      </c>
      <c r="D2812" s="1">
        <v>46057</v>
      </c>
      <c r="E2812" t="s">
        <v>2655</v>
      </c>
      <c r="F2812">
        <v>9</v>
      </c>
      <c r="G2812">
        <v>230</v>
      </c>
      <c r="H2812" t="str">
        <f>VLOOKUP(G2812,[1]OPERADORES!$A:$B,2,0)</f>
        <v>SÔNIA</v>
      </c>
      <c r="I2812" t="s">
        <v>21</v>
      </c>
      <c r="J2812" t="s">
        <v>66</v>
      </c>
      <c r="K2812" t="s">
        <v>1392</v>
      </c>
      <c r="L2812">
        <v>5</v>
      </c>
      <c r="M2812" t="s">
        <v>147</v>
      </c>
      <c r="O2812" t="s">
        <v>11</v>
      </c>
      <c r="P2812">
        <v>5102</v>
      </c>
      <c r="Q2812">
        <v>2</v>
      </c>
      <c r="R2812">
        <v>6.06</v>
      </c>
      <c r="S2812">
        <v>12.12</v>
      </c>
      <c r="T2812">
        <v>7.82</v>
      </c>
      <c r="U2812">
        <v>35.479999999999997</v>
      </c>
      <c r="V2812" t="str">
        <f>VLOOKUP(L2812,'[2]tabela de preços'!$A:$D,4,0)</f>
        <v>BRILHO ESTOPA</v>
      </c>
      <c r="W2812" t="str">
        <f>VLOOKUP(L2812,'[2]tabela de preços'!$A:$F,6,0)</f>
        <v>ESTOPAS</v>
      </c>
      <c r="X2812" t="str">
        <f>VLOOKUP(L2812,'[2]tabela de preços'!$A:$G,7,0)</f>
        <v>AUTOMOTIVO</v>
      </c>
    </row>
    <row r="2813" spans="1:24" x14ac:dyDescent="0.3">
      <c r="A2813" t="s">
        <v>1389</v>
      </c>
      <c r="C2813" t="s">
        <v>2654</v>
      </c>
      <c r="D2813" s="1">
        <v>46057</v>
      </c>
      <c r="E2813" t="s">
        <v>2655</v>
      </c>
      <c r="F2813">
        <v>9</v>
      </c>
      <c r="G2813">
        <v>230</v>
      </c>
      <c r="H2813" t="str">
        <f>VLOOKUP(G2813,[1]OPERADORES!$A:$B,2,0)</f>
        <v>SÔNIA</v>
      </c>
      <c r="I2813" t="s">
        <v>21</v>
      </c>
      <c r="J2813" t="s">
        <v>66</v>
      </c>
      <c r="K2813" t="s">
        <v>1392</v>
      </c>
      <c r="L2813">
        <v>85677</v>
      </c>
      <c r="M2813" t="s">
        <v>2656</v>
      </c>
      <c r="O2813" t="s">
        <v>11</v>
      </c>
      <c r="P2813">
        <v>5102</v>
      </c>
      <c r="Q2813">
        <v>1</v>
      </c>
      <c r="R2813">
        <v>74.03</v>
      </c>
      <c r="S2813">
        <v>74.03</v>
      </c>
      <c r="T2813">
        <v>56.19</v>
      </c>
      <c r="U2813">
        <v>24.1</v>
      </c>
      <c r="V2813" t="str">
        <f>VLOOKUP(L2813,'[2]tabela de preços'!$A:$D,4,0)</f>
        <v>UNIPEGA</v>
      </c>
      <c r="W2813" t="str">
        <f>VLOOKUP(L2813,'[2]tabela de preços'!$A:$F,6,0)</f>
        <v>ESPUMA EXPANSIVA</v>
      </c>
      <c r="X2813" t="str">
        <f>VLOOKUP(L2813,'[2]tabela de preços'!$A:$G,7,0)</f>
        <v>IMOBILIÁRIO</v>
      </c>
    </row>
    <row r="2814" spans="1:24" x14ac:dyDescent="0.3">
      <c r="A2814" t="s">
        <v>1389</v>
      </c>
      <c r="C2814" t="s">
        <v>2654</v>
      </c>
      <c r="D2814" s="1">
        <v>46057</v>
      </c>
      <c r="E2814" t="s">
        <v>2655</v>
      </c>
      <c r="F2814">
        <v>9</v>
      </c>
      <c r="G2814">
        <v>230</v>
      </c>
      <c r="H2814" t="str">
        <f>VLOOKUP(G2814,[1]OPERADORES!$A:$B,2,0)</f>
        <v>SÔNIA</v>
      </c>
      <c r="I2814" t="s">
        <v>21</v>
      </c>
      <c r="J2814" t="s">
        <v>66</v>
      </c>
      <c r="K2814" t="s">
        <v>1392</v>
      </c>
      <c r="L2814">
        <v>84928</v>
      </c>
      <c r="M2814" t="s">
        <v>36</v>
      </c>
      <c r="O2814" t="s">
        <v>11</v>
      </c>
      <c r="P2814">
        <v>5102</v>
      </c>
      <c r="Q2814">
        <v>12</v>
      </c>
      <c r="R2814">
        <v>9.39</v>
      </c>
      <c r="S2814">
        <v>112.68</v>
      </c>
      <c r="T2814">
        <v>85.56</v>
      </c>
      <c r="U2814">
        <v>24.07</v>
      </c>
      <c r="V2814" t="str">
        <f>VLOOKUP(L2814,'[2]tabela de preços'!$A:$D,4,0)</f>
        <v>ADERE</v>
      </c>
      <c r="W2814" t="str">
        <f>VLOOKUP(L2814,'[2]tabela de preços'!$A:$F,6,0)</f>
        <v xml:space="preserve">FITA DE USO GERAL </v>
      </c>
      <c r="X2814" t="str">
        <f>VLOOKUP(L2814,'[2]tabela de preços'!$A:$G,7,0)</f>
        <v>IMOBILIÁRIO</v>
      </c>
    </row>
    <row r="2815" spans="1:24" x14ac:dyDescent="0.3">
      <c r="A2815" t="s">
        <v>1389</v>
      </c>
      <c r="C2815" t="s">
        <v>2654</v>
      </c>
      <c r="D2815" s="1">
        <v>46057</v>
      </c>
      <c r="E2815" t="s">
        <v>2655</v>
      </c>
      <c r="F2815">
        <v>9</v>
      </c>
      <c r="G2815">
        <v>230</v>
      </c>
      <c r="H2815" t="str">
        <f>VLOOKUP(G2815,[1]OPERADORES!$A:$B,2,0)</f>
        <v>SÔNIA</v>
      </c>
      <c r="I2815" t="s">
        <v>21</v>
      </c>
      <c r="J2815" t="s">
        <v>66</v>
      </c>
      <c r="K2815" t="s">
        <v>1392</v>
      </c>
      <c r="L2815">
        <v>84785</v>
      </c>
      <c r="M2815" t="s">
        <v>944</v>
      </c>
      <c r="O2815" t="s">
        <v>11</v>
      </c>
      <c r="P2815">
        <v>5403</v>
      </c>
      <c r="Q2815">
        <v>3</v>
      </c>
      <c r="R2815">
        <v>172.23</v>
      </c>
      <c r="S2815">
        <v>516.69000000000005</v>
      </c>
      <c r="T2815">
        <v>392.16</v>
      </c>
      <c r="U2815">
        <v>24.1</v>
      </c>
      <c r="V2815" t="str">
        <f>VLOOKUP(L2815,'[2]tabela de preços'!$A:$D,4,0)</f>
        <v>BRASILUX</v>
      </c>
      <c r="W2815" t="str">
        <f>VLOOKUP(L2815,'[2]tabela de preços'!$A:$F,6,0)</f>
        <v>EPOXI</v>
      </c>
      <c r="X2815" t="str">
        <f>VLOOKUP(L2815,'[2]tabela de preços'!$A:$G,7,0)</f>
        <v>INDUSTRIAL</v>
      </c>
    </row>
    <row r="2816" spans="1:24" x14ac:dyDescent="0.3">
      <c r="A2816" t="s">
        <v>1389</v>
      </c>
      <c r="C2816" t="s">
        <v>2654</v>
      </c>
      <c r="D2816" s="1">
        <v>46057</v>
      </c>
      <c r="E2816" t="s">
        <v>2655</v>
      </c>
      <c r="F2816">
        <v>9</v>
      </c>
      <c r="G2816">
        <v>230</v>
      </c>
      <c r="H2816" t="str">
        <f>VLOOKUP(G2816,[1]OPERADORES!$A:$B,2,0)</f>
        <v>SÔNIA</v>
      </c>
      <c r="I2816" t="s">
        <v>21</v>
      </c>
      <c r="J2816" t="s">
        <v>66</v>
      </c>
      <c r="K2816" t="s">
        <v>1392</v>
      </c>
      <c r="L2816">
        <v>85626</v>
      </c>
      <c r="M2816" t="s">
        <v>1040</v>
      </c>
      <c r="O2816" t="s">
        <v>11</v>
      </c>
      <c r="P2816">
        <v>5102</v>
      </c>
      <c r="Q2816">
        <v>1</v>
      </c>
      <c r="R2816">
        <v>34.9</v>
      </c>
      <c r="S2816">
        <v>34.9</v>
      </c>
      <c r="T2816">
        <v>28.68</v>
      </c>
      <c r="U2816">
        <v>17.82</v>
      </c>
      <c r="V2816" t="str">
        <f>VLOOKUP(L2816,'[2]tabela de preços'!$A:$D,4,0)</f>
        <v>WD-40</v>
      </c>
      <c r="W2816" t="str">
        <f>VLOOKUP(L2816,'[2]tabela de preços'!$A:$F,6,0)</f>
        <v>DESENGRIPANTE</v>
      </c>
      <c r="X2816" t="str">
        <f>VLOOKUP(L2816,'[2]tabela de preços'!$A:$G,7,0)</f>
        <v>AUTOMOTIVO</v>
      </c>
    </row>
    <row r="2817" spans="1:24" x14ac:dyDescent="0.3">
      <c r="A2817" t="s">
        <v>1389</v>
      </c>
      <c r="C2817" t="s">
        <v>2654</v>
      </c>
      <c r="D2817" s="1">
        <v>46057</v>
      </c>
      <c r="E2817" t="s">
        <v>2655</v>
      </c>
      <c r="F2817">
        <v>9</v>
      </c>
      <c r="G2817">
        <v>230</v>
      </c>
      <c r="H2817" t="str">
        <f>VLOOKUP(G2817,[1]OPERADORES!$A:$B,2,0)</f>
        <v>SÔNIA</v>
      </c>
      <c r="I2817" t="s">
        <v>21</v>
      </c>
      <c r="J2817" t="s">
        <v>66</v>
      </c>
      <c r="K2817" t="s">
        <v>1392</v>
      </c>
      <c r="L2817">
        <v>85226</v>
      </c>
      <c r="M2817" t="s">
        <v>2657</v>
      </c>
      <c r="O2817" t="s">
        <v>11</v>
      </c>
      <c r="P2817">
        <v>5102</v>
      </c>
      <c r="Q2817">
        <v>5</v>
      </c>
      <c r="R2817">
        <v>6.17</v>
      </c>
      <c r="S2817">
        <v>30.85</v>
      </c>
      <c r="T2817">
        <v>19.899999999999999</v>
      </c>
      <c r="U2817">
        <v>35.49</v>
      </c>
      <c r="V2817" t="str">
        <f>VLOOKUP(L2817,'[2]tabela de preços'!$A:$D,4,0)</f>
        <v>ATLAS</v>
      </c>
      <c r="W2817" t="str">
        <f>VLOOKUP(L2817,'[2]tabela de preços'!$A:$F,6,0)</f>
        <v>ROLOS / TRINCHAS / PINCÉIS / ESPÁTULAS</v>
      </c>
      <c r="X2817" t="str">
        <f>VLOOKUP(L2817,'[2]tabela de preços'!$A:$G,7,0)</f>
        <v>IMOBILIÁRIO</v>
      </c>
    </row>
    <row r="2818" spans="1:24" x14ac:dyDescent="0.3">
      <c r="A2818" t="s">
        <v>1389</v>
      </c>
      <c r="C2818" t="s">
        <v>2654</v>
      </c>
      <c r="D2818" s="1">
        <v>46057</v>
      </c>
      <c r="E2818" t="s">
        <v>2655</v>
      </c>
      <c r="F2818">
        <v>9</v>
      </c>
      <c r="G2818">
        <v>230</v>
      </c>
      <c r="H2818" t="str">
        <f>VLOOKUP(G2818,[1]OPERADORES!$A:$B,2,0)</f>
        <v>SÔNIA</v>
      </c>
      <c r="I2818" t="s">
        <v>21</v>
      </c>
      <c r="J2818" t="s">
        <v>66</v>
      </c>
      <c r="K2818" t="s">
        <v>1392</v>
      </c>
      <c r="L2818">
        <v>85227</v>
      </c>
      <c r="M2818" t="s">
        <v>1042</v>
      </c>
      <c r="O2818" t="s">
        <v>11</v>
      </c>
      <c r="P2818">
        <v>5102</v>
      </c>
      <c r="Q2818">
        <v>5</v>
      </c>
      <c r="R2818">
        <v>7.13</v>
      </c>
      <c r="S2818">
        <v>35.65</v>
      </c>
      <c r="T2818">
        <v>23</v>
      </c>
      <c r="U2818">
        <v>35.479999999999997</v>
      </c>
      <c r="V2818" t="str">
        <f>VLOOKUP(L2818,'[2]tabela de preços'!$A:$D,4,0)</f>
        <v>ATLAS</v>
      </c>
      <c r="W2818" t="str">
        <f>VLOOKUP(L2818,'[2]tabela de preços'!$A:$F,6,0)</f>
        <v>ROLOS / TRINCHAS / PINCÉIS / ESPÁTULAS</v>
      </c>
      <c r="X2818" t="str">
        <f>VLOOKUP(L2818,'[2]tabela de preços'!$A:$G,7,0)</f>
        <v>IMOBILIÁRIO</v>
      </c>
    </row>
    <row r="2819" spans="1:24" x14ac:dyDescent="0.3">
      <c r="A2819" t="s">
        <v>1389</v>
      </c>
      <c r="C2819" t="s">
        <v>2654</v>
      </c>
      <c r="D2819" s="1">
        <v>46057</v>
      </c>
      <c r="E2819" t="s">
        <v>2655</v>
      </c>
      <c r="F2819">
        <v>9</v>
      </c>
      <c r="G2819">
        <v>230</v>
      </c>
      <c r="H2819" t="str">
        <f>VLOOKUP(G2819,[1]OPERADORES!$A:$B,2,0)</f>
        <v>SÔNIA</v>
      </c>
      <c r="I2819" t="s">
        <v>21</v>
      </c>
      <c r="J2819" t="s">
        <v>66</v>
      </c>
      <c r="K2819" t="s">
        <v>1392</v>
      </c>
      <c r="L2819">
        <v>85558</v>
      </c>
      <c r="M2819" t="s">
        <v>1643</v>
      </c>
      <c r="O2819" t="s">
        <v>11</v>
      </c>
      <c r="P2819">
        <v>5405</v>
      </c>
      <c r="Q2819">
        <v>23</v>
      </c>
      <c r="R2819">
        <v>164.47</v>
      </c>
      <c r="S2819" s="2">
        <v>3782.81</v>
      </c>
      <c r="T2819" s="2">
        <v>2871.09</v>
      </c>
      <c r="U2819">
        <v>24.1</v>
      </c>
      <c r="V2819" t="str">
        <f>VLOOKUP(L2819,'[2]tabela de preços'!$A:$D,4,0)</f>
        <v>BRASILUX</v>
      </c>
      <c r="W2819" t="str">
        <f>VLOOKUP(L2819,'[2]tabela de preços'!$A:$F,6,0)</f>
        <v>EPOXI</v>
      </c>
      <c r="X2819" t="str">
        <f>VLOOKUP(L2819,'[2]tabela de preços'!$A:$G,7,0)</f>
        <v>INDUSTRIAL</v>
      </c>
    </row>
    <row r="2820" spans="1:24" x14ac:dyDescent="0.3">
      <c r="A2820" t="s">
        <v>1389</v>
      </c>
      <c r="C2820" t="s">
        <v>2654</v>
      </c>
      <c r="D2820" s="1">
        <v>46057</v>
      </c>
      <c r="E2820" t="s">
        <v>2655</v>
      </c>
      <c r="F2820">
        <v>9</v>
      </c>
      <c r="G2820">
        <v>230</v>
      </c>
      <c r="H2820" t="str">
        <f>VLOOKUP(G2820,[1]OPERADORES!$A:$B,2,0)</f>
        <v>SÔNIA</v>
      </c>
      <c r="I2820" t="s">
        <v>21</v>
      </c>
      <c r="J2820" t="s">
        <v>66</v>
      </c>
      <c r="K2820" t="s">
        <v>1392</v>
      </c>
      <c r="L2820">
        <v>10117</v>
      </c>
      <c r="M2820" t="s">
        <v>1043</v>
      </c>
      <c r="O2820" t="s">
        <v>11</v>
      </c>
      <c r="P2820">
        <v>5102</v>
      </c>
      <c r="Q2820">
        <v>5</v>
      </c>
      <c r="R2820">
        <v>7.67</v>
      </c>
      <c r="S2820">
        <v>38.35</v>
      </c>
      <c r="T2820">
        <v>24.75</v>
      </c>
      <c r="U2820">
        <v>35.46</v>
      </c>
      <c r="V2820" t="str">
        <f>VLOOKUP(L2820,'[2]tabela de preços'!$A:$D,4,0)</f>
        <v>ATLAS</v>
      </c>
      <c r="W2820" t="str">
        <f>VLOOKUP(L2820,'[2]tabela de preços'!$A:$F,6,0)</f>
        <v>ROLOS / TRINCHAS / PINCÉIS / ESPÁTULAS</v>
      </c>
      <c r="X2820" t="str">
        <f>VLOOKUP(L2820,'[2]tabela de preços'!$A:$G,7,0)</f>
        <v>IMOBILIÁRIO</v>
      </c>
    </row>
    <row r="2821" spans="1:24" x14ac:dyDescent="0.3">
      <c r="A2821" t="s">
        <v>1389</v>
      </c>
      <c r="C2821" t="s">
        <v>2831</v>
      </c>
      <c r="D2821" s="1">
        <v>46062</v>
      </c>
      <c r="E2821" t="s">
        <v>2832</v>
      </c>
      <c r="F2821">
        <v>9</v>
      </c>
      <c r="G2821">
        <v>236</v>
      </c>
      <c r="H2821" t="str">
        <f>VLOOKUP(G2821,[1]OPERADORES!$A:$B,2,0)</f>
        <v>DANIEL</v>
      </c>
      <c r="I2821" t="s">
        <v>21</v>
      </c>
      <c r="J2821" t="s">
        <v>66</v>
      </c>
      <c r="K2821" t="s">
        <v>1392</v>
      </c>
      <c r="L2821">
        <v>84439</v>
      </c>
      <c r="M2821" t="s">
        <v>2721</v>
      </c>
      <c r="O2821" t="s">
        <v>11</v>
      </c>
      <c r="P2821">
        <v>5102</v>
      </c>
      <c r="Q2821">
        <v>3</v>
      </c>
      <c r="R2821">
        <v>35.659999999999997</v>
      </c>
      <c r="S2821">
        <v>106.98</v>
      </c>
      <c r="T2821">
        <v>78.42</v>
      </c>
      <c r="U2821">
        <v>26.7</v>
      </c>
      <c r="V2821" t="str">
        <f>VLOOKUP(L2821,'[2]tabela de preços'!$A:$D,4,0)</f>
        <v>ATLAS</v>
      </c>
      <c r="W2821" t="str">
        <f>VLOOKUP(L2821,'[2]tabela de preços'!$A:$F,6,0)</f>
        <v>ROLOS / TRINCHAS / PINCÉIS / ESPÁTULAS</v>
      </c>
      <c r="X2821" t="str">
        <f>VLOOKUP(L2821,'[2]tabela de preços'!$A:$G,7,0)</f>
        <v>IMOBILIÁRIO</v>
      </c>
    </row>
    <row r="2822" spans="1:24" x14ac:dyDescent="0.3">
      <c r="A2822" t="s">
        <v>1389</v>
      </c>
      <c r="C2822" t="s">
        <v>2833</v>
      </c>
      <c r="D2822" s="1">
        <v>46062</v>
      </c>
      <c r="E2822" t="s">
        <v>2834</v>
      </c>
      <c r="F2822">
        <v>9</v>
      </c>
      <c r="G2822">
        <v>230</v>
      </c>
      <c r="H2822" t="str">
        <f>VLOOKUP(G2822,[1]OPERADORES!$A:$B,2,0)</f>
        <v>SÔNIA</v>
      </c>
      <c r="I2822" t="s">
        <v>21</v>
      </c>
      <c r="J2822" t="s">
        <v>66</v>
      </c>
      <c r="K2822" t="s">
        <v>1392</v>
      </c>
      <c r="L2822">
        <v>84024</v>
      </c>
      <c r="M2822" t="s">
        <v>2444</v>
      </c>
      <c r="O2822" t="s">
        <v>11</v>
      </c>
      <c r="P2822">
        <v>5102</v>
      </c>
      <c r="Q2822">
        <v>20</v>
      </c>
      <c r="R2822">
        <v>17.100000000000001</v>
      </c>
      <c r="S2822">
        <v>342</v>
      </c>
      <c r="T2822">
        <v>249.8</v>
      </c>
      <c r="U2822">
        <v>26.96</v>
      </c>
      <c r="V2822" t="str">
        <f>VLOOKUP(L2822,'[2]tabela de preços'!$A:$D,4,0)</f>
        <v>BRASILUX</v>
      </c>
      <c r="W2822" t="str">
        <f>VLOOKUP(L2822,'[2]tabela de preços'!$A:$F,6,0)</f>
        <v>EPOXI</v>
      </c>
      <c r="X2822" t="str">
        <f>VLOOKUP(L2822,'[2]tabela de preços'!$A:$G,7,0)</f>
        <v>INDUSTRIAL</v>
      </c>
    </row>
    <row r="2823" spans="1:24" x14ac:dyDescent="0.3">
      <c r="A2823" t="s">
        <v>1389</v>
      </c>
      <c r="C2823" t="s">
        <v>2833</v>
      </c>
      <c r="D2823" s="1">
        <v>46062</v>
      </c>
      <c r="E2823" t="s">
        <v>2834</v>
      </c>
      <c r="F2823">
        <v>9</v>
      </c>
      <c r="G2823">
        <v>230</v>
      </c>
      <c r="H2823" t="str">
        <f>VLOOKUP(G2823,[1]OPERADORES!$A:$B,2,0)</f>
        <v>SÔNIA</v>
      </c>
      <c r="I2823" t="s">
        <v>21</v>
      </c>
      <c r="J2823" t="s">
        <v>66</v>
      </c>
      <c r="K2823" t="s">
        <v>1392</v>
      </c>
      <c r="L2823">
        <v>84785</v>
      </c>
      <c r="M2823" t="s">
        <v>944</v>
      </c>
      <c r="O2823" t="s">
        <v>11</v>
      </c>
      <c r="P2823">
        <v>5403</v>
      </c>
      <c r="Q2823">
        <v>4</v>
      </c>
      <c r="R2823">
        <v>172.23</v>
      </c>
      <c r="S2823">
        <v>688.92</v>
      </c>
      <c r="T2823">
        <v>522.88</v>
      </c>
      <c r="U2823">
        <v>24.1</v>
      </c>
      <c r="V2823" t="str">
        <f>VLOOKUP(L2823,'[2]tabela de preços'!$A:$D,4,0)</f>
        <v>BRASILUX</v>
      </c>
      <c r="W2823" t="str">
        <f>VLOOKUP(L2823,'[2]tabela de preços'!$A:$F,6,0)</f>
        <v>EPOXI</v>
      </c>
      <c r="X2823" t="str">
        <f>VLOOKUP(L2823,'[2]tabela de preços'!$A:$G,7,0)</f>
        <v>INDUSTRIAL</v>
      </c>
    </row>
    <row r="2824" spans="1:24" x14ac:dyDescent="0.3">
      <c r="A2824" t="s">
        <v>1411</v>
      </c>
      <c r="C2824" t="s">
        <v>2447</v>
      </c>
      <c r="D2824" s="1">
        <v>46055</v>
      </c>
      <c r="E2824" t="s">
        <v>2448</v>
      </c>
      <c r="F2824">
        <v>9</v>
      </c>
      <c r="G2824">
        <v>197</v>
      </c>
      <c r="H2824" t="str">
        <f>VLOOKUP(G2824,[1]OPERADORES!$A:$B,2,0)</f>
        <v xml:space="preserve">POLIANA LORRANE DE AMORIM </v>
      </c>
      <c r="I2824" t="s">
        <v>21</v>
      </c>
      <c r="J2824" t="s">
        <v>1414</v>
      </c>
      <c r="K2824" t="s">
        <v>1415</v>
      </c>
      <c r="L2824">
        <v>23399</v>
      </c>
      <c r="M2824" t="s">
        <v>462</v>
      </c>
      <c r="O2824" t="s">
        <v>11</v>
      </c>
      <c r="P2824">
        <v>5102</v>
      </c>
      <c r="Q2824">
        <v>1</v>
      </c>
      <c r="R2824">
        <v>239.3</v>
      </c>
      <c r="S2824">
        <v>239.3</v>
      </c>
      <c r="T2824">
        <v>175.44</v>
      </c>
      <c r="U2824">
        <v>26.69</v>
      </c>
      <c r="V2824" t="str">
        <f>VLOOKUP(L2824,'[2]tabela de preços'!$A:$D,4,0)</f>
        <v>3M</v>
      </c>
      <c r="W2824" t="str">
        <f>VLOOKUP(L2824,'[2]tabela de preços'!$A:$F,6,0)</f>
        <v>EPI´S</v>
      </c>
      <c r="X2824" t="str">
        <f>VLOOKUP(L2824,'[2]tabela de preços'!$A:$G,7,0)</f>
        <v>AUTOMOTIVO</v>
      </c>
    </row>
    <row r="2825" spans="1:24" x14ac:dyDescent="0.3">
      <c r="A2825" t="s">
        <v>2835</v>
      </c>
      <c r="C2825" t="s">
        <v>2836</v>
      </c>
      <c r="D2825" s="1">
        <v>46062</v>
      </c>
      <c r="E2825" t="s">
        <v>2837</v>
      </c>
      <c r="F2825">
        <v>9</v>
      </c>
      <c r="G2825">
        <v>231</v>
      </c>
      <c r="H2825" t="str">
        <f>VLOOKUP(G2825,[1]OPERADORES!$A:$B,2,0)</f>
        <v>EDIJANE</v>
      </c>
      <c r="I2825" t="s">
        <v>21</v>
      </c>
      <c r="J2825" t="s">
        <v>104</v>
      </c>
      <c r="K2825" t="s">
        <v>2838</v>
      </c>
      <c r="L2825">
        <v>85318</v>
      </c>
      <c r="M2825" t="s">
        <v>258</v>
      </c>
      <c r="O2825" t="s">
        <v>11</v>
      </c>
      <c r="P2825">
        <v>5102</v>
      </c>
      <c r="Q2825">
        <v>1</v>
      </c>
      <c r="R2825">
        <v>775.32</v>
      </c>
      <c r="S2825">
        <v>775.32</v>
      </c>
      <c r="T2825">
        <v>552.80999999999995</v>
      </c>
      <c r="U2825">
        <v>28.7</v>
      </c>
      <c r="V2825" t="str">
        <f>VLOOKUP(L2825,'[2]tabela de preços'!$A:$D,4,0)</f>
        <v>BRASILUX</v>
      </c>
      <c r="W2825" t="str">
        <f>VLOOKUP(L2825,'[2]tabela de preços'!$A:$F,6,0)</f>
        <v>TINTA EM PÓ</v>
      </c>
      <c r="X2825" t="str">
        <f>VLOOKUP(L2825,'[2]tabela de preços'!$A:$G,7,0)</f>
        <v>INDUSTRIAL</v>
      </c>
    </row>
    <row r="2826" spans="1:24" x14ac:dyDescent="0.3">
      <c r="A2826" t="s">
        <v>1424</v>
      </c>
      <c r="C2826" t="s">
        <v>2658</v>
      </c>
      <c r="D2826" s="1">
        <v>46057</v>
      </c>
      <c r="E2826" t="s">
        <v>2659</v>
      </c>
      <c r="F2826">
        <v>9</v>
      </c>
      <c r="G2826">
        <v>230</v>
      </c>
      <c r="H2826" t="str">
        <f>VLOOKUP(G2826,[1]OPERADORES!$A:$B,2,0)</f>
        <v>SÔNIA</v>
      </c>
      <c r="I2826" t="s">
        <v>21</v>
      </c>
      <c r="J2826" t="s">
        <v>1427</v>
      </c>
      <c r="K2826" t="s">
        <v>1428</v>
      </c>
      <c r="L2826">
        <v>84325</v>
      </c>
      <c r="M2826" t="s">
        <v>678</v>
      </c>
      <c r="O2826" t="s">
        <v>11</v>
      </c>
      <c r="P2826">
        <v>5403</v>
      </c>
      <c r="Q2826">
        <v>1</v>
      </c>
      <c r="R2826">
        <v>59.98</v>
      </c>
      <c r="S2826">
        <v>59.98</v>
      </c>
      <c r="T2826">
        <v>52</v>
      </c>
      <c r="U2826">
        <v>13.3</v>
      </c>
      <c r="V2826" t="str">
        <f>VLOOKUP(L2826,'[2]tabela de preços'!$A:$D,4,0)</f>
        <v>BRASILUX</v>
      </c>
      <c r="W2826" t="str">
        <f>VLOOKUP(L2826,'[2]tabela de preços'!$A:$F,6,0)</f>
        <v>ESMALTES</v>
      </c>
      <c r="X2826" t="str">
        <f>VLOOKUP(L2826,'[2]tabela de preços'!$A:$G,7,0)</f>
        <v>INDUSTRIAL</v>
      </c>
    </row>
    <row r="2827" spans="1:24" x14ac:dyDescent="0.3">
      <c r="A2827" t="s">
        <v>1424</v>
      </c>
      <c r="C2827" t="s">
        <v>2658</v>
      </c>
      <c r="D2827" s="1">
        <v>46057</v>
      </c>
      <c r="E2827" t="s">
        <v>2659</v>
      </c>
      <c r="F2827">
        <v>9</v>
      </c>
      <c r="G2827">
        <v>230</v>
      </c>
      <c r="H2827" t="str">
        <f>VLOOKUP(G2827,[1]OPERADORES!$A:$B,2,0)</f>
        <v>SÔNIA</v>
      </c>
      <c r="I2827" t="s">
        <v>21</v>
      </c>
      <c r="J2827" t="s">
        <v>1427</v>
      </c>
      <c r="K2827" t="s">
        <v>1428</v>
      </c>
      <c r="L2827">
        <v>84175</v>
      </c>
      <c r="M2827" t="s">
        <v>1429</v>
      </c>
      <c r="O2827" t="s">
        <v>11</v>
      </c>
      <c r="P2827">
        <v>5403</v>
      </c>
      <c r="Q2827">
        <v>1</v>
      </c>
      <c r="R2827">
        <v>107.97</v>
      </c>
      <c r="S2827">
        <v>107.97</v>
      </c>
      <c r="T2827">
        <v>69.66</v>
      </c>
      <c r="U2827">
        <v>35.479999999999997</v>
      </c>
      <c r="V2827" t="str">
        <f>VLOOKUP(L2827,'[2]tabela de preços'!$A:$D,4,0)</f>
        <v>BRASILUX</v>
      </c>
      <c r="W2827" t="str">
        <f>VLOOKUP(L2827,'[2]tabela de preços'!$A:$F,6,0)</f>
        <v>ESMALTES</v>
      </c>
      <c r="X2827" t="str">
        <f>VLOOKUP(L2827,'[2]tabela de preços'!$A:$G,7,0)</f>
        <v>INDUSTRIAL</v>
      </c>
    </row>
    <row r="2828" spans="1:24" x14ac:dyDescent="0.3">
      <c r="A2828" t="s">
        <v>1430</v>
      </c>
      <c r="C2828" t="s">
        <v>2449</v>
      </c>
      <c r="D2828" s="1">
        <v>46055</v>
      </c>
      <c r="E2828" t="s">
        <v>2450</v>
      </c>
      <c r="F2828">
        <v>9</v>
      </c>
      <c r="G2828">
        <v>197</v>
      </c>
      <c r="H2828" t="str">
        <f>VLOOKUP(G2828,[1]OPERADORES!$A:$B,2,0)</f>
        <v xml:space="preserve">POLIANA LORRANE DE AMORIM </v>
      </c>
      <c r="I2828" t="s">
        <v>21</v>
      </c>
      <c r="J2828" t="s">
        <v>363</v>
      </c>
      <c r="K2828" t="s">
        <v>1433</v>
      </c>
      <c r="L2828">
        <v>85401</v>
      </c>
      <c r="M2828" t="s">
        <v>261</v>
      </c>
      <c r="O2828" t="s">
        <v>11</v>
      </c>
      <c r="P2828">
        <v>5102</v>
      </c>
      <c r="Q2828">
        <v>1</v>
      </c>
      <c r="R2828">
        <v>670.69</v>
      </c>
      <c r="S2828">
        <v>670.69</v>
      </c>
      <c r="T2828">
        <v>451.64</v>
      </c>
      <c r="U2828">
        <v>32.659999999999997</v>
      </c>
      <c r="V2828" t="str">
        <f>VLOOKUP(L2828,'[2]tabela de preços'!$A:$D,4,0)</f>
        <v>BRASILUX</v>
      </c>
      <c r="W2828" t="str">
        <f>VLOOKUP(L2828,'[2]tabela de preços'!$A:$F,6,0)</f>
        <v>TINTA EM PÓ</v>
      </c>
      <c r="X2828" t="str">
        <f>VLOOKUP(L2828,'[2]tabela de preços'!$A:$G,7,0)</f>
        <v>INDUSTRIAL</v>
      </c>
    </row>
    <row r="2829" spans="1:24" x14ac:dyDescent="0.3">
      <c r="A2829" t="s">
        <v>1430</v>
      </c>
      <c r="C2829" t="s">
        <v>2660</v>
      </c>
      <c r="D2829" s="1">
        <v>46057</v>
      </c>
      <c r="E2829" t="s">
        <v>2661</v>
      </c>
      <c r="F2829">
        <v>9</v>
      </c>
      <c r="G2829">
        <v>197</v>
      </c>
      <c r="H2829" t="str">
        <f>VLOOKUP(G2829,[1]OPERADORES!$A:$B,2,0)</f>
        <v xml:space="preserve">POLIANA LORRANE DE AMORIM </v>
      </c>
      <c r="I2829" t="s">
        <v>21</v>
      </c>
      <c r="J2829" t="s">
        <v>363</v>
      </c>
      <c r="K2829" t="s">
        <v>1433</v>
      </c>
      <c r="L2829">
        <v>85318</v>
      </c>
      <c r="M2829" t="s">
        <v>258</v>
      </c>
      <c r="O2829" t="s">
        <v>11</v>
      </c>
      <c r="P2829">
        <v>5102</v>
      </c>
      <c r="Q2829">
        <v>1</v>
      </c>
      <c r="R2829">
        <v>775.32</v>
      </c>
      <c r="S2829">
        <v>775.32</v>
      </c>
      <c r="T2829">
        <v>552.80999999999995</v>
      </c>
      <c r="U2829">
        <v>28.7</v>
      </c>
      <c r="V2829" t="str">
        <f>VLOOKUP(L2829,'[2]tabela de preços'!$A:$D,4,0)</f>
        <v>BRASILUX</v>
      </c>
      <c r="W2829" t="str">
        <f>VLOOKUP(L2829,'[2]tabela de preços'!$A:$F,6,0)</f>
        <v>TINTA EM PÓ</v>
      </c>
      <c r="X2829" t="str">
        <f>VLOOKUP(L2829,'[2]tabela de preços'!$A:$G,7,0)</f>
        <v>INDUSTRIAL</v>
      </c>
    </row>
    <row r="2830" spans="1:24" x14ac:dyDescent="0.3">
      <c r="A2830" t="s">
        <v>1460</v>
      </c>
      <c r="C2830" t="s">
        <v>2662</v>
      </c>
      <c r="D2830" s="1">
        <v>46058</v>
      </c>
      <c r="E2830" t="s">
        <v>2663</v>
      </c>
      <c r="F2830">
        <v>9</v>
      </c>
      <c r="G2830">
        <v>231</v>
      </c>
      <c r="H2830" t="str">
        <f>VLOOKUP(G2830,[1]OPERADORES!$A:$B,2,0)</f>
        <v>EDIJANE</v>
      </c>
      <c r="I2830" t="s">
        <v>21</v>
      </c>
      <c r="J2830" t="s">
        <v>1463</v>
      </c>
      <c r="K2830" t="s">
        <v>1464</v>
      </c>
      <c r="L2830">
        <v>85472</v>
      </c>
      <c r="M2830" t="s">
        <v>1465</v>
      </c>
      <c r="O2830" t="s">
        <v>11</v>
      </c>
      <c r="P2830">
        <v>5102</v>
      </c>
      <c r="Q2830">
        <v>2</v>
      </c>
      <c r="R2830">
        <v>554.63</v>
      </c>
      <c r="S2830" s="2">
        <v>1109.26</v>
      </c>
      <c r="T2830">
        <v>790.92</v>
      </c>
      <c r="U2830">
        <v>28.7</v>
      </c>
      <c r="V2830" t="str">
        <f>VLOOKUP(L2830,'[2]tabela de preços'!$A:$D,4,0)</f>
        <v>BRASILUX</v>
      </c>
      <c r="W2830" t="str">
        <f>VLOOKUP(L2830,'[2]tabela de preços'!$A:$F,6,0)</f>
        <v>TINTA EM PÓ</v>
      </c>
      <c r="X2830" t="str">
        <f>VLOOKUP(L2830,'[2]tabela de preços'!$A:$G,7,0)</f>
        <v>INDUSTRIAL</v>
      </c>
    </row>
    <row r="2831" spans="1:24" x14ac:dyDescent="0.3">
      <c r="A2831" t="s">
        <v>1468</v>
      </c>
      <c r="C2831" t="s">
        <v>2451</v>
      </c>
      <c r="D2831" s="1">
        <v>46055</v>
      </c>
      <c r="E2831" t="s">
        <v>2452</v>
      </c>
      <c r="F2831">
        <v>9</v>
      </c>
      <c r="G2831">
        <v>174</v>
      </c>
      <c r="H2831" t="str">
        <f>VLOOKUP(G2831,[1]OPERADORES!$A:$B,2,0)</f>
        <v>MIRIÃ LOBATO RODRIGUES</v>
      </c>
      <c r="I2831" t="s">
        <v>21</v>
      </c>
      <c r="J2831" t="s">
        <v>494</v>
      </c>
      <c r="K2831" t="s">
        <v>1471</v>
      </c>
      <c r="L2831">
        <v>84976</v>
      </c>
      <c r="M2831" t="s">
        <v>2453</v>
      </c>
      <c r="O2831" t="s">
        <v>11</v>
      </c>
      <c r="P2831">
        <v>5403</v>
      </c>
      <c r="Q2831">
        <v>1</v>
      </c>
      <c r="R2831">
        <v>271.19</v>
      </c>
      <c r="S2831">
        <v>271.19</v>
      </c>
      <c r="T2831">
        <v>198.82</v>
      </c>
      <c r="U2831">
        <v>26.69</v>
      </c>
      <c r="V2831" t="str">
        <f>VLOOKUP(L2831,'[2]tabela de preços'!$A:$D,4,0)</f>
        <v>BRASILUX</v>
      </c>
      <c r="W2831" t="str">
        <f>VLOOKUP(L2831,'[2]tabela de preços'!$A:$F,6,0)</f>
        <v>TINTA EMBORRACHADA</v>
      </c>
      <c r="X2831" t="str">
        <f>VLOOKUP(L2831,'[2]tabela de preços'!$A:$G,7,0)</f>
        <v>IMOBILIÁRIO</v>
      </c>
    </row>
    <row r="2832" spans="1:24" x14ac:dyDescent="0.3">
      <c r="A2832" t="s">
        <v>1468</v>
      </c>
      <c r="C2832" t="s">
        <v>2664</v>
      </c>
      <c r="D2832" s="1">
        <v>46058</v>
      </c>
      <c r="E2832" t="s">
        <v>2665</v>
      </c>
      <c r="F2832">
        <v>9</v>
      </c>
      <c r="G2832">
        <v>174</v>
      </c>
      <c r="H2832" t="str">
        <f>VLOOKUP(G2832,[1]OPERADORES!$A:$B,2,0)</f>
        <v>MIRIÃ LOBATO RODRIGUES</v>
      </c>
      <c r="I2832" t="s">
        <v>21</v>
      </c>
      <c r="J2832" t="s">
        <v>494</v>
      </c>
      <c r="K2832" t="s">
        <v>1471</v>
      </c>
      <c r="L2832">
        <v>10236</v>
      </c>
      <c r="M2832" t="s">
        <v>133</v>
      </c>
      <c r="O2832" t="s">
        <v>11</v>
      </c>
      <c r="P2832">
        <v>5102</v>
      </c>
      <c r="Q2832">
        <v>102</v>
      </c>
      <c r="R2832">
        <v>2.79</v>
      </c>
      <c r="S2832">
        <v>284.58</v>
      </c>
      <c r="T2832">
        <v>236.64</v>
      </c>
      <c r="U2832">
        <v>16.850000000000001</v>
      </c>
      <c r="V2832" t="str">
        <f>VLOOKUP(L2832,'[2]tabela de preços'!$A:$D,4,0)</f>
        <v>NORTON</v>
      </c>
      <c r="W2832" t="str">
        <f>VLOOKUP(L2832,'[2]tabela de preços'!$A:$F,6,0)</f>
        <v xml:space="preserve">DISCOS / LIXAS / ABRASIVOS </v>
      </c>
      <c r="X2832" t="str">
        <f>VLOOKUP(L2832,'[2]tabela de preços'!$A:$G,7,0)</f>
        <v>AUTOMOTIVO</v>
      </c>
    </row>
    <row r="2833" spans="1:24" x14ac:dyDescent="0.3">
      <c r="A2833" t="s">
        <v>1468</v>
      </c>
      <c r="C2833" t="s">
        <v>2664</v>
      </c>
      <c r="D2833" s="1">
        <v>46058</v>
      </c>
      <c r="E2833" t="s">
        <v>2665</v>
      </c>
      <c r="F2833">
        <v>9</v>
      </c>
      <c r="G2833">
        <v>174</v>
      </c>
      <c r="H2833" t="str">
        <f>VLOOKUP(G2833,[1]OPERADORES!$A:$B,2,0)</f>
        <v>MIRIÃ LOBATO RODRIGUES</v>
      </c>
      <c r="I2833" t="s">
        <v>21</v>
      </c>
      <c r="J2833" t="s">
        <v>494</v>
      </c>
      <c r="K2833" t="s">
        <v>1471</v>
      </c>
      <c r="L2833">
        <v>10226</v>
      </c>
      <c r="M2833" t="s">
        <v>145</v>
      </c>
      <c r="O2833" t="s">
        <v>11</v>
      </c>
      <c r="P2833">
        <v>5102</v>
      </c>
      <c r="Q2833">
        <v>102</v>
      </c>
      <c r="R2833">
        <v>2.79</v>
      </c>
      <c r="S2833">
        <v>284.58</v>
      </c>
      <c r="T2833">
        <v>236.64</v>
      </c>
      <c r="U2833">
        <v>16.850000000000001</v>
      </c>
      <c r="V2833" t="str">
        <f>VLOOKUP(L2833,'[2]tabela de preços'!$A:$D,4,0)</f>
        <v>NORTON</v>
      </c>
      <c r="W2833" t="str">
        <f>VLOOKUP(L2833,'[2]tabela de preços'!$A:$F,6,0)</f>
        <v xml:space="preserve">DISCOS / LIXAS / ABRASIVOS </v>
      </c>
      <c r="X2833" t="str">
        <f>VLOOKUP(L2833,'[2]tabela de preços'!$A:$G,7,0)</f>
        <v>AUTOMOTIVO</v>
      </c>
    </row>
    <row r="2834" spans="1:24" x14ac:dyDescent="0.3">
      <c r="A2834" t="s">
        <v>1468</v>
      </c>
      <c r="C2834" t="s">
        <v>2664</v>
      </c>
      <c r="D2834" s="1">
        <v>46058</v>
      </c>
      <c r="E2834" t="s">
        <v>2665</v>
      </c>
      <c r="F2834">
        <v>9</v>
      </c>
      <c r="G2834">
        <v>174</v>
      </c>
      <c r="H2834" t="str">
        <f>VLOOKUP(G2834,[1]OPERADORES!$A:$B,2,0)</f>
        <v>MIRIÃ LOBATO RODRIGUES</v>
      </c>
      <c r="I2834" t="s">
        <v>21</v>
      </c>
      <c r="J2834" t="s">
        <v>494</v>
      </c>
      <c r="K2834" t="s">
        <v>1471</v>
      </c>
      <c r="L2834">
        <v>10230</v>
      </c>
      <c r="M2834" t="s">
        <v>193</v>
      </c>
      <c r="O2834" t="s">
        <v>11</v>
      </c>
      <c r="P2834">
        <v>5102</v>
      </c>
      <c r="Q2834">
        <v>102</v>
      </c>
      <c r="R2834">
        <v>2.79</v>
      </c>
      <c r="S2834">
        <v>284.58</v>
      </c>
      <c r="T2834">
        <v>236.64</v>
      </c>
      <c r="U2834">
        <v>16.850000000000001</v>
      </c>
      <c r="V2834" t="str">
        <f>VLOOKUP(L2834,'[2]tabela de preços'!$A:$D,4,0)</f>
        <v>NORTON</v>
      </c>
      <c r="W2834" t="str">
        <f>VLOOKUP(L2834,'[2]tabela de preços'!$A:$F,6,0)</f>
        <v xml:space="preserve">DISCOS / LIXAS / ABRASIVOS </v>
      </c>
      <c r="X2834" t="str">
        <f>VLOOKUP(L2834,'[2]tabela de preços'!$A:$G,7,0)</f>
        <v>AUTOMOTIVO</v>
      </c>
    </row>
    <row r="2835" spans="1:24" x14ac:dyDescent="0.3">
      <c r="A2835" t="s">
        <v>1468</v>
      </c>
      <c r="C2835" t="s">
        <v>2664</v>
      </c>
      <c r="D2835" s="1">
        <v>46058</v>
      </c>
      <c r="E2835" t="s">
        <v>2665</v>
      </c>
      <c r="F2835">
        <v>9</v>
      </c>
      <c r="G2835">
        <v>174</v>
      </c>
      <c r="H2835" t="str">
        <f>VLOOKUP(G2835,[1]OPERADORES!$A:$B,2,0)</f>
        <v>MIRIÃ LOBATO RODRIGUES</v>
      </c>
      <c r="I2835" t="s">
        <v>21</v>
      </c>
      <c r="J2835" t="s">
        <v>494</v>
      </c>
      <c r="K2835" t="s">
        <v>1471</v>
      </c>
      <c r="L2835">
        <v>10232</v>
      </c>
      <c r="M2835" t="s">
        <v>134</v>
      </c>
      <c r="O2835" t="s">
        <v>11</v>
      </c>
      <c r="P2835">
        <v>5102</v>
      </c>
      <c r="Q2835">
        <v>102</v>
      </c>
      <c r="R2835">
        <v>2.79</v>
      </c>
      <c r="S2835">
        <v>284.58</v>
      </c>
      <c r="T2835">
        <v>229.5</v>
      </c>
      <c r="U2835">
        <v>19.350000000000001</v>
      </c>
      <c r="V2835" t="str">
        <f>VLOOKUP(L2835,'[2]tabela de preços'!$A:$D,4,0)</f>
        <v>NORTON</v>
      </c>
      <c r="W2835" t="str">
        <f>VLOOKUP(L2835,'[2]tabela de preços'!$A:$F,6,0)</f>
        <v xml:space="preserve">DISCOS / LIXAS / ABRASIVOS </v>
      </c>
      <c r="X2835" t="str">
        <f>VLOOKUP(L2835,'[2]tabela de preços'!$A:$G,7,0)</f>
        <v>AUTOMOTIVO</v>
      </c>
    </row>
    <row r="2836" spans="1:24" x14ac:dyDescent="0.3">
      <c r="A2836" t="s">
        <v>1468</v>
      </c>
      <c r="C2836" t="s">
        <v>2664</v>
      </c>
      <c r="D2836" s="1">
        <v>46058</v>
      </c>
      <c r="E2836" t="s">
        <v>2665</v>
      </c>
      <c r="F2836">
        <v>9</v>
      </c>
      <c r="G2836">
        <v>174</v>
      </c>
      <c r="H2836" t="str">
        <f>VLOOKUP(G2836,[1]OPERADORES!$A:$B,2,0)</f>
        <v>MIRIÃ LOBATO RODRIGUES</v>
      </c>
      <c r="I2836" t="s">
        <v>21</v>
      </c>
      <c r="J2836" t="s">
        <v>494</v>
      </c>
      <c r="K2836" t="s">
        <v>1471</v>
      </c>
      <c r="L2836">
        <v>23364</v>
      </c>
      <c r="M2836" t="s">
        <v>55</v>
      </c>
      <c r="O2836" t="s">
        <v>11</v>
      </c>
      <c r="P2836">
        <v>5102</v>
      </c>
      <c r="Q2836">
        <v>15</v>
      </c>
      <c r="R2836">
        <v>6.19</v>
      </c>
      <c r="S2836">
        <v>92.85</v>
      </c>
      <c r="T2836">
        <v>73.650000000000006</v>
      </c>
      <c r="U2836">
        <v>20.68</v>
      </c>
      <c r="V2836" t="str">
        <f>VLOOKUP(L2836,'[2]tabela de preços'!$A:$D,4,0)</f>
        <v>AUTO AMERICA</v>
      </c>
      <c r="W2836" t="str">
        <f>VLOOKUP(L2836,'[2]tabela de preços'!$A:$F,6,0)</f>
        <v>FLANELAS / PANOS</v>
      </c>
      <c r="X2836" t="str">
        <f>VLOOKUP(L2836,'[2]tabela de preços'!$A:$G,7,0)</f>
        <v>AUTOMOTIVO</v>
      </c>
    </row>
    <row r="2837" spans="1:24" x14ac:dyDescent="0.3">
      <c r="A2837" t="s">
        <v>1468</v>
      </c>
      <c r="C2837" t="s">
        <v>2664</v>
      </c>
      <c r="D2837" s="1">
        <v>46058</v>
      </c>
      <c r="E2837" t="s">
        <v>2665</v>
      </c>
      <c r="F2837">
        <v>9</v>
      </c>
      <c r="G2837">
        <v>174</v>
      </c>
      <c r="H2837" t="str">
        <f>VLOOKUP(G2837,[1]OPERADORES!$A:$B,2,0)</f>
        <v>MIRIÃ LOBATO RODRIGUES</v>
      </c>
      <c r="I2837" t="s">
        <v>21</v>
      </c>
      <c r="J2837" t="s">
        <v>494</v>
      </c>
      <c r="K2837" t="s">
        <v>1471</v>
      </c>
      <c r="L2837">
        <v>9764</v>
      </c>
      <c r="M2837" t="s">
        <v>173</v>
      </c>
      <c r="O2837" t="s">
        <v>11</v>
      </c>
      <c r="P2837">
        <v>5102</v>
      </c>
      <c r="Q2837">
        <v>3</v>
      </c>
      <c r="R2837">
        <v>33.54</v>
      </c>
      <c r="S2837">
        <v>100.62</v>
      </c>
      <c r="T2837">
        <v>76.38</v>
      </c>
      <c r="U2837">
        <v>24.09</v>
      </c>
      <c r="V2837" t="str">
        <f>VLOOKUP(L2837,'[2]tabela de preços'!$A:$D,4,0)</f>
        <v>SIKKENS</v>
      </c>
      <c r="W2837" t="str">
        <f>VLOOKUP(L2837,'[2]tabela de preços'!$A:$F,6,0)</f>
        <v>MASSA DE PEQUENOS REPAROS</v>
      </c>
      <c r="X2837" t="str">
        <f>VLOOKUP(L2837,'[2]tabela de preços'!$A:$G,7,0)</f>
        <v>AUTOMOTIVO</v>
      </c>
    </row>
    <row r="2838" spans="1:24" x14ac:dyDescent="0.3">
      <c r="A2838" t="s">
        <v>1468</v>
      </c>
      <c r="C2838" t="s">
        <v>2664</v>
      </c>
      <c r="D2838" s="1">
        <v>46058</v>
      </c>
      <c r="E2838" t="s">
        <v>2665</v>
      </c>
      <c r="F2838">
        <v>9</v>
      </c>
      <c r="G2838">
        <v>174</v>
      </c>
      <c r="H2838" t="str">
        <f>VLOOKUP(G2838,[1]OPERADORES!$A:$B,2,0)</f>
        <v>MIRIÃ LOBATO RODRIGUES</v>
      </c>
      <c r="I2838" t="s">
        <v>21</v>
      </c>
      <c r="J2838" t="s">
        <v>494</v>
      </c>
      <c r="K2838" t="s">
        <v>1471</v>
      </c>
      <c r="L2838">
        <v>20414</v>
      </c>
      <c r="M2838" t="s">
        <v>112</v>
      </c>
      <c r="O2838" t="s">
        <v>11</v>
      </c>
      <c r="P2838">
        <v>5102</v>
      </c>
      <c r="Q2838">
        <v>40</v>
      </c>
      <c r="R2838">
        <v>21.89</v>
      </c>
      <c r="S2838">
        <v>875.6</v>
      </c>
      <c r="T2838">
        <v>720</v>
      </c>
      <c r="U2838">
        <v>17.77</v>
      </c>
      <c r="V2838" t="str">
        <f>VLOOKUP(L2838,'[2]tabela de preços'!$A:$D,4,0)</f>
        <v>SHERWIN WILLIAMS</v>
      </c>
      <c r="W2838" t="str">
        <f>VLOOKUP(L2838,'[2]tabela de preços'!$A:$F,6,0)</f>
        <v>DILUENTE</v>
      </c>
      <c r="X2838" t="str">
        <f>VLOOKUP(L2838,'[2]tabela de preços'!$A:$G,7,0)</f>
        <v>AUTOMOTIVO</v>
      </c>
    </row>
    <row r="2839" spans="1:24" x14ac:dyDescent="0.3">
      <c r="A2839" t="s">
        <v>2666</v>
      </c>
      <c r="C2839" t="s">
        <v>2667</v>
      </c>
      <c r="D2839" s="1">
        <v>46058</v>
      </c>
      <c r="E2839" t="s">
        <v>2668</v>
      </c>
      <c r="F2839">
        <v>9</v>
      </c>
      <c r="G2839">
        <v>236</v>
      </c>
      <c r="H2839" t="str">
        <f>VLOOKUP(G2839,[1]OPERADORES!$A:$B,2,0)</f>
        <v>DANIEL</v>
      </c>
      <c r="I2839" t="s">
        <v>21</v>
      </c>
      <c r="J2839" t="s">
        <v>397</v>
      </c>
      <c r="K2839" t="s">
        <v>2669</v>
      </c>
      <c r="L2839">
        <v>24227</v>
      </c>
      <c r="M2839" t="s">
        <v>2670</v>
      </c>
      <c r="O2839" t="s">
        <v>11</v>
      </c>
      <c r="P2839">
        <v>5102</v>
      </c>
      <c r="Q2839">
        <v>1</v>
      </c>
      <c r="R2839">
        <v>90.98</v>
      </c>
      <c r="S2839">
        <v>90.98</v>
      </c>
      <c r="T2839">
        <v>69.05</v>
      </c>
      <c r="U2839">
        <v>24.1</v>
      </c>
      <c r="V2839" t="str">
        <f>VLOOKUP(L2839,'[2]tabela de preços'!$A:$D,4,0)</f>
        <v>VONIXX</v>
      </c>
      <c r="W2839" t="str">
        <f>VLOOKUP(L2839,'[2]tabela de preços'!$A:$F,6,0)</f>
        <v>LINHA DE HIGENIZAÇÃO E ESTÉTICA  AUTOMOTIVA</v>
      </c>
      <c r="X2839" t="str">
        <f>VLOOKUP(L2839,'[2]tabela de preços'!$A:$G,7,0)</f>
        <v>AUTOMOTIVO</v>
      </c>
    </row>
    <row r="2840" spans="1:24" x14ac:dyDescent="0.3">
      <c r="A2840" t="s">
        <v>2666</v>
      </c>
      <c r="C2840" t="s">
        <v>2667</v>
      </c>
      <c r="D2840" s="1">
        <v>46058</v>
      </c>
      <c r="E2840" t="s">
        <v>2668</v>
      </c>
      <c r="F2840">
        <v>9</v>
      </c>
      <c r="G2840">
        <v>236</v>
      </c>
      <c r="H2840" t="str">
        <f>VLOOKUP(G2840,[1]OPERADORES!$A:$B,2,0)</f>
        <v>DANIEL</v>
      </c>
      <c r="I2840" t="s">
        <v>21</v>
      </c>
      <c r="J2840" t="s">
        <v>397</v>
      </c>
      <c r="K2840" t="s">
        <v>2669</v>
      </c>
      <c r="L2840">
        <v>84543</v>
      </c>
      <c r="M2840" t="s">
        <v>2671</v>
      </c>
      <c r="O2840" t="s">
        <v>11</v>
      </c>
      <c r="P2840">
        <v>5102</v>
      </c>
      <c r="Q2840">
        <v>1</v>
      </c>
      <c r="R2840">
        <v>81.87</v>
      </c>
      <c r="S2840">
        <v>81.87</v>
      </c>
      <c r="T2840">
        <v>62.14</v>
      </c>
      <c r="U2840">
        <v>24.1</v>
      </c>
      <c r="V2840" t="str">
        <f>VLOOKUP(L2840,'[2]tabela de preços'!$A:$D,4,0)</f>
        <v>VONIXX</v>
      </c>
      <c r="W2840" t="str">
        <f>VLOOKUP(L2840,'[2]tabela de preços'!$A:$F,6,0)</f>
        <v>LINHA DE HIGENIZAÇÃO E ESTÉTICA  AUTOMOTIVA</v>
      </c>
      <c r="X2840" t="str">
        <f>VLOOKUP(L2840,'[2]tabela de preços'!$A:$G,7,0)</f>
        <v>AUTOMOTIVO</v>
      </c>
    </row>
    <row r="2841" spans="1:24" x14ac:dyDescent="0.3">
      <c r="A2841" t="s">
        <v>2666</v>
      </c>
      <c r="C2841" t="s">
        <v>2667</v>
      </c>
      <c r="D2841" s="1">
        <v>46058</v>
      </c>
      <c r="E2841" t="s">
        <v>2668</v>
      </c>
      <c r="F2841">
        <v>9</v>
      </c>
      <c r="G2841">
        <v>236</v>
      </c>
      <c r="H2841" t="str">
        <f>VLOOKUP(G2841,[1]OPERADORES!$A:$B,2,0)</f>
        <v>DANIEL</v>
      </c>
      <c r="I2841" t="s">
        <v>21</v>
      </c>
      <c r="J2841" t="s">
        <v>397</v>
      </c>
      <c r="K2841" t="s">
        <v>2669</v>
      </c>
      <c r="L2841">
        <v>22188</v>
      </c>
      <c r="M2841" t="s">
        <v>78</v>
      </c>
      <c r="O2841" t="s">
        <v>11</v>
      </c>
      <c r="P2841">
        <v>5102</v>
      </c>
      <c r="Q2841">
        <v>1</v>
      </c>
      <c r="R2841">
        <v>14.35</v>
      </c>
      <c r="S2841">
        <v>14.35</v>
      </c>
      <c r="T2841">
        <v>10.89</v>
      </c>
      <c r="U2841">
        <v>24.11</v>
      </c>
      <c r="V2841" t="str">
        <f>VLOOKUP(L2841,'[2]tabela de preços'!$A:$D,4,0)</f>
        <v>3M</v>
      </c>
      <c r="W2841" t="str">
        <f>VLOOKUP(L2841,'[2]tabela de preços'!$A:$F,6,0)</f>
        <v>FITA AUTOMOTIVA</v>
      </c>
      <c r="X2841" t="str">
        <f>VLOOKUP(L2841,'[2]tabela de preços'!$A:$G,7,0)</f>
        <v>AUTOMOTIVO</v>
      </c>
    </row>
    <row r="2842" spans="1:24" x14ac:dyDescent="0.3">
      <c r="A2842" t="s">
        <v>2666</v>
      </c>
      <c r="C2842" t="s">
        <v>2667</v>
      </c>
      <c r="D2842" s="1">
        <v>46058</v>
      </c>
      <c r="E2842" t="s">
        <v>2668</v>
      </c>
      <c r="F2842">
        <v>9</v>
      </c>
      <c r="G2842">
        <v>236</v>
      </c>
      <c r="H2842" t="str">
        <f>VLOOKUP(G2842,[1]OPERADORES!$A:$B,2,0)</f>
        <v>DANIEL</v>
      </c>
      <c r="I2842" t="s">
        <v>21</v>
      </c>
      <c r="J2842" t="s">
        <v>397</v>
      </c>
      <c r="K2842" t="s">
        <v>2669</v>
      </c>
      <c r="L2842">
        <v>23364</v>
      </c>
      <c r="M2842" t="s">
        <v>55</v>
      </c>
      <c r="O2842" t="s">
        <v>11</v>
      </c>
      <c r="P2842">
        <v>5102</v>
      </c>
      <c r="Q2842">
        <v>10</v>
      </c>
      <c r="R2842">
        <v>6.19</v>
      </c>
      <c r="S2842">
        <v>61.9</v>
      </c>
      <c r="T2842">
        <v>49.1</v>
      </c>
      <c r="U2842">
        <v>20.68</v>
      </c>
      <c r="V2842" t="str">
        <f>VLOOKUP(L2842,'[2]tabela de preços'!$A:$D,4,0)</f>
        <v>AUTO AMERICA</v>
      </c>
      <c r="W2842" t="str">
        <f>VLOOKUP(L2842,'[2]tabela de preços'!$A:$F,6,0)</f>
        <v>FLANELAS / PANOS</v>
      </c>
      <c r="X2842" t="str">
        <f>VLOOKUP(L2842,'[2]tabela de preços'!$A:$G,7,0)</f>
        <v>AUTOMOTIVO</v>
      </c>
    </row>
    <row r="2843" spans="1:24" x14ac:dyDescent="0.3">
      <c r="A2843" t="s">
        <v>2666</v>
      </c>
      <c r="C2843" t="s">
        <v>2667</v>
      </c>
      <c r="D2843" s="1">
        <v>46058</v>
      </c>
      <c r="E2843" t="s">
        <v>2668</v>
      </c>
      <c r="F2843">
        <v>9</v>
      </c>
      <c r="G2843">
        <v>236</v>
      </c>
      <c r="H2843" t="str">
        <f>VLOOKUP(G2843,[1]OPERADORES!$A:$B,2,0)</f>
        <v>DANIEL</v>
      </c>
      <c r="I2843" t="s">
        <v>21</v>
      </c>
      <c r="J2843" t="s">
        <v>397</v>
      </c>
      <c r="K2843" t="s">
        <v>2669</v>
      </c>
      <c r="L2843">
        <v>85545</v>
      </c>
      <c r="M2843" t="s">
        <v>2672</v>
      </c>
      <c r="O2843" t="s">
        <v>11</v>
      </c>
      <c r="P2843">
        <v>5102</v>
      </c>
      <c r="Q2843">
        <v>1</v>
      </c>
      <c r="R2843">
        <v>39.700000000000003</v>
      </c>
      <c r="S2843">
        <v>39.700000000000003</v>
      </c>
      <c r="T2843">
        <v>30.13</v>
      </c>
      <c r="U2843">
        <v>24.11</v>
      </c>
      <c r="V2843" t="str">
        <f>VLOOKUP(L2843,'[2]tabela de preços'!$A:$D,4,0)</f>
        <v>VONIXX</v>
      </c>
      <c r="W2843" t="str">
        <f>VLOOKUP(L2843,'[2]tabela de preços'!$A:$F,6,0)</f>
        <v>LINHA DE HIGENIZAÇÃO E ESTÉTICA  AUTOMOTIVA</v>
      </c>
      <c r="X2843" t="str">
        <f>VLOOKUP(L2843,'[2]tabela de preços'!$A:$G,7,0)</f>
        <v>AUTOMOTIVO</v>
      </c>
    </row>
    <row r="2844" spans="1:24" x14ac:dyDescent="0.3">
      <c r="A2844" t="s">
        <v>2666</v>
      </c>
      <c r="C2844" t="s">
        <v>2667</v>
      </c>
      <c r="D2844" s="1">
        <v>46058</v>
      </c>
      <c r="E2844" t="s">
        <v>2668</v>
      </c>
      <c r="F2844">
        <v>9</v>
      </c>
      <c r="G2844">
        <v>236</v>
      </c>
      <c r="H2844" t="str">
        <f>VLOOKUP(G2844,[1]OPERADORES!$A:$B,2,0)</f>
        <v>DANIEL</v>
      </c>
      <c r="I2844" t="s">
        <v>21</v>
      </c>
      <c r="J2844" t="s">
        <v>397</v>
      </c>
      <c r="K2844" t="s">
        <v>2669</v>
      </c>
      <c r="L2844">
        <v>24386</v>
      </c>
      <c r="M2844" t="s">
        <v>2673</v>
      </c>
      <c r="O2844" t="s">
        <v>11</v>
      </c>
      <c r="P2844">
        <v>5102</v>
      </c>
      <c r="Q2844">
        <v>1</v>
      </c>
      <c r="R2844">
        <v>58.11</v>
      </c>
      <c r="S2844">
        <v>58.11</v>
      </c>
      <c r="T2844">
        <v>44.1</v>
      </c>
      <c r="U2844">
        <v>24.11</v>
      </c>
      <c r="V2844" t="str">
        <f>VLOOKUP(L2844,'[2]tabela de preços'!$A:$D,4,0)</f>
        <v>VONIXX</v>
      </c>
      <c r="W2844" t="str">
        <f>VLOOKUP(L2844,'[2]tabela de preços'!$A:$F,6,0)</f>
        <v>LINHA DE HIGENIZAÇÃO E ESTÉTICA  AUTOMOTIVA</v>
      </c>
      <c r="X2844" t="str">
        <f>VLOOKUP(L2844,'[2]tabela de preços'!$A:$G,7,0)</f>
        <v>AUTOMOTIVO</v>
      </c>
    </row>
    <row r="2845" spans="1:24" x14ac:dyDescent="0.3">
      <c r="A2845" t="s">
        <v>2666</v>
      </c>
      <c r="C2845" t="s">
        <v>2667</v>
      </c>
      <c r="D2845" s="1">
        <v>46058</v>
      </c>
      <c r="E2845" t="s">
        <v>2668</v>
      </c>
      <c r="F2845">
        <v>9</v>
      </c>
      <c r="G2845">
        <v>236</v>
      </c>
      <c r="H2845" t="str">
        <f>VLOOKUP(G2845,[1]OPERADORES!$A:$B,2,0)</f>
        <v>DANIEL</v>
      </c>
      <c r="I2845" t="s">
        <v>21</v>
      </c>
      <c r="J2845" t="s">
        <v>397</v>
      </c>
      <c r="K2845" t="s">
        <v>2669</v>
      </c>
      <c r="L2845">
        <v>85247</v>
      </c>
      <c r="M2845" t="s">
        <v>2674</v>
      </c>
      <c r="O2845" t="s">
        <v>11</v>
      </c>
      <c r="P2845">
        <v>5102</v>
      </c>
      <c r="Q2845">
        <v>1</v>
      </c>
      <c r="R2845">
        <v>56.89</v>
      </c>
      <c r="S2845">
        <v>56.89</v>
      </c>
      <c r="T2845">
        <v>43.18</v>
      </c>
      <c r="U2845">
        <v>24.1</v>
      </c>
      <c r="V2845" t="str">
        <f>VLOOKUP(L2845,'[2]tabela de preços'!$A:$D,4,0)</f>
        <v>VONIXX</v>
      </c>
      <c r="W2845" t="str">
        <f>VLOOKUP(L2845,'[2]tabela de preços'!$A:$F,6,0)</f>
        <v>LINHA DE HIGENIZAÇÃO E ESTÉTICA  AUTOMOTIVA</v>
      </c>
      <c r="X2845" t="str">
        <f>VLOOKUP(L2845,'[2]tabela de preços'!$A:$G,7,0)</f>
        <v>AUTOMOTIVO</v>
      </c>
    </row>
    <row r="2846" spans="1:24" x14ac:dyDescent="0.3">
      <c r="A2846" t="s">
        <v>2666</v>
      </c>
      <c r="C2846" t="s">
        <v>2667</v>
      </c>
      <c r="D2846" s="1">
        <v>46058</v>
      </c>
      <c r="E2846" t="s">
        <v>2668</v>
      </c>
      <c r="F2846">
        <v>9</v>
      </c>
      <c r="G2846">
        <v>236</v>
      </c>
      <c r="H2846" t="str">
        <f>VLOOKUP(G2846,[1]OPERADORES!$A:$B,2,0)</f>
        <v>DANIEL</v>
      </c>
      <c r="I2846" t="s">
        <v>21</v>
      </c>
      <c r="J2846" t="s">
        <v>397</v>
      </c>
      <c r="K2846" t="s">
        <v>2669</v>
      </c>
      <c r="L2846">
        <v>85248</v>
      </c>
      <c r="M2846" t="s">
        <v>2675</v>
      </c>
      <c r="O2846" t="s">
        <v>11</v>
      </c>
      <c r="P2846">
        <v>5102</v>
      </c>
      <c r="Q2846">
        <v>1</v>
      </c>
      <c r="R2846">
        <v>67.09</v>
      </c>
      <c r="S2846">
        <v>67.09</v>
      </c>
      <c r="T2846">
        <v>50.92</v>
      </c>
      <c r="U2846">
        <v>24.1</v>
      </c>
      <c r="V2846" t="str">
        <f>VLOOKUP(L2846,'[2]tabela de preços'!$A:$D,4,0)</f>
        <v>VONIXX</v>
      </c>
      <c r="W2846" t="str">
        <f>VLOOKUP(L2846,'[2]tabela de preços'!$A:$F,6,0)</f>
        <v>LINHA DE HIGENIZAÇÃO E ESTÉTICA  AUTOMOTIVA</v>
      </c>
      <c r="X2846" t="str">
        <f>VLOOKUP(L2846,'[2]tabela de preços'!$A:$G,7,0)</f>
        <v>AUTOMOTIVO</v>
      </c>
    </row>
    <row r="2847" spans="1:24" x14ac:dyDescent="0.3">
      <c r="A2847" t="s">
        <v>2666</v>
      </c>
      <c r="C2847" t="s">
        <v>2676</v>
      </c>
      <c r="D2847" s="1">
        <v>46058</v>
      </c>
      <c r="E2847" t="s">
        <v>2677</v>
      </c>
      <c r="F2847">
        <v>9</v>
      </c>
      <c r="G2847">
        <v>236</v>
      </c>
      <c r="H2847" t="str">
        <f>VLOOKUP(G2847,[1]OPERADORES!$A:$B,2,0)</f>
        <v>DANIEL</v>
      </c>
      <c r="I2847" t="s">
        <v>21</v>
      </c>
      <c r="J2847" t="s">
        <v>397</v>
      </c>
      <c r="K2847" t="s">
        <v>2669</v>
      </c>
      <c r="L2847">
        <v>83788</v>
      </c>
      <c r="M2847" t="s">
        <v>2678</v>
      </c>
      <c r="O2847" t="s">
        <v>11</v>
      </c>
      <c r="P2847">
        <v>5102</v>
      </c>
      <c r="Q2847">
        <v>1</v>
      </c>
      <c r="R2847">
        <v>58.11</v>
      </c>
      <c r="S2847">
        <v>58.11</v>
      </c>
      <c r="T2847">
        <v>44.1</v>
      </c>
      <c r="U2847">
        <v>24.11</v>
      </c>
      <c r="V2847" t="str">
        <f>VLOOKUP(L2847,'[2]tabela de preços'!$A:$D,4,0)</f>
        <v>VONIXX</v>
      </c>
      <c r="W2847" t="str">
        <f>VLOOKUP(L2847,'[2]tabela de preços'!$A:$F,6,0)</f>
        <v>BOINAS PARA POLIMENTO</v>
      </c>
      <c r="X2847" t="str">
        <f>VLOOKUP(L2847,'[2]tabela de preços'!$A:$G,7,0)</f>
        <v>AUTOMOTIVO</v>
      </c>
    </row>
    <row r="2848" spans="1:24" x14ac:dyDescent="0.3">
      <c r="A2848" t="s">
        <v>2666</v>
      </c>
      <c r="C2848" t="s">
        <v>2676</v>
      </c>
      <c r="D2848" s="1">
        <v>46058</v>
      </c>
      <c r="E2848" t="s">
        <v>2677</v>
      </c>
      <c r="F2848">
        <v>9</v>
      </c>
      <c r="G2848">
        <v>236</v>
      </c>
      <c r="H2848" t="str">
        <f>VLOOKUP(G2848,[1]OPERADORES!$A:$B,2,0)</f>
        <v>DANIEL</v>
      </c>
      <c r="I2848" t="s">
        <v>21</v>
      </c>
      <c r="J2848" t="s">
        <v>397</v>
      </c>
      <c r="K2848" t="s">
        <v>2669</v>
      </c>
      <c r="L2848">
        <v>20983</v>
      </c>
      <c r="M2848" t="s">
        <v>2107</v>
      </c>
      <c r="O2848" t="s">
        <v>11</v>
      </c>
      <c r="P2848">
        <v>5102</v>
      </c>
      <c r="Q2848">
        <v>1</v>
      </c>
      <c r="R2848">
        <v>16.84</v>
      </c>
      <c r="S2848">
        <v>16.84</v>
      </c>
      <c r="T2848">
        <v>12.78</v>
      </c>
      <c r="U2848">
        <v>24.11</v>
      </c>
      <c r="V2848" t="str">
        <f>VLOOKUP(L2848,'[2]tabela de preços'!$A:$D,4,0)</f>
        <v>3M</v>
      </c>
      <c r="W2848" t="str">
        <f>VLOOKUP(L2848,'[2]tabela de preços'!$A:$F,6,0)</f>
        <v>DISCO TRIZACT</v>
      </c>
      <c r="X2848" t="str">
        <f>VLOOKUP(L2848,'[2]tabela de preços'!$A:$G,7,0)</f>
        <v>AUTOMOTIVO</v>
      </c>
    </row>
    <row r="2849" spans="1:24" x14ac:dyDescent="0.3">
      <c r="A2849" t="s">
        <v>2666</v>
      </c>
      <c r="C2849" t="s">
        <v>2676</v>
      </c>
      <c r="D2849" s="1">
        <v>46058</v>
      </c>
      <c r="E2849" t="s">
        <v>2677</v>
      </c>
      <c r="F2849">
        <v>9</v>
      </c>
      <c r="G2849">
        <v>236</v>
      </c>
      <c r="H2849" t="str">
        <f>VLOOKUP(G2849,[1]OPERADORES!$A:$B,2,0)</f>
        <v>DANIEL</v>
      </c>
      <c r="I2849" t="s">
        <v>21</v>
      </c>
      <c r="J2849" t="s">
        <v>397</v>
      </c>
      <c r="K2849" t="s">
        <v>2669</v>
      </c>
      <c r="L2849">
        <v>20135</v>
      </c>
      <c r="M2849" t="s">
        <v>459</v>
      </c>
      <c r="O2849" t="s">
        <v>11</v>
      </c>
      <c r="P2849">
        <v>5102</v>
      </c>
      <c r="Q2849">
        <v>1</v>
      </c>
      <c r="R2849">
        <v>25.37</v>
      </c>
      <c r="S2849">
        <v>25.37</v>
      </c>
      <c r="T2849">
        <v>19.260000000000002</v>
      </c>
      <c r="U2849">
        <v>24.08</v>
      </c>
      <c r="V2849" t="str">
        <f>VLOOKUP(L2849,'[2]tabela de preços'!$A:$D,4,0)</f>
        <v>3M</v>
      </c>
      <c r="W2849" t="str">
        <f>VLOOKUP(L2849,'[2]tabela de preços'!$A:$F,6,0)</f>
        <v>DISCO TRIZACT</v>
      </c>
      <c r="X2849" t="str">
        <f>VLOOKUP(L2849,'[2]tabela de preços'!$A:$G,7,0)</f>
        <v>AUTOMOTIVO</v>
      </c>
    </row>
    <row r="2850" spans="1:24" x14ac:dyDescent="0.3">
      <c r="A2850" t="s">
        <v>2785</v>
      </c>
      <c r="B2850" t="s">
        <v>2786</v>
      </c>
      <c r="C2850" t="s">
        <v>2787</v>
      </c>
      <c r="D2850" s="1">
        <v>46059</v>
      </c>
      <c r="E2850" t="s">
        <v>2788</v>
      </c>
      <c r="F2850">
        <v>9</v>
      </c>
      <c r="G2850">
        <v>174</v>
      </c>
      <c r="H2850" t="str">
        <f>VLOOKUP(G2850,[1]OPERADORES!$A:$B,2,0)</f>
        <v>MIRIÃ LOBATO RODRIGUES</v>
      </c>
      <c r="I2850" t="s">
        <v>21</v>
      </c>
      <c r="J2850" t="s">
        <v>1691</v>
      </c>
      <c r="K2850" t="s">
        <v>2789</v>
      </c>
      <c r="L2850">
        <v>85319</v>
      </c>
      <c r="M2850" t="s">
        <v>1388</v>
      </c>
      <c r="O2850" t="s">
        <v>11</v>
      </c>
      <c r="P2850">
        <v>5102</v>
      </c>
      <c r="Q2850">
        <v>1</v>
      </c>
      <c r="R2850" s="2">
        <v>1400</v>
      </c>
      <c r="S2850" s="2">
        <v>1400</v>
      </c>
      <c r="T2850" s="2">
        <v>1049.08</v>
      </c>
      <c r="U2850">
        <v>25.07</v>
      </c>
      <c r="V2850" t="str">
        <f>VLOOKUP(L2850,'[2]tabela de preços'!$A:$D,4,0)</f>
        <v>BRASILUX</v>
      </c>
      <c r="W2850" t="str">
        <f>VLOOKUP(L2850,'[2]tabela de preços'!$A:$F,6,0)</f>
        <v>TINTA EM PÓ</v>
      </c>
      <c r="X2850" t="str">
        <f>VLOOKUP(L2850,'[2]tabela de preços'!$A:$G,7,0)</f>
        <v>INDUSTRIAL</v>
      </c>
    </row>
    <row r="2851" spans="1:24" x14ac:dyDescent="0.3">
      <c r="A2851" t="s">
        <v>1486</v>
      </c>
      <c r="C2851" t="s">
        <v>2523</v>
      </c>
      <c r="D2851" s="1">
        <v>46056</v>
      </c>
      <c r="E2851" t="s">
        <v>2524</v>
      </c>
      <c r="F2851">
        <v>9</v>
      </c>
      <c r="G2851">
        <v>236</v>
      </c>
      <c r="H2851" t="str">
        <f>VLOOKUP(G2851,[1]OPERADORES!$A:$B,2,0)</f>
        <v>DANIEL</v>
      </c>
      <c r="I2851" t="s">
        <v>1489</v>
      </c>
      <c r="J2851" t="s">
        <v>1490</v>
      </c>
      <c r="K2851" t="s">
        <v>1491</v>
      </c>
      <c r="L2851">
        <v>24198</v>
      </c>
      <c r="M2851" t="s">
        <v>2525</v>
      </c>
      <c r="O2851" t="s">
        <v>11</v>
      </c>
      <c r="P2851">
        <v>6102</v>
      </c>
      <c r="Q2851">
        <v>20</v>
      </c>
      <c r="R2851">
        <v>18.010000000000002</v>
      </c>
      <c r="S2851">
        <v>360.2</v>
      </c>
      <c r="T2851">
        <v>273.39999999999998</v>
      </c>
      <c r="U2851">
        <v>24.1</v>
      </c>
      <c r="V2851" t="str">
        <f>VLOOKUP(L2851,'[2]tabela de preços'!$A:$D,4,0)</f>
        <v>SKY</v>
      </c>
      <c r="W2851" t="str">
        <f>VLOOKUP(L2851,'[2]tabela de preços'!$A:$F,6,0)</f>
        <v>CATALISADORES INDIVIDUAS</v>
      </c>
      <c r="X2851" t="str">
        <f>VLOOKUP(L2851,'[2]tabela de preços'!$A:$G,7,0)</f>
        <v>AUTOMOTIVO</v>
      </c>
    </row>
    <row r="2852" spans="1:24" x14ac:dyDescent="0.3">
      <c r="A2852" t="s">
        <v>1486</v>
      </c>
      <c r="C2852" t="s">
        <v>2523</v>
      </c>
      <c r="D2852" s="1">
        <v>46056</v>
      </c>
      <c r="E2852" t="s">
        <v>2524</v>
      </c>
      <c r="F2852">
        <v>9</v>
      </c>
      <c r="G2852">
        <v>236</v>
      </c>
      <c r="H2852" t="str">
        <f>VLOOKUP(G2852,[1]OPERADORES!$A:$B,2,0)</f>
        <v>DANIEL</v>
      </c>
      <c r="I2852" t="s">
        <v>1489</v>
      </c>
      <c r="J2852" t="s">
        <v>1490</v>
      </c>
      <c r="K2852" t="s">
        <v>1491</v>
      </c>
      <c r="L2852">
        <v>23690</v>
      </c>
      <c r="M2852" t="s">
        <v>98</v>
      </c>
      <c r="O2852" t="s">
        <v>11</v>
      </c>
      <c r="P2852">
        <v>6403</v>
      </c>
      <c r="Q2852">
        <v>12</v>
      </c>
      <c r="R2852">
        <v>42.68</v>
      </c>
      <c r="S2852">
        <v>512.16</v>
      </c>
      <c r="T2852">
        <v>379.32</v>
      </c>
      <c r="U2852">
        <v>25.94</v>
      </c>
      <c r="V2852" t="str">
        <f>VLOOKUP(L2852,'[2]tabela de preços'!$A:$D,4,0)</f>
        <v>WANDA</v>
      </c>
      <c r="W2852" t="str">
        <f>VLOOKUP(L2852,'[2]tabela de preços'!$A:$F,6,0)</f>
        <v>VERNIZ AUTOMOTIVO</v>
      </c>
      <c r="X2852" t="str">
        <f>VLOOKUP(L2852,'[2]tabela de preços'!$A:$G,7,0)</f>
        <v>AUTOMOTIVO</v>
      </c>
    </row>
    <row r="2853" spans="1:24" x14ac:dyDescent="0.3">
      <c r="A2853" t="s">
        <v>1486</v>
      </c>
      <c r="C2853" t="s">
        <v>2523</v>
      </c>
      <c r="D2853" s="1">
        <v>46056</v>
      </c>
      <c r="E2853" t="s">
        <v>2524</v>
      </c>
      <c r="F2853">
        <v>9</v>
      </c>
      <c r="G2853">
        <v>236</v>
      </c>
      <c r="H2853" t="str">
        <f>VLOOKUP(G2853,[1]OPERADORES!$A:$B,2,0)</f>
        <v>DANIEL</v>
      </c>
      <c r="I2853" t="s">
        <v>1489</v>
      </c>
      <c r="J2853" t="s">
        <v>1490</v>
      </c>
      <c r="K2853" t="s">
        <v>1491</v>
      </c>
      <c r="L2853">
        <v>23100</v>
      </c>
      <c r="M2853" t="s">
        <v>99</v>
      </c>
      <c r="O2853" t="s">
        <v>11</v>
      </c>
      <c r="P2853">
        <v>6102</v>
      </c>
      <c r="Q2853">
        <v>100</v>
      </c>
      <c r="R2853">
        <v>2.35</v>
      </c>
      <c r="S2853">
        <v>235</v>
      </c>
      <c r="T2853">
        <v>169</v>
      </c>
      <c r="U2853">
        <v>28.09</v>
      </c>
      <c r="V2853" t="str">
        <f>VLOOKUP(L2853,'[2]tabela de preços'!$A:$D,4,0)</f>
        <v>3M</v>
      </c>
      <c r="W2853" t="str">
        <f>VLOOKUP(L2853,'[2]tabela de preços'!$A:$F,6,0)</f>
        <v xml:space="preserve">DISCOS / LIXAS / ABRASIVOS </v>
      </c>
      <c r="X2853" t="str">
        <f>VLOOKUP(L2853,'[2]tabela de preços'!$A:$G,7,0)</f>
        <v>AUTOMOTIVO</v>
      </c>
    </row>
    <row r="2854" spans="1:24" x14ac:dyDescent="0.3">
      <c r="A2854" t="s">
        <v>1486</v>
      </c>
      <c r="C2854" t="s">
        <v>2523</v>
      </c>
      <c r="D2854" s="1">
        <v>46056</v>
      </c>
      <c r="E2854" t="s">
        <v>2524</v>
      </c>
      <c r="F2854">
        <v>9</v>
      </c>
      <c r="G2854">
        <v>236</v>
      </c>
      <c r="H2854" t="str">
        <f>VLOOKUP(G2854,[1]OPERADORES!$A:$B,2,0)</f>
        <v>DANIEL</v>
      </c>
      <c r="I2854" t="s">
        <v>1489</v>
      </c>
      <c r="J2854" t="s">
        <v>1490</v>
      </c>
      <c r="K2854" t="s">
        <v>1491</v>
      </c>
      <c r="L2854">
        <v>23101</v>
      </c>
      <c r="M2854" t="s">
        <v>410</v>
      </c>
      <c r="O2854" t="s">
        <v>411</v>
      </c>
      <c r="P2854">
        <v>6102</v>
      </c>
      <c r="Q2854">
        <v>100</v>
      </c>
      <c r="R2854">
        <v>2.35</v>
      </c>
      <c r="S2854">
        <v>235</v>
      </c>
      <c r="T2854">
        <v>169</v>
      </c>
      <c r="U2854">
        <v>28.09</v>
      </c>
      <c r="V2854" t="str">
        <f>VLOOKUP(L2854,'[2]tabela de preços'!$A:$D,4,0)</f>
        <v>3M</v>
      </c>
      <c r="W2854" t="str">
        <f>VLOOKUP(L2854,'[2]tabela de preços'!$A:$F,6,0)</f>
        <v xml:space="preserve">DISCOS / LIXAS / ABRASIVOS </v>
      </c>
      <c r="X2854" t="str">
        <f>VLOOKUP(L2854,'[2]tabela de preços'!$A:$G,7,0)</f>
        <v>AUTOMOTIVO</v>
      </c>
    </row>
    <row r="2855" spans="1:24" x14ac:dyDescent="0.3">
      <c r="A2855" t="s">
        <v>1486</v>
      </c>
      <c r="C2855" t="s">
        <v>2523</v>
      </c>
      <c r="D2855" s="1">
        <v>46056</v>
      </c>
      <c r="E2855" t="s">
        <v>2524</v>
      </c>
      <c r="F2855">
        <v>9</v>
      </c>
      <c r="G2855">
        <v>236</v>
      </c>
      <c r="H2855" t="str">
        <f>VLOOKUP(G2855,[1]OPERADORES!$A:$B,2,0)</f>
        <v>DANIEL</v>
      </c>
      <c r="I2855" t="s">
        <v>1489</v>
      </c>
      <c r="J2855" t="s">
        <v>1490</v>
      </c>
      <c r="K2855" t="s">
        <v>1491</v>
      </c>
      <c r="L2855">
        <v>23096</v>
      </c>
      <c r="M2855" t="s">
        <v>656</v>
      </c>
      <c r="O2855" t="s">
        <v>411</v>
      </c>
      <c r="P2855">
        <v>6102</v>
      </c>
      <c r="Q2855">
        <v>100</v>
      </c>
      <c r="R2855">
        <v>2.35</v>
      </c>
      <c r="S2855">
        <v>235</v>
      </c>
      <c r="T2855">
        <v>169</v>
      </c>
      <c r="U2855">
        <v>28.09</v>
      </c>
      <c r="V2855" t="str">
        <f>VLOOKUP(L2855,'[2]tabela de preços'!$A:$D,4,0)</f>
        <v>3M</v>
      </c>
      <c r="W2855" t="str">
        <f>VLOOKUP(L2855,'[2]tabela de preços'!$A:$F,6,0)</f>
        <v xml:space="preserve">DISCOS / LIXAS / ABRASIVOS </v>
      </c>
      <c r="X2855" t="str">
        <f>VLOOKUP(L2855,'[2]tabela de preços'!$A:$G,7,0)</f>
        <v>AUTOMOTIVO</v>
      </c>
    </row>
    <row r="2856" spans="1:24" x14ac:dyDescent="0.3">
      <c r="A2856" t="s">
        <v>1486</v>
      </c>
      <c r="C2856" t="s">
        <v>2523</v>
      </c>
      <c r="D2856" s="1">
        <v>46056</v>
      </c>
      <c r="E2856" t="s">
        <v>2524</v>
      </c>
      <c r="F2856">
        <v>9</v>
      </c>
      <c r="G2856">
        <v>236</v>
      </c>
      <c r="H2856" t="str">
        <f>VLOOKUP(G2856,[1]OPERADORES!$A:$B,2,0)</f>
        <v>DANIEL</v>
      </c>
      <c r="I2856" t="s">
        <v>1489</v>
      </c>
      <c r="J2856" t="s">
        <v>1490</v>
      </c>
      <c r="K2856" t="s">
        <v>1491</v>
      </c>
      <c r="L2856">
        <v>23097</v>
      </c>
      <c r="M2856" t="s">
        <v>412</v>
      </c>
      <c r="O2856" t="s">
        <v>411</v>
      </c>
      <c r="P2856">
        <v>6102</v>
      </c>
      <c r="Q2856">
        <v>100</v>
      </c>
      <c r="R2856">
        <v>2.35</v>
      </c>
      <c r="S2856">
        <v>235</v>
      </c>
      <c r="T2856">
        <v>136</v>
      </c>
      <c r="U2856">
        <v>42.13</v>
      </c>
      <c r="V2856" t="str">
        <f>VLOOKUP(L2856,'[2]tabela de preços'!$A:$D,4,0)</f>
        <v>3M</v>
      </c>
      <c r="W2856" t="str">
        <f>VLOOKUP(L2856,'[2]tabela de preços'!$A:$F,6,0)</f>
        <v xml:space="preserve">DISCOS / LIXAS / ABRASIVOS </v>
      </c>
      <c r="X2856" t="str">
        <f>VLOOKUP(L2856,'[2]tabela de preços'!$A:$G,7,0)</f>
        <v>AUTOMOTIVO</v>
      </c>
    </row>
    <row r="2857" spans="1:24" x14ac:dyDescent="0.3">
      <c r="A2857" t="s">
        <v>1486</v>
      </c>
      <c r="C2857" t="s">
        <v>2523</v>
      </c>
      <c r="D2857" s="1">
        <v>46056</v>
      </c>
      <c r="E2857" t="s">
        <v>2524</v>
      </c>
      <c r="F2857">
        <v>9</v>
      </c>
      <c r="G2857">
        <v>236</v>
      </c>
      <c r="H2857" t="str">
        <f>VLOOKUP(G2857,[1]OPERADORES!$A:$B,2,0)</f>
        <v>DANIEL</v>
      </c>
      <c r="I2857" t="s">
        <v>1489</v>
      </c>
      <c r="J2857" t="s">
        <v>1490</v>
      </c>
      <c r="K2857" t="s">
        <v>1491</v>
      </c>
      <c r="L2857">
        <v>13</v>
      </c>
      <c r="M2857" t="s">
        <v>152</v>
      </c>
      <c r="O2857" t="s">
        <v>11</v>
      </c>
      <c r="P2857">
        <v>6102</v>
      </c>
      <c r="Q2857">
        <v>100</v>
      </c>
      <c r="R2857">
        <v>5.79</v>
      </c>
      <c r="S2857">
        <v>579</v>
      </c>
      <c r="T2857">
        <v>416</v>
      </c>
      <c r="U2857">
        <v>28.15</v>
      </c>
      <c r="V2857" t="str">
        <f>VLOOKUP(L2857,'[2]tabela de preços'!$A:$D,4,0)</f>
        <v>3M</v>
      </c>
      <c r="W2857" t="str">
        <f>VLOOKUP(L2857,'[2]tabela de preços'!$A:$F,6,0)</f>
        <v>LIXA DÁGUA</v>
      </c>
      <c r="X2857" t="str">
        <f>VLOOKUP(L2857,'[2]tabela de preços'!$A:$G,7,0)</f>
        <v>AUTOMOTIVO</v>
      </c>
    </row>
    <row r="2858" spans="1:24" x14ac:dyDescent="0.3">
      <c r="A2858" t="s">
        <v>1486</v>
      </c>
      <c r="C2858" t="s">
        <v>2523</v>
      </c>
      <c r="D2858" s="1">
        <v>46056</v>
      </c>
      <c r="E2858" t="s">
        <v>2524</v>
      </c>
      <c r="F2858">
        <v>9</v>
      </c>
      <c r="G2858">
        <v>236</v>
      </c>
      <c r="H2858" t="str">
        <f>VLOOKUP(G2858,[1]OPERADORES!$A:$B,2,0)</f>
        <v>DANIEL</v>
      </c>
      <c r="I2858" t="s">
        <v>1489</v>
      </c>
      <c r="J2858" t="s">
        <v>1490</v>
      </c>
      <c r="K2858" t="s">
        <v>1491</v>
      </c>
      <c r="L2858">
        <v>15</v>
      </c>
      <c r="M2858" t="s">
        <v>205</v>
      </c>
      <c r="O2858" t="s">
        <v>11</v>
      </c>
      <c r="P2858">
        <v>6102</v>
      </c>
      <c r="Q2858">
        <v>50</v>
      </c>
      <c r="R2858">
        <v>5.79</v>
      </c>
      <c r="S2858">
        <v>289.5</v>
      </c>
      <c r="T2858">
        <v>208</v>
      </c>
      <c r="U2858">
        <v>28.15</v>
      </c>
      <c r="V2858" t="str">
        <f>VLOOKUP(L2858,'[2]tabela de preços'!$A:$D,4,0)</f>
        <v>3M</v>
      </c>
      <c r="W2858" t="str">
        <f>VLOOKUP(L2858,'[2]tabela de preços'!$A:$F,6,0)</f>
        <v>LIXA DÁGUA</v>
      </c>
      <c r="X2858" t="str">
        <f>VLOOKUP(L2858,'[2]tabela de preços'!$A:$G,7,0)</f>
        <v>AUTOMOTIVO</v>
      </c>
    </row>
    <row r="2859" spans="1:24" x14ac:dyDescent="0.3">
      <c r="A2859" t="s">
        <v>1486</v>
      </c>
      <c r="C2859" t="s">
        <v>2523</v>
      </c>
      <c r="D2859" s="1">
        <v>46056</v>
      </c>
      <c r="E2859" t="s">
        <v>2526</v>
      </c>
      <c r="F2859">
        <v>9</v>
      </c>
      <c r="G2859">
        <v>236</v>
      </c>
      <c r="H2859" t="str">
        <f>VLOOKUP(G2859,[1]OPERADORES!$A:$B,2,0)</f>
        <v>DANIEL</v>
      </c>
      <c r="I2859" t="s">
        <v>1489</v>
      </c>
      <c r="J2859" t="s">
        <v>1490</v>
      </c>
      <c r="K2859" t="s">
        <v>1491</v>
      </c>
      <c r="L2859">
        <v>20414</v>
      </c>
      <c r="M2859" t="s">
        <v>112</v>
      </c>
      <c r="O2859" t="s">
        <v>11</v>
      </c>
      <c r="P2859">
        <v>6102</v>
      </c>
      <c r="Q2859">
        <v>20</v>
      </c>
      <c r="R2859">
        <v>21.89</v>
      </c>
      <c r="S2859">
        <v>437.8</v>
      </c>
      <c r="T2859">
        <v>360</v>
      </c>
      <c r="U2859">
        <v>17.77</v>
      </c>
      <c r="V2859" t="str">
        <f>VLOOKUP(L2859,'[2]tabela de preços'!$A:$D,4,0)</f>
        <v>SHERWIN WILLIAMS</v>
      </c>
      <c r="W2859" t="str">
        <f>VLOOKUP(L2859,'[2]tabela de preços'!$A:$F,6,0)</f>
        <v>DILUENTE</v>
      </c>
      <c r="X2859" t="str">
        <f>VLOOKUP(L2859,'[2]tabela de preços'!$A:$G,7,0)</f>
        <v>AUTOMOTIVO</v>
      </c>
    </row>
    <row r="2860" spans="1:24" x14ac:dyDescent="0.3">
      <c r="A2860" t="s">
        <v>1486</v>
      </c>
      <c r="C2860" t="s">
        <v>2523</v>
      </c>
      <c r="D2860" s="1">
        <v>46056</v>
      </c>
      <c r="E2860" t="s">
        <v>2524</v>
      </c>
      <c r="F2860">
        <v>9</v>
      </c>
      <c r="G2860">
        <v>236</v>
      </c>
      <c r="H2860" t="str">
        <f>VLOOKUP(G2860,[1]OPERADORES!$A:$B,2,0)</f>
        <v>DANIEL</v>
      </c>
      <c r="I2860" t="s">
        <v>1489</v>
      </c>
      <c r="J2860" t="s">
        <v>1490</v>
      </c>
      <c r="K2860" t="s">
        <v>1491</v>
      </c>
      <c r="L2860">
        <v>23408</v>
      </c>
      <c r="M2860" t="s">
        <v>2527</v>
      </c>
      <c r="O2860" t="s">
        <v>11</v>
      </c>
      <c r="P2860">
        <v>6102</v>
      </c>
      <c r="Q2860">
        <v>1</v>
      </c>
      <c r="R2860">
        <v>460.74</v>
      </c>
      <c r="S2860">
        <v>460.74</v>
      </c>
      <c r="T2860">
        <v>349.71</v>
      </c>
      <c r="U2860">
        <v>24.1</v>
      </c>
      <c r="V2860" t="str">
        <f>VLOOKUP(L2860,'[2]tabela de preços'!$A:$D,4,0)</f>
        <v>WANDA</v>
      </c>
      <c r="W2860" t="str">
        <f>VLOOKUP(L2860,'[2]tabela de preços'!$A:$F,6,0)</f>
        <v>BASES POLIÉSTER</v>
      </c>
      <c r="X2860" t="str">
        <f>VLOOKUP(L2860,'[2]tabela de preços'!$A:$G,7,0)</f>
        <v>AUTOMOTIVO</v>
      </c>
    </row>
    <row r="2861" spans="1:24" x14ac:dyDescent="0.3">
      <c r="A2861" t="s">
        <v>1486</v>
      </c>
      <c r="C2861" t="s">
        <v>2528</v>
      </c>
      <c r="D2861" s="1">
        <v>46056</v>
      </c>
      <c r="E2861" t="s">
        <v>2529</v>
      </c>
      <c r="F2861">
        <v>9</v>
      </c>
      <c r="G2861">
        <v>236</v>
      </c>
      <c r="H2861" t="str">
        <f>VLOOKUP(G2861,[1]OPERADORES!$A:$B,2,0)</f>
        <v>DANIEL</v>
      </c>
      <c r="I2861" t="s">
        <v>1489</v>
      </c>
      <c r="J2861" t="s">
        <v>1490</v>
      </c>
      <c r="K2861" t="s">
        <v>1491</v>
      </c>
      <c r="L2861">
        <v>84310</v>
      </c>
      <c r="M2861" t="s">
        <v>2530</v>
      </c>
      <c r="O2861" t="s">
        <v>11</v>
      </c>
      <c r="P2861">
        <v>6403</v>
      </c>
      <c r="Q2861">
        <v>1</v>
      </c>
      <c r="R2861">
        <v>46.17</v>
      </c>
      <c r="S2861">
        <v>46.17</v>
      </c>
      <c r="T2861">
        <v>32.92</v>
      </c>
      <c r="U2861">
        <v>28.7</v>
      </c>
      <c r="V2861" t="str">
        <f>VLOOKUP(L2861,'[2]tabela de preços'!$A:$D,4,0)</f>
        <v>BRASILUX</v>
      </c>
      <c r="W2861" t="str">
        <f>VLOOKUP(L2861,'[2]tabela de preços'!$A:$F,6,0)</f>
        <v>TINTA PARA PISO</v>
      </c>
      <c r="X2861" t="str">
        <f>VLOOKUP(L2861,'[2]tabela de preços'!$A:$G,7,0)</f>
        <v>IMOBILIÁRIO</v>
      </c>
    </row>
    <row r="2862" spans="1:24" x14ac:dyDescent="0.3">
      <c r="A2862" t="s">
        <v>1516</v>
      </c>
      <c r="C2862" t="s">
        <v>2531</v>
      </c>
      <c r="D2862" s="1">
        <v>46056</v>
      </c>
      <c r="E2862" t="s">
        <v>2532</v>
      </c>
      <c r="F2862">
        <v>9</v>
      </c>
      <c r="G2862">
        <v>174</v>
      </c>
      <c r="H2862" t="str">
        <f>VLOOKUP(G2862,[1]OPERADORES!$A:$B,2,0)</f>
        <v>MIRIÃ LOBATO RODRIGUES</v>
      </c>
      <c r="I2862" t="s">
        <v>21</v>
      </c>
      <c r="J2862" t="s">
        <v>372</v>
      </c>
      <c r="K2862" t="s">
        <v>1519</v>
      </c>
      <c r="L2862">
        <v>84815</v>
      </c>
      <c r="M2862" t="s">
        <v>949</v>
      </c>
      <c r="O2862" t="s">
        <v>11</v>
      </c>
      <c r="P2862">
        <v>5403</v>
      </c>
      <c r="Q2862">
        <v>4</v>
      </c>
      <c r="R2862">
        <v>32.35</v>
      </c>
      <c r="S2862">
        <v>129.4</v>
      </c>
      <c r="T2862">
        <v>98.2</v>
      </c>
      <c r="U2862">
        <v>24.11</v>
      </c>
      <c r="V2862" t="str">
        <f>VLOOKUP(L2862,'[2]tabela de preços'!$A:$D,4,0)</f>
        <v>BRASILUX</v>
      </c>
      <c r="W2862" t="str">
        <f>VLOOKUP(L2862,'[2]tabela de preços'!$A:$F,6,0)</f>
        <v>KIT BRASCORTEN</v>
      </c>
      <c r="X2862" t="str">
        <f>VLOOKUP(L2862,'[2]tabela de preços'!$A:$G,7,0)</f>
        <v>IMOBILIÁRIO</v>
      </c>
    </row>
    <row r="2863" spans="1:24" x14ac:dyDescent="0.3">
      <c r="A2863" t="s">
        <v>1516</v>
      </c>
      <c r="C2863" t="s">
        <v>2531</v>
      </c>
      <c r="D2863" s="1">
        <v>46056</v>
      </c>
      <c r="E2863" t="s">
        <v>2532</v>
      </c>
      <c r="F2863">
        <v>9</v>
      </c>
      <c r="G2863">
        <v>174</v>
      </c>
      <c r="H2863" t="str">
        <f>VLOOKUP(G2863,[1]OPERADORES!$A:$B,2,0)</f>
        <v>MIRIÃ LOBATO RODRIGUES</v>
      </c>
      <c r="I2863" t="s">
        <v>21</v>
      </c>
      <c r="J2863" t="s">
        <v>372</v>
      </c>
      <c r="K2863" t="s">
        <v>1519</v>
      </c>
      <c r="L2863">
        <v>84814</v>
      </c>
      <c r="M2863" t="s">
        <v>950</v>
      </c>
      <c r="O2863" t="s">
        <v>11</v>
      </c>
      <c r="P2863">
        <v>5403</v>
      </c>
      <c r="Q2863">
        <v>1</v>
      </c>
      <c r="R2863">
        <v>118.93</v>
      </c>
      <c r="S2863">
        <v>118.93</v>
      </c>
      <c r="T2863">
        <v>90.27</v>
      </c>
      <c r="U2863">
        <v>24.1</v>
      </c>
      <c r="V2863" t="str">
        <f>VLOOKUP(L2863,'[2]tabela de preços'!$A:$D,4,0)</f>
        <v>BRASILUX</v>
      </c>
      <c r="W2863" t="str">
        <f>VLOOKUP(L2863,'[2]tabela de preços'!$A:$F,6,0)</f>
        <v>KIT BRASCORTEN</v>
      </c>
      <c r="X2863" t="str">
        <f>VLOOKUP(L2863,'[2]tabela de preços'!$A:$G,7,0)</f>
        <v>IMOBILIÁRIO</v>
      </c>
    </row>
    <row r="2864" spans="1:24" x14ac:dyDescent="0.3">
      <c r="A2864" t="s">
        <v>1516</v>
      </c>
      <c r="C2864" t="s">
        <v>2839</v>
      </c>
      <c r="D2864" s="1">
        <v>46062</v>
      </c>
      <c r="E2864" t="s">
        <v>2840</v>
      </c>
      <c r="F2864">
        <v>9</v>
      </c>
      <c r="G2864">
        <v>174</v>
      </c>
      <c r="H2864" t="str">
        <f>VLOOKUP(G2864,[1]OPERADORES!$A:$B,2,0)</f>
        <v>MIRIÃ LOBATO RODRIGUES</v>
      </c>
      <c r="I2864" t="s">
        <v>21</v>
      </c>
      <c r="J2864" t="s">
        <v>372</v>
      </c>
      <c r="K2864" t="s">
        <v>1519</v>
      </c>
      <c r="L2864">
        <v>84462</v>
      </c>
      <c r="M2864" t="s">
        <v>1026</v>
      </c>
      <c r="O2864" t="s">
        <v>11</v>
      </c>
      <c r="P2864">
        <v>5403</v>
      </c>
      <c r="Q2864">
        <v>2</v>
      </c>
      <c r="R2864">
        <v>109.29</v>
      </c>
      <c r="S2864">
        <v>218.58</v>
      </c>
      <c r="T2864">
        <v>160.24</v>
      </c>
      <c r="U2864">
        <v>26.69</v>
      </c>
      <c r="V2864" t="str">
        <f>VLOOKUP(L2864,'[2]tabela de preços'!$A:$D,4,0)</f>
        <v>BRASILUX</v>
      </c>
      <c r="W2864" t="str">
        <f>VLOOKUP(L2864,'[2]tabela de preços'!$A:$F,6,0)</f>
        <v>ESMALTES</v>
      </c>
      <c r="X2864" t="str">
        <f>VLOOKUP(L2864,'[2]tabela de preços'!$A:$G,7,0)</f>
        <v>INDUSTRIAL</v>
      </c>
    </row>
    <row r="2865" spans="1:24" x14ac:dyDescent="0.3">
      <c r="A2865" t="s">
        <v>2679</v>
      </c>
      <c r="C2865" t="s">
        <v>2680</v>
      </c>
      <c r="D2865" s="1">
        <v>46058</v>
      </c>
      <c r="E2865" t="s">
        <v>2681</v>
      </c>
      <c r="F2865">
        <v>9</v>
      </c>
      <c r="G2865">
        <v>231</v>
      </c>
      <c r="H2865" t="str">
        <f>VLOOKUP(G2865,[1]OPERADORES!$A:$B,2,0)</f>
        <v>EDIJANE</v>
      </c>
      <c r="I2865" t="s">
        <v>21</v>
      </c>
      <c r="J2865" t="s">
        <v>66</v>
      </c>
      <c r="K2865" t="s">
        <v>2682</v>
      </c>
      <c r="L2865">
        <v>85321</v>
      </c>
      <c r="M2865" t="s">
        <v>1063</v>
      </c>
      <c r="O2865" t="s">
        <v>11</v>
      </c>
      <c r="P2865">
        <v>5102</v>
      </c>
      <c r="Q2865">
        <v>1</v>
      </c>
      <c r="R2865">
        <v>614.41</v>
      </c>
      <c r="S2865">
        <v>614.41</v>
      </c>
      <c r="T2865">
        <v>438.08</v>
      </c>
      <c r="U2865">
        <v>28.7</v>
      </c>
      <c r="V2865" t="str">
        <f>VLOOKUP(L2865,'[2]tabela de preços'!$A:$D,4,0)</f>
        <v>BRASILUX</v>
      </c>
      <c r="W2865" t="str">
        <f>VLOOKUP(L2865,'[2]tabela de preços'!$A:$F,6,0)</f>
        <v>TINTA EM PÓ</v>
      </c>
      <c r="X2865" t="str">
        <f>VLOOKUP(L2865,'[2]tabela de preços'!$A:$G,7,0)</f>
        <v>INDUSTRIAL</v>
      </c>
    </row>
    <row r="2866" spans="1:24" x14ac:dyDescent="0.3">
      <c r="A2866" t="s">
        <v>1606</v>
      </c>
      <c r="C2866" t="s">
        <v>2454</v>
      </c>
      <c r="D2866" s="1">
        <v>46055</v>
      </c>
      <c r="E2866" t="s">
        <v>2455</v>
      </c>
      <c r="F2866">
        <v>9</v>
      </c>
      <c r="G2866">
        <v>230</v>
      </c>
      <c r="H2866" t="str">
        <f>VLOOKUP(G2866,[1]OPERADORES!$A:$B,2,0)</f>
        <v>SÔNIA</v>
      </c>
      <c r="I2866" t="s">
        <v>21</v>
      </c>
      <c r="J2866" t="s">
        <v>397</v>
      </c>
      <c r="K2866" t="s">
        <v>1609</v>
      </c>
      <c r="L2866">
        <v>9764</v>
      </c>
      <c r="M2866" t="s">
        <v>173</v>
      </c>
      <c r="O2866" t="s">
        <v>11</v>
      </c>
      <c r="P2866">
        <v>5102</v>
      </c>
      <c r="Q2866">
        <v>48</v>
      </c>
      <c r="R2866">
        <v>33.54</v>
      </c>
      <c r="S2866" s="2">
        <v>1609.92</v>
      </c>
      <c r="T2866" s="2">
        <v>1222.08</v>
      </c>
      <c r="U2866">
        <v>24.09</v>
      </c>
      <c r="V2866" t="str">
        <f>VLOOKUP(L2866,'[2]tabela de preços'!$A:$D,4,0)</f>
        <v>SIKKENS</v>
      </c>
      <c r="W2866" t="str">
        <f>VLOOKUP(L2866,'[2]tabela de preços'!$A:$F,6,0)</f>
        <v>MASSA DE PEQUENOS REPAROS</v>
      </c>
      <c r="X2866" t="str">
        <f>VLOOKUP(L2866,'[2]tabela de preços'!$A:$G,7,0)</f>
        <v>AUTOMOTIVO</v>
      </c>
    </row>
    <row r="2867" spans="1:24" x14ac:dyDescent="0.3">
      <c r="A2867" t="s">
        <v>1606</v>
      </c>
      <c r="C2867" t="s">
        <v>2454</v>
      </c>
      <c r="D2867" s="1">
        <v>46055</v>
      </c>
      <c r="E2867" t="s">
        <v>2455</v>
      </c>
      <c r="F2867">
        <v>9</v>
      </c>
      <c r="G2867">
        <v>230</v>
      </c>
      <c r="H2867" t="str">
        <f>VLOOKUP(G2867,[1]OPERADORES!$A:$B,2,0)</f>
        <v>SÔNIA</v>
      </c>
      <c r="I2867" t="s">
        <v>21</v>
      </c>
      <c r="J2867" t="s">
        <v>397</v>
      </c>
      <c r="K2867" t="s">
        <v>1609</v>
      </c>
      <c r="L2867">
        <v>21067</v>
      </c>
      <c r="M2867" t="s">
        <v>640</v>
      </c>
      <c r="O2867" t="s">
        <v>11</v>
      </c>
      <c r="P2867">
        <v>5102</v>
      </c>
      <c r="Q2867">
        <v>6</v>
      </c>
      <c r="R2867">
        <v>36.07</v>
      </c>
      <c r="S2867">
        <v>216.42</v>
      </c>
      <c r="T2867">
        <v>164.28</v>
      </c>
      <c r="U2867">
        <v>24.09</v>
      </c>
      <c r="V2867" t="str">
        <f>VLOOKUP(L2867,'[2]tabela de preços'!$A:$D,4,0)</f>
        <v>SIKKENS</v>
      </c>
      <c r="W2867" t="str">
        <f>VLOOKUP(L2867,'[2]tabela de preços'!$A:$F,6,0)</f>
        <v>DILUENTE</v>
      </c>
      <c r="X2867" t="str">
        <f>VLOOKUP(L2867,'[2]tabela de preços'!$A:$G,7,0)</f>
        <v>AUTOMOTIVO</v>
      </c>
    </row>
    <row r="2868" spans="1:24" x14ac:dyDescent="0.3">
      <c r="A2868" t="s">
        <v>1623</v>
      </c>
      <c r="C2868" t="s">
        <v>2456</v>
      </c>
      <c r="D2868" s="1">
        <v>46055</v>
      </c>
      <c r="E2868" t="s">
        <v>2457</v>
      </c>
      <c r="F2868">
        <v>9</v>
      </c>
      <c r="G2868">
        <v>231</v>
      </c>
      <c r="H2868" t="str">
        <f>VLOOKUP(G2868,[1]OPERADORES!$A:$B,2,0)</f>
        <v>EDIJANE</v>
      </c>
      <c r="I2868" t="s">
        <v>21</v>
      </c>
      <c r="J2868" t="s">
        <v>531</v>
      </c>
      <c r="K2868" t="s">
        <v>1626</v>
      </c>
      <c r="L2868">
        <v>84406</v>
      </c>
      <c r="M2868" t="s">
        <v>2110</v>
      </c>
      <c r="O2868" t="s">
        <v>11</v>
      </c>
      <c r="P2868">
        <v>5102</v>
      </c>
      <c r="Q2868">
        <v>1</v>
      </c>
      <c r="R2868">
        <v>32.159999999999997</v>
      </c>
      <c r="S2868">
        <v>32.159999999999997</v>
      </c>
      <c r="T2868">
        <v>24.41</v>
      </c>
      <c r="U2868">
        <v>24.1</v>
      </c>
      <c r="V2868" t="str">
        <f>VLOOKUP(L2868,'[2]tabela de preços'!$A:$D,4,0)</f>
        <v>3M</v>
      </c>
      <c r="W2868" t="str">
        <f>VLOOKUP(L2868,'[2]tabela de preços'!$A:$F,6,0)</f>
        <v>FITA DUPLA FACE</v>
      </c>
      <c r="X2868" t="str">
        <f>VLOOKUP(L2868,'[2]tabela de preços'!$A:$G,7,0)</f>
        <v>AUTOMOTIVO</v>
      </c>
    </row>
    <row r="2869" spans="1:24" x14ac:dyDescent="0.3">
      <c r="A2869" t="s">
        <v>1623</v>
      </c>
      <c r="C2869" t="s">
        <v>2456</v>
      </c>
      <c r="D2869" s="1">
        <v>46055</v>
      </c>
      <c r="E2869" t="s">
        <v>2457</v>
      </c>
      <c r="F2869">
        <v>9</v>
      </c>
      <c r="G2869">
        <v>231</v>
      </c>
      <c r="H2869" t="str">
        <f>VLOOKUP(G2869,[1]OPERADORES!$A:$B,2,0)</f>
        <v>EDIJANE</v>
      </c>
      <c r="I2869" t="s">
        <v>21</v>
      </c>
      <c r="J2869" t="s">
        <v>531</v>
      </c>
      <c r="K2869" t="s">
        <v>1626</v>
      </c>
      <c r="L2869">
        <v>85326</v>
      </c>
      <c r="M2869" t="s">
        <v>1627</v>
      </c>
      <c r="O2869" t="s">
        <v>11</v>
      </c>
      <c r="P2869">
        <v>5102</v>
      </c>
      <c r="Q2869">
        <v>1</v>
      </c>
      <c r="R2869">
        <v>565.9</v>
      </c>
      <c r="S2869">
        <v>565.9</v>
      </c>
      <c r="T2869">
        <v>403.49</v>
      </c>
      <c r="U2869">
        <v>28.7</v>
      </c>
      <c r="V2869" t="str">
        <f>VLOOKUP(L2869,'[2]tabela de preços'!$A:$D,4,0)</f>
        <v>BRASILUX</v>
      </c>
      <c r="W2869" t="str">
        <f>VLOOKUP(L2869,'[2]tabela de preços'!$A:$F,6,0)</f>
        <v>TINTA EM PÓ</v>
      </c>
      <c r="X2869" t="str">
        <f>VLOOKUP(L2869,'[2]tabela de preços'!$A:$G,7,0)</f>
        <v>INDUSTRIAL</v>
      </c>
    </row>
    <row r="2870" spans="1:24" x14ac:dyDescent="0.3">
      <c r="A2870" t="s">
        <v>1630</v>
      </c>
      <c r="C2870" t="s">
        <v>2683</v>
      </c>
      <c r="D2870" s="1">
        <v>46057</v>
      </c>
      <c r="E2870" t="s">
        <v>2684</v>
      </c>
      <c r="F2870">
        <v>9</v>
      </c>
      <c r="G2870">
        <v>174</v>
      </c>
      <c r="H2870" t="str">
        <f>VLOOKUP(G2870,[1]OPERADORES!$A:$B,2,0)</f>
        <v>MIRIÃ LOBATO RODRIGUES</v>
      </c>
      <c r="I2870" t="s">
        <v>21</v>
      </c>
      <c r="J2870" t="s">
        <v>762</v>
      </c>
      <c r="K2870" t="s">
        <v>1633</v>
      </c>
      <c r="L2870">
        <v>20135</v>
      </c>
      <c r="M2870" t="s">
        <v>459</v>
      </c>
      <c r="O2870" t="s">
        <v>11</v>
      </c>
      <c r="P2870">
        <v>5102</v>
      </c>
      <c r="Q2870">
        <v>15</v>
      </c>
      <c r="R2870">
        <v>25.37</v>
      </c>
      <c r="S2870">
        <v>380.55</v>
      </c>
      <c r="T2870">
        <v>288.89999999999998</v>
      </c>
      <c r="U2870">
        <v>24.08</v>
      </c>
      <c r="V2870" t="str">
        <f>VLOOKUP(L2870,'[2]tabela de preços'!$A:$D,4,0)</f>
        <v>3M</v>
      </c>
      <c r="W2870" t="str">
        <f>VLOOKUP(L2870,'[2]tabela de preços'!$A:$F,6,0)</f>
        <v>DISCO TRIZACT</v>
      </c>
      <c r="X2870" t="str">
        <f>VLOOKUP(L2870,'[2]tabela de preços'!$A:$G,7,0)</f>
        <v>AUTOMOTIVO</v>
      </c>
    </row>
    <row r="2871" spans="1:24" x14ac:dyDescent="0.3">
      <c r="A2871" t="s">
        <v>1630</v>
      </c>
      <c r="C2871" t="s">
        <v>2683</v>
      </c>
      <c r="D2871" s="1">
        <v>46057</v>
      </c>
      <c r="E2871" t="s">
        <v>2684</v>
      </c>
      <c r="F2871">
        <v>9</v>
      </c>
      <c r="G2871">
        <v>174</v>
      </c>
      <c r="H2871" t="str">
        <f>VLOOKUP(G2871,[1]OPERADORES!$A:$B,2,0)</f>
        <v>MIRIÃ LOBATO RODRIGUES</v>
      </c>
      <c r="I2871" t="s">
        <v>21</v>
      </c>
      <c r="J2871" t="s">
        <v>762</v>
      </c>
      <c r="K2871" t="s">
        <v>1633</v>
      </c>
      <c r="L2871">
        <v>84785</v>
      </c>
      <c r="M2871" t="s">
        <v>944</v>
      </c>
      <c r="O2871" t="s">
        <v>11</v>
      </c>
      <c r="P2871">
        <v>5403</v>
      </c>
      <c r="Q2871">
        <v>6</v>
      </c>
      <c r="R2871">
        <v>170.2</v>
      </c>
      <c r="S2871" s="2">
        <v>1021.2</v>
      </c>
      <c r="T2871">
        <v>784.32</v>
      </c>
      <c r="U2871">
        <v>23.2</v>
      </c>
      <c r="V2871" t="str">
        <f>VLOOKUP(L2871,'[2]tabela de preços'!$A:$D,4,0)</f>
        <v>BRASILUX</v>
      </c>
      <c r="W2871" t="str">
        <f>VLOOKUP(L2871,'[2]tabela de preços'!$A:$F,6,0)</f>
        <v>EPOXI</v>
      </c>
      <c r="X2871" t="str">
        <f>VLOOKUP(L2871,'[2]tabela de preços'!$A:$G,7,0)</f>
        <v>INDUSTRIAL</v>
      </c>
    </row>
    <row r="2872" spans="1:24" x14ac:dyDescent="0.3">
      <c r="A2872" t="s">
        <v>1630</v>
      </c>
      <c r="C2872" t="s">
        <v>2683</v>
      </c>
      <c r="D2872" s="1">
        <v>46057</v>
      </c>
      <c r="E2872" t="s">
        <v>2684</v>
      </c>
      <c r="F2872">
        <v>9</v>
      </c>
      <c r="G2872">
        <v>174</v>
      </c>
      <c r="H2872" t="str">
        <f>VLOOKUP(G2872,[1]OPERADORES!$A:$B,2,0)</f>
        <v>MIRIÃ LOBATO RODRIGUES</v>
      </c>
      <c r="I2872" t="s">
        <v>21</v>
      </c>
      <c r="J2872" t="s">
        <v>762</v>
      </c>
      <c r="K2872" t="s">
        <v>1633</v>
      </c>
      <c r="L2872">
        <v>84900</v>
      </c>
      <c r="M2872" t="s">
        <v>1261</v>
      </c>
      <c r="O2872" t="s">
        <v>11</v>
      </c>
      <c r="P2872">
        <v>5403</v>
      </c>
      <c r="Q2872">
        <v>9</v>
      </c>
      <c r="R2872">
        <v>167.4</v>
      </c>
      <c r="S2872" s="2">
        <v>1506.6</v>
      </c>
      <c r="T2872" s="2">
        <v>1157.1300000000001</v>
      </c>
      <c r="U2872">
        <v>23.2</v>
      </c>
      <c r="V2872" t="str">
        <f>VLOOKUP(L2872,'[2]tabela de preços'!$A:$D,4,0)</f>
        <v>BRASILUX</v>
      </c>
      <c r="W2872" t="str">
        <f>VLOOKUP(L2872,'[2]tabela de preços'!$A:$F,6,0)</f>
        <v>EPOXI</v>
      </c>
      <c r="X2872" t="str">
        <f>VLOOKUP(L2872,'[2]tabela de preços'!$A:$G,7,0)</f>
        <v>INDUSTRIAL</v>
      </c>
    </row>
    <row r="2873" spans="1:24" x14ac:dyDescent="0.3">
      <c r="A2873" t="s">
        <v>1630</v>
      </c>
      <c r="C2873" t="s">
        <v>2685</v>
      </c>
      <c r="D2873" s="1">
        <v>46057</v>
      </c>
      <c r="E2873" t="s">
        <v>2686</v>
      </c>
      <c r="F2873">
        <v>9</v>
      </c>
      <c r="G2873">
        <v>174</v>
      </c>
      <c r="H2873" t="str">
        <f>VLOOKUP(G2873,[1]OPERADORES!$A:$B,2,0)</f>
        <v>MIRIÃ LOBATO RODRIGUES</v>
      </c>
      <c r="I2873" t="s">
        <v>21</v>
      </c>
      <c r="J2873" t="s">
        <v>762</v>
      </c>
      <c r="K2873" t="s">
        <v>1633</v>
      </c>
      <c r="L2873">
        <v>10238</v>
      </c>
      <c r="M2873" t="s">
        <v>79</v>
      </c>
      <c r="O2873" t="s">
        <v>11</v>
      </c>
      <c r="P2873">
        <v>5102</v>
      </c>
      <c r="Q2873">
        <v>200</v>
      </c>
      <c r="R2873">
        <v>2.79</v>
      </c>
      <c r="S2873">
        <v>558</v>
      </c>
      <c r="T2873">
        <v>448</v>
      </c>
      <c r="U2873">
        <v>19.71</v>
      </c>
      <c r="V2873" t="str">
        <f>VLOOKUP(L2873,'[2]tabela de preços'!$A:$D,4,0)</f>
        <v>NORTON</v>
      </c>
      <c r="W2873" t="str">
        <f>VLOOKUP(L2873,'[2]tabela de preços'!$A:$F,6,0)</f>
        <v xml:space="preserve">DISCOS / LIXAS / ABRASIVOS </v>
      </c>
      <c r="X2873" t="str">
        <f>VLOOKUP(L2873,'[2]tabela de preços'!$A:$G,7,0)</f>
        <v>AUTOMOTIVO</v>
      </c>
    </row>
    <row r="2874" spans="1:24" x14ac:dyDescent="0.3">
      <c r="A2874" t="s">
        <v>1630</v>
      </c>
      <c r="C2874" t="s">
        <v>2687</v>
      </c>
      <c r="D2874" s="1">
        <v>46058</v>
      </c>
      <c r="E2874" t="s">
        <v>2688</v>
      </c>
      <c r="F2874">
        <v>9</v>
      </c>
      <c r="G2874">
        <v>174</v>
      </c>
      <c r="H2874" t="str">
        <f>VLOOKUP(G2874,[1]OPERADORES!$A:$B,2,0)</f>
        <v>MIRIÃ LOBATO RODRIGUES</v>
      </c>
      <c r="I2874" t="s">
        <v>21</v>
      </c>
      <c r="J2874" t="s">
        <v>762</v>
      </c>
      <c r="K2874" t="s">
        <v>1633</v>
      </c>
      <c r="L2874">
        <v>85292</v>
      </c>
      <c r="M2874" t="s">
        <v>1288</v>
      </c>
      <c r="O2874" t="s">
        <v>11</v>
      </c>
      <c r="P2874">
        <v>5403</v>
      </c>
      <c r="Q2874">
        <v>3</v>
      </c>
      <c r="R2874">
        <v>169.39</v>
      </c>
      <c r="S2874">
        <v>508.17</v>
      </c>
      <c r="T2874">
        <v>385.71</v>
      </c>
      <c r="U2874">
        <v>24.1</v>
      </c>
      <c r="V2874" t="str">
        <f>VLOOKUP(L2874,'[2]tabela de preços'!$A:$D,4,0)</f>
        <v>BRASILUX</v>
      </c>
      <c r="W2874" t="str">
        <f>VLOOKUP(L2874,'[2]tabela de preços'!$A:$F,6,0)</f>
        <v>EPOXI</v>
      </c>
      <c r="X2874" t="str">
        <f>VLOOKUP(L2874,'[2]tabela de preços'!$A:$G,7,0)</f>
        <v>INDUSTRIAL</v>
      </c>
    </row>
    <row r="2875" spans="1:24" x14ac:dyDescent="0.3">
      <c r="A2875" t="s">
        <v>1649</v>
      </c>
      <c r="B2875" t="s">
        <v>1650</v>
      </c>
      <c r="C2875" t="s">
        <v>2689</v>
      </c>
      <c r="D2875" s="1">
        <v>46058</v>
      </c>
      <c r="E2875" t="s">
        <v>2690</v>
      </c>
      <c r="F2875">
        <v>9</v>
      </c>
      <c r="G2875">
        <v>236</v>
      </c>
      <c r="H2875" t="str">
        <f>VLOOKUP(G2875,[1]OPERADORES!$A:$B,2,0)</f>
        <v>DANIEL</v>
      </c>
      <c r="I2875" t="s">
        <v>21</v>
      </c>
      <c r="J2875" t="s">
        <v>1653</v>
      </c>
      <c r="K2875" t="s">
        <v>1654</v>
      </c>
      <c r="L2875">
        <v>84490</v>
      </c>
      <c r="M2875" t="s">
        <v>2691</v>
      </c>
      <c r="O2875" t="s">
        <v>11</v>
      </c>
      <c r="P2875">
        <v>5403</v>
      </c>
      <c r="Q2875">
        <v>4</v>
      </c>
      <c r="R2875">
        <v>118.42</v>
      </c>
      <c r="S2875">
        <v>473.68</v>
      </c>
      <c r="T2875">
        <v>339.56</v>
      </c>
      <c r="U2875">
        <v>28.31</v>
      </c>
      <c r="V2875" t="str">
        <f>VLOOKUP(L2875,'[2]tabela de preços'!$A:$D,4,0)</f>
        <v>BRASILUX</v>
      </c>
      <c r="W2875" t="str">
        <f>VLOOKUP(L2875,'[2]tabela de preços'!$A:$F,6,0)</f>
        <v xml:space="preserve">BASES SISTEMA NO MACHINE </v>
      </c>
      <c r="X2875" t="str">
        <f>VLOOKUP(L2875,'[2]tabela de preços'!$A:$G,7,0)</f>
        <v>INDUSTRIAL</v>
      </c>
    </row>
    <row r="2876" spans="1:24" x14ac:dyDescent="0.3">
      <c r="A2876" t="s">
        <v>1701</v>
      </c>
      <c r="C2876" t="s">
        <v>2533</v>
      </c>
      <c r="D2876" s="1">
        <v>46056</v>
      </c>
      <c r="E2876" t="s">
        <v>2534</v>
      </c>
      <c r="F2876">
        <v>9</v>
      </c>
      <c r="G2876">
        <v>197</v>
      </c>
      <c r="H2876" t="str">
        <f>VLOOKUP(G2876,[1]OPERADORES!$A:$B,2,0)</f>
        <v xml:space="preserve">POLIANA LORRANE DE AMORIM </v>
      </c>
      <c r="I2876" t="s">
        <v>21</v>
      </c>
      <c r="J2876" t="s">
        <v>265</v>
      </c>
      <c r="K2876" t="s">
        <v>1704</v>
      </c>
      <c r="L2876">
        <v>84329</v>
      </c>
      <c r="M2876" t="s">
        <v>285</v>
      </c>
      <c r="O2876" t="s">
        <v>11</v>
      </c>
      <c r="P2876">
        <v>5403</v>
      </c>
      <c r="Q2876">
        <v>1</v>
      </c>
      <c r="R2876">
        <v>59.98</v>
      </c>
      <c r="S2876">
        <v>59.98</v>
      </c>
      <c r="T2876">
        <v>48.27</v>
      </c>
      <c r="U2876">
        <v>19.52</v>
      </c>
      <c r="V2876" t="str">
        <f>VLOOKUP(L2876,'[2]tabela de preços'!$A:$D,4,0)</f>
        <v>BRASILUX</v>
      </c>
      <c r="W2876" t="str">
        <f>VLOOKUP(L2876,'[2]tabela de preços'!$A:$F,6,0)</f>
        <v>ESMALTES</v>
      </c>
      <c r="X2876" t="str">
        <f>VLOOKUP(L2876,'[2]tabela de preços'!$A:$G,7,0)</f>
        <v>INDUSTRIAL</v>
      </c>
    </row>
    <row r="2877" spans="1:24" x14ac:dyDescent="0.3">
      <c r="A2877" t="s">
        <v>1701</v>
      </c>
      <c r="C2877" t="s">
        <v>2533</v>
      </c>
      <c r="D2877" s="1">
        <v>46056</v>
      </c>
      <c r="E2877" t="s">
        <v>2534</v>
      </c>
      <c r="F2877">
        <v>9</v>
      </c>
      <c r="G2877">
        <v>197</v>
      </c>
      <c r="H2877" t="str">
        <f>VLOOKUP(G2877,[1]OPERADORES!$A:$B,2,0)</f>
        <v xml:space="preserve">POLIANA LORRANE DE AMORIM </v>
      </c>
      <c r="I2877" t="s">
        <v>21</v>
      </c>
      <c r="J2877" t="s">
        <v>265</v>
      </c>
      <c r="K2877" t="s">
        <v>1704</v>
      </c>
      <c r="L2877">
        <v>84355</v>
      </c>
      <c r="M2877" t="s">
        <v>1705</v>
      </c>
      <c r="O2877" t="s">
        <v>11</v>
      </c>
      <c r="P2877">
        <v>5403</v>
      </c>
      <c r="Q2877">
        <v>1</v>
      </c>
      <c r="R2877">
        <v>20.03</v>
      </c>
      <c r="S2877">
        <v>20.03</v>
      </c>
      <c r="T2877">
        <v>15.21</v>
      </c>
      <c r="U2877">
        <v>24.06</v>
      </c>
      <c r="V2877" t="str">
        <f>VLOOKUP(L2877,'[2]tabela de preços'!$A:$D,4,0)</f>
        <v>BRASILUX</v>
      </c>
      <c r="W2877" t="str">
        <f>VLOOKUP(L2877,'[2]tabela de preços'!$A:$F,6,0)</f>
        <v>ESMALTES</v>
      </c>
      <c r="X2877" t="str">
        <f>VLOOKUP(L2877,'[2]tabela de preços'!$A:$G,7,0)</f>
        <v>INDUSTRIAL</v>
      </c>
    </row>
    <row r="2878" spans="1:24" x14ac:dyDescent="0.3">
      <c r="A2878" t="s">
        <v>1701</v>
      </c>
      <c r="C2878" t="s">
        <v>2533</v>
      </c>
      <c r="D2878" s="1">
        <v>46056</v>
      </c>
      <c r="E2878" t="s">
        <v>2534</v>
      </c>
      <c r="F2878">
        <v>9</v>
      </c>
      <c r="G2878">
        <v>197</v>
      </c>
      <c r="H2878" t="str">
        <f>VLOOKUP(G2878,[1]OPERADORES!$A:$B,2,0)</f>
        <v xml:space="preserve">POLIANA LORRANE DE AMORIM </v>
      </c>
      <c r="I2878" t="s">
        <v>21</v>
      </c>
      <c r="J2878" t="s">
        <v>265</v>
      </c>
      <c r="K2878" t="s">
        <v>1704</v>
      </c>
      <c r="L2878">
        <v>84142</v>
      </c>
      <c r="M2878" t="s">
        <v>1594</v>
      </c>
      <c r="O2878" t="s">
        <v>11</v>
      </c>
      <c r="P2878">
        <v>5403</v>
      </c>
      <c r="Q2878">
        <v>2</v>
      </c>
      <c r="R2878">
        <v>74.94</v>
      </c>
      <c r="S2878">
        <v>149.88</v>
      </c>
      <c r="T2878">
        <v>113.76</v>
      </c>
      <c r="U2878">
        <v>24.1</v>
      </c>
      <c r="V2878" t="str">
        <f>VLOOKUP(L2878,'[2]tabela de preços'!$A:$D,4,0)</f>
        <v>BRASILUX</v>
      </c>
      <c r="W2878" t="str">
        <f>VLOOKUP(L2878,'[2]tabela de preços'!$A:$F,6,0)</f>
        <v>ESMALTES</v>
      </c>
      <c r="X2878" t="str">
        <f>VLOOKUP(L2878,'[2]tabela de preços'!$A:$G,7,0)</f>
        <v>INDUSTRIAL</v>
      </c>
    </row>
    <row r="2879" spans="1:24" x14ac:dyDescent="0.3">
      <c r="A2879" t="s">
        <v>1701</v>
      </c>
      <c r="C2879" t="s">
        <v>2533</v>
      </c>
      <c r="D2879" s="1">
        <v>46056</v>
      </c>
      <c r="E2879" t="s">
        <v>2534</v>
      </c>
      <c r="F2879">
        <v>9</v>
      </c>
      <c r="G2879">
        <v>197</v>
      </c>
      <c r="H2879" t="str">
        <f>VLOOKUP(G2879,[1]OPERADORES!$A:$B,2,0)</f>
        <v xml:space="preserve">POLIANA LORRANE DE AMORIM </v>
      </c>
      <c r="I2879" t="s">
        <v>21</v>
      </c>
      <c r="J2879" t="s">
        <v>265</v>
      </c>
      <c r="K2879" t="s">
        <v>1704</v>
      </c>
      <c r="L2879">
        <v>84143</v>
      </c>
      <c r="M2879" t="s">
        <v>1706</v>
      </c>
      <c r="O2879" t="s">
        <v>11</v>
      </c>
      <c r="P2879">
        <v>5403</v>
      </c>
      <c r="Q2879">
        <v>3</v>
      </c>
      <c r="R2879">
        <v>20.41</v>
      </c>
      <c r="S2879">
        <v>61.23</v>
      </c>
      <c r="T2879">
        <v>46.47</v>
      </c>
      <c r="U2879">
        <v>24.11</v>
      </c>
      <c r="V2879" t="str">
        <f>VLOOKUP(L2879,'[2]tabela de preços'!$A:$D,4,0)</f>
        <v>BRASILUX</v>
      </c>
      <c r="W2879" t="str">
        <f>VLOOKUP(L2879,'[2]tabela de preços'!$A:$F,6,0)</f>
        <v>ESMALTES</v>
      </c>
      <c r="X2879" t="str">
        <f>VLOOKUP(L2879,'[2]tabela de preços'!$A:$G,7,0)</f>
        <v>INDUSTRIAL</v>
      </c>
    </row>
    <row r="2880" spans="1:24" x14ac:dyDescent="0.3">
      <c r="A2880" t="s">
        <v>1701</v>
      </c>
      <c r="C2880" t="s">
        <v>2533</v>
      </c>
      <c r="D2880" s="1">
        <v>46056</v>
      </c>
      <c r="E2880" t="s">
        <v>2534</v>
      </c>
      <c r="F2880">
        <v>9</v>
      </c>
      <c r="G2880">
        <v>197</v>
      </c>
      <c r="H2880" t="str">
        <f>VLOOKUP(G2880,[1]OPERADORES!$A:$B,2,0)</f>
        <v xml:space="preserve">POLIANA LORRANE DE AMORIM </v>
      </c>
      <c r="I2880" t="s">
        <v>21</v>
      </c>
      <c r="J2880" t="s">
        <v>265</v>
      </c>
      <c r="K2880" t="s">
        <v>1704</v>
      </c>
      <c r="L2880">
        <v>84331</v>
      </c>
      <c r="M2880" t="s">
        <v>497</v>
      </c>
      <c r="O2880" t="s">
        <v>11</v>
      </c>
      <c r="P2880">
        <v>5403</v>
      </c>
      <c r="Q2880">
        <v>4</v>
      </c>
      <c r="R2880">
        <v>59.98</v>
      </c>
      <c r="S2880">
        <v>239.92</v>
      </c>
      <c r="T2880">
        <v>208</v>
      </c>
      <c r="U2880">
        <v>13.3</v>
      </c>
      <c r="V2880" t="str">
        <f>VLOOKUP(L2880,'[2]tabela de preços'!$A:$D,4,0)</f>
        <v>BRASILUX</v>
      </c>
      <c r="W2880" t="str">
        <f>VLOOKUP(L2880,'[2]tabela de preços'!$A:$F,6,0)</f>
        <v>ESMALTES</v>
      </c>
      <c r="X2880" t="str">
        <f>VLOOKUP(L2880,'[2]tabela de preços'!$A:$G,7,0)</f>
        <v>INDUSTRIAL</v>
      </c>
    </row>
    <row r="2881" spans="1:24" x14ac:dyDescent="0.3">
      <c r="A2881" t="s">
        <v>1701</v>
      </c>
      <c r="C2881" t="s">
        <v>2533</v>
      </c>
      <c r="D2881" s="1">
        <v>46056</v>
      </c>
      <c r="E2881" t="s">
        <v>2534</v>
      </c>
      <c r="F2881">
        <v>9</v>
      </c>
      <c r="G2881">
        <v>197</v>
      </c>
      <c r="H2881" t="str">
        <f>VLOOKUP(G2881,[1]OPERADORES!$A:$B,2,0)</f>
        <v xml:space="preserve">POLIANA LORRANE DE AMORIM </v>
      </c>
      <c r="I2881" t="s">
        <v>21</v>
      </c>
      <c r="J2881" t="s">
        <v>265</v>
      </c>
      <c r="K2881" t="s">
        <v>1704</v>
      </c>
      <c r="L2881">
        <v>84357</v>
      </c>
      <c r="M2881" t="s">
        <v>580</v>
      </c>
      <c r="O2881" t="s">
        <v>11</v>
      </c>
      <c r="P2881">
        <v>5403</v>
      </c>
      <c r="Q2881">
        <v>6</v>
      </c>
      <c r="R2881">
        <v>21.7</v>
      </c>
      <c r="S2881">
        <v>130.19999999999999</v>
      </c>
      <c r="T2881">
        <v>98.82</v>
      </c>
      <c r="U2881">
        <v>24.1</v>
      </c>
      <c r="V2881" t="str">
        <f>VLOOKUP(L2881,'[2]tabela de preços'!$A:$D,4,0)</f>
        <v>BRASILUX</v>
      </c>
      <c r="W2881" t="str">
        <f>VLOOKUP(L2881,'[2]tabela de preços'!$A:$F,6,0)</f>
        <v>ESMALTES</v>
      </c>
      <c r="X2881" t="str">
        <f>VLOOKUP(L2881,'[2]tabela de preços'!$A:$G,7,0)</f>
        <v>INDUSTRIAL</v>
      </c>
    </row>
    <row r="2882" spans="1:24" x14ac:dyDescent="0.3">
      <c r="A2882" t="s">
        <v>1701</v>
      </c>
      <c r="C2882" t="s">
        <v>2533</v>
      </c>
      <c r="D2882" s="1">
        <v>46056</v>
      </c>
      <c r="E2882" t="s">
        <v>2534</v>
      </c>
      <c r="F2882">
        <v>9</v>
      </c>
      <c r="G2882">
        <v>197</v>
      </c>
      <c r="H2882" t="str">
        <f>VLOOKUP(G2882,[1]OPERADORES!$A:$B,2,0)</f>
        <v xml:space="preserve">POLIANA LORRANE DE AMORIM </v>
      </c>
      <c r="I2882" t="s">
        <v>21</v>
      </c>
      <c r="J2882" t="s">
        <v>265</v>
      </c>
      <c r="K2882" t="s">
        <v>1704</v>
      </c>
      <c r="L2882">
        <v>84144</v>
      </c>
      <c r="M2882" t="s">
        <v>1287</v>
      </c>
      <c r="O2882" t="s">
        <v>11</v>
      </c>
      <c r="P2882">
        <v>5403</v>
      </c>
      <c r="Q2882">
        <v>2</v>
      </c>
      <c r="R2882">
        <v>59.98</v>
      </c>
      <c r="S2882">
        <v>119.96</v>
      </c>
      <c r="T2882">
        <v>104</v>
      </c>
      <c r="U2882">
        <v>13.3</v>
      </c>
      <c r="V2882" t="str">
        <f>VLOOKUP(L2882,'[2]tabela de preços'!$A:$D,4,0)</f>
        <v>BRASILUX</v>
      </c>
      <c r="W2882" t="str">
        <f>VLOOKUP(L2882,'[2]tabela de preços'!$A:$F,6,0)</f>
        <v>ESMALTES</v>
      </c>
      <c r="X2882" t="str">
        <f>VLOOKUP(L2882,'[2]tabela de preços'!$A:$G,7,0)</f>
        <v>INDUSTRIAL</v>
      </c>
    </row>
    <row r="2883" spans="1:24" x14ac:dyDescent="0.3">
      <c r="A2883" t="s">
        <v>1701</v>
      </c>
      <c r="C2883" t="s">
        <v>2533</v>
      </c>
      <c r="D2883" s="1">
        <v>46056</v>
      </c>
      <c r="E2883" t="s">
        <v>2534</v>
      </c>
      <c r="F2883">
        <v>9</v>
      </c>
      <c r="G2883">
        <v>197</v>
      </c>
      <c r="H2883" t="str">
        <f>VLOOKUP(G2883,[1]OPERADORES!$A:$B,2,0)</f>
        <v xml:space="preserve">POLIANA LORRANE DE AMORIM </v>
      </c>
      <c r="I2883" t="s">
        <v>21</v>
      </c>
      <c r="J2883" t="s">
        <v>265</v>
      </c>
      <c r="K2883" t="s">
        <v>1704</v>
      </c>
      <c r="L2883">
        <v>84333</v>
      </c>
      <c r="M2883" t="s">
        <v>1025</v>
      </c>
      <c r="O2883" t="s">
        <v>11</v>
      </c>
      <c r="P2883">
        <v>5403</v>
      </c>
      <c r="Q2883">
        <v>3</v>
      </c>
      <c r="R2883">
        <v>59.98</v>
      </c>
      <c r="S2883">
        <v>179.94</v>
      </c>
      <c r="T2883">
        <v>141.12</v>
      </c>
      <c r="U2883">
        <v>21.57</v>
      </c>
      <c r="V2883" t="str">
        <f>VLOOKUP(L2883,'[2]tabela de preços'!$A:$D,4,0)</f>
        <v>BRASILUX</v>
      </c>
      <c r="W2883" t="str">
        <f>VLOOKUP(L2883,'[2]tabela de preços'!$A:$F,6,0)</f>
        <v>ESMALTES</v>
      </c>
      <c r="X2883" t="str">
        <f>VLOOKUP(L2883,'[2]tabela de preços'!$A:$G,7,0)</f>
        <v>INDUSTRIAL</v>
      </c>
    </row>
    <row r="2884" spans="1:24" x14ac:dyDescent="0.3">
      <c r="A2884" t="s">
        <v>1701</v>
      </c>
      <c r="C2884" t="s">
        <v>2533</v>
      </c>
      <c r="D2884" s="1">
        <v>46056</v>
      </c>
      <c r="E2884" t="s">
        <v>2534</v>
      </c>
      <c r="F2884">
        <v>9</v>
      </c>
      <c r="G2884">
        <v>197</v>
      </c>
      <c r="H2884" t="str">
        <f>VLOOKUP(G2884,[1]OPERADORES!$A:$B,2,0)</f>
        <v xml:space="preserve">POLIANA LORRANE DE AMORIM </v>
      </c>
      <c r="I2884" t="s">
        <v>21</v>
      </c>
      <c r="J2884" t="s">
        <v>265</v>
      </c>
      <c r="K2884" t="s">
        <v>1704</v>
      </c>
      <c r="L2884">
        <v>84342</v>
      </c>
      <c r="M2884" t="s">
        <v>498</v>
      </c>
      <c r="O2884" t="s">
        <v>11</v>
      </c>
      <c r="P2884">
        <v>5403</v>
      </c>
      <c r="Q2884">
        <v>4</v>
      </c>
      <c r="R2884">
        <v>59.98</v>
      </c>
      <c r="S2884">
        <v>239.92</v>
      </c>
      <c r="T2884">
        <v>183.12</v>
      </c>
      <c r="U2884">
        <v>23.67</v>
      </c>
      <c r="V2884" t="str">
        <f>VLOOKUP(L2884,'[2]tabela de preços'!$A:$D,4,0)</f>
        <v>BRASILUX</v>
      </c>
      <c r="W2884" t="str">
        <f>VLOOKUP(L2884,'[2]tabela de preços'!$A:$F,6,0)</f>
        <v>ESMALTES</v>
      </c>
      <c r="X2884" t="str">
        <f>VLOOKUP(L2884,'[2]tabela de preços'!$A:$G,7,0)</f>
        <v>INDUSTRIAL</v>
      </c>
    </row>
    <row r="2885" spans="1:24" x14ac:dyDescent="0.3">
      <c r="A2885" t="s">
        <v>1701</v>
      </c>
      <c r="C2885" t="s">
        <v>2533</v>
      </c>
      <c r="D2885" s="1">
        <v>46056</v>
      </c>
      <c r="E2885" t="s">
        <v>2534</v>
      </c>
      <c r="F2885">
        <v>9</v>
      </c>
      <c r="G2885">
        <v>197</v>
      </c>
      <c r="H2885" t="str">
        <f>VLOOKUP(G2885,[1]OPERADORES!$A:$B,2,0)</f>
        <v xml:space="preserve">POLIANA LORRANE DE AMORIM </v>
      </c>
      <c r="I2885" t="s">
        <v>21</v>
      </c>
      <c r="J2885" t="s">
        <v>265</v>
      </c>
      <c r="K2885" t="s">
        <v>1704</v>
      </c>
      <c r="L2885">
        <v>84347</v>
      </c>
      <c r="M2885" t="s">
        <v>1150</v>
      </c>
      <c r="O2885" t="s">
        <v>11</v>
      </c>
      <c r="P2885">
        <v>5403</v>
      </c>
      <c r="Q2885">
        <v>1</v>
      </c>
      <c r="R2885">
        <v>59.98</v>
      </c>
      <c r="S2885">
        <v>59.98</v>
      </c>
      <c r="T2885">
        <v>52</v>
      </c>
      <c r="U2885">
        <v>13.3</v>
      </c>
      <c r="V2885" t="str">
        <f>VLOOKUP(L2885,'[2]tabela de preços'!$A:$D,4,0)</f>
        <v>BRASILUX</v>
      </c>
      <c r="W2885" t="str">
        <f>VLOOKUP(L2885,'[2]tabela de preços'!$A:$F,6,0)</f>
        <v>ESMALTES</v>
      </c>
      <c r="X2885" t="str">
        <f>VLOOKUP(L2885,'[2]tabela de preços'!$A:$G,7,0)</f>
        <v>INDUSTRIAL</v>
      </c>
    </row>
    <row r="2886" spans="1:24" x14ac:dyDescent="0.3">
      <c r="A2886" t="s">
        <v>1701</v>
      </c>
      <c r="C2886" t="s">
        <v>2533</v>
      </c>
      <c r="D2886" s="1">
        <v>46056</v>
      </c>
      <c r="E2886" t="s">
        <v>2534</v>
      </c>
      <c r="F2886">
        <v>9</v>
      </c>
      <c r="G2886">
        <v>197</v>
      </c>
      <c r="H2886" t="str">
        <f>VLOOKUP(G2886,[1]OPERADORES!$A:$B,2,0)</f>
        <v xml:space="preserve">POLIANA LORRANE DE AMORIM </v>
      </c>
      <c r="I2886" t="s">
        <v>21</v>
      </c>
      <c r="J2886" t="s">
        <v>265</v>
      </c>
      <c r="K2886" t="s">
        <v>1704</v>
      </c>
      <c r="L2886">
        <v>84348</v>
      </c>
      <c r="M2886" t="s">
        <v>1711</v>
      </c>
      <c r="O2886" t="s">
        <v>11</v>
      </c>
      <c r="P2886">
        <v>5403</v>
      </c>
      <c r="Q2886">
        <v>1</v>
      </c>
      <c r="R2886">
        <v>59.98</v>
      </c>
      <c r="S2886">
        <v>59.98</v>
      </c>
      <c r="T2886">
        <v>47.66</v>
      </c>
      <c r="U2886">
        <v>20.54</v>
      </c>
      <c r="V2886" t="str">
        <f>VLOOKUP(L2886,'[2]tabela de preços'!$A:$D,4,0)</f>
        <v>BRASILUX</v>
      </c>
      <c r="W2886" t="str">
        <f>VLOOKUP(L2886,'[2]tabela de preços'!$A:$F,6,0)</f>
        <v>ESMALTES</v>
      </c>
      <c r="X2886" t="str">
        <f>VLOOKUP(L2886,'[2]tabela de preços'!$A:$G,7,0)</f>
        <v>INDUSTRIAL</v>
      </c>
    </row>
    <row r="2887" spans="1:24" x14ac:dyDescent="0.3">
      <c r="A2887" t="s">
        <v>1701</v>
      </c>
      <c r="C2887" t="s">
        <v>2533</v>
      </c>
      <c r="D2887" s="1">
        <v>46056</v>
      </c>
      <c r="E2887" t="s">
        <v>2534</v>
      </c>
      <c r="F2887">
        <v>9</v>
      </c>
      <c r="G2887">
        <v>197</v>
      </c>
      <c r="H2887" t="str">
        <f>VLOOKUP(G2887,[1]OPERADORES!$A:$B,2,0)</f>
        <v xml:space="preserve">POLIANA LORRANE DE AMORIM </v>
      </c>
      <c r="I2887" t="s">
        <v>21</v>
      </c>
      <c r="J2887" t="s">
        <v>265</v>
      </c>
      <c r="K2887" t="s">
        <v>1704</v>
      </c>
      <c r="L2887">
        <v>84174</v>
      </c>
      <c r="M2887" t="s">
        <v>1532</v>
      </c>
      <c r="O2887" t="s">
        <v>11</v>
      </c>
      <c r="P2887">
        <v>5403</v>
      </c>
      <c r="Q2887">
        <v>4</v>
      </c>
      <c r="R2887">
        <v>92.33</v>
      </c>
      <c r="S2887">
        <v>369.32</v>
      </c>
      <c r="T2887">
        <v>280.32</v>
      </c>
      <c r="U2887">
        <v>24.1</v>
      </c>
      <c r="V2887" t="str">
        <f>VLOOKUP(L2887,'[2]tabela de preços'!$A:$D,4,0)</f>
        <v>BRASILUX</v>
      </c>
      <c r="W2887" t="str">
        <f>VLOOKUP(L2887,'[2]tabela de preços'!$A:$F,6,0)</f>
        <v>ESMALTES</v>
      </c>
      <c r="X2887" t="str">
        <f>VLOOKUP(L2887,'[2]tabela de preços'!$A:$G,7,0)</f>
        <v>INDUSTRIAL</v>
      </c>
    </row>
    <row r="2888" spans="1:24" x14ac:dyDescent="0.3">
      <c r="A2888" t="s">
        <v>1701</v>
      </c>
      <c r="C2888" t="s">
        <v>2692</v>
      </c>
      <c r="D2888" s="1">
        <v>46058</v>
      </c>
      <c r="E2888" t="s">
        <v>2693</v>
      </c>
      <c r="F2888">
        <v>9</v>
      </c>
      <c r="G2888">
        <v>197</v>
      </c>
      <c r="H2888" t="str">
        <f>VLOOKUP(G2888,[1]OPERADORES!$A:$B,2,0)</f>
        <v xml:space="preserve">POLIANA LORRANE DE AMORIM </v>
      </c>
      <c r="I2888" t="s">
        <v>21</v>
      </c>
      <c r="J2888" t="s">
        <v>265</v>
      </c>
      <c r="K2888" t="s">
        <v>1704</v>
      </c>
      <c r="L2888">
        <v>84329</v>
      </c>
      <c r="M2888" t="s">
        <v>285</v>
      </c>
      <c r="O2888" t="s">
        <v>11</v>
      </c>
      <c r="P2888">
        <v>5403</v>
      </c>
      <c r="Q2888">
        <v>2</v>
      </c>
      <c r="R2888">
        <v>59.98</v>
      </c>
      <c r="S2888">
        <v>119.96</v>
      </c>
      <c r="T2888">
        <v>96.54</v>
      </c>
      <c r="U2888">
        <v>19.52</v>
      </c>
      <c r="V2888" t="str">
        <f>VLOOKUP(L2888,'[2]tabela de preços'!$A:$D,4,0)</f>
        <v>BRASILUX</v>
      </c>
      <c r="W2888" t="str">
        <f>VLOOKUP(L2888,'[2]tabela de preços'!$A:$F,6,0)</f>
        <v>ESMALTES</v>
      </c>
      <c r="X2888" t="str">
        <f>VLOOKUP(L2888,'[2]tabela de preços'!$A:$G,7,0)</f>
        <v>INDUSTRIAL</v>
      </c>
    </row>
    <row r="2889" spans="1:24" x14ac:dyDescent="0.3">
      <c r="A2889" t="s">
        <v>1701</v>
      </c>
      <c r="C2889" t="s">
        <v>2692</v>
      </c>
      <c r="D2889" s="1">
        <v>46058</v>
      </c>
      <c r="E2889" t="s">
        <v>2693</v>
      </c>
      <c r="F2889">
        <v>9</v>
      </c>
      <c r="G2889">
        <v>197</v>
      </c>
      <c r="H2889" t="str">
        <f>VLOOKUP(G2889,[1]OPERADORES!$A:$B,2,0)</f>
        <v xml:space="preserve">POLIANA LORRANE DE AMORIM </v>
      </c>
      <c r="I2889" t="s">
        <v>21</v>
      </c>
      <c r="J2889" t="s">
        <v>265</v>
      </c>
      <c r="K2889" t="s">
        <v>1704</v>
      </c>
      <c r="L2889">
        <v>84355</v>
      </c>
      <c r="M2889" t="s">
        <v>1705</v>
      </c>
      <c r="O2889" t="s">
        <v>11</v>
      </c>
      <c r="P2889">
        <v>5403</v>
      </c>
      <c r="Q2889">
        <v>1</v>
      </c>
      <c r="R2889">
        <v>20.03</v>
      </c>
      <c r="S2889">
        <v>20.03</v>
      </c>
      <c r="T2889">
        <v>15.21</v>
      </c>
      <c r="U2889">
        <v>24.06</v>
      </c>
      <c r="V2889" t="str">
        <f>VLOOKUP(L2889,'[2]tabela de preços'!$A:$D,4,0)</f>
        <v>BRASILUX</v>
      </c>
      <c r="W2889" t="str">
        <f>VLOOKUP(L2889,'[2]tabela de preços'!$A:$F,6,0)</f>
        <v>ESMALTES</v>
      </c>
      <c r="X2889" t="str">
        <f>VLOOKUP(L2889,'[2]tabela de preços'!$A:$G,7,0)</f>
        <v>INDUSTRIAL</v>
      </c>
    </row>
    <row r="2890" spans="1:24" x14ac:dyDescent="0.3">
      <c r="A2890" t="s">
        <v>1701</v>
      </c>
      <c r="C2890" t="s">
        <v>2692</v>
      </c>
      <c r="D2890" s="1">
        <v>46058</v>
      </c>
      <c r="E2890" t="s">
        <v>2693</v>
      </c>
      <c r="F2890">
        <v>9</v>
      </c>
      <c r="G2890">
        <v>197</v>
      </c>
      <c r="H2890" t="str">
        <f>VLOOKUP(G2890,[1]OPERADORES!$A:$B,2,0)</f>
        <v xml:space="preserve">POLIANA LORRANE DE AMORIM </v>
      </c>
      <c r="I2890" t="s">
        <v>21</v>
      </c>
      <c r="J2890" t="s">
        <v>265</v>
      </c>
      <c r="K2890" t="s">
        <v>1704</v>
      </c>
      <c r="L2890">
        <v>84145</v>
      </c>
      <c r="M2890" t="s">
        <v>301</v>
      </c>
      <c r="O2890" t="s">
        <v>11</v>
      </c>
      <c r="P2890">
        <v>5403</v>
      </c>
      <c r="Q2890">
        <v>1</v>
      </c>
      <c r="R2890">
        <v>59.98</v>
      </c>
      <c r="S2890">
        <v>59.98</v>
      </c>
      <c r="T2890">
        <v>52.01</v>
      </c>
      <c r="U2890">
        <v>13.29</v>
      </c>
      <c r="V2890" t="str">
        <f>VLOOKUP(L2890,'[2]tabela de preços'!$A:$D,4,0)</f>
        <v>BRASILUX</v>
      </c>
      <c r="W2890" t="str">
        <f>VLOOKUP(L2890,'[2]tabela de preços'!$A:$F,6,0)</f>
        <v>ESMALTES</v>
      </c>
      <c r="X2890" t="str">
        <f>VLOOKUP(L2890,'[2]tabela de preços'!$A:$G,7,0)</f>
        <v>INDUSTRIAL</v>
      </c>
    </row>
    <row r="2891" spans="1:24" x14ac:dyDescent="0.3">
      <c r="A2891" t="s">
        <v>1701</v>
      </c>
      <c r="C2891" t="s">
        <v>2692</v>
      </c>
      <c r="D2891" s="1">
        <v>46058</v>
      </c>
      <c r="E2891" t="s">
        <v>2693</v>
      </c>
      <c r="F2891">
        <v>9</v>
      </c>
      <c r="G2891">
        <v>197</v>
      </c>
      <c r="H2891" t="str">
        <f>VLOOKUP(G2891,[1]OPERADORES!$A:$B,2,0)</f>
        <v xml:space="preserve">POLIANA LORRANE DE AMORIM </v>
      </c>
      <c r="I2891" t="s">
        <v>21</v>
      </c>
      <c r="J2891" t="s">
        <v>265</v>
      </c>
      <c r="K2891" t="s">
        <v>1704</v>
      </c>
      <c r="L2891">
        <v>84344</v>
      </c>
      <c r="M2891" t="s">
        <v>1000</v>
      </c>
      <c r="O2891" t="s">
        <v>11</v>
      </c>
      <c r="P2891">
        <v>5403</v>
      </c>
      <c r="Q2891">
        <v>1</v>
      </c>
      <c r="R2891">
        <v>59.98</v>
      </c>
      <c r="S2891">
        <v>59.98</v>
      </c>
      <c r="T2891">
        <v>49.66</v>
      </c>
      <c r="U2891">
        <v>17.21</v>
      </c>
      <c r="V2891" t="str">
        <f>VLOOKUP(L2891,'[2]tabela de preços'!$A:$D,4,0)</f>
        <v>BRASILUX</v>
      </c>
      <c r="W2891" t="str">
        <f>VLOOKUP(L2891,'[2]tabela de preços'!$A:$F,6,0)</f>
        <v>ESMALTES</v>
      </c>
      <c r="X2891" t="str">
        <f>VLOOKUP(L2891,'[2]tabela de preços'!$A:$G,7,0)</f>
        <v>INDUSTRIAL</v>
      </c>
    </row>
    <row r="2892" spans="1:24" x14ac:dyDescent="0.3">
      <c r="A2892" t="s">
        <v>1701</v>
      </c>
      <c r="C2892" t="s">
        <v>2692</v>
      </c>
      <c r="D2892" s="1">
        <v>46058</v>
      </c>
      <c r="E2892" t="s">
        <v>2693</v>
      </c>
      <c r="F2892">
        <v>9</v>
      </c>
      <c r="G2892">
        <v>197</v>
      </c>
      <c r="H2892" t="str">
        <f>VLOOKUP(G2892,[1]OPERADORES!$A:$B,2,0)</f>
        <v xml:space="preserve">POLIANA LORRANE DE AMORIM </v>
      </c>
      <c r="I2892" t="s">
        <v>21</v>
      </c>
      <c r="J2892" t="s">
        <v>265</v>
      </c>
      <c r="K2892" t="s">
        <v>1704</v>
      </c>
      <c r="L2892">
        <v>84129</v>
      </c>
      <c r="M2892" t="s">
        <v>1712</v>
      </c>
      <c r="O2892" t="s">
        <v>11</v>
      </c>
      <c r="P2892">
        <v>5403</v>
      </c>
      <c r="Q2892">
        <v>1</v>
      </c>
      <c r="R2892">
        <v>18.97</v>
      </c>
      <c r="S2892">
        <v>18.97</v>
      </c>
      <c r="T2892">
        <v>14.4</v>
      </c>
      <c r="U2892">
        <v>24.09</v>
      </c>
      <c r="V2892" t="str">
        <f>VLOOKUP(L2892,'[2]tabela de preços'!$A:$D,4,0)</f>
        <v>BRASILUX</v>
      </c>
      <c r="W2892" t="str">
        <f>VLOOKUP(L2892,'[2]tabela de preços'!$A:$F,6,0)</f>
        <v>ESMALTES</v>
      </c>
      <c r="X2892" t="str">
        <f>VLOOKUP(L2892,'[2]tabela de preços'!$A:$G,7,0)</f>
        <v>INDUSTRIAL</v>
      </c>
    </row>
    <row r="2893" spans="1:24" x14ac:dyDescent="0.3">
      <c r="A2893" t="s">
        <v>1701</v>
      </c>
      <c r="C2893" t="s">
        <v>2692</v>
      </c>
      <c r="D2893" s="1">
        <v>46058</v>
      </c>
      <c r="E2893" t="s">
        <v>2693</v>
      </c>
      <c r="F2893">
        <v>9</v>
      </c>
      <c r="G2893">
        <v>197</v>
      </c>
      <c r="H2893" t="str">
        <f>VLOOKUP(G2893,[1]OPERADORES!$A:$B,2,0)</f>
        <v xml:space="preserve">POLIANA LORRANE DE AMORIM </v>
      </c>
      <c r="I2893" t="s">
        <v>21</v>
      </c>
      <c r="J2893" t="s">
        <v>265</v>
      </c>
      <c r="K2893" t="s">
        <v>1704</v>
      </c>
      <c r="L2893">
        <v>86542</v>
      </c>
      <c r="M2893" t="s">
        <v>352</v>
      </c>
      <c r="O2893" t="s">
        <v>11</v>
      </c>
      <c r="P2893">
        <v>5102</v>
      </c>
      <c r="Q2893">
        <v>10</v>
      </c>
      <c r="R2893">
        <v>78.900000000000006</v>
      </c>
      <c r="S2893">
        <v>789</v>
      </c>
      <c r="T2893">
        <v>691.6</v>
      </c>
      <c r="U2893">
        <v>12.34</v>
      </c>
      <c r="V2893" t="str">
        <f>VLOOKUP(L2893,'[2]tabela de preços'!$A:$D,4,0)</f>
        <v>CORAL</v>
      </c>
      <c r="W2893" t="str">
        <f>VLOOKUP(L2893,'[2]tabela de preços'!$A:$F,6,0)</f>
        <v>MASSA CORRIDA / ACRÍLICA</v>
      </c>
      <c r="X2893" t="str">
        <f>VLOOKUP(L2893,'[2]tabela de preços'!$A:$G,7,0)</f>
        <v>IMOBILIÁRIO</v>
      </c>
    </row>
    <row r="2894" spans="1:24" x14ac:dyDescent="0.3">
      <c r="A2894" t="s">
        <v>1739</v>
      </c>
      <c r="C2894" t="s">
        <v>2458</v>
      </c>
      <c r="D2894" s="1">
        <v>46055</v>
      </c>
      <c r="E2894" t="s">
        <v>2459</v>
      </c>
      <c r="F2894">
        <v>9</v>
      </c>
      <c r="G2894">
        <v>174</v>
      </c>
      <c r="H2894" t="str">
        <f>VLOOKUP(G2894,[1]OPERADORES!$A:$B,2,0)</f>
        <v>MIRIÃ LOBATO RODRIGUES</v>
      </c>
      <c r="I2894" t="s">
        <v>21</v>
      </c>
      <c r="J2894" t="s">
        <v>66</v>
      </c>
      <c r="K2894" t="s">
        <v>1742</v>
      </c>
      <c r="L2894">
        <v>10238</v>
      </c>
      <c r="M2894" t="s">
        <v>79</v>
      </c>
      <c r="O2894" t="s">
        <v>11</v>
      </c>
      <c r="P2894">
        <v>5102</v>
      </c>
      <c r="Q2894">
        <v>50</v>
      </c>
      <c r="R2894">
        <v>2.79</v>
      </c>
      <c r="S2894">
        <v>139.5</v>
      </c>
      <c r="T2894">
        <v>112</v>
      </c>
      <c r="U2894">
        <v>19.71</v>
      </c>
      <c r="V2894" t="str">
        <f>VLOOKUP(L2894,'[2]tabela de preços'!$A:$D,4,0)</f>
        <v>NORTON</v>
      </c>
      <c r="W2894" t="str">
        <f>VLOOKUP(L2894,'[2]tabela de preços'!$A:$F,6,0)</f>
        <v xml:space="preserve">DISCOS / LIXAS / ABRASIVOS </v>
      </c>
      <c r="X2894" t="str">
        <f>VLOOKUP(L2894,'[2]tabela de preços'!$A:$G,7,0)</f>
        <v>AUTOMOTIVO</v>
      </c>
    </row>
    <row r="2895" spans="1:24" x14ac:dyDescent="0.3">
      <c r="A2895" t="s">
        <v>1739</v>
      </c>
      <c r="C2895" t="s">
        <v>2458</v>
      </c>
      <c r="D2895" s="1">
        <v>46055</v>
      </c>
      <c r="E2895" t="s">
        <v>2459</v>
      </c>
      <c r="F2895">
        <v>9</v>
      </c>
      <c r="G2895">
        <v>174</v>
      </c>
      <c r="H2895" t="str">
        <f>VLOOKUP(G2895,[1]OPERADORES!$A:$B,2,0)</f>
        <v>MIRIÃ LOBATO RODRIGUES</v>
      </c>
      <c r="I2895" t="s">
        <v>21</v>
      </c>
      <c r="J2895" t="s">
        <v>66</v>
      </c>
      <c r="K2895" t="s">
        <v>1742</v>
      </c>
      <c r="L2895">
        <v>10242</v>
      </c>
      <c r="M2895" t="s">
        <v>82</v>
      </c>
      <c r="O2895" t="s">
        <v>11</v>
      </c>
      <c r="P2895">
        <v>5102</v>
      </c>
      <c r="Q2895">
        <v>50</v>
      </c>
      <c r="R2895">
        <v>2.79</v>
      </c>
      <c r="S2895">
        <v>139.5</v>
      </c>
      <c r="T2895">
        <v>112</v>
      </c>
      <c r="U2895">
        <v>19.71</v>
      </c>
      <c r="V2895" t="str">
        <f>VLOOKUP(L2895,'[2]tabela de preços'!$A:$D,4,0)</f>
        <v>NORTON</v>
      </c>
      <c r="W2895" t="str">
        <f>VLOOKUP(L2895,'[2]tabela de preços'!$A:$F,6,0)</f>
        <v xml:space="preserve">DISCOS / LIXAS / ABRASIVOS </v>
      </c>
      <c r="X2895" t="str">
        <f>VLOOKUP(L2895,'[2]tabela de preços'!$A:$G,7,0)</f>
        <v>AUTOMOTIVO</v>
      </c>
    </row>
    <row r="2896" spans="1:24" x14ac:dyDescent="0.3">
      <c r="A2896" t="s">
        <v>1739</v>
      </c>
      <c r="C2896" t="s">
        <v>2458</v>
      </c>
      <c r="D2896" s="1">
        <v>46055</v>
      </c>
      <c r="E2896" t="s">
        <v>2459</v>
      </c>
      <c r="F2896">
        <v>9</v>
      </c>
      <c r="G2896">
        <v>174</v>
      </c>
      <c r="H2896" t="str">
        <f>VLOOKUP(G2896,[1]OPERADORES!$A:$B,2,0)</f>
        <v>MIRIÃ LOBATO RODRIGUES</v>
      </c>
      <c r="I2896" t="s">
        <v>21</v>
      </c>
      <c r="J2896" t="s">
        <v>66</v>
      </c>
      <c r="K2896" t="s">
        <v>1742</v>
      </c>
      <c r="L2896">
        <v>10243</v>
      </c>
      <c r="M2896" t="s">
        <v>83</v>
      </c>
      <c r="O2896" t="s">
        <v>11</v>
      </c>
      <c r="P2896">
        <v>5102</v>
      </c>
      <c r="Q2896">
        <v>50</v>
      </c>
      <c r="R2896">
        <v>2.79</v>
      </c>
      <c r="S2896">
        <v>139.5</v>
      </c>
      <c r="T2896">
        <v>96.5</v>
      </c>
      <c r="U2896">
        <v>30.82</v>
      </c>
      <c r="V2896" t="str">
        <f>VLOOKUP(L2896,'[2]tabela de preços'!$A:$D,4,0)</f>
        <v>NORTON</v>
      </c>
      <c r="W2896" t="str">
        <f>VLOOKUP(L2896,'[2]tabela de preços'!$A:$F,6,0)</f>
        <v xml:space="preserve">DISCOS / LIXAS / ABRASIVOS </v>
      </c>
      <c r="X2896" t="str">
        <f>VLOOKUP(L2896,'[2]tabela de preços'!$A:$G,7,0)</f>
        <v>AUTOMOTIVO</v>
      </c>
    </row>
    <row r="2897" spans="1:24" x14ac:dyDescent="0.3">
      <c r="A2897" t="s">
        <v>1739</v>
      </c>
      <c r="C2897" t="s">
        <v>2458</v>
      </c>
      <c r="D2897" s="1">
        <v>46055</v>
      </c>
      <c r="E2897" t="s">
        <v>2459</v>
      </c>
      <c r="F2897">
        <v>9</v>
      </c>
      <c r="G2897">
        <v>174</v>
      </c>
      <c r="H2897" t="str">
        <f>VLOOKUP(G2897,[1]OPERADORES!$A:$B,2,0)</f>
        <v>MIRIÃ LOBATO RODRIGUES</v>
      </c>
      <c r="I2897" t="s">
        <v>21</v>
      </c>
      <c r="J2897" t="s">
        <v>66</v>
      </c>
      <c r="K2897" t="s">
        <v>1742</v>
      </c>
      <c r="L2897">
        <v>10244</v>
      </c>
      <c r="M2897" t="s">
        <v>84</v>
      </c>
      <c r="O2897" t="s">
        <v>11</v>
      </c>
      <c r="P2897">
        <v>5102</v>
      </c>
      <c r="Q2897">
        <v>50</v>
      </c>
      <c r="R2897">
        <v>2.79</v>
      </c>
      <c r="S2897">
        <v>139.5</v>
      </c>
      <c r="T2897">
        <v>96.5</v>
      </c>
      <c r="U2897">
        <v>30.82</v>
      </c>
      <c r="V2897" t="str">
        <f>VLOOKUP(L2897,'[2]tabela de preços'!$A:$D,4,0)</f>
        <v>NORTON</v>
      </c>
      <c r="W2897" t="str">
        <f>VLOOKUP(L2897,'[2]tabela de preços'!$A:$F,6,0)</f>
        <v xml:space="preserve">DISCOS / LIXAS / ABRASIVOS </v>
      </c>
      <c r="X2897" t="str">
        <f>VLOOKUP(L2897,'[2]tabela de preços'!$A:$G,7,0)</f>
        <v>AUTOMOTIVO</v>
      </c>
    </row>
    <row r="2898" spans="1:24" x14ac:dyDescent="0.3">
      <c r="A2898" t="s">
        <v>1739</v>
      </c>
      <c r="C2898" t="s">
        <v>2458</v>
      </c>
      <c r="D2898" s="1">
        <v>46055</v>
      </c>
      <c r="E2898" t="s">
        <v>2459</v>
      </c>
      <c r="F2898">
        <v>9</v>
      </c>
      <c r="G2898">
        <v>174</v>
      </c>
      <c r="H2898" t="str">
        <f>VLOOKUP(G2898,[1]OPERADORES!$A:$B,2,0)</f>
        <v>MIRIÃ LOBATO RODRIGUES</v>
      </c>
      <c r="I2898" t="s">
        <v>21</v>
      </c>
      <c r="J2898" t="s">
        <v>66</v>
      </c>
      <c r="K2898" t="s">
        <v>1742</v>
      </c>
      <c r="L2898">
        <v>10245</v>
      </c>
      <c r="M2898" t="s">
        <v>195</v>
      </c>
      <c r="O2898" t="s">
        <v>11</v>
      </c>
      <c r="P2898">
        <v>5102</v>
      </c>
      <c r="Q2898">
        <v>50</v>
      </c>
      <c r="R2898">
        <v>2.79</v>
      </c>
      <c r="S2898">
        <v>139.5</v>
      </c>
      <c r="T2898">
        <v>96.5</v>
      </c>
      <c r="U2898">
        <v>30.82</v>
      </c>
      <c r="V2898" t="str">
        <f>VLOOKUP(L2898,'[2]tabela de preços'!$A:$D,4,0)</f>
        <v>NORTON</v>
      </c>
      <c r="W2898" t="str">
        <f>VLOOKUP(L2898,'[2]tabela de preços'!$A:$F,6,0)</f>
        <v xml:space="preserve">DISCOS / LIXAS / ABRASIVOS </v>
      </c>
      <c r="X2898" t="str">
        <f>VLOOKUP(L2898,'[2]tabela de preços'!$A:$G,7,0)</f>
        <v>AUTOMOTIVO</v>
      </c>
    </row>
    <row r="2899" spans="1:24" x14ac:dyDescent="0.3">
      <c r="A2899" t="s">
        <v>1751</v>
      </c>
      <c r="C2899" t="s">
        <v>2460</v>
      </c>
      <c r="D2899" s="1">
        <v>46055</v>
      </c>
      <c r="E2899" t="s">
        <v>2461</v>
      </c>
      <c r="F2899">
        <v>9</v>
      </c>
      <c r="G2899">
        <v>231</v>
      </c>
      <c r="H2899" t="str">
        <f>VLOOKUP(G2899,[1]OPERADORES!$A:$B,2,0)</f>
        <v>EDIJANE</v>
      </c>
      <c r="I2899" t="s">
        <v>21</v>
      </c>
      <c r="J2899" t="s">
        <v>211</v>
      </c>
      <c r="K2899" t="s">
        <v>1754</v>
      </c>
      <c r="L2899">
        <v>84901</v>
      </c>
      <c r="M2899" t="s">
        <v>2432</v>
      </c>
      <c r="O2899" t="s">
        <v>11</v>
      </c>
      <c r="P2899">
        <v>5403</v>
      </c>
      <c r="Q2899">
        <v>1</v>
      </c>
      <c r="R2899">
        <v>215.62</v>
      </c>
      <c r="S2899">
        <v>215.62</v>
      </c>
      <c r="T2899">
        <v>163.66</v>
      </c>
      <c r="U2899">
        <v>24.1</v>
      </c>
      <c r="V2899" t="str">
        <f>VLOOKUP(L2899,'[2]tabela de preços'!$A:$D,4,0)</f>
        <v>BRASILUX</v>
      </c>
      <c r="W2899" t="str">
        <f>VLOOKUP(L2899,'[2]tabela de preços'!$A:$F,6,0)</f>
        <v>EPOXI</v>
      </c>
      <c r="X2899" t="str">
        <f>VLOOKUP(L2899,'[2]tabela de preços'!$A:$G,7,0)</f>
        <v>INDUSTRIAL</v>
      </c>
    </row>
    <row r="2900" spans="1:24" x14ac:dyDescent="0.3">
      <c r="A2900" t="s">
        <v>1751</v>
      </c>
      <c r="C2900" t="s">
        <v>2535</v>
      </c>
      <c r="D2900" s="1">
        <v>46056</v>
      </c>
      <c r="E2900" t="s">
        <v>2536</v>
      </c>
      <c r="F2900">
        <v>9</v>
      </c>
      <c r="G2900">
        <v>231</v>
      </c>
      <c r="H2900" t="str">
        <f>VLOOKUP(G2900,[1]OPERADORES!$A:$B,2,0)</f>
        <v>EDIJANE</v>
      </c>
      <c r="I2900" t="s">
        <v>21</v>
      </c>
      <c r="J2900" t="s">
        <v>211</v>
      </c>
      <c r="K2900" t="s">
        <v>1754</v>
      </c>
      <c r="L2900">
        <v>85698</v>
      </c>
      <c r="M2900" t="s">
        <v>1946</v>
      </c>
      <c r="O2900" t="s">
        <v>11</v>
      </c>
      <c r="P2900">
        <v>5102</v>
      </c>
      <c r="Q2900">
        <v>5</v>
      </c>
      <c r="R2900">
        <v>129.9</v>
      </c>
      <c r="S2900">
        <v>649.5</v>
      </c>
      <c r="T2900">
        <v>519.29999999999995</v>
      </c>
      <c r="U2900">
        <v>20.05</v>
      </c>
      <c r="V2900" t="str">
        <f>VLOOKUP(L2900,'[2]tabela de preços'!$A:$D,4,0)</f>
        <v>SIMAPPEL</v>
      </c>
      <c r="W2900" t="str">
        <f>VLOOKUP(L2900,'[2]tabela de preços'!$A:$F,6,0)</f>
        <v>PAPELAO ONDULADO</v>
      </c>
      <c r="X2900" t="str">
        <f>VLOOKUP(L2900,'[2]tabela de preços'!$A:$G,7,0)</f>
        <v>IMOBILIÁRIO</v>
      </c>
    </row>
    <row r="2901" spans="1:24" x14ac:dyDescent="0.3">
      <c r="A2901" t="s">
        <v>1757</v>
      </c>
      <c r="B2901" t="s">
        <v>1758</v>
      </c>
      <c r="C2901" t="s">
        <v>2537</v>
      </c>
      <c r="D2901" s="1">
        <v>46056</v>
      </c>
      <c r="E2901" t="s">
        <v>2538</v>
      </c>
      <c r="F2901">
        <v>9</v>
      </c>
      <c r="G2901">
        <v>236</v>
      </c>
      <c r="H2901" t="str">
        <f>VLOOKUP(G2901,[1]OPERADORES!$A:$B,2,0)</f>
        <v>DANIEL</v>
      </c>
      <c r="I2901" t="s">
        <v>1761</v>
      </c>
      <c r="J2901" t="s">
        <v>1762</v>
      </c>
      <c r="K2901" t="s">
        <v>1763</v>
      </c>
      <c r="L2901">
        <v>84357</v>
      </c>
      <c r="M2901" t="s">
        <v>580</v>
      </c>
      <c r="O2901" t="s">
        <v>11</v>
      </c>
      <c r="P2901">
        <v>6403</v>
      </c>
      <c r="Q2901">
        <v>6</v>
      </c>
      <c r="R2901">
        <v>23.09</v>
      </c>
      <c r="S2901">
        <v>138.54</v>
      </c>
      <c r="T2901">
        <v>98.82</v>
      </c>
      <c r="U2901">
        <v>28.67</v>
      </c>
      <c r="V2901" t="str">
        <f>VLOOKUP(L2901,'[2]tabela de preços'!$A:$D,4,0)</f>
        <v>BRASILUX</v>
      </c>
      <c r="W2901" t="str">
        <f>VLOOKUP(L2901,'[2]tabela de preços'!$A:$F,6,0)</f>
        <v>ESMALTES</v>
      </c>
      <c r="X2901" t="str">
        <f>VLOOKUP(L2901,'[2]tabela de preços'!$A:$G,7,0)</f>
        <v>INDUSTRIAL</v>
      </c>
    </row>
    <row r="2902" spans="1:24" x14ac:dyDescent="0.3">
      <c r="A2902" t="s">
        <v>1757</v>
      </c>
      <c r="B2902" t="s">
        <v>1758</v>
      </c>
      <c r="C2902" t="s">
        <v>2537</v>
      </c>
      <c r="D2902" s="1">
        <v>46056</v>
      </c>
      <c r="E2902" t="s">
        <v>2538</v>
      </c>
      <c r="F2902">
        <v>9</v>
      </c>
      <c r="G2902">
        <v>236</v>
      </c>
      <c r="H2902" t="str">
        <f>VLOOKUP(G2902,[1]OPERADORES!$A:$B,2,0)</f>
        <v>DANIEL</v>
      </c>
      <c r="I2902" t="s">
        <v>1761</v>
      </c>
      <c r="J2902" t="s">
        <v>1762</v>
      </c>
      <c r="K2902" t="s">
        <v>1763</v>
      </c>
      <c r="L2902">
        <v>84122</v>
      </c>
      <c r="M2902" t="s">
        <v>287</v>
      </c>
      <c r="O2902" t="s">
        <v>11</v>
      </c>
      <c r="P2902">
        <v>6403</v>
      </c>
      <c r="Q2902">
        <v>4</v>
      </c>
      <c r="R2902">
        <v>19.57</v>
      </c>
      <c r="S2902">
        <v>78.28</v>
      </c>
      <c r="T2902">
        <v>55.8</v>
      </c>
      <c r="U2902">
        <v>28.72</v>
      </c>
      <c r="V2902" t="str">
        <f>VLOOKUP(L2902,'[2]tabela de preços'!$A:$D,4,0)</f>
        <v>BRASILUX</v>
      </c>
      <c r="W2902" t="str">
        <f>VLOOKUP(L2902,'[2]tabela de preços'!$A:$F,6,0)</f>
        <v>ESMALTES</v>
      </c>
      <c r="X2902" t="str">
        <f>VLOOKUP(L2902,'[2]tabela de preços'!$A:$G,7,0)</f>
        <v>INDUSTRIAL</v>
      </c>
    </row>
    <row r="2903" spans="1:24" x14ac:dyDescent="0.3">
      <c r="A2903" t="s">
        <v>1757</v>
      </c>
      <c r="B2903" t="s">
        <v>1758</v>
      </c>
      <c r="C2903" t="s">
        <v>2537</v>
      </c>
      <c r="D2903" s="1">
        <v>46056</v>
      </c>
      <c r="E2903" t="s">
        <v>2538</v>
      </c>
      <c r="F2903">
        <v>9</v>
      </c>
      <c r="G2903">
        <v>236</v>
      </c>
      <c r="H2903" t="str">
        <f>VLOOKUP(G2903,[1]OPERADORES!$A:$B,2,0)</f>
        <v>DANIEL</v>
      </c>
      <c r="I2903" t="s">
        <v>1761</v>
      </c>
      <c r="J2903" t="s">
        <v>1762</v>
      </c>
      <c r="K2903" t="s">
        <v>1763</v>
      </c>
      <c r="L2903">
        <v>84123</v>
      </c>
      <c r="M2903" t="s">
        <v>296</v>
      </c>
      <c r="O2903" t="s">
        <v>11</v>
      </c>
      <c r="P2903">
        <v>6403</v>
      </c>
      <c r="Q2903">
        <v>6</v>
      </c>
      <c r="R2903">
        <v>20.34</v>
      </c>
      <c r="S2903">
        <v>122.04</v>
      </c>
      <c r="T2903">
        <v>87</v>
      </c>
      <c r="U2903">
        <v>28.71</v>
      </c>
      <c r="V2903" t="str">
        <f>VLOOKUP(L2903,'[2]tabela de preços'!$A:$D,4,0)</f>
        <v>BRASILUX</v>
      </c>
      <c r="W2903" t="str">
        <f>VLOOKUP(L2903,'[2]tabela de preços'!$A:$F,6,0)</f>
        <v>ESMALTES</v>
      </c>
      <c r="X2903" t="str">
        <f>VLOOKUP(L2903,'[2]tabela de preços'!$A:$G,7,0)</f>
        <v>INDUSTRIAL</v>
      </c>
    </row>
    <row r="2904" spans="1:24" x14ac:dyDescent="0.3">
      <c r="A2904" t="s">
        <v>1757</v>
      </c>
      <c r="B2904" t="s">
        <v>1758</v>
      </c>
      <c r="C2904" t="s">
        <v>2537</v>
      </c>
      <c r="D2904" s="1">
        <v>46056</v>
      </c>
      <c r="E2904" t="s">
        <v>2538</v>
      </c>
      <c r="F2904">
        <v>9</v>
      </c>
      <c r="G2904">
        <v>236</v>
      </c>
      <c r="H2904" t="str">
        <f>VLOOKUP(G2904,[1]OPERADORES!$A:$B,2,0)</f>
        <v>DANIEL</v>
      </c>
      <c r="I2904" t="s">
        <v>1761</v>
      </c>
      <c r="J2904" t="s">
        <v>1762</v>
      </c>
      <c r="K2904" t="s">
        <v>1763</v>
      </c>
      <c r="L2904">
        <v>20817</v>
      </c>
      <c r="M2904" t="s">
        <v>153</v>
      </c>
      <c r="O2904" t="s">
        <v>11</v>
      </c>
      <c r="P2904">
        <v>6102</v>
      </c>
      <c r="Q2904">
        <v>30</v>
      </c>
      <c r="R2904">
        <v>22.49</v>
      </c>
      <c r="S2904">
        <v>674.7</v>
      </c>
      <c r="T2904">
        <v>558.6</v>
      </c>
      <c r="U2904">
        <v>17.21</v>
      </c>
      <c r="V2904" t="str">
        <f>VLOOKUP(L2904,'[2]tabela de preços'!$A:$D,4,0)</f>
        <v>AUTO AMERICA</v>
      </c>
      <c r="W2904" t="str">
        <f>VLOOKUP(L2904,'[2]tabela de preços'!$A:$F,6,0)</f>
        <v>MASSA DE POLIR</v>
      </c>
      <c r="X2904" t="str">
        <f>VLOOKUP(L2904,'[2]tabela de preços'!$A:$G,7,0)</f>
        <v>AUTOMOTIVO</v>
      </c>
    </row>
    <row r="2905" spans="1:24" x14ac:dyDescent="0.3">
      <c r="A2905" t="s">
        <v>1770</v>
      </c>
      <c r="C2905" t="s">
        <v>2694</v>
      </c>
      <c r="D2905" s="1">
        <v>46057</v>
      </c>
      <c r="E2905" t="s">
        <v>2695</v>
      </c>
      <c r="F2905">
        <v>9</v>
      </c>
      <c r="G2905">
        <v>174</v>
      </c>
      <c r="H2905" t="str">
        <f>VLOOKUP(G2905,[1]OPERADORES!$A:$B,2,0)</f>
        <v>MIRIÃ LOBATO RODRIGUES</v>
      </c>
      <c r="I2905" t="s">
        <v>21</v>
      </c>
      <c r="J2905" t="s">
        <v>211</v>
      </c>
      <c r="K2905" t="s">
        <v>1773</v>
      </c>
      <c r="L2905">
        <v>20231</v>
      </c>
      <c r="M2905" t="s">
        <v>185</v>
      </c>
      <c r="O2905" t="s">
        <v>11</v>
      </c>
      <c r="P2905">
        <v>5405</v>
      </c>
      <c r="Q2905">
        <v>6</v>
      </c>
      <c r="R2905">
        <v>120.25</v>
      </c>
      <c r="S2905">
        <v>721.5</v>
      </c>
      <c r="T2905">
        <v>547.62</v>
      </c>
      <c r="U2905">
        <v>24.1</v>
      </c>
      <c r="V2905" t="str">
        <f>VLOOKUP(L2905,'[2]tabela de preços'!$A:$D,4,0)</f>
        <v>3M</v>
      </c>
      <c r="W2905" t="str">
        <f>VLOOKUP(L2905,'[2]tabela de preços'!$A:$F,6,0)</f>
        <v>PRIMER AUTOMOTIVO</v>
      </c>
      <c r="X2905" t="str">
        <f>VLOOKUP(L2905,'[2]tabela de preços'!$A:$G,7,0)</f>
        <v>AUTOMOTIVO</v>
      </c>
    </row>
    <row r="2906" spans="1:24" x14ac:dyDescent="0.3">
      <c r="A2906" t="s">
        <v>1774</v>
      </c>
      <c r="C2906" t="s">
        <v>2539</v>
      </c>
      <c r="D2906" s="1">
        <v>46056</v>
      </c>
      <c r="E2906" t="s">
        <v>2540</v>
      </c>
      <c r="F2906">
        <v>9</v>
      </c>
      <c r="G2906">
        <v>236</v>
      </c>
      <c r="H2906" t="str">
        <f>VLOOKUP(G2906,[1]OPERADORES!$A:$B,2,0)</f>
        <v>DANIEL</v>
      </c>
      <c r="I2906" t="s">
        <v>21</v>
      </c>
      <c r="J2906" t="s">
        <v>1564</v>
      </c>
      <c r="K2906" t="s">
        <v>1777</v>
      </c>
      <c r="L2906">
        <v>85916</v>
      </c>
      <c r="M2906" t="s">
        <v>2541</v>
      </c>
      <c r="O2906" t="s">
        <v>11</v>
      </c>
      <c r="P2906">
        <v>5403</v>
      </c>
      <c r="Q2906">
        <v>1</v>
      </c>
      <c r="R2906">
        <v>130.19</v>
      </c>
      <c r="S2906">
        <v>130.19</v>
      </c>
      <c r="T2906">
        <v>98.81</v>
      </c>
      <c r="U2906">
        <v>24.1</v>
      </c>
      <c r="V2906" t="str">
        <f>VLOOKUP(L2906,'[2]tabela de preços'!$A:$D,4,0)</f>
        <v>CORAL</v>
      </c>
      <c r="W2906" t="str">
        <f>VLOOKUP(L2906,'[2]tabela de preços'!$A:$F,6,0)</f>
        <v>ESMALTES</v>
      </c>
      <c r="X2906" t="str">
        <f>VLOOKUP(L2906,'[2]tabela de preços'!$A:$G,7,0)</f>
        <v>INDUSTRIAL</v>
      </c>
    </row>
    <row r="2907" spans="1:24" x14ac:dyDescent="0.3">
      <c r="A2907" t="s">
        <v>1774</v>
      </c>
      <c r="C2907" t="s">
        <v>2539</v>
      </c>
      <c r="D2907" s="1">
        <v>46056</v>
      </c>
      <c r="E2907" t="s">
        <v>2540</v>
      </c>
      <c r="F2907">
        <v>9</v>
      </c>
      <c r="G2907">
        <v>236</v>
      </c>
      <c r="H2907" t="str">
        <f>VLOOKUP(G2907,[1]OPERADORES!$A:$B,2,0)</f>
        <v>DANIEL</v>
      </c>
      <c r="I2907" t="s">
        <v>21</v>
      </c>
      <c r="J2907" t="s">
        <v>1564</v>
      </c>
      <c r="K2907" t="s">
        <v>1777</v>
      </c>
      <c r="L2907">
        <v>86230</v>
      </c>
      <c r="M2907" t="s">
        <v>375</v>
      </c>
      <c r="O2907" t="s">
        <v>11</v>
      </c>
      <c r="P2907">
        <v>5403</v>
      </c>
      <c r="Q2907">
        <v>1</v>
      </c>
      <c r="R2907">
        <v>290.88</v>
      </c>
      <c r="S2907">
        <v>290.88</v>
      </c>
      <c r="T2907">
        <v>220.78</v>
      </c>
      <c r="U2907">
        <v>24.1</v>
      </c>
      <c r="V2907" t="str">
        <f>VLOOKUP(L2907,'[2]tabela de preços'!$A:$D,4,0)</f>
        <v>CORAL</v>
      </c>
      <c r="W2907" t="str">
        <f>VLOOKUP(L2907,'[2]tabela de preços'!$A:$F,6,0)</f>
        <v>TINTA PAREDE</v>
      </c>
      <c r="X2907" t="str">
        <f>VLOOKUP(L2907,'[2]tabela de preços'!$A:$G,7,0)</f>
        <v>IMOBILIÁRIO</v>
      </c>
    </row>
    <row r="2908" spans="1:24" x14ac:dyDescent="0.3">
      <c r="A2908" t="s">
        <v>1774</v>
      </c>
      <c r="C2908" t="s">
        <v>2539</v>
      </c>
      <c r="D2908" s="1">
        <v>46056</v>
      </c>
      <c r="E2908" t="s">
        <v>2540</v>
      </c>
      <c r="F2908">
        <v>9</v>
      </c>
      <c r="G2908">
        <v>236</v>
      </c>
      <c r="H2908" t="str">
        <f>VLOOKUP(G2908,[1]OPERADORES!$A:$B,2,0)</f>
        <v>DANIEL</v>
      </c>
      <c r="I2908" t="s">
        <v>21</v>
      </c>
      <c r="J2908" t="s">
        <v>1564</v>
      </c>
      <c r="K2908" t="s">
        <v>1777</v>
      </c>
      <c r="L2908">
        <v>86846</v>
      </c>
      <c r="M2908" t="s">
        <v>1576</v>
      </c>
      <c r="O2908" t="s">
        <v>11</v>
      </c>
      <c r="P2908">
        <v>5403</v>
      </c>
      <c r="Q2908">
        <v>2</v>
      </c>
      <c r="R2908">
        <v>290.88</v>
      </c>
      <c r="S2908">
        <v>581.76</v>
      </c>
      <c r="T2908">
        <v>441.56</v>
      </c>
      <c r="U2908">
        <v>24.1</v>
      </c>
      <c r="V2908" t="str">
        <f>VLOOKUP(L2908,'[2]tabela de preços'!$A:$D,4,0)</f>
        <v>CORAL</v>
      </c>
      <c r="W2908" t="str">
        <f>VLOOKUP(L2908,'[2]tabela de preços'!$A:$F,6,0)</f>
        <v>TINTA PAREDE</v>
      </c>
      <c r="X2908" t="str">
        <f>VLOOKUP(L2908,'[2]tabela de preços'!$A:$G,7,0)</f>
        <v>IMOBILIÁRIO</v>
      </c>
    </row>
    <row r="2909" spans="1:24" x14ac:dyDescent="0.3">
      <c r="A2909" t="s">
        <v>1774</v>
      </c>
      <c r="C2909" t="s">
        <v>2539</v>
      </c>
      <c r="D2909" s="1">
        <v>46056</v>
      </c>
      <c r="E2909" t="s">
        <v>2540</v>
      </c>
      <c r="F2909">
        <v>9</v>
      </c>
      <c r="G2909">
        <v>236</v>
      </c>
      <c r="H2909" t="str">
        <f>VLOOKUP(G2909,[1]OPERADORES!$A:$B,2,0)</f>
        <v>DANIEL</v>
      </c>
      <c r="I2909" t="s">
        <v>21</v>
      </c>
      <c r="J2909" t="s">
        <v>1564</v>
      </c>
      <c r="K2909" t="s">
        <v>1777</v>
      </c>
      <c r="L2909">
        <v>23878</v>
      </c>
      <c r="M2909" t="s">
        <v>851</v>
      </c>
      <c r="O2909" t="s">
        <v>11</v>
      </c>
      <c r="P2909">
        <v>5102</v>
      </c>
      <c r="Q2909">
        <v>2</v>
      </c>
      <c r="R2909">
        <v>9.0500000000000007</v>
      </c>
      <c r="S2909">
        <v>18.100000000000001</v>
      </c>
      <c r="T2909">
        <v>11.68</v>
      </c>
      <c r="U2909">
        <v>35.47</v>
      </c>
      <c r="V2909" t="str">
        <f>VLOOKUP(L2909,'[2]tabela de preços'!$A:$D,4,0)</f>
        <v>ATLAS</v>
      </c>
      <c r="W2909" t="str">
        <f>VLOOKUP(L2909,'[2]tabela de preços'!$A:$F,6,0)</f>
        <v>ROLOS / TRINCHAS / PINCÉIS / ESPÁTULAS</v>
      </c>
      <c r="X2909" t="str">
        <f>VLOOKUP(L2909,'[2]tabela de preços'!$A:$G,7,0)</f>
        <v>IMOBILIÁRIO</v>
      </c>
    </row>
    <row r="2910" spans="1:24" x14ac:dyDescent="0.3">
      <c r="A2910" t="s">
        <v>1774</v>
      </c>
      <c r="C2910" t="s">
        <v>2539</v>
      </c>
      <c r="D2910" s="1">
        <v>46056</v>
      </c>
      <c r="E2910" t="s">
        <v>2540</v>
      </c>
      <c r="F2910">
        <v>9</v>
      </c>
      <c r="G2910">
        <v>236</v>
      </c>
      <c r="H2910" t="str">
        <f>VLOOKUP(G2910,[1]OPERADORES!$A:$B,2,0)</f>
        <v>DANIEL</v>
      </c>
      <c r="I2910" t="s">
        <v>21</v>
      </c>
      <c r="J2910" t="s">
        <v>1564</v>
      </c>
      <c r="K2910" t="s">
        <v>1777</v>
      </c>
      <c r="L2910">
        <v>84020</v>
      </c>
      <c r="M2910" t="s">
        <v>518</v>
      </c>
      <c r="O2910" t="s">
        <v>11</v>
      </c>
      <c r="P2910">
        <v>5102</v>
      </c>
      <c r="Q2910">
        <v>20</v>
      </c>
      <c r="R2910">
        <v>1.07</v>
      </c>
      <c r="S2910">
        <v>21.4</v>
      </c>
      <c r="T2910">
        <v>13.8</v>
      </c>
      <c r="U2910">
        <v>35.51</v>
      </c>
      <c r="V2910" t="str">
        <f>VLOOKUP(L2910,'[2]tabela de preços'!$A:$D,4,0)</f>
        <v>3M</v>
      </c>
      <c r="W2910" t="str">
        <f>VLOOKUP(L2910,'[2]tabela de preços'!$A:$F,6,0)</f>
        <v>LIXA MASSA  /MADEIRA / PAREDE</v>
      </c>
      <c r="X2910" t="str">
        <f>VLOOKUP(L2910,'[2]tabela de preços'!$A:$G,7,0)</f>
        <v>IMOBILIÁRIO</v>
      </c>
    </row>
    <row r="2911" spans="1:24" x14ac:dyDescent="0.3">
      <c r="A2911" t="s">
        <v>1774</v>
      </c>
      <c r="C2911" t="s">
        <v>2539</v>
      </c>
      <c r="D2911" s="1">
        <v>46056</v>
      </c>
      <c r="E2911" t="s">
        <v>2540</v>
      </c>
      <c r="F2911">
        <v>9</v>
      </c>
      <c r="G2911">
        <v>236</v>
      </c>
      <c r="H2911" t="str">
        <f>VLOOKUP(G2911,[1]OPERADORES!$A:$B,2,0)</f>
        <v>DANIEL</v>
      </c>
      <c r="I2911" t="s">
        <v>21</v>
      </c>
      <c r="J2911" t="s">
        <v>1564</v>
      </c>
      <c r="K2911" t="s">
        <v>1777</v>
      </c>
      <c r="L2911">
        <v>84021</v>
      </c>
      <c r="M2911" t="s">
        <v>1945</v>
      </c>
      <c r="O2911" t="s">
        <v>11</v>
      </c>
      <c r="P2911">
        <v>5102</v>
      </c>
      <c r="Q2911">
        <v>20</v>
      </c>
      <c r="R2911">
        <v>0.71</v>
      </c>
      <c r="S2911">
        <v>14.2</v>
      </c>
      <c r="T2911">
        <v>9.1999999999999993</v>
      </c>
      <c r="U2911">
        <v>35.21</v>
      </c>
      <c r="V2911" t="str">
        <f>VLOOKUP(L2911,'[2]tabela de preços'!$A:$D,4,0)</f>
        <v>3M</v>
      </c>
      <c r="W2911" t="str">
        <f>VLOOKUP(L2911,'[2]tabela de preços'!$A:$F,6,0)</f>
        <v>LIXA MASSA  /MADEIRA / PAREDE</v>
      </c>
      <c r="X2911" t="str">
        <f>VLOOKUP(L2911,'[2]tabela de preços'!$A:$G,7,0)</f>
        <v>IMOBILIÁRIO</v>
      </c>
    </row>
    <row r="2912" spans="1:24" x14ac:dyDescent="0.3">
      <c r="A2912" t="s">
        <v>1774</v>
      </c>
      <c r="C2912" t="s">
        <v>2539</v>
      </c>
      <c r="D2912" s="1">
        <v>46056</v>
      </c>
      <c r="E2912" t="s">
        <v>2540</v>
      </c>
      <c r="F2912">
        <v>9</v>
      </c>
      <c r="G2912">
        <v>236</v>
      </c>
      <c r="H2912" t="str">
        <f>VLOOKUP(G2912,[1]OPERADORES!$A:$B,2,0)</f>
        <v>DANIEL</v>
      </c>
      <c r="I2912" t="s">
        <v>21</v>
      </c>
      <c r="J2912" t="s">
        <v>1564</v>
      </c>
      <c r="K2912" t="s">
        <v>1777</v>
      </c>
      <c r="L2912">
        <v>85583</v>
      </c>
      <c r="M2912" t="s">
        <v>970</v>
      </c>
      <c r="O2912" t="s">
        <v>11</v>
      </c>
      <c r="P2912">
        <v>5102</v>
      </c>
      <c r="Q2912">
        <v>2</v>
      </c>
      <c r="R2912">
        <v>39.950000000000003</v>
      </c>
      <c r="S2912">
        <v>79.900000000000006</v>
      </c>
      <c r="T2912">
        <v>54.26</v>
      </c>
      <c r="U2912">
        <v>32.090000000000003</v>
      </c>
      <c r="V2912" t="str">
        <f>VLOOKUP(L2912,'[2]tabela de preços'!$A:$D,4,0)</f>
        <v>DÁVILA  INOVE</v>
      </c>
      <c r="W2912" t="str">
        <f>VLOOKUP(L2912,'[2]tabela de preços'!$A:$F,6,0)</f>
        <v>MASSA CORRIDA / ACRÍLICA</v>
      </c>
      <c r="X2912" t="str">
        <f>VLOOKUP(L2912,'[2]tabela de preços'!$A:$G,7,0)</f>
        <v>IMOBILIÁRIO</v>
      </c>
    </row>
    <row r="2913" spans="1:24" x14ac:dyDescent="0.3">
      <c r="A2913" t="s">
        <v>1774</v>
      </c>
      <c r="C2913" t="s">
        <v>2539</v>
      </c>
      <c r="D2913" s="1">
        <v>46056</v>
      </c>
      <c r="E2913" t="s">
        <v>2540</v>
      </c>
      <c r="F2913">
        <v>9</v>
      </c>
      <c r="G2913">
        <v>236</v>
      </c>
      <c r="H2913" t="str">
        <f>VLOOKUP(G2913,[1]OPERADORES!$A:$B,2,0)</f>
        <v>DANIEL</v>
      </c>
      <c r="I2913" t="s">
        <v>21</v>
      </c>
      <c r="J2913" t="s">
        <v>1564</v>
      </c>
      <c r="K2913" t="s">
        <v>1777</v>
      </c>
      <c r="L2913">
        <v>85020</v>
      </c>
      <c r="M2913" t="s">
        <v>1094</v>
      </c>
      <c r="O2913" t="s">
        <v>11</v>
      </c>
      <c r="P2913">
        <v>5102</v>
      </c>
      <c r="Q2913">
        <v>1</v>
      </c>
      <c r="R2913">
        <v>1.26</v>
      </c>
      <c r="S2913">
        <v>1.26</v>
      </c>
      <c r="T2913">
        <v>0.81</v>
      </c>
      <c r="U2913">
        <v>35.71</v>
      </c>
      <c r="V2913" t="str">
        <f>VLOOKUP(L2913,'[2]tabela de preços'!$A:$D,4,0)</f>
        <v>.</v>
      </c>
      <c r="W2913" t="str">
        <f>VLOOKUP(L2913,'[2]tabela de preços'!$A:$F,6,0)</f>
        <v>PALHA DE AÇO</v>
      </c>
      <c r="X2913" t="str">
        <f>VLOOKUP(L2913,'[2]tabela de preços'!$A:$G,7,0)</f>
        <v>IMOBILIÁRIO</v>
      </c>
    </row>
    <row r="2914" spans="1:24" x14ac:dyDescent="0.3">
      <c r="A2914" t="s">
        <v>1774</v>
      </c>
      <c r="C2914" t="s">
        <v>2539</v>
      </c>
      <c r="D2914" s="1">
        <v>46056</v>
      </c>
      <c r="E2914" t="s">
        <v>2540</v>
      </c>
      <c r="F2914">
        <v>9</v>
      </c>
      <c r="G2914">
        <v>236</v>
      </c>
      <c r="H2914" t="str">
        <f>VLOOKUP(G2914,[1]OPERADORES!$A:$B,2,0)</f>
        <v>DANIEL</v>
      </c>
      <c r="I2914" t="s">
        <v>21</v>
      </c>
      <c r="J2914" t="s">
        <v>1564</v>
      </c>
      <c r="K2914" t="s">
        <v>1777</v>
      </c>
      <c r="L2914">
        <v>84426</v>
      </c>
      <c r="M2914" t="s">
        <v>1957</v>
      </c>
      <c r="O2914" t="s">
        <v>11</v>
      </c>
      <c r="P2914">
        <v>5102</v>
      </c>
      <c r="Q2914">
        <v>2</v>
      </c>
      <c r="R2914">
        <v>5.08</v>
      </c>
      <c r="S2914">
        <v>10.16</v>
      </c>
      <c r="T2914">
        <v>6.56</v>
      </c>
      <c r="U2914">
        <v>35.43</v>
      </c>
      <c r="V2914" t="str">
        <f>VLOOKUP(L2914,'[2]tabela de preços'!$A:$D,4,0)</f>
        <v>ATLAS</v>
      </c>
      <c r="W2914" t="str">
        <f>VLOOKUP(L2914,'[2]tabela de preços'!$A:$F,6,0)</f>
        <v>ROLOS / TRINCHAS / PINCÉIS / ESPÁTULAS</v>
      </c>
      <c r="X2914" t="str">
        <f>VLOOKUP(L2914,'[2]tabela de preços'!$A:$G,7,0)</f>
        <v>IMOBILIÁRIO</v>
      </c>
    </row>
    <row r="2915" spans="1:24" x14ac:dyDescent="0.3">
      <c r="A2915" t="s">
        <v>1774</v>
      </c>
      <c r="C2915" t="s">
        <v>2539</v>
      </c>
      <c r="D2915" s="1">
        <v>46056</v>
      </c>
      <c r="E2915" t="s">
        <v>2540</v>
      </c>
      <c r="F2915">
        <v>9</v>
      </c>
      <c r="G2915">
        <v>236</v>
      </c>
      <c r="H2915" t="str">
        <f>VLOOKUP(G2915,[1]OPERADORES!$A:$B,2,0)</f>
        <v>DANIEL</v>
      </c>
      <c r="I2915" t="s">
        <v>21</v>
      </c>
      <c r="J2915" t="s">
        <v>1564</v>
      </c>
      <c r="K2915" t="s">
        <v>1777</v>
      </c>
      <c r="L2915">
        <v>84420</v>
      </c>
      <c r="M2915" t="s">
        <v>353</v>
      </c>
      <c r="O2915" t="s">
        <v>11</v>
      </c>
      <c r="P2915">
        <v>5102</v>
      </c>
      <c r="Q2915">
        <v>2</v>
      </c>
      <c r="R2915">
        <v>21.06</v>
      </c>
      <c r="S2915">
        <v>42.12</v>
      </c>
      <c r="T2915">
        <v>30.88</v>
      </c>
      <c r="U2915">
        <v>26.69</v>
      </c>
      <c r="V2915" t="str">
        <f>VLOOKUP(L2915,'[2]tabela de preços'!$A:$D,4,0)</f>
        <v>ATLAS</v>
      </c>
      <c r="W2915" t="str">
        <f>VLOOKUP(L2915,'[2]tabela de preços'!$A:$F,6,0)</f>
        <v>ROLOS / TRINCHAS / PINCÉIS / ESPÁTULAS</v>
      </c>
      <c r="X2915" t="str">
        <f>VLOOKUP(L2915,'[2]tabela de preços'!$A:$G,7,0)</f>
        <v>IMOBILIÁRIO</v>
      </c>
    </row>
    <row r="2916" spans="1:24" x14ac:dyDescent="0.3">
      <c r="A2916" t="s">
        <v>1774</v>
      </c>
      <c r="C2916" t="s">
        <v>2539</v>
      </c>
      <c r="D2916" s="1">
        <v>46056</v>
      </c>
      <c r="E2916" t="s">
        <v>2540</v>
      </c>
      <c r="F2916">
        <v>9</v>
      </c>
      <c r="G2916">
        <v>236</v>
      </c>
      <c r="H2916" t="str">
        <f>VLOOKUP(G2916,[1]OPERADORES!$A:$B,2,0)</f>
        <v>DANIEL</v>
      </c>
      <c r="I2916" t="s">
        <v>21</v>
      </c>
      <c r="J2916" t="s">
        <v>1564</v>
      </c>
      <c r="K2916" t="s">
        <v>1777</v>
      </c>
      <c r="L2916">
        <v>10298</v>
      </c>
      <c r="M2916" t="s">
        <v>85</v>
      </c>
      <c r="O2916" t="s">
        <v>11</v>
      </c>
      <c r="P2916">
        <v>5102</v>
      </c>
      <c r="Q2916">
        <v>1</v>
      </c>
      <c r="R2916">
        <v>56.89</v>
      </c>
      <c r="S2916">
        <v>56.89</v>
      </c>
      <c r="T2916">
        <v>47.38</v>
      </c>
      <c r="U2916">
        <v>16.72</v>
      </c>
      <c r="V2916" t="str">
        <f>VLOOKUP(L2916,'[2]tabela de preços'!$A:$D,4,0)</f>
        <v>ANJO</v>
      </c>
      <c r="W2916" t="str">
        <f>VLOOKUP(L2916,'[2]tabela de preços'!$A:$F,6,0)</f>
        <v>THINNER DE LIMPEZA</v>
      </c>
      <c r="X2916" t="str">
        <f>VLOOKUP(L2916,'[2]tabela de preços'!$A:$G,7,0)</f>
        <v>THINNER</v>
      </c>
    </row>
    <row r="2917" spans="1:24" x14ac:dyDescent="0.3">
      <c r="A2917" t="s">
        <v>1774</v>
      </c>
      <c r="C2917" t="s">
        <v>2539</v>
      </c>
      <c r="D2917" s="1">
        <v>46056</v>
      </c>
      <c r="E2917" t="s">
        <v>2540</v>
      </c>
      <c r="F2917">
        <v>9</v>
      </c>
      <c r="G2917">
        <v>236</v>
      </c>
      <c r="H2917" t="str">
        <f>VLOOKUP(G2917,[1]OPERADORES!$A:$B,2,0)</f>
        <v>DANIEL</v>
      </c>
      <c r="I2917" t="s">
        <v>21</v>
      </c>
      <c r="J2917" t="s">
        <v>1564</v>
      </c>
      <c r="K2917" t="s">
        <v>1777</v>
      </c>
      <c r="L2917">
        <v>10118</v>
      </c>
      <c r="M2917" t="s">
        <v>572</v>
      </c>
      <c r="O2917" t="s">
        <v>11</v>
      </c>
      <c r="P2917">
        <v>5102</v>
      </c>
      <c r="Q2917">
        <v>5</v>
      </c>
      <c r="R2917">
        <v>5.2</v>
      </c>
      <c r="S2917">
        <v>26</v>
      </c>
      <c r="T2917">
        <v>19.05</v>
      </c>
      <c r="U2917">
        <v>26.73</v>
      </c>
      <c r="V2917" t="str">
        <f>VLOOKUP(L2917,'[2]tabela de preços'!$A:$D,4,0)</f>
        <v>ATLAS</v>
      </c>
      <c r="W2917" t="str">
        <f>VLOOKUP(L2917,'[2]tabela de preços'!$A:$F,6,0)</f>
        <v>ROLOS / TRINCHAS / PINCÉIS / ESPÁTULAS</v>
      </c>
      <c r="X2917" t="str">
        <f>VLOOKUP(L2917,'[2]tabela de preços'!$A:$G,7,0)</f>
        <v>IMOBILIÁRIO</v>
      </c>
    </row>
    <row r="2918" spans="1:24" x14ac:dyDescent="0.3">
      <c r="A2918" t="s">
        <v>1774</v>
      </c>
      <c r="C2918" t="s">
        <v>2696</v>
      </c>
      <c r="D2918" s="1">
        <v>46057</v>
      </c>
      <c r="E2918" t="s">
        <v>2697</v>
      </c>
      <c r="F2918">
        <v>9</v>
      </c>
      <c r="G2918">
        <v>236</v>
      </c>
      <c r="H2918" t="str">
        <f>VLOOKUP(G2918,[1]OPERADORES!$A:$B,2,0)</f>
        <v>DANIEL</v>
      </c>
      <c r="I2918" t="s">
        <v>21</v>
      </c>
      <c r="J2918" t="s">
        <v>1564</v>
      </c>
      <c r="K2918" t="s">
        <v>1777</v>
      </c>
      <c r="L2918">
        <v>84293</v>
      </c>
      <c r="M2918" t="s">
        <v>2077</v>
      </c>
      <c r="O2918" t="s">
        <v>11</v>
      </c>
      <c r="P2918">
        <v>5403</v>
      </c>
      <c r="Q2918">
        <v>1</v>
      </c>
      <c r="R2918">
        <v>98.76</v>
      </c>
      <c r="S2918">
        <v>98.76</v>
      </c>
      <c r="T2918">
        <v>63.71</v>
      </c>
      <c r="U2918">
        <v>35.49</v>
      </c>
      <c r="V2918" t="str">
        <f>VLOOKUP(L2918,'[2]tabela de preços'!$A:$D,4,0)</f>
        <v>BRASILUX</v>
      </c>
      <c r="W2918" t="str">
        <f>VLOOKUP(L2918,'[2]tabela de preços'!$A:$F,6,0)</f>
        <v>TINTA PAREDE</v>
      </c>
      <c r="X2918" t="str">
        <f>VLOOKUP(L2918,'[2]tabela de preços'!$A:$G,7,0)</f>
        <v>IMOBILIÁRIO</v>
      </c>
    </row>
    <row r="2919" spans="1:24" x14ac:dyDescent="0.3">
      <c r="A2919" t="s">
        <v>1774</v>
      </c>
      <c r="C2919" t="s">
        <v>2696</v>
      </c>
      <c r="D2919" s="1">
        <v>46057</v>
      </c>
      <c r="E2919" t="s">
        <v>2697</v>
      </c>
      <c r="F2919">
        <v>9</v>
      </c>
      <c r="G2919">
        <v>236</v>
      </c>
      <c r="H2919" t="str">
        <f>VLOOKUP(G2919,[1]OPERADORES!$A:$B,2,0)</f>
        <v>DANIEL</v>
      </c>
      <c r="I2919" t="s">
        <v>21</v>
      </c>
      <c r="J2919" t="s">
        <v>1564</v>
      </c>
      <c r="K2919" t="s">
        <v>1777</v>
      </c>
      <c r="L2919">
        <v>85169</v>
      </c>
      <c r="M2919" t="s">
        <v>2698</v>
      </c>
      <c r="O2919" t="s">
        <v>11</v>
      </c>
      <c r="P2919">
        <v>5403</v>
      </c>
      <c r="Q2919">
        <v>1</v>
      </c>
      <c r="R2919">
        <v>58.17</v>
      </c>
      <c r="S2919">
        <v>58.17</v>
      </c>
      <c r="T2919">
        <v>37.53</v>
      </c>
      <c r="U2919">
        <v>35.479999999999997</v>
      </c>
      <c r="V2919" t="str">
        <f>VLOOKUP(L2919,'[2]tabela de preços'!$A:$D,4,0)</f>
        <v>BRASILUX</v>
      </c>
      <c r="W2919" t="str">
        <f>VLOOKUP(L2919,'[2]tabela de preços'!$A:$F,6,0)</f>
        <v>TINTA PAREDE</v>
      </c>
      <c r="X2919" t="str">
        <f>VLOOKUP(L2919,'[2]tabela de preços'!$A:$G,7,0)</f>
        <v>IMOBILIÁRIO</v>
      </c>
    </row>
    <row r="2920" spans="1:24" x14ac:dyDescent="0.3">
      <c r="A2920" t="s">
        <v>1774</v>
      </c>
      <c r="C2920" t="s">
        <v>2696</v>
      </c>
      <c r="D2920" s="1">
        <v>46057</v>
      </c>
      <c r="E2920" t="s">
        <v>2697</v>
      </c>
      <c r="F2920">
        <v>9</v>
      </c>
      <c r="G2920">
        <v>236</v>
      </c>
      <c r="H2920" t="str">
        <f>VLOOKUP(G2920,[1]OPERADORES!$A:$B,2,0)</f>
        <v>DANIEL</v>
      </c>
      <c r="I2920" t="s">
        <v>21</v>
      </c>
      <c r="J2920" t="s">
        <v>1564</v>
      </c>
      <c r="K2920" t="s">
        <v>1777</v>
      </c>
      <c r="L2920">
        <v>85650</v>
      </c>
      <c r="M2920" t="s">
        <v>439</v>
      </c>
      <c r="O2920" t="s">
        <v>11</v>
      </c>
      <c r="P2920">
        <v>5403</v>
      </c>
      <c r="Q2920">
        <v>1</v>
      </c>
      <c r="R2920">
        <v>10.73</v>
      </c>
      <c r="S2920">
        <v>10.73</v>
      </c>
      <c r="T2920">
        <v>6.92</v>
      </c>
      <c r="U2920">
        <v>35.51</v>
      </c>
      <c r="V2920" t="str">
        <f>VLOOKUP(L2920,'[2]tabela de preços'!$A:$D,4,0)</f>
        <v>UNIPEGA</v>
      </c>
      <c r="W2920" t="str">
        <f>VLOOKUP(L2920,'[2]tabela de preços'!$A:$F,6,0)</f>
        <v xml:space="preserve">SPRAYS </v>
      </c>
      <c r="X2920" t="str">
        <f>VLOOKUP(L2920,'[2]tabela de preços'!$A:$G,7,0)</f>
        <v>AUTOMOTIVO</v>
      </c>
    </row>
    <row r="2921" spans="1:24" x14ac:dyDescent="0.3">
      <c r="A2921" t="s">
        <v>2790</v>
      </c>
      <c r="C2921" t="s">
        <v>2791</v>
      </c>
      <c r="D2921" s="1">
        <v>46059</v>
      </c>
      <c r="E2921" t="s">
        <v>2792</v>
      </c>
      <c r="F2921">
        <v>9</v>
      </c>
      <c r="G2921">
        <v>145</v>
      </c>
      <c r="H2921" t="str">
        <f>VLOOKUP(G2921,[1]OPERADORES!$A:$B,2,0)</f>
        <v xml:space="preserve">FABRICIA </v>
      </c>
      <c r="I2921" t="s">
        <v>21</v>
      </c>
      <c r="J2921" t="s">
        <v>750</v>
      </c>
      <c r="K2921" t="s">
        <v>2793</v>
      </c>
      <c r="L2921">
        <v>20431</v>
      </c>
      <c r="M2921" t="s">
        <v>202</v>
      </c>
      <c r="O2921" t="s">
        <v>11</v>
      </c>
      <c r="P2921">
        <v>5403</v>
      </c>
      <c r="Q2921">
        <v>1</v>
      </c>
      <c r="R2921">
        <v>36.89</v>
      </c>
      <c r="S2921">
        <v>36.89</v>
      </c>
      <c r="T2921">
        <v>30.26</v>
      </c>
      <c r="U2921">
        <v>17.97</v>
      </c>
      <c r="V2921" t="str">
        <f>VLOOKUP(L2921,'[2]tabela de preços'!$A:$D,4,0)</f>
        <v>SHERWIN WILLIAMS</v>
      </c>
      <c r="W2921" t="str">
        <f>VLOOKUP(L2921,'[2]tabela de preços'!$A:$F,6,0)</f>
        <v>VERNIZ AUTOMOTIVO</v>
      </c>
      <c r="X2921" t="str">
        <f>VLOOKUP(L2921,'[2]tabela de preços'!$A:$G,7,0)</f>
        <v>AUTOMOTIVO</v>
      </c>
    </row>
    <row r="2922" spans="1:24" x14ac:dyDescent="0.3">
      <c r="A2922" t="s">
        <v>2790</v>
      </c>
      <c r="C2922" t="s">
        <v>2791</v>
      </c>
      <c r="D2922" s="1">
        <v>46059</v>
      </c>
      <c r="E2922" t="s">
        <v>2792</v>
      </c>
      <c r="F2922">
        <v>9</v>
      </c>
      <c r="G2922">
        <v>145</v>
      </c>
      <c r="H2922" t="str">
        <f>VLOOKUP(G2922,[1]OPERADORES!$A:$B,2,0)</f>
        <v xml:space="preserve">FABRICIA </v>
      </c>
      <c r="I2922" t="s">
        <v>21</v>
      </c>
      <c r="J2922" t="s">
        <v>750</v>
      </c>
      <c r="K2922" t="s">
        <v>2793</v>
      </c>
      <c r="L2922">
        <v>21037</v>
      </c>
      <c r="M2922" t="s">
        <v>108</v>
      </c>
      <c r="O2922" t="s">
        <v>11</v>
      </c>
      <c r="P2922">
        <v>5102</v>
      </c>
      <c r="Q2922">
        <v>1</v>
      </c>
      <c r="R2922">
        <v>17.03</v>
      </c>
      <c r="S2922">
        <v>17.03</v>
      </c>
      <c r="T2922">
        <v>12.92</v>
      </c>
      <c r="U2922">
        <v>24.13</v>
      </c>
      <c r="V2922" t="str">
        <f>VLOOKUP(L2922,'[2]tabela de preços'!$A:$D,4,0)</f>
        <v>SHERWIN WILLIAMS</v>
      </c>
      <c r="W2922" t="str">
        <f>VLOOKUP(L2922,'[2]tabela de preços'!$A:$F,6,0)</f>
        <v>CATALISADORES INDIVIDUAS</v>
      </c>
      <c r="X2922" t="str">
        <f>VLOOKUP(L2922,'[2]tabela de preços'!$A:$G,7,0)</f>
        <v>AUTOMOTIVO</v>
      </c>
    </row>
    <row r="2923" spans="1:24" x14ac:dyDescent="0.3">
      <c r="A2923" t="s">
        <v>2790</v>
      </c>
      <c r="C2923" t="s">
        <v>2791</v>
      </c>
      <c r="D2923" s="1">
        <v>46059</v>
      </c>
      <c r="E2923" t="s">
        <v>2792</v>
      </c>
      <c r="F2923">
        <v>9</v>
      </c>
      <c r="G2923">
        <v>145</v>
      </c>
      <c r="H2923" t="str">
        <f>VLOOKUP(G2923,[1]OPERADORES!$A:$B,2,0)</f>
        <v xml:space="preserve">FABRICIA </v>
      </c>
      <c r="I2923" t="s">
        <v>21</v>
      </c>
      <c r="J2923" t="s">
        <v>750</v>
      </c>
      <c r="K2923" t="s">
        <v>2793</v>
      </c>
      <c r="L2923">
        <v>87109</v>
      </c>
      <c r="M2923" t="s">
        <v>2201</v>
      </c>
      <c r="O2923" t="s">
        <v>11</v>
      </c>
      <c r="P2923">
        <v>5102</v>
      </c>
      <c r="Q2923">
        <v>1</v>
      </c>
      <c r="R2923">
        <v>41.35</v>
      </c>
      <c r="S2923">
        <v>41.35</v>
      </c>
      <c r="T2923">
        <v>31.39</v>
      </c>
      <c r="U2923">
        <v>24.09</v>
      </c>
      <c r="V2923" t="str">
        <f>VLOOKUP(L2923,'[2]tabela de preços'!$A:$D,4,0)</f>
        <v>SHERWIN WILLIAMS</v>
      </c>
      <c r="W2923" t="str">
        <f>VLOOKUP(L2923,'[2]tabela de preços'!$A:$F,6,0)</f>
        <v>TINTAS PU</v>
      </c>
      <c r="X2923" t="str">
        <f>VLOOKUP(L2923,'[2]tabela de preços'!$A:$G,7,0)</f>
        <v>AUTOMOTIVO</v>
      </c>
    </row>
    <row r="2924" spans="1:24" x14ac:dyDescent="0.3">
      <c r="A2924" t="s">
        <v>2790</v>
      </c>
      <c r="C2924" t="s">
        <v>2794</v>
      </c>
      <c r="D2924" s="1">
        <v>46059</v>
      </c>
      <c r="E2924" t="s">
        <v>2795</v>
      </c>
      <c r="F2924">
        <v>9</v>
      </c>
      <c r="G2924">
        <v>231</v>
      </c>
      <c r="H2924" t="str">
        <f>VLOOKUP(G2924,[1]OPERADORES!$A:$B,2,0)</f>
        <v>EDIJANE</v>
      </c>
      <c r="I2924" t="s">
        <v>21</v>
      </c>
      <c r="J2924" t="s">
        <v>750</v>
      </c>
      <c r="K2924" t="s">
        <v>2793</v>
      </c>
      <c r="L2924">
        <v>84557</v>
      </c>
      <c r="M2924" t="s">
        <v>116</v>
      </c>
      <c r="O2924" t="s">
        <v>11</v>
      </c>
      <c r="P2924">
        <v>5102</v>
      </c>
      <c r="Q2924">
        <v>1</v>
      </c>
      <c r="R2924">
        <v>17.489999999999998</v>
      </c>
      <c r="S2924">
        <v>17.489999999999998</v>
      </c>
      <c r="T2924">
        <v>13.96</v>
      </c>
      <c r="U2924">
        <v>20.18</v>
      </c>
      <c r="V2924" t="str">
        <f>VLOOKUP(L2924,'[2]tabela de preços'!$A:$D,4,0)</f>
        <v>BRASILUX</v>
      </c>
      <c r="W2924" t="str">
        <f>VLOOKUP(L2924,'[2]tabela de preços'!$A:$F,6,0)</f>
        <v>DILUENTE</v>
      </c>
      <c r="X2924" t="str">
        <f>VLOOKUP(L2924,'[2]tabela de preços'!$A:$G,7,0)</f>
        <v>AUTOMOTIVO</v>
      </c>
    </row>
    <row r="2925" spans="1:24" x14ac:dyDescent="0.3">
      <c r="A2925" t="s">
        <v>2790</v>
      </c>
      <c r="C2925" t="s">
        <v>2794</v>
      </c>
      <c r="D2925" s="1">
        <v>46059</v>
      </c>
      <c r="E2925" t="s">
        <v>2795</v>
      </c>
      <c r="F2925">
        <v>9</v>
      </c>
      <c r="G2925">
        <v>231</v>
      </c>
      <c r="H2925" t="str">
        <f>VLOOKUP(G2925,[1]OPERADORES!$A:$B,2,0)</f>
        <v>EDIJANE</v>
      </c>
      <c r="I2925" t="s">
        <v>21</v>
      </c>
      <c r="J2925" t="s">
        <v>750</v>
      </c>
      <c r="K2925" t="s">
        <v>2793</v>
      </c>
      <c r="L2925">
        <v>24248</v>
      </c>
      <c r="M2925" t="s">
        <v>107</v>
      </c>
      <c r="O2925" t="s">
        <v>11</v>
      </c>
      <c r="P2925">
        <v>5102</v>
      </c>
      <c r="Q2925">
        <v>1</v>
      </c>
      <c r="R2925">
        <v>8</v>
      </c>
      <c r="S2925">
        <v>8</v>
      </c>
      <c r="T2925">
        <v>6.5</v>
      </c>
      <c r="U2925">
        <v>18.75</v>
      </c>
      <c r="V2925" t="str">
        <f>VLOOKUP(L2925,'[2]tabela de preços'!$A:$D,4,0)</f>
        <v>SHERWIN WILLIAMS</v>
      </c>
      <c r="W2925" t="str">
        <f>VLOOKUP(L2925,'[2]tabela de preços'!$A:$F,6,0)</f>
        <v>PRIMER AUTOMOTIVO</v>
      </c>
      <c r="X2925" t="str">
        <f>VLOOKUP(L2925,'[2]tabela de preços'!$A:$G,7,0)</f>
        <v>AUTOMOTIVO</v>
      </c>
    </row>
    <row r="2926" spans="1:24" x14ac:dyDescent="0.3">
      <c r="A2926" t="s">
        <v>2790</v>
      </c>
      <c r="C2926" t="s">
        <v>2794</v>
      </c>
      <c r="D2926" s="1">
        <v>46059</v>
      </c>
      <c r="E2926" t="s">
        <v>2795</v>
      </c>
      <c r="F2926">
        <v>9</v>
      </c>
      <c r="G2926">
        <v>231</v>
      </c>
      <c r="H2926" t="str">
        <f>VLOOKUP(G2926,[1]OPERADORES!$A:$B,2,0)</f>
        <v>EDIJANE</v>
      </c>
      <c r="I2926" t="s">
        <v>21</v>
      </c>
      <c r="J2926" t="s">
        <v>750</v>
      </c>
      <c r="K2926" t="s">
        <v>2793</v>
      </c>
      <c r="L2926">
        <v>22684</v>
      </c>
      <c r="M2926" t="s">
        <v>73</v>
      </c>
      <c r="O2926" t="s">
        <v>11</v>
      </c>
      <c r="P2926">
        <v>5102</v>
      </c>
      <c r="Q2926">
        <v>1</v>
      </c>
      <c r="R2926">
        <v>3.65</v>
      </c>
      <c r="S2926">
        <v>3.65</v>
      </c>
      <c r="T2926">
        <v>3.08</v>
      </c>
      <c r="U2926">
        <v>15.62</v>
      </c>
      <c r="V2926" t="str">
        <f>VLOOKUP(L2926,'[2]tabela de preços'!$A:$D,4,0)</f>
        <v>3M</v>
      </c>
      <c r="W2926" t="str">
        <f>VLOOKUP(L2926,'[2]tabela de preços'!$A:$F,6,0)</f>
        <v>FITA AUTOMOTIVA</v>
      </c>
      <c r="X2926" t="str">
        <f>VLOOKUP(L2926,'[2]tabela de preços'!$A:$G,7,0)</f>
        <v>AUTOMOTIVO</v>
      </c>
    </row>
    <row r="2927" spans="1:24" x14ac:dyDescent="0.3">
      <c r="A2927" t="s">
        <v>2790</v>
      </c>
      <c r="C2927" t="s">
        <v>2794</v>
      </c>
      <c r="D2927" s="1">
        <v>46059</v>
      </c>
      <c r="E2927" t="s">
        <v>2795</v>
      </c>
      <c r="F2927">
        <v>9</v>
      </c>
      <c r="G2927">
        <v>231</v>
      </c>
      <c r="H2927" t="str">
        <f>VLOOKUP(G2927,[1]OPERADORES!$A:$B,2,0)</f>
        <v>EDIJANE</v>
      </c>
      <c r="I2927" t="s">
        <v>21</v>
      </c>
      <c r="J2927" t="s">
        <v>750</v>
      </c>
      <c r="K2927" t="s">
        <v>2793</v>
      </c>
      <c r="L2927">
        <v>23425</v>
      </c>
      <c r="M2927" t="s">
        <v>2544</v>
      </c>
      <c r="O2927" t="s">
        <v>11</v>
      </c>
      <c r="P2927">
        <v>5102</v>
      </c>
      <c r="Q2927">
        <v>1</v>
      </c>
      <c r="R2927">
        <v>17.760000000000002</v>
      </c>
      <c r="S2927">
        <v>17.760000000000002</v>
      </c>
      <c r="T2927">
        <v>13.48</v>
      </c>
      <c r="U2927">
        <v>24.1</v>
      </c>
      <c r="V2927" t="str">
        <f>VLOOKUP(L2927,'[2]tabela de preços'!$A:$D,4,0)</f>
        <v>NORTON</v>
      </c>
      <c r="W2927" t="str">
        <f>VLOOKUP(L2927,'[2]tabela de preços'!$A:$F,6,0)</f>
        <v xml:space="preserve">OUTROS DISCOS </v>
      </c>
      <c r="X2927" t="str">
        <f>VLOOKUP(L2927,'[2]tabela de preços'!$A:$G,7,0)</f>
        <v>AUTOMOTIVO</v>
      </c>
    </row>
    <row r="2928" spans="1:24" x14ac:dyDescent="0.3">
      <c r="A2928" t="s">
        <v>2790</v>
      </c>
      <c r="C2928" t="s">
        <v>2794</v>
      </c>
      <c r="D2928" s="1">
        <v>46059</v>
      </c>
      <c r="E2928" t="s">
        <v>2795</v>
      </c>
      <c r="F2928">
        <v>9</v>
      </c>
      <c r="G2928">
        <v>231</v>
      </c>
      <c r="H2928" t="str">
        <f>VLOOKUP(G2928,[1]OPERADORES!$A:$B,2,0)</f>
        <v>EDIJANE</v>
      </c>
      <c r="I2928" t="s">
        <v>21</v>
      </c>
      <c r="J2928" t="s">
        <v>750</v>
      </c>
      <c r="K2928" t="s">
        <v>2793</v>
      </c>
      <c r="L2928">
        <v>23385</v>
      </c>
      <c r="M2928" t="s">
        <v>638</v>
      </c>
      <c r="O2928" t="s">
        <v>11</v>
      </c>
      <c r="P2928">
        <v>5403</v>
      </c>
      <c r="Q2928">
        <v>1</v>
      </c>
      <c r="R2928">
        <v>60.78</v>
      </c>
      <c r="S2928">
        <v>60.78</v>
      </c>
      <c r="T2928">
        <v>39.21</v>
      </c>
      <c r="U2928">
        <v>35.49</v>
      </c>
      <c r="V2928" t="str">
        <f>VLOOKUP(L2928,'[2]tabela de preços'!$A:$D,4,0)</f>
        <v>WANDA</v>
      </c>
      <c r="W2928" t="str">
        <f>VLOOKUP(L2928,'[2]tabela de preços'!$A:$F,6,0)</f>
        <v>TINTAS PU</v>
      </c>
      <c r="X2928" t="str">
        <f>VLOOKUP(L2928,'[2]tabela de preços'!$A:$G,7,0)</f>
        <v>AUTOMOTIVO</v>
      </c>
    </row>
    <row r="2929" spans="1:24" x14ac:dyDescent="0.3">
      <c r="A2929" t="s">
        <v>2790</v>
      </c>
      <c r="C2929" t="s">
        <v>2794</v>
      </c>
      <c r="D2929" s="1">
        <v>46059</v>
      </c>
      <c r="E2929" t="s">
        <v>2795</v>
      </c>
      <c r="F2929">
        <v>9</v>
      </c>
      <c r="G2929">
        <v>231</v>
      </c>
      <c r="H2929" t="str">
        <f>VLOOKUP(G2929,[1]OPERADORES!$A:$B,2,0)</f>
        <v>EDIJANE</v>
      </c>
      <c r="I2929" t="s">
        <v>21</v>
      </c>
      <c r="J2929" t="s">
        <v>750</v>
      </c>
      <c r="K2929" t="s">
        <v>2793</v>
      </c>
      <c r="L2929">
        <v>23100</v>
      </c>
      <c r="M2929" t="s">
        <v>99</v>
      </c>
      <c r="O2929" t="s">
        <v>11</v>
      </c>
      <c r="P2929">
        <v>5102</v>
      </c>
      <c r="Q2929">
        <v>3</v>
      </c>
      <c r="R2929">
        <v>2.35</v>
      </c>
      <c r="S2929">
        <v>7.05</v>
      </c>
      <c r="T2929">
        <v>5.07</v>
      </c>
      <c r="U2929">
        <v>28.09</v>
      </c>
      <c r="V2929" t="str">
        <f>VLOOKUP(L2929,'[2]tabela de preços'!$A:$D,4,0)</f>
        <v>3M</v>
      </c>
      <c r="W2929" t="str">
        <f>VLOOKUP(L2929,'[2]tabela de preços'!$A:$F,6,0)</f>
        <v xml:space="preserve">DISCOS / LIXAS / ABRASIVOS </v>
      </c>
      <c r="X2929" t="str">
        <f>VLOOKUP(L2929,'[2]tabela de preços'!$A:$G,7,0)</f>
        <v>AUTOMOTIVO</v>
      </c>
    </row>
    <row r="2930" spans="1:24" x14ac:dyDescent="0.3">
      <c r="A2930" t="s">
        <v>2790</v>
      </c>
      <c r="C2930" t="s">
        <v>2794</v>
      </c>
      <c r="D2930" s="1">
        <v>46059</v>
      </c>
      <c r="E2930" t="s">
        <v>2795</v>
      </c>
      <c r="F2930">
        <v>9</v>
      </c>
      <c r="G2930">
        <v>231</v>
      </c>
      <c r="H2930" t="str">
        <f>VLOOKUP(G2930,[1]OPERADORES!$A:$B,2,0)</f>
        <v>EDIJANE</v>
      </c>
      <c r="I2930" t="s">
        <v>21</v>
      </c>
      <c r="J2930" t="s">
        <v>750</v>
      </c>
      <c r="K2930" t="s">
        <v>2793</v>
      </c>
      <c r="L2930">
        <v>23096</v>
      </c>
      <c r="M2930" t="s">
        <v>656</v>
      </c>
      <c r="O2930" t="s">
        <v>411</v>
      </c>
      <c r="P2930">
        <v>5102</v>
      </c>
      <c r="Q2930">
        <v>3</v>
      </c>
      <c r="R2930">
        <v>2.35</v>
      </c>
      <c r="S2930">
        <v>7.05</v>
      </c>
      <c r="T2930">
        <v>5.07</v>
      </c>
      <c r="U2930">
        <v>28.09</v>
      </c>
      <c r="V2930" t="str">
        <f>VLOOKUP(L2930,'[2]tabela de preços'!$A:$D,4,0)</f>
        <v>3M</v>
      </c>
      <c r="W2930" t="str">
        <f>VLOOKUP(L2930,'[2]tabela de preços'!$A:$F,6,0)</f>
        <v xml:space="preserve">DISCOS / LIXAS / ABRASIVOS </v>
      </c>
      <c r="X2930" t="str">
        <f>VLOOKUP(L2930,'[2]tabela de preços'!$A:$G,7,0)</f>
        <v>AUTOMOTIVO</v>
      </c>
    </row>
    <row r="2931" spans="1:24" x14ac:dyDescent="0.3">
      <c r="A2931" t="s">
        <v>2790</v>
      </c>
      <c r="C2931" t="s">
        <v>2794</v>
      </c>
      <c r="D2931" s="1">
        <v>46059</v>
      </c>
      <c r="E2931" t="s">
        <v>2795</v>
      </c>
      <c r="F2931">
        <v>9</v>
      </c>
      <c r="G2931">
        <v>231</v>
      </c>
      <c r="H2931" t="str">
        <f>VLOOKUP(G2931,[1]OPERADORES!$A:$B,2,0)</f>
        <v>EDIJANE</v>
      </c>
      <c r="I2931" t="s">
        <v>21</v>
      </c>
      <c r="J2931" t="s">
        <v>750</v>
      </c>
      <c r="K2931" t="s">
        <v>2793</v>
      </c>
      <c r="L2931">
        <v>23097</v>
      </c>
      <c r="M2931" t="s">
        <v>412</v>
      </c>
      <c r="O2931" t="s">
        <v>411</v>
      </c>
      <c r="P2931">
        <v>5102</v>
      </c>
      <c r="Q2931">
        <v>2</v>
      </c>
      <c r="R2931">
        <v>2.35</v>
      </c>
      <c r="S2931">
        <v>4.7</v>
      </c>
      <c r="T2931">
        <v>2.72</v>
      </c>
      <c r="U2931">
        <v>42.13</v>
      </c>
      <c r="V2931" t="str">
        <f>VLOOKUP(L2931,'[2]tabela de preços'!$A:$D,4,0)</f>
        <v>3M</v>
      </c>
      <c r="W2931" t="str">
        <f>VLOOKUP(L2931,'[2]tabela de preços'!$A:$F,6,0)</f>
        <v xml:space="preserve">DISCOS / LIXAS / ABRASIVOS </v>
      </c>
      <c r="X2931" t="str">
        <f>VLOOKUP(L2931,'[2]tabela de preços'!$A:$G,7,0)</f>
        <v>AUTOMOTIVO</v>
      </c>
    </row>
    <row r="2932" spans="1:24" x14ac:dyDescent="0.3">
      <c r="A2932" t="s">
        <v>2790</v>
      </c>
      <c r="C2932" t="s">
        <v>2794</v>
      </c>
      <c r="D2932" s="1">
        <v>46059</v>
      </c>
      <c r="E2932" t="s">
        <v>2795</v>
      </c>
      <c r="F2932">
        <v>9</v>
      </c>
      <c r="G2932">
        <v>231</v>
      </c>
      <c r="H2932" t="str">
        <f>VLOOKUP(G2932,[1]OPERADORES!$A:$B,2,0)</f>
        <v>EDIJANE</v>
      </c>
      <c r="I2932" t="s">
        <v>21</v>
      </c>
      <c r="J2932" t="s">
        <v>750</v>
      </c>
      <c r="K2932" t="s">
        <v>2793</v>
      </c>
      <c r="L2932">
        <v>23267</v>
      </c>
      <c r="M2932" t="s">
        <v>164</v>
      </c>
      <c r="O2932" t="s">
        <v>11</v>
      </c>
      <c r="P2932">
        <v>5102</v>
      </c>
      <c r="Q2932">
        <v>1</v>
      </c>
      <c r="R2932">
        <v>22.89</v>
      </c>
      <c r="S2932">
        <v>22.89</v>
      </c>
      <c r="T2932">
        <v>19.54</v>
      </c>
      <c r="U2932">
        <v>14.64</v>
      </c>
      <c r="V2932" t="str">
        <f>VLOOKUP(L2932,'[2]tabela de preços'!$A:$D,4,0)</f>
        <v>ANJO</v>
      </c>
      <c r="W2932" t="str">
        <f>VLOOKUP(L2932,'[2]tabela de preços'!$A:$F,6,0)</f>
        <v>MASSA POLIÉSTER</v>
      </c>
      <c r="X2932" t="str">
        <f>VLOOKUP(L2932,'[2]tabela de preços'!$A:$G,7,0)</f>
        <v>AUTOMOTIVO</v>
      </c>
    </row>
    <row r="2933" spans="1:24" x14ac:dyDescent="0.3">
      <c r="A2933" t="s">
        <v>2790</v>
      </c>
      <c r="C2933" t="s">
        <v>2794</v>
      </c>
      <c r="D2933" s="1">
        <v>46059</v>
      </c>
      <c r="E2933" t="s">
        <v>2795</v>
      </c>
      <c r="F2933">
        <v>9</v>
      </c>
      <c r="G2933">
        <v>231</v>
      </c>
      <c r="H2933" t="str">
        <f>VLOOKUP(G2933,[1]OPERADORES!$A:$B,2,0)</f>
        <v>EDIJANE</v>
      </c>
      <c r="I2933" t="s">
        <v>21</v>
      </c>
      <c r="J2933" t="s">
        <v>750</v>
      </c>
      <c r="K2933" t="s">
        <v>2793</v>
      </c>
      <c r="L2933">
        <v>24247</v>
      </c>
      <c r="M2933" t="s">
        <v>160</v>
      </c>
      <c r="O2933" t="s">
        <v>11</v>
      </c>
      <c r="P2933">
        <v>5403</v>
      </c>
      <c r="Q2933">
        <v>1</v>
      </c>
      <c r="R2933">
        <v>21</v>
      </c>
      <c r="S2933">
        <v>21</v>
      </c>
      <c r="T2933">
        <v>16.87</v>
      </c>
      <c r="U2933">
        <v>19.670000000000002</v>
      </c>
      <c r="V2933" t="str">
        <f>VLOOKUP(L2933,'[2]tabela de preços'!$A:$D,4,0)</f>
        <v>SHERWIN WILLIAMS</v>
      </c>
      <c r="W2933" t="str">
        <f>VLOOKUP(L2933,'[2]tabela de preços'!$A:$F,6,0)</f>
        <v>PRIMER AUTOMOTIVO</v>
      </c>
      <c r="X2933" t="str">
        <f>VLOOKUP(L2933,'[2]tabela de preços'!$A:$G,7,0)</f>
        <v>AUTOMOTIVO</v>
      </c>
    </row>
    <row r="2934" spans="1:24" x14ac:dyDescent="0.3">
      <c r="A2934" t="s">
        <v>2699</v>
      </c>
      <c r="C2934" t="s">
        <v>2475</v>
      </c>
      <c r="D2934" s="1">
        <v>46056</v>
      </c>
      <c r="E2934" t="s">
        <v>2476</v>
      </c>
      <c r="F2934">
        <v>9</v>
      </c>
      <c r="G2934">
        <v>174</v>
      </c>
      <c r="H2934" t="str">
        <f>VLOOKUP(G2934,[1]OPERADORES!$A:$B,2,0)</f>
        <v>MIRIÃ LOBATO RODRIGUES</v>
      </c>
      <c r="I2934" t="s">
        <v>21</v>
      </c>
      <c r="J2934" t="s">
        <v>587</v>
      </c>
      <c r="K2934" t="s">
        <v>2477</v>
      </c>
      <c r="L2934">
        <v>10226</v>
      </c>
      <c r="M2934" t="s">
        <v>145</v>
      </c>
      <c r="O2934" t="s">
        <v>11</v>
      </c>
      <c r="P2934">
        <v>5102</v>
      </c>
      <c r="Q2934">
        <v>102</v>
      </c>
      <c r="R2934">
        <v>2.79</v>
      </c>
      <c r="S2934">
        <v>284.58</v>
      </c>
      <c r="T2934">
        <v>236.64</v>
      </c>
      <c r="U2934">
        <v>16.850000000000001</v>
      </c>
      <c r="V2934" t="str">
        <f>VLOOKUP(L2934,'[2]tabela de preços'!$A:$D,4,0)</f>
        <v>NORTON</v>
      </c>
      <c r="W2934" t="str">
        <f>VLOOKUP(L2934,'[2]tabela de preços'!$A:$F,6,0)</f>
        <v xml:space="preserve">DISCOS / LIXAS / ABRASIVOS </v>
      </c>
      <c r="X2934" t="str">
        <f>VLOOKUP(L2934,'[2]tabela de preços'!$A:$G,7,0)</f>
        <v>AUTOMOTIVO</v>
      </c>
    </row>
    <row r="2935" spans="1:24" x14ac:dyDescent="0.3">
      <c r="A2935" t="s">
        <v>2699</v>
      </c>
      <c r="C2935" t="s">
        <v>2475</v>
      </c>
      <c r="D2935" s="1">
        <v>46056</v>
      </c>
      <c r="E2935" t="s">
        <v>2476</v>
      </c>
      <c r="F2935">
        <v>9</v>
      </c>
      <c r="G2935">
        <v>174</v>
      </c>
      <c r="H2935" t="str">
        <f>VLOOKUP(G2935,[1]OPERADORES!$A:$B,2,0)</f>
        <v>MIRIÃ LOBATO RODRIGUES</v>
      </c>
      <c r="I2935" t="s">
        <v>21</v>
      </c>
      <c r="J2935" t="s">
        <v>587</v>
      </c>
      <c r="K2935" t="s">
        <v>2477</v>
      </c>
      <c r="L2935">
        <v>10230</v>
      </c>
      <c r="M2935" t="s">
        <v>193</v>
      </c>
      <c r="O2935" t="s">
        <v>11</v>
      </c>
      <c r="P2935">
        <v>5102</v>
      </c>
      <c r="Q2935">
        <v>102</v>
      </c>
      <c r="R2935">
        <v>2.79</v>
      </c>
      <c r="S2935">
        <v>284.58</v>
      </c>
      <c r="T2935">
        <v>236.64</v>
      </c>
      <c r="U2935">
        <v>16.850000000000001</v>
      </c>
      <c r="V2935" t="str">
        <f>VLOOKUP(L2935,'[2]tabela de preços'!$A:$D,4,0)</f>
        <v>NORTON</v>
      </c>
      <c r="W2935" t="str">
        <f>VLOOKUP(L2935,'[2]tabela de preços'!$A:$F,6,0)</f>
        <v xml:space="preserve">DISCOS / LIXAS / ABRASIVOS </v>
      </c>
      <c r="X2935" t="str">
        <f>VLOOKUP(L2935,'[2]tabela de preços'!$A:$G,7,0)</f>
        <v>AUTOMOTIVO</v>
      </c>
    </row>
    <row r="2936" spans="1:24" x14ac:dyDescent="0.3">
      <c r="A2936" t="s">
        <v>2699</v>
      </c>
      <c r="C2936" t="s">
        <v>2475</v>
      </c>
      <c r="D2936" s="1">
        <v>46056</v>
      </c>
      <c r="E2936" t="s">
        <v>2476</v>
      </c>
      <c r="F2936">
        <v>9</v>
      </c>
      <c r="G2936">
        <v>174</v>
      </c>
      <c r="H2936" t="str">
        <f>VLOOKUP(G2936,[1]OPERADORES!$A:$B,2,0)</f>
        <v>MIRIÃ LOBATO RODRIGUES</v>
      </c>
      <c r="I2936" t="s">
        <v>21</v>
      </c>
      <c r="J2936" t="s">
        <v>587</v>
      </c>
      <c r="K2936" t="s">
        <v>2477</v>
      </c>
      <c r="L2936">
        <v>10232</v>
      </c>
      <c r="M2936" t="s">
        <v>134</v>
      </c>
      <c r="O2936" t="s">
        <v>11</v>
      </c>
      <c r="P2936">
        <v>5102</v>
      </c>
      <c r="Q2936">
        <v>102</v>
      </c>
      <c r="R2936">
        <v>2.79</v>
      </c>
      <c r="S2936">
        <v>284.58</v>
      </c>
      <c r="T2936">
        <v>229.5</v>
      </c>
      <c r="U2936">
        <v>19.350000000000001</v>
      </c>
      <c r="V2936" t="str">
        <f>VLOOKUP(L2936,'[2]tabela de preços'!$A:$D,4,0)</f>
        <v>NORTON</v>
      </c>
      <c r="W2936" t="str">
        <f>VLOOKUP(L2936,'[2]tabela de preços'!$A:$F,6,0)</f>
        <v xml:space="preserve">DISCOS / LIXAS / ABRASIVOS </v>
      </c>
      <c r="X2936" t="str">
        <f>VLOOKUP(L2936,'[2]tabela de preços'!$A:$G,7,0)</f>
        <v>AUTOMOTIVO</v>
      </c>
    </row>
    <row r="2937" spans="1:24" x14ac:dyDescent="0.3">
      <c r="A2937" t="s">
        <v>2699</v>
      </c>
      <c r="C2937" t="s">
        <v>2475</v>
      </c>
      <c r="D2937" s="1">
        <v>46056</v>
      </c>
      <c r="E2937" t="s">
        <v>2476</v>
      </c>
      <c r="F2937">
        <v>9</v>
      </c>
      <c r="G2937">
        <v>174</v>
      </c>
      <c r="H2937" t="str">
        <f>VLOOKUP(G2937,[1]OPERADORES!$A:$B,2,0)</f>
        <v>MIRIÃ LOBATO RODRIGUES</v>
      </c>
      <c r="I2937" t="s">
        <v>21</v>
      </c>
      <c r="J2937" t="s">
        <v>587</v>
      </c>
      <c r="K2937" t="s">
        <v>2477</v>
      </c>
      <c r="L2937">
        <v>20135</v>
      </c>
      <c r="M2937" t="s">
        <v>459</v>
      </c>
      <c r="O2937" t="s">
        <v>11</v>
      </c>
      <c r="P2937">
        <v>5102</v>
      </c>
      <c r="Q2937">
        <v>10</v>
      </c>
      <c r="R2937">
        <v>25.37</v>
      </c>
      <c r="S2937">
        <v>253.7</v>
      </c>
      <c r="T2937">
        <v>192.6</v>
      </c>
      <c r="U2937">
        <v>24.08</v>
      </c>
      <c r="V2937" t="str">
        <f>VLOOKUP(L2937,'[2]tabela de preços'!$A:$D,4,0)</f>
        <v>3M</v>
      </c>
      <c r="W2937" t="str">
        <f>VLOOKUP(L2937,'[2]tabela de preços'!$A:$F,6,0)</f>
        <v>DISCO TRIZACT</v>
      </c>
      <c r="X2937" t="str">
        <f>VLOOKUP(L2937,'[2]tabela de preços'!$A:$G,7,0)</f>
        <v>AUTOMOTIVO</v>
      </c>
    </row>
    <row r="2938" spans="1:24" x14ac:dyDescent="0.3">
      <c r="A2938" t="s">
        <v>2699</v>
      </c>
      <c r="C2938" t="s">
        <v>2475</v>
      </c>
      <c r="D2938" s="1">
        <v>46056</v>
      </c>
      <c r="E2938" t="s">
        <v>2476</v>
      </c>
      <c r="F2938">
        <v>9</v>
      </c>
      <c r="G2938">
        <v>174</v>
      </c>
      <c r="H2938" t="str">
        <f>VLOOKUP(G2938,[1]OPERADORES!$A:$B,2,0)</f>
        <v>MIRIÃ LOBATO RODRIGUES</v>
      </c>
      <c r="I2938" t="s">
        <v>21</v>
      </c>
      <c r="J2938" t="s">
        <v>587</v>
      </c>
      <c r="K2938" t="s">
        <v>2477</v>
      </c>
      <c r="L2938">
        <v>20245</v>
      </c>
      <c r="M2938" t="s">
        <v>146</v>
      </c>
      <c r="O2938" t="s">
        <v>11</v>
      </c>
      <c r="P2938">
        <v>5102</v>
      </c>
      <c r="Q2938">
        <v>50</v>
      </c>
      <c r="R2938">
        <v>1.82</v>
      </c>
      <c r="S2938">
        <v>91</v>
      </c>
      <c r="T2938">
        <v>67.5</v>
      </c>
      <c r="U2938">
        <v>25.82</v>
      </c>
      <c r="V2938" t="str">
        <f>VLOOKUP(L2938,'[2]tabela de preços'!$A:$D,4,0)</f>
        <v>ATLAS</v>
      </c>
      <c r="W2938" t="str">
        <f>VLOOKUP(L2938,'[2]tabela de preços'!$A:$F,6,0)</f>
        <v>APLICADORES / ADAPTADORES / ENGATES / SUPORTES</v>
      </c>
      <c r="X2938" t="str">
        <f>VLOOKUP(L2938,'[2]tabela de preços'!$A:$G,7,0)</f>
        <v>AUTOMOTIVO</v>
      </c>
    </row>
    <row r="2939" spans="1:24" x14ac:dyDescent="0.3">
      <c r="A2939" t="s">
        <v>2699</v>
      </c>
      <c r="C2939" t="s">
        <v>2475</v>
      </c>
      <c r="D2939" s="1">
        <v>46056</v>
      </c>
      <c r="E2939" t="s">
        <v>2476</v>
      </c>
      <c r="F2939">
        <v>9</v>
      </c>
      <c r="G2939">
        <v>174</v>
      </c>
      <c r="H2939" t="str">
        <f>VLOOKUP(G2939,[1]OPERADORES!$A:$B,2,0)</f>
        <v>MIRIÃ LOBATO RODRIGUES</v>
      </c>
      <c r="I2939" t="s">
        <v>21</v>
      </c>
      <c r="J2939" t="s">
        <v>587</v>
      </c>
      <c r="K2939" t="s">
        <v>2477</v>
      </c>
      <c r="L2939">
        <v>20431</v>
      </c>
      <c r="M2939" t="s">
        <v>202</v>
      </c>
      <c r="O2939" t="s">
        <v>11</v>
      </c>
      <c r="P2939">
        <v>5403</v>
      </c>
      <c r="Q2939">
        <v>36</v>
      </c>
      <c r="R2939">
        <v>36.89</v>
      </c>
      <c r="S2939" s="2">
        <v>1328.04</v>
      </c>
      <c r="T2939" s="2">
        <v>1089.3599999999999</v>
      </c>
      <c r="U2939">
        <v>17.97</v>
      </c>
      <c r="V2939" t="str">
        <f>VLOOKUP(L2939,'[2]tabela de preços'!$A:$D,4,0)</f>
        <v>SHERWIN WILLIAMS</v>
      </c>
      <c r="W2939" t="str">
        <f>VLOOKUP(L2939,'[2]tabela de preços'!$A:$F,6,0)</f>
        <v>VERNIZ AUTOMOTIVO</v>
      </c>
      <c r="X2939" t="str">
        <f>VLOOKUP(L2939,'[2]tabela de preços'!$A:$G,7,0)</f>
        <v>AUTOMOTIVO</v>
      </c>
    </row>
    <row r="2940" spans="1:24" x14ac:dyDescent="0.3">
      <c r="A2940" t="s">
        <v>2699</v>
      </c>
      <c r="C2940" t="s">
        <v>2475</v>
      </c>
      <c r="D2940" s="1">
        <v>46056</v>
      </c>
      <c r="E2940" t="s">
        <v>2476</v>
      </c>
      <c r="F2940">
        <v>9</v>
      </c>
      <c r="G2940">
        <v>174</v>
      </c>
      <c r="H2940" t="str">
        <f>VLOOKUP(G2940,[1]OPERADORES!$A:$B,2,0)</f>
        <v>MIRIÃ LOBATO RODRIGUES</v>
      </c>
      <c r="I2940" t="s">
        <v>21</v>
      </c>
      <c r="J2940" t="s">
        <v>587</v>
      </c>
      <c r="K2940" t="s">
        <v>2477</v>
      </c>
      <c r="L2940">
        <v>13</v>
      </c>
      <c r="M2940" t="s">
        <v>152</v>
      </c>
      <c r="O2940" t="s">
        <v>11</v>
      </c>
      <c r="P2940">
        <v>5102</v>
      </c>
      <c r="Q2940">
        <v>50</v>
      </c>
      <c r="R2940">
        <v>5.79</v>
      </c>
      <c r="S2940">
        <v>289.5</v>
      </c>
      <c r="T2940">
        <v>208</v>
      </c>
      <c r="U2940">
        <v>28.15</v>
      </c>
      <c r="V2940" t="str">
        <f>VLOOKUP(L2940,'[2]tabela de preços'!$A:$D,4,0)</f>
        <v>3M</v>
      </c>
      <c r="W2940" t="str">
        <f>VLOOKUP(L2940,'[2]tabela de preços'!$A:$F,6,0)</f>
        <v>LIXA DÁGUA</v>
      </c>
      <c r="X2940" t="str">
        <f>VLOOKUP(L2940,'[2]tabela de preços'!$A:$G,7,0)</f>
        <v>AUTOMOTIVO</v>
      </c>
    </row>
    <row r="2941" spans="1:24" x14ac:dyDescent="0.3">
      <c r="A2941" t="s">
        <v>2699</v>
      </c>
      <c r="C2941" t="s">
        <v>2475</v>
      </c>
      <c r="D2941" s="1">
        <v>46056</v>
      </c>
      <c r="E2941" t="s">
        <v>2476</v>
      </c>
      <c r="F2941">
        <v>9</v>
      </c>
      <c r="G2941">
        <v>174</v>
      </c>
      <c r="H2941" t="str">
        <f>VLOOKUP(G2941,[1]OPERADORES!$A:$B,2,0)</f>
        <v>MIRIÃ LOBATO RODRIGUES</v>
      </c>
      <c r="I2941" t="s">
        <v>21</v>
      </c>
      <c r="J2941" t="s">
        <v>587</v>
      </c>
      <c r="K2941" t="s">
        <v>2477</v>
      </c>
      <c r="L2941">
        <v>15</v>
      </c>
      <c r="M2941" t="s">
        <v>205</v>
      </c>
      <c r="O2941" t="s">
        <v>11</v>
      </c>
      <c r="P2941">
        <v>5102</v>
      </c>
      <c r="Q2941">
        <v>50</v>
      </c>
      <c r="R2941">
        <v>5.79</v>
      </c>
      <c r="S2941">
        <v>289.5</v>
      </c>
      <c r="T2941">
        <v>208</v>
      </c>
      <c r="U2941">
        <v>28.15</v>
      </c>
      <c r="V2941" t="str">
        <f>VLOOKUP(L2941,'[2]tabela de preços'!$A:$D,4,0)</f>
        <v>3M</v>
      </c>
      <c r="W2941" t="str">
        <f>VLOOKUP(L2941,'[2]tabela de preços'!$A:$F,6,0)</f>
        <v>LIXA DÁGUA</v>
      </c>
      <c r="X2941" t="str">
        <f>VLOOKUP(L2941,'[2]tabela de preços'!$A:$G,7,0)</f>
        <v>AUTOMOTIVO</v>
      </c>
    </row>
    <row r="2942" spans="1:24" x14ac:dyDescent="0.3">
      <c r="A2942" t="s">
        <v>2699</v>
      </c>
      <c r="C2942" t="s">
        <v>2475</v>
      </c>
      <c r="D2942" s="1">
        <v>46056</v>
      </c>
      <c r="E2942" t="s">
        <v>2476</v>
      </c>
      <c r="F2942">
        <v>9</v>
      </c>
      <c r="G2942">
        <v>174</v>
      </c>
      <c r="H2942" t="str">
        <f>VLOOKUP(G2942,[1]OPERADORES!$A:$B,2,0)</f>
        <v>MIRIÃ LOBATO RODRIGUES</v>
      </c>
      <c r="I2942" t="s">
        <v>21</v>
      </c>
      <c r="J2942" t="s">
        <v>587</v>
      </c>
      <c r="K2942" t="s">
        <v>2477</v>
      </c>
      <c r="L2942">
        <v>10238</v>
      </c>
      <c r="M2942" t="s">
        <v>79</v>
      </c>
      <c r="O2942" t="s">
        <v>11</v>
      </c>
      <c r="P2942">
        <v>5102</v>
      </c>
      <c r="Q2942">
        <v>50</v>
      </c>
      <c r="R2942">
        <v>2.79</v>
      </c>
      <c r="S2942">
        <v>139.5</v>
      </c>
      <c r="T2942">
        <v>112</v>
      </c>
      <c r="U2942">
        <v>19.71</v>
      </c>
      <c r="V2942" t="str">
        <f>VLOOKUP(L2942,'[2]tabela de preços'!$A:$D,4,0)</f>
        <v>NORTON</v>
      </c>
      <c r="W2942" t="str">
        <f>VLOOKUP(L2942,'[2]tabela de preços'!$A:$F,6,0)</f>
        <v xml:space="preserve">DISCOS / LIXAS / ABRASIVOS </v>
      </c>
      <c r="X2942" t="str">
        <f>VLOOKUP(L2942,'[2]tabela de preços'!$A:$G,7,0)</f>
        <v>AUTOMOTIVO</v>
      </c>
    </row>
    <row r="2943" spans="1:24" x14ac:dyDescent="0.3">
      <c r="A2943" t="s">
        <v>2699</v>
      </c>
      <c r="C2943" t="s">
        <v>2475</v>
      </c>
      <c r="D2943" s="1">
        <v>46056</v>
      </c>
      <c r="E2943" t="s">
        <v>2476</v>
      </c>
      <c r="F2943">
        <v>9</v>
      </c>
      <c r="G2943">
        <v>174</v>
      </c>
      <c r="H2943" t="str">
        <f>VLOOKUP(G2943,[1]OPERADORES!$A:$B,2,0)</f>
        <v>MIRIÃ LOBATO RODRIGUES</v>
      </c>
      <c r="I2943" t="s">
        <v>21</v>
      </c>
      <c r="J2943" t="s">
        <v>587</v>
      </c>
      <c r="K2943" t="s">
        <v>2477</v>
      </c>
      <c r="L2943">
        <v>10243</v>
      </c>
      <c r="M2943" t="s">
        <v>83</v>
      </c>
      <c r="O2943" t="s">
        <v>11</v>
      </c>
      <c r="P2943">
        <v>5102</v>
      </c>
      <c r="Q2943">
        <v>50</v>
      </c>
      <c r="R2943">
        <v>2.79</v>
      </c>
      <c r="S2943">
        <v>139.5</v>
      </c>
      <c r="T2943">
        <v>96.5</v>
      </c>
      <c r="U2943">
        <v>30.82</v>
      </c>
      <c r="V2943" t="str">
        <f>VLOOKUP(L2943,'[2]tabela de preços'!$A:$D,4,0)</f>
        <v>NORTON</v>
      </c>
      <c r="W2943" t="str">
        <f>VLOOKUP(L2943,'[2]tabela de preços'!$A:$F,6,0)</f>
        <v xml:space="preserve">DISCOS / LIXAS / ABRASIVOS </v>
      </c>
      <c r="X2943" t="str">
        <f>VLOOKUP(L2943,'[2]tabela de preços'!$A:$G,7,0)</f>
        <v>AUTOMOTIVO</v>
      </c>
    </row>
    <row r="2944" spans="1:24" x14ac:dyDescent="0.3">
      <c r="A2944" t="s">
        <v>2699</v>
      </c>
      <c r="C2944" t="s">
        <v>2475</v>
      </c>
      <c r="D2944" s="1">
        <v>46056</v>
      </c>
      <c r="E2944" t="s">
        <v>2476</v>
      </c>
      <c r="F2944">
        <v>9</v>
      </c>
      <c r="G2944">
        <v>174</v>
      </c>
      <c r="H2944" t="str">
        <f>VLOOKUP(G2944,[1]OPERADORES!$A:$B,2,0)</f>
        <v>MIRIÃ LOBATO RODRIGUES</v>
      </c>
      <c r="I2944" t="s">
        <v>21</v>
      </c>
      <c r="J2944" t="s">
        <v>587</v>
      </c>
      <c r="K2944" t="s">
        <v>2477</v>
      </c>
      <c r="L2944">
        <v>10298</v>
      </c>
      <c r="M2944" t="s">
        <v>85</v>
      </c>
      <c r="O2944" t="s">
        <v>11</v>
      </c>
      <c r="P2944">
        <v>5102</v>
      </c>
      <c r="Q2944">
        <v>20</v>
      </c>
      <c r="R2944">
        <v>54.9</v>
      </c>
      <c r="S2944" s="2">
        <v>1098</v>
      </c>
      <c r="T2944">
        <v>947.6</v>
      </c>
      <c r="U2944">
        <v>13.7</v>
      </c>
      <c r="V2944" t="str">
        <f>VLOOKUP(L2944,'[2]tabela de preços'!$A:$D,4,0)</f>
        <v>ANJO</v>
      </c>
      <c r="W2944" t="str">
        <f>VLOOKUP(L2944,'[2]tabela de preços'!$A:$F,6,0)</f>
        <v>THINNER DE LIMPEZA</v>
      </c>
      <c r="X2944" t="str">
        <f>VLOOKUP(L2944,'[2]tabela de preços'!$A:$G,7,0)</f>
        <v>THINNER</v>
      </c>
    </row>
    <row r="2945" spans="1:24" x14ac:dyDescent="0.3">
      <c r="A2945" t="s">
        <v>2699</v>
      </c>
      <c r="C2945" t="s">
        <v>2700</v>
      </c>
      <c r="D2945" s="1">
        <v>46057</v>
      </c>
      <c r="E2945" t="s">
        <v>2701</v>
      </c>
      <c r="F2945">
        <v>9</v>
      </c>
      <c r="G2945">
        <v>174</v>
      </c>
      <c r="H2945" t="str">
        <f>VLOOKUP(G2945,[1]OPERADORES!$A:$B,2,0)</f>
        <v>MIRIÃ LOBATO RODRIGUES</v>
      </c>
      <c r="I2945" t="s">
        <v>21</v>
      </c>
      <c r="J2945" t="s">
        <v>587</v>
      </c>
      <c r="K2945" t="s">
        <v>2477</v>
      </c>
      <c r="L2945">
        <v>24248</v>
      </c>
      <c r="M2945" t="s">
        <v>107</v>
      </c>
      <c r="O2945" t="s">
        <v>11</v>
      </c>
      <c r="P2945">
        <v>5102</v>
      </c>
      <c r="Q2945">
        <v>36</v>
      </c>
      <c r="R2945">
        <v>8</v>
      </c>
      <c r="S2945">
        <v>288</v>
      </c>
      <c r="T2945">
        <v>234</v>
      </c>
      <c r="U2945">
        <v>18.75</v>
      </c>
      <c r="V2945" t="str">
        <f>VLOOKUP(L2945,'[2]tabela de preços'!$A:$D,4,0)</f>
        <v>SHERWIN WILLIAMS</v>
      </c>
      <c r="W2945" t="str">
        <f>VLOOKUP(L2945,'[2]tabela de preços'!$A:$F,6,0)</f>
        <v>PRIMER AUTOMOTIVO</v>
      </c>
      <c r="X2945" t="str">
        <f>VLOOKUP(L2945,'[2]tabela de preços'!$A:$G,7,0)</f>
        <v>AUTOMOTIVO</v>
      </c>
    </row>
    <row r="2946" spans="1:24" x14ac:dyDescent="0.3">
      <c r="A2946" t="s">
        <v>2699</v>
      </c>
      <c r="C2946" t="s">
        <v>2700</v>
      </c>
      <c r="D2946" s="1">
        <v>46057</v>
      </c>
      <c r="E2946" t="s">
        <v>2701</v>
      </c>
      <c r="F2946">
        <v>9</v>
      </c>
      <c r="G2946">
        <v>174</v>
      </c>
      <c r="H2946" t="str">
        <f>VLOOKUP(G2946,[1]OPERADORES!$A:$B,2,0)</f>
        <v>MIRIÃ LOBATO RODRIGUES</v>
      </c>
      <c r="I2946" t="s">
        <v>21</v>
      </c>
      <c r="J2946" t="s">
        <v>587</v>
      </c>
      <c r="K2946" t="s">
        <v>2477</v>
      </c>
      <c r="L2946">
        <v>22684</v>
      </c>
      <c r="M2946" t="s">
        <v>73</v>
      </c>
      <c r="O2946" t="s">
        <v>11</v>
      </c>
      <c r="P2946">
        <v>5102</v>
      </c>
      <c r="Q2946">
        <v>80</v>
      </c>
      <c r="R2946">
        <v>3.65</v>
      </c>
      <c r="S2946">
        <v>292</v>
      </c>
      <c r="T2946">
        <v>246.4</v>
      </c>
      <c r="U2946">
        <v>15.62</v>
      </c>
      <c r="V2946" t="str">
        <f>VLOOKUP(L2946,'[2]tabela de preços'!$A:$D,4,0)</f>
        <v>3M</v>
      </c>
      <c r="W2946" t="str">
        <f>VLOOKUP(L2946,'[2]tabela de preços'!$A:$F,6,0)</f>
        <v>FITA AUTOMOTIVA</v>
      </c>
      <c r="X2946" t="str">
        <f>VLOOKUP(L2946,'[2]tabela de preços'!$A:$G,7,0)</f>
        <v>AUTOMOTIVO</v>
      </c>
    </row>
    <row r="2947" spans="1:24" x14ac:dyDescent="0.3">
      <c r="A2947" t="s">
        <v>2699</v>
      </c>
      <c r="C2947" t="s">
        <v>2700</v>
      </c>
      <c r="D2947" s="1">
        <v>46057</v>
      </c>
      <c r="E2947" t="s">
        <v>2701</v>
      </c>
      <c r="F2947">
        <v>9</v>
      </c>
      <c r="G2947">
        <v>174</v>
      </c>
      <c r="H2947" t="str">
        <f>VLOOKUP(G2947,[1]OPERADORES!$A:$B,2,0)</f>
        <v>MIRIÃ LOBATO RODRIGUES</v>
      </c>
      <c r="I2947" t="s">
        <v>21</v>
      </c>
      <c r="J2947" t="s">
        <v>587</v>
      </c>
      <c r="K2947" t="s">
        <v>2477</v>
      </c>
      <c r="L2947">
        <v>20817</v>
      </c>
      <c r="M2947" t="s">
        <v>153</v>
      </c>
      <c r="O2947" t="s">
        <v>11</v>
      </c>
      <c r="P2947">
        <v>5102</v>
      </c>
      <c r="Q2947">
        <v>12</v>
      </c>
      <c r="R2947">
        <v>22.89</v>
      </c>
      <c r="S2947">
        <v>274.68</v>
      </c>
      <c r="T2947">
        <v>223.44</v>
      </c>
      <c r="U2947">
        <v>18.649999999999999</v>
      </c>
      <c r="V2947" t="str">
        <f>VLOOKUP(L2947,'[2]tabela de preços'!$A:$D,4,0)</f>
        <v>AUTO AMERICA</v>
      </c>
      <c r="W2947" t="str">
        <f>VLOOKUP(L2947,'[2]tabela de preços'!$A:$F,6,0)</f>
        <v>MASSA DE POLIR</v>
      </c>
      <c r="X2947" t="str">
        <f>VLOOKUP(L2947,'[2]tabela de preços'!$A:$G,7,0)</f>
        <v>AUTOMOTIVO</v>
      </c>
    </row>
    <row r="2948" spans="1:24" x14ac:dyDescent="0.3">
      <c r="A2948" t="s">
        <v>2699</v>
      </c>
      <c r="C2948" t="s">
        <v>2700</v>
      </c>
      <c r="D2948" s="1">
        <v>46057</v>
      </c>
      <c r="E2948" t="s">
        <v>2701</v>
      </c>
      <c r="F2948">
        <v>9</v>
      </c>
      <c r="G2948">
        <v>174</v>
      </c>
      <c r="H2948" t="str">
        <f>VLOOKUP(G2948,[1]OPERADORES!$A:$B,2,0)</f>
        <v>MIRIÃ LOBATO RODRIGUES</v>
      </c>
      <c r="I2948" t="s">
        <v>21</v>
      </c>
      <c r="J2948" t="s">
        <v>587</v>
      </c>
      <c r="K2948" t="s">
        <v>2477</v>
      </c>
      <c r="L2948">
        <v>24247</v>
      </c>
      <c r="M2948" t="s">
        <v>160</v>
      </c>
      <c r="O2948" t="s">
        <v>11</v>
      </c>
      <c r="P2948">
        <v>5403</v>
      </c>
      <c r="Q2948">
        <v>36</v>
      </c>
      <c r="R2948">
        <v>21</v>
      </c>
      <c r="S2948">
        <v>756</v>
      </c>
      <c r="T2948">
        <v>607.32000000000005</v>
      </c>
      <c r="U2948">
        <v>19.670000000000002</v>
      </c>
      <c r="V2948" t="str">
        <f>VLOOKUP(L2948,'[2]tabela de preços'!$A:$D,4,0)</f>
        <v>SHERWIN WILLIAMS</v>
      </c>
      <c r="W2948" t="str">
        <f>VLOOKUP(L2948,'[2]tabela de preços'!$A:$F,6,0)</f>
        <v>PRIMER AUTOMOTIVO</v>
      </c>
      <c r="X2948" t="str">
        <f>VLOOKUP(L2948,'[2]tabela de preços'!$A:$G,7,0)</f>
        <v>AUTOMOTIVO</v>
      </c>
    </row>
    <row r="2949" spans="1:24" x14ac:dyDescent="0.3">
      <c r="A2949" t="s">
        <v>2699</v>
      </c>
      <c r="C2949" t="s">
        <v>2702</v>
      </c>
      <c r="D2949" s="1">
        <v>46058</v>
      </c>
      <c r="E2949" t="s">
        <v>2703</v>
      </c>
      <c r="F2949">
        <v>9</v>
      </c>
      <c r="G2949">
        <v>174</v>
      </c>
      <c r="H2949" t="str">
        <f>VLOOKUP(G2949,[1]OPERADORES!$A:$B,2,0)</f>
        <v>MIRIÃ LOBATO RODRIGUES</v>
      </c>
      <c r="I2949" t="s">
        <v>21</v>
      </c>
      <c r="J2949" t="s">
        <v>587</v>
      </c>
      <c r="K2949" t="s">
        <v>2477</v>
      </c>
      <c r="L2949">
        <v>20431</v>
      </c>
      <c r="M2949" t="s">
        <v>202</v>
      </c>
      <c r="O2949" t="s">
        <v>11</v>
      </c>
      <c r="P2949">
        <v>5403</v>
      </c>
      <c r="Q2949">
        <v>45</v>
      </c>
      <c r="R2949">
        <v>36.89</v>
      </c>
      <c r="S2949" s="2">
        <v>1660.05</v>
      </c>
      <c r="T2949" s="2">
        <v>1361.7</v>
      </c>
      <c r="U2949">
        <v>17.97</v>
      </c>
      <c r="V2949" t="str">
        <f>VLOOKUP(L2949,'[2]tabela de preços'!$A:$D,4,0)</f>
        <v>SHERWIN WILLIAMS</v>
      </c>
      <c r="W2949" t="str">
        <f>VLOOKUP(L2949,'[2]tabela de preços'!$A:$F,6,0)</f>
        <v>VERNIZ AUTOMOTIVO</v>
      </c>
      <c r="X2949" t="str">
        <f>VLOOKUP(L2949,'[2]tabela de preços'!$A:$G,7,0)</f>
        <v>AUTOMOTIVO</v>
      </c>
    </row>
    <row r="2950" spans="1:24" x14ac:dyDescent="0.3">
      <c r="A2950" t="s">
        <v>2699</v>
      </c>
      <c r="C2950" t="s">
        <v>2702</v>
      </c>
      <c r="D2950" s="1">
        <v>46058</v>
      </c>
      <c r="E2950" t="s">
        <v>2703</v>
      </c>
      <c r="F2950">
        <v>9</v>
      </c>
      <c r="G2950">
        <v>174</v>
      </c>
      <c r="H2950" t="str">
        <f>VLOOKUP(G2950,[1]OPERADORES!$A:$B,2,0)</f>
        <v>MIRIÃ LOBATO RODRIGUES</v>
      </c>
      <c r="I2950" t="s">
        <v>21</v>
      </c>
      <c r="J2950" t="s">
        <v>587</v>
      </c>
      <c r="K2950" t="s">
        <v>2477</v>
      </c>
      <c r="L2950">
        <v>10238</v>
      </c>
      <c r="M2950" t="s">
        <v>79</v>
      </c>
      <c r="O2950" t="s">
        <v>11</v>
      </c>
      <c r="P2950">
        <v>5102</v>
      </c>
      <c r="Q2950">
        <v>100</v>
      </c>
      <c r="R2950">
        <v>2.79</v>
      </c>
      <c r="S2950">
        <v>279</v>
      </c>
      <c r="T2950">
        <v>224</v>
      </c>
      <c r="U2950">
        <v>19.71</v>
      </c>
      <c r="V2950" t="str">
        <f>VLOOKUP(L2950,'[2]tabela de preços'!$A:$D,4,0)</f>
        <v>NORTON</v>
      </c>
      <c r="W2950" t="str">
        <f>VLOOKUP(L2950,'[2]tabela de preços'!$A:$F,6,0)</f>
        <v xml:space="preserve">DISCOS / LIXAS / ABRASIVOS </v>
      </c>
      <c r="X2950" t="str">
        <f>VLOOKUP(L2950,'[2]tabela de preços'!$A:$G,7,0)</f>
        <v>AUTOMOTIVO</v>
      </c>
    </row>
    <row r="2951" spans="1:24" x14ac:dyDescent="0.3">
      <c r="A2951" t="s">
        <v>2699</v>
      </c>
      <c r="C2951" t="s">
        <v>2702</v>
      </c>
      <c r="D2951" s="1">
        <v>46058</v>
      </c>
      <c r="E2951" t="s">
        <v>2703</v>
      </c>
      <c r="F2951">
        <v>9</v>
      </c>
      <c r="G2951">
        <v>174</v>
      </c>
      <c r="H2951" t="str">
        <f>VLOOKUP(G2951,[1]OPERADORES!$A:$B,2,0)</f>
        <v>MIRIÃ LOBATO RODRIGUES</v>
      </c>
      <c r="I2951" t="s">
        <v>21</v>
      </c>
      <c r="J2951" t="s">
        <v>587</v>
      </c>
      <c r="K2951" t="s">
        <v>2477</v>
      </c>
      <c r="L2951">
        <v>10243</v>
      </c>
      <c r="M2951" t="s">
        <v>83</v>
      </c>
      <c r="O2951" t="s">
        <v>11</v>
      </c>
      <c r="P2951">
        <v>5102</v>
      </c>
      <c r="Q2951">
        <v>50</v>
      </c>
      <c r="R2951">
        <v>2.79</v>
      </c>
      <c r="S2951">
        <v>139.5</v>
      </c>
      <c r="T2951">
        <v>96.5</v>
      </c>
      <c r="U2951">
        <v>30.82</v>
      </c>
      <c r="V2951" t="str">
        <f>VLOOKUP(L2951,'[2]tabela de preços'!$A:$D,4,0)</f>
        <v>NORTON</v>
      </c>
      <c r="W2951" t="str">
        <f>VLOOKUP(L2951,'[2]tabela de preços'!$A:$F,6,0)</f>
        <v xml:space="preserve">DISCOS / LIXAS / ABRASIVOS </v>
      </c>
      <c r="X2951" t="str">
        <f>VLOOKUP(L2951,'[2]tabela de preços'!$A:$G,7,0)</f>
        <v>AUTOMOTIVO</v>
      </c>
    </row>
    <row r="2952" spans="1:24" x14ac:dyDescent="0.3">
      <c r="A2952" t="s">
        <v>2699</v>
      </c>
      <c r="C2952" t="s">
        <v>2702</v>
      </c>
      <c r="D2952" s="1">
        <v>46058</v>
      </c>
      <c r="E2952" t="s">
        <v>2703</v>
      </c>
      <c r="F2952">
        <v>9</v>
      </c>
      <c r="G2952">
        <v>174</v>
      </c>
      <c r="H2952" t="str">
        <f>VLOOKUP(G2952,[1]OPERADORES!$A:$B,2,0)</f>
        <v>MIRIÃ LOBATO RODRIGUES</v>
      </c>
      <c r="I2952" t="s">
        <v>21</v>
      </c>
      <c r="J2952" t="s">
        <v>587</v>
      </c>
      <c r="K2952" t="s">
        <v>2477</v>
      </c>
      <c r="L2952">
        <v>10244</v>
      </c>
      <c r="M2952" t="s">
        <v>84</v>
      </c>
      <c r="O2952" t="s">
        <v>11</v>
      </c>
      <c r="P2952">
        <v>5102</v>
      </c>
      <c r="Q2952">
        <v>50</v>
      </c>
      <c r="R2952">
        <v>2.79</v>
      </c>
      <c r="S2952">
        <v>139.5</v>
      </c>
      <c r="T2952">
        <v>96.5</v>
      </c>
      <c r="U2952">
        <v>30.82</v>
      </c>
      <c r="V2952" t="str">
        <f>VLOOKUP(L2952,'[2]tabela de preços'!$A:$D,4,0)</f>
        <v>NORTON</v>
      </c>
      <c r="W2952" t="str">
        <f>VLOOKUP(L2952,'[2]tabela de preços'!$A:$F,6,0)</f>
        <v xml:space="preserve">DISCOS / LIXAS / ABRASIVOS </v>
      </c>
      <c r="X2952" t="str">
        <f>VLOOKUP(L2952,'[2]tabela de preços'!$A:$G,7,0)</f>
        <v>AUTOMOTIVO</v>
      </c>
    </row>
    <row r="2953" spans="1:24" x14ac:dyDescent="0.3">
      <c r="A2953" t="s">
        <v>2699</v>
      </c>
      <c r="C2953" t="s">
        <v>2702</v>
      </c>
      <c r="D2953" s="1">
        <v>46058</v>
      </c>
      <c r="E2953" t="s">
        <v>2703</v>
      </c>
      <c r="F2953">
        <v>9</v>
      </c>
      <c r="G2953">
        <v>174</v>
      </c>
      <c r="H2953" t="str">
        <f>VLOOKUP(G2953,[1]OPERADORES!$A:$B,2,0)</f>
        <v>MIRIÃ LOBATO RODRIGUES</v>
      </c>
      <c r="I2953" t="s">
        <v>21</v>
      </c>
      <c r="J2953" t="s">
        <v>587</v>
      </c>
      <c r="K2953" t="s">
        <v>2477</v>
      </c>
      <c r="L2953">
        <v>10245</v>
      </c>
      <c r="M2953" t="s">
        <v>195</v>
      </c>
      <c r="O2953" t="s">
        <v>11</v>
      </c>
      <c r="P2953">
        <v>5102</v>
      </c>
      <c r="Q2953">
        <v>50</v>
      </c>
      <c r="R2953">
        <v>2.79</v>
      </c>
      <c r="S2953">
        <v>139.5</v>
      </c>
      <c r="T2953">
        <v>96.5</v>
      </c>
      <c r="U2953">
        <v>30.82</v>
      </c>
      <c r="V2953" t="str">
        <f>VLOOKUP(L2953,'[2]tabela de preços'!$A:$D,4,0)</f>
        <v>NORTON</v>
      </c>
      <c r="W2953" t="str">
        <f>VLOOKUP(L2953,'[2]tabela de preços'!$A:$F,6,0)</f>
        <v xml:space="preserve">DISCOS / LIXAS / ABRASIVOS </v>
      </c>
      <c r="X2953" t="str">
        <f>VLOOKUP(L2953,'[2]tabela de preços'!$A:$G,7,0)</f>
        <v>AUTOMOTIVO</v>
      </c>
    </row>
    <row r="2954" spans="1:24" x14ac:dyDescent="0.3">
      <c r="A2954" t="s">
        <v>2699</v>
      </c>
      <c r="C2954" t="s">
        <v>2702</v>
      </c>
      <c r="D2954" s="1">
        <v>46058</v>
      </c>
      <c r="E2954" t="s">
        <v>2703</v>
      </c>
      <c r="F2954">
        <v>9</v>
      </c>
      <c r="G2954">
        <v>174</v>
      </c>
      <c r="H2954" t="str">
        <f>VLOOKUP(G2954,[1]OPERADORES!$A:$B,2,0)</f>
        <v>MIRIÃ LOBATO RODRIGUES</v>
      </c>
      <c r="I2954" t="s">
        <v>21</v>
      </c>
      <c r="J2954" t="s">
        <v>587</v>
      </c>
      <c r="K2954" t="s">
        <v>2477</v>
      </c>
      <c r="L2954">
        <v>20525</v>
      </c>
      <c r="M2954" t="s">
        <v>137</v>
      </c>
      <c r="O2954" t="s">
        <v>11</v>
      </c>
      <c r="P2954">
        <v>5102</v>
      </c>
      <c r="Q2954">
        <v>6</v>
      </c>
      <c r="R2954">
        <v>13.65</v>
      </c>
      <c r="S2954">
        <v>81.900000000000006</v>
      </c>
      <c r="T2954">
        <v>62.16</v>
      </c>
      <c r="U2954">
        <v>24.1</v>
      </c>
      <c r="V2954" t="str">
        <f>VLOOKUP(L2954,'[2]tabela de preços'!$A:$D,4,0)</f>
        <v>SHERWIN WILLIAMS</v>
      </c>
      <c r="W2954" t="str">
        <f>VLOOKUP(L2954,'[2]tabela de preços'!$A:$F,6,0)</f>
        <v>MASSA DE PEQUENOS REPAROS</v>
      </c>
      <c r="X2954" t="str">
        <f>VLOOKUP(L2954,'[2]tabela de preços'!$A:$G,7,0)</f>
        <v>AUTOMOTIVO</v>
      </c>
    </row>
    <row r="2955" spans="1:24" x14ac:dyDescent="0.3">
      <c r="A2955" t="s">
        <v>2699</v>
      </c>
      <c r="C2955" t="s">
        <v>2702</v>
      </c>
      <c r="D2955" s="1">
        <v>46058</v>
      </c>
      <c r="E2955" t="s">
        <v>2703</v>
      </c>
      <c r="F2955">
        <v>9</v>
      </c>
      <c r="G2955">
        <v>174</v>
      </c>
      <c r="H2955" t="str">
        <f>VLOOKUP(G2955,[1]OPERADORES!$A:$B,2,0)</f>
        <v>MIRIÃ LOBATO RODRIGUES</v>
      </c>
      <c r="I2955" t="s">
        <v>21</v>
      </c>
      <c r="J2955" t="s">
        <v>587</v>
      </c>
      <c r="K2955" t="s">
        <v>2477</v>
      </c>
      <c r="L2955">
        <v>20414</v>
      </c>
      <c r="M2955" t="s">
        <v>112</v>
      </c>
      <c r="O2955" t="s">
        <v>11</v>
      </c>
      <c r="P2955">
        <v>5102</v>
      </c>
      <c r="Q2955">
        <v>40</v>
      </c>
      <c r="R2955">
        <v>21.89</v>
      </c>
      <c r="S2955">
        <v>875.6</v>
      </c>
      <c r="T2955">
        <v>720</v>
      </c>
      <c r="U2955">
        <v>17.77</v>
      </c>
      <c r="V2955" t="str">
        <f>VLOOKUP(L2955,'[2]tabela de preços'!$A:$D,4,0)</f>
        <v>SHERWIN WILLIAMS</v>
      </c>
      <c r="W2955" t="str">
        <f>VLOOKUP(L2955,'[2]tabela de preços'!$A:$F,6,0)</f>
        <v>DILUENTE</v>
      </c>
      <c r="X2955" t="str">
        <f>VLOOKUP(L2955,'[2]tabela de preços'!$A:$G,7,0)</f>
        <v>AUTOMOTIVO</v>
      </c>
    </row>
    <row r="2956" spans="1:24" x14ac:dyDescent="0.3">
      <c r="A2956" t="s">
        <v>2699</v>
      </c>
      <c r="C2956" t="s">
        <v>2702</v>
      </c>
      <c r="D2956" s="1">
        <v>46058</v>
      </c>
      <c r="E2956" t="s">
        <v>2703</v>
      </c>
      <c r="F2956">
        <v>9</v>
      </c>
      <c r="G2956">
        <v>174</v>
      </c>
      <c r="H2956" t="str">
        <f>VLOOKUP(G2956,[1]OPERADORES!$A:$B,2,0)</f>
        <v>MIRIÃ LOBATO RODRIGUES</v>
      </c>
      <c r="I2956" t="s">
        <v>21</v>
      </c>
      <c r="J2956" t="s">
        <v>587</v>
      </c>
      <c r="K2956" t="s">
        <v>2477</v>
      </c>
      <c r="L2956">
        <v>9997</v>
      </c>
      <c r="M2956" t="s">
        <v>2487</v>
      </c>
      <c r="O2956" t="s">
        <v>11</v>
      </c>
      <c r="P2956">
        <v>5102</v>
      </c>
      <c r="Q2956">
        <v>4</v>
      </c>
      <c r="R2956">
        <v>41.04</v>
      </c>
      <c r="S2956">
        <v>164.16</v>
      </c>
      <c r="T2956">
        <v>124.6</v>
      </c>
      <c r="U2956">
        <v>24.1</v>
      </c>
      <c r="V2956" t="str">
        <f>VLOOKUP(L2956,'[2]tabela de preços'!$A:$D,4,0)</f>
        <v>SIKKENS</v>
      </c>
      <c r="W2956" t="str">
        <f>VLOOKUP(L2956,'[2]tabela de preços'!$A:$F,6,0)</f>
        <v>DILUENTE</v>
      </c>
      <c r="X2956" t="str">
        <f>VLOOKUP(L2956,'[2]tabela de preços'!$A:$G,7,0)</f>
        <v>AUTOMOTIVO</v>
      </c>
    </row>
    <row r="2957" spans="1:24" x14ac:dyDescent="0.3">
      <c r="A2957" t="s">
        <v>2699</v>
      </c>
      <c r="C2957" t="s">
        <v>2841</v>
      </c>
      <c r="D2957" s="1">
        <v>46062</v>
      </c>
      <c r="E2957" t="s">
        <v>2842</v>
      </c>
      <c r="F2957">
        <v>9</v>
      </c>
      <c r="G2957">
        <v>174</v>
      </c>
      <c r="H2957" t="str">
        <f>VLOOKUP(G2957,[1]OPERADORES!$A:$B,2,0)</f>
        <v>MIRIÃ LOBATO RODRIGUES</v>
      </c>
      <c r="I2957" t="s">
        <v>21</v>
      </c>
      <c r="J2957" t="s">
        <v>587</v>
      </c>
      <c r="K2957" t="s">
        <v>2477</v>
      </c>
      <c r="L2957">
        <v>10236</v>
      </c>
      <c r="M2957" t="s">
        <v>133</v>
      </c>
      <c r="O2957" t="s">
        <v>11</v>
      </c>
      <c r="P2957">
        <v>5102</v>
      </c>
      <c r="Q2957">
        <v>102</v>
      </c>
      <c r="R2957">
        <v>2.79</v>
      </c>
      <c r="S2957">
        <v>284.58</v>
      </c>
      <c r="T2957">
        <v>236.64</v>
      </c>
      <c r="U2957">
        <v>16.850000000000001</v>
      </c>
      <c r="V2957" t="str">
        <f>VLOOKUP(L2957,'[2]tabela de preços'!$A:$D,4,0)</f>
        <v>NORTON</v>
      </c>
      <c r="W2957" t="str">
        <f>VLOOKUP(L2957,'[2]tabela de preços'!$A:$F,6,0)</f>
        <v xml:space="preserve">DISCOS / LIXAS / ABRASIVOS </v>
      </c>
      <c r="X2957" t="str">
        <f>VLOOKUP(L2957,'[2]tabela de preços'!$A:$G,7,0)</f>
        <v>AUTOMOTIVO</v>
      </c>
    </row>
    <row r="2958" spans="1:24" x14ac:dyDescent="0.3">
      <c r="A2958" t="s">
        <v>1824</v>
      </c>
      <c r="B2958" t="s">
        <v>1825</v>
      </c>
      <c r="C2958" t="s">
        <v>2542</v>
      </c>
      <c r="D2958" s="1">
        <v>46056</v>
      </c>
      <c r="E2958" t="s">
        <v>2543</v>
      </c>
      <c r="F2958">
        <v>9</v>
      </c>
      <c r="G2958">
        <v>197</v>
      </c>
      <c r="H2958" t="str">
        <f>VLOOKUP(G2958,[1]OPERADORES!$A:$B,2,0)</f>
        <v xml:space="preserve">POLIANA LORRANE DE AMORIM </v>
      </c>
      <c r="I2958" t="s">
        <v>21</v>
      </c>
      <c r="J2958" t="s">
        <v>1788</v>
      </c>
      <c r="K2958" t="s">
        <v>1828</v>
      </c>
      <c r="L2958">
        <v>10236</v>
      </c>
      <c r="M2958" t="s">
        <v>133</v>
      </c>
      <c r="O2958" t="s">
        <v>11</v>
      </c>
      <c r="P2958">
        <v>5102</v>
      </c>
      <c r="Q2958">
        <v>20</v>
      </c>
      <c r="R2958">
        <v>2.79</v>
      </c>
      <c r="S2958">
        <v>55.8</v>
      </c>
      <c r="T2958">
        <v>46.4</v>
      </c>
      <c r="U2958">
        <v>16.850000000000001</v>
      </c>
      <c r="V2958" t="str">
        <f>VLOOKUP(L2958,'[2]tabela de preços'!$A:$D,4,0)</f>
        <v>NORTON</v>
      </c>
      <c r="W2958" t="str">
        <f>VLOOKUP(L2958,'[2]tabela de preços'!$A:$F,6,0)</f>
        <v xml:space="preserve">DISCOS / LIXAS / ABRASIVOS </v>
      </c>
      <c r="X2958" t="str">
        <f>VLOOKUP(L2958,'[2]tabela de preços'!$A:$G,7,0)</f>
        <v>AUTOMOTIVO</v>
      </c>
    </row>
    <row r="2959" spans="1:24" x14ac:dyDescent="0.3">
      <c r="A2959" t="s">
        <v>1824</v>
      </c>
      <c r="B2959" t="s">
        <v>1825</v>
      </c>
      <c r="C2959" t="s">
        <v>2542</v>
      </c>
      <c r="D2959" s="1">
        <v>46056</v>
      </c>
      <c r="E2959" t="s">
        <v>2543</v>
      </c>
      <c r="F2959">
        <v>9</v>
      </c>
      <c r="G2959">
        <v>197</v>
      </c>
      <c r="H2959" t="str">
        <f>VLOOKUP(G2959,[1]OPERADORES!$A:$B,2,0)</f>
        <v xml:space="preserve">POLIANA LORRANE DE AMORIM </v>
      </c>
      <c r="I2959" t="s">
        <v>21</v>
      </c>
      <c r="J2959" t="s">
        <v>1788</v>
      </c>
      <c r="K2959" t="s">
        <v>1828</v>
      </c>
      <c r="L2959">
        <v>10230</v>
      </c>
      <c r="M2959" t="s">
        <v>193</v>
      </c>
      <c r="O2959" t="s">
        <v>11</v>
      </c>
      <c r="P2959">
        <v>5102</v>
      </c>
      <c r="Q2959">
        <v>20</v>
      </c>
      <c r="R2959">
        <v>2.79</v>
      </c>
      <c r="S2959">
        <v>55.8</v>
      </c>
      <c r="T2959">
        <v>46.4</v>
      </c>
      <c r="U2959">
        <v>16.850000000000001</v>
      </c>
      <c r="V2959" t="str">
        <f>VLOOKUP(L2959,'[2]tabela de preços'!$A:$D,4,0)</f>
        <v>NORTON</v>
      </c>
      <c r="W2959" t="str">
        <f>VLOOKUP(L2959,'[2]tabela de preços'!$A:$F,6,0)</f>
        <v xml:space="preserve">DISCOS / LIXAS / ABRASIVOS </v>
      </c>
      <c r="X2959" t="str">
        <f>VLOOKUP(L2959,'[2]tabela de preços'!$A:$G,7,0)</f>
        <v>AUTOMOTIVO</v>
      </c>
    </row>
    <row r="2960" spans="1:24" x14ac:dyDescent="0.3">
      <c r="A2960" t="s">
        <v>1824</v>
      </c>
      <c r="B2960" t="s">
        <v>1825</v>
      </c>
      <c r="C2960" t="s">
        <v>2542</v>
      </c>
      <c r="D2960" s="1">
        <v>46056</v>
      </c>
      <c r="E2960" t="s">
        <v>2543</v>
      </c>
      <c r="F2960">
        <v>9</v>
      </c>
      <c r="G2960">
        <v>197</v>
      </c>
      <c r="H2960" t="str">
        <f>VLOOKUP(G2960,[1]OPERADORES!$A:$B,2,0)</f>
        <v xml:space="preserve">POLIANA LORRANE DE AMORIM </v>
      </c>
      <c r="I2960" t="s">
        <v>21</v>
      </c>
      <c r="J2960" t="s">
        <v>1788</v>
      </c>
      <c r="K2960" t="s">
        <v>1828</v>
      </c>
      <c r="L2960">
        <v>5</v>
      </c>
      <c r="M2960" t="s">
        <v>147</v>
      </c>
      <c r="O2960" t="s">
        <v>11</v>
      </c>
      <c r="P2960">
        <v>5102</v>
      </c>
      <c r="Q2960">
        <v>3</v>
      </c>
      <c r="R2960">
        <v>5.33</v>
      </c>
      <c r="S2960">
        <v>15.99</v>
      </c>
      <c r="T2960">
        <v>11.73</v>
      </c>
      <c r="U2960">
        <v>26.64</v>
      </c>
      <c r="V2960" t="str">
        <f>VLOOKUP(L2960,'[2]tabela de preços'!$A:$D,4,0)</f>
        <v>BRILHO ESTOPA</v>
      </c>
      <c r="W2960" t="str">
        <f>VLOOKUP(L2960,'[2]tabela de preços'!$A:$F,6,0)</f>
        <v>ESTOPAS</v>
      </c>
      <c r="X2960" t="str">
        <f>VLOOKUP(L2960,'[2]tabela de preços'!$A:$G,7,0)</f>
        <v>AUTOMOTIVO</v>
      </c>
    </row>
    <row r="2961" spans="1:24" x14ac:dyDescent="0.3">
      <c r="A2961" t="s">
        <v>1824</v>
      </c>
      <c r="B2961" t="s">
        <v>1825</v>
      </c>
      <c r="C2961" t="s">
        <v>2542</v>
      </c>
      <c r="D2961" s="1">
        <v>46056</v>
      </c>
      <c r="E2961" t="s">
        <v>2543</v>
      </c>
      <c r="F2961">
        <v>9</v>
      </c>
      <c r="G2961">
        <v>197</v>
      </c>
      <c r="H2961" t="str">
        <f>VLOOKUP(G2961,[1]OPERADORES!$A:$B,2,0)</f>
        <v xml:space="preserve">POLIANA LORRANE DE AMORIM </v>
      </c>
      <c r="I2961" t="s">
        <v>21</v>
      </c>
      <c r="J2961" t="s">
        <v>1788</v>
      </c>
      <c r="K2961" t="s">
        <v>1828</v>
      </c>
      <c r="L2961">
        <v>23425</v>
      </c>
      <c r="M2961" t="s">
        <v>2544</v>
      </c>
      <c r="O2961" t="s">
        <v>11</v>
      </c>
      <c r="P2961">
        <v>5102</v>
      </c>
      <c r="Q2961">
        <v>8</v>
      </c>
      <c r="R2961">
        <v>17.760000000000002</v>
      </c>
      <c r="S2961">
        <v>142.08000000000001</v>
      </c>
      <c r="T2961">
        <v>107.84</v>
      </c>
      <c r="U2961">
        <v>24.1</v>
      </c>
      <c r="V2961" t="str">
        <f>VLOOKUP(L2961,'[2]tabela de preços'!$A:$D,4,0)</f>
        <v>NORTON</v>
      </c>
      <c r="W2961" t="str">
        <f>VLOOKUP(L2961,'[2]tabela de preços'!$A:$F,6,0)</f>
        <v xml:space="preserve">OUTROS DISCOS </v>
      </c>
      <c r="X2961" t="str">
        <f>VLOOKUP(L2961,'[2]tabela de preços'!$A:$G,7,0)</f>
        <v>AUTOMOTIVO</v>
      </c>
    </row>
    <row r="2962" spans="1:24" x14ac:dyDescent="0.3">
      <c r="A2962" t="s">
        <v>1824</v>
      </c>
      <c r="B2962" t="s">
        <v>1825</v>
      </c>
      <c r="C2962" t="s">
        <v>2542</v>
      </c>
      <c r="D2962" s="1">
        <v>46056</v>
      </c>
      <c r="E2962" t="s">
        <v>2543</v>
      </c>
      <c r="F2962">
        <v>9</v>
      </c>
      <c r="G2962">
        <v>197</v>
      </c>
      <c r="H2962" t="str">
        <f>VLOOKUP(G2962,[1]OPERADORES!$A:$B,2,0)</f>
        <v xml:space="preserve">POLIANA LORRANE DE AMORIM </v>
      </c>
      <c r="I2962" t="s">
        <v>21</v>
      </c>
      <c r="J2962" t="s">
        <v>1788</v>
      </c>
      <c r="K2962" t="s">
        <v>1828</v>
      </c>
      <c r="L2962">
        <v>23690</v>
      </c>
      <c r="M2962" t="s">
        <v>98</v>
      </c>
      <c r="O2962" t="s">
        <v>11</v>
      </c>
      <c r="P2962">
        <v>5403</v>
      </c>
      <c r="Q2962">
        <v>6</v>
      </c>
      <c r="R2962">
        <v>39.9</v>
      </c>
      <c r="S2962">
        <v>239.4</v>
      </c>
      <c r="T2962">
        <v>189.66</v>
      </c>
      <c r="U2962">
        <v>20.78</v>
      </c>
      <c r="V2962" t="str">
        <f>VLOOKUP(L2962,'[2]tabela de preços'!$A:$D,4,0)</f>
        <v>WANDA</v>
      </c>
      <c r="W2962" t="str">
        <f>VLOOKUP(L2962,'[2]tabela de preços'!$A:$F,6,0)</f>
        <v>VERNIZ AUTOMOTIVO</v>
      </c>
      <c r="X2962" t="str">
        <f>VLOOKUP(L2962,'[2]tabela de preços'!$A:$G,7,0)</f>
        <v>AUTOMOTIVO</v>
      </c>
    </row>
    <row r="2963" spans="1:24" x14ac:dyDescent="0.3">
      <c r="A2963" t="s">
        <v>1824</v>
      </c>
      <c r="B2963" t="s">
        <v>1825</v>
      </c>
      <c r="C2963" t="s">
        <v>2542</v>
      </c>
      <c r="D2963" s="1">
        <v>46056</v>
      </c>
      <c r="E2963" t="s">
        <v>2543</v>
      </c>
      <c r="F2963">
        <v>9</v>
      </c>
      <c r="G2963">
        <v>197</v>
      </c>
      <c r="H2963" t="str">
        <f>VLOOKUP(G2963,[1]OPERADORES!$A:$B,2,0)</f>
        <v xml:space="preserve">POLIANA LORRANE DE AMORIM </v>
      </c>
      <c r="I2963" t="s">
        <v>21</v>
      </c>
      <c r="J2963" t="s">
        <v>1788</v>
      </c>
      <c r="K2963" t="s">
        <v>1828</v>
      </c>
      <c r="L2963">
        <v>87043</v>
      </c>
      <c r="M2963" t="s">
        <v>217</v>
      </c>
      <c r="O2963" t="s">
        <v>11</v>
      </c>
      <c r="P2963">
        <v>5102</v>
      </c>
      <c r="Q2963">
        <v>8</v>
      </c>
      <c r="R2963">
        <v>21.95</v>
      </c>
      <c r="S2963">
        <v>175.6</v>
      </c>
      <c r="T2963">
        <v>144.16</v>
      </c>
      <c r="U2963">
        <v>17.899999999999999</v>
      </c>
      <c r="V2963" t="str">
        <f>VLOOKUP(L2963,'[2]tabela de preços'!$A:$D,4,0)</f>
        <v>ROBERLO</v>
      </c>
      <c r="W2963" t="str">
        <f>VLOOKUP(L2963,'[2]tabela de preços'!$A:$F,6,0)</f>
        <v>MASSA POLIÉSTER</v>
      </c>
      <c r="X2963" t="str">
        <f>VLOOKUP(L2963,'[2]tabela de preços'!$A:$G,7,0)</f>
        <v>AUTOMOTIVO</v>
      </c>
    </row>
    <row r="2964" spans="1:24" x14ac:dyDescent="0.3">
      <c r="A2964" t="s">
        <v>1824</v>
      </c>
      <c r="B2964" t="s">
        <v>1825</v>
      </c>
      <c r="C2964" t="s">
        <v>2542</v>
      </c>
      <c r="D2964" s="1">
        <v>46056</v>
      </c>
      <c r="E2964" t="s">
        <v>2543</v>
      </c>
      <c r="F2964">
        <v>9</v>
      </c>
      <c r="G2964">
        <v>197</v>
      </c>
      <c r="H2964" t="str">
        <f>VLOOKUP(G2964,[1]OPERADORES!$A:$B,2,0)</f>
        <v xml:space="preserve">POLIANA LORRANE DE AMORIM </v>
      </c>
      <c r="I2964" t="s">
        <v>21</v>
      </c>
      <c r="J2964" t="s">
        <v>1788</v>
      </c>
      <c r="K2964" t="s">
        <v>1828</v>
      </c>
      <c r="L2964">
        <v>84560</v>
      </c>
      <c r="M2964" t="s">
        <v>118</v>
      </c>
      <c r="O2964" t="s">
        <v>11</v>
      </c>
      <c r="P2964">
        <v>5102</v>
      </c>
      <c r="Q2964">
        <v>2</v>
      </c>
      <c r="R2964">
        <v>47.89</v>
      </c>
      <c r="S2964">
        <v>95.78</v>
      </c>
      <c r="T2964">
        <v>78.319999999999993</v>
      </c>
      <c r="U2964">
        <v>18.23</v>
      </c>
      <c r="V2964" t="str">
        <f>VLOOKUP(L2964,'[2]tabela de preços'!$A:$D,4,0)</f>
        <v>BRASILUX</v>
      </c>
      <c r="W2964" t="str">
        <f>VLOOKUP(L2964,'[2]tabela de preços'!$A:$F,6,0)</f>
        <v>THINNER DE LIMPEZA</v>
      </c>
      <c r="X2964" t="str">
        <f>VLOOKUP(L2964,'[2]tabela de preços'!$A:$G,7,0)</f>
        <v>THINNER</v>
      </c>
    </row>
    <row r="2965" spans="1:24" x14ac:dyDescent="0.3">
      <c r="A2965" t="s">
        <v>2704</v>
      </c>
      <c r="C2965" t="s">
        <v>2705</v>
      </c>
      <c r="D2965" s="1">
        <v>46058</v>
      </c>
      <c r="E2965" t="s">
        <v>2706</v>
      </c>
      <c r="F2965">
        <v>9</v>
      </c>
      <c r="G2965">
        <v>236</v>
      </c>
      <c r="H2965" t="str">
        <f>VLOOKUP(G2965,[1]OPERADORES!$A:$B,2,0)</f>
        <v>DANIEL</v>
      </c>
      <c r="I2965" t="s">
        <v>602</v>
      </c>
      <c r="J2965" t="s">
        <v>1328</v>
      </c>
      <c r="K2965" t="s">
        <v>2707</v>
      </c>
      <c r="L2965">
        <v>24241</v>
      </c>
      <c r="M2965" t="s">
        <v>233</v>
      </c>
      <c r="O2965" t="s">
        <v>11</v>
      </c>
      <c r="P2965">
        <v>6102</v>
      </c>
      <c r="Q2965">
        <v>70</v>
      </c>
      <c r="R2965">
        <v>12.2</v>
      </c>
      <c r="S2965">
        <v>854</v>
      </c>
      <c r="T2965">
        <v>648.20000000000005</v>
      </c>
      <c r="U2965">
        <v>24.1</v>
      </c>
      <c r="V2965" t="str">
        <f>VLOOKUP(L2965,'[2]tabela de preços'!$A:$D,4,0)</f>
        <v>ADERE</v>
      </c>
      <c r="W2965" t="str">
        <f>VLOOKUP(L2965,'[2]tabela de preços'!$A:$F,6,0)</f>
        <v>FITA AUTOMOTIVA</v>
      </c>
      <c r="X2965" t="str">
        <f>VLOOKUP(L2965,'[2]tabela de preços'!$A:$G,7,0)</f>
        <v>AUTOMOTIVO</v>
      </c>
    </row>
    <row r="2966" spans="1:24" x14ac:dyDescent="0.3">
      <c r="A2966" t="s">
        <v>1847</v>
      </c>
      <c r="B2966" t="s">
        <v>1848</v>
      </c>
      <c r="C2966" t="s">
        <v>2708</v>
      </c>
      <c r="D2966" s="1">
        <v>46057</v>
      </c>
      <c r="E2966" t="s">
        <v>2709</v>
      </c>
      <c r="F2966">
        <v>9</v>
      </c>
      <c r="G2966">
        <v>236</v>
      </c>
      <c r="H2966" t="str">
        <f>VLOOKUP(G2966,[1]OPERADORES!$A:$B,2,0)</f>
        <v>DANIEL</v>
      </c>
      <c r="I2966" t="s">
        <v>21</v>
      </c>
      <c r="J2966" t="s">
        <v>357</v>
      </c>
      <c r="K2966" t="s">
        <v>1851</v>
      </c>
      <c r="L2966">
        <v>20052</v>
      </c>
      <c r="M2966" t="s">
        <v>795</v>
      </c>
      <c r="O2966" t="s">
        <v>11</v>
      </c>
      <c r="P2966">
        <v>5403</v>
      </c>
      <c r="Q2966">
        <v>1</v>
      </c>
      <c r="R2966">
        <v>58.34</v>
      </c>
      <c r="S2966">
        <v>58.34</v>
      </c>
      <c r="T2966">
        <v>41.82</v>
      </c>
      <c r="U2966">
        <v>28.32</v>
      </c>
      <c r="V2966" t="str">
        <f>VLOOKUP(L2966,'[2]tabela de preços'!$A:$D,4,0)</f>
        <v>SHERWIN WILLIAMS</v>
      </c>
      <c r="W2966" t="str">
        <f>VLOOKUP(L2966,'[2]tabela de preços'!$A:$F,6,0)</f>
        <v>CATALISADORES INDIVIDUAS</v>
      </c>
      <c r="X2966" t="str">
        <f>VLOOKUP(L2966,'[2]tabela de preços'!$A:$G,7,0)</f>
        <v>AUTOMOTIVO</v>
      </c>
    </row>
    <row r="2967" spans="1:24" x14ac:dyDescent="0.3">
      <c r="A2967" t="s">
        <v>1847</v>
      </c>
      <c r="B2967" t="s">
        <v>1848</v>
      </c>
      <c r="C2967" t="s">
        <v>2708</v>
      </c>
      <c r="D2967" s="1">
        <v>46057</v>
      </c>
      <c r="E2967" t="s">
        <v>2709</v>
      </c>
      <c r="F2967">
        <v>9</v>
      </c>
      <c r="G2967">
        <v>236</v>
      </c>
      <c r="H2967" t="str">
        <f>VLOOKUP(G2967,[1]OPERADORES!$A:$B,2,0)</f>
        <v>DANIEL</v>
      </c>
      <c r="I2967" t="s">
        <v>21</v>
      </c>
      <c r="J2967" t="s">
        <v>357</v>
      </c>
      <c r="K2967" t="s">
        <v>1851</v>
      </c>
      <c r="L2967">
        <v>22233</v>
      </c>
      <c r="M2967" t="s">
        <v>184</v>
      </c>
      <c r="O2967" t="s">
        <v>11</v>
      </c>
      <c r="P2967">
        <v>5102</v>
      </c>
      <c r="Q2967">
        <v>3</v>
      </c>
      <c r="R2967">
        <v>31.94</v>
      </c>
      <c r="S2967">
        <v>95.82</v>
      </c>
      <c r="T2967">
        <v>68.7</v>
      </c>
      <c r="U2967">
        <v>28.3</v>
      </c>
      <c r="V2967" t="str">
        <f>VLOOKUP(L2967,'[2]tabela de preços'!$A:$D,4,0)</f>
        <v>3M</v>
      </c>
      <c r="W2967" t="str">
        <f>VLOOKUP(L2967,'[2]tabela de preços'!$A:$F,6,0)</f>
        <v>FITA DUPLA FACE</v>
      </c>
      <c r="X2967" t="str">
        <f>VLOOKUP(L2967,'[2]tabela de preços'!$A:$G,7,0)</f>
        <v>AUTOMOTIVO</v>
      </c>
    </row>
    <row r="2968" spans="1:24" x14ac:dyDescent="0.3">
      <c r="A2968" t="s">
        <v>1847</v>
      </c>
      <c r="B2968" t="s">
        <v>1848</v>
      </c>
      <c r="C2968" t="s">
        <v>2710</v>
      </c>
      <c r="D2968" s="1">
        <v>46058</v>
      </c>
      <c r="E2968" t="s">
        <v>2711</v>
      </c>
      <c r="F2968">
        <v>9</v>
      </c>
      <c r="G2968">
        <v>236</v>
      </c>
      <c r="H2968" t="str">
        <f>VLOOKUP(G2968,[1]OPERADORES!$A:$B,2,0)</f>
        <v>DANIEL</v>
      </c>
      <c r="I2968" t="s">
        <v>21</v>
      </c>
      <c r="J2968" t="s">
        <v>357</v>
      </c>
      <c r="K2968" t="s">
        <v>1851</v>
      </c>
      <c r="L2968">
        <v>21067</v>
      </c>
      <c r="M2968" t="s">
        <v>640</v>
      </c>
      <c r="O2968" t="s">
        <v>11</v>
      </c>
      <c r="P2968">
        <v>5102</v>
      </c>
      <c r="Q2968">
        <v>6</v>
      </c>
      <c r="R2968">
        <v>38.200000000000003</v>
      </c>
      <c r="S2968">
        <v>229.2</v>
      </c>
      <c r="T2968">
        <v>164.28</v>
      </c>
      <c r="U2968">
        <v>28.32</v>
      </c>
      <c r="V2968" t="str">
        <f>VLOOKUP(L2968,'[2]tabela de preços'!$A:$D,4,0)</f>
        <v>SIKKENS</v>
      </c>
      <c r="W2968" t="str">
        <f>VLOOKUP(L2968,'[2]tabela de preços'!$A:$F,6,0)</f>
        <v>DILUENTE</v>
      </c>
      <c r="X2968" t="str">
        <f>VLOOKUP(L2968,'[2]tabela de preços'!$A:$G,7,0)</f>
        <v>AUTOMOTIVO</v>
      </c>
    </row>
    <row r="2969" spans="1:24" x14ac:dyDescent="0.3">
      <c r="A2969" t="s">
        <v>2843</v>
      </c>
      <c r="C2969" t="s">
        <v>2844</v>
      </c>
      <c r="D2969" s="1">
        <v>46062</v>
      </c>
      <c r="E2969" t="s">
        <v>2845</v>
      </c>
      <c r="F2969">
        <v>9</v>
      </c>
      <c r="G2969">
        <v>236</v>
      </c>
      <c r="H2969" t="str">
        <f>VLOOKUP(G2969,[1]OPERADORES!$A:$B,2,0)</f>
        <v>DANIEL</v>
      </c>
      <c r="I2969" t="s">
        <v>715</v>
      </c>
      <c r="J2969" t="s">
        <v>2059</v>
      </c>
      <c r="K2969" t="s">
        <v>2846</v>
      </c>
      <c r="L2969">
        <v>22173</v>
      </c>
      <c r="M2969" t="s">
        <v>194</v>
      </c>
      <c r="O2969" t="s">
        <v>11</v>
      </c>
      <c r="P2969">
        <v>6102</v>
      </c>
      <c r="Q2969">
        <v>192</v>
      </c>
      <c r="R2969">
        <v>4.74</v>
      </c>
      <c r="S2969">
        <v>910.08</v>
      </c>
      <c r="T2969">
        <v>668.16</v>
      </c>
      <c r="U2969">
        <v>26.58</v>
      </c>
      <c r="V2969" t="str">
        <f>VLOOKUP(L2969,'[2]tabela de preços'!$A:$D,4,0)</f>
        <v>3M</v>
      </c>
      <c r="W2969" t="str">
        <f>VLOOKUP(L2969,'[2]tabela de preços'!$A:$F,6,0)</f>
        <v>FITA AUTOMOTIVA</v>
      </c>
      <c r="X2969" t="str">
        <f>VLOOKUP(L2969,'[2]tabela de preços'!$A:$G,7,0)</f>
        <v>AUTOMOTIVO</v>
      </c>
    </row>
    <row r="2970" spans="1:24" x14ac:dyDescent="0.3">
      <c r="A2970" t="s">
        <v>2843</v>
      </c>
      <c r="C2970" t="s">
        <v>2844</v>
      </c>
      <c r="D2970" s="1">
        <v>46062</v>
      </c>
      <c r="E2970" t="s">
        <v>2845</v>
      </c>
      <c r="F2970">
        <v>9</v>
      </c>
      <c r="G2970">
        <v>236</v>
      </c>
      <c r="H2970" t="str">
        <f>VLOOKUP(G2970,[1]OPERADORES!$A:$B,2,0)</f>
        <v>DANIEL</v>
      </c>
      <c r="I2970" t="s">
        <v>715</v>
      </c>
      <c r="J2970" t="s">
        <v>2059</v>
      </c>
      <c r="K2970" t="s">
        <v>2846</v>
      </c>
      <c r="L2970">
        <v>20239</v>
      </c>
      <c r="M2970" t="s">
        <v>2847</v>
      </c>
      <c r="O2970" t="s">
        <v>11</v>
      </c>
      <c r="P2970">
        <v>6102</v>
      </c>
      <c r="Q2970">
        <v>24</v>
      </c>
      <c r="R2970">
        <v>28.27</v>
      </c>
      <c r="S2970">
        <v>678.48</v>
      </c>
      <c r="T2970">
        <v>497.52</v>
      </c>
      <c r="U2970">
        <v>26.67</v>
      </c>
      <c r="V2970" t="str">
        <f>VLOOKUP(L2970,'[2]tabela de preços'!$A:$D,4,0)</f>
        <v>SIKA</v>
      </c>
      <c r="W2970" t="str">
        <f>VLOOKUP(L2970,'[2]tabela de preços'!$A:$F,6,0)</f>
        <v>VEDADORES / SELANTES</v>
      </c>
      <c r="X2970" t="str">
        <f>VLOOKUP(L2970,'[2]tabela de preços'!$A:$G,7,0)</f>
        <v>AUTOMOTIVO</v>
      </c>
    </row>
    <row r="2971" spans="1:24" x14ac:dyDescent="0.3">
      <c r="A2971" t="s">
        <v>1905</v>
      </c>
      <c r="C2971" t="s">
        <v>2545</v>
      </c>
      <c r="D2971" s="1">
        <v>46056</v>
      </c>
      <c r="E2971" t="s">
        <v>2546</v>
      </c>
      <c r="F2971">
        <v>9</v>
      </c>
      <c r="G2971">
        <v>174</v>
      </c>
      <c r="H2971" t="str">
        <f>VLOOKUP(G2971,[1]OPERADORES!$A:$B,2,0)</f>
        <v>MIRIÃ LOBATO RODRIGUES</v>
      </c>
      <c r="I2971" t="s">
        <v>168</v>
      </c>
      <c r="J2971" t="s">
        <v>169</v>
      </c>
      <c r="K2971" t="s">
        <v>1908</v>
      </c>
      <c r="L2971">
        <v>84333</v>
      </c>
      <c r="M2971" t="s">
        <v>1025</v>
      </c>
      <c r="O2971" t="s">
        <v>11</v>
      </c>
      <c r="P2971">
        <v>6403</v>
      </c>
      <c r="Q2971">
        <v>4</v>
      </c>
      <c r="R2971">
        <v>59.98</v>
      </c>
      <c r="S2971">
        <v>239.92</v>
      </c>
      <c r="T2971">
        <v>188.16</v>
      </c>
      <c r="U2971">
        <v>21.57</v>
      </c>
      <c r="V2971" t="str">
        <f>VLOOKUP(L2971,'[2]tabela de preços'!$A:$D,4,0)</f>
        <v>BRASILUX</v>
      </c>
      <c r="W2971" t="str">
        <f>VLOOKUP(L2971,'[2]tabela de preços'!$A:$F,6,0)</f>
        <v>ESMALTES</v>
      </c>
      <c r="X2971" t="str">
        <f>VLOOKUP(L2971,'[2]tabela de preços'!$A:$G,7,0)</f>
        <v>INDUSTRIAL</v>
      </c>
    </row>
    <row r="2972" spans="1:24" x14ac:dyDescent="0.3">
      <c r="A2972" t="s">
        <v>1905</v>
      </c>
      <c r="C2972" t="s">
        <v>2545</v>
      </c>
      <c r="D2972" s="1">
        <v>46056</v>
      </c>
      <c r="E2972" t="s">
        <v>2546</v>
      </c>
      <c r="F2972">
        <v>9</v>
      </c>
      <c r="G2972">
        <v>174</v>
      </c>
      <c r="H2972" t="str">
        <f>VLOOKUP(G2972,[1]OPERADORES!$A:$B,2,0)</f>
        <v>MIRIÃ LOBATO RODRIGUES</v>
      </c>
      <c r="I2972" t="s">
        <v>168</v>
      </c>
      <c r="J2972" t="s">
        <v>169</v>
      </c>
      <c r="K2972" t="s">
        <v>1908</v>
      </c>
      <c r="L2972">
        <v>84334</v>
      </c>
      <c r="M2972" t="s">
        <v>895</v>
      </c>
      <c r="O2972" t="s">
        <v>11</v>
      </c>
      <c r="P2972">
        <v>6403</v>
      </c>
      <c r="Q2972">
        <v>4</v>
      </c>
      <c r="R2972">
        <v>59.98</v>
      </c>
      <c r="S2972">
        <v>239.92</v>
      </c>
      <c r="T2972">
        <v>190.64</v>
      </c>
      <c r="U2972">
        <v>20.54</v>
      </c>
      <c r="V2972" t="str">
        <f>VLOOKUP(L2972,'[2]tabela de preços'!$A:$D,4,0)</f>
        <v>BRASILUX</v>
      </c>
      <c r="W2972" t="str">
        <f>VLOOKUP(L2972,'[2]tabela de preços'!$A:$F,6,0)</f>
        <v>ESMALTES</v>
      </c>
      <c r="X2972" t="str">
        <f>VLOOKUP(L2972,'[2]tabela de preços'!$A:$G,7,0)</f>
        <v>INDUSTRIAL</v>
      </c>
    </row>
    <row r="2973" spans="1:24" x14ac:dyDescent="0.3">
      <c r="A2973" t="s">
        <v>1905</v>
      </c>
      <c r="C2973" t="s">
        <v>2545</v>
      </c>
      <c r="D2973" s="1">
        <v>46056</v>
      </c>
      <c r="E2973" t="s">
        <v>2546</v>
      </c>
      <c r="F2973">
        <v>9</v>
      </c>
      <c r="G2973">
        <v>174</v>
      </c>
      <c r="H2973" t="str">
        <f>VLOOKUP(G2973,[1]OPERADORES!$A:$B,2,0)</f>
        <v>MIRIÃ LOBATO RODRIGUES</v>
      </c>
      <c r="I2973" t="s">
        <v>168</v>
      </c>
      <c r="J2973" t="s">
        <v>169</v>
      </c>
      <c r="K2973" t="s">
        <v>1908</v>
      </c>
      <c r="L2973">
        <v>84346</v>
      </c>
      <c r="M2973" t="s">
        <v>1909</v>
      </c>
      <c r="O2973" t="s">
        <v>11</v>
      </c>
      <c r="P2973">
        <v>6403</v>
      </c>
      <c r="Q2973">
        <v>4</v>
      </c>
      <c r="R2973">
        <v>59.98</v>
      </c>
      <c r="S2973">
        <v>239.92</v>
      </c>
      <c r="T2973">
        <v>185.68</v>
      </c>
      <c r="U2973">
        <v>22.61</v>
      </c>
      <c r="V2973" t="str">
        <f>VLOOKUP(L2973,'[2]tabela de preços'!$A:$D,4,0)</f>
        <v>BRASILUX</v>
      </c>
      <c r="W2973" t="str">
        <f>VLOOKUP(L2973,'[2]tabela de preços'!$A:$F,6,0)</f>
        <v>ESMALTES</v>
      </c>
      <c r="X2973" t="str">
        <f>VLOOKUP(L2973,'[2]tabela de preços'!$A:$G,7,0)</f>
        <v>INDUSTRIAL</v>
      </c>
    </row>
    <row r="2974" spans="1:24" x14ac:dyDescent="0.3">
      <c r="A2974" t="s">
        <v>1905</v>
      </c>
      <c r="C2974" t="s">
        <v>2545</v>
      </c>
      <c r="D2974" s="1">
        <v>46056</v>
      </c>
      <c r="E2974" t="s">
        <v>2546</v>
      </c>
      <c r="F2974">
        <v>9</v>
      </c>
      <c r="G2974">
        <v>174</v>
      </c>
      <c r="H2974" t="str">
        <f>VLOOKUP(G2974,[1]OPERADORES!$A:$B,2,0)</f>
        <v>MIRIÃ LOBATO RODRIGUES</v>
      </c>
      <c r="I2974" t="s">
        <v>168</v>
      </c>
      <c r="J2974" t="s">
        <v>169</v>
      </c>
      <c r="K2974" t="s">
        <v>1908</v>
      </c>
      <c r="L2974">
        <v>84344</v>
      </c>
      <c r="M2974" t="s">
        <v>1000</v>
      </c>
      <c r="O2974" t="s">
        <v>11</v>
      </c>
      <c r="P2974">
        <v>6403</v>
      </c>
      <c r="Q2974">
        <v>1</v>
      </c>
      <c r="R2974">
        <v>59.98</v>
      </c>
      <c r="S2974">
        <v>59.98</v>
      </c>
      <c r="T2974">
        <v>49.66</v>
      </c>
      <c r="U2974">
        <v>17.21</v>
      </c>
      <c r="V2974" t="str">
        <f>VLOOKUP(L2974,'[2]tabela de preços'!$A:$D,4,0)</f>
        <v>BRASILUX</v>
      </c>
      <c r="W2974" t="str">
        <f>VLOOKUP(L2974,'[2]tabela de preços'!$A:$F,6,0)</f>
        <v>ESMALTES</v>
      </c>
      <c r="X2974" t="str">
        <f>VLOOKUP(L2974,'[2]tabela de preços'!$A:$G,7,0)</f>
        <v>INDUSTRIAL</v>
      </c>
    </row>
    <row r="2975" spans="1:24" x14ac:dyDescent="0.3">
      <c r="A2975" t="s">
        <v>2796</v>
      </c>
      <c r="C2975" t="s">
        <v>2797</v>
      </c>
      <c r="D2975" s="1">
        <v>46059</v>
      </c>
      <c r="E2975" t="s">
        <v>2798</v>
      </c>
      <c r="F2975">
        <v>9</v>
      </c>
      <c r="G2975">
        <v>236</v>
      </c>
      <c r="H2975" t="str">
        <f>VLOOKUP(G2975,[1]OPERADORES!$A:$B,2,0)</f>
        <v>DANIEL</v>
      </c>
      <c r="I2975" t="s">
        <v>21</v>
      </c>
      <c r="J2975" t="s">
        <v>211</v>
      </c>
      <c r="K2975" t="s">
        <v>2799</v>
      </c>
      <c r="L2975">
        <v>10298</v>
      </c>
      <c r="M2975" t="s">
        <v>85</v>
      </c>
      <c r="O2975" t="s">
        <v>11</v>
      </c>
      <c r="P2975">
        <v>5102</v>
      </c>
      <c r="Q2975">
        <v>1</v>
      </c>
      <c r="R2975">
        <v>56.89</v>
      </c>
      <c r="S2975">
        <v>56.89</v>
      </c>
      <c r="T2975">
        <v>47.38</v>
      </c>
      <c r="U2975">
        <v>16.72</v>
      </c>
      <c r="V2975" t="str">
        <f>VLOOKUP(L2975,'[2]tabela de preços'!$A:$D,4,0)</f>
        <v>ANJO</v>
      </c>
      <c r="W2975" t="str">
        <f>VLOOKUP(L2975,'[2]tabela de preços'!$A:$F,6,0)</f>
        <v>THINNER DE LIMPEZA</v>
      </c>
      <c r="X2975" t="str">
        <f>VLOOKUP(L2975,'[2]tabela de preços'!$A:$G,7,0)</f>
        <v>THINNER</v>
      </c>
    </row>
    <row r="2976" spans="1:24" x14ac:dyDescent="0.3">
      <c r="A2976" t="s">
        <v>2796</v>
      </c>
      <c r="C2976" t="s">
        <v>2797</v>
      </c>
      <c r="D2976" s="1">
        <v>46059</v>
      </c>
      <c r="E2976" t="s">
        <v>2798</v>
      </c>
      <c r="F2976">
        <v>9</v>
      </c>
      <c r="G2976">
        <v>236</v>
      </c>
      <c r="H2976" t="str">
        <f>VLOOKUP(G2976,[1]OPERADORES!$A:$B,2,0)</f>
        <v>DANIEL</v>
      </c>
      <c r="I2976" t="s">
        <v>21</v>
      </c>
      <c r="J2976" t="s">
        <v>211</v>
      </c>
      <c r="K2976" t="s">
        <v>2799</v>
      </c>
      <c r="L2976">
        <v>84560</v>
      </c>
      <c r="M2976" t="s">
        <v>118</v>
      </c>
      <c r="O2976" t="s">
        <v>11</v>
      </c>
      <c r="P2976">
        <v>5102</v>
      </c>
      <c r="Q2976">
        <v>1</v>
      </c>
      <c r="R2976">
        <v>47.89</v>
      </c>
      <c r="S2976">
        <v>47.89</v>
      </c>
      <c r="T2976">
        <v>39.159999999999997</v>
      </c>
      <c r="U2976">
        <v>18.23</v>
      </c>
      <c r="V2976" t="str">
        <f>VLOOKUP(L2976,'[2]tabela de preços'!$A:$D,4,0)</f>
        <v>BRASILUX</v>
      </c>
      <c r="W2976" t="str">
        <f>VLOOKUP(L2976,'[2]tabela de preços'!$A:$F,6,0)</f>
        <v>THINNER DE LIMPEZA</v>
      </c>
      <c r="X2976" t="str">
        <f>VLOOKUP(L2976,'[2]tabela de preços'!$A:$G,7,0)</f>
        <v>THINNER</v>
      </c>
    </row>
    <row r="2977" spans="1:24" x14ac:dyDescent="0.3">
      <c r="A2977" t="s">
        <v>1918</v>
      </c>
      <c r="C2977" t="s">
        <v>2712</v>
      </c>
      <c r="D2977" s="1">
        <v>46058</v>
      </c>
      <c r="E2977" t="s">
        <v>2713</v>
      </c>
      <c r="F2977">
        <v>9</v>
      </c>
      <c r="G2977">
        <v>174</v>
      </c>
      <c r="H2977" t="str">
        <f>VLOOKUP(G2977,[1]OPERADORES!$A:$B,2,0)</f>
        <v>MIRIÃ LOBATO RODRIGUES</v>
      </c>
      <c r="I2977" t="s">
        <v>21</v>
      </c>
      <c r="J2977" t="s">
        <v>1235</v>
      </c>
      <c r="K2977" t="s">
        <v>1921</v>
      </c>
      <c r="L2977">
        <v>84560</v>
      </c>
      <c r="M2977" t="s">
        <v>118</v>
      </c>
      <c r="O2977" t="s">
        <v>11</v>
      </c>
      <c r="P2977">
        <v>5102</v>
      </c>
      <c r="Q2977">
        <v>2</v>
      </c>
      <c r="R2977">
        <v>47.89</v>
      </c>
      <c r="S2977">
        <v>95.78</v>
      </c>
      <c r="T2977">
        <v>78.319999999999993</v>
      </c>
      <c r="U2977">
        <v>18.23</v>
      </c>
      <c r="V2977" t="str">
        <f>VLOOKUP(L2977,'[2]tabela de preços'!$A:$D,4,0)</f>
        <v>BRASILUX</v>
      </c>
      <c r="W2977" t="str">
        <f>VLOOKUP(L2977,'[2]tabela de preços'!$A:$F,6,0)</f>
        <v>THINNER DE LIMPEZA</v>
      </c>
      <c r="X2977" t="str">
        <f>VLOOKUP(L2977,'[2]tabela de preços'!$A:$G,7,0)</f>
        <v>THINNER</v>
      </c>
    </row>
    <row r="2978" spans="1:24" x14ac:dyDescent="0.3">
      <c r="A2978" t="s">
        <v>2547</v>
      </c>
      <c r="B2978" t="s">
        <v>2548</v>
      </c>
      <c r="C2978" t="s">
        <v>2549</v>
      </c>
      <c r="D2978" s="1">
        <v>46056</v>
      </c>
      <c r="E2978" t="s">
        <v>2550</v>
      </c>
      <c r="F2978">
        <v>9</v>
      </c>
      <c r="G2978">
        <v>145</v>
      </c>
      <c r="H2978" t="str">
        <f>VLOOKUP(G2978,[1]OPERADORES!$A:$B,2,0)</f>
        <v xml:space="preserve">FABRICIA </v>
      </c>
      <c r="I2978" t="s">
        <v>2551</v>
      </c>
      <c r="J2978" t="s">
        <v>2552</v>
      </c>
      <c r="K2978" t="s">
        <v>2553</v>
      </c>
      <c r="L2978">
        <v>84218</v>
      </c>
      <c r="M2978" t="s">
        <v>879</v>
      </c>
      <c r="O2978" t="s">
        <v>11</v>
      </c>
      <c r="P2978">
        <v>5403</v>
      </c>
      <c r="Q2978">
        <v>3</v>
      </c>
      <c r="R2978">
        <v>57.11</v>
      </c>
      <c r="S2978">
        <v>171.33</v>
      </c>
      <c r="T2978">
        <v>130.05000000000001</v>
      </c>
      <c r="U2978">
        <v>24.09</v>
      </c>
      <c r="V2978" t="str">
        <f>VLOOKUP(L2978,'[2]tabela de preços'!$A:$D,4,0)</f>
        <v>BRASILUX</v>
      </c>
      <c r="W2978" t="str">
        <f>VLOOKUP(L2978,'[2]tabela de preços'!$A:$F,6,0)</f>
        <v>ESMALTES</v>
      </c>
      <c r="X2978" t="str">
        <f>VLOOKUP(L2978,'[2]tabela de preços'!$A:$G,7,0)</f>
        <v>INDUSTRIAL</v>
      </c>
    </row>
    <row r="2979" spans="1:24" x14ac:dyDescent="0.3">
      <c r="A2979" t="s">
        <v>2547</v>
      </c>
      <c r="B2979" t="s">
        <v>2548</v>
      </c>
      <c r="C2979" t="s">
        <v>2549</v>
      </c>
      <c r="D2979" s="1">
        <v>46056</v>
      </c>
      <c r="E2979" t="s">
        <v>2550</v>
      </c>
      <c r="F2979">
        <v>9</v>
      </c>
      <c r="G2979">
        <v>145</v>
      </c>
      <c r="H2979" t="str">
        <f>VLOOKUP(G2979,[1]OPERADORES!$A:$B,2,0)</f>
        <v xml:space="preserve">FABRICIA </v>
      </c>
      <c r="I2979" t="s">
        <v>2551</v>
      </c>
      <c r="J2979" t="s">
        <v>2552</v>
      </c>
      <c r="K2979" t="s">
        <v>2553</v>
      </c>
      <c r="L2979">
        <v>84181</v>
      </c>
      <c r="M2979" t="s">
        <v>2554</v>
      </c>
      <c r="O2979" t="s">
        <v>11</v>
      </c>
      <c r="P2979">
        <v>5403</v>
      </c>
      <c r="Q2979">
        <v>3</v>
      </c>
      <c r="R2979">
        <v>103.29</v>
      </c>
      <c r="S2979">
        <v>309.87</v>
      </c>
      <c r="T2979">
        <v>235.2</v>
      </c>
      <c r="U2979">
        <v>24.1</v>
      </c>
      <c r="V2979" t="str">
        <f>VLOOKUP(L2979,'[2]tabela de preços'!$A:$D,4,0)</f>
        <v>BRASILUX</v>
      </c>
      <c r="W2979" t="str">
        <f>VLOOKUP(L2979,'[2]tabela de preços'!$A:$F,6,0)</f>
        <v>ESMALTES</v>
      </c>
      <c r="X2979" t="str">
        <f>VLOOKUP(L2979,'[2]tabela de preços'!$A:$G,7,0)</f>
        <v>INDUSTRIAL</v>
      </c>
    </row>
    <row r="2980" spans="1:24" x14ac:dyDescent="0.3">
      <c r="A2980" t="s">
        <v>1947</v>
      </c>
      <c r="B2980" t="s">
        <v>1948</v>
      </c>
      <c r="C2980" t="s">
        <v>2555</v>
      </c>
      <c r="D2980" s="1">
        <v>46056</v>
      </c>
      <c r="E2980" t="s">
        <v>2556</v>
      </c>
      <c r="F2980">
        <v>9</v>
      </c>
      <c r="G2980">
        <v>236</v>
      </c>
      <c r="H2980" t="str">
        <f>VLOOKUP(G2980,[1]OPERADORES!$A:$B,2,0)</f>
        <v>DANIEL</v>
      </c>
      <c r="I2980" t="s">
        <v>21</v>
      </c>
      <c r="J2980" t="s">
        <v>1951</v>
      </c>
      <c r="K2980" t="s">
        <v>1952</v>
      </c>
      <c r="L2980">
        <v>84419</v>
      </c>
      <c r="M2980" t="s">
        <v>2557</v>
      </c>
      <c r="O2980" t="s">
        <v>11</v>
      </c>
      <c r="P2980">
        <v>5102</v>
      </c>
      <c r="Q2980">
        <v>1</v>
      </c>
      <c r="R2980">
        <v>47.66</v>
      </c>
      <c r="S2980">
        <v>47.66</v>
      </c>
      <c r="T2980">
        <v>34.94</v>
      </c>
      <c r="U2980">
        <v>26.69</v>
      </c>
      <c r="V2980" t="str">
        <f>VLOOKUP(L2980,'[2]tabela de preços'!$A:$D,4,0)</f>
        <v>BRASPLASTICOS</v>
      </c>
      <c r="W2980" t="str">
        <f>VLOOKUP(L2980,'[2]tabela de preços'!$A:$F,6,0)</f>
        <v xml:space="preserve">MASCARAMENTO </v>
      </c>
      <c r="X2980" t="str">
        <f>VLOOKUP(L2980,'[2]tabela de preços'!$A:$G,7,0)</f>
        <v>AUTOMOTIVO</v>
      </c>
    </row>
    <row r="2981" spans="1:24" x14ac:dyDescent="0.3">
      <c r="A2981" t="s">
        <v>1979</v>
      </c>
      <c r="C2981" t="s">
        <v>2714</v>
      </c>
      <c r="D2981" s="1">
        <v>46058</v>
      </c>
      <c r="F2981">
        <v>9</v>
      </c>
      <c r="G2981">
        <v>174</v>
      </c>
      <c r="H2981" t="str">
        <f>VLOOKUP(G2981,[1]OPERADORES!$A:$B,2,0)</f>
        <v>MIRIÃ LOBATO RODRIGUES</v>
      </c>
      <c r="I2981" t="s">
        <v>21</v>
      </c>
      <c r="J2981" t="s">
        <v>762</v>
      </c>
      <c r="K2981" t="s">
        <v>1982</v>
      </c>
      <c r="L2981">
        <v>85078</v>
      </c>
      <c r="M2981" t="s">
        <v>1048</v>
      </c>
      <c r="N2981" t="s">
        <v>2715</v>
      </c>
      <c r="O2981" t="s">
        <v>11</v>
      </c>
      <c r="P2981">
        <v>1411</v>
      </c>
      <c r="Q2981">
        <v>-4</v>
      </c>
      <c r="R2981">
        <v>105.32</v>
      </c>
      <c r="S2981">
        <v>-421.28</v>
      </c>
      <c r="T2981">
        <v>-319.72000000000003</v>
      </c>
      <c r="U2981">
        <v>24.11</v>
      </c>
      <c r="V2981" t="str">
        <f>VLOOKUP(L2981,'[2]tabela de preços'!$A:$D,4,0)</f>
        <v>BRASILUX</v>
      </c>
      <c r="W2981" t="str">
        <f>VLOOKUP(L2981,'[2]tabela de preços'!$A:$F,6,0)</f>
        <v>TINTAS LACA</v>
      </c>
      <c r="X2981" t="str">
        <f>VLOOKUP(L2981,'[2]tabela de preços'!$A:$G,7,0)</f>
        <v>AUTOMOTIVO</v>
      </c>
    </row>
    <row r="2982" spans="1:24" x14ac:dyDescent="0.3">
      <c r="A2982" t="s">
        <v>1979</v>
      </c>
      <c r="C2982" t="s">
        <v>2714</v>
      </c>
      <c r="D2982" s="1">
        <v>46058</v>
      </c>
      <c r="F2982">
        <v>9</v>
      </c>
      <c r="G2982">
        <v>174</v>
      </c>
      <c r="H2982" t="str">
        <f>VLOOKUP(G2982,[1]OPERADORES!$A:$B,2,0)</f>
        <v>MIRIÃ LOBATO RODRIGUES</v>
      </c>
      <c r="I2982" t="s">
        <v>21</v>
      </c>
      <c r="J2982" t="s">
        <v>762</v>
      </c>
      <c r="K2982" t="s">
        <v>1982</v>
      </c>
      <c r="L2982">
        <v>84557</v>
      </c>
      <c r="M2982" t="s">
        <v>116</v>
      </c>
      <c r="N2982" t="s">
        <v>2715</v>
      </c>
      <c r="O2982" t="s">
        <v>11</v>
      </c>
      <c r="P2982">
        <v>1202</v>
      </c>
      <c r="Q2982">
        <v>-4</v>
      </c>
      <c r="R2982">
        <v>17.489999999999998</v>
      </c>
      <c r="S2982">
        <v>-69.959999999999994</v>
      </c>
      <c r="T2982">
        <v>-55.84</v>
      </c>
      <c r="U2982">
        <v>20.18</v>
      </c>
      <c r="V2982" t="str">
        <f>VLOOKUP(L2982,'[2]tabela de preços'!$A:$D,4,0)</f>
        <v>BRASILUX</v>
      </c>
      <c r="W2982" t="str">
        <f>VLOOKUP(L2982,'[2]tabela de preços'!$A:$F,6,0)</f>
        <v>DILUENTE</v>
      </c>
      <c r="X2982" t="str">
        <f>VLOOKUP(L2982,'[2]tabela de preços'!$A:$G,7,0)</f>
        <v>AUTOMOTIVO</v>
      </c>
    </row>
    <row r="2983" spans="1:24" x14ac:dyDescent="0.3">
      <c r="A2983" t="s">
        <v>1979</v>
      </c>
      <c r="C2983" t="s">
        <v>2714</v>
      </c>
      <c r="D2983" s="1">
        <v>46058</v>
      </c>
      <c r="F2983">
        <v>9</v>
      </c>
      <c r="G2983">
        <v>174</v>
      </c>
      <c r="H2983" t="str">
        <f>VLOOKUP(G2983,[1]OPERADORES!$A:$B,2,0)</f>
        <v>MIRIÃ LOBATO RODRIGUES</v>
      </c>
      <c r="I2983" t="s">
        <v>21</v>
      </c>
      <c r="J2983" t="s">
        <v>762</v>
      </c>
      <c r="K2983" t="s">
        <v>1982</v>
      </c>
      <c r="L2983">
        <v>84499</v>
      </c>
      <c r="M2983" t="s">
        <v>534</v>
      </c>
      <c r="N2983" t="s">
        <v>2715</v>
      </c>
      <c r="O2983" t="s">
        <v>11</v>
      </c>
      <c r="P2983">
        <v>1202</v>
      </c>
      <c r="Q2983">
        <v>-2</v>
      </c>
      <c r="R2983">
        <v>176.61</v>
      </c>
      <c r="S2983">
        <v>-353.22</v>
      </c>
      <c r="T2983">
        <v>-268.10000000000002</v>
      </c>
      <c r="U2983">
        <v>24.1</v>
      </c>
      <c r="V2983" t="str">
        <f>VLOOKUP(L2983,'[2]tabela de preços'!$A:$D,4,0)</f>
        <v>BRASILUX</v>
      </c>
      <c r="W2983" t="str">
        <f>VLOOKUP(L2983,'[2]tabela de preços'!$A:$F,6,0)</f>
        <v>THINNER DE LIMPEZA</v>
      </c>
      <c r="X2983" t="str">
        <f>VLOOKUP(L2983,'[2]tabela de preços'!$A:$G,7,0)</f>
        <v>THINNER</v>
      </c>
    </row>
    <row r="2984" spans="1:24" x14ac:dyDescent="0.3">
      <c r="A2984" t="s">
        <v>1979</v>
      </c>
      <c r="C2984" t="s">
        <v>2716</v>
      </c>
      <c r="D2984" s="1">
        <v>46058</v>
      </c>
      <c r="E2984" t="s">
        <v>2717</v>
      </c>
      <c r="F2984">
        <v>9</v>
      </c>
      <c r="G2984">
        <v>174</v>
      </c>
      <c r="H2984" t="str">
        <f>VLOOKUP(G2984,[1]OPERADORES!$A:$B,2,0)</f>
        <v>MIRIÃ LOBATO RODRIGUES</v>
      </c>
      <c r="I2984" t="s">
        <v>21</v>
      </c>
      <c r="J2984" t="s">
        <v>762</v>
      </c>
      <c r="K2984" t="s">
        <v>1982</v>
      </c>
      <c r="L2984">
        <v>85078</v>
      </c>
      <c r="M2984" t="s">
        <v>1048</v>
      </c>
      <c r="O2984" t="s">
        <v>11</v>
      </c>
      <c r="P2984">
        <v>5403</v>
      </c>
      <c r="Q2984">
        <v>4</v>
      </c>
      <c r="R2984">
        <v>107.79</v>
      </c>
      <c r="S2984">
        <v>431.16</v>
      </c>
      <c r="T2984">
        <v>319.72000000000003</v>
      </c>
      <c r="U2984">
        <v>25.85</v>
      </c>
      <c r="V2984" t="str">
        <f>VLOOKUP(L2984,'[2]tabela de preços'!$A:$D,4,0)</f>
        <v>BRASILUX</v>
      </c>
      <c r="W2984" t="str">
        <f>VLOOKUP(L2984,'[2]tabela de preços'!$A:$F,6,0)</f>
        <v>TINTAS LACA</v>
      </c>
      <c r="X2984" t="str">
        <f>VLOOKUP(L2984,'[2]tabela de preços'!$A:$G,7,0)</f>
        <v>AUTOMOTIVO</v>
      </c>
    </row>
    <row r="2985" spans="1:24" x14ac:dyDescent="0.3">
      <c r="A2985" t="s">
        <v>1979</v>
      </c>
      <c r="C2985" t="s">
        <v>2716</v>
      </c>
      <c r="D2985" s="1">
        <v>46058</v>
      </c>
      <c r="E2985" t="s">
        <v>2717</v>
      </c>
      <c r="F2985">
        <v>9</v>
      </c>
      <c r="G2985">
        <v>174</v>
      </c>
      <c r="H2985" t="str">
        <f>VLOOKUP(G2985,[1]OPERADORES!$A:$B,2,0)</f>
        <v>MIRIÃ LOBATO RODRIGUES</v>
      </c>
      <c r="I2985" t="s">
        <v>21</v>
      </c>
      <c r="J2985" t="s">
        <v>762</v>
      </c>
      <c r="K2985" t="s">
        <v>1982</v>
      </c>
      <c r="L2985">
        <v>84557</v>
      </c>
      <c r="M2985" t="s">
        <v>116</v>
      </c>
      <c r="O2985" t="s">
        <v>11</v>
      </c>
      <c r="P2985">
        <v>5102</v>
      </c>
      <c r="Q2985">
        <v>4</v>
      </c>
      <c r="R2985">
        <v>17.489999999999998</v>
      </c>
      <c r="S2985">
        <v>69.959999999999994</v>
      </c>
      <c r="T2985">
        <v>55.84</v>
      </c>
      <c r="U2985">
        <v>20.18</v>
      </c>
      <c r="V2985" t="str">
        <f>VLOOKUP(L2985,'[2]tabela de preços'!$A:$D,4,0)</f>
        <v>BRASILUX</v>
      </c>
      <c r="W2985" t="str">
        <f>VLOOKUP(L2985,'[2]tabela de preços'!$A:$F,6,0)</f>
        <v>DILUENTE</v>
      </c>
      <c r="X2985" t="str">
        <f>VLOOKUP(L2985,'[2]tabela de preços'!$A:$G,7,0)</f>
        <v>AUTOMOTIVO</v>
      </c>
    </row>
    <row r="2986" spans="1:24" x14ac:dyDescent="0.3">
      <c r="A2986" t="s">
        <v>1979</v>
      </c>
      <c r="C2986" t="s">
        <v>2716</v>
      </c>
      <c r="D2986" s="1">
        <v>46058</v>
      </c>
      <c r="E2986" t="s">
        <v>2717</v>
      </c>
      <c r="F2986">
        <v>9</v>
      </c>
      <c r="G2986">
        <v>174</v>
      </c>
      <c r="H2986" t="str">
        <f>VLOOKUP(G2986,[1]OPERADORES!$A:$B,2,0)</f>
        <v>MIRIÃ LOBATO RODRIGUES</v>
      </c>
      <c r="I2986" t="s">
        <v>21</v>
      </c>
      <c r="J2986" t="s">
        <v>762</v>
      </c>
      <c r="K2986" t="s">
        <v>1982</v>
      </c>
      <c r="L2986">
        <v>84499</v>
      </c>
      <c r="M2986" t="s">
        <v>534</v>
      </c>
      <c r="O2986" t="s">
        <v>11</v>
      </c>
      <c r="P2986">
        <v>5102</v>
      </c>
      <c r="Q2986">
        <v>2</v>
      </c>
      <c r="R2986">
        <v>176.61</v>
      </c>
      <c r="S2986">
        <v>353.22</v>
      </c>
      <c r="T2986">
        <v>268.10000000000002</v>
      </c>
      <c r="U2986">
        <v>24.1</v>
      </c>
      <c r="V2986" t="str">
        <f>VLOOKUP(L2986,'[2]tabela de preços'!$A:$D,4,0)</f>
        <v>BRASILUX</v>
      </c>
      <c r="W2986" t="str">
        <f>VLOOKUP(L2986,'[2]tabela de preços'!$A:$F,6,0)</f>
        <v>THINNER DE LIMPEZA</v>
      </c>
      <c r="X2986" t="str">
        <f>VLOOKUP(L2986,'[2]tabela de preços'!$A:$G,7,0)</f>
        <v>THINNER</v>
      </c>
    </row>
    <row r="2987" spans="1:24" x14ac:dyDescent="0.3">
      <c r="A2987" t="s">
        <v>1979</v>
      </c>
      <c r="C2987" t="s">
        <v>2800</v>
      </c>
      <c r="D2987" s="1">
        <v>46059</v>
      </c>
      <c r="E2987" t="s">
        <v>2801</v>
      </c>
      <c r="F2987">
        <v>9</v>
      </c>
      <c r="G2987">
        <v>174</v>
      </c>
      <c r="H2987" t="str">
        <f>VLOOKUP(G2987,[1]OPERADORES!$A:$B,2,0)</f>
        <v>MIRIÃ LOBATO RODRIGUES</v>
      </c>
      <c r="I2987" t="s">
        <v>21</v>
      </c>
      <c r="J2987" t="s">
        <v>762</v>
      </c>
      <c r="K2987" t="s">
        <v>1982</v>
      </c>
      <c r="L2987">
        <v>84331</v>
      </c>
      <c r="M2987" t="s">
        <v>497</v>
      </c>
      <c r="O2987" t="s">
        <v>11</v>
      </c>
      <c r="P2987">
        <v>5403</v>
      </c>
      <c r="Q2987">
        <v>3</v>
      </c>
      <c r="R2987">
        <v>59.98</v>
      </c>
      <c r="S2987">
        <v>179.94</v>
      </c>
      <c r="T2987">
        <v>156</v>
      </c>
      <c r="U2987">
        <v>13.3</v>
      </c>
      <c r="V2987" t="str">
        <f>VLOOKUP(L2987,'[2]tabela de preços'!$A:$D,4,0)</f>
        <v>BRASILUX</v>
      </c>
      <c r="W2987" t="str">
        <f>VLOOKUP(L2987,'[2]tabela de preços'!$A:$F,6,0)</f>
        <v>ESMALTES</v>
      </c>
      <c r="X2987" t="str">
        <f>VLOOKUP(L2987,'[2]tabela de preços'!$A:$G,7,0)</f>
        <v>INDUSTRIAL</v>
      </c>
    </row>
    <row r="2988" spans="1:24" x14ac:dyDescent="0.3">
      <c r="A2988" t="s">
        <v>1979</v>
      </c>
      <c r="C2988" t="s">
        <v>2800</v>
      </c>
      <c r="D2988" s="1">
        <v>46059</v>
      </c>
      <c r="E2988" t="s">
        <v>2801</v>
      </c>
      <c r="F2988">
        <v>9</v>
      </c>
      <c r="G2988">
        <v>174</v>
      </c>
      <c r="H2988" t="str">
        <f>VLOOKUP(G2988,[1]OPERADORES!$A:$B,2,0)</f>
        <v>MIRIÃ LOBATO RODRIGUES</v>
      </c>
      <c r="I2988" t="s">
        <v>21</v>
      </c>
      <c r="J2988" t="s">
        <v>762</v>
      </c>
      <c r="K2988" t="s">
        <v>1982</v>
      </c>
      <c r="L2988">
        <v>84560</v>
      </c>
      <c r="M2988" t="s">
        <v>118</v>
      </c>
      <c r="O2988" t="s">
        <v>11</v>
      </c>
      <c r="P2988">
        <v>5102</v>
      </c>
      <c r="Q2988">
        <v>1</v>
      </c>
      <c r="R2988">
        <v>47.89</v>
      </c>
      <c r="S2988">
        <v>47.89</v>
      </c>
      <c r="T2988">
        <v>39.159999999999997</v>
      </c>
      <c r="U2988">
        <v>18.23</v>
      </c>
      <c r="V2988" t="str">
        <f>VLOOKUP(L2988,'[2]tabela de preços'!$A:$D,4,0)</f>
        <v>BRASILUX</v>
      </c>
      <c r="W2988" t="str">
        <f>VLOOKUP(L2988,'[2]tabela de preços'!$A:$F,6,0)</f>
        <v>THINNER DE LIMPEZA</v>
      </c>
      <c r="X2988" t="str">
        <f>VLOOKUP(L2988,'[2]tabela de preços'!$A:$G,7,0)</f>
        <v>THINNER</v>
      </c>
    </row>
    <row r="2989" spans="1:24" x14ac:dyDescent="0.3">
      <c r="A2989" t="s">
        <v>2001</v>
      </c>
      <c r="C2989" t="s">
        <v>2462</v>
      </c>
      <c r="D2989" s="1">
        <v>46055</v>
      </c>
      <c r="F2989">
        <v>9</v>
      </c>
      <c r="G2989">
        <v>174</v>
      </c>
      <c r="H2989" t="str">
        <f>VLOOKUP(G2989,[1]OPERADORES!$A:$B,2,0)</f>
        <v>MIRIÃ LOBATO RODRIGUES</v>
      </c>
      <c r="I2989" t="s">
        <v>21</v>
      </c>
      <c r="J2989" t="s">
        <v>1427</v>
      </c>
      <c r="K2989" t="s">
        <v>2004</v>
      </c>
      <c r="L2989">
        <v>85627</v>
      </c>
      <c r="M2989" t="s">
        <v>2016</v>
      </c>
      <c r="N2989" t="s">
        <v>2463</v>
      </c>
      <c r="O2989" t="s">
        <v>11</v>
      </c>
      <c r="P2989">
        <v>1411</v>
      </c>
      <c r="Q2989">
        <v>-2</v>
      </c>
      <c r="R2989">
        <v>387.58</v>
      </c>
      <c r="S2989">
        <v>-775.16</v>
      </c>
      <c r="T2989">
        <v>-588.36</v>
      </c>
      <c r="U2989">
        <v>24.1</v>
      </c>
      <c r="V2989" t="str">
        <f>VLOOKUP(L2989,'[2]tabela de preços'!$A:$D,4,0)</f>
        <v>BRASILUX</v>
      </c>
      <c r="W2989" t="str">
        <f>VLOOKUP(L2989,'[2]tabela de preços'!$A:$F,6,0)</f>
        <v>TINTA PARA PISO</v>
      </c>
      <c r="X2989" t="str">
        <f>VLOOKUP(L2989,'[2]tabela de preços'!$A:$G,7,0)</f>
        <v>IMOBILIÁRIO</v>
      </c>
    </row>
    <row r="2990" spans="1:24" x14ac:dyDescent="0.3">
      <c r="A2990" t="s">
        <v>2001</v>
      </c>
      <c r="C2990" t="s">
        <v>2462</v>
      </c>
      <c r="D2990" s="1">
        <v>46055</v>
      </c>
      <c r="F2990">
        <v>9</v>
      </c>
      <c r="G2990">
        <v>174</v>
      </c>
      <c r="H2990" t="str">
        <f>VLOOKUP(G2990,[1]OPERADORES!$A:$B,2,0)</f>
        <v>MIRIÃ LOBATO RODRIGUES</v>
      </c>
      <c r="I2990" t="s">
        <v>21</v>
      </c>
      <c r="J2990" t="s">
        <v>1427</v>
      </c>
      <c r="K2990" t="s">
        <v>2004</v>
      </c>
      <c r="L2990">
        <v>85627</v>
      </c>
      <c r="M2990" t="s">
        <v>2016</v>
      </c>
      <c r="N2990" t="s">
        <v>2464</v>
      </c>
      <c r="O2990" t="s">
        <v>11</v>
      </c>
      <c r="P2990">
        <v>1411</v>
      </c>
      <c r="Q2990">
        <v>-1</v>
      </c>
      <c r="R2990">
        <v>387.58</v>
      </c>
      <c r="S2990">
        <v>-387.58</v>
      </c>
      <c r="T2990">
        <v>-294.18</v>
      </c>
      <c r="U2990">
        <v>24.1</v>
      </c>
      <c r="V2990" t="str">
        <f>VLOOKUP(L2990,'[2]tabela de preços'!$A:$D,4,0)</f>
        <v>BRASILUX</v>
      </c>
      <c r="W2990" t="str">
        <f>VLOOKUP(L2990,'[2]tabela de preços'!$A:$F,6,0)</f>
        <v>TINTA PARA PISO</v>
      </c>
      <c r="X2990" t="str">
        <f>VLOOKUP(L2990,'[2]tabela de preços'!$A:$G,7,0)</f>
        <v>IMOBILIÁRIO</v>
      </c>
    </row>
    <row r="2991" spans="1:24" x14ac:dyDescent="0.3">
      <c r="A2991" t="s">
        <v>2001</v>
      </c>
      <c r="C2991" t="s">
        <v>2465</v>
      </c>
      <c r="D2991" s="1">
        <v>46055</v>
      </c>
      <c r="E2991" t="s">
        <v>2466</v>
      </c>
      <c r="F2991">
        <v>9</v>
      </c>
      <c r="G2991">
        <v>174</v>
      </c>
      <c r="H2991" t="str">
        <f>VLOOKUP(G2991,[1]OPERADORES!$A:$B,2,0)</f>
        <v>MIRIÃ LOBATO RODRIGUES</v>
      </c>
      <c r="I2991" t="s">
        <v>21</v>
      </c>
      <c r="J2991" t="s">
        <v>1427</v>
      </c>
      <c r="K2991" t="s">
        <v>2004</v>
      </c>
      <c r="L2991">
        <v>84894</v>
      </c>
      <c r="M2991" t="s">
        <v>1260</v>
      </c>
      <c r="O2991" t="s">
        <v>11</v>
      </c>
      <c r="P2991">
        <v>5102</v>
      </c>
      <c r="Q2991">
        <v>2</v>
      </c>
      <c r="R2991">
        <v>59.53</v>
      </c>
      <c r="S2991">
        <v>119.06</v>
      </c>
      <c r="T2991">
        <v>90.38</v>
      </c>
      <c r="U2991">
        <v>24.09</v>
      </c>
      <c r="V2991" t="str">
        <f>VLOOKUP(L2991,'[2]tabela de preços'!$A:$D,4,0)</f>
        <v>BRASILUX</v>
      </c>
      <c r="W2991" t="str">
        <f>VLOOKUP(L2991,'[2]tabela de preços'!$A:$F,6,0)</f>
        <v>DILUENTE</v>
      </c>
      <c r="X2991" t="str">
        <f>VLOOKUP(L2991,'[2]tabela de preços'!$A:$G,7,0)</f>
        <v>AUTOMOTIVO</v>
      </c>
    </row>
    <row r="2992" spans="1:24" x14ac:dyDescent="0.3">
      <c r="A2992" t="s">
        <v>2001</v>
      </c>
      <c r="C2992" t="s">
        <v>2465</v>
      </c>
      <c r="D2992" s="1">
        <v>46055</v>
      </c>
      <c r="E2992" t="s">
        <v>2466</v>
      </c>
      <c r="F2992">
        <v>9</v>
      </c>
      <c r="G2992">
        <v>174</v>
      </c>
      <c r="H2992" t="str">
        <f>VLOOKUP(G2992,[1]OPERADORES!$A:$B,2,0)</f>
        <v>MIRIÃ LOBATO RODRIGUES</v>
      </c>
      <c r="I2992" t="s">
        <v>21</v>
      </c>
      <c r="J2992" t="s">
        <v>1427</v>
      </c>
      <c r="K2992" t="s">
        <v>2004</v>
      </c>
      <c r="L2992">
        <v>84566</v>
      </c>
      <c r="M2992" t="s">
        <v>2016</v>
      </c>
      <c r="O2992" t="s">
        <v>11</v>
      </c>
      <c r="P2992">
        <v>5403</v>
      </c>
      <c r="Q2992">
        <v>3</v>
      </c>
      <c r="R2992">
        <v>479.04</v>
      </c>
      <c r="S2992" s="2">
        <v>1437.12</v>
      </c>
      <c r="T2992" s="2">
        <v>1090.8</v>
      </c>
      <c r="U2992">
        <v>24.1</v>
      </c>
      <c r="V2992" t="str">
        <f>VLOOKUP(L2992,'[2]tabela de preços'!$A:$D,4,0)</f>
        <v>BRASILUX</v>
      </c>
      <c r="W2992" t="str">
        <f>VLOOKUP(L2992,'[2]tabela de preços'!$A:$F,6,0)</f>
        <v>TINTA PARA PISO</v>
      </c>
      <c r="X2992" t="str">
        <f>VLOOKUP(L2992,'[2]tabela de preços'!$A:$G,7,0)</f>
        <v>IMOBILIÁRIO</v>
      </c>
    </row>
    <row r="2993" spans="1:24" x14ac:dyDescent="0.3">
      <c r="A2993" t="s">
        <v>2025</v>
      </c>
      <c r="C2993" t="s">
        <v>2558</v>
      </c>
      <c r="D2993" s="1">
        <v>46056</v>
      </c>
      <c r="E2993" t="s">
        <v>2559</v>
      </c>
      <c r="F2993">
        <v>9</v>
      </c>
      <c r="G2993">
        <v>174</v>
      </c>
      <c r="H2993" t="str">
        <f>VLOOKUP(G2993,[1]OPERADORES!$A:$B,2,0)</f>
        <v>MIRIÃ LOBATO RODRIGUES</v>
      </c>
      <c r="I2993" t="s">
        <v>21</v>
      </c>
      <c r="J2993" t="s">
        <v>762</v>
      </c>
      <c r="K2993" t="s">
        <v>2028</v>
      </c>
      <c r="L2993">
        <v>23295</v>
      </c>
      <c r="M2993" t="s">
        <v>789</v>
      </c>
      <c r="O2993" t="s">
        <v>11</v>
      </c>
      <c r="P2993">
        <v>5403</v>
      </c>
      <c r="Q2993">
        <v>1</v>
      </c>
      <c r="R2993">
        <v>288.70999999999998</v>
      </c>
      <c r="S2993">
        <v>288.70999999999998</v>
      </c>
      <c r="T2993">
        <v>194.09</v>
      </c>
      <c r="U2993">
        <v>32.770000000000003</v>
      </c>
      <c r="V2993" t="str">
        <f>VLOOKUP(L2993,'[2]tabela de preços'!$A:$D,4,0)</f>
        <v>SIKKENS</v>
      </c>
      <c r="W2993" t="str">
        <f>VLOOKUP(L2993,'[2]tabela de preços'!$A:$F,6,0)</f>
        <v>VERNIZ AUTOMOTIVO</v>
      </c>
      <c r="X2993" t="str">
        <f>VLOOKUP(L2993,'[2]tabela de preços'!$A:$G,7,0)</f>
        <v>AUTOMOTIVO</v>
      </c>
    </row>
    <row r="2994" spans="1:24" x14ac:dyDescent="0.3">
      <c r="A2994" t="s">
        <v>2025</v>
      </c>
      <c r="C2994" t="s">
        <v>2558</v>
      </c>
      <c r="D2994" s="1">
        <v>46056</v>
      </c>
      <c r="E2994" t="s">
        <v>2559</v>
      </c>
      <c r="F2994">
        <v>9</v>
      </c>
      <c r="G2994">
        <v>174</v>
      </c>
      <c r="H2994" t="str">
        <f>VLOOKUP(G2994,[1]OPERADORES!$A:$B,2,0)</f>
        <v>MIRIÃ LOBATO RODRIGUES</v>
      </c>
      <c r="I2994" t="s">
        <v>21</v>
      </c>
      <c r="J2994" t="s">
        <v>762</v>
      </c>
      <c r="K2994" t="s">
        <v>2028</v>
      </c>
      <c r="L2994">
        <v>23653</v>
      </c>
      <c r="M2994" t="s">
        <v>644</v>
      </c>
      <c r="O2994" t="s">
        <v>11</v>
      </c>
      <c r="P2994">
        <v>5102</v>
      </c>
      <c r="Q2994">
        <v>2</v>
      </c>
      <c r="R2994">
        <v>67.150000000000006</v>
      </c>
      <c r="S2994">
        <v>134.30000000000001</v>
      </c>
      <c r="T2994">
        <v>101.94</v>
      </c>
      <c r="U2994">
        <v>24.1</v>
      </c>
      <c r="V2994" t="str">
        <f>VLOOKUP(L2994,'[2]tabela de preços'!$A:$D,4,0)</f>
        <v>SIKKENS</v>
      </c>
      <c r="W2994" t="str">
        <f>VLOOKUP(L2994,'[2]tabela de preços'!$A:$F,6,0)</f>
        <v>CATALISADORES INDIVIDUAS</v>
      </c>
      <c r="X2994" t="str">
        <f>VLOOKUP(L2994,'[2]tabela de preços'!$A:$G,7,0)</f>
        <v>AUTOMOTIVO</v>
      </c>
    </row>
    <row r="2995" spans="1:24" x14ac:dyDescent="0.3">
      <c r="A2995" t="s">
        <v>2025</v>
      </c>
      <c r="C2995" t="s">
        <v>2558</v>
      </c>
      <c r="D2995" s="1">
        <v>46056</v>
      </c>
      <c r="E2995" t="s">
        <v>2559</v>
      </c>
      <c r="F2995">
        <v>9</v>
      </c>
      <c r="G2995">
        <v>174</v>
      </c>
      <c r="H2995" t="str">
        <f>VLOOKUP(G2995,[1]OPERADORES!$A:$B,2,0)</f>
        <v>MIRIÃ LOBATO RODRIGUES</v>
      </c>
      <c r="I2995" t="s">
        <v>21</v>
      </c>
      <c r="J2995" t="s">
        <v>762</v>
      </c>
      <c r="K2995" t="s">
        <v>2028</v>
      </c>
      <c r="L2995">
        <v>23296</v>
      </c>
      <c r="M2995" t="s">
        <v>2032</v>
      </c>
      <c r="O2995" t="s">
        <v>11</v>
      </c>
      <c r="P2995">
        <v>5102</v>
      </c>
      <c r="Q2995">
        <v>1</v>
      </c>
      <c r="R2995">
        <v>42.14</v>
      </c>
      <c r="S2995">
        <v>42.14</v>
      </c>
      <c r="T2995">
        <v>31.99</v>
      </c>
      <c r="U2995">
        <v>24.09</v>
      </c>
      <c r="V2995" t="str">
        <f>VLOOKUP(L2995,'[2]tabela de preços'!$A:$D,4,0)</f>
        <v>SIKKENS</v>
      </c>
      <c r="W2995" t="str">
        <f>VLOOKUP(L2995,'[2]tabela de preços'!$A:$F,6,0)</f>
        <v>CATALISADORES INDIVIDUAS</v>
      </c>
      <c r="X2995" t="str">
        <f>VLOOKUP(L2995,'[2]tabela de preços'!$A:$G,7,0)</f>
        <v>AUTOMOTIVO</v>
      </c>
    </row>
    <row r="2996" spans="1:24" x14ac:dyDescent="0.3">
      <c r="A2996" t="s">
        <v>2025</v>
      </c>
      <c r="C2996" t="s">
        <v>2558</v>
      </c>
      <c r="D2996" s="1">
        <v>46056</v>
      </c>
      <c r="E2996" t="s">
        <v>2559</v>
      </c>
      <c r="F2996">
        <v>9</v>
      </c>
      <c r="G2996">
        <v>174</v>
      </c>
      <c r="H2996" t="str">
        <f>VLOOKUP(G2996,[1]OPERADORES!$A:$B,2,0)</f>
        <v>MIRIÃ LOBATO RODRIGUES</v>
      </c>
      <c r="I2996" t="s">
        <v>21</v>
      </c>
      <c r="J2996" t="s">
        <v>762</v>
      </c>
      <c r="K2996" t="s">
        <v>2028</v>
      </c>
      <c r="L2996">
        <v>9989</v>
      </c>
      <c r="M2996" t="s">
        <v>2560</v>
      </c>
      <c r="O2996" t="s">
        <v>11</v>
      </c>
      <c r="P2996">
        <v>5403</v>
      </c>
      <c r="Q2996">
        <v>1</v>
      </c>
      <c r="R2996">
        <v>57.66</v>
      </c>
      <c r="S2996">
        <v>57.66</v>
      </c>
      <c r="T2996">
        <v>43.76</v>
      </c>
      <c r="U2996">
        <v>24.11</v>
      </c>
      <c r="V2996" t="str">
        <f>VLOOKUP(L2996,'[2]tabela de preços'!$A:$D,4,0)</f>
        <v>SIKKENS</v>
      </c>
      <c r="W2996" t="str">
        <f>VLOOKUP(L2996,'[2]tabela de preços'!$A:$F,6,0)</f>
        <v>PRIMER AUTOMOTIVO</v>
      </c>
      <c r="X2996" t="str">
        <f>VLOOKUP(L2996,'[2]tabela de preços'!$A:$G,7,0)</f>
        <v>AUTOMOTIVO</v>
      </c>
    </row>
    <row r="2997" spans="1:24" x14ac:dyDescent="0.3">
      <c r="A2997" t="s">
        <v>2025</v>
      </c>
      <c r="C2997" t="s">
        <v>2848</v>
      </c>
      <c r="D2997" s="1">
        <v>46062</v>
      </c>
      <c r="E2997" t="s">
        <v>2849</v>
      </c>
      <c r="F2997">
        <v>9</v>
      </c>
      <c r="G2997">
        <v>174</v>
      </c>
      <c r="H2997" t="str">
        <f>VLOOKUP(G2997,[1]OPERADORES!$A:$B,2,0)</f>
        <v>MIRIÃ LOBATO RODRIGUES</v>
      </c>
      <c r="I2997" t="s">
        <v>21</v>
      </c>
      <c r="J2997" t="s">
        <v>762</v>
      </c>
      <c r="K2997" t="s">
        <v>2028</v>
      </c>
      <c r="L2997">
        <v>21860</v>
      </c>
      <c r="M2997" t="s">
        <v>2038</v>
      </c>
      <c r="O2997" t="s">
        <v>11</v>
      </c>
      <c r="P2997">
        <v>5403</v>
      </c>
      <c r="Q2997">
        <v>2</v>
      </c>
      <c r="R2997">
        <v>61.32</v>
      </c>
      <c r="S2997">
        <v>122.64</v>
      </c>
      <c r="T2997">
        <v>93.08</v>
      </c>
      <c r="U2997">
        <v>24.1</v>
      </c>
      <c r="V2997" t="str">
        <f>VLOOKUP(L2997,'[2]tabela de preços'!$A:$D,4,0)</f>
        <v>SIKKENS</v>
      </c>
      <c r="W2997" t="str">
        <f>VLOOKUP(L2997,'[2]tabela de preços'!$A:$F,6,0)</f>
        <v>VERNIZ AUTOMOTIVO</v>
      </c>
      <c r="X2997" t="str">
        <f>VLOOKUP(L2997,'[2]tabela de preços'!$A:$G,7,0)</f>
        <v>AUTOMOTIVO</v>
      </c>
    </row>
    <row r="2998" spans="1:24" x14ac:dyDescent="0.3">
      <c r="A2998" t="s">
        <v>2025</v>
      </c>
      <c r="C2998" t="s">
        <v>2848</v>
      </c>
      <c r="D2998" s="1">
        <v>46062</v>
      </c>
      <c r="E2998" t="s">
        <v>2849</v>
      </c>
      <c r="F2998">
        <v>9</v>
      </c>
      <c r="G2998">
        <v>174</v>
      </c>
      <c r="H2998" t="str">
        <f>VLOOKUP(G2998,[1]OPERADORES!$A:$B,2,0)</f>
        <v>MIRIÃ LOBATO RODRIGUES</v>
      </c>
      <c r="I2998" t="s">
        <v>21</v>
      </c>
      <c r="J2998" t="s">
        <v>762</v>
      </c>
      <c r="K2998" t="s">
        <v>2028</v>
      </c>
      <c r="L2998">
        <v>10236</v>
      </c>
      <c r="M2998" t="s">
        <v>133</v>
      </c>
      <c r="O2998" t="s">
        <v>11</v>
      </c>
      <c r="P2998">
        <v>5102</v>
      </c>
      <c r="Q2998">
        <v>10</v>
      </c>
      <c r="R2998">
        <v>2.79</v>
      </c>
      <c r="S2998">
        <v>27.9</v>
      </c>
      <c r="T2998">
        <v>23.2</v>
      </c>
      <c r="U2998">
        <v>16.850000000000001</v>
      </c>
      <c r="V2998" t="str">
        <f>VLOOKUP(L2998,'[2]tabela de preços'!$A:$D,4,0)</f>
        <v>NORTON</v>
      </c>
      <c r="W2998" t="str">
        <f>VLOOKUP(L2998,'[2]tabela de preços'!$A:$F,6,0)</f>
        <v xml:space="preserve">DISCOS / LIXAS / ABRASIVOS </v>
      </c>
      <c r="X2998" t="str">
        <f>VLOOKUP(L2998,'[2]tabela de preços'!$A:$G,7,0)</f>
        <v>AUTOMOTIVO</v>
      </c>
    </row>
    <row r="2999" spans="1:24" x14ac:dyDescent="0.3">
      <c r="A2999" t="s">
        <v>2025</v>
      </c>
      <c r="C2999" t="s">
        <v>2848</v>
      </c>
      <c r="D2999" s="1">
        <v>46062</v>
      </c>
      <c r="E2999" t="s">
        <v>2849</v>
      </c>
      <c r="F2999">
        <v>9</v>
      </c>
      <c r="G2999">
        <v>174</v>
      </c>
      <c r="H2999" t="str">
        <f>VLOOKUP(G2999,[1]OPERADORES!$A:$B,2,0)</f>
        <v>MIRIÃ LOBATO RODRIGUES</v>
      </c>
      <c r="I2999" t="s">
        <v>21</v>
      </c>
      <c r="J2999" t="s">
        <v>762</v>
      </c>
      <c r="K2999" t="s">
        <v>2028</v>
      </c>
      <c r="L2999">
        <v>10230</v>
      </c>
      <c r="M2999" t="s">
        <v>193</v>
      </c>
      <c r="O2999" t="s">
        <v>11</v>
      </c>
      <c r="P2999">
        <v>5102</v>
      </c>
      <c r="Q2999">
        <v>5</v>
      </c>
      <c r="R2999">
        <v>2.79</v>
      </c>
      <c r="S2999">
        <v>13.95</v>
      </c>
      <c r="T2999">
        <v>11.6</v>
      </c>
      <c r="U2999">
        <v>16.850000000000001</v>
      </c>
      <c r="V2999" t="str">
        <f>VLOOKUP(L2999,'[2]tabela de preços'!$A:$D,4,0)</f>
        <v>NORTON</v>
      </c>
      <c r="W2999" t="str">
        <f>VLOOKUP(L2999,'[2]tabela de preços'!$A:$F,6,0)</f>
        <v xml:space="preserve">DISCOS / LIXAS / ABRASIVOS </v>
      </c>
      <c r="X2999" t="str">
        <f>VLOOKUP(L2999,'[2]tabela de preços'!$A:$G,7,0)</f>
        <v>AUTOMOTIVO</v>
      </c>
    </row>
    <row r="3000" spans="1:24" x14ac:dyDescent="0.3">
      <c r="A3000" t="s">
        <v>2025</v>
      </c>
      <c r="C3000" t="s">
        <v>2848</v>
      </c>
      <c r="D3000" s="1">
        <v>46062</v>
      </c>
      <c r="E3000" t="s">
        <v>2849</v>
      </c>
      <c r="F3000">
        <v>9</v>
      </c>
      <c r="G3000">
        <v>174</v>
      </c>
      <c r="H3000" t="str">
        <f>VLOOKUP(G3000,[1]OPERADORES!$A:$B,2,0)</f>
        <v>MIRIÃ LOBATO RODRIGUES</v>
      </c>
      <c r="I3000" t="s">
        <v>21</v>
      </c>
      <c r="J3000" t="s">
        <v>762</v>
      </c>
      <c r="K3000" t="s">
        <v>2028</v>
      </c>
      <c r="L3000">
        <v>10232</v>
      </c>
      <c r="M3000" t="s">
        <v>134</v>
      </c>
      <c r="O3000" t="s">
        <v>11</v>
      </c>
      <c r="P3000">
        <v>5102</v>
      </c>
      <c r="Q3000">
        <v>10</v>
      </c>
      <c r="R3000">
        <v>2.79</v>
      </c>
      <c r="S3000">
        <v>27.9</v>
      </c>
      <c r="T3000">
        <v>22.5</v>
      </c>
      <c r="U3000">
        <v>19.350000000000001</v>
      </c>
      <c r="V3000" t="str">
        <f>VLOOKUP(L3000,'[2]tabela de preços'!$A:$D,4,0)</f>
        <v>NORTON</v>
      </c>
      <c r="W3000" t="str">
        <f>VLOOKUP(L3000,'[2]tabela de preços'!$A:$F,6,0)</f>
        <v xml:space="preserve">DISCOS / LIXAS / ABRASIVOS </v>
      </c>
      <c r="X3000" t="str">
        <f>VLOOKUP(L3000,'[2]tabela de preços'!$A:$G,7,0)</f>
        <v>AUTOMOTIVO</v>
      </c>
    </row>
    <row r="3001" spans="1:24" x14ac:dyDescent="0.3">
      <c r="A3001" t="s">
        <v>2025</v>
      </c>
      <c r="C3001" t="s">
        <v>2848</v>
      </c>
      <c r="D3001" s="1">
        <v>46062</v>
      </c>
      <c r="E3001" t="s">
        <v>2849</v>
      </c>
      <c r="F3001">
        <v>9</v>
      </c>
      <c r="G3001">
        <v>174</v>
      </c>
      <c r="H3001" t="str">
        <f>VLOOKUP(G3001,[1]OPERADORES!$A:$B,2,0)</f>
        <v>MIRIÃ LOBATO RODRIGUES</v>
      </c>
      <c r="I3001" t="s">
        <v>21</v>
      </c>
      <c r="J3001" t="s">
        <v>762</v>
      </c>
      <c r="K3001" t="s">
        <v>2028</v>
      </c>
      <c r="L3001">
        <v>22173</v>
      </c>
      <c r="M3001" t="s">
        <v>194</v>
      </c>
      <c r="O3001" t="s">
        <v>11</v>
      </c>
      <c r="P3001">
        <v>5102</v>
      </c>
      <c r="Q3001">
        <v>6</v>
      </c>
      <c r="R3001">
        <v>4.58</v>
      </c>
      <c r="S3001">
        <v>27.48</v>
      </c>
      <c r="T3001">
        <v>20.88</v>
      </c>
      <c r="U3001">
        <v>24.02</v>
      </c>
      <c r="V3001" t="str">
        <f>VLOOKUP(L3001,'[2]tabela de preços'!$A:$D,4,0)</f>
        <v>3M</v>
      </c>
      <c r="W3001" t="str">
        <f>VLOOKUP(L3001,'[2]tabela de preços'!$A:$F,6,0)</f>
        <v>FITA AUTOMOTIVA</v>
      </c>
      <c r="X3001" t="str">
        <f>VLOOKUP(L3001,'[2]tabela de preços'!$A:$G,7,0)</f>
        <v>AUTOMOTIVO</v>
      </c>
    </row>
    <row r="3002" spans="1:24" x14ac:dyDescent="0.3">
      <c r="A3002" t="s">
        <v>2025</v>
      </c>
      <c r="C3002" t="s">
        <v>2848</v>
      </c>
      <c r="D3002" s="1">
        <v>46062</v>
      </c>
      <c r="E3002" t="s">
        <v>2849</v>
      </c>
      <c r="F3002">
        <v>9</v>
      </c>
      <c r="G3002">
        <v>174</v>
      </c>
      <c r="H3002" t="str">
        <f>VLOOKUP(G3002,[1]OPERADORES!$A:$B,2,0)</f>
        <v>MIRIÃ LOBATO RODRIGUES</v>
      </c>
      <c r="I3002" t="s">
        <v>21</v>
      </c>
      <c r="J3002" t="s">
        <v>762</v>
      </c>
      <c r="K3002" t="s">
        <v>2028</v>
      </c>
      <c r="L3002">
        <v>22188</v>
      </c>
      <c r="M3002" t="s">
        <v>78</v>
      </c>
      <c r="O3002" t="s">
        <v>11</v>
      </c>
      <c r="P3002">
        <v>5102</v>
      </c>
      <c r="Q3002">
        <v>5</v>
      </c>
      <c r="R3002">
        <v>14.35</v>
      </c>
      <c r="S3002">
        <v>71.75</v>
      </c>
      <c r="T3002">
        <v>54.45</v>
      </c>
      <c r="U3002">
        <v>24.11</v>
      </c>
      <c r="V3002" t="str">
        <f>VLOOKUP(L3002,'[2]tabela de preços'!$A:$D,4,0)</f>
        <v>3M</v>
      </c>
      <c r="W3002" t="str">
        <f>VLOOKUP(L3002,'[2]tabela de preços'!$A:$F,6,0)</f>
        <v>FITA AUTOMOTIVA</v>
      </c>
      <c r="X3002" t="str">
        <f>VLOOKUP(L3002,'[2]tabela de preços'!$A:$G,7,0)</f>
        <v>AUTOMOTIVO</v>
      </c>
    </row>
    <row r="3003" spans="1:24" x14ac:dyDescent="0.3">
      <c r="A3003" t="s">
        <v>2025</v>
      </c>
      <c r="C3003" t="s">
        <v>2848</v>
      </c>
      <c r="D3003" s="1">
        <v>46062</v>
      </c>
      <c r="E3003" t="s">
        <v>2849</v>
      </c>
      <c r="F3003">
        <v>9</v>
      </c>
      <c r="G3003">
        <v>174</v>
      </c>
      <c r="H3003" t="str">
        <f>VLOOKUP(G3003,[1]OPERADORES!$A:$B,2,0)</f>
        <v>MIRIÃ LOBATO RODRIGUES</v>
      </c>
      <c r="I3003" t="s">
        <v>21</v>
      </c>
      <c r="J3003" t="s">
        <v>762</v>
      </c>
      <c r="K3003" t="s">
        <v>2028</v>
      </c>
      <c r="L3003">
        <v>21862</v>
      </c>
      <c r="M3003" t="s">
        <v>2040</v>
      </c>
      <c r="O3003" t="s">
        <v>11</v>
      </c>
      <c r="P3003">
        <v>5102</v>
      </c>
      <c r="Q3003">
        <v>2</v>
      </c>
      <c r="R3003">
        <v>29.8</v>
      </c>
      <c r="S3003">
        <v>59.6</v>
      </c>
      <c r="T3003">
        <v>45.24</v>
      </c>
      <c r="U3003">
        <v>24.09</v>
      </c>
      <c r="V3003" t="str">
        <f>VLOOKUP(L3003,'[2]tabela de preços'!$A:$D,4,0)</f>
        <v>SIKKENS</v>
      </c>
      <c r="W3003" t="str">
        <f>VLOOKUP(L3003,'[2]tabela de preços'!$A:$F,6,0)</f>
        <v>CATALISADORES INDIVIDUAS</v>
      </c>
      <c r="X3003" t="str">
        <f>VLOOKUP(L3003,'[2]tabela de preços'!$A:$G,7,0)</f>
        <v>AUTOMOTIVO</v>
      </c>
    </row>
    <row r="3004" spans="1:24" x14ac:dyDescent="0.3">
      <c r="A3004" t="s">
        <v>2025</v>
      </c>
      <c r="C3004" t="s">
        <v>2848</v>
      </c>
      <c r="D3004" s="1">
        <v>46062</v>
      </c>
      <c r="E3004" t="s">
        <v>2849</v>
      </c>
      <c r="F3004">
        <v>9</v>
      </c>
      <c r="G3004">
        <v>174</v>
      </c>
      <c r="H3004" t="str">
        <f>VLOOKUP(G3004,[1]OPERADORES!$A:$B,2,0)</f>
        <v>MIRIÃ LOBATO RODRIGUES</v>
      </c>
      <c r="I3004" t="s">
        <v>21</v>
      </c>
      <c r="J3004" t="s">
        <v>762</v>
      </c>
      <c r="K3004" t="s">
        <v>2028</v>
      </c>
      <c r="L3004">
        <v>20212</v>
      </c>
      <c r="M3004" t="s">
        <v>198</v>
      </c>
      <c r="O3004" t="s">
        <v>11</v>
      </c>
      <c r="P3004">
        <v>5403</v>
      </c>
      <c r="Q3004">
        <v>2</v>
      </c>
      <c r="R3004">
        <v>26.95</v>
      </c>
      <c r="S3004">
        <v>53.9</v>
      </c>
      <c r="T3004">
        <v>40.92</v>
      </c>
      <c r="U3004">
        <v>24.08</v>
      </c>
      <c r="V3004" t="str">
        <f>VLOOKUP(L3004,'[2]tabela de preços'!$A:$D,4,0)</f>
        <v>MAXI RUBBER</v>
      </c>
      <c r="W3004" t="str">
        <f>VLOOKUP(L3004,'[2]tabela de preços'!$A:$F,6,0)</f>
        <v>SELADORA P/ PLASTICO</v>
      </c>
      <c r="X3004" t="str">
        <f>VLOOKUP(L3004,'[2]tabela de preços'!$A:$G,7,0)</f>
        <v>AUTOMOTIVO</v>
      </c>
    </row>
    <row r="3005" spans="1:24" x14ac:dyDescent="0.3">
      <c r="A3005" t="s">
        <v>2025</v>
      </c>
      <c r="C3005" t="s">
        <v>2848</v>
      </c>
      <c r="D3005" s="1">
        <v>46062</v>
      </c>
      <c r="E3005" t="s">
        <v>2849</v>
      </c>
      <c r="F3005">
        <v>9</v>
      </c>
      <c r="G3005">
        <v>174</v>
      </c>
      <c r="H3005" t="str">
        <f>VLOOKUP(G3005,[1]OPERADORES!$A:$B,2,0)</f>
        <v>MIRIÃ LOBATO RODRIGUES</v>
      </c>
      <c r="I3005" t="s">
        <v>21</v>
      </c>
      <c r="J3005" t="s">
        <v>762</v>
      </c>
      <c r="K3005" t="s">
        <v>2028</v>
      </c>
      <c r="L3005">
        <v>84560</v>
      </c>
      <c r="M3005" t="s">
        <v>118</v>
      </c>
      <c r="O3005" t="s">
        <v>11</v>
      </c>
      <c r="P3005">
        <v>5102</v>
      </c>
      <c r="Q3005">
        <v>2</v>
      </c>
      <c r="R3005">
        <v>47.89</v>
      </c>
      <c r="S3005">
        <v>95.78</v>
      </c>
      <c r="T3005">
        <v>78.319999999999993</v>
      </c>
      <c r="U3005">
        <v>18.23</v>
      </c>
      <c r="V3005" t="str">
        <f>VLOOKUP(L3005,'[2]tabela de preços'!$A:$D,4,0)</f>
        <v>BRASILUX</v>
      </c>
      <c r="W3005" t="str">
        <f>VLOOKUP(L3005,'[2]tabela de preços'!$A:$F,6,0)</f>
        <v>THINNER DE LIMPEZA</v>
      </c>
      <c r="X3005" t="str">
        <f>VLOOKUP(L3005,'[2]tabela de preços'!$A:$G,7,0)</f>
        <v>THINNER</v>
      </c>
    </row>
    <row r="3006" spans="1:24" x14ac:dyDescent="0.3">
      <c r="A3006" t="s">
        <v>2025</v>
      </c>
      <c r="C3006" t="s">
        <v>2848</v>
      </c>
      <c r="D3006" s="1">
        <v>46062</v>
      </c>
      <c r="E3006" t="s">
        <v>2849</v>
      </c>
      <c r="F3006">
        <v>9</v>
      </c>
      <c r="G3006">
        <v>174</v>
      </c>
      <c r="H3006" t="str">
        <f>VLOOKUP(G3006,[1]OPERADORES!$A:$B,2,0)</f>
        <v>MIRIÃ LOBATO RODRIGUES</v>
      </c>
      <c r="I3006" t="s">
        <v>21</v>
      </c>
      <c r="J3006" t="s">
        <v>762</v>
      </c>
      <c r="K3006" t="s">
        <v>2028</v>
      </c>
      <c r="L3006">
        <v>84460</v>
      </c>
      <c r="M3006" t="s">
        <v>322</v>
      </c>
      <c r="O3006" t="s">
        <v>11</v>
      </c>
      <c r="P3006">
        <v>5102</v>
      </c>
      <c r="Q3006">
        <v>2</v>
      </c>
      <c r="R3006">
        <v>31.07</v>
      </c>
      <c r="S3006">
        <v>62.14</v>
      </c>
      <c r="T3006">
        <v>47.16</v>
      </c>
      <c r="U3006">
        <v>24.11</v>
      </c>
      <c r="V3006" t="str">
        <f>VLOOKUP(L3006,'[2]tabela de preços'!$A:$D,4,0)</f>
        <v>BRASILUX</v>
      </c>
      <c r="W3006" t="str">
        <f>VLOOKUP(L3006,'[2]tabela de preços'!$A:$F,6,0)</f>
        <v>VEDADORES / SELANTES</v>
      </c>
      <c r="X3006" t="str">
        <f>VLOOKUP(L3006,'[2]tabela de preços'!$A:$G,7,0)</f>
        <v>AUTOMOTIVO</v>
      </c>
    </row>
    <row r="3007" spans="1:24" x14ac:dyDescent="0.3">
      <c r="A3007" t="s">
        <v>2046</v>
      </c>
      <c r="C3007" t="s">
        <v>2561</v>
      </c>
      <c r="D3007" s="1">
        <v>46056</v>
      </c>
      <c r="E3007" t="s">
        <v>2562</v>
      </c>
      <c r="F3007">
        <v>9</v>
      </c>
      <c r="G3007">
        <v>236</v>
      </c>
      <c r="H3007" t="str">
        <f>VLOOKUP(G3007,[1]OPERADORES!$A:$B,2,0)</f>
        <v>DANIEL</v>
      </c>
      <c r="I3007" t="s">
        <v>21</v>
      </c>
      <c r="J3007" t="s">
        <v>614</v>
      </c>
      <c r="K3007" t="s">
        <v>2049</v>
      </c>
      <c r="L3007">
        <v>10277</v>
      </c>
      <c r="M3007" t="s">
        <v>135</v>
      </c>
      <c r="O3007" t="s">
        <v>11</v>
      </c>
      <c r="P3007">
        <v>5102</v>
      </c>
      <c r="Q3007">
        <v>24</v>
      </c>
      <c r="R3007">
        <v>15.89</v>
      </c>
      <c r="S3007">
        <v>381.36</v>
      </c>
      <c r="T3007">
        <v>309.12</v>
      </c>
      <c r="U3007">
        <v>18.940000000000001</v>
      </c>
      <c r="V3007" t="str">
        <f>VLOOKUP(L3007,'[2]tabela de preços'!$A:$D,4,0)</f>
        <v>RETOQUE</v>
      </c>
      <c r="W3007" t="str">
        <f>VLOOKUP(L3007,'[2]tabela de preços'!$A:$F,6,0)</f>
        <v xml:space="preserve">COLA  PLÁSTICA </v>
      </c>
      <c r="X3007" t="str">
        <f>VLOOKUP(L3007,'[2]tabela de preços'!$A:$G,7,0)</f>
        <v>AUTOMOTIVO</v>
      </c>
    </row>
    <row r="3008" spans="1:24" x14ac:dyDescent="0.3">
      <c r="A3008" t="s">
        <v>2046</v>
      </c>
      <c r="C3008" t="s">
        <v>2561</v>
      </c>
      <c r="D3008" s="1">
        <v>46056</v>
      </c>
      <c r="E3008" t="s">
        <v>2562</v>
      </c>
      <c r="F3008">
        <v>9</v>
      </c>
      <c r="G3008">
        <v>236</v>
      </c>
      <c r="H3008" t="str">
        <f>VLOOKUP(G3008,[1]OPERADORES!$A:$B,2,0)</f>
        <v>DANIEL</v>
      </c>
      <c r="I3008" t="s">
        <v>21</v>
      </c>
      <c r="J3008" t="s">
        <v>614</v>
      </c>
      <c r="K3008" t="s">
        <v>2049</v>
      </c>
      <c r="L3008">
        <v>23076</v>
      </c>
      <c r="M3008" t="s">
        <v>97</v>
      </c>
      <c r="O3008" t="s">
        <v>11</v>
      </c>
      <c r="P3008">
        <v>5403</v>
      </c>
      <c r="Q3008">
        <v>24</v>
      </c>
      <c r="R3008">
        <v>34.89</v>
      </c>
      <c r="S3008">
        <v>837.36</v>
      </c>
      <c r="T3008">
        <v>636.72</v>
      </c>
      <c r="U3008">
        <v>23.96</v>
      </c>
      <c r="V3008" t="str">
        <f>VLOOKUP(L3008,'[2]tabela de preços'!$A:$D,4,0)</f>
        <v>WANDA</v>
      </c>
      <c r="W3008" t="str">
        <f>VLOOKUP(L3008,'[2]tabela de preços'!$A:$F,6,0)</f>
        <v>PRIMER AUTOMOTIVO</v>
      </c>
      <c r="X3008" t="str">
        <f>VLOOKUP(L3008,'[2]tabela de preços'!$A:$G,7,0)</f>
        <v>AUTOMOTIVO</v>
      </c>
    </row>
    <row r="3009" spans="1:24" x14ac:dyDescent="0.3">
      <c r="A3009" t="s">
        <v>2046</v>
      </c>
      <c r="C3009" t="s">
        <v>2561</v>
      </c>
      <c r="D3009" s="1">
        <v>46056</v>
      </c>
      <c r="E3009" t="s">
        <v>2562</v>
      </c>
      <c r="F3009">
        <v>9</v>
      </c>
      <c r="G3009">
        <v>236</v>
      </c>
      <c r="H3009" t="str">
        <f>VLOOKUP(G3009,[1]OPERADORES!$A:$B,2,0)</f>
        <v>DANIEL</v>
      </c>
      <c r="I3009" t="s">
        <v>21</v>
      </c>
      <c r="J3009" t="s">
        <v>614</v>
      </c>
      <c r="K3009" t="s">
        <v>2049</v>
      </c>
      <c r="L3009">
        <v>23602</v>
      </c>
      <c r="M3009" t="s">
        <v>215</v>
      </c>
      <c r="O3009" t="s">
        <v>11</v>
      </c>
      <c r="P3009">
        <v>5403</v>
      </c>
      <c r="Q3009">
        <v>18</v>
      </c>
      <c r="R3009">
        <v>35.89</v>
      </c>
      <c r="S3009">
        <v>646.02</v>
      </c>
      <c r="T3009">
        <v>526.5</v>
      </c>
      <c r="U3009">
        <v>18.5</v>
      </c>
      <c r="V3009" t="str">
        <f>VLOOKUP(L3009,'[2]tabela de preços'!$A:$D,4,0)</f>
        <v>SHERWIN WILLIAMS</v>
      </c>
      <c r="W3009" t="str">
        <f>VLOOKUP(L3009,'[2]tabela de preços'!$A:$F,6,0)</f>
        <v>VERNIZ AUTOMOTIVO</v>
      </c>
      <c r="X3009" t="str">
        <f>VLOOKUP(L3009,'[2]tabela de preços'!$A:$G,7,0)</f>
        <v>AUTOMOTIVO</v>
      </c>
    </row>
    <row r="3010" spans="1:24" x14ac:dyDescent="0.3">
      <c r="A3010" t="s">
        <v>2046</v>
      </c>
      <c r="C3010" t="s">
        <v>2561</v>
      </c>
      <c r="D3010" s="1">
        <v>46056</v>
      </c>
      <c r="E3010" t="s">
        <v>2562</v>
      </c>
      <c r="F3010">
        <v>9</v>
      </c>
      <c r="G3010">
        <v>236</v>
      </c>
      <c r="H3010" t="str">
        <f>VLOOKUP(G3010,[1]OPERADORES!$A:$B,2,0)</f>
        <v>DANIEL</v>
      </c>
      <c r="I3010" t="s">
        <v>21</v>
      </c>
      <c r="J3010" t="s">
        <v>614</v>
      </c>
      <c r="K3010" t="s">
        <v>2049</v>
      </c>
      <c r="L3010">
        <v>20431</v>
      </c>
      <c r="M3010" t="s">
        <v>202</v>
      </c>
      <c r="O3010" t="s">
        <v>11</v>
      </c>
      <c r="P3010">
        <v>5403</v>
      </c>
      <c r="Q3010">
        <v>18</v>
      </c>
      <c r="R3010">
        <v>36.89</v>
      </c>
      <c r="S3010">
        <v>664.02</v>
      </c>
      <c r="T3010">
        <v>544.67999999999995</v>
      </c>
      <c r="U3010">
        <v>17.97</v>
      </c>
      <c r="V3010" t="str">
        <f>VLOOKUP(L3010,'[2]tabela de preços'!$A:$D,4,0)</f>
        <v>SHERWIN WILLIAMS</v>
      </c>
      <c r="W3010" t="str">
        <f>VLOOKUP(L3010,'[2]tabela de preços'!$A:$F,6,0)</f>
        <v>VERNIZ AUTOMOTIVO</v>
      </c>
      <c r="X3010" t="str">
        <f>VLOOKUP(L3010,'[2]tabela de preços'!$A:$G,7,0)</f>
        <v>AUTOMOTIVO</v>
      </c>
    </row>
    <row r="3011" spans="1:24" x14ac:dyDescent="0.3">
      <c r="A3011" t="s">
        <v>2046</v>
      </c>
      <c r="C3011" t="s">
        <v>2561</v>
      </c>
      <c r="D3011" s="1">
        <v>46056</v>
      </c>
      <c r="E3011" t="s">
        <v>2562</v>
      </c>
      <c r="F3011">
        <v>9</v>
      </c>
      <c r="G3011">
        <v>236</v>
      </c>
      <c r="H3011" t="str">
        <f>VLOOKUP(G3011,[1]OPERADORES!$A:$B,2,0)</f>
        <v>DANIEL</v>
      </c>
      <c r="I3011" t="s">
        <v>21</v>
      </c>
      <c r="J3011" t="s">
        <v>614</v>
      </c>
      <c r="K3011" t="s">
        <v>2049</v>
      </c>
      <c r="L3011">
        <v>20525</v>
      </c>
      <c r="M3011" t="s">
        <v>137</v>
      </c>
      <c r="O3011" t="s">
        <v>11</v>
      </c>
      <c r="P3011">
        <v>5102</v>
      </c>
      <c r="Q3011">
        <v>6</v>
      </c>
      <c r="R3011">
        <v>13.65</v>
      </c>
      <c r="S3011">
        <v>81.900000000000006</v>
      </c>
      <c r="T3011">
        <v>62.16</v>
      </c>
      <c r="U3011">
        <v>24.1</v>
      </c>
      <c r="V3011" t="str">
        <f>VLOOKUP(L3011,'[2]tabela de preços'!$A:$D,4,0)</f>
        <v>SHERWIN WILLIAMS</v>
      </c>
      <c r="W3011" t="str">
        <f>VLOOKUP(L3011,'[2]tabela de preços'!$A:$F,6,0)</f>
        <v>MASSA DE PEQUENOS REPAROS</v>
      </c>
      <c r="X3011" t="str">
        <f>VLOOKUP(L3011,'[2]tabela de preços'!$A:$G,7,0)</f>
        <v>AUTOMOTIVO</v>
      </c>
    </row>
    <row r="3012" spans="1:24" x14ac:dyDescent="0.3">
      <c r="A3012" t="s">
        <v>2046</v>
      </c>
      <c r="C3012" t="s">
        <v>2561</v>
      </c>
      <c r="D3012" s="1">
        <v>46056</v>
      </c>
      <c r="E3012" t="s">
        <v>2562</v>
      </c>
      <c r="F3012">
        <v>9</v>
      </c>
      <c r="G3012">
        <v>236</v>
      </c>
      <c r="H3012" t="str">
        <f>VLOOKUP(G3012,[1]OPERADORES!$A:$B,2,0)</f>
        <v>DANIEL</v>
      </c>
      <c r="I3012" t="s">
        <v>21</v>
      </c>
      <c r="J3012" t="s">
        <v>614</v>
      </c>
      <c r="K3012" t="s">
        <v>2049</v>
      </c>
      <c r="L3012">
        <v>85164</v>
      </c>
      <c r="M3012" t="s">
        <v>278</v>
      </c>
      <c r="O3012" t="s">
        <v>11</v>
      </c>
      <c r="P3012">
        <v>5102</v>
      </c>
      <c r="Q3012">
        <v>24</v>
      </c>
      <c r="R3012">
        <v>13.29</v>
      </c>
      <c r="S3012">
        <v>318.95999999999998</v>
      </c>
      <c r="T3012">
        <v>242.16</v>
      </c>
      <c r="U3012">
        <v>24.08</v>
      </c>
      <c r="V3012" t="str">
        <f>VLOOKUP(L3012,'[2]tabela de preços'!$A:$D,4,0)</f>
        <v>BRASILUX</v>
      </c>
      <c r="W3012" t="str">
        <f>VLOOKUP(L3012,'[2]tabela de preços'!$A:$F,6,0)</f>
        <v>QUEROSENE</v>
      </c>
      <c r="X3012" t="str">
        <f>VLOOKUP(L3012,'[2]tabela de preços'!$A:$G,7,0)</f>
        <v>AUTOMOTIVO</v>
      </c>
    </row>
    <row r="3013" spans="1:24" x14ac:dyDescent="0.3">
      <c r="A3013" t="s">
        <v>2073</v>
      </c>
      <c r="C3013" t="s">
        <v>2467</v>
      </c>
      <c r="D3013" s="1">
        <v>46055</v>
      </c>
      <c r="E3013" t="s">
        <v>2468</v>
      </c>
      <c r="F3013">
        <v>9</v>
      </c>
      <c r="G3013">
        <v>174</v>
      </c>
      <c r="H3013" t="str">
        <f>VLOOKUP(G3013,[1]OPERADORES!$A:$B,2,0)</f>
        <v>MIRIÃ LOBATO RODRIGUES</v>
      </c>
      <c r="I3013" t="s">
        <v>21</v>
      </c>
      <c r="J3013" t="s">
        <v>1257</v>
      </c>
      <c r="K3013" t="s">
        <v>2076</v>
      </c>
      <c r="L3013">
        <v>84331</v>
      </c>
      <c r="M3013" t="s">
        <v>497</v>
      </c>
      <c r="O3013" t="s">
        <v>11</v>
      </c>
      <c r="P3013">
        <v>5403</v>
      </c>
      <c r="Q3013">
        <v>15</v>
      </c>
      <c r="R3013">
        <v>59.98</v>
      </c>
      <c r="S3013">
        <v>899.7</v>
      </c>
      <c r="T3013">
        <v>780</v>
      </c>
      <c r="U3013">
        <v>13.3</v>
      </c>
      <c r="V3013" t="str">
        <f>VLOOKUP(L3013,'[2]tabela de preços'!$A:$D,4,0)</f>
        <v>BRASILUX</v>
      </c>
      <c r="W3013" t="str">
        <f>VLOOKUP(L3013,'[2]tabela de preços'!$A:$F,6,0)</f>
        <v>ESMALTES</v>
      </c>
      <c r="X3013" t="str">
        <f>VLOOKUP(L3013,'[2]tabela de preços'!$A:$G,7,0)</f>
        <v>INDUSTRIAL</v>
      </c>
    </row>
    <row r="3014" spans="1:24" x14ac:dyDescent="0.3">
      <c r="A3014" t="s">
        <v>2073</v>
      </c>
      <c r="C3014" t="s">
        <v>2467</v>
      </c>
      <c r="D3014" s="1">
        <v>46055</v>
      </c>
      <c r="E3014" t="s">
        <v>2468</v>
      </c>
      <c r="F3014">
        <v>9</v>
      </c>
      <c r="G3014">
        <v>174</v>
      </c>
      <c r="H3014" t="str">
        <f>VLOOKUP(G3014,[1]OPERADORES!$A:$B,2,0)</f>
        <v>MIRIÃ LOBATO RODRIGUES</v>
      </c>
      <c r="I3014" t="s">
        <v>21</v>
      </c>
      <c r="J3014" t="s">
        <v>1257</v>
      </c>
      <c r="K3014" t="s">
        <v>2076</v>
      </c>
      <c r="L3014">
        <v>84347</v>
      </c>
      <c r="M3014" t="s">
        <v>1150</v>
      </c>
      <c r="O3014" t="s">
        <v>11</v>
      </c>
      <c r="P3014">
        <v>5403</v>
      </c>
      <c r="Q3014">
        <v>8</v>
      </c>
      <c r="R3014">
        <v>59.98</v>
      </c>
      <c r="S3014">
        <v>479.84</v>
      </c>
      <c r="T3014">
        <v>416</v>
      </c>
      <c r="U3014">
        <v>13.3</v>
      </c>
      <c r="V3014" t="str">
        <f>VLOOKUP(L3014,'[2]tabela de preços'!$A:$D,4,0)</f>
        <v>BRASILUX</v>
      </c>
      <c r="W3014" t="str">
        <f>VLOOKUP(L3014,'[2]tabela de preços'!$A:$F,6,0)</f>
        <v>ESMALTES</v>
      </c>
      <c r="X3014" t="str">
        <f>VLOOKUP(L3014,'[2]tabela de preços'!$A:$G,7,0)</f>
        <v>INDUSTRIAL</v>
      </c>
    </row>
    <row r="3015" spans="1:24" x14ac:dyDescent="0.3">
      <c r="A3015" t="s">
        <v>2073</v>
      </c>
      <c r="C3015" t="s">
        <v>2718</v>
      </c>
      <c r="D3015" s="1">
        <v>46058</v>
      </c>
      <c r="E3015" t="s">
        <v>2719</v>
      </c>
      <c r="F3015">
        <v>9</v>
      </c>
      <c r="G3015">
        <v>174</v>
      </c>
      <c r="H3015" t="str">
        <f>VLOOKUP(G3015,[1]OPERADORES!$A:$B,2,0)</f>
        <v>MIRIÃ LOBATO RODRIGUES</v>
      </c>
      <c r="I3015" t="s">
        <v>21</v>
      </c>
      <c r="J3015" t="s">
        <v>1257</v>
      </c>
      <c r="K3015" t="s">
        <v>2076</v>
      </c>
      <c r="L3015">
        <v>84030</v>
      </c>
      <c r="M3015" t="s">
        <v>900</v>
      </c>
      <c r="O3015" t="s">
        <v>11</v>
      </c>
      <c r="P3015">
        <v>5102</v>
      </c>
      <c r="Q3015">
        <v>30</v>
      </c>
      <c r="R3015">
        <v>49.5</v>
      </c>
      <c r="S3015" s="2">
        <v>1485</v>
      </c>
      <c r="T3015" s="2">
        <v>1270.8</v>
      </c>
      <c r="U3015">
        <v>14.42</v>
      </c>
      <c r="V3015" t="str">
        <f>VLOOKUP(L3015,'[2]tabela de preços'!$A:$D,4,0)</f>
        <v>BRASILUX</v>
      </c>
      <c r="W3015" t="str">
        <f>VLOOKUP(L3015,'[2]tabela de preços'!$A:$F,6,0)</f>
        <v>AGUARRAS</v>
      </c>
      <c r="X3015" t="str">
        <f>VLOOKUP(L3015,'[2]tabela de preços'!$A:$G,7,0)</f>
        <v>IMOBILIÁRIO</v>
      </c>
    </row>
    <row r="3016" spans="1:24" x14ac:dyDescent="0.3">
      <c r="A3016" t="s">
        <v>2073</v>
      </c>
      <c r="C3016" t="s">
        <v>2718</v>
      </c>
      <c r="D3016" s="1">
        <v>46058</v>
      </c>
      <c r="E3016" t="s">
        <v>2719</v>
      </c>
      <c r="F3016">
        <v>9</v>
      </c>
      <c r="G3016">
        <v>174</v>
      </c>
      <c r="H3016" t="str">
        <f>VLOOKUP(G3016,[1]OPERADORES!$A:$B,2,0)</f>
        <v>MIRIÃ LOBATO RODRIGUES</v>
      </c>
      <c r="I3016" t="s">
        <v>21</v>
      </c>
      <c r="J3016" t="s">
        <v>1257</v>
      </c>
      <c r="K3016" t="s">
        <v>2076</v>
      </c>
      <c r="L3016">
        <v>84351</v>
      </c>
      <c r="M3016" t="s">
        <v>2152</v>
      </c>
      <c r="O3016" t="s">
        <v>11</v>
      </c>
      <c r="P3016">
        <v>5403</v>
      </c>
      <c r="Q3016">
        <v>50</v>
      </c>
      <c r="R3016">
        <v>59.98</v>
      </c>
      <c r="S3016" s="2">
        <v>2999</v>
      </c>
      <c r="T3016" s="2">
        <v>2600</v>
      </c>
      <c r="U3016">
        <v>13.3</v>
      </c>
      <c r="V3016" t="str">
        <f>VLOOKUP(L3016,'[2]tabela de preços'!$A:$D,4,0)</f>
        <v>BRASILUX</v>
      </c>
      <c r="W3016" t="str">
        <f>VLOOKUP(L3016,'[2]tabela de preços'!$A:$F,6,0)</f>
        <v>ESMALTES</v>
      </c>
      <c r="X3016" t="str">
        <f>VLOOKUP(L3016,'[2]tabela de preços'!$A:$G,7,0)</f>
        <v>INDUSTRIAL</v>
      </c>
    </row>
    <row r="3017" spans="1:24" x14ac:dyDescent="0.3">
      <c r="A3017" t="s">
        <v>2073</v>
      </c>
      <c r="C3017" t="s">
        <v>2718</v>
      </c>
      <c r="D3017" s="1">
        <v>46058</v>
      </c>
      <c r="E3017" t="s">
        <v>2719</v>
      </c>
      <c r="F3017">
        <v>9</v>
      </c>
      <c r="G3017">
        <v>174</v>
      </c>
      <c r="H3017" t="str">
        <f>VLOOKUP(G3017,[1]OPERADORES!$A:$B,2,0)</f>
        <v>MIRIÃ LOBATO RODRIGUES</v>
      </c>
      <c r="I3017" t="s">
        <v>21</v>
      </c>
      <c r="J3017" t="s">
        <v>1257</v>
      </c>
      <c r="K3017" t="s">
        <v>2076</v>
      </c>
      <c r="L3017">
        <v>84328</v>
      </c>
      <c r="M3017" t="s">
        <v>496</v>
      </c>
      <c r="O3017" t="s">
        <v>11</v>
      </c>
      <c r="P3017">
        <v>5403</v>
      </c>
      <c r="Q3017">
        <v>150</v>
      </c>
      <c r="R3017">
        <v>59.98</v>
      </c>
      <c r="S3017" s="2">
        <v>8997</v>
      </c>
      <c r="T3017" s="2">
        <v>6928.5</v>
      </c>
      <c r="U3017">
        <v>22.99</v>
      </c>
      <c r="V3017" t="str">
        <f>VLOOKUP(L3017,'[2]tabela de preços'!$A:$D,4,0)</f>
        <v>BRASILUX</v>
      </c>
      <c r="W3017" t="str">
        <f>VLOOKUP(L3017,'[2]tabela de preços'!$A:$F,6,0)</f>
        <v>ESMALTES</v>
      </c>
      <c r="X3017" t="str">
        <f>VLOOKUP(L3017,'[2]tabela de preços'!$A:$G,7,0)</f>
        <v>INDUSTRIAL</v>
      </c>
    </row>
    <row r="3018" spans="1:24" x14ac:dyDescent="0.3">
      <c r="A3018" t="s">
        <v>2073</v>
      </c>
      <c r="C3018" t="s">
        <v>2718</v>
      </c>
      <c r="D3018" s="1">
        <v>46058</v>
      </c>
      <c r="E3018" t="s">
        <v>2719</v>
      </c>
      <c r="F3018">
        <v>9</v>
      </c>
      <c r="G3018">
        <v>174</v>
      </c>
      <c r="H3018" t="str">
        <f>VLOOKUP(G3018,[1]OPERADORES!$A:$B,2,0)</f>
        <v>MIRIÃ LOBATO RODRIGUES</v>
      </c>
      <c r="I3018" t="s">
        <v>21</v>
      </c>
      <c r="J3018" t="s">
        <v>1257</v>
      </c>
      <c r="K3018" t="s">
        <v>2076</v>
      </c>
      <c r="L3018">
        <v>84331</v>
      </c>
      <c r="M3018" t="s">
        <v>497</v>
      </c>
      <c r="O3018" t="s">
        <v>11</v>
      </c>
      <c r="P3018">
        <v>5403</v>
      </c>
      <c r="Q3018">
        <v>20</v>
      </c>
      <c r="R3018">
        <v>59.98</v>
      </c>
      <c r="S3018" s="2">
        <v>1199.5999999999999</v>
      </c>
      <c r="T3018" s="2">
        <v>1040</v>
      </c>
      <c r="U3018">
        <v>13.3</v>
      </c>
      <c r="V3018" t="str">
        <f>VLOOKUP(L3018,'[2]tabela de preços'!$A:$D,4,0)</f>
        <v>BRASILUX</v>
      </c>
      <c r="W3018" t="str">
        <f>VLOOKUP(L3018,'[2]tabela de preços'!$A:$F,6,0)</f>
        <v>ESMALTES</v>
      </c>
      <c r="X3018" t="str">
        <f>VLOOKUP(L3018,'[2]tabela de preços'!$A:$G,7,0)</f>
        <v>INDUSTRIAL</v>
      </c>
    </row>
    <row r="3019" spans="1:24" x14ac:dyDescent="0.3">
      <c r="A3019" t="s">
        <v>2073</v>
      </c>
      <c r="C3019" t="s">
        <v>2718</v>
      </c>
      <c r="D3019" s="1">
        <v>46058</v>
      </c>
      <c r="E3019" t="s">
        <v>2719</v>
      </c>
      <c r="F3019">
        <v>9</v>
      </c>
      <c r="G3019">
        <v>174</v>
      </c>
      <c r="H3019" t="str">
        <f>VLOOKUP(G3019,[1]OPERADORES!$A:$B,2,0)</f>
        <v>MIRIÃ LOBATO RODRIGUES</v>
      </c>
      <c r="I3019" t="s">
        <v>21</v>
      </c>
      <c r="J3019" t="s">
        <v>1257</v>
      </c>
      <c r="K3019" t="s">
        <v>2076</v>
      </c>
      <c r="L3019">
        <v>84334</v>
      </c>
      <c r="M3019" t="s">
        <v>895</v>
      </c>
      <c r="O3019" t="s">
        <v>11</v>
      </c>
      <c r="P3019">
        <v>5403</v>
      </c>
      <c r="Q3019">
        <v>100</v>
      </c>
      <c r="R3019">
        <v>59.98</v>
      </c>
      <c r="S3019" s="2">
        <v>5998</v>
      </c>
      <c r="T3019" s="2">
        <v>4766</v>
      </c>
      <c r="U3019">
        <v>20.54</v>
      </c>
      <c r="V3019" t="str">
        <f>VLOOKUP(L3019,'[2]tabela de preços'!$A:$D,4,0)</f>
        <v>BRASILUX</v>
      </c>
      <c r="W3019" t="str">
        <f>VLOOKUP(L3019,'[2]tabela de preços'!$A:$F,6,0)</f>
        <v>ESMALTES</v>
      </c>
      <c r="X3019" t="str">
        <f>VLOOKUP(L3019,'[2]tabela de preços'!$A:$G,7,0)</f>
        <v>INDUSTRIAL</v>
      </c>
    </row>
    <row r="3020" spans="1:24" x14ac:dyDescent="0.3">
      <c r="A3020" t="s">
        <v>2073</v>
      </c>
      <c r="C3020" t="s">
        <v>2718</v>
      </c>
      <c r="D3020" s="1">
        <v>46058</v>
      </c>
      <c r="E3020" t="s">
        <v>2719</v>
      </c>
      <c r="F3020">
        <v>9</v>
      </c>
      <c r="G3020">
        <v>174</v>
      </c>
      <c r="H3020" t="str">
        <f>VLOOKUP(G3020,[1]OPERADORES!$A:$B,2,0)</f>
        <v>MIRIÃ LOBATO RODRIGUES</v>
      </c>
      <c r="I3020" t="s">
        <v>21</v>
      </c>
      <c r="J3020" t="s">
        <v>1257</v>
      </c>
      <c r="K3020" t="s">
        <v>2076</v>
      </c>
      <c r="L3020">
        <v>84259</v>
      </c>
      <c r="M3020" t="s">
        <v>673</v>
      </c>
      <c r="O3020" t="s">
        <v>11</v>
      </c>
      <c r="P3020">
        <v>5403</v>
      </c>
      <c r="Q3020">
        <v>100</v>
      </c>
      <c r="R3020">
        <v>32.369999999999997</v>
      </c>
      <c r="S3020" s="2">
        <v>3237</v>
      </c>
      <c r="T3020" s="2">
        <v>2264</v>
      </c>
      <c r="U3020">
        <v>30.06</v>
      </c>
      <c r="V3020" t="str">
        <f>VLOOKUP(L3020,'[2]tabela de preços'!$A:$D,4,0)</f>
        <v>BRASILUX</v>
      </c>
      <c r="W3020" t="str">
        <f>VLOOKUP(L3020,'[2]tabela de preços'!$A:$F,6,0)</f>
        <v>TINTA PAREDE</v>
      </c>
      <c r="X3020" t="str">
        <f>VLOOKUP(L3020,'[2]tabela de preços'!$A:$G,7,0)</f>
        <v>IMOBILIÁRIO</v>
      </c>
    </row>
    <row r="3021" spans="1:24" x14ac:dyDescent="0.3">
      <c r="A3021" t="s">
        <v>2073</v>
      </c>
      <c r="C3021" t="s">
        <v>2718</v>
      </c>
      <c r="D3021" s="1">
        <v>46058</v>
      </c>
      <c r="E3021" t="s">
        <v>2719</v>
      </c>
      <c r="F3021">
        <v>9</v>
      </c>
      <c r="G3021">
        <v>174</v>
      </c>
      <c r="H3021" t="str">
        <f>VLOOKUP(G3021,[1]OPERADORES!$A:$B,2,0)</f>
        <v>MIRIÃ LOBATO RODRIGUES</v>
      </c>
      <c r="I3021" t="s">
        <v>21</v>
      </c>
      <c r="J3021" t="s">
        <v>1257</v>
      </c>
      <c r="K3021" t="s">
        <v>2076</v>
      </c>
      <c r="L3021">
        <v>84411</v>
      </c>
      <c r="M3021" t="s">
        <v>35</v>
      </c>
      <c r="O3021" t="s">
        <v>11</v>
      </c>
      <c r="P3021">
        <v>5102</v>
      </c>
      <c r="Q3021">
        <v>50</v>
      </c>
      <c r="R3021">
        <v>4.29</v>
      </c>
      <c r="S3021">
        <v>214.5</v>
      </c>
      <c r="T3021">
        <v>177</v>
      </c>
      <c r="U3021">
        <v>17.48</v>
      </c>
      <c r="V3021" t="str">
        <f>VLOOKUP(L3021,'[2]tabela de preços'!$A:$D,4,0)</f>
        <v>ADERE</v>
      </c>
      <c r="W3021" t="str">
        <f>VLOOKUP(L3021,'[2]tabela de preços'!$A:$F,6,0)</f>
        <v xml:space="preserve">FITA DE USO GERAL </v>
      </c>
      <c r="X3021" t="str">
        <f>VLOOKUP(L3021,'[2]tabela de preços'!$A:$G,7,0)</f>
        <v>IMOBILIÁRIO</v>
      </c>
    </row>
    <row r="3022" spans="1:24" x14ac:dyDescent="0.3">
      <c r="A3022" t="s">
        <v>2073</v>
      </c>
      <c r="C3022" t="s">
        <v>2718</v>
      </c>
      <c r="D3022" s="1">
        <v>46058</v>
      </c>
      <c r="E3022" t="s">
        <v>2719</v>
      </c>
      <c r="F3022">
        <v>9</v>
      </c>
      <c r="G3022">
        <v>174</v>
      </c>
      <c r="H3022" t="str">
        <f>VLOOKUP(G3022,[1]OPERADORES!$A:$B,2,0)</f>
        <v>MIRIÃ LOBATO RODRIGUES</v>
      </c>
      <c r="I3022" t="s">
        <v>21</v>
      </c>
      <c r="J3022" t="s">
        <v>1257</v>
      </c>
      <c r="K3022" t="s">
        <v>2076</v>
      </c>
      <c r="L3022">
        <v>84928</v>
      </c>
      <c r="M3022" t="s">
        <v>36</v>
      </c>
      <c r="O3022" t="s">
        <v>11</v>
      </c>
      <c r="P3022">
        <v>5102</v>
      </c>
      <c r="Q3022">
        <v>20</v>
      </c>
      <c r="R3022">
        <v>9.39</v>
      </c>
      <c r="S3022">
        <v>187.8</v>
      </c>
      <c r="T3022">
        <v>142.6</v>
      </c>
      <c r="U3022">
        <v>24.07</v>
      </c>
      <c r="V3022" t="str">
        <f>VLOOKUP(L3022,'[2]tabela de preços'!$A:$D,4,0)</f>
        <v>ADERE</v>
      </c>
      <c r="W3022" t="str">
        <f>VLOOKUP(L3022,'[2]tabela de preços'!$A:$F,6,0)</f>
        <v xml:space="preserve">FITA DE USO GERAL </v>
      </c>
      <c r="X3022" t="str">
        <f>VLOOKUP(L3022,'[2]tabela de preços'!$A:$G,7,0)</f>
        <v>IMOBILIÁRIO</v>
      </c>
    </row>
    <row r="3023" spans="1:24" x14ac:dyDescent="0.3">
      <c r="A3023" t="s">
        <v>2073</v>
      </c>
      <c r="C3023" t="s">
        <v>2718</v>
      </c>
      <c r="D3023" s="1">
        <v>46058</v>
      </c>
      <c r="E3023" t="s">
        <v>2719</v>
      </c>
      <c r="F3023">
        <v>9</v>
      </c>
      <c r="G3023">
        <v>174</v>
      </c>
      <c r="H3023" t="str">
        <f>VLOOKUP(G3023,[1]OPERADORES!$A:$B,2,0)</f>
        <v>MIRIÃ LOBATO RODRIGUES</v>
      </c>
      <c r="I3023" t="s">
        <v>21</v>
      </c>
      <c r="J3023" t="s">
        <v>1257</v>
      </c>
      <c r="K3023" t="s">
        <v>2076</v>
      </c>
      <c r="L3023">
        <v>23878</v>
      </c>
      <c r="M3023" t="s">
        <v>851</v>
      </c>
      <c r="O3023" t="s">
        <v>11</v>
      </c>
      <c r="P3023">
        <v>5102</v>
      </c>
      <c r="Q3023">
        <v>100</v>
      </c>
      <c r="R3023">
        <v>7.69</v>
      </c>
      <c r="S3023">
        <v>769</v>
      </c>
      <c r="T3023">
        <v>584</v>
      </c>
      <c r="U3023">
        <v>24.06</v>
      </c>
      <c r="V3023" t="str">
        <f>VLOOKUP(L3023,'[2]tabela de preços'!$A:$D,4,0)</f>
        <v>ATLAS</v>
      </c>
      <c r="W3023" t="str">
        <f>VLOOKUP(L3023,'[2]tabela de preços'!$A:$F,6,0)</f>
        <v>ROLOS / TRINCHAS / PINCÉIS / ESPÁTULAS</v>
      </c>
      <c r="X3023" t="str">
        <f>VLOOKUP(L3023,'[2]tabela de preços'!$A:$G,7,0)</f>
        <v>IMOBILIÁRIO</v>
      </c>
    </row>
    <row r="3024" spans="1:24" x14ac:dyDescent="0.3">
      <c r="A3024" t="s">
        <v>2073</v>
      </c>
      <c r="C3024" t="s">
        <v>2718</v>
      </c>
      <c r="D3024" s="1">
        <v>46058</v>
      </c>
      <c r="E3024" t="s">
        <v>2719</v>
      </c>
      <c r="F3024">
        <v>9</v>
      </c>
      <c r="G3024">
        <v>174</v>
      </c>
      <c r="H3024" t="str">
        <f>VLOOKUP(G3024,[1]OPERADORES!$A:$B,2,0)</f>
        <v>MIRIÃ LOBATO RODRIGUES</v>
      </c>
      <c r="I3024" t="s">
        <v>21</v>
      </c>
      <c r="J3024" t="s">
        <v>1257</v>
      </c>
      <c r="K3024" t="s">
        <v>2076</v>
      </c>
      <c r="L3024">
        <v>84016</v>
      </c>
      <c r="M3024" t="s">
        <v>862</v>
      </c>
      <c r="O3024" t="s">
        <v>11</v>
      </c>
      <c r="P3024">
        <v>5102</v>
      </c>
      <c r="Q3024">
        <v>300</v>
      </c>
      <c r="R3024">
        <v>0.6</v>
      </c>
      <c r="S3024">
        <v>180</v>
      </c>
      <c r="T3024">
        <v>138</v>
      </c>
      <c r="U3024">
        <v>23.33</v>
      </c>
      <c r="V3024" t="str">
        <f>VLOOKUP(L3024,'[2]tabela de preços'!$A:$D,4,0)</f>
        <v>3M</v>
      </c>
      <c r="W3024" t="str">
        <f>VLOOKUP(L3024,'[2]tabela de preços'!$A:$F,6,0)</f>
        <v>LIXA MASSA  /MADEIRA / PAREDE</v>
      </c>
      <c r="X3024" t="str">
        <f>VLOOKUP(L3024,'[2]tabela de preços'!$A:$G,7,0)</f>
        <v>IMOBILIÁRIO</v>
      </c>
    </row>
    <row r="3025" spans="1:24" x14ac:dyDescent="0.3">
      <c r="A3025" t="s">
        <v>2073</v>
      </c>
      <c r="C3025" t="s">
        <v>2718</v>
      </c>
      <c r="D3025" s="1">
        <v>46058</v>
      </c>
      <c r="E3025" t="s">
        <v>2719</v>
      </c>
      <c r="F3025">
        <v>9</v>
      </c>
      <c r="G3025">
        <v>174</v>
      </c>
      <c r="H3025" t="str">
        <f>VLOOKUP(G3025,[1]OPERADORES!$A:$B,2,0)</f>
        <v>MIRIÃ LOBATO RODRIGUES</v>
      </c>
      <c r="I3025" t="s">
        <v>21</v>
      </c>
      <c r="J3025" t="s">
        <v>1257</v>
      </c>
      <c r="K3025" t="s">
        <v>2076</v>
      </c>
      <c r="L3025">
        <v>85344</v>
      </c>
      <c r="M3025" t="s">
        <v>839</v>
      </c>
      <c r="O3025" t="s">
        <v>11</v>
      </c>
      <c r="P3025">
        <v>5102</v>
      </c>
      <c r="Q3025">
        <v>90</v>
      </c>
      <c r="R3025">
        <v>35.74</v>
      </c>
      <c r="S3025" s="2">
        <v>3216.6</v>
      </c>
      <c r="T3025" s="2">
        <v>2441.6999999999998</v>
      </c>
      <c r="U3025">
        <v>24.09</v>
      </c>
      <c r="V3025" t="str">
        <f>VLOOKUP(L3025,'[2]tabela de preços'!$A:$D,4,0)</f>
        <v>DÁVILA  INOVE</v>
      </c>
      <c r="W3025" t="str">
        <f>VLOOKUP(L3025,'[2]tabela de preços'!$A:$F,6,0)</f>
        <v>MASSA CORRIDA / ACRÍLICA</v>
      </c>
      <c r="X3025" t="str">
        <f>VLOOKUP(L3025,'[2]tabela de preços'!$A:$G,7,0)</f>
        <v>IMOBILIÁRIO</v>
      </c>
    </row>
    <row r="3026" spans="1:24" x14ac:dyDescent="0.3">
      <c r="A3026" t="s">
        <v>2073</v>
      </c>
      <c r="C3026" t="s">
        <v>2718</v>
      </c>
      <c r="D3026" s="1">
        <v>46058</v>
      </c>
      <c r="E3026" t="s">
        <v>2719</v>
      </c>
      <c r="F3026">
        <v>9</v>
      </c>
      <c r="G3026">
        <v>174</v>
      </c>
      <c r="H3026" t="str">
        <f>VLOOKUP(G3026,[1]OPERADORES!$A:$B,2,0)</f>
        <v>MIRIÃ LOBATO RODRIGUES</v>
      </c>
      <c r="I3026" t="s">
        <v>21</v>
      </c>
      <c r="J3026" t="s">
        <v>1257</v>
      </c>
      <c r="K3026" t="s">
        <v>2076</v>
      </c>
      <c r="L3026">
        <v>84186</v>
      </c>
      <c r="M3026" t="s">
        <v>2720</v>
      </c>
      <c r="O3026" t="s">
        <v>11</v>
      </c>
      <c r="P3026">
        <v>5403</v>
      </c>
      <c r="Q3026">
        <v>10</v>
      </c>
      <c r="R3026">
        <v>69.37</v>
      </c>
      <c r="S3026">
        <v>693.7</v>
      </c>
      <c r="T3026">
        <v>562.4</v>
      </c>
      <c r="U3026">
        <v>18.93</v>
      </c>
      <c r="V3026" t="str">
        <f>VLOOKUP(L3026,'[2]tabela de preços'!$A:$D,4,0)</f>
        <v>BRASILUX</v>
      </c>
      <c r="W3026" t="str">
        <f>VLOOKUP(L3026,'[2]tabela de preços'!$A:$F,6,0)</f>
        <v>LINHA MOVELEIRA</v>
      </c>
      <c r="X3026" t="str">
        <f>VLOOKUP(L3026,'[2]tabela de preços'!$A:$G,7,0)</f>
        <v>MOVELEIRA</v>
      </c>
    </row>
    <row r="3027" spans="1:24" x14ac:dyDescent="0.3">
      <c r="A3027" t="s">
        <v>2073</v>
      </c>
      <c r="C3027" t="s">
        <v>2718</v>
      </c>
      <c r="D3027" s="1">
        <v>46058</v>
      </c>
      <c r="E3027" t="s">
        <v>2719</v>
      </c>
      <c r="F3027">
        <v>9</v>
      </c>
      <c r="G3027">
        <v>174</v>
      </c>
      <c r="H3027" t="str">
        <f>VLOOKUP(G3027,[1]OPERADORES!$A:$B,2,0)</f>
        <v>MIRIÃ LOBATO RODRIGUES</v>
      </c>
      <c r="I3027" t="s">
        <v>21</v>
      </c>
      <c r="J3027" t="s">
        <v>1257</v>
      </c>
      <c r="K3027" t="s">
        <v>2076</v>
      </c>
      <c r="L3027">
        <v>84439</v>
      </c>
      <c r="M3027" t="s">
        <v>2721</v>
      </c>
      <c r="O3027" t="s">
        <v>11</v>
      </c>
      <c r="P3027">
        <v>5102</v>
      </c>
      <c r="Q3027">
        <v>3</v>
      </c>
      <c r="R3027">
        <v>34.44</v>
      </c>
      <c r="S3027">
        <v>103.32</v>
      </c>
      <c r="T3027">
        <v>78.42</v>
      </c>
      <c r="U3027">
        <v>24.1</v>
      </c>
      <c r="V3027" t="str">
        <f>VLOOKUP(L3027,'[2]tabela de preços'!$A:$D,4,0)</f>
        <v>ATLAS</v>
      </c>
      <c r="W3027" t="str">
        <f>VLOOKUP(L3027,'[2]tabela de preços'!$A:$F,6,0)</f>
        <v>ROLOS / TRINCHAS / PINCÉIS / ESPÁTULAS</v>
      </c>
      <c r="X3027" t="str">
        <f>VLOOKUP(L3027,'[2]tabela de preços'!$A:$G,7,0)</f>
        <v>IMOBILIÁRIO</v>
      </c>
    </row>
    <row r="3028" spans="1:24" x14ac:dyDescent="0.3">
      <c r="A3028" t="s">
        <v>2073</v>
      </c>
      <c r="C3028" t="s">
        <v>2718</v>
      </c>
      <c r="D3028" s="1">
        <v>46058</v>
      </c>
      <c r="E3028" t="s">
        <v>2719</v>
      </c>
      <c r="F3028">
        <v>9</v>
      </c>
      <c r="G3028">
        <v>174</v>
      </c>
      <c r="H3028" t="str">
        <f>VLOOKUP(G3028,[1]OPERADORES!$A:$B,2,0)</f>
        <v>MIRIÃ LOBATO RODRIGUES</v>
      </c>
      <c r="I3028" t="s">
        <v>21</v>
      </c>
      <c r="J3028" t="s">
        <v>1257</v>
      </c>
      <c r="K3028" t="s">
        <v>2076</v>
      </c>
      <c r="L3028">
        <v>84427</v>
      </c>
      <c r="M3028" t="s">
        <v>1398</v>
      </c>
      <c r="O3028" t="s">
        <v>11</v>
      </c>
      <c r="P3028">
        <v>5102</v>
      </c>
      <c r="Q3028">
        <v>100</v>
      </c>
      <c r="R3028">
        <v>6.89</v>
      </c>
      <c r="S3028">
        <v>689</v>
      </c>
      <c r="T3028">
        <v>523</v>
      </c>
      <c r="U3028">
        <v>24.09</v>
      </c>
      <c r="V3028" t="str">
        <f>VLOOKUP(L3028,'[2]tabela de preços'!$A:$D,4,0)</f>
        <v>ATLAS</v>
      </c>
      <c r="W3028" t="str">
        <f>VLOOKUP(L3028,'[2]tabela de preços'!$A:$F,6,0)</f>
        <v>ROLOS / TRINCHAS / PINCÉIS / ESPÁTULAS</v>
      </c>
      <c r="X3028" t="str">
        <f>VLOOKUP(L3028,'[2]tabela de preços'!$A:$G,7,0)</f>
        <v>IMOBILIÁRIO</v>
      </c>
    </row>
    <row r="3029" spans="1:24" x14ac:dyDescent="0.3">
      <c r="A3029" t="s">
        <v>2073</v>
      </c>
      <c r="C3029" t="s">
        <v>2718</v>
      </c>
      <c r="D3029" s="1">
        <v>46058</v>
      </c>
      <c r="E3029" t="s">
        <v>2719</v>
      </c>
      <c r="F3029">
        <v>9</v>
      </c>
      <c r="G3029">
        <v>174</v>
      </c>
      <c r="H3029" t="str">
        <f>VLOOKUP(G3029,[1]OPERADORES!$A:$B,2,0)</f>
        <v>MIRIÃ LOBATO RODRIGUES</v>
      </c>
      <c r="I3029" t="s">
        <v>21</v>
      </c>
      <c r="J3029" t="s">
        <v>1257</v>
      </c>
      <c r="K3029" t="s">
        <v>2076</v>
      </c>
      <c r="L3029">
        <v>84425</v>
      </c>
      <c r="M3029" t="s">
        <v>616</v>
      </c>
      <c r="O3029" t="s">
        <v>11</v>
      </c>
      <c r="P3029">
        <v>5102</v>
      </c>
      <c r="Q3029">
        <v>100</v>
      </c>
      <c r="R3029">
        <v>3.52</v>
      </c>
      <c r="S3029">
        <v>352</v>
      </c>
      <c r="T3029">
        <v>267</v>
      </c>
      <c r="U3029">
        <v>24.15</v>
      </c>
      <c r="V3029" t="str">
        <f>VLOOKUP(L3029,'[2]tabela de preços'!$A:$D,4,0)</f>
        <v>ATLAS</v>
      </c>
      <c r="W3029" t="str">
        <f>VLOOKUP(L3029,'[2]tabela de preços'!$A:$F,6,0)</f>
        <v>ROLOS / TRINCHAS / PINCÉIS / ESPÁTULAS</v>
      </c>
      <c r="X3029" t="str">
        <f>VLOOKUP(L3029,'[2]tabela de preços'!$A:$G,7,0)</f>
        <v>IMOBILIÁRIO</v>
      </c>
    </row>
    <row r="3030" spans="1:24" x14ac:dyDescent="0.3">
      <c r="A3030" t="s">
        <v>2073</v>
      </c>
      <c r="C3030" t="s">
        <v>2718</v>
      </c>
      <c r="D3030" s="1">
        <v>46058</v>
      </c>
      <c r="E3030" t="s">
        <v>2719</v>
      </c>
      <c r="F3030">
        <v>9</v>
      </c>
      <c r="G3030">
        <v>174</v>
      </c>
      <c r="H3030" t="str">
        <f>VLOOKUP(G3030,[1]OPERADORES!$A:$B,2,0)</f>
        <v>MIRIÃ LOBATO RODRIGUES</v>
      </c>
      <c r="I3030" t="s">
        <v>21</v>
      </c>
      <c r="J3030" t="s">
        <v>1257</v>
      </c>
      <c r="K3030" t="s">
        <v>2076</v>
      </c>
      <c r="L3030">
        <v>84426</v>
      </c>
      <c r="M3030" t="s">
        <v>1957</v>
      </c>
      <c r="O3030" t="s">
        <v>11</v>
      </c>
      <c r="P3030">
        <v>5102</v>
      </c>
      <c r="Q3030">
        <v>100</v>
      </c>
      <c r="R3030">
        <v>4.3</v>
      </c>
      <c r="S3030">
        <v>430</v>
      </c>
      <c r="T3030">
        <v>328</v>
      </c>
      <c r="U3030">
        <v>23.72</v>
      </c>
      <c r="V3030" t="str">
        <f>VLOOKUP(L3030,'[2]tabela de preços'!$A:$D,4,0)</f>
        <v>ATLAS</v>
      </c>
      <c r="W3030" t="str">
        <f>VLOOKUP(L3030,'[2]tabela de preços'!$A:$F,6,0)</f>
        <v>ROLOS / TRINCHAS / PINCÉIS / ESPÁTULAS</v>
      </c>
      <c r="X3030" t="str">
        <f>VLOOKUP(L3030,'[2]tabela de preços'!$A:$G,7,0)</f>
        <v>IMOBILIÁRIO</v>
      </c>
    </row>
    <row r="3031" spans="1:24" x14ac:dyDescent="0.3">
      <c r="A3031" t="s">
        <v>2073</v>
      </c>
      <c r="C3031" t="s">
        <v>2718</v>
      </c>
      <c r="D3031" s="1">
        <v>46058</v>
      </c>
      <c r="E3031" t="s">
        <v>2719</v>
      </c>
      <c r="F3031">
        <v>9</v>
      </c>
      <c r="G3031">
        <v>174</v>
      </c>
      <c r="H3031" t="str">
        <f>VLOOKUP(G3031,[1]OPERADORES!$A:$B,2,0)</f>
        <v>MIRIÃ LOBATO RODRIGUES</v>
      </c>
      <c r="I3031" t="s">
        <v>21</v>
      </c>
      <c r="J3031" t="s">
        <v>1257</v>
      </c>
      <c r="K3031" t="s">
        <v>2076</v>
      </c>
      <c r="L3031">
        <v>85224</v>
      </c>
      <c r="M3031" t="s">
        <v>1597</v>
      </c>
      <c r="O3031" t="s">
        <v>11</v>
      </c>
      <c r="P3031">
        <v>5102</v>
      </c>
      <c r="Q3031">
        <v>100</v>
      </c>
      <c r="R3031">
        <v>12.19</v>
      </c>
      <c r="S3031" s="2">
        <v>1219</v>
      </c>
      <c r="T3031">
        <v>925</v>
      </c>
      <c r="U3031">
        <v>24.12</v>
      </c>
      <c r="V3031" t="str">
        <f>VLOOKUP(L3031,'[2]tabela de preços'!$A:$D,4,0)</f>
        <v>ATLAS</v>
      </c>
      <c r="W3031" t="str">
        <f>VLOOKUP(L3031,'[2]tabela de preços'!$A:$F,6,0)</f>
        <v>ROLOS / TRINCHAS / PINCÉIS / ESPÁTULAS</v>
      </c>
      <c r="X3031" t="str">
        <f>VLOOKUP(L3031,'[2]tabela de preços'!$A:$G,7,0)</f>
        <v>IMOBILIÁRIO</v>
      </c>
    </row>
    <row r="3032" spans="1:24" x14ac:dyDescent="0.3">
      <c r="A3032" t="s">
        <v>2073</v>
      </c>
      <c r="C3032" t="s">
        <v>2718</v>
      </c>
      <c r="D3032" s="1">
        <v>46058</v>
      </c>
      <c r="E3032" t="s">
        <v>2719</v>
      </c>
      <c r="F3032">
        <v>9</v>
      </c>
      <c r="G3032">
        <v>174</v>
      </c>
      <c r="H3032" t="str">
        <f>VLOOKUP(G3032,[1]OPERADORES!$A:$B,2,0)</f>
        <v>MIRIÃ LOBATO RODRIGUES</v>
      </c>
      <c r="I3032" t="s">
        <v>21</v>
      </c>
      <c r="J3032" t="s">
        <v>1257</v>
      </c>
      <c r="K3032" t="s">
        <v>2076</v>
      </c>
      <c r="L3032">
        <v>85339</v>
      </c>
      <c r="M3032" t="s">
        <v>1410</v>
      </c>
      <c r="O3032" t="s">
        <v>11</v>
      </c>
      <c r="P3032">
        <v>5403</v>
      </c>
      <c r="Q3032">
        <v>50</v>
      </c>
      <c r="R3032">
        <v>59.9</v>
      </c>
      <c r="S3032" s="2">
        <v>2995</v>
      </c>
      <c r="T3032" s="2">
        <v>2460</v>
      </c>
      <c r="U3032">
        <v>17.86</v>
      </c>
      <c r="V3032" t="str">
        <f>VLOOKUP(L3032,'[2]tabela de preços'!$A:$D,4,0)</f>
        <v>DÁVILA  INOVE</v>
      </c>
      <c r="W3032" t="str">
        <f>VLOOKUP(L3032,'[2]tabela de preços'!$A:$F,6,0)</f>
        <v>TEXTURA</v>
      </c>
      <c r="X3032" t="str">
        <f>VLOOKUP(L3032,'[2]tabela de preços'!$A:$G,7,0)</f>
        <v>IMOBILIÁRIO</v>
      </c>
    </row>
    <row r="3033" spans="1:24" x14ac:dyDescent="0.3">
      <c r="A3033" t="s">
        <v>2073</v>
      </c>
      <c r="C3033" t="s">
        <v>2718</v>
      </c>
      <c r="D3033" s="1">
        <v>46058</v>
      </c>
      <c r="E3033" t="s">
        <v>2719</v>
      </c>
      <c r="F3033">
        <v>9</v>
      </c>
      <c r="G3033">
        <v>174</v>
      </c>
      <c r="H3033" t="str">
        <f>VLOOKUP(G3033,[1]OPERADORES!$A:$B,2,0)</f>
        <v>MIRIÃ LOBATO RODRIGUES</v>
      </c>
      <c r="I3033" t="s">
        <v>21</v>
      </c>
      <c r="J3033" t="s">
        <v>1257</v>
      </c>
      <c r="K3033" t="s">
        <v>2076</v>
      </c>
      <c r="L3033">
        <v>85584</v>
      </c>
      <c r="M3033" t="s">
        <v>1101</v>
      </c>
      <c r="O3033" t="s">
        <v>11</v>
      </c>
      <c r="P3033">
        <v>5403</v>
      </c>
      <c r="Q3033">
        <v>50</v>
      </c>
      <c r="R3033">
        <v>59.9</v>
      </c>
      <c r="S3033" s="2">
        <v>2995</v>
      </c>
      <c r="T3033" s="2">
        <v>2460</v>
      </c>
      <c r="U3033">
        <v>17.86</v>
      </c>
      <c r="V3033" t="str">
        <f>VLOOKUP(L3033,'[2]tabela de preços'!$A:$D,4,0)</f>
        <v>DÁVILA  INOVE</v>
      </c>
      <c r="W3033" t="str">
        <f>VLOOKUP(L3033,'[2]tabela de preços'!$A:$F,6,0)</f>
        <v>TEXTURA</v>
      </c>
      <c r="X3033" t="str">
        <f>VLOOKUP(L3033,'[2]tabela de preços'!$A:$G,7,0)</f>
        <v>IMOBILIÁRIO</v>
      </c>
    </row>
    <row r="3034" spans="1:24" x14ac:dyDescent="0.3">
      <c r="A3034" t="s">
        <v>2073</v>
      </c>
      <c r="C3034" t="s">
        <v>2718</v>
      </c>
      <c r="D3034" s="1">
        <v>46058</v>
      </c>
      <c r="E3034" t="s">
        <v>2719</v>
      </c>
      <c r="F3034">
        <v>9</v>
      </c>
      <c r="G3034">
        <v>174</v>
      </c>
      <c r="H3034" t="str">
        <f>VLOOKUP(G3034,[1]OPERADORES!$A:$B,2,0)</f>
        <v>MIRIÃ LOBATO RODRIGUES</v>
      </c>
      <c r="I3034" t="s">
        <v>21</v>
      </c>
      <c r="J3034" t="s">
        <v>1257</v>
      </c>
      <c r="K3034" t="s">
        <v>2076</v>
      </c>
      <c r="L3034">
        <v>84560</v>
      </c>
      <c r="M3034" t="s">
        <v>118</v>
      </c>
      <c r="O3034" t="s">
        <v>11</v>
      </c>
      <c r="P3034">
        <v>5102</v>
      </c>
      <c r="Q3034">
        <v>50</v>
      </c>
      <c r="R3034">
        <v>47.89</v>
      </c>
      <c r="S3034" s="2">
        <v>2394.5</v>
      </c>
      <c r="T3034" s="2">
        <v>1958</v>
      </c>
      <c r="U3034">
        <v>18.23</v>
      </c>
      <c r="V3034" t="str">
        <f>VLOOKUP(L3034,'[2]tabela de preços'!$A:$D,4,0)</f>
        <v>BRASILUX</v>
      </c>
      <c r="W3034" t="str">
        <f>VLOOKUP(L3034,'[2]tabela de preços'!$A:$F,6,0)</f>
        <v>THINNER DE LIMPEZA</v>
      </c>
      <c r="X3034" t="str">
        <f>VLOOKUP(L3034,'[2]tabela de preços'!$A:$G,7,0)</f>
        <v>THINNER</v>
      </c>
    </row>
    <row r="3035" spans="1:24" x14ac:dyDescent="0.3">
      <c r="A3035" t="s">
        <v>2073</v>
      </c>
      <c r="C3035" t="s">
        <v>2718</v>
      </c>
      <c r="D3035" s="1">
        <v>46058</v>
      </c>
      <c r="E3035" t="s">
        <v>2719</v>
      </c>
      <c r="F3035">
        <v>9</v>
      </c>
      <c r="G3035">
        <v>174</v>
      </c>
      <c r="H3035" t="str">
        <f>VLOOKUP(G3035,[1]OPERADORES!$A:$B,2,0)</f>
        <v>MIRIÃ LOBATO RODRIGUES</v>
      </c>
      <c r="I3035" t="s">
        <v>21</v>
      </c>
      <c r="J3035" t="s">
        <v>1257</v>
      </c>
      <c r="K3035" t="s">
        <v>2076</v>
      </c>
      <c r="L3035">
        <v>10114</v>
      </c>
      <c r="M3035" t="s">
        <v>571</v>
      </c>
      <c r="O3035" t="s">
        <v>11</v>
      </c>
      <c r="P3035">
        <v>5102</v>
      </c>
      <c r="Q3035">
        <v>100</v>
      </c>
      <c r="R3035">
        <v>3.63</v>
      </c>
      <c r="S3035">
        <v>363</v>
      </c>
      <c r="T3035">
        <v>300</v>
      </c>
      <c r="U3035">
        <v>17.36</v>
      </c>
      <c r="V3035" t="str">
        <f>VLOOKUP(L3035,'[2]tabela de preços'!$A:$D,4,0)</f>
        <v>ATLAS</v>
      </c>
      <c r="W3035" t="str">
        <f>VLOOKUP(L3035,'[2]tabela de preços'!$A:$F,6,0)</f>
        <v>ROLOS / TRINCHAS / PINCÉIS / ESPÁTULAS</v>
      </c>
      <c r="X3035" t="str">
        <f>VLOOKUP(L3035,'[2]tabela de preços'!$A:$G,7,0)</f>
        <v>IMOBILIÁRIO</v>
      </c>
    </row>
    <row r="3036" spans="1:24" x14ac:dyDescent="0.3">
      <c r="A3036" t="s">
        <v>2073</v>
      </c>
      <c r="C3036" t="s">
        <v>2718</v>
      </c>
      <c r="D3036" s="1">
        <v>46058</v>
      </c>
      <c r="E3036" t="s">
        <v>2719</v>
      </c>
      <c r="F3036">
        <v>9</v>
      </c>
      <c r="G3036">
        <v>174</v>
      </c>
      <c r="H3036" t="str">
        <f>VLOOKUP(G3036,[1]OPERADORES!$A:$B,2,0)</f>
        <v>MIRIÃ LOBATO RODRIGUES</v>
      </c>
      <c r="I3036" t="s">
        <v>21</v>
      </c>
      <c r="J3036" t="s">
        <v>1257</v>
      </c>
      <c r="K3036" t="s">
        <v>2076</v>
      </c>
      <c r="L3036">
        <v>10117</v>
      </c>
      <c r="M3036" t="s">
        <v>1043</v>
      </c>
      <c r="O3036" t="s">
        <v>11</v>
      </c>
      <c r="P3036">
        <v>5102</v>
      </c>
      <c r="Q3036">
        <v>100</v>
      </c>
      <c r="R3036">
        <v>6.01</v>
      </c>
      <c r="S3036">
        <v>601</v>
      </c>
      <c r="T3036">
        <v>495</v>
      </c>
      <c r="U3036">
        <v>17.64</v>
      </c>
      <c r="V3036" t="str">
        <f>VLOOKUP(L3036,'[2]tabela de preços'!$A:$D,4,0)</f>
        <v>ATLAS</v>
      </c>
      <c r="W3036" t="str">
        <f>VLOOKUP(L3036,'[2]tabela de preços'!$A:$F,6,0)</f>
        <v>ROLOS / TRINCHAS / PINCÉIS / ESPÁTULAS</v>
      </c>
      <c r="X3036" t="str">
        <f>VLOOKUP(L3036,'[2]tabela de preços'!$A:$G,7,0)</f>
        <v>IMOBILIÁRIO</v>
      </c>
    </row>
    <row r="3037" spans="1:24" x14ac:dyDescent="0.3">
      <c r="A3037" t="s">
        <v>2073</v>
      </c>
      <c r="C3037" t="s">
        <v>2718</v>
      </c>
      <c r="D3037" s="1">
        <v>46058</v>
      </c>
      <c r="E3037" t="s">
        <v>2719</v>
      </c>
      <c r="F3037">
        <v>9</v>
      </c>
      <c r="G3037">
        <v>174</v>
      </c>
      <c r="H3037" t="str">
        <f>VLOOKUP(G3037,[1]OPERADORES!$A:$B,2,0)</f>
        <v>MIRIÃ LOBATO RODRIGUES</v>
      </c>
      <c r="I3037" t="s">
        <v>21</v>
      </c>
      <c r="J3037" t="s">
        <v>1257</v>
      </c>
      <c r="K3037" t="s">
        <v>2076</v>
      </c>
      <c r="L3037">
        <v>10120</v>
      </c>
      <c r="M3037" t="s">
        <v>2356</v>
      </c>
      <c r="O3037" t="s">
        <v>11</v>
      </c>
      <c r="P3037">
        <v>5102</v>
      </c>
      <c r="Q3037">
        <v>100</v>
      </c>
      <c r="R3037">
        <v>9.18</v>
      </c>
      <c r="S3037">
        <v>918</v>
      </c>
      <c r="T3037">
        <v>757</v>
      </c>
      <c r="U3037">
        <v>17.54</v>
      </c>
      <c r="V3037" t="str">
        <f>VLOOKUP(L3037,'[2]tabela de preços'!$A:$D,4,0)</f>
        <v>ATLAS</v>
      </c>
      <c r="W3037" t="str">
        <f>VLOOKUP(L3037,'[2]tabela de preços'!$A:$F,6,0)</f>
        <v>ROLOS / TRINCHAS / PINCÉIS / ESPÁTULAS</v>
      </c>
      <c r="X3037" t="str">
        <f>VLOOKUP(L3037,'[2]tabela de preços'!$A:$G,7,0)</f>
        <v>IMOBILIÁRIO</v>
      </c>
    </row>
    <row r="3038" spans="1:24" x14ac:dyDescent="0.3">
      <c r="A3038" t="s">
        <v>2073</v>
      </c>
      <c r="C3038" t="s">
        <v>2718</v>
      </c>
      <c r="D3038" s="1">
        <v>46058</v>
      </c>
      <c r="E3038" t="s">
        <v>2719</v>
      </c>
      <c r="F3038">
        <v>9</v>
      </c>
      <c r="G3038">
        <v>174</v>
      </c>
      <c r="H3038" t="str">
        <f>VLOOKUP(G3038,[1]OPERADORES!$A:$B,2,0)</f>
        <v>MIRIÃ LOBATO RODRIGUES</v>
      </c>
      <c r="I3038" t="s">
        <v>21</v>
      </c>
      <c r="J3038" t="s">
        <v>1257</v>
      </c>
      <c r="K3038" t="s">
        <v>2076</v>
      </c>
      <c r="L3038">
        <v>10121</v>
      </c>
      <c r="M3038" t="s">
        <v>2357</v>
      </c>
      <c r="O3038" t="s">
        <v>11</v>
      </c>
      <c r="P3038">
        <v>5102</v>
      </c>
      <c r="Q3038">
        <v>100</v>
      </c>
      <c r="R3038">
        <v>10.52</v>
      </c>
      <c r="S3038" s="2">
        <v>1052</v>
      </c>
      <c r="T3038">
        <v>867</v>
      </c>
      <c r="U3038">
        <v>17.59</v>
      </c>
      <c r="V3038" t="str">
        <f>VLOOKUP(L3038,'[2]tabela de preços'!$A:$D,4,0)</f>
        <v>ATLAS</v>
      </c>
      <c r="W3038" t="str">
        <f>VLOOKUP(L3038,'[2]tabela de preços'!$A:$F,6,0)</f>
        <v>ROLOS / TRINCHAS / PINCÉIS / ESPÁTULAS</v>
      </c>
      <c r="X3038" t="str">
        <f>VLOOKUP(L3038,'[2]tabela de preços'!$A:$G,7,0)</f>
        <v>IMOBILIÁRIO</v>
      </c>
    </row>
    <row r="3039" spans="1:24" x14ac:dyDescent="0.3">
      <c r="A3039" t="s">
        <v>2080</v>
      </c>
      <c r="B3039" t="s">
        <v>2081</v>
      </c>
      <c r="C3039" t="s">
        <v>2850</v>
      </c>
      <c r="D3039" s="1">
        <v>46062</v>
      </c>
      <c r="E3039" t="s">
        <v>2851</v>
      </c>
      <c r="F3039">
        <v>9</v>
      </c>
      <c r="G3039">
        <v>197</v>
      </c>
      <c r="H3039" t="str">
        <f>VLOOKUP(G3039,[1]OPERADORES!$A:$B,2,0)</f>
        <v xml:space="preserve">POLIANA LORRANE DE AMORIM </v>
      </c>
      <c r="I3039" t="s">
        <v>21</v>
      </c>
      <c r="J3039" t="s">
        <v>614</v>
      </c>
      <c r="K3039" t="s">
        <v>2084</v>
      </c>
      <c r="L3039">
        <v>20525</v>
      </c>
      <c r="M3039" t="s">
        <v>137</v>
      </c>
      <c r="O3039" t="s">
        <v>11</v>
      </c>
      <c r="P3039">
        <v>5102</v>
      </c>
      <c r="Q3039">
        <v>12</v>
      </c>
      <c r="R3039">
        <v>14.13</v>
      </c>
      <c r="S3039">
        <v>169.56</v>
      </c>
      <c r="T3039">
        <v>124.32</v>
      </c>
      <c r="U3039">
        <v>26.68</v>
      </c>
      <c r="V3039" t="str">
        <f>VLOOKUP(L3039,'[2]tabela de preços'!$A:$D,4,0)</f>
        <v>SHERWIN WILLIAMS</v>
      </c>
      <c r="W3039" t="str">
        <f>VLOOKUP(L3039,'[2]tabela de preços'!$A:$F,6,0)</f>
        <v>MASSA DE PEQUENOS REPAROS</v>
      </c>
      <c r="X3039" t="str">
        <f>VLOOKUP(L3039,'[2]tabela de preços'!$A:$G,7,0)</f>
        <v>AUTOMOTIVO</v>
      </c>
    </row>
    <row r="3040" spans="1:24" x14ac:dyDescent="0.3">
      <c r="A3040" t="s">
        <v>2080</v>
      </c>
      <c r="B3040" t="s">
        <v>2081</v>
      </c>
      <c r="C3040" t="s">
        <v>2850</v>
      </c>
      <c r="D3040" s="1">
        <v>46062</v>
      </c>
      <c r="E3040" t="s">
        <v>2851</v>
      </c>
      <c r="F3040">
        <v>9</v>
      </c>
      <c r="G3040">
        <v>197</v>
      </c>
      <c r="H3040" t="str">
        <f>VLOOKUP(G3040,[1]OPERADORES!$A:$B,2,0)</f>
        <v xml:space="preserve">POLIANA LORRANE DE AMORIM </v>
      </c>
      <c r="I3040" t="s">
        <v>21</v>
      </c>
      <c r="J3040" t="s">
        <v>614</v>
      </c>
      <c r="K3040" t="s">
        <v>2084</v>
      </c>
      <c r="L3040">
        <v>84200</v>
      </c>
      <c r="M3040" t="s">
        <v>1552</v>
      </c>
      <c r="O3040" t="s">
        <v>11</v>
      </c>
      <c r="P3040">
        <v>5403</v>
      </c>
      <c r="Q3040">
        <v>5</v>
      </c>
      <c r="R3040">
        <v>231.95</v>
      </c>
      <c r="S3040" s="2">
        <v>1159.75</v>
      </c>
      <c r="T3040">
        <v>850.25</v>
      </c>
      <c r="U3040">
        <v>26.69</v>
      </c>
      <c r="V3040" t="str">
        <f>VLOOKUP(L3040,'[2]tabela de preços'!$A:$D,4,0)</f>
        <v>BRASILUX</v>
      </c>
      <c r="W3040" t="str">
        <f>VLOOKUP(L3040,'[2]tabela de preços'!$A:$F,6,0)</f>
        <v>EPOXI</v>
      </c>
      <c r="X3040" t="str">
        <f>VLOOKUP(L3040,'[2]tabela de preços'!$A:$G,7,0)</f>
        <v>INDUSTRIAL</v>
      </c>
    </row>
    <row r="3041" spans="1:24" x14ac:dyDescent="0.3">
      <c r="A3041" t="s">
        <v>2469</v>
      </c>
      <c r="C3041" t="s">
        <v>2470</v>
      </c>
      <c r="D3041" s="1">
        <v>46055</v>
      </c>
      <c r="E3041" t="s">
        <v>2471</v>
      </c>
      <c r="F3041">
        <v>9</v>
      </c>
      <c r="G3041">
        <v>145</v>
      </c>
      <c r="H3041" t="str">
        <f>VLOOKUP(G3041,[1]OPERADORES!$A:$B,2,0)</f>
        <v xml:space="preserve">FABRICIA </v>
      </c>
      <c r="I3041" t="s">
        <v>244</v>
      </c>
      <c r="J3041" t="s">
        <v>967</v>
      </c>
      <c r="K3041" t="s">
        <v>2472</v>
      </c>
      <c r="L3041">
        <v>84114</v>
      </c>
      <c r="M3041" t="s">
        <v>292</v>
      </c>
      <c r="O3041" t="s">
        <v>11</v>
      </c>
      <c r="P3041">
        <v>6403</v>
      </c>
      <c r="Q3041">
        <v>2</v>
      </c>
      <c r="R3041">
        <v>153.99</v>
      </c>
      <c r="S3041">
        <v>307.98</v>
      </c>
      <c r="T3041">
        <v>233.76</v>
      </c>
      <c r="U3041">
        <v>24.1</v>
      </c>
      <c r="V3041" t="str">
        <f>VLOOKUP(L3041,'[2]tabela de preços'!$A:$D,4,0)</f>
        <v>BRASILUX</v>
      </c>
      <c r="W3041" t="str">
        <f>VLOOKUP(L3041,'[2]tabela de preços'!$A:$F,6,0)</f>
        <v>EPOXI</v>
      </c>
      <c r="X3041" t="str">
        <f>VLOOKUP(L3041,'[2]tabela de preços'!$A:$G,7,0)</f>
        <v>INDUSTRIAL</v>
      </c>
    </row>
    <row r="3042" spans="1:24" x14ac:dyDescent="0.3">
      <c r="A3042" t="s">
        <v>2469</v>
      </c>
      <c r="C3042" t="s">
        <v>2470</v>
      </c>
      <c r="D3042" s="1">
        <v>46055</v>
      </c>
      <c r="E3042" t="s">
        <v>2471</v>
      </c>
      <c r="F3042">
        <v>9</v>
      </c>
      <c r="G3042">
        <v>145</v>
      </c>
      <c r="H3042" t="str">
        <f>VLOOKUP(G3042,[1]OPERADORES!$A:$B,2,0)</f>
        <v xml:space="preserve">FABRICIA </v>
      </c>
      <c r="I3042" t="s">
        <v>244</v>
      </c>
      <c r="J3042" t="s">
        <v>967</v>
      </c>
      <c r="K3042" t="s">
        <v>2472</v>
      </c>
      <c r="L3042">
        <v>84116</v>
      </c>
      <c r="M3042" t="s">
        <v>2417</v>
      </c>
      <c r="O3042" t="s">
        <v>11</v>
      </c>
      <c r="P3042">
        <v>6403</v>
      </c>
      <c r="Q3042">
        <v>2</v>
      </c>
      <c r="R3042">
        <v>153.99</v>
      </c>
      <c r="S3042">
        <v>307.98</v>
      </c>
      <c r="T3042">
        <v>233.76</v>
      </c>
      <c r="U3042">
        <v>24.1</v>
      </c>
      <c r="V3042" t="str">
        <f>VLOOKUP(L3042,'[2]tabela de preços'!$A:$D,4,0)</f>
        <v>BRASILUX</v>
      </c>
      <c r="W3042" t="str">
        <f>VLOOKUP(L3042,'[2]tabela de preços'!$A:$F,6,0)</f>
        <v>EPOXI</v>
      </c>
      <c r="X3042" t="str">
        <f>VLOOKUP(L3042,'[2]tabela de preços'!$A:$G,7,0)</f>
        <v>INDUSTRIAL</v>
      </c>
    </row>
    <row r="3043" spans="1:24" x14ac:dyDescent="0.3">
      <c r="A3043" t="s">
        <v>2113</v>
      </c>
      <c r="C3043" t="s">
        <v>2722</v>
      </c>
      <c r="D3043" s="1">
        <v>46058</v>
      </c>
      <c r="E3043" t="s">
        <v>2723</v>
      </c>
      <c r="F3043">
        <v>9</v>
      </c>
      <c r="G3043">
        <v>236</v>
      </c>
      <c r="H3043" t="str">
        <f>VLOOKUP(G3043,[1]OPERADORES!$A:$B,2,0)</f>
        <v>DANIEL</v>
      </c>
      <c r="I3043" t="s">
        <v>21</v>
      </c>
      <c r="J3043" t="s">
        <v>211</v>
      </c>
      <c r="K3043" t="s">
        <v>2116</v>
      </c>
      <c r="L3043">
        <v>85448</v>
      </c>
      <c r="M3043" t="s">
        <v>1259</v>
      </c>
      <c r="O3043" t="s">
        <v>11</v>
      </c>
      <c r="P3043">
        <v>5403</v>
      </c>
      <c r="Q3043">
        <v>1</v>
      </c>
      <c r="R3043">
        <v>98.77</v>
      </c>
      <c r="S3043">
        <v>98.77</v>
      </c>
      <c r="T3043">
        <v>72.41</v>
      </c>
      <c r="U3043">
        <v>26.69</v>
      </c>
      <c r="V3043" t="str">
        <f>VLOOKUP(L3043,'[2]tabela de preços'!$A:$D,4,0)</f>
        <v>BRASILUX</v>
      </c>
      <c r="W3043" t="str">
        <f>VLOOKUP(L3043,'[2]tabela de preços'!$A:$F,6,0)</f>
        <v>TINTAS LACA</v>
      </c>
      <c r="X3043" t="str">
        <f>VLOOKUP(L3043,'[2]tabela de preços'!$A:$G,7,0)</f>
        <v>AUTOMOTIVO</v>
      </c>
    </row>
    <row r="3044" spans="1:24" x14ac:dyDescent="0.3">
      <c r="A3044" t="s">
        <v>2113</v>
      </c>
      <c r="C3044" t="s">
        <v>2722</v>
      </c>
      <c r="D3044" s="1">
        <v>46058</v>
      </c>
      <c r="E3044" t="s">
        <v>2723</v>
      </c>
      <c r="F3044">
        <v>9</v>
      </c>
      <c r="G3044">
        <v>236</v>
      </c>
      <c r="H3044" t="str">
        <f>VLOOKUP(G3044,[1]OPERADORES!$A:$B,2,0)</f>
        <v>DANIEL</v>
      </c>
      <c r="I3044" t="s">
        <v>21</v>
      </c>
      <c r="J3044" t="s">
        <v>211</v>
      </c>
      <c r="K3044" t="s">
        <v>2116</v>
      </c>
      <c r="L3044">
        <v>10297</v>
      </c>
      <c r="M3044" t="s">
        <v>41</v>
      </c>
      <c r="O3044" t="s">
        <v>11</v>
      </c>
      <c r="P3044">
        <v>5102</v>
      </c>
      <c r="Q3044">
        <v>2</v>
      </c>
      <c r="R3044">
        <v>10.89</v>
      </c>
      <c r="S3044">
        <v>21.78</v>
      </c>
      <c r="T3044">
        <v>18.34</v>
      </c>
      <c r="U3044">
        <v>15.79</v>
      </c>
      <c r="V3044" t="str">
        <f>VLOOKUP(L3044,'[2]tabela de preços'!$A:$D,4,0)</f>
        <v>ANJO</v>
      </c>
      <c r="W3044" t="str">
        <f>VLOOKUP(L3044,'[2]tabela de preços'!$A:$F,6,0)</f>
        <v>THINNER DE LIMPEZA</v>
      </c>
      <c r="X3044" t="str">
        <f>VLOOKUP(L3044,'[2]tabela de preços'!$A:$G,7,0)</f>
        <v>THINNER</v>
      </c>
    </row>
    <row r="3045" spans="1:24" x14ac:dyDescent="0.3">
      <c r="A3045" t="s">
        <v>2724</v>
      </c>
      <c r="C3045" t="s">
        <v>2725</v>
      </c>
      <c r="D3045" s="1">
        <v>46058</v>
      </c>
      <c r="E3045" t="s">
        <v>2726</v>
      </c>
      <c r="F3045">
        <v>9</v>
      </c>
      <c r="G3045">
        <v>197</v>
      </c>
      <c r="H3045" t="str">
        <f>VLOOKUP(G3045,[1]OPERADORES!$A:$B,2,0)</f>
        <v xml:space="preserve">POLIANA LORRANE DE AMORIM </v>
      </c>
      <c r="I3045" t="s">
        <v>21</v>
      </c>
      <c r="J3045" t="s">
        <v>1018</v>
      </c>
      <c r="K3045" t="s">
        <v>2727</v>
      </c>
      <c r="L3045">
        <v>86995</v>
      </c>
      <c r="M3045" t="s">
        <v>37</v>
      </c>
      <c r="O3045" t="s">
        <v>11</v>
      </c>
      <c r="P3045">
        <v>5102</v>
      </c>
      <c r="Q3045">
        <v>6</v>
      </c>
      <c r="R3045">
        <v>7.29</v>
      </c>
      <c r="S3045">
        <v>43.74</v>
      </c>
      <c r="T3045">
        <v>34.979999999999997</v>
      </c>
      <c r="U3045">
        <v>20.03</v>
      </c>
      <c r="V3045" t="str">
        <f>VLOOKUP(L3045,'[2]tabela de preços'!$A:$D,4,0)</f>
        <v>AUTOAMERICA</v>
      </c>
      <c r="W3045" t="str">
        <f>VLOOKUP(L3045,'[2]tabela de preços'!$A:$F,6,0)</f>
        <v>FLANELAS / PANOS</v>
      </c>
      <c r="X3045" t="str">
        <f>VLOOKUP(L3045,'[2]tabela de preços'!$A:$G,7,0)</f>
        <v>AUTOMOTIVO</v>
      </c>
    </row>
    <row r="3046" spans="1:24" x14ac:dyDescent="0.3">
      <c r="A3046" t="s">
        <v>2724</v>
      </c>
      <c r="C3046" t="s">
        <v>2725</v>
      </c>
      <c r="D3046" s="1">
        <v>46058</v>
      </c>
      <c r="E3046" t="s">
        <v>2726</v>
      </c>
      <c r="F3046">
        <v>9</v>
      </c>
      <c r="G3046">
        <v>197</v>
      </c>
      <c r="H3046" t="str">
        <f>VLOOKUP(G3046,[1]OPERADORES!$A:$B,2,0)</f>
        <v xml:space="preserve">POLIANA LORRANE DE AMORIM </v>
      </c>
      <c r="I3046" t="s">
        <v>21</v>
      </c>
      <c r="J3046" t="s">
        <v>1018</v>
      </c>
      <c r="K3046" t="s">
        <v>2727</v>
      </c>
      <c r="L3046">
        <v>20455</v>
      </c>
      <c r="M3046" t="s">
        <v>2104</v>
      </c>
      <c r="O3046" t="s">
        <v>11</v>
      </c>
      <c r="P3046">
        <v>5403</v>
      </c>
      <c r="Q3046">
        <v>6</v>
      </c>
      <c r="R3046">
        <v>29.5</v>
      </c>
      <c r="S3046">
        <v>177</v>
      </c>
      <c r="T3046">
        <v>134.34</v>
      </c>
      <c r="U3046">
        <v>24.1</v>
      </c>
      <c r="V3046" t="str">
        <f>VLOOKUP(L3046,'[2]tabela de preços'!$A:$D,4,0)</f>
        <v>SHERWIN WILLIAMS</v>
      </c>
      <c r="W3046" t="str">
        <f>VLOOKUP(L3046,'[2]tabela de preços'!$A:$F,6,0)</f>
        <v>VERNIZ AUTOMOTIVO</v>
      </c>
      <c r="X3046" t="str">
        <f>VLOOKUP(L3046,'[2]tabela de preços'!$A:$G,7,0)</f>
        <v>AUTOMOTIVO</v>
      </c>
    </row>
    <row r="3047" spans="1:24" x14ac:dyDescent="0.3">
      <c r="A3047" t="s">
        <v>2724</v>
      </c>
      <c r="C3047" t="s">
        <v>2725</v>
      </c>
      <c r="D3047" s="1">
        <v>46058</v>
      </c>
      <c r="E3047" t="s">
        <v>2726</v>
      </c>
      <c r="F3047">
        <v>9</v>
      </c>
      <c r="G3047">
        <v>197</v>
      </c>
      <c r="H3047" t="str">
        <f>VLOOKUP(G3047,[1]OPERADORES!$A:$B,2,0)</f>
        <v xml:space="preserve">POLIANA LORRANE DE AMORIM </v>
      </c>
      <c r="I3047" t="s">
        <v>21</v>
      </c>
      <c r="J3047" t="s">
        <v>1018</v>
      </c>
      <c r="K3047" t="s">
        <v>2727</v>
      </c>
      <c r="L3047">
        <v>23602</v>
      </c>
      <c r="M3047" t="s">
        <v>215</v>
      </c>
      <c r="O3047" t="s">
        <v>11</v>
      </c>
      <c r="P3047">
        <v>5403</v>
      </c>
      <c r="Q3047">
        <v>12</v>
      </c>
      <c r="R3047">
        <v>35.89</v>
      </c>
      <c r="S3047">
        <v>430.68</v>
      </c>
      <c r="T3047">
        <v>351</v>
      </c>
      <c r="U3047">
        <v>18.5</v>
      </c>
      <c r="V3047" t="str">
        <f>VLOOKUP(L3047,'[2]tabela de preços'!$A:$D,4,0)</f>
        <v>SHERWIN WILLIAMS</v>
      </c>
      <c r="W3047" t="str">
        <f>VLOOKUP(L3047,'[2]tabela de preços'!$A:$F,6,0)</f>
        <v>VERNIZ AUTOMOTIVO</v>
      </c>
      <c r="X3047" t="str">
        <f>VLOOKUP(L3047,'[2]tabela de preços'!$A:$G,7,0)</f>
        <v>AUTOMOTIVO</v>
      </c>
    </row>
    <row r="3048" spans="1:24" x14ac:dyDescent="0.3">
      <c r="A3048" t="s">
        <v>2724</v>
      </c>
      <c r="C3048" t="s">
        <v>2725</v>
      </c>
      <c r="D3048" s="1">
        <v>46058</v>
      </c>
      <c r="E3048" t="s">
        <v>2726</v>
      </c>
      <c r="F3048">
        <v>9</v>
      </c>
      <c r="G3048">
        <v>197</v>
      </c>
      <c r="H3048" t="str">
        <f>VLOOKUP(G3048,[1]OPERADORES!$A:$B,2,0)</f>
        <v xml:space="preserve">POLIANA LORRANE DE AMORIM </v>
      </c>
      <c r="I3048" t="s">
        <v>21</v>
      </c>
      <c r="J3048" t="s">
        <v>1018</v>
      </c>
      <c r="K3048" t="s">
        <v>2727</v>
      </c>
      <c r="L3048">
        <v>20431</v>
      </c>
      <c r="M3048" t="s">
        <v>202</v>
      </c>
      <c r="O3048" t="s">
        <v>11</v>
      </c>
      <c r="P3048">
        <v>5403</v>
      </c>
      <c r="Q3048">
        <v>6</v>
      </c>
      <c r="R3048">
        <v>36.89</v>
      </c>
      <c r="S3048">
        <v>221.34</v>
      </c>
      <c r="T3048">
        <v>181.56</v>
      </c>
      <c r="U3048">
        <v>17.97</v>
      </c>
      <c r="V3048" t="str">
        <f>VLOOKUP(L3048,'[2]tabela de preços'!$A:$D,4,0)</f>
        <v>SHERWIN WILLIAMS</v>
      </c>
      <c r="W3048" t="str">
        <f>VLOOKUP(L3048,'[2]tabela de preços'!$A:$F,6,0)</f>
        <v>VERNIZ AUTOMOTIVO</v>
      </c>
      <c r="X3048" t="str">
        <f>VLOOKUP(L3048,'[2]tabela de preços'!$A:$G,7,0)</f>
        <v>AUTOMOTIVO</v>
      </c>
    </row>
    <row r="3049" spans="1:24" x14ac:dyDescent="0.3">
      <c r="A3049" t="s">
        <v>2724</v>
      </c>
      <c r="C3049" t="s">
        <v>2725</v>
      </c>
      <c r="D3049" s="1">
        <v>46058</v>
      </c>
      <c r="E3049" t="s">
        <v>2726</v>
      </c>
      <c r="F3049">
        <v>9</v>
      </c>
      <c r="G3049">
        <v>197</v>
      </c>
      <c r="H3049" t="str">
        <f>VLOOKUP(G3049,[1]OPERADORES!$A:$B,2,0)</f>
        <v xml:space="preserve">POLIANA LORRANE DE AMORIM </v>
      </c>
      <c r="I3049" t="s">
        <v>21</v>
      </c>
      <c r="J3049" t="s">
        <v>1018</v>
      </c>
      <c r="K3049" t="s">
        <v>2727</v>
      </c>
      <c r="L3049">
        <v>20846</v>
      </c>
      <c r="M3049" t="s">
        <v>163</v>
      </c>
      <c r="O3049" t="s">
        <v>11</v>
      </c>
      <c r="P3049">
        <v>5102</v>
      </c>
      <c r="Q3049">
        <v>2</v>
      </c>
      <c r="R3049">
        <v>32.44</v>
      </c>
      <c r="S3049">
        <v>64.88</v>
      </c>
      <c r="T3049">
        <v>49.24</v>
      </c>
      <c r="U3049">
        <v>24.11</v>
      </c>
      <c r="V3049" t="str">
        <f>VLOOKUP(L3049,'[2]tabela de preços'!$A:$D,4,0)</f>
        <v>SHERWIN WILLIAMS</v>
      </c>
      <c r="W3049" t="str">
        <f>VLOOKUP(L3049,'[2]tabela de preços'!$A:$F,6,0)</f>
        <v>TINTAS POLIÉSTER</v>
      </c>
      <c r="X3049" t="str">
        <f>VLOOKUP(L3049,'[2]tabela de preços'!$A:$G,7,0)</f>
        <v>AUTOMOTIVO</v>
      </c>
    </row>
    <row r="3050" spans="1:24" x14ac:dyDescent="0.3">
      <c r="A3050" t="s">
        <v>2724</v>
      </c>
      <c r="C3050" t="s">
        <v>2725</v>
      </c>
      <c r="D3050" s="1">
        <v>46058</v>
      </c>
      <c r="E3050" t="s">
        <v>2726</v>
      </c>
      <c r="F3050">
        <v>9</v>
      </c>
      <c r="G3050">
        <v>197</v>
      </c>
      <c r="H3050" t="str">
        <f>VLOOKUP(G3050,[1]OPERADORES!$A:$B,2,0)</f>
        <v xml:space="preserve">POLIANA LORRANE DE AMORIM </v>
      </c>
      <c r="I3050" t="s">
        <v>21</v>
      </c>
      <c r="J3050" t="s">
        <v>1018</v>
      </c>
      <c r="K3050" t="s">
        <v>2727</v>
      </c>
      <c r="L3050">
        <v>20817</v>
      </c>
      <c r="M3050" t="s">
        <v>153</v>
      </c>
      <c r="O3050" t="s">
        <v>11</v>
      </c>
      <c r="P3050">
        <v>5102</v>
      </c>
      <c r="Q3050">
        <v>3</v>
      </c>
      <c r="R3050">
        <v>22.89</v>
      </c>
      <c r="S3050">
        <v>68.67</v>
      </c>
      <c r="T3050">
        <v>55.86</v>
      </c>
      <c r="U3050">
        <v>18.649999999999999</v>
      </c>
      <c r="V3050" t="str">
        <f>VLOOKUP(L3050,'[2]tabela de preços'!$A:$D,4,0)</f>
        <v>AUTO AMERICA</v>
      </c>
      <c r="W3050" t="str">
        <f>VLOOKUP(L3050,'[2]tabela de preços'!$A:$F,6,0)</f>
        <v>MASSA DE POLIR</v>
      </c>
      <c r="X3050" t="str">
        <f>VLOOKUP(L3050,'[2]tabela de preços'!$A:$G,7,0)</f>
        <v>AUTOMOTIVO</v>
      </c>
    </row>
    <row r="3051" spans="1:24" x14ac:dyDescent="0.3">
      <c r="A3051" t="s">
        <v>2724</v>
      </c>
      <c r="C3051" t="s">
        <v>2725</v>
      </c>
      <c r="D3051" s="1">
        <v>46058</v>
      </c>
      <c r="E3051" t="s">
        <v>2726</v>
      </c>
      <c r="F3051">
        <v>9</v>
      </c>
      <c r="G3051">
        <v>197</v>
      </c>
      <c r="H3051" t="str">
        <f>VLOOKUP(G3051,[1]OPERADORES!$A:$B,2,0)</f>
        <v xml:space="preserve">POLIANA LORRANE DE AMORIM </v>
      </c>
      <c r="I3051" t="s">
        <v>21</v>
      </c>
      <c r="J3051" t="s">
        <v>1018</v>
      </c>
      <c r="K3051" t="s">
        <v>2727</v>
      </c>
      <c r="L3051">
        <v>87043</v>
      </c>
      <c r="M3051" t="s">
        <v>217</v>
      </c>
      <c r="O3051" t="s">
        <v>11</v>
      </c>
      <c r="P3051">
        <v>5102</v>
      </c>
      <c r="Q3051">
        <v>12</v>
      </c>
      <c r="R3051">
        <v>21.95</v>
      </c>
      <c r="S3051">
        <v>263.39999999999998</v>
      </c>
      <c r="T3051">
        <v>216.24</v>
      </c>
      <c r="U3051">
        <v>17.899999999999999</v>
      </c>
      <c r="V3051" t="str">
        <f>VLOOKUP(L3051,'[2]tabela de preços'!$A:$D,4,0)</f>
        <v>ROBERLO</v>
      </c>
      <c r="W3051" t="str">
        <f>VLOOKUP(L3051,'[2]tabela de preços'!$A:$F,6,0)</f>
        <v>MASSA POLIÉSTER</v>
      </c>
      <c r="X3051" t="str">
        <f>VLOOKUP(L3051,'[2]tabela de preços'!$A:$G,7,0)</f>
        <v>AUTOMOTIVO</v>
      </c>
    </row>
    <row r="3052" spans="1:24" x14ac:dyDescent="0.3">
      <c r="A3052" t="s">
        <v>2724</v>
      </c>
      <c r="C3052" t="s">
        <v>2725</v>
      </c>
      <c r="D3052" s="1">
        <v>46058</v>
      </c>
      <c r="E3052" t="s">
        <v>2726</v>
      </c>
      <c r="F3052">
        <v>9</v>
      </c>
      <c r="G3052">
        <v>197</v>
      </c>
      <c r="H3052" t="str">
        <f>VLOOKUP(G3052,[1]OPERADORES!$A:$B,2,0)</f>
        <v xml:space="preserve">POLIANA LORRANE DE AMORIM </v>
      </c>
      <c r="I3052" t="s">
        <v>21</v>
      </c>
      <c r="J3052" t="s">
        <v>1018</v>
      </c>
      <c r="K3052" t="s">
        <v>2727</v>
      </c>
      <c r="L3052">
        <v>20414</v>
      </c>
      <c r="M3052" t="s">
        <v>112</v>
      </c>
      <c r="O3052" t="s">
        <v>11</v>
      </c>
      <c r="P3052">
        <v>5102</v>
      </c>
      <c r="Q3052">
        <v>6</v>
      </c>
      <c r="R3052">
        <v>21.89</v>
      </c>
      <c r="S3052">
        <v>131.34</v>
      </c>
      <c r="T3052">
        <v>108</v>
      </c>
      <c r="U3052">
        <v>17.77</v>
      </c>
      <c r="V3052" t="str">
        <f>VLOOKUP(L3052,'[2]tabela de preços'!$A:$D,4,0)</f>
        <v>SHERWIN WILLIAMS</v>
      </c>
      <c r="W3052" t="str">
        <f>VLOOKUP(L3052,'[2]tabela de preços'!$A:$F,6,0)</f>
        <v>DILUENTE</v>
      </c>
      <c r="X3052" t="str">
        <f>VLOOKUP(L3052,'[2]tabela de preços'!$A:$G,7,0)</f>
        <v>AUTOMOTIVO</v>
      </c>
    </row>
    <row r="3053" spans="1:24" x14ac:dyDescent="0.3">
      <c r="A3053" t="s">
        <v>2120</v>
      </c>
      <c r="C3053" t="s">
        <v>2852</v>
      </c>
      <c r="D3053" s="1">
        <v>46062</v>
      </c>
      <c r="E3053" t="s">
        <v>2853</v>
      </c>
      <c r="F3053">
        <v>9</v>
      </c>
      <c r="G3053">
        <v>145</v>
      </c>
      <c r="H3053" t="str">
        <f>VLOOKUP(G3053,[1]OPERADORES!$A:$B,2,0)</f>
        <v xml:space="preserve">FABRICIA </v>
      </c>
      <c r="I3053" t="s">
        <v>2854</v>
      </c>
      <c r="J3053" t="s">
        <v>2855</v>
      </c>
      <c r="K3053" t="s">
        <v>2856</v>
      </c>
      <c r="L3053">
        <v>10236</v>
      </c>
      <c r="M3053" t="s">
        <v>133</v>
      </c>
      <c r="O3053" t="s">
        <v>11</v>
      </c>
      <c r="P3053">
        <v>6102</v>
      </c>
      <c r="Q3053">
        <v>50</v>
      </c>
      <c r="R3053">
        <v>2.79</v>
      </c>
      <c r="S3053">
        <v>139.5</v>
      </c>
      <c r="T3053">
        <v>116</v>
      </c>
      <c r="U3053">
        <v>16.850000000000001</v>
      </c>
      <c r="V3053" t="str">
        <f>VLOOKUP(L3053,'[2]tabela de preços'!$A:$D,4,0)</f>
        <v>NORTON</v>
      </c>
      <c r="W3053" t="str">
        <f>VLOOKUP(L3053,'[2]tabela de preços'!$A:$F,6,0)</f>
        <v xml:space="preserve">DISCOS / LIXAS / ABRASIVOS </v>
      </c>
      <c r="X3053" t="str">
        <f>VLOOKUP(L3053,'[2]tabela de preços'!$A:$G,7,0)</f>
        <v>AUTOMOTIVO</v>
      </c>
    </row>
    <row r="3054" spans="1:24" x14ac:dyDescent="0.3">
      <c r="A3054" t="s">
        <v>2120</v>
      </c>
      <c r="C3054" t="s">
        <v>2852</v>
      </c>
      <c r="D3054" s="1">
        <v>46062</v>
      </c>
      <c r="E3054" t="s">
        <v>2853</v>
      </c>
      <c r="F3054">
        <v>9</v>
      </c>
      <c r="G3054">
        <v>145</v>
      </c>
      <c r="H3054" t="str">
        <f>VLOOKUP(G3054,[1]OPERADORES!$A:$B,2,0)</f>
        <v xml:space="preserve">FABRICIA </v>
      </c>
      <c r="I3054" t="s">
        <v>2854</v>
      </c>
      <c r="J3054" t="s">
        <v>2855</v>
      </c>
      <c r="K3054" t="s">
        <v>2856</v>
      </c>
      <c r="L3054">
        <v>84017</v>
      </c>
      <c r="M3054" t="s">
        <v>519</v>
      </c>
      <c r="O3054" t="s">
        <v>11</v>
      </c>
      <c r="P3054">
        <v>6102</v>
      </c>
      <c r="Q3054">
        <v>100</v>
      </c>
      <c r="R3054">
        <v>0.64</v>
      </c>
      <c r="S3054">
        <v>64</v>
      </c>
      <c r="T3054">
        <v>46</v>
      </c>
      <c r="U3054">
        <v>28.13</v>
      </c>
      <c r="V3054" t="str">
        <f>VLOOKUP(L3054,'[2]tabela de preços'!$A:$D,4,0)</f>
        <v>3M</v>
      </c>
      <c r="W3054" t="str">
        <f>VLOOKUP(L3054,'[2]tabela de preços'!$A:$F,6,0)</f>
        <v>LIXA MASSA  /MADEIRA / PAREDE</v>
      </c>
      <c r="X3054" t="str">
        <f>VLOOKUP(L3054,'[2]tabela de preços'!$A:$G,7,0)</f>
        <v>IMOBILIÁRIO</v>
      </c>
    </row>
    <row r="3055" spans="1:24" x14ac:dyDescent="0.3">
      <c r="A3055" t="s">
        <v>2120</v>
      </c>
      <c r="C3055" t="s">
        <v>2852</v>
      </c>
      <c r="D3055" s="1">
        <v>46062</v>
      </c>
      <c r="E3055" t="s">
        <v>2853</v>
      </c>
      <c r="F3055">
        <v>9</v>
      </c>
      <c r="G3055">
        <v>145</v>
      </c>
      <c r="H3055" t="str">
        <f>VLOOKUP(G3055,[1]OPERADORES!$A:$B,2,0)</f>
        <v xml:space="preserve">FABRICIA </v>
      </c>
      <c r="I3055" t="s">
        <v>2854</v>
      </c>
      <c r="J3055" t="s">
        <v>2855</v>
      </c>
      <c r="K3055" t="s">
        <v>2856</v>
      </c>
      <c r="L3055">
        <v>10243</v>
      </c>
      <c r="M3055" t="s">
        <v>83</v>
      </c>
      <c r="O3055" t="s">
        <v>11</v>
      </c>
      <c r="P3055">
        <v>6102</v>
      </c>
      <c r="Q3055">
        <v>100</v>
      </c>
      <c r="R3055">
        <v>2.79</v>
      </c>
      <c r="S3055">
        <v>279</v>
      </c>
      <c r="T3055">
        <v>193</v>
      </c>
      <c r="U3055">
        <v>30.82</v>
      </c>
      <c r="V3055" t="str">
        <f>VLOOKUP(L3055,'[2]tabela de preços'!$A:$D,4,0)</f>
        <v>NORTON</v>
      </c>
      <c r="W3055" t="str">
        <f>VLOOKUP(L3055,'[2]tabela de preços'!$A:$F,6,0)</f>
        <v xml:space="preserve">DISCOS / LIXAS / ABRASIVOS </v>
      </c>
      <c r="X3055" t="str">
        <f>VLOOKUP(L3055,'[2]tabela de preços'!$A:$G,7,0)</f>
        <v>AUTOMOTIVO</v>
      </c>
    </row>
    <row r="3056" spans="1:24" x14ac:dyDescent="0.3">
      <c r="A3056" t="s">
        <v>2857</v>
      </c>
      <c r="C3056" t="s">
        <v>2858</v>
      </c>
      <c r="D3056" s="1">
        <v>46062</v>
      </c>
      <c r="E3056" t="s">
        <v>2859</v>
      </c>
      <c r="F3056">
        <v>9</v>
      </c>
      <c r="G3056">
        <v>174</v>
      </c>
      <c r="H3056" t="str">
        <f>VLOOKUP(G3056,[1]OPERADORES!$A:$B,2,0)</f>
        <v>MIRIÃ LOBATO RODRIGUES</v>
      </c>
      <c r="I3056" t="s">
        <v>21</v>
      </c>
      <c r="J3056" t="s">
        <v>730</v>
      </c>
      <c r="K3056" t="s">
        <v>2860</v>
      </c>
      <c r="L3056">
        <v>85780</v>
      </c>
      <c r="M3056" t="s">
        <v>2861</v>
      </c>
      <c r="O3056" t="s">
        <v>11</v>
      </c>
      <c r="P3056">
        <v>5403</v>
      </c>
      <c r="Q3056">
        <v>3</v>
      </c>
      <c r="R3056">
        <v>164.77</v>
      </c>
      <c r="S3056">
        <v>494.31</v>
      </c>
      <c r="T3056">
        <v>388.92</v>
      </c>
      <c r="U3056">
        <v>21.32</v>
      </c>
      <c r="V3056" t="str">
        <f>VLOOKUP(L3056,'[2]tabela de preços'!$A:$D,4,0)</f>
        <v>CORAL</v>
      </c>
      <c r="W3056" t="str">
        <f>VLOOKUP(L3056,'[2]tabela de preços'!$A:$F,6,0)</f>
        <v>TINTA PAREDE</v>
      </c>
      <c r="X3056" t="str">
        <f>VLOOKUP(L3056,'[2]tabela de preços'!$A:$G,7,0)</f>
        <v>IMOBILIÁRIO</v>
      </c>
    </row>
    <row r="3057" spans="1:24" x14ac:dyDescent="0.3">
      <c r="A3057" t="s">
        <v>2857</v>
      </c>
      <c r="C3057" t="s">
        <v>2858</v>
      </c>
      <c r="D3057" s="1">
        <v>46062</v>
      </c>
      <c r="E3057" t="s">
        <v>2859</v>
      </c>
      <c r="F3057">
        <v>9</v>
      </c>
      <c r="G3057">
        <v>174</v>
      </c>
      <c r="H3057" t="str">
        <f>VLOOKUP(G3057,[1]OPERADORES!$A:$B,2,0)</f>
        <v>MIRIÃ LOBATO RODRIGUES</v>
      </c>
      <c r="I3057" t="s">
        <v>21</v>
      </c>
      <c r="J3057" t="s">
        <v>730</v>
      </c>
      <c r="K3057" t="s">
        <v>2860</v>
      </c>
      <c r="L3057">
        <v>84411</v>
      </c>
      <c r="M3057" t="s">
        <v>35</v>
      </c>
      <c r="O3057" t="s">
        <v>11</v>
      </c>
      <c r="P3057">
        <v>5102</v>
      </c>
      <c r="Q3057">
        <v>5</v>
      </c>
      <c r="R3057">
        <v>4.29</v>
      </c>
      <c r="S3057">
        <v>21.45</v>
      </c>
      <c r="T3057">
        <v>17.7</v>
      </c>
      <c r="U3057">
        <v>17.48</v>
      </c>
      <c r="V3057" t="str">
        <f>VLOOKUP(L3057,'[2]tabela de preços'!$A:$D,4,0)</f>
        <v>ADERE</v>
      </c>
      <c r="W3057" t="str">
        <f>VLOOKUP(L3057,'[2]tabela de preços'!$A:$F,6,0)</f>
        <v xml:space="preserve">FITA DE USO GERAL </v>
      </c>
      <c r="X3057" t="str">
        <f>VLOOKUP(L3057,'[2]tabela de preços'!$A:$G,7,0)</f>
        <v>IMOBILIÁRIO</v>
      </c>
    </row>
    <row r="3058" spans="1:24" x14ac:dyDescent="0.3">
      <c r="A3058" t="s">
        <v>2857</v>
      </c>
      <c r="C3058" t="s">
        <v>2858</v>
      </c>
      <c r="D3058" s="1">
        <v>46062</v>
      </c>
      <c r="E3058" t="s">
        <v>2859</v>
      </c>
      <c r="F3058">
        <v>9</v>
      </c>
      <c r="G3058">
        <v>174</v>
      </c>
      <c r="H3058" t="str">
        <f>VLOOKUP(G3058,[1]OPERADORES!$A:$B,2,0)</f>
        <v>MIRIÃ LOBATO RODRIGUES</v>
      </c>
      <c r="I3058" t="s">
        <v>21</v>
      </c>
      <c r="J3058" t="s">
        <v>730</v>
      </c>
      <c r="K3058" t="s">
        <v>2860</v>
      </c>
      <c r="L3058">
        <v>86995</v>
      </c>
      <c r="M3058" t="s">
        <v>37</v>
      </c>
      <c r="O3058" t="s">
        <v>11</v>
      </c>
      <c r="P3058">
        <v>5102</v>
      </c>
      <c r="Q3058">
        <v>20</v>
      </c>
      <c r="R3058">
        <v>7.29</v>
      </c>
      <c r="S3058">
        <v>145.80000000000001</v>
      </c>
      <c r="T3058">
        <v>116.6</v>
      </c>
      <c r="U3058">
        <v>20.03</v>
      </c>
      <c r="V3058" t="str">
        <f>VLOOKUP(L3058,'[2]tabela de preços'!$A:$D,4,0)</f>
        <v>AUTOAMERICA</v>
      </c>
      <c r="W3058" t="str">
        <f>VLOOKUP(L3058,'[2]tabela de preços'!$A:$F,6,0)</f>
        <v>FLANELAS / PANOS</v>
      </c>
      <c r="X3058" t="str">
        <f>VLOOKUP(L3058,'[2]tabela de preços'!$A:$G,7,0)</f>
        <v>AUTOMOTIVO</v>
      </c>
    </row>
    <row r="3059" spans="1:24" x14ac:dyDescent="0.3">
      <c r="A3059" t="s">
        <v>2857</v>
      </c>
      <c r="C3059" t="s">
        <v>2858</v>
      </c>
      <c r="D3059" s="1">
        <v>46062</v>
      </c>
      <c r="E3059" t="s">
        <v>2859</v>
      </c>
      <c r="F3059">
        <v>9</v>
      </c>
      <c r="G3059">
        <v>174</v>
      </c>
      <c r="H3059" t="str">
        <f>VLOOKUP(G3059,[1]OPERADORES!$A:$B,2,0)</f>
        <v>MIRIÃ LOBATO RODRIGUES</v>
      </c>
      <c r="I3059" t="s">
        <v>21</v>
      </c>
      <c r="J3059" t="s">
        <v>730</v>
      </c>
      <c r="K3059" t="s">
        <v>2860</v>
      </c>
      <c r="L3059">
        <v>86943</v>
      </c>
      <c r="M3059" t="s">
        <v>1111</v>
      </c>
      <c r="O3059" t="s">
        <v>11</v>
      </c>
      <c r="P3059">
        <v>5403</v>
      </c>
      <c r="Q3059">
        <v>4</v>
      </c>
      <c r="R3059">
        <v>119.29</v>
      </c>
      <c r="S3059">
        <v>477.16</v>
      </c>
      <c r="T3059">
        <v>362.16</v>
      </c>
      <c r="U3059">
        <v>24.1</v>
      </c>
      <c r="V3059" t="str">
        <f>VLOOKUP(L3059,'[2]tabela de preços'!$A:$D,4,0)</f>
        <v>BRASILUX</v>
      </c>
      <c r="W3059" t="str">
        <f>VLOOKUP(L3059,'[2]tabela de preços'!$A:$F,6,0)</f>
        <v>IMPERMEABILIZANTES</v>
      </c>
      <c r="X3059" t="str">
        <f>VLOOKUP(L3059,'[2]tabela de preços'!$A:$G,7,0)</f>
        <v>IMOBILIÁRIO</v>
      </c>
    </row>
    <row r="3060" spans="1:24" x14ac:dyDescent="0.3">
      <c r="A3060" t="s">
        <v>2857</v>
      </c>
      <c r="C3060" t="s">
        <v>2858</v>
      </c>
      <c r="D3060" s="1">
        <v>46062</v>
      </c>
      <c r="E3060" t="s">
        <v>2859</v>
      </c>
      <c r="F3060">
        <v>9</v>
      </c>
      <c r="G3060">
        <v>174</v>
      </c>
      <c r="H3060" t="str">
        <f>VLOOKUP(G3060,[1]OPERADORES!$A:$B,2,0)</f>
        <v>MIRIÃ LOBATO RODRIGUES</v>
      </c>
      <c r="I3060" t="s">
        <v>21</v>
      </c>
      <c r="J3060" t="s">
        <v>730</v>
      </c>
      <c r="K3060" t="s">
        <v>2860</v>
      </c>
      <c r="L3060">
        <v>84014</v>
      </c>
      <c r="M3060" t="s">
        <v>1152</v>
      </c>
      <c r="O3060" t="s">
        <v>11</v>
      </c>
      <c r="P3060">
        <v>5102</v>
      </c>
      <c r="Q3060">
        <v>5</v>
      </c>
      <c r="R3060">
        <v>2.2000000000000002</v>
      </c>
      <c r="S3060">
        <v>11</v>
      </c>
      <c r="T3060">
        <v>8.35</v>
      </c>
      <c r="U3060">
        <v>24.09</v>
      </c>
      <c r="V3060" t="str">
        <f>VLOOKUP(L3060,'[2]tabela de preços'!$A:$D,4,0)</f>
        <v>3M</v>
      </c>
      <c r="W3060" t="str">
        <f>VLOOKUP(L3060,'[2]tabela de preços'!$A:$F,6,0)</f>
        <v>LIXA FERRO</v>
      </c>
      <c r="X3060" t="str">
        <f>VLOOKUP(L3060,'[2]tabela de preços'!$A:$G,7,0)</f>
        <v>IMOBILIÁRIO</v>
      </c>
    </row>
    <row r="3061" spans="1:24" x14ac:dyDescent="0.3">
      <c r="A3061" t="s">
        <v>2857</v>
      </c>
      <c r="C3061" t="s">
        <v>2858</v>
      </c>
      <c r="D3061" s="1">
        <v>46062</v>
      </c>
      <c r="E3061" t="s">
        <v>2859</v>
      </c>
      <c r="F3061">
        <v>9</v>
      </c>
      <c r="G3061">
        <v>174</v>
      </c>
      <c r="H3061" t="str">
        <f>VLOOKUP(G3061,[1]OPERADORES!$A:$B,2,0)</f>
        <v>MIRIÃ LOBATO RODRIGUES</v>
      </c>
      <c r="I3061" t="s">
        <v>21</v>
      </c>
      <c r="J3061" t="s">
        <v>730</v>
      </c>
      <c r="K3061" t="s">
        <v>2860</v>
      </c>
      <c r="L3061">
        <v>84021</v>
      </c>
      <c r="M3061" t="s">
        <v>1945</v>
      </c>
      <c r="O3061" t="s">
        <v>11</v>
      </c>
      <c r="P3061">
        <v>5102</v>
      </c>
      <c r="Q3061">
        <v>20</v>
      </c>
      <c r="R3061">
        <v>0.6</v>
      </c>
      <c r="S3061">
        <v>12</v>
      </c>
      <c r="T3061">
        <v>9.1999999999999993</v>
      </c>
      <c r="U3061">
        <v>23.33</v>
      </c>
      <c r="V3061" t="str">
        <f>VLOOKUP(L3061,'[2]tabela de preços'!$A:$D,4,0)</f>
        <v>3M</v>
      </c>
      <c r="W3061" t="str">
        <f>VLOOKUP(L3061,'[2]tabela de preços'!$A:$F,6,0)</f>
        <v>LIXA MASSA  /MADEIRA / PAREDE</v>
      </c>
      <c r="X3061" t="str">
        <f>VLOOKUP(L3061,'[2]tabela de preços'!$A:$G,7,0)</f>
        <v>IMOBILIÁRIO</v>
      </c>
    </row>
    <row r="3062" spans="1:24" x14ac:dyDescent="0.3">
      <c r="A3062" t="s">
        <v>2857</v>
      </c>
      <c r="C3062" t="s">
        <v>2858</v>
      </c>
      <c r="D3062" s="1">
        <v>46062</v>
      </c>
      <c r="E3062" t="s">
        <v>2859</v>
      </c>
      <c r="F3062">
        <v>9</v>
      </c>
      <c r="G3062">
        <v>174</v>
      </c>
      <c r="H3062" t="str">
        <f>VLOOKUP(G3062,[1]OPERADORES!$A:$B,2,0)</f>
        <v>MIRIÃ LOBATO RODRIGUES</v>
      </c>
      <c r="I3062" t="s">
        <v>21</v>
      </c>
      <c r="J3062" t="s">
        <v>730</v>
      </c>
      <c r="K3062" t="s">
        <v>2860</v>
      </c>
      <c r="L3062">
        <v>84036</v>
      </c>
      <c r="M3062" t="s">
        <v>289</v>
      </c>
      <c r="O3062" t="s">
        <v>11</v>
      </c>
      <c r="P3062">
        <v>5102</v>
      </c>
      <c r="Q3062">
        <v>8</v>
      </c>
      <c r="R3062">
        <v>47.9</v>
      </c>
      <c r="S3062">
        <v>383.2</v>
      </c>
      <c r="T3062">
        <v>333.04</v>
      </c>
      <c r="U3062">
        <v>13.09</v>
      </c>
      <c r="V3062" t="str">
        <f>VLOOKUP(L3062,'[2]tabela de preços'!$A:$D,4,0)</f>
        <v>BRASILUX</v>
      </c>
      <c r="W3062" t="str">
        <f>VLOOKUP(L3062,'[2]tabela de preços'!$A:$F,6,0)</f>
        <v>MASSA CORRIDA / ACRÍLICA</v>
      </c>
      <c r="X3062" t="str">
        <f>VLOOKUP(L3062,'[2]tabela de preços'!$A:$G,7,0)</f>
        <v>IMOBILIÁRIO</v>
      </c>
    </row>
    <row r="3063" spans="1:24" x14ac:dyDescent="0.3">
      <c r="A3063" t="s">
        <v>2857</v>
      </c>
      <c r="C3063" t="s">
        <v>2858</v>
      </c>
      <c r="D3063" s="1">
        <v>46062</v>
      </c>
      <c r="E3063" t="s">
        <v>2859</v>
      </c>
      <c r="F3063">
        <v>9</v>
      </c>
      <c r="G3063">
        <v>174</v>
      </c>
      <c r="H3063" t="str">
        <f>VLOOKUP(G3063,[1]OPERADORES!$A:$B,2,0)</f>
        <v>MIRIÃ LOBATO RODRIGUES</v>
      </c>
      <c r="I3063" t="s">
        <v>21</v>
      </c>
      <c r="J3063" t="s">
        <v>730</v>
      </c>
      <c r="K3063" t="s">
        <v>2860</v>
      </c>
      <c r="L3063">
        <v>85227</v>
      </c>
      <c r="M3063" t="s">
        <v>1042</v>
      </c>
      <c r="O3063" t="s">
        <v>11</v>
      </c>
      <c r="P3063">
        <v>5102</v>
      </c>
      <c r="Q3063">
        <v>2</v>
      </c>
      <c r="R3063">
        <v>7.13</v>
      </c>
      <c r="S3063">
        <v>14.26</v>
      </c>
      <c r="T3063">
        <v>9.1999999999999993</v>
      </c>
      <c r="U3063">
        <v>35.479999999999997</v>
      </c>
      <c r="V3063" t="str">
        <f>VLOOKUP(L3063,'[2]tabela de preços'!$A:$D,4,0)</f>
        <v>ATLAS</v>
      </c>
      <c r="W3063" t="str">
        <f>VLOOKUP(L3063,'[2]tabela de preços'!$A:$F,6,0)</f>
        <v>ROLOS / TRINCHAS / PINCÉIS / ESPÁTULAS</v>
      </c>
      <c r="X3063" t="str">
        <f>VLOOKUP(L3063,'[2]tabela de preços'!$A:$G,7,0)</f>
        <v>IMOBILIÁRIO</v>
      </c>
    </row>
    <row r="3064" spans="1:24" x14ac:dyDescent="0.3">
      <c r="A3064" t="s">
        <v>2857</v>
      </c>
      <c r="C3064" t="s">
        <v>2858</v>
      </c>
      <c r="D3064" s="1">
        <v>46062</v>
      </c>
      <c r="E3064" t="s">
        <v>2859</v>
      </c>
      <c r="F3064">
        <v>9</v>
      </c>
      <c r="G3064">
        <v>174</v>
      </c>
      <c r="H3064" t="str">
        <f>VLOOKUP(G3064,[1]OPERADORES!$A:$B,2,0)</f>
        <v>MIRIÃ LOBATO RODRIGUES</v>
      </c>
      <c r="I3064" t="s">
        <v>21</v>
      </c>
      <c r="J3064" t="s">
        <v>730</v>
      </c>
      <c r="K3064" t="s">
        <v>2860</v>
      </c>
      <c r="L3064">
        <v>84420</v>
      </c>
      <c r="M3064" t="s">
        <v>353</v>
      </c>
      <c r="O3064" t="s">
        <v>11</v>
      </c>
      <c r="P3064">
        <v>5102</v>
      </c>
      <c r="Q3064">
        <v>2</v>
      </c>
      <c r="R3064">
        <v>20.34</v>
      </c>
      <c r="S3064">
        <v>40.68</v>
      </c>
      <c r="T3064">
        <v>30.88</v>
      </c>
      <c r="U3064">
        <v>24.09</v>
      </c>
      <c r="V3064" t="str">
        <f>VLOOKUP(L3064,'[2]tabela de preços'!$A:$D,4,0)</f>
        <v>ATLAS</v>
      </c>
      <c r="W3064" t="str">
        <f>VLOOKUP(L3064,'[2]tabela de preços'!$A:$F,6,0)</f>
        <v>ROLOS / TRINCHAS / PINCÉIS / ESPÁTULAS</v>
      </c>
      <c r="X3064" t="str">
        <f>VLOOKUP(L3064,'[2]tabela de preços'!$A:$G,7,0)</f>
        <v>IMOBILIÁRIO</v>
      </c>
    </row>
    <row r="3065" spans="1:24" x14ac:dyDescent="0.3">
      <c r="A3065" t="s">
        <v>2857</v>
      </c>
      <c r="C3065" t="s">
        <v>2858</v>
      </c>
      <c r="D3065" s="1">
        <v>46062</v>
      </c>
      <c r="E3065" t="s">
        <v>2859</v>
      </c>
      <c r="F3065">
        <v>9</v>
      </c>
      <c r="G3065">
        <v>174</v>
      </c>
      <c r="H3065" t="str">
        <f>VLOOKUP(G3065,[1]OPERADORES!$A:$B,2,0)</f>
        <v>MIRIÃ LOBATO RODRIGUES</v>
      </c>
      <c r="I3065" t="s">
        <v>21</v>
      </c>
      <c r="J3065" t="s">
        <v>730</v>
      </c>
      <c r="K3065" t="s">
        <v>2860</v>
      </c>
      <c r="L3065">
        <v>85340</v>
      </c>
      <c r="M3065" t="s">
        <v>2862</v>
      </c>
      <c r="O3065" t="s">
        <v>11</v>
      </c>
      <c r="P3065">
        <v>5403</v>
      </c>
      <c r="Q3065">
        <v>14</v>
      </c>
      <c r="R3065">
        <v>64.819999999999993</v>
      </c>
      <c r="S3065">
        <v>907.48</v>
      </c>
      <c r="T3065">
        <v>688.8</v>
      </c>
      <c r="U3065">
        <v>24.1</v>
      </c>
      <c r="V3065" t="str">
        <f>VLOOKUP(L3065,'[2]tabela de preços'!$A:$D,4,0)</f>
        <v>DÁVILA  INOVE</v>
      </c>
      <c r="W3065" t="str">
        <f>VLOOKUP(L3065,'[2]tabela de preços'!$A:$F,6,0)</f>
        <v>TEXTURA</v>
      </c>
      <c r="X3065" t="str">
        <f>VLOOKUP(L3065,'[2]tabela de preços'!$A:$G,7,0)</f>
        <v>IMOBILIÁRIO</v>
      </c>
    </row>
    <row r="3066" spans="1:24" x14ac:dyDescent="0.3">
      <c r="A3066" t="s">
        <v>2857</v>
      </c>
      <c r="C3066" t="s">
        <v>2858</v>
      </c>
      <c r="D3066" s="1">
        <v>46062</v>
      </c>
      <c r="E3066" t="s">
        <v>2859</v>
      </c>
      <c r="F3066">
        <v>9</v>
      </c>
      <c r="G3066">
        <v>174</v>
      </c>
      <c r="H3066" t="str">
        <f>VLOOKUP(G3066,[1]OPERADORES!$A:$B,2,0)</f>
        <v>MIRIÃ LOBATO RODRIGUES</v>
      </c>
      <c r="I3066" t="s">
        <v>21</v>
      </c>
      <c r="J3066" t="s">
        <v>730</v>
      </c>
      <c r="K3066" t="s">
        <v>2860</v>
      </c>
      <c r="L3066">
        <v>10118</v>
      </c>
      <c r="M3066" t="s">
        <v>572</v>
      </c>
      <c r="O3066" t="s">
        <v>11</v>
      </c>
      <c r="P3066">
        <v>5102</v>
      </c>
      <c r="Q3066">
        <v>3</v>
      </c>
      <c r="R3066">
        <v>5.0199999999999996</v>
      </c>
      <c r="S3066">
        <v>15.06</v>
      </c>
      <c r="T3066">
        <v>11.43</v>
      </c>
      <c r="U3066">
        <v>24.1</v>
      </c>
      <c r="V3066" t="str">
        <f>VLOOKUP(L3066,'[2]tabela de preços'!$A:$D,4,0)</f>
        <v>ATLAS</v>
      </c>
      <c r="W3066" t="str">
        <f>VLOOKUP(L3066,'[2]tabela de preços'!$A:$F,6,0)</f>
        <v>ROLOS / TRINCHAS / PINCÉIS / ESPÁTULAS</v>
      </c>
      <c r="X3066" t="str">
        <f>VLOOKUP(L3066,'[2]tabela de preços'!$A:$G,7,0)</f>
        <v>IMOBILIÁRIO</v>
      </c>
    </row>
    <row r="3067" spans="1:24" x14ac:dyDescent="0.3">
      <c r="A3067" t="s">
        <v>2164</v>
      </c>
      <c r="C3067" t="s">
        <v>2473</v>
      </c>
      <c r="D3067" s="1">
        <v>46055</v>
      </c>
      <c r="E3067" t="s">
        <v>2474</v>
      </c>
      <c r="F3067">
        <v>9</v>
      </c>
      <c r="G3067">
        <v>236</v>
      </c>
      <c r="H3067" t="str">
        <f>VLOOKUP(G3067,[1]OPERADORES!$A:$B,2,0)</f>
        <v>DANIEL</v>
      </c>
      <c r="I3067" t="s">
        <v>21</v>
      </c>
      <c r="J3067" t="s">
        <v>2167</v>
      </c>
      <c r="K3067" t="s">
        <v>2168</v>
      </c>
      <c r="L3067">
        <v>83992</v>
      </c>
      <c r="M3067" t="s">
        <v>1038</v>
      </c>
      <c r="O3067" t="s">
        <v>11</v>
      </c>
      <c r="P3067">
        <v>5102</v>
      </c>
      <c r="Q3067">
        <v>150</v>
      </c>
      <c r="R3067">
        <v>2.84</v>
      </c>
      <c r="S3067">
        <v>426</v>
      </c>
      <c r="T3067">
        <v>274.5</v>
      </c>
      <c r="U3067">
        <v>35.56</v>
      </c>
      <c r="V3067" t="str">
        <f>VLOOKUP(L3067,'[2]tabela de preços'!$A:$D,4,0)</f>
        <v>3M</v>
      </c>
      <c r="W3067" t="str">
        <f>VLOOKUP(L3067,'[2]tabela de preços'!$A:$F,6,0)</f>
        <v>LIXA FERRO</v>
      </c>
      <c r="X3067" t="str">
        <f>VLOOKUP(L3067,'[2]tabela de preços'!$A:$G,7,0)</f>
        <v>IMOBILIÁRIO</v>
      </c>
    </row>
    <row r="3068" spans="1:24" x14ac:dyDescent="0.3">
      <c r="A3068" t="s">
        <v>2171</v>
      </c>
      <c r="C3068" t="s">
        <v>2728</v>
      </c>
      <c r="D3068" s="1">
        <v>46057</v>
      </c>
      <c r="E3068" t="s">
        <v>2729</v>
      </c>
      <c r="F3068">
        <v>9</v>
      </c>
      <c r="G3068">
        <v>230</v>
      </c>
      <c r="H3068" t="str">
        <f>VLOOKUP(G3068,[1]OPERADORES!$A:$B,2,0)</f>
        <v>SÔNIA</v>
      </c>
      <c r="I3068" t="s">
        <v>21</v>
      </c>
      <c r="J3068" t="s">
        <v>2174</v>
      </c>
      <c r="K3068" t="s">
        <v>2175</v>
      </c>
      <c r="L3068">
        <v>9804</v>
      </c>
      <c r="M3068" t="s">
        <v>1190</v>
      </c>
      <c r="O3068" t="s">
        <v>11</v>
      </c>
      <c r="P3068">
        <v>5102</v>
      </c>
      <c r="Q3068">
        <v>1</v>
      </c>
      <c r="R3068">
        <v>37.04</v>
      </c>
      <c r="S3068">
        <v>37.04</v>
      </c>
      <c r="T3068">
        <v>28.11</v>
      </c>
      <c r="U3068">
        <v>24.11</v>
      </c>
      <c r="V3068" t="str">
        <f>VLOOKUP(L3068,'[2]tabela de preços'!$A:$D,4,0)</f>
        <v>WANDA</v>
      </c>
      <c r="W3068" t="str">
        <f>VLOOKUP(L3068,'[2]tabela de preços'!$A:$F,6,0)</f>
        <v>DESENGRAXANTE</v>
      </c>
      <c r="X3068" t="str">
        <f>VLOOKUP(L3068,'[2]tabela de preços'!$A:$G,7,0)</f>
        <v>AUTOMOTIVO</v>
      </c>
    </row>
    <row r="3069" spans="1:24" x14ac:dyDescent="0.3">
      <c r="A3069" t="s">
        <v>2171</v>
      </c>
      <c r="C3069" t="s">
        <v>2728</v>
      </c>
      <c r="D3069" s="1">
        <v>46057</v>
      </c>
      <c r="E3069" t="s">
        <v>2729</v>
      </c>
      <c r="F3069">
        <v>9</v>
      </c>
      <c r="G3069">
        <v>230</v>
      </c>
      <c r="H3069" t="str">
        <f>VLOOKUP(G3069,[1]OPERADORES!$A:$B,2,0)</f>
        <v>SÔNIA</v>
      </c>
      <c r="I3069" t="s">
        <v>21</v>
      </c>
      <c r="J3069" t="s">
        <v>2174</v>
      </c>
      <c r="K3069" t="s">
        <v>2175</v>
      </c>
      <c r="L3069">
        <v>10266</v>
      </c>
      <c r="M3069" t="s">
        <v>117</v>
      </c>
      <c r="O3069" t="s">
        <v>11</v>
      </c>
      <c r="P3069">
        <v>5102</v>
      </c>
      <c r="Q3069">
        <v>5</v>
      </c>
      <c r="R3069">
        <v>11.41</v>
      </c>
      <c r="S3069">
        <v>57.05</v>
      </c>
      <c r="T3069">
        <v>43.3</v>
      </c>
      <c r="U3069">
        <v>24.1</v>
      </c>
      <c r="V3069" t="str">
        <f>VLOOKUP(L3069,'[2]tabela de preços'!$A:$D,4,0)</f>
        <v>NORTON</v>
      </c>
      <c r="W3069" t="str">
        <f>VLOOKUP(L3069,'[2]tabela de preços'!$A:$F,6,0)</f>
        <v xml:space="preserve">DISCOS / LIXAS / ABRASIVOS </v>
      </c>
      <c r="X3069" t="str">
        <f>VLOOKUP(L3069,'[2]tabela de preços'!$A:$G,7,0)</f>
        <v>AUTOMOTIVO</v>
      </c>
    </row>
    <row r="3070" spans="1:24" x14ac:dyDescent="0.3">
      <c r="A3070" t="s">
        <v>2171</v>
      </c>
      <c r="C3070" t="s">
        <v>2728</v>
      </c>
      <c r="D3070" s="1">
        <v>46057</v>
      </c>
      <c r="E3070" t="s">
        <v>2729</v>
      </c>
      <c r="F3070">
        <v>9</v>
      </c>
      <c r="G3070">
        <v>230</v>
      </c>
      <c r="H3070" t="str">
        <f>VLOOKUP(G3070,[1]OPERADORES!$A:$B,2,0)</f>
        <v>SÔNIA</v>
      </c>
      <c r="I3070" t="s">
        <v>21</v>
      </c>
      <c r="J3070" t="s">
        <v>2174</v>
      </c>
      <c r="K3070" t="s">
        <v>2175</v>
      </c>
      <c r="L3070">
        <v>5</v>
      </c>
      <c r="M3070" t="s">
        <v>147</v>
      </c>
      <c r="O3070" t="s">
        <v>11</v>
      </c>
      <c r="P3070">
        <v>5102</v>
      </c>
      <c r="Q3070">
        <v>1</v>
      </c>
      <c r="R3070">
        <v>6.06</v>
      </c>
      <c r="S3070">
        <v>6.06</v>
      </c>
      <c r="T3070">
        <v>3.91</v>
      </c>
      <c r="U3070">
        <v>35.479999999999997</v>
      </c>
      <c r="V3070" t="str">
        <f>VLOOKUP(L3070,'[2]tabela de preços'!$A:$D,4,0)</f>
        <v>BRILHO ESTOPA</v>
      </c>
      <c r="W3070" t="str">
        <f>VLOOKUP(L3070,'[2]tabela de preços'!$A:$F,6,0)</f>
        <v>ESTOPAS</v>
      </c>
      <c r="X3070" t="str">
        <f>VLOOKUP(L3070,'[2]tabela de preços'!$A:$G,7,0)</f>
        <v>AUTOMOTIVO</v>
      </c>
    </row>
    <row r="3071" spans="1:24" x14ac:dyDescent="0.3">
      <c r="A3071" t="s">
        <v>2171</v>
      </c>
      <c r="C3071" t="s">
        <v>2728</v>
      </c>
      <c r="D3071" s="1">
        <v>46057</v>
      </c>
      <c r="E3071" t="s">
        <v>2729</v>
      </c>
      <c r="F3071">
        <v>9</v>
      </c>
      <c r="G3071">
        <v>230</v>
      </c>
      <c r="H3071" t="str">
        <f>VLOOKUP(G3071,[1]OPERADORES!$A:$B,2,0)</f>
        <v>SÔNIA</v>
      </c>
      <c r="I3071" t="s">
        <v>21</v>
      </c>
      <c r="J3071" t="s">
        <v>2174</v>
      </c>
      <c r="K3071" t="s">
        <v>2175</v>
      </c>
      <c r="L3071">
        <v>22173</v>
      </c>
      <c r="M3071" t="s">
        <v>194</v>
      </c>
      <c r="O3071" t="s">
        <v>11</v>
      </c>
      <c r="P3071">
        <v>5102</v>
      </c>
      <c r="Q3071">
        <v>4</v>
      </c>
      <c r="R3071">
        <v>4.58</v>
      </c>
      <c r="S3071">
        <v>18.32</v>
      </c>
      <c r="T3071">
        <v>13.92</v>
      </c>
      <c r="U3071">
        <v>24.02</v>
      </c>
      <c r="V3071" t="str">
        <f>VLOOKUP(L3071,'[2]tabela de preços'!$A:$D,4,0)</f>
        <v>3M</v>
      </c>
      <c r="W3071" t="str">
        <f>VLOOKUP(L3071,'[2]tabela de preços'!$A:$F,6,0)</f>
        <v>FITA AUTOMOTIVA</v>
      </c>
      <c r="X3071" t="str">
        <f>VLOOKUP(L3071,'[2]tabela de preços'!$A:$G,7,0)</f>
        <v>AUTOMOTIVO</v>
      </c>
    </row>
    <row r="3072" spans="1:24" x14ac:dyDescent="0.3">
      <c r="A3072" t="s">
        <v>2171</v>
      </c>
      <c r="C3072" t="s">
        <v>2728</v>
      </c>
      <c r="D3072" s="1">
        <v>46057</v>
      </c>
      <c r="E3072" t="s">
        <v>2729</v>
      </c>
      <c r="F3072">
        <v>9</v>
      </c>
      <c r="G3072">
        <v>230</v>
      </c>
      <c r="H3072" t="str">
        <f>VLOOKUP(G3072,[1]OPERADORES!$A:$B,2,0)</f>
        <v>SÔNIA</v>
      </c>
      <c r="I3072" t="s">
        <v>21</v>
      </c>
      <c r="J3072" t="s">
        <v>2174</v>
      </c>
      <c r="K3072" t="s">
        <v>2175</v>
      </c>
      <c r="L3072">
        <v>22188</v>
      </c>
      <c r="M3072" t="s">
        <v>78</v>
      </c>
      <c r="O3072" t="s">
        <v>11</v>
      </c>
      <c r="P3072">
        <v>5102</v>
      </c>
      <c r="Q3072">
        <v>2</v>
      </c>
      <c r="R3072">
        <v>14.35</v>
      </c>
      <c r="S3072">
        <v>28.7</v>
      </c>
      <c r="T3072">
        <v>21.78</v>
      </c>
      <c r="U3072">
        <v>24.11</v>
      </c>
      <c r="V3072" t="str">
        <f>VLOOKUP(L3072,'[2]tabela de preços'!$A:$D,4,0)</f>
        <v>3M</v>
      </c>
      <c r="W3072" t="str">
        <f>VLOOKUP(L3072,'[2]tabela de preços'!$A:$F,6,0)</f>
        <v>FITA AUTOMOTIVA</v>
      </c>
      <c r="X3072" t="str">
        <f>VLOOKUP(L3072,'[2]tabela de preços'!$A:$G,7,0)</f>
        <v>AUTOMOTIVO</v>
      </c>
    </row>
    <row r="3073" spans="1:24" x14ac:dyDescent="0.3">
      <c r="A3073" t="s">
        <v>2171</v>
      </c>
      <c r="C3073" t="s">
        <v>2728</v>
      </c>
      <c r="D3073" s="1">
        <v>46057</v>
      </c>
      <c r="E3073" t="s">
        <v>2729</v>
      </c>
      <c r="F3073">
        <v>9</v>
      </c>
      <c r="G3073">
        <v>230</v>
      </c>
      <c r="H3073" t="str">
        <f>VLOOKUP(G3073,[1]OPERADORES!$A:$B,2,0)</f>
        <v>SÔNIA</v>
      </c>
      <c r="I3073" t="s">
        <v>21</v>
      </c>
      <c r="J3073" t="s">
        <v>2174</v>
      </c>
      <c r="K3073" t="s">
        <v>2175</v>
      </c>
      <c r="L3073">
        <v>9775</v>
      </c>
      <c r="M3073" t="s">
        <v>708</v>
      </c>
      <c r="O3073" t="s">
        <v>11</v>
      </c>
      <c r="P3073">
        <v>5102</v>
      </c>
      <c r="Q3073">
        <v>1</v>
      </c>
      <c r="R3073">
        <v>54.57</v>
      </c>
      <c r="S3073">
        <v>54.57</v>
      </c>
      <c r="T3073">
        <v>41.42</v>
      </c>
      <c r="U3073">
        <v>24.1</v>
      </c>
      <c r="V3073" t="str">
        <f>VLOOKUP(L3073,'[2]tabela de preços'!$A:$D,4,0)</f>
        <v>SIKKENS</v>
      </c>
      <c r="W3073" t="str">
        <f>VLOOKUP(L3073,'[2]tabela de preços'!$A:$F,6,0)</f>
        <v>CATALISADORES INDIVIDUAS</v>
      </c>
      <c r="X3073" t="str">
        <f>VLOOKUP(L3073,'[2]tabela de preços'!$A:$G,7,0)</f>
        <v>AUTOMOTIVO</v>
      </c>
    </row>
    <row r="3074" spans="1:24" x14ac:dyDescent="0.3">
      <c r="A3074" t="s">
        <v>2171</v>
      </c>
      <c r="C3074" t="s">
        <v>2728</v>
      </c>
      <c r="D3074" s="1">
        <v>46057</v>
      </c>
      <c r="E3074" t="s">
        <v>2729</v>
      </c>
      <c r="F3074">
        <v>9</v>
      </c>
      <c r="G3074">
        <v>230</v>
      </c>
      <c r="H3074" t="str">
        <f>VLOOKUP(G3074,[1]OPERADORES!$A:$B,2,0)</f>
        <v>SÔNIA</v>
      </c>
      <c r="I3074" t="s">
        <v>21</v>
      </c>
      <c r="J3074" t="s">
        <v>2174</v>
      </c>
      <c r="K3074" t="s">
        <v>2175</v>
      </c>
      <c r="L3074">
        <v>87109</v>
      </c>
      <c r="M3074" t="s">
        <v>2201</v>
      </c>
      <c r="O3074" t="s">
        <v>11</v>
      </c>
      <c r="P3074">
        <v>5102</v>
      </c>
      <c r="Q3074">
        <v>1</v>
      </c>
      <c r="R3074">
        <v>41.35</v>
      </c>
      <c r="S3074">
        <v>41.35</v>
      </c>
      <c r="T3074">
        <v>31.39</v>
      </c>
      <c r="U3074">
        <v>24.09</v>
      </c>
      <c r="V3074" t="str">
        <f>VLOOKUP(L3074,'[2]tabela de preços'!$A:$D,4,0)</f>
        <v>SHERWIN WILLIAMS</v>
      </c>
      <c r="W3074" t="str">
        <f>VLOOKUP(L3074,'[2]tabela de preços'!$A:$F,6,0)</f>
        <v>TINTAS PU</v>
      </c>
      <c r="X3074" t="str">
        <f>VLOOKUP(L3074,'[2]tabela de preços'!$A:$G,7,0)</f>
        <v>AUTOMOTIVO</v>
      </c>
    </row>
    <row r="3075" spans="1:24" x14ac:dyDescent="0.3">
      <c r="A3075" t="s">
        <v>2171</v>
      </c>
      <c r="C3075" t="s">
        <v>2728</v>
      </c>
      <c r="D3075" s="1">
        <v>46057</v>
      </c>
      <c r="E3075" t="s">
        <v>2729</v>
      </c>
      <c r="F3075">
        <v>9</v>
      </c>
      <c r="G3075">
        <v>230</v>
      </c>
      <c r="H3075" t="str">
        <f>VLOOKUP(G3075,[1]OPERADORES!$A:$B,2,0)</f>
        <v>SÔNIA</v>
      </c>
      <c r="I3075" t="s">
        <v>21</v>
      </c>
      <c r="J3075" t="s">
        <v>2174</v>
      </c>
      <c r="K3075" t="s">
        <v>2175</v>
      </c>
      <c r="L3075">
        <v>16</v>
      </c>
      <c r="M3075" t="s">
        <v>122</v>
      </c>
      <c r="O3075" t="s">
        <v>11</v>
      </c>
      <c r="P3075">
        <v>5102</v>
      </c>
      <c r="Q3075">
        <v>8</v>
      </c>
      <c r="R3075">
        <v>2.9</v>
      </c>
      <c r="S3075">
        <v>23.2</v>
      </c>
      <c r="T3075">
        <v>17.600000000000001</v>
      </c>
      <c r="U3075">
        <v>24.14</v>
      </c>
      <c r="V3075" t="str">
        <f>VLOOKUP(L3075,'[2]tabela de preços'!$A:$D,4,0)</f>
        <v>3M</v>
      </c>
      <c r="W3075" t="str">
        <f>VLOOKUP(L3075,'[2]tabela de preços'!$A:$F,6,0)</f>
        <v>LIXA DÁGUA</v>
      </c>
      <c r="X3075" t="str">
        <f>VLOOKUP(L3075,'[2]tabela de preços'!$A:$G,7,0)</f>
        <v>AUTOMOTIVO</v>
      </c>
    </row>
    <row r="3076" spans="1:24" x14ac:dyDescent="0.3">
      <c r="A3076" t="s">
        <v>2171</v>
      </c>
      <c r="C3076" t="s">
        <v>2728</v>
      </c>
      <c r="D3076" s="1">
        <v>46057</v>
      </c>
      <c r="E3076" t="s">
        <v>2729</v>
      </c>
      <c r="F3076">
        <v>9</v>
      </c>
      <c r="G3076">
        <v>230</v>
      </c>
      <c r="H3076" t="str">
        <f>VLOOKUP(G3076,[1]OPERADORES!$A:$B,2,0)</f>
        <v>SÔNIA</v>
      </c>
      <c r="I3076" t="s">
        <v>21</v>
      </c>
      <c r="J3076" t="s">
        <v>2174</v>
      </c>
      <c r="K3076" t="s">
        <v>2175</v>
      </c>
      <c r="L3076">
        <v>10243</v>
      </c>
      <c r="M3076" t="s">
        <v>83</v>
      </c>
      <c r="O3076" t="s">
        <v>11</v>
      </c>
      <c r="P3076">
        <v>5102</v>
      </c>
      <c r="Q3076">
        <v>5</v>
      </c>
      <c r="R3076">
        <v>2.79</v>
      </c>
      <c r="S3076">
        <v>13.95</v>
      </c>
      <c r="T3076">
        <v>9.65</v>
      </c>
      <c r="U3076">
        <v>30.82</v>
      </c>
      <c r="V3076" t="str">
        <f>VLOOKUP(L3076,'[2]tabela de preços'!$A:$D,4,0)</f>
        <v>NORTON</v>
      </c>
      <c r="W3076" t="str">
        <f>VLOOKUP(L3076,'[2]tabela de preços'!$A:$F,6,0)</f>
        <v xml:space="preserve">DISCOS / LIXAS / ABRASIVOS </v>
      </c>
      <c r="X3076" t="str">
        <f>VLOOKUP(L3076,'[2]tabela de preços'!$A:$G,7,0)</f>
        <v>AUTOMOTIVO</v>
      </c>
    </row>
    <row r="3077" spans="1:24" x14ac:dyDescent="0.3">
      <c r="A3077" t="s">
        <v>2171</v>
      </c>
      <c r="C3077" t="s">
        <v>2728</v>
      </c>
      <c r="D3077" s="1">
        <v>46057</v>
      </c>
      <c r="E3077" t="s">
        <v>2729</v>
      </c>
      <c r="F3077">
        <v>9</v>
      </c>
      <c r="G3077">
        <v>230</v>
      </c>
      <c r="H3077" t="str">
        <f>VLOOKUP(G3077,[1]OPERADORES!$A:$B,2,0)</f>
        <v>SÔNIA</v>
      </c>
      <c r="I3077" t="s">
        <v>21</v>
      </c>
      <c r="J3077" t="s">
        <v>2174</v>
      </c>
      <c r="K3077" t="s">
        <v>2175</v>
      </c>
      <c r="L3077">
        <v>10244</v>
      </c>
      <c r="M3077" t="s">
        <v>84</v>
      </c>
      <c r="O3077" t="s">
        <v>11</v>
      </c>
      <c r="P3077">
        <v>5102</v>
      </c>
      <c r="Q3077">
        <v>5</v>
      </c>
      <c r="R3077">
        <v>2.79</v>
      </c>
      <c r="S3077">
        <v>13.95</v>
      </c>
      <c r="T3077">
        <v>9.65</v>
      </c>
      <c r="U3077">
        <v>30.82</v>
      </c>
      <c r="V3077" t="str">
        <f>VLOOKUP(L3077,'[2]tabela de preços'!$A:$D,4,0)</f>
        <v>NORTON</v>
      </c>
      <c r="W3077" t="str">
        <f>VLOOKUP(L3077,'[2]tabela de preços'!$A:$F,6,0)</f>
        <v xml:space="preserve">DISCOS / LIXAS / ABRASIVOS </v>
      </c>
      <c r="X3077" t="str">
        <f>VLOOKUP(L3077,'[2]tabela de preços'!$A:$G,7,0)</f>
        <v>AUTOMOTIVO</v>
      </c>
    </row>
    <row r="3078" spans="1:24" x14ac:dyDescent="0.3">
      <c r="A3078" t="s">
        <v>2171</v>
      </c>
      <c r="C3078" t="s">
        <v>2728</v>
      </c>
      <c r="D3078" s="1">
        <v>46057</v>
      </c>
      <c r="E3078" t="s">
        <v>2729</v>
      </c>
      <c r="F3078">
        <v>9</v>
      </c>
      <c r="G3078">
        <v>230</v>
      </c>
      <c r="H3078" t="str">
        <f>VLOOKUP(G3078,[1]OPERADORES!$A:$B,2,0)</f>
        <v>SÔNIA</v>
      </c>
      <c r="I3078" t="s">
        <v>21</v>
      </c>
      <c r="J3078" t="s">
        <v>2174</v>
      </c>
      <c r="K3078" t="s">
        <v>2175</v>
      </c>
      <c r="L3078">
        <v>10245</v>
      </c>
      <c r="M3078" t="s">
        <v>195</v>
      </c>
      <c r="O3078" t="s">
        <v>11</v>
      </c>
      <c r="P3078">
        <v>5102</v>
      </c>
      <c r="Q3078">
        <v>5</v>
      </c>
      <c r="R3078">
        <v>2.79</v>
      </c>
      <c r="S3078">
        <v>13.95</v>
      </c>
      <c r="T3078">
        <v>9.65</v>
      </c>
      <c r="U3078">
        <v>30.82</v>
      </c>
      <c r="V3078" t="str">
        <f>VLOOKUP(L3078,'[2]tabela de preços'!$A:$D,4,0)</f>
        <v>NORTON</v>
      </c>
      <c r="W3078" t="str">
        <f>VLOOKUP(L3078,'[2]tabela de preços'!$A:$F,6,0)</f>
        <v xml:space="preserve">DISCOS / LIXAS / ABRASIVOS </v>
      </c>
      <c r="X3078" t="str">
        <f>VLOOKUP(L3078,'[2]tabela de preços'!$A:$G,7,0)</f>
        <v>AUTOMOTIVO</v>
      </c>
    </row>
    <row r="3079" spans="1:24" x14ac:dyDescent="0.3">
      <c r="A3079" t="s">
        <v>2171</v>
      </c>
      <c r="C3079" t="s">
        <v>2728</v>
      </c>
      <c r="D3079" s="1">
        <v>46057</v>
      </c>
      <c r="E3079" t="s">
        <v>2729</v>
      </c>
      <c r="F3079">
        <v>9</v>
      </c>
      <c r="G3079">
        <v>230</v>
      </c>
      <c r="H3079" t="str">
        <f>VLOOKUP(G3079,[1]OPERADORES!$A:$B,2,0)</f>
        <v>SÔNIA</v>
      </c>
      <c r="I3079" t="s">
        <v>21</v>
      </c>
      <c r="J3079" t="s">
        <v>2174</v>
      </c>
      <c r="K3079" t="s">
        <v>2175</v>
      </c>
      <c r="L3079">
        <v>9994</v>
      </c>
      <c r="M3079" t="s">
        <v>2730</v>
      </c>
      <c r="O3079" t="s">
        <v>11</v>
      </c>
      <c r="P3079">
        <v>5102</v>
      </c>
      <c r="Q3079">
        <v>1</v>
      </c>
      <c r="R3079">
        <v>44.97</v>
      </c>
      <c r="S3079">
        <v>44.97</v>
      </c>
      <c r="T3079">
        <v>34.14</v>
      </c>
      <c r="U3079">
        <v>24.08</v>
      </c>
      <c r="V3079" t="str">
        <f>VLOOKUP(L3079,'[2]tabela de preços'!$A:$D,4,0)</f>
        <v>SIKKENS</v>
      </c>
      <c r="W3079" t="str">
        <f>VLOOKUP(L3079,'[2]tabela de preços'!$A:$F,6,0)</f>
        <v>DILUENTE</v>
      </c>
      <c r="X3079" t="str">
        <f>VLOOKUP(L3079,'[2]tabela de preços'!$A:$G,7,0)</f>
        <v>AUTOMOTIVO</v>
      </c>
    </row>
    <row r="3080" spans="1:24" x14ac:dyDescent="0.3">
      <c r="A3080" t="s">
        <v>2171</v>
      </c>
      <c r="C3080" t="s">
        <v>2728</v>
      </c>
      <c r="D3080" s="1">
        <v>46057</v>
      </c>
      <c r="E3080" t="s">
        <v>2729</v>
      </c>
      <c r="F3080">
        <v>9</v>
      </c>
      <c r="G3080">
        <v>230</v>
      </c>
      <c r="H3080" t="str">
        <f>VLOOKUP(G3080,[1]OPERADORES!$A:$B,2,0)</f>
        <v>SÔNIA</v>
      </c>
      <c r="I3080" t="s">
        <v>21</v>
      </c>
      <c r="J3080" t="s">
        <v>2174</v>
      </c>
      <c r="K3080" t="s">
        <v>2175</v>
      </c>
      <c r="L3080">
        <v>20212</v>
      </c>
      <c r="M3080" t="s">
        <v>198</v>
      </c>
      <c r="O3080" t="s">
        <v>11</v>
      </c>
      <c r="P3080">
        <v>5403</v>
      </c>
      <c r="Q3080">
        <v>1</v>
      </c>
      <c r="R3080">
        <v>26.95</v>
      </c>
      <c r="S3080">
        <v>26.95</v>
      </c>
      <c r="T3080">
        <v>20.46</v>
      </c>
      <c r="U3080">
        <v>24.08</v>
      </c>
      <c r="V3080" t="str">
        <f>VLOOKUP(L3080,'[2]tabela de preços'!$A:$D,4,0)</f>
        <v>MAXI RUBBER</v>
      </c>
      <c r="W3080" t="str">
        <f>VLOOKUP(L3080,'[2]tabela de preços'!$A:$F,6,0)</f>
        <v>SELADORA P/ PLASTICO</v>
      </c>
      <c r="X3080" t="str">
        <f>VLOOKUP(L3080,'[2]tabela de preços'!$A:$G,7,0)</f>
        <v>AUTOMOTIVO</v>
      </c>
    </row>
    <row r="3081" spans="1:24" x14ac:dyDescent="0.3">
      <c r="A3081" t="s">
        <v>2171</v>
      </c>
      <c r="C3081" t="s">
        <v>2728</v>
      </c>
      <c r="D3081" s="1">
        <v>46057</v>
      </c>
      <c r="E3081" t="s">
        <v>2729</v>
      </c>
      <c r="F3081">
        <v>9</v>
      </c>
      <c r="G3081">
        <v>230</v>
      </c>
      <c r="H3081" t="str">
        <f>VLOOKUP(G3081,[1]OPERADORES!$A:$B,2,0)</f>
        <v>SÔNIA</v>
      </c>
      <c r="I3081" t="s">
        <v>21</v>
      </c>
      <c r="J3081" t="s">
        <v>2174</v>
      </c>
      <c r="K3081" t="s">
        <v>2175</v>
      </c>
      <c r="L3081">
        <v>9989</v>
      </c>
      <c r="M3081" t="s">
        <v>2560</v>
      </c>
      <c r="O3081" t="s">
        <v>11</v>
      </c>
      <c r="P3081">
        <v>5403</v>
      </c>
      <c r="Q3081">
        <v>1</v>
      </c>
      <c r="R3081">
        <v>57.66</v>
      </c>
      <c r="S3081">
        <v>57.66</v>
      </c>
      <c r="T3081">
        <v>43.76</v>
      </c>
      <c r="U3081">
        <v>24.11</v>
      </c>
      <c r="V3081" t="str">
        <f>VLOOKUP(L3081,'[2]tabela de preços'!$A:$D,4,0)</f>
        <v>SIKKENS</v>
      </c>
      <c r="W3081" t="str">
        <f>VLOOKUP(L3081,'[2]tabela de preços'!$A:$F,6,0)</f>
        <v>PRIMER AUTOMOTIVO</v>
      </c>
      <c r="X3081" t="str">
        <f>VLOOKUP(L3081,'[2]tabela de preços'!$A:$G,7,0)</f>
        <v>AUTOMOTIVO</v>
      </c>
    </row>
    <row r="3082" spans="1:24" x14ac:dyDescent="0.3">
      <c r="A3082" t="s">
        <v>2171</v>
      </c>
      <c r="C3082" t="s">
        <v>2728</v>
      </c>
      <c r="D3082" s="1">
        <v>46057</v>
      </c>
      <c r="E3082" t="s">
        <v>2729</v>
      </c>
      <c r="F3082">
        <v>9</v>
      </c>
      <c r="G3082">
        <v>230</v>
      </c>
      <c r="H3082" t="str">
        <f>VLOOKUP(G3082,[1]OPERADORES!$A:$B,2,0)</f>
        <v>SÔNIA</v>
      </c>
      <c r="I3082" t="s">
        <v>21</v>
      </c>
      <c r="J3082" t="s">
        <v>2174</v>
      </c>
      <c r="K3082" t="s">
        <v>2175</v>
      </c>
      <c r="L3082">
        <v>10298</v>
      </c>
      <c r="M3082" t="s">
        <v>85</v>
      </c>
      <c r="O3082" t="s">
        <v>11</v>
      </c>
      <c r="P3082">
        <v>5102</v>
      </c>
      <c r="Q3082">
        <v>1</v>
      </c>
      <c r="R3082">
        <v>56.89</v>
      </c>
      <c r="S3082">
        <v>56.89</v>
      </c>
      <c r="T3082">
        <v>47.38</v>
      </c>
      <c r="U3082">
        <v>16.72</v>
      </c>
      <c r="V3082" t="str">
        <f>VLOOKUP(L3082,'[2]tabela de preços'!$A:$D,4,0)</f>
        <v>ANJO</v>
      </c>
      <c r="W3082" t="str">
        <f>VLOOKUP(L3082,'[2]tabela de preços'!$A:$F,6,0)</f>
        <v>THINNER DE LIMPEZA</v>
      </c>
      <c r="X3082" t="str">
        <f>VLOOKUP(L3082,'[2]tabela de preços'!$A:$G,7,0)</f>
        <v>THINNER</v>
      </c>
    </row>
    <row r="3083" spans="1:24" x14ac:dyDescent="0.3">
      <c r="A3083" t="s">
        <v>2171</v>
      </c>
      <c r="C3083" t="s">
        <v>2728</v>
      </c>
      <c r="D3083" s="1">
        <v>46057</v>
      </c>
      <c r="E3083" t="s">
        <v>2729</v>
      </c>
      <c r="F3083">
        <v>9</v>
      </c>
      <c r="G3083">
        <v>230</v>
      </c>
      <c r="H3083" t="str">
        <f>VLOOKUP(G3083,[1]OPERADORES!$A:$B,2,0)</f>
        <v>SÔNIA</v>
      </c>
      <c r="I3083" t="s">
        <v>21</v>
      </c>
      <c r="J3083" t="s">
        <v>2174</v>
      </c>
      <c r="K3083" t="s">
        <v>2175</v>
      </c>
      <c r="L3083">
        <v>10404</v>
      </c>
      <c r="M3083" t="s">
        <v>130</v>
      </c>
      <c r="O3083" t="s">
        <v>11</v>
      </c>
      <c r="P3083">
        <v>5102</v>
      </c>
      <c r="Q3083">
        <v>4</v>
      </c>
      <c r="R3083">
        <v>13.85</v>
      </c>
      <c r="S3083">
        <v>55.4</v>
      </c>
      <c r="T3083">
        <v>50.04</v>
      </c>
      <c r="U3083">
        <v>9.68</v>
      </c>
      <c r="V3083" t="str">
        <f>VLOOKUP(L3083,'[2]tabela de preços'!$A:$D,4,0)</f>
        <v>MAXI RUBBER</v>
      </c>
      <c r="W3083" t="str">
        <f>VLOOKUP(L3083,'[2]tabela de preços'!$A:$F,6,0)</f>
        <v>VEDADORES / SELANTES</v>
      </c>
      <c r="X3083" t="str">
        <f>VLOOKUP(L3083,'[2]tabela de preços'!$A:$G,7,0)</f>
        <v>AUTOMOTIVO</v>
      </c>
    </row>
    <row r="3084" spans="1:24" x14ac:dyDescent="0.3">
      <c r="A3084" t="s">
        <v>2213</v>
      </c>
      <c r="C3084" t="s">
        <v>2802</v>
      </c>
      <c r="D3084" s="1">
        <v>46059</v>
      </c>
      <c r="E3084" t="s">
        <v>2803</v>
      </c>
      <c r="F3084">
        <v>9</v>
      </c>
      <c r="G3084">
        <v>236</v>
      </c>
      <c r="H3084" t="str">
        <f>VLOOKUP(G3084,[1]OPERADORES!$A:$B,2,0)</f>
        <v>DANIEL</v>
      </c>
      <c r="I3084" t="s">
        <v>21</v>
      </c>
      <c r="J3084" t="s">
        <v>1816</v>
      </c>
      <c r="K3084" t="s">
        <v>2216</v>
      </c>
      <c r="L3084">
        <v>85271</v>
      </c>
      <c r="M3084" t="s">
        <v>850</v>
      </c>
      <c r="O3084" t="s">
        <v>11</v>
      </c>
      <c r="P3084">
        <v>5403</v>
      </c>
      <c r="Q3084">
        <v>1</v>
      </c>
      <c r="R3084">
        <v>166.31</v>
      </c>
      <c r="S3084">
        <v>166.31</v>
      </c>
      <c r="T3084">
        <v>112.94</v>
      </c>
      <c r="U3084">
        <v>32.090000000000003</v>
      </c>
      <c r="V3084" t="str">
        <f>VLOOKUP(L3084,'[2]tabela de preços'!$A:$D,4,0)</f>
        <v>BRASILUX</v>
      </c>
      <c r="W3084" t="str">
        <f>VLOOKUP(L3084,'[2]tabela de preços'!$A:$F,6,0)</f>
        <v>TINTA PARA PISO</v>
      </c>
      <c r="X3084" t="str">
        <f>VLOOKUP(L3084,'[2]tabela de preços'!$A:$G,7,0)</f>
        <v>IMOBILIÁRIO</v>
      </c>
    </row>
    <row r="3085" spans="1:24" x14ac:dyDescent="0.3">
      <c r="A3085" t="s">
        <v>2231</v>
      </c>
      <c r="C3085" t="s">
        <v>2731</v>
      </c>
      <c r="D3085" s="1">
        <v>46058</v>
      </c>
      <c r="E3085" t="s">
        <v>2732</v>
      </c>
      <c r="F3085">
        <v>9</v>
      </c>
      <c r="G3085">
        <v>236</v>
      </c>
      <c r="H3085" t="str">
        <f>VLOOKUP(G3085,[1]OPERADORES!$A:$B,2,0)</f>
        <v>DANIEL</v>
      </c>
      <c r="I3085" t="s">
        <v>21</v>
      </c>
      <c r="J3085" t="s">
        <v>494</v>
      </c>
      <c r="K3085" t="s">
        <v>2234</v>
      </c>
      <c r="L3085">
        <v>84331</v>
      </c>
      <c r="M3085" t="s">
        <v>497</v>
      </c>
      <c r="O3085" t="s">
        <v>11</v>
      </c>
      <c r="P3085">
        <v>5403</v>
      </c>
      <c r="Q3085">
        <v>3</v>
      </c>
      <c r="R3085">
        <v>59.98</v>
      </c>
      <c r="S3085">
        <v>179.94</v>
      </c>
      <c r="T3085">
        <v>156</v>
      </c>
      <c r="U3085">
        <v>13.3</v>
      </c>
      <c r="V3085" t="str">
        <f>VLOOKUP(L3085,'[2]tabela de preços'!$A:$D,4,0)</f>
        <v>BRASILUX</v>
      </c>
      <c r="W3085" t="str">
        <f>VLOOKUP(L3085,'[2]tabela de preços'!$A:$F,6,0)</f>
        <v>ESMALTES</v>
      </c>
      <c r="X3085" t="str">
        <f>VLOOKUP(L3085,'[2]tabela de preços'!$A:$G,7,0)</f>
        <v>INDUSTRIAL</v>
      </c>
    </row>
    <row r="3086" spans="1:24" x14ac:dyDescent="0.3">
      <c r="A3086" t="s">
        <v>2327</v>
      </c>
      <c r="C3086" t="s">
        <v>2733</v>
      </c>
      <c r="D3086" s="1">
        <v>46057</v>
      </c>
      <c r="E3086" t="s">
        <v>2734</v>
      </c>
      <c r="F3086">
        <v>9</v>
      </c>
      <c r="G3086">
        <v>230</v>
      </c>
      <c r="H3086" t="str">
        <f>VLOOKUP(G3086,[1]OPERADORES!$A:$B,2,0)</f>
        <v>SÔNIA</v>
      </c>
      <c r="I3086" t="s">
        <v>21</v>
      </c>
      <c r="J3086" t="s">
        <v>66</v>
      </c>
      <c r="K3086" t="s">
        <v>2330</v>
      </c>
      <c r="L3086">
        <v>21643</v>
      </c>
      <c r="M3086" t="s">
        <v>2735</v>
      </c>
      <c r="O3086" t="s">
        <v>11</v>
      </c>
      <c r="P3086">
        <v>5102</v>
      </c>
      <c r="Q3086">
        <v>1</v>
      </c>
      <c r="R3086">
        <v>34.75</v>
      </c>
      <c r="S3086">
        <v>34.75</v>
      </c>
      <c r="T3086">
        <v>22.27</v>
      </c>
      <c r="U3086">
        <v>35.909999999999997</v>
      </c>
      <c r="V3086" t="str">
        <f>VLOOKUP(L3086,'[2]tabela de preços'!$A:$D,4,0)</f>
        <v>MAXI RUBBER</v>
      </c>
      <c r="W3086" t="str">
        <f>VLOOKUP(L3086,'[2]tabela de preços'!$A:$F,6,0)</f>
        <v>COLA INST./ ADESIVOS COLANTES</v>
      </c>
      <c r="X3086" t="str">
        <f>VLOOKUP(L3086,'[2]tabela de preços'!$A:$G,7,0)</f>
        <v>AUTOMOTIVO</v>
      </c>
    </row>
    <row r="3087" spans="1:24" x14ac:dyDescent="0.3">
      <c r="A3087" t="s">
        <v>2327</v>
      </c>
      <c r="C3087" t="s">
        <v>2733</v>
      </c>
      <c r="D3087" s="1">
        <v>46057</v>
      </c>
      <c r="E3087" t="s">
        <v>2734</v>
      </c>
      <c r="F3087">
        <v>9</v>
      </c>
      <c r="G3087">
        <v>230</v>
      </c>
      <c r="H3087" t="str">
        <f>VLOOKUP(G3087,[1]OPERADORES!$A:$B,2,0)</f>
        <v>SÔNIA</v>
      </c>
      <c r="I3087" t="s">
        <v>21</v>
      </c>
      <c r="J3087" t="s">
        <v>66</v>
      </c>
      <c r="K3087" t="s">
        <v>2330</v>
      </c>
      <c r="L3087">
        <v>22173</v>
      </c>
      <c r="M3087" t="s">
        <v>194</v>
      </c>
      <c r="O3087" t="s">
        <v>11</v>
      </c>
      <c r="P3087">
        <v>5102</v>
      </c>
      <c r="Q3087">
        <v>11</v>
      </c>
      <c r="R3087">
        <v>4.58</v>
      </c>
      <c r="S3087">
        <v>50.38</v>
      </c>
      <c r="T3087">
        <v>38.28</v>
      </c>
      <c r="U3087">
        <v>24.02</v>
      </c>
      <c r="V3087" t="str">
        <f>VLOOKUP(L3087,'[2]tabela de preços'!$A:$D,4,0)</f>
        <v>3M</v>
      </c>
      <c r="W3087" t="str">
        <f>VLOOKUP(L3087,'[2]tabela de preços'!$A:$F,6,0)</f>
        <v>FITA AUTOMOTIVA</v>
      </c>
      <c r="X3087" t="str">
        <f>VLOOKUP(L3087,'[2]tabela de preços'!$A:$G,7,0)</f>
        <v>AUTOMOTIVO</v>
      </c>
    </row>
    <row r="3088" spans="1:24" x14ac:dyDescent="0.3">
      <c r="A3088" t="s">
        <v>2327</v>
      </c>
      <c r="C3088" t="s">
        <v>2733</v>
      </c>
      <c r="D3088" s="1">
        <v>46057</v>
      </c>
      <c r="E3088" t="s">
        <v>2734</v>
      </c>
      <c r="F3088">
        <v>9</v>
      </c>
      <c r="G3088">
        <v>230</v>
      </c>
      <c r="H3088" t="str">
        <f>VLOOKUP(G3088,[1]OPERADORES!$A:$B,2,0)</f>
        <v>SÔNIA</v>
      </c>
      <c r="I3088" t="s">
        <v>21</v>
      </c>
      <c r="J3088" t="s">
        <v>66</v>
      </c>
      <c r="K3088" t="s">
        <v>2330</v>
      </c>
      <c r="L3088">
        <v>20375</v>
      </c>
      <c r="M3088" t="s">
        <v>148</v>
      </c>
      <c r="O3088" t="s">
        <v>11</v>
      </c>
      <c r="P3088">
        <v>5403</v>
      </c>
      <c r="Q3088">
        <v>5</v>
      </c>
      <c r="R3088">
        <v>35.69</v>
      </c>
      <c r="S3088">
        <v>178.45</v>
      </c>
      <c r="T3088">
        <v>127.25</v>
      </c>
      <c r="U3088">
        <v>28.69</v>
      </c>
      <c r="V3088" t="str">
        <f>VLOOKUP(L3088,'[2]tabela de preços'!$A:$D,4,0)</f>
        <v>SHERWIN WILLIAMS</v>
      </c>
      <c r="W3088" t="str">
        <f>VLOOKUP(L3088,'[2]tabela de preços'!$A:$F,6,0)</f>
        <v>TINTAS POLIÉSTER</v>
      </c>
      <c r="X3088" t="str">
        <f>VLOOKUP(L3088,'[2]tabela de preços'!$A:$G,7,0)</f>
        <v>AUTOMOTIVO</v>
      </c>
    </row>
    <row r="3089" spans="1:24" x14ac:dyDescent="0.3">
      <c r="A3089" t="s">
        <v>2327</v>
      </c>
      <c r="C3089" t="s">
        <v>2733</v>
      </c>
      <c r="D3089" s="1">
        <v>46057</v>
      </c>
      <c r="E3089" t="s">
        <v>2734</v>
      </c>
      <c r="F3089">
        <v>9</v>
      </c>
      <c r="G3089">
        <v>230</v>
      </c>
      <c r="H3089" t="str">
        <f>VLOOKUP(G3089,[1]OPERADORES!$A:$B,2,0)</f>
        <v>SÔNIA</v>
      </c>
      <c r="I3089" t="s">
        <v>21</v>
      </c>
      <c r="J3089" t="s">
        <v>66</v>
      </c>
      <c r="K3089" t="s">
        <v>2330</v>
      </c>
      <c r="L3089">
        <v>22180</v>
      </c>
      <c r="M3089" t="s">
        <v>404</v>
      </c>
      <c r="O3089" t="s">
        <v>11</v>
      </c>
      <c r="P3089">
        <v>5102</v>
      </c>
      <c r="Q3089">
        <v>1</v>
      </c>
      <c r="R3089">
        <v>19.29</v>
      </c>
      <c r="S3089">
        <v>19.29</v>
      </c>
      <c r="T3089">
        <v>14.64</v>
      </c>
      <c r="U3089">
        <v>24.11</v>
      </c>
      <c r="V3089" t="str">
        <f>VLOOKUP(L3089,'[2]tabela de preços'!$A:$D,4,0)</f>
        <v>MADRUGA</v>
      </c>
      <c r="W3089" t="str">
        <f>VLOOKUP(L3089,'[2]tabela de preços'!$A:$F,6,0)</f>
        <v>PAPEL DE MASCARAMENTO</v>
      </c>
      <c r="X3089" t="str">
        <f>VLOOKUP(L3089,'[2]tabela de preços'!$A:$G,7,0)</f>
        <v>AUTOMOTIVO</v>
      </c>
    </row>
    <row r="3090" spans="1:24" x14ac:dyDescent="0.3">
      <c r="A3090" t="s">
        <v>2327</v>
      </c>
      <c r="C3090" t="s">
        <v>2733</v>
      </c>
      <c r="D3090" s="1">
        <v>46057</v>
      </c>
      <c r="E3090" t="s">
        <v>2734</v>
      </c>
      <c r="F3090">
        <v>9</v>
      </c>
      <c r="G3090">
        <v>230</v>
      </c>
      <c r="H3090" t="str">
        <f>VLOOKUP(G3090,[1]OPERADORES!$A:$B,2,0)</f>
        <v>SÔNIA</v>
      </c>
      <c r="I3090" t="s">
        <v>21</v>
      </c>
      <c r="J3090" t="s">
        <v>66</v>
      </c>
      <c r="K3090" t="s">
        <v>2330</v>
      </c>
      <c r="L3090">
        <v>10394</v>
      </c>
      <c r="M3090" t="s">
        <v>2736</v>
      </c>
      <c r="O3090" t="s">
        <v>11</v>
      </c>
      <c r="P3090">
        <v>5102</v>
      </c>
      <c r="Q3090">
        <v>5</v>
      </c>
      <c r="R3090">
        <v>12.93</v>
      </c>
      <c r="S3090">
        <v>64.650000000000006</v>
      </c>
      <c r="T3090">
        <v>49.05</v>
      </c>
      <c r="U3090">
        <v>24.13</v>
      </c>
      <c r="V3090" t="str">
        <f>VLOOKUP(L3090,'[2]tabela de preços'!$A:$D,4,0)</f>
        <v>MAXI RUBBER</v>
      </c>
      <c r="W3090" t="str">
        <f>VLOOKUP(L3090,'[2]tabela de preços'!$A:$F,6,0)</f>
        <v xml:space="preserve">COLA  PLÁSTICA </v>
      </c>
      <c r="X3090" t="str">
        <f>VLOOKUP(L3090,'[2]tabela de preços'!$A:$G,7,0)</f>
        <v>AUTOMOTIVO</v>
      </c>
    </row>
    <row r="3091" spans="1:24" x14ac:dyDescent="0.3">
      <c r="A3091" t="s">
        <v>2327</v>
      </c>
      <c r="C3091" t="s">
        <v>2737</v>
      </c>
      <c r="D3091" s="1">
        <v>46057</v>
      </c>
      <c r="E3091" t="s">
        <v>2738</v>
      </c>
      <c r="F3091">
        <v>9</v>
      </c>
      <c r="G3091">
        <v>230</v>
      </c>
      <c r="H3091" t="str">
        <f>VLOOKUP(G3091,[1]OPERADORES!$A:$B,2,0)</f>
        <v>SÔNIA</v>
      </c>
      <c r="I3091" t="s">
        <v>21</v>
      </c>
      <c r="J3091" t="s">
        <v>66</v>
      </c>
      <c r="K3091" t="s">
        <v>2330</v>
      </c>
      <c r="L3091">
        <v>21643</v>
      </c>
      <c r="M3091" t="s">
        <v>2735</v>
      </c>
      <c r="O3091" t="s">
        <v>11</v>
      </c>
      <c r="P3091">
        <v>5102</v>
      </c>
      <c r="Q3091">
        <v>1</v>
      </c>
      <c r="R3091">
        <v>34.520000000000003</v>
      </c>
      <c r="S3091">
        <v>34.520000000000003</v>
      </c>
      <c r="T3091">
        <v>22.27</v>
      </c>
      <c r="U3091">
        <v>35.49</v>
      </c>
      <c r="V3091" t="str">
        <f>VLOOKUP(L3091,'[2]tabela de preços'!$A:$D,4,0)</f>
        <v>MAXI RUBBER</v>
      </c>
      <c r="W3091" t="str">
        <f>VLOOKUP(L3091,'[2]tabela de preços'!$A:$F,6,0)</f>
        <v>COLA INST./ ADESIVOS COLANTES</v>
      </c>
      <c r="X3091" t="str">
        <f>VLOOKUP(L3091,'[2]tabela de preços'!$A:$G,7,0)</f>
        <v>AUTOMOTIVO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dash unica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Samuel</dc:creator>
  <cp:lastModifiedBy>Samuel</cp:lastModifiedBy>
  <dcterms:created xsi:type="dcterms:W3CDTF">2026-01-29T21:30:18Z</dcterms:created>
  <dcterms:modified xsi:type="dcterms:W3CDTF">2026-02-09T22:19:02Z</dcterms:modified>
</cp:coreProperties>
</file>